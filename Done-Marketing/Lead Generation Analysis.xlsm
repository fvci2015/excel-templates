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Marketing\"/>
    </mc:Choice>
  </mc:AlternateContent>
  <xr:revisionPtr revIDLastSave="0" documentId="13_ncr:1_{92A9BF57-4468-433D-A43D-1ADF0614601B}"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Leads Raw Data" sheetId="11" r:id="rId2"/>
    <sheet name="Sheet1" sheetId="15" state="hidden" r:id="rId3"/>
    <sheet name="Advertising Spend" sheetId="13" r:id="rId4"/>
    <sheet name="Sheet3" sheetId="14" state="hidden" r:id="rId5"/>
    <sheet name="Database" sheetId="7" r:id="rId6"/>
  </sheets>
  <definedNames>
    <definedName name="_aaa1" hidden="1">{#N/A,#N/A,FALSE,"Antony Financials";#N/A,#N/A,FALSE,"Cowboy Financials";#N/A,#N/A,FALSE,"Combined";#N/A,#N/A,FALSE,"Valuematrix";#N/A,#N/A,FALSE,"DCFAntony";#N/A,#N/A,FALSE,"DCFCowboy";#N/A,#N/A,FALSE,"DCFCombined"}</definedName>
    <definedName name="_xlnm._FilterDatabase" localSheetId="3" hidden="1">'Advertising Spend'!$B$2:$K$11</definedName>
    <definedName name="_xlnm._FilterDatabase" localSheetId="1" hidden="1">'Leads Raw Data'!$B$23:$Q$125</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latform">OFFSET(Database!$B$5,0,0,COUNTA(Database!$B:$B)-1,1)</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ervice">OFFSET(Database!$D$5,0,0,COUNTA(Database!$D:$D)-1,1)</definedName>
    <definedName name="Slicer_Month">#N/A</definedName>
    <definedName name="Slicer_Month1">#N/A</definedName>
    <definedName name="Slicer_Platform">#N/A</definedName>
    <definedName name="Slicer_Service">#N/A</definedName>
    <definedName name="Slicer_Stage">#N/A</definedName>
    <definedName name="Slicer_Year">#N/A</definedName>
    <definedName name="Slicer_Year1">#N/A</definedName>
    <definedName name="Stage">OFFSET(Database!$F$5,0,0,COUNTA(Database!$F:$F)-1,1)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4" r:id="rId7"/>
    <pivotCache cacheId="5"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3" l="1"/>
  <c r="E11" i="13"/>
  <c r="F11" i="13" s="1"/>
  <c r="D10" i="13"/>
  <c r="E10" i="13"/>
  <c r="D9" i="13"/>
  <c r="E9" i="13"/>
  <c r="D8" i="13"/>
  <c r="E8" i="13"/>
  <c r="D7" i="13"/>
  <c r="E7" i="13"/>
  <c r="D6" i="13"/>
  <c r="E6"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C24" i="11"/>
  <c r="C25" i="11"/>
  <c r="C28" i="11"/>
  <c r="C29" i="11"/>
  <c r="C30" i="11"/>
  <c r="C32" i="11"/>
  <c r="C33" i="11"/>
  <c r="C36" i="11"/>
  <c r="C37" i="11"/>
  <c r="C38" i="11"/>
  <c r="C40" i="11"/>
  <c r="C41" i="11"/>
  <c r="C44" i="11"/>
  <c r="C45" i="11"/>
  <c r="C46" i="11"/>
  <c r="C48" i="11"/>
  <c r="C49" i="11"/>
  <c r="C52" i="11"/>
  <c r="C53" i="11"/>
  <c r="C54" i="11"/>
  <c r="C56" i="11"/>
  <c r="C57" i="11"/>
  <c r="C60" i="11"/>
  <c r="C61" i="11"/>
  <c r="C62" i="11"/>
  <c r="C64" i="11"/>
  <c r="C65" i="11"/>
  <c r="C68" i="11"/>
  <c r="C69" i="11"/>
  <c r="C70" i="11"/>
  <c r="C72" i="11"/>
  <c r="C73" i="11"/>
  <c r="C76" i="11"/>
  <c r="C77" i="11"/>
  <c r="C78" i="11"/>
  <c r="C80" i="11"/>
  <c r="C81" i="11"/>
  <c r="C84" i="11"/>
  <c r="C85" i="11"/>
  <c r="C86" i="11"/>
  <c r="C88" i="11"/>
  <c r="C89" i="11"/>
  <c r="C92" i="11"/>
  <c r="C93" i="11"/>
  <c r="C94" i="11"/>
  <c r="C96" i="11"/>
  <c r="C97" i="11"/>
  <c r="C100" i="11"/>
  <c r="C101" i="11"/>
  <c r="C102" i="11"/>
  <c r="C104" i="11"/>
  <c r="C105" i="11"/>
  <c r="C108" i="11"/>
  <c r="C109" i="11"/>
  <c r="C110" i="11"/>
  <c r="C112" i="11"/>
  <c r="C113" i="11"/>
  <c r="C116" i="11"/>
  <c r="C117" i="11"/>
  <c r="C118" i="11"/>
  <c r="C120" i="11"/>
  <c r="C121" i="11"/>
  <c r="C124" i="11"/>
  <c r="C125" i="11"/>
  <c r="C26" i="11"/>
  <c r="C27" i="11"/>
  <c r="C31" i="11"/>
  <c r="C34" i="11"/>
  <c r="C35" i="11"/>
  <c r="C39" i="11"/>
  <c r="C42" i="11"/>
  <c r="C43" i="11"/>
  <c r="C47" i="11"/>
  <c r="C50" i="11"/>
  <c r="C51" i="11"/>
  <c r="C55" i="11"/>
  <c r="C58" i="11"/>
  <c r="C59" i="11"/>
  <c r="C63" i="11"/>
  <c r="C66" i="11"/>
  <c r="C67" i="11"/>
  <c r="C71" i="11"/>
  <c r="C74" i="11"/>
  <c r="C75" i="11"/>
  <c r="C79" i="11"/>
  <c r="C82" i="11"/>
  <c r="C83" i="11"/>
  <c r="C87" i="11"/>
  <c r="C90" i="11"/>
  <c r="C91" i="11"/>
  <c r="C95" i="11"/>
  <c r="C98" i="11"/>
  <c r="C99" i="11"/>
  <c r="C103" i="11"/>
  <c r="C106" i="11"/>
  <c r="C107" i="11"/>
  <c r="C111" i="11"/>
  <c r="C114" i="11"/>
  <c r="C115" i="11"/>
  <c r="C119" i="11"/>
  <c r="C122" i="11"/>
  <c r="C123" i="11"/>
  <c r="D24" i="11"/>
  <c r="D25" i="11"/>
  <c r="D26" i="11"/>
  <c r="E26" i="11" s="1"/>
  <c r="O26" i="11" s="1"/>
  <c r="D27" i="11"/>
  <c r="D28" i="11"/>
  <c r="D29" i="11"/>
  <c r="D30" i="11"/>
  <c r="D31" i="11"/>
  <c r="E31" i="11" s="1"/>
  <c r="D32" i="11"/>
  <c r="D33" i="11"/>
  <c r="D34" i="11"/>
  <c r="D35" i="11"/>
  <c r="D36" i="11"/>
  <c r="D37" i="11"/>
  <c r="D38" i="11"/>
  <c r="D39" i="11"/>
  <c r="D40" i="11"/>
  <c r="D41" i="11"/>
  <c r="D42" i="11"/>
  <c r="E42" i="11" s="1"/>
  <c r="D43" i="11"/>
  <c r="D44" i="11"/>
  <c r="D45" i="11"/>
  <c r="D46" i="11"/>
  <c r="D47" i="11"/>
  <c r="E47" i="11" s="1"/>
  <c r="D48" i="11"/>
  <c r="D49" i="11"/>
  <c r="D50" i="11"/>
  <c r="D51" i="11"/>
  <c r="D52" i="11"/>
  <c r="D53" i="11"/>
  <c r="D54" i="11"/>
  <c r="D55" i="11"/>
  <c r="D56" i="11"/>
  <c r="D57" i="11"/>
  <c r="D58" i="11"/>
  <c r="D59" i="11"/>
  <c r="D60" i="11"/>
  <c r="D61" i="11"/>
  <c r="D62" i="11"/>
  <c r="D63" i="11"/>
  <c r="E63" i="11" s="1"/>
  <c r="O63" i="11" s="1"/>
  <c r="D64" i="11"/>
  <c r="D65" i="11"/>
  <c r="D66" i="11"/>
  <c r="D67" i="11"/>
  <c r="D68" i="11"/>
  <c r="D69" i="11"/>
  <c r="D70" i="11"/>
  <c r="D71" i="11"/>
  <c r="E71" i="11" s="1"/>
  <c r="D72" i="11"/>
  <c r="D73" i="11"/>
  <c r="D74" i="11"/>
  <c r="E74" i="11" s="1"/>
  <c r="D75" i="11"/>
  <c r="D76" i="11"/>
  <c r="D77" i="11"/>
  <c r="D78" i="11"/>
  <c r="D79" i="11"/>
  <c r="D80" i="11"/>
  <c r="D81" i="11"/>
  <c r="D82" i="11"/>
  <c r="D83" i="11"/>
  <c r="D84" i="11"/>
  <c r="D85" i="11"/>
  <c r="D86" i="11"/>
  <c r="D87" i="11"/>
  <c r="D88" i="11"/>
  <c r="D89" i="11"/>
  <c r="D90" i="11"/>
  <c r="D91" i="11"/>
  <c r="D92" i="11"/>
  <c r="D93" i="11"/>
  <c r="D94" i="11"/>
  <c r="D95" i="11"/>
  <c r="E95" i="11" s="1"/>
  <c r="D96" i="11"/>
  <c r="D97" i="11"/>
  <c r="D98" i="11"/>
  <c r="D99" i="11"/>
  <c r="D100" i="11"/>
  <c r="D101" i="11"/>
  <c r="D102" i="11"/>
  <c r="D103" i="11"/>
  <c r="D104" i="11"/>
  <c r="D105" i="11"/>
  <c r="D106" i="11"/>
  <c r="D107" i="11"/>
  <c r="D108" i="11"/>
  <c r="D109" i="11"/>
  <c r="D110" i="11"/>
  <c r="D111" i="11"/>
  <c r="E111" i="11" s="1"/>
  <c r="O111" i="11" s="1"/>
  <c r="D112" i="11"/>
  <c r="D113" i="11"/>
  <c r="D114" i="11"/>
  <c r="D115" i="11"/>
  <c r="D116" i="11"/>
  <c r="D117" i="11"/>
  <c r="D118" i="11"/>
  <c r="D119" i="11"/>
  <c r="D120" i="11"/>
  <c r="D121" i="11"/>
  <c r="D122" i="11"/>
  <c r="E122" i="11" s="1"/>
  <c r="D123" i="11"/>
  <c r="D124" i="11"/>
  <c r="D125" i="11"/>
  <c r="E39" i="11"/>
  <c r="E90" i="11"/>
  <c r="Q90" i="11" s="1"/>
  <c r="E106"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M24" i="11"/>
  <c r="M25" i="11"/>
  <c r="M26" i="11"/>
  <c r="M27" i="11"/>
  <c r="M28" i="11"/>
  <c r="M29" i="11"/>
  <c r="M31" i="11"/>
  <c r="M32" i="11"/>
  <c r="M33" i="11"/>
  <c r="M34" i="11"/>
  <c r="M35" i="11"/>
  <c r="M36" i="11"/>
  <c r="M37" i="11"/>
  <c r="M39" i="11"/>
  <c r="M40" i="11"/>
  <c r="M41" i="11"/>
  <c r="M42" i="11"/>
  <c r="M43" i="11"/>
  <c r="M44" i="11"/>
  <c r="M45" i="11"/>
  <c r="M47" i="11"/>
  <c r="M48" i="11"/>
  <c r="M49" i="11"/>
  <c r="M50" i="11"/>
  <c r="M51" i="11"/>
  <c r="M52" i="11"/>
  <c r="M53" i="11"/>
  <c r="M55" i="11"/>
  <c r="M56" i="11"/>
  <c r="M57" i="11"/>
  <c r="M58" i="11"/>
  <c r="M59" i="11"/>
  <c r="M60" i="11"/>
  <c r="M61" i="11"/>
  <c r="M63" i="11"/>
  <c r="M64" i="11"/>
  <c r="M65" i="11"/>
  <c r="M66" i="11"/>
  <c r="M67" i="11"/>
  <c r="M68" i="11"/>
  <c r="M69" i="11"/>
  <c r="M71" i="11"/>
  <c r="M72" i="11"/>
  <c r="M73" i="11"/>
  <c r="M74" i="11"/>
  <c r="M75" i="11"/>
  <c r="M76" i="11"/>
  <c r="M77" i="11"/>
  <c r="M79" i="11"/>
  <c r="M80" i="11"/>
  <c r="M81" i="11"/>
  <c r="M82" i="11"/>
  <c r="M83" i="11"/>
  <c r="M84" i="11"/>
  <c r="M85" i="11"/>
  <c r="M87" i="11"/>
  <c r="M88" i="11"/>
  <c r="M89" i="11"/>
  <c r="M90" i="11"/>
  <c r="M91" i="11"/>
  <c r="M92" i="11"/>
  <c r="M93" i="11"/>
  <c r="M95" i="11"/>
  <c r="M96" i="11"/>
  <c r="M97" i="11"/>
  <c r="M98" i="11"/>
  <c r="M99" i="11"/>
  <c r="M100" i="11"/>
  <c r="M101" i="11"/>
  <c r="M103" i="11"/>
  <c r="M104" i="11"/>
  <c r="M105" i="11"/>
  <c r="M106" i="11"/>
  <c r="M107" i="11"/>
  <c r="M108" i="11"/>
  <c r="M109" i="11"/>
  <c r="M111" i="11"/>
  <c r="M112" i="11"/>
  <c r="M113" i="11"/>
  <c r="M114" i="11"/>
  <c r="M115" i="11"/>
  <c r="M116" i="11"/>
  <c r="M117" i="11"/>
  <c r="M119" i="11"/>
  <c r="M120" i="11"/>
  <c r="M121" i="11"/>
  <c r="M122" i="11"/>
  <c r="M123" i="11"/>
  <c r="M124" i="11"/>
  <c r="M125" i="11"/>
  <c r="D4" i="13"/>
  <c r="D5" i="13"/>
  <c r="E4" i="13"/>
  <c r="E5" i="13"/>
  <c r="D3" i="13"/>
  <c r="E3" i="13"/>
  <c r="M2" i="11"/>
  <c r="L2" i="11"/>
  <c r="B2" i="11"/>
  <c r="F2" i="11"/>
  <c r="E51" i="11" l="1"/>
  <c r="E98" i="11"/>
  <c r="E83" i="11"/>
  <c r="E115" i="11"/>
  <c r="E119" i="11"/>
  <c r="E114" i="11"/>
  <c r="E82" i="11"/>
  <c r="E50" i="11"/>
  <c r="N2" i="11"/>
  <c r="G2" i="11"/>
  <c r="E59" i="11"/>
  <c r="E75" i="11"/>
  <c r="E55" i="11"/>
  <c r="O55" i="11" s="1"/>
  <c r="E34" i="11"/>
  <c r="E123" i="11"/>
  <c r="E91" i="11"/>
  <c r="E27" i="11"/>
  <c r="Q27" i="11" s="1"/>
  <c r="E103" i="11"/>
  <c r="P103" i="11" s="1"/>
  <c r="E67" i="11"/>
  <c r="E66" i="11"/>
  <c r="E99" i="11"/>
  <c r="E79" i="11"/>
  <c r="E58" i="11"/>
  <c r="E35" i="11"/>
  <c r="O42" i="11"/>
  <c r="P42" i="11"/>
  <c r="O103" i="11"/>
  <c r="Q26" i="11"/>
  <c r="P90" i="11"/>
  <c r="F9" i="13"/>
  <c r="E107" i="11"/>
  <c r="E87" i="11"/>
  <c r="E43" i="11"/>
  <c r="E86" i="11"/>
  <c r="Q86" i="11" s="1"/>
  <c r="F7" i="13"/>
  <c r="F10" i="13"/>
  <c r="O95" i="11" s="1"/>
  <c r="F8" i="13"/>
  <c r="F6" i="13"/>
  <c r="F4" i="13"/>
  <c r="P51" i="11" s="1"/>
  <c r="F5" i="13"/>
  <c r="E110" i="11"/>
  <c r="E46" i="11"/>
  <c r="E70" i="11"/>
  <c r="E94" i="11"/>
  <c r="E30" i="11"/>
  <c r="P30" i="11" s="1"/>
  <c r="Q111" i="11"/>
  <c r="P63" i="11"/>
  <c r="E118" i="11"/>
  <c r="E54" i="11"/>
  <c r="E78" i="11"/>
  <c r="E102" i="11"/>
  <c r="E38" i="11"/>
  <c r="E62" i="11"/>
  <c r="O70" i="11"/>
  <c r="P70" i="11"/>
  <c r="Q70" i="11"/>
  <c r="P26" i="11"/>
  <c r="Q103" i="11"/>
  <c r="Q63" i="11"/>
  <c r="O90" i="11"/>
  <c r="M118" i="11"/>
  <c r="M110" i="11"/>
  <c r="M102" i="11"/>
  <c r="M94" i="11"/>
  <c r="M86" i="11"/>
  <c r="M78" i="11"/>
  <c r="M70" i="11"/>
  <c r="M62" i="11"/>
  <c r="M54" i="11"/>
  <c r="M46" i="11"/>
  <c r="M38" i="11"/>
  <c r="M30" i="11"/>
  <c r="Q42" i="11"/>
  <c r="P111" i="11"/>
  <c r="E125" i="11"/>
  <c r="E117" i="11"/>
  <c r="E109" i="11"/>
  <c r="E101" i="11"/>
  <c r="O101" i="11" s="1"/>
  <c r="E93" i="11"/>
  <c r="E85" i="11"/>
  <c r="E77" i="11"/>
  <c r="E69" i="11"/>
  <c r="E61" i="11"/>
  <c r="E53" i="11"/>
  <c r="E45" i="11"/>
  <c r="E37" i="11"/>
  <c r="O37" i="11" s="1"/>
  <c r="E29" i="11"/>
  <c r="E124" i="11"/>
  <c r="E116" i="11"/>
  <c r="O116" i="11" s="1"/>
  <c r="E108" i="11"/>
  <c r="E100" i="11"/>
  <c r="E92" i="11"/>
  <c r="O92" i="11" s="1"/>
  <c r="E84" i="11"/>
  <c r="E76" i="11"/>
  <c r="E68" i="11"/>
  <c r="E60" i="11"/>
  <c r="E52" i="11"/>
  <c r="E44" i="11"/>
  <c r="E36" i="11"/>
  <c r="E28" i="11"/>
  <c r="O28" i="11" s="1"/>
  <c r="E121" i="11"/>
  <c r="E113" i="11"/>
  <c r="E105" i="11"/>
  <c r="E97" i="11"/>
  <c r="E89" i="11"/>
  <c r="P89" i="11" s="1"/>
  <c r="E81" i="11"/>
  <c r="P81" i="11" s="1"/>
  <c r="E73" i="11"/>
  <c r="E65" i="11"/>
  <c r="E57" i="11"/>
  <c r="Q57" i="11" s="1"/>
  <c r="E49" i="11"/>
  <c r="E41" i="11"/>
  <c r="O41" i="11" s="1"/>
  <c r="E33" i="11"/>
  <c r="P33" i="11" s="1"/>
  <c r="E25" i="11"/>
  <c r="E120" i="11"/>
  <c r="P120" i="11" s="1"/>
  <c r="E112" i="11"/>
  <c r="E104" i="11"/>
  <c r="E96" i="11"/>
  <c r="E88" i="11"/>
  <c r="E80" i="11"/>
  <c r="Q80" i="11" s="1"/>
  <c r="E72" i="11"/>
  <c r="E64" i="11"/>
  <c r="E56" i="11"/>
  <c r="P56" i="11" s="1"/>
  <c r="E48" i="11"/>
  <c r="O48" i="11" s="1"/>
  <c r="E40" i="11"/>
  <c r="Q40" i="11" s="1"/>
  <c r="E32" i="11"/>
  <c r="E24" i="11"/>
  <c r="O125" i="11"/>
  <c r="O53" i="11"/>
  <c r="Q28" i="11"/>
  <c r="P28" i="11"/>
  <c r="O81" i="11"/>
  <c r="O104" i="11"/>
  <c r="P40" i="11"/>
  <c r="O40" i="11"/>
  <c r="F3" i="13"/>
  <c r="M23" i="11"/>
  <c r="L23" i="11"/>
  <c r="C23" i="11"/>
  <c r="D23" i="11"/>
  <c r="P72" i="11" l="1"/>
  <c r="Q84" i="11"/>
  <c r="O77" i="11"/>
  <c r="O105" i="11"/>
  <c r="O100" i="11"/>
  <c r="O44" i="11"/>
  <c r="Q72" i="11"/>
  <c r="O112" i="11"/>
  <c r="O52" i="11"/>
  <c r="O32" i="11"/>
  <c r="P27" i="11"/>
  <c r="P52" i="11"/>
  <c r="O27" i="11"/>
  <c r="O57" i="11"/>
  <c r="O61" i="11"/>
  <c r="P94" i="11"/>
  <c r="O59" i="11"/>
  <c r="P57" i="11"/>
  <c r="Q24" i="11"/>
  <c r="O49" i="11"/>
  <c r="O76" i="11"/>
  <c r="O108" i="11"/>
  <c r="O69" i="11"/>
  <c r="O47" i="11"/>
  <c r="O84" i="11"/>
  <c r="O60" i="11"/>
  <c r="O124" i="11"/>
  <c r="O117" i="11"/>
  <c r="O62" i="11"/>
  <c r="Q51" i="11"/>
  <c r="I11" i="13"/>
  <c r="J11" i="13" s="1"/>
  <c r="K11" i="13" s="1"/>
  <c r="Q38" i="11" s="1"/>
  <c r="O34" i="11"/>
  <c r="O39" i="11"/>
  <c r="O102" i="11"/>
  <c r="Q55" i="11"/>
  <c r="Q89" i="11"/>
  <c r="Q120" i="11"/>
  <c r="Q81" i="11"/>
  <c r="Q52" i="11"/>
  <c r="P55" i="11"/>
  <c r="P80" i="11"/>
  <c r="P24" i="11"/>
  <c r="O89" i="11"/>
  <c r="P37" i="11"/>
  <c r="O24" i="11"/>
  <c r="P84" i="11"/>
  <c r="Q37" i="11"/>
  <c r="O86" i="11"/>
  <c r="I7" i="13"/>
  <c r="J7" i="13" s="1"/>
  <c r="K7" i="13" s="1"/>
  <c r="Q29" i="11" s="1"/>
  <c r="O91" i="11"/>
  <c r="P86" i="11"/>
  <c r="I6" i="13"/>
  <c r="J6" i="13" s="1"/>
  <c r="K6" i="13" s="1"/>
  <c r="I9" i="13"/>
  <c r="J9" i="13" s="1"/>
  <c r="K9" i="13" s="1"/>
  <c r="Q118" i="11" s="1"/>
  <c r="I8" i="13"/>
  <c r="J8" i="13" s="1"/>
  <c r="K8" i="13" s="1"/>
  <c r="I10" i="13"/>
  <c r="J10" i="13" s="1"/>
  <c r="K10" i="13" s="1"/>
  <c r="O46" i="11"/>
  <c r="O122" i="11"/>
  <c r="Q94" i="11"/>
  <c r="O107" i="11"/>
  <c r="O50" i="11"/>
  <c r="O79" i="11"/>
  <c r="O74" i="11"/>
  <c r="O51" i="11"/>
  <c r="O99" i="11"/>
  <c r="O82" i="11"/>
  <c r="O87" i="11"/>
  <c r="O106" i="11"/>
  <c r="O35" i="11"/>
  <c r="O83" i="11"/>
  <c r="O113" i="11"/>
  <c r="O58" i="11"/>
  <c r="O119" i="11"/>
  <c r="O36" i="11"/>
  <c r="O54" i="11"/>
  <c r="O109" i="11"/>
  <c r="O110" i="11"/>
  <c r="O114" i="11"/>
  <c r="Q114" i="11"/>
  <c r="P114" i="11"/>
  <c r="O85" i="11"/>
  <c r="O115" i="11"/>
  <c r="O25" i="11"/>
  <c r="O29" i="11"/>
  <c r="O121" i="11"/>
  <c r="O65" i="11"/>
  <c r="O38" i="11"/>
  <c r="O123" i="11"/>
  <c r="O72" i="11"/>
  <c r="Q33" i="11"/>
  <c r="P104" i="11"/>
  <c r="Q30" i="11"/>
  <c r="O118" i="11"/>
  <c r="O30" i="11"/>
  <c r="O94" i="11"/>
  <c r="Q56" i="11"/>
  <c r="O56" i="11"/>
  <c r="O120" i="11"/>
  <c r="O33" i="11"/>
  <c r="O80" i="11"/>
  <c r="P101" i="11"/>
  <c r="P100" i="11"/>
  <c r="Q101" i="11"/>
  <c r="P77" i="11"/>
  <c r="P83" i="11"/>
  <c r="P36" i="11"/>
  <c r="P85" i="11"/>
  <c r="E23" i="11"/>
  <c r="I3" i="13" s="1"/>
  <c r="J3" i="13" s="1"/>
  <c r="K3" i="13" s="1"/>
  <c r="E2" i="13"/>
  <c r="D2" i="13"/>
  <c r="A3" i="13"/>
  <c r="A2" i="13"/>
  <c r="Q123" i="11" l="1"/>
  <c r="P109" i="11"/>
  <c r="P119" i="11"/>
  <c r="P123" i="11"/>
  <c r="P38" i="11"/>
  <c r="P32" i="11"/>
  <c r="P115" i="11"/>
  <c r="P121" i="11"/>
  <c r="P29" i="11"/>
  <c r="P106" i="11"/>
  <c r="P108" i="11"/>
  <c r="P87" i="11"/>
  <c r="P118" i="11"/>
  <c r="P82" i="11"/>
  <c r="P105" i="11"/>
  <c r="P74" i="11"/>
  <c r="Q74" i="11"/>
  <c r="Q25" i="11"/>
  <c r="Q91" i="11"/>
  <c r="Q113" i="11"/>
  <c r="P35" i="11"/>
  <c r="P99" i="11"/>
  <c r="P65" i="11"/>
  <c r="P58" i="11"/>
  <c r="Q105" i="11"/>
  <c r="P25" i="11"/>
  <c r="P91" i="11"/>
  <c r="P113" i="11"/>
  <c r="P54" i="11"/>
  <c r="Q121" i="11"/>
  <c r="Q106" i="11"/>
  <c r="Q82" i="11"/>
  <c r="Q77" i="11"/>
  <c r="Q100" i="11"/>
  <c r="Q58" i="11"/>
  <c r="Q115" i="11"/>
  <c r="Q85" i="11"/>
  <c r="Q36" i="11"/>
  <c r="Q109" i="11"/>
  <c r="I5" i="13"/>
  <c r="J5" i="13" s="1"/>
  <c r="K5" i="13" s="1"/>
  <c r="Q54" i="11"/>
  <c r="Q119" i="11"/>
  <c r="Q65" i="11"/>
  <c r="Q83" i="11"/>
  <c r="Q87" i="11"/>
  <c r="Q32" i="11"/>
  <c r="Q108" i="11"/>
  <c r="Q104" i="11"/>
  <c r="P116" i="11"/>
  <c r="I4" i="13"/>
  <c r="J4" i="13" s="1"/>
  <c r="P110" i="11" s="1"/>
  <c r="F2" i="13"/>
  <c r="I2" i="13" s="1"/>
  <c r="J2" i="13" s="1"/>
  <c r="K2" i="13" s="1"/>
  <c r="P61" i="11" l="1"/>
  <c r="P112" i="11"/>
  <c r="P44" i="11"/>
  <c r="O23" i="11"/>
  <c r="O71" i="11"/>
  <c r="O66" i="11"/>
  <c r="O75" i="11"/>
  <c r="O43" i="11"/>
  <c r="O64" i="11"/>
  <c r="O31" i="11"/>
  <c r="O67" i="11"/>
  <c r="O98" i="11"/>
  <c r="O45" i="11"/>
  <c r="O96" i="11"/>
  <c r="O88" i="11"/>
  <c r="P64" i="11"/>
  <c r="O68" i="11"/>
  <c r="O78" i="11"/>
  <c r="O73" i="11"/>
  <c r="O93" i="11"/>
  <c r="O97" i="11"/>
  <c r="P88" i="11"/>
  <c r="Q35" i="11"/>
  <c r="Q99" i="11"/>
  <c r="P45" i="11"/>
  <c r="P34" i="11"/>
  <c r="P117" i="11"/>
  <c r="P122" i="11"/>
  <c r="P46" i="11"/>
  <c r="P124" i="11"/>
  <c r="P31" i="11"/>
  <c r="P67" i="11"/>
  <c r="P75" i="11"/>
  <c r="P73" i="11"/>
  <c r="P96" i="11"/>
  <c r="P79" i="11"/>
  <c r="P107" i="11"/>
  <c r="P59" i="11"/>
  <c r="P39" i="11"/>
  <c r="P49" i="11"/>
  <c r="P69" i="11"/>
  <c r="P23" i="11"/>
  <c r="P78" i="11"/>
  <c r="P93" i="11"/>
  <c r="Q45" i="11"/>
  <c r="P71" i="11"/>
  <c r="P66" i="11"/>
  <c r="P98" i="11"/>
  <c r="P43" i="11"/>
  <c r="P68" i="11"/>
  <c r="P97" i="11"/>
  <c r="P102" i="11"/>
  <c r="P41" i="11"/>
  <c r="K4" i="13"/>
  <c r="Q110" i="11" s="1"/>
  <c r="P60" i="11"/>
  <c r="P53" i="11"/>
  <c r="Q116" i="11"/>
  <c r="P62" i="11"/>
  <c r="P47" i="11"/>
  <c r="P95" i="11"/>
  <c r="P50" i="11"/>
  <c r="P125" i="11"/>
  <c r="P76" i="11"/>
  <c r="P48" i="11"/>
  <c r="P92" i="11"/>
  <c r="A23" i="11"/>
  <c r="Q61" i="11" l="1"/>
  <c r="Q44" i="11"/>
  <c r="Q112" i="11"/>
  <c r="Q64" i="11"/>
  <c r="Q34" i="11"/>
  <c r="Q117" i="11"/>
  <c r="Q88" i="11"/>
  <c r="Q46" i="11"/>
  <c r="Q122" i="11"/>
  <c r="Q124" i="11"/>
  <c r="Q75" i="11"/>
  <c r="Q67" i="11"/>
  <c r="Q31" i="11"/>
  <c r="Q73" i="11"/>
  <c r="Q96" i="11"/>
  <c r="Q79" i="11"/>
  <c r="Q107" i="11"/>
  <c r="Q59" i="11"/>
  <c r="Q39" i="11"/>
  <c r="Q49" i="11"/>
  <c r="Q69" i="11"/>
  <c r="Q60" i="11"/>
  <c r="Q53" i="11"/>
  <c r="Q66" i="11"/>
  <c r="Q43" i="11"/>
  <c r="Q71" i="11"/>
  <c r="Q98" i="11"/>
  <c r="Q97" i="11"/>
  <c r="Q68" i="11"/>
  <c r="Q23" i="11"/>
  <c r="Q102" i="11"/>
  <c r="Q41" i="11"/>
  <c r="Q50" i="11"/>
  <c r="Q62" i="11"/>
  <c r="Q47" i="11"/>
  <c r="Q95" i="11"/>
  <c r="Q125" i="11"/>
  <c r="Q48" i="11"/>
  <c r="Q76" i="11"/>
  <c r="Q92" i="11"/>
  <c r="Q78" i="11"/>
  <c r="Q93" i="11"/>
</calcChain>
</file>

<file path=xl/sharedStrings.xml><?xml version="1.0" encoding="utf-8"?>
<sst xmlns="http://schemas.openxmlformats.org/spreadsheetml/2006/main" count="724" uniqueCount="236">
  <si>
    <t>Title</t>
  </si>
  <si>
    <t>Navigation</t>
  </si>
  <si>
    <t>Content</t>
  </si>
  <si>
    <t>Customization difficulty (1-3)</t>
  </si>
  <si>
    <t>Explanation of sheets</t>
  </si>
  <si>
    <t>How to customize</t>
  </si>
  <si>
    <t>1)</t>
  </si>
  <si>
    <t>2)</t>
  </si>
  <si>
    <t>3)</t>
  </si>
  <si>
    <t>4)</t>
  </si>
  <si>
    <t>5)</t>
  </si>
  <si>
    <t>6)</t>
  </si>
  <si>
    <t>7)</t>
  </si>
  <si>
    <t>8)</t>
  </si>
  <si>
    <t>9)</t>
  </si>
  <si>
    <t>Database</t>
  </si>
  <si>
    <t>XXXXXXXXX</t>
  </si>
  <si>
    <t>XXXXXXXX</t>
  </si>
  <si>
    <t>List 4</t>
  </si>
  <si>
    <t>List 4B</t>
  </si>
  <si>
    <t>List 5</t>
  </si>
  <si>
    <t>List 6</t>
  </si>
  <si>
    <t>List 7</t>
  </si>
  <si>
    <t>Add New Lead</t>
  </si>
  <si>
    <t>Platform List</t>
  </si>
  <si>
    <t>Stages List</t>
  </si>
  <si>
    <t>Services List</t>
  </si>
  <si>
    <t>Facebook</t>
  </si>
  <si>
    <t>Google</t>
  </si>
  <si>
    <t>Porch</t>
  </si>
  <si>
    <t>Angie's List</t>
  </si>
  <si>
    <t>Remodel</t>
  </si>
  <si>
    <t>Roofing</t>
  </si>
  <si>
    <t>Siding</t>
  </si>
  <si>
    <t>Prospect</t>
  </si>
  <si>
    <t>Meeting</t>
  </si>
  <si>
    <t>Quote Sent</t>
  </si>
  <si>
    <t>Paid</t>
  </si>
  <si>
    <t>Add New Ad Spend</t>
  </si>
  <si>
    <t>Date Of Lead</t>
  </si>
  <si>
    <t>Platform</t>
  </si>
  <si>
    <t>Customer Name</t>
  </si>
  <si>
    <t>Email Address</t>
  </si>
  <si>
    <t>Service</t>
  </si>
  <si>
    <t>Stage</t>
  </si>
  <si>
    <t>Closed Date</t>
  </si>
  <si>
    <t>Lead Time (Day)</t>
  </si>
  <si>
    <t>Total Revenue</t>
  </si>
  <si>
    <t>Date Comp</t>
  </si>
  <si>
    <t>Related Ad Cost</t>
  </si>
  <si>
    <t>Date Of Ad</t>
  </si>
  <si>
    <t>Year</t>
  </si>
  <si>
    <t>Month</t>
  </si>
  <si>
    <t>Date Comb</t>
  </si>
  <si>
    <t>Revenue</t>
  </si>
  <si>
    <t>Profit</t>
  </si>
  <si>
    <t>ROI</t>
  </si>
  <si>
    <t>Jan</t>
  </si>
  <si>
    <t>Feb</t>
  </si>
  <si>
    <t>Mar</t>
  </si>
  <si>
    <t>Apr</t>
  </si>
  <si>
    <t>May</t>
  </si>
  <si>
    <t>Jun</t>
  </si>
  <si>
    <t>Jul</t>
  </si>
  <si>
    <t>Aug</t>
  </si>
  <si>
    <t>Sep</t>
  </si>
  <si>
    <t>Oct</t>
  </si>
  <si>
    <t>Nov</t>
  </si>
  <si>
    <t>Dec</t>
  </si>
  <si>
    <t>Cost Spend</t>
  </si>
  <si>
    <t>Ad Name or Code</t>
  </si>
  <si>
    <t>Converting Status</t>
  </si>
  <si>
    <t>Related Ad ROI</t>
  </si>
  <si>
    <t>Related Ad Profit</t>
  </si>
  <si>
    <t>Not Known</t>
  </si>
  <si>
    <t>Ad Code 001</t>
  </si>
  <si>
    <t>Ad Code 002</t>
  </si>
  <si>
    <t>Ad Code 003</t>
  </si>
  <si>
    <t>Ad Code 004</t>
  </si>
  <si>
    <t>Ad Code 005</t>
  </si>
  <si>
    <t>Ad Code 006</t>
  </si>
  <si>
    <t>Ad Code 007</t>
  </si>
  <si>
    <t>Ad Code 008</t>
  </si>
  <si>
    <t>Ad Code 009</t>
  </si>
  <si>
    <t>Ad Code 010</t>
  </si>
  <si>
    <t>Customer 1</t>
  </si>
  <si>
    <t>Customer 2</t>
  </si>
  <si>
    <t>Customer 3</t>
  </si>
  <si>
    <t>Customer 4</t>
  </si>
  <si>
    <t>Customer 5</t>
  </si>
  <si>
    <t>Customer 6</t>
  </si>
  <si>
    <t>Customer 7</t>
  </si>
  <si>
    <t>Customer 8</t>
  </si>
  <si>
    <t>Customer 9</t>
  </si>
  <si>
    <t>Customer 10</t>
  </si>
  <si>
    <t>Customer 11</t>
  </si>
  <si>
    <t>Customer 12</t>
  </si>
  <si>
    <t>Customer 13</t>
  </si>
  <si>
    <t>Customer 14</t>
  </si>
  <si>
    <t>Customer 15</t>
  </si>
  <si>
    <t>Customer 16</t>
  </si>
  <si>
    <t>Customer 17</t>
  </si>
  <si>
    <t>Customer 18</t>
  </si>
  <si>
    <t>Customer 19</t>
  </si>
  <si>
    <t>Customer 20</t>
  </si>
  <si>
    <t>Customer 21</t>
  </si>
  <si>
    <t>Customer 22</t>
  </si>
  <si>
    <t>Customer 23</t>
  </si>
  <si>
    <t>Customer 24</t>
  </si>
  <si>
    <t>Customer 25</t>
  </si>
  <si>
    <t>Customer 26</t>
  </si>
  <si>
    <t>Customer 27</t>
  </si>
  <si>
    <t>Customer 28</t>
  </si>
  <si>
    <t>Customer 29</t>
  </si>
  <si>
    <t>Customer 30</t>
  </si>
  <si>
    <t>Customer 31</t>
  </si>
  <si>
    <t>Customer 32</t>
  </si>
  <si>
    <t>Customer 33</t>
  </si>
  <si>
    <t>Customer 34</t>
  </si>
  <si>
    <t>Customer 35</t>
  </si>
  <si>
    <t>Customer 36</t>
  </si>
  <si>
    <t>Customer 37</t>
  </si>
  <si>
    <t>Customer 38</t>
  </si>
  <si>
    <t>Customer 39</t>
  </si>
  <si>
    <t>Customer 40</t>
  </si>
  <si>
    <t>Customer 41</t>
  </si>
  <si>
    <t>Customer 42</t>
  </si>
  <si>
    <t>Customer 43</t>
  </si>
  <si>
    <t>Customer 44</t>
  </si>
  <si>
    <t>Customer 45</t>
  </si>
  <si>
    <t>Customer 46</t>
  </si>
  <si>
    <t>Customer 47</t>
  </si>
  <si>
    <t>Customer 48</t>
  </si>
  <si>
    <t>Customer 49</t>
  </si>
  <si>
    <t>Customer 50</t>
  </si>
  <si>
    <t>Customer 51</t>
  </si>
  <si>
    <t>Customer 52</t>
  </si>
  <si>
    <t>Customer 53</t>
  </si>
  <si>
    <t>Customer 54</t>
  </si>
  <si>
    <t>Customer 55</t>
  </si>
  <si>
    <t>Customer 56</t>
  </si>
  <si>
    <t>Customer 57</t>
  </si>
  <si>
    <t>Customer 58</t>
  </si>
  <si>
    <t>Customer 59</t>
  </si>
  <si>
    <t>Customer 60</t>
  </si>
  <si>
    <t>Customer 61</t>
  </si>
  <si>
    <t>Customer 62</t>
  </si>
  <si>
    <t>Customer 63</t>
  </si>
  <si>
    <t>Customer 64</t>
  </si>
  <si>
    <t>Customer 65</t>
  </si>
  <si>
    <t>Customer 66</t>
  </si>
  <si>
    <t>Customer 67</t>
  </si>
  <si>
    <t>Customer 68</t>
  </si>
  <si>
    <t>Customer 69</t>
  </si>
  <si>
    <t>Customer 70</t>
  </si>
  <si>
    <t>Customer 71</t>
  </si>
  <si>
    <t>Customer 72</t>
  </si>
  <si>
    <t>Customer 73</t>
  </si>
  <si>
    <t>Customer 74</t>
  </si>
  <si>
    <t>Customer 75</t>
  </si>
  <si>
    <t>Customer 76</t>
  </si>
  <si>
    <t>Customer 77</t>
  </si>
  <si>
    <t>Customer 78</t>
  </si>
  <si>
    <t>Customer 79</t>
  </si>
  <si>
    <t>Customer 80</t>
  </si>
  <si>
    <t>Customer 81</t>
  </si>
  <si>
    <t>Customer 82</t>
  </si>
  <si>
    <t>Customer 83</t>
  </si>
  <si>
    <t>Customer 84</t>
  </si>
  <si>
    <t>Customer 85</t>
  </si>
  <si>
    <t>Customer 86</t>
  </si>
  <si>
    <t>Customer 87</t>
  </si>
  <si>
    <t>Customer 88</t>
  </si>
  <si>
    <t>Customer 89</t>
  </si>
  <si>
    <t>Customer 90</t>
  </si>
  <si>
    <t>Customer 91</t>
  </si>
  <si>
    <t>Customer 92</t>
  </si>
  <si>
    <t>Customer 93</t>
  </si>
  <si>
    <t>Customer 94</t>
  </si>
  <si>
    <t>Customer 95</t>
  </si>
  <si>
    <t>Customer 96</t>
  </si>
  <si>
    <t>Customer 97</t>
  </si>
  <si>
    <t>Customer 98</t>
  </si>
  <si>
    <t>Customer 99</t>
  </si>
  <si>
    <t>Customer 100</t>
  </si>
  <si>
    <t>Customer 101</t>
  </si>
  <si>
    <t>Customer 102</t>
  </si>
  <si>
    <t>Customer 103</t>
  </si>
  <si>
    <t>Customeremailaddress@domain.com</t>
  </si>
  <si>
    <t>Count of Stage</t>
  </si>
  <si>
    <t>Column Labels</t>
  </si>
  <si>
    <t>Total Leads</t>
  </si>
  <si>
    <t>Closed Leads</t>
  </si>
  <si>
    <t>Row Labels</t>
  </si>
  <si>
    <t>Grand Total</t>
  </si>
  <si>
    <t>Count of Converting Status</t>
  </si>
  <si>
    <t>No</t>
  </si>
  <si>
    <t>Yes</t>
  </si>
  <si>
    <t>Average of Lead Time (Day)</t>
  </si>
  <si>
    <t>Monthly Revenue</t>
  </si>
  <si>
    <t>Accumulated Revenue</t>
  </si>
  <si>
    <t>Count of Service</t>
  </si>
  <si>
    <t>Sum of Revenue</t>
  </si>
  <si>
    <t>Average of ROI</t>
  </si>
  <si>
    <t>Sum of Cost Spend</t>
  </si>
  <si>
    <t>ROAS</t>
  </si>
  <si>
    <t>Total Ad Spend</t>
  </si>
  <si>
    <t>Conversion Rate %</t>
  </si>
  <si>
    <t>Leads Raw Data</t>
  </si>
  <si>
    <t>Advertising Spend</t>
  </si>
  <si>
    <t>Record all leads with transaction details. Preview Dashboard showcases marketing KPIs related to your leads and spending.</t>
  </si>
  <si>
    <t>Record advertising spend per platform</t>
  </si>
  <si>
    <t>Record Advertising Platforms, Services and Stages. These fields will be used to populate data on other sheets.</t>
  </si>
  <si>
    <t>With this template, you can measure and evaluate the effectiveness of your Lead Generation marketing activities across platform.</t>
  </si>
  <si>
    <t>Built with a Dynamic Dashboard for showcasing KPIs, ROI and conversion rates of your campaigns.</t>
  </si>
  <si>
    <t>Starting from the Database sheet, record your Advertising Platforms, the Service or Products offered and your preferred Lead Stages</t>
  </si>
  <si>
    <t>In the Advertising Spend sheet, add your Advertising Expenses as often as needed. This will help calculate the effectiveness of each ad platform.</t>
  </si>
  <si>
    <t xml:space="preserve">The Revenue, Profit and ROI fields contain formulas and will calculate automatically based on your other inputs. </t>
  </si>
  <si>
    <t xml:space="preserve">Move to the Leads Raw Data sheet. Record individual leads and related data. Lead Time, Converting Status and Total Revenue will calculate automatically according to your inputs. </t>
  </si>
  <si>
    <t>Update Lead Status as necessary so the Lead Pipeline graphic is accurate.</t>
  </si>
  <si>
    <t>Click the Show Dashboard button in the top left hand corner to see KPIs related to your lead generation efforts</t>
  </si>
  <si>
    <t>To ensure your data is accurately reflected on the Dashboard, click the Refresh Data button</t>
  </si>
  <si>
    <t>Use dynamic slicers to view, analyze and segment your lead data</t>
  </si>
  <si>
    <t>To maximize display, click the Full Screen button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</si>
  <si>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</si>
  <si>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</si>
  <si>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</si>
  <si>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</si>
  <si>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</si>
  <si>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</si>
  <si>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</si>
  <si>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</si>
  <si>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</si>
  <si>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</si>
  <si>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</si>
  <si>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Lead Generation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</si>
</sst>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409]d\-mmm\-yy;@"/>
    <numFmt numFmtId="166" formatCode="&quot;$&quot;#,##0"/>
  </numFmts>
  <fonts count="27"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0"/>
      <color rgb="FF50B47F"/>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1"/>
      <name val="Calibri"/>
      <family val="2"/>
      <scheme val="minor"/>
    </font>
    <font>
      <sz val="28"/>
      <color theme="1" tint="0.34998626667073579"/>
      <name val="Arial"/>
      <family val="2"/>
    </font>
    <font>
      <sz val="24"/>
      <color theme="1" tint="0.34998626667073579"/>
      <name val="Arial"/>
      <family val="2"/>
    </font>
  </fonts>
  <fills count="9">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8FCFAD"/>
        <bgColor indexed="64"/>
      </patternFill>
    </fill>
  </fills>
  <borders count="10">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9" fontId="3" fillId="0" borderId="0" applyFont="0" applyFill="0" applyBorder="0" applyAlignment="0" applyProtection="0"/>
  </cellStyleXfs>
  <cellXfs count="81">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0" fillId="2" borderId="0" xfId="2" applyFont="1" applyFill="1"/>
    <xf numFmtId="0" fontId="4" fillId="2" borderId="0" xfId="2" applyFont="1" applyFill="1"/>
    <xf numFmtId="0" fontId="11" fillId="2" borderId="0" xfId="1" applyFont="1" applyFill="1"/>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0" fillId="3" borderId="0" xfId="0" applyFill="1"/>
    <xf numFmtId="0" fontId="7" fillId="0" borderId="0" xfId="1"/>
    <xf numFmtId="0" fontId="0" fillId="3" borderId="0" xfId="0" applyFill="1" applyAlignment="1">
      <alignment horizontal="center" vertical="center" wrapText="1"/>
    </xf>
    <xf numFmtId="0" fontId="0" fillId="0" borderId="0" xfId="0" applyAlignment="1">
      <alignment horizontal="center" vertical="center" wrapText="1"/>
    </xf>
    <xf numFmtId="0" fontId="17" fillId="3" borderId="0" xfId="0" applyFont="1" applyFill="1"/>
    <xf numFmtId="0" fontId="18" fillId="4" borderId="1"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20" fillId="0" borderId="0" xfId="0" applyFont="1" applyAlignment="1">
      <alignment vertical="center"/>
    </xf>
    <xf numFmtId="0" fontId="0" fillId="0" borderId="0" xfId="0" applyAlignment="1" applyProtection="1">
      <alignment horizontal="center" vertical="center" wrapText="1"/>
      <protection locked="0"/>
    </xf>
    <xf numFmtId="0" fontId="14" fillId="0" borderId="0" xfId="1" applyNumberFormat="1" applyFont="1" applyFill="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lignment vertical="center"/>
    </xf>
    <xf numFmtId="0" fontId="18" fillId="0" borderId="0" xfId="0" applyFont="1" applyAlignment="1">
      <alignment horizontal="center" vertical="center" wrapText="1"/>
    </xf>
    <xf numFmtId="0" fontId="19" fillId="3" borderId="0" xfId="0" applyFont="1" applyFill="1"/>
    <xf numFmtId="0" fontId="10" fillId="8" borderId="3" xfId="0" applyFont="1" applyFill="1" applyBorder="1" applyAlignment="1">
      <alignment horizontal="center" vertical="center" wrapText="1"/>
    </xf>
    <xf numFmtId="165" fontId="0" fillId="0" borderId="4" xfId="0" applyNumberFormat="1" applyBorder="1" applyAlignment="1">
      <alignment horizontal="center" vertical="center" wrapText="1"/>
    </xf>
    <xf numFmtId="0" fontId="0" fillId="0" borderId="4" xfId="0" applyBorder="1" applyAlignment="1">
      <alignment horizontal="center" vertical="center" wrapText="1"/>
    </xf>
    <xf numFmtId="0" fontId="7" fillId="0" borderId="4" xfId="1" applyNumberFormat="1" applyFill="1" applyBorder="1" applyAlignment="1">
      <alignment horizontal="center" vertical="center" wrapText="1"/>
    </xf>
    <xf numFmtId="0" fontId="24" fillId="0" borderId="0" xfId="10" applyFont="1" applyFill="1" applyAlignment="1" applyProtection="1">
      <alignment horizontal="center" vertical="center" wrapText="1"/>
      <protection locked="0"/>
    </xf>
    <xf numFmtId="0" fontId="24" fillId="0" borderId="0" xfId="12" applyFont="1" applyFill="1" applyAlignment="1" applyProtection="1">
      <alignment horizontal="center" vertical="center" wrapText="1"/>
      <protection locked="0"/>
    </xf>
    <xf numFmtId="0" fontId="24" fillId="0" borderId="0" xfId="11" applyFont="1" applyFill="1" applyAlignment="1" applyProtection="1">
      <alignment horizontal="center" vertical="center" wrapText="1"/>
      <protection locked="0"/>
    </xf>
    <xf numFmtId="0" fontId="17" fillId="0" borderId="0" xfId="0" applyFont="1" applyAlignment="1">
      <alignment vertical="center"/>
    </xf>
    <xf numFmtId="0" fontId="10" fillId="2"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17" fillId="0" borderId="0" xfId="0" applyFont="1"/>
    <xf numFmtId="166" fontId="0" fillId="0" borderId="4" xfId="0" applyNumberFormat="1" applyBorder="1" applyAlignment="1">
      <alignment horizontal="center" vertical="center" wrapText="1"/>
    </xf>
    <xf numFmtId="0" fontId="3" fillId="0" borderId="4" xfId="1" applyNumberFormat="1" applyFont="1" applyFill="1" applyBorder="1" applyAlignment="1">
      <alignment horizontal="center" vertical="center" wrapText="1"/>
    </xf>
    <xf numFmtId="166" fontId="0" fillId="3" borderId="4" xfId="0" applyNumberFormat="1" applyFill="1" applyBorder="1" applyAlignment="1">
      <alignment horizontal="center" vertical="center" wrapText="1"/>
    </xf>
    <xf numFmtId="9" fontId="3" fillId="3" borderId="4" xfId="13" applyFont="1" applyFill="1" applyBorder="1" applyAlignment="1">
      <alignment horizontal="center" vertical="center" wrapText="1"/>
    </xf>
    <xf numFmtId="166" fontId="14" fillId="3" borderId="4" xfId="0" applyNumberFormat="1" applyFont="1" applyFill="1" applyBorder="1" applyAlignment="1">
      <alignment horizontal="center" vertical="center" wrapText="1"/>
    </xf>
    <xf numFmtId="9" fontId="0" fillId="3" borderId="4" xfId="13" applyFont="1" applyFill="1" applyBorder="1" applyAlignment="1">
      <alignment horizontal="center" vertical="center" wrapText="1"/>
    </xf>
    <xf numFmtId="165" fontId="0" fillId="0" borderId="5" xfId="0" applyNumberFormat="1" applyBorder="1" applyAlignment="1">
      <alignment horizontal="center" vertical="center" wrapText="1"/>
    </xf>
    <xf numFmtId="0" fontId="0" fillId="3" borderId="5" xfId="0" applyFill="1" applyBorder="1" applyAlignment="1">
      <alignment horizontal="center" vertical="center" wrapText="1"/>
    </xf>
    <xf numFmtId="0" fontId="0" fillId="0" borderId="5" xfId="0" applyBorder="1" applyAlignment="1">
      <alignment horizontal="center" vertical="center" wrapText="1"/>
    </xf>
    <xf numFmtId="166" fontId="0" fillId="0" borderId="5" xfId="0" applyNumberFormat="1" applyBorder="1" applyAlignment="1">
      <alignment horizontal="center" vertical="center" wrapText="1"/>
    </xf>
    <xf numFmtId="166" fontId="0" fillId="3" borderId="5" xfId="0" applyNumberFormat="1" applyFill="1" applyBorder="1" applyAlignment="1">
      <alignment horizontal="center" vertical="center" wrapText="1"/>
    </xf>
    <xf numFmtId="9" fontId="0" fillId="3" borderId="5" xfId="13" applyFont="1" applyFill="1" applyBorder="1" applyAlignment="1">
      <alignment horizontal="center" vertical="center" wrapText="1"/>
    </xf>
    <xf numFmtId="0" fontId="0" fillId="0" borderId="4" xfId="1" applyNumberFormat="1" applyFont="1" applyFill="1" applyBorder="1" applyAlignment="1">
      <alignment horizontal="center" vertical="center" wrapText="1"/>
    </xf>
    <xf numFmtId="0" fontId="0" fillId="0" borderId="0" xfId="0" pivotButton="1"/>
    <xf numFmtId="0" fontId="4" fillId="8" borderId="6" xfId="0" applyFont="1" applyFill="1" applyBorder="1" applyAlignment="1">
      <alignment horizontal="center" vertical="center"/>
    </xf>
    <xf numFmtId="0" fontId="0" fillId="0" borderId="0" xfId="0" applyAlignment="1">
      <alignment horizontal="left"/>
    </xf>
    <xf numFmtId="1" fontId="0" fillId="0" borderId="0" xfId="0" applyNumberFormat="1"/>
    <xf numFmtId="166" fontId="26" fillId="0" borderId="6" xfId="0" applyNumberFormat="1" applyFont="1" applyBorder="1" applyAlignment="1">
      <alignment vertical="center"/>
    </xf>
    <xf numFmtId="9" fontId="25" fillId="0" borderId="6" xfId="13" applyFont="1" applyFill="1" applyBorder="1" applyAlignment="1">
      <alignment vertical="center"/>
    </xf>
    <xf numFmtId="0" fontId="18" fillId="0" borderId="6" xfId="0" applyFont="1" applyBorder="1" applyAlignment="1">
      <alignment horizontal="center" vertical="center"/>
    </xf>
    <xf numFmtId="0" fontId="0" fillId="0" borderId="6" xfId="0" applyBorder="1" applyAlignment="1">
      <alignment vertical="center"/>
    </xf>
    <xf numFmtId="166" fontId="0" fillId="0" borderId="0" xfId="0" applyNumberFormat="1"/>
    <xf numFmtId="9" fontId="0" fillId="0" borderId="0" xfId="0" applyNumberFormat="1"/>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166" fontId="26" fillId="3" borderId="7" xfId="0" applyNumberFormat="1" applyFont="1" applyFill="1" applyBorder="1" applyAlignment="1">
      <alignment horizontal="center" vertical="center"/>
    </xf>
    <xf numFmtId="166" fontId="26" fillId="3" borderId="8" xfId="0" applyNumberFormat="1" applyFont="1" applyFill="1" applyBorder="1" applyAlignment="1">
      <alignment horizontal="center" vertical="center"/>
    </xf>
    <xf numFmtId="166" fontId="26" fillId="3" borderId="9" xfId="0" applyNumberFormat="1" applyFont="1" applyFill="1" applyBorder="1" applyAlignment="1">
      <alignment horizontal="center" vertical="center"/>
    </xf>
    <xf numFmtId="2" fontId="26" fillId="3" borderId="7" xfId="0" applyNumberFormat="1" applyFont="1" applyFill="1" applyBorder="1" applyAlignment="1">
      <alignment horizontal="center" vertical="center"/>
    </xf>
    <xf numFmtId="2" fontId="26" fillId="3" borderId="8" xfId="0" applyNumberFormat="1" applyFont="1" applyFill="1" applyBorder="1" applyAlignment="1">
      <alignment horizontal="center" vertical="center"/>
    </xf>
    <xf numFmtId="2" fontId="26" fillId="3" borderId="9" xfId="0" applyNumberFormat="1" applyFont="1" applyFill="1" applyBorder="1" applyAlignment="1">
      <alignment horizontal="center" vertical="center"/>
    </xf>
    <xf numFmtId="9" fontId="25" fillId="3" borderId="7" xfId="13" applyFont="1" applyFill="1" applyBorder="1" applyAlignment="1">
      <alignment horizontal="center" vertical="center"/>
    </xf>
    <xf numFmtId="9" fontId="25" fillId="3" borderId="8" xfId="13" applyFont="1" applyFill="1" applyBorder="1" applyAlignment="1">
      <alignment horizontal="center" vertical="center"/>
    </xf>
    <xf numFmtId="9" fontId="25" fillId="3" borderId="9" xfId="13" applyFont="1" applyFill="1" applyBorder="1" applyAlignment="1">
      <alignment horizontal="center" vertical="center"/>
    </xf>
    <xf numFmtId="0" fontId="25" fillId="3" borderId="7" xfId="0" applyFont="1" applyFill="1" applyBorder="1" applyAlignment="1">
      <alignment horizontal="center" vertical="center"/>
    </xf>
    <xf numFmtId="0" fontId="25" fillId="3" borderId="8" xfId="0" applyFont="1" applyFill="1" applyBorder="1" applyAlignment="1">
      <alignment horizontal="center" vertical="center"/>
    </xf>
    <xf numFmtId="0" fontId="25" fillId="3" borderId="9" xfId="0" applyFont="1" applyFill="1" applyBorder="1" applyAlignment="1">
      <alignment horizontal="center" vertical="center"/>
    </xf>
    <xf numFmtId="0" fontId="25" fillId="0" borderId="7" xfId="0" applyFont="1" applyBorder="1" applyAlignment="1">
      <alignment horizontal="center" vertical="center"/>
    </xf>
    <xf numFmtId="0" fontId="25" fillId="0" borderId="8" xfId="0" applyFont="1" applyBorder="1" applyAlignment="1">
      <alignment horizontal="center" vertical="center"/>
    </xf>
    <xf numFmtId="0" fontId="25" fillId="0" borderId="9" xfId="0" applyFont="1" applyBorder="1" applyAlignment="1">
      <alignment horizontal="center" vertical="center"/>
    </xf>
    <xf numFmtId="0" fontId="19" fillId="3" borderId="0" xfId="0" applyFont="1" applyFill="1" applyAlignment="1">
      <alignment horizontal="center"/>
    </xf>
  </cellXfs>
  <cellStyles count="14">
    <cellStyle name="Bad" xfId="11" builtinId="27"/>
    <cellStyle name="Comma 2" xfId="6" xr:uid="{70B95B68-42E5-4134-B60C-D53D63EA8C64}"/>
    <cellStyle name="Comma 3" xfId="9" xr:uid="{E6060E65-816D-42A3-BC2B-BC7AE08DF09F}"/>
    <cellStyle name="Good" xfId="10" builtinId="26"/>
    <cellStyle name="Hyperlink" xfId="1" builtinId="8"/>
    <cellStyle name="Neutral" xfId="12"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3" builtinId="5"/>
    <cellStyle name="Percent 2" xfId="5" xr:uid="{1D541CDC-ACE8-4B54-AB6D-F143BBC82663}"/>
    <cellStyle name="Percent 3" xfId="8" xr:uid="{C04F5020-2218-4635-A7A5-19093E1C865B}"/>
  </cellStyles>
  <dxfs count="55">
    <dxf>
      <font>
        <strike val="0"/>
        <outline val="0"/>
        <shadow val="0"/>
        <u val="none"/>
        <vertAlign val="baseline"/>
        <sz val="10"/>
        <color theme="1"/>
        <name val="Arial"/>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quot;$&quot;#,##0"/>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409]d\-mmm\-yy;@"/>
      <fill>
        <patternFill patternType="none">
          <fgColor indexed="64"/>
          <bgColor indexed="65"/>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165" formatCode="[$-409]d\-mmm\-yy;@"/>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rgb="FFD9D9D9"/>
        </top>
      </border>
    </dxf>
    <dxf>
      <border diagonalUp="0" diagonalDown="0">
        <left style="thin">
          <color rgb="FFD9D9D9"/>
        </left>
        <right style="thin">
          <color rgb="FFD9D9D9"/>
        </right>
        <top style="thin">
          <color rgb="FFD9D9D9"/>
        </top>
        <bottom style="thin">
          <color rgb="FFD9D9D9"/>
        </bottom>
      </border>
    </dxf>
    <dxf>
      <numFmt numFmtId="0" formatCode="General"/>
      <fill>
        <patternFill patternType="none">
          <fgColor rgb="FF000000"/>
          <bgColor auto="1"/>
        </patternFill>
      </fill>
      <alignment horizontal="general" vertical="center" textRotation="0" wrapText="1" indent="0" justifyLastLine="0" shrinkToFit="0" readingOrder="0"/>
    </dxf>
    <dxf>
      <border>
        <bottom style="thin">
          <color rgb="FFD9D9D9"/>
        </bottom>
      </border>
    </dxf>
    <dxf>
      <font>
        <b val="0"/>
        <i val="0"/>
        <strike val="0"/>
        <condense val="0"/>
        <extend val="0"/>
        <outline val="0"/>
        <shadow val="0"/>
        <u val="none"/>
        <vertAlign val="baseline"/>
        <sz val="12"/>
        <color theme="0"/>
        <name val="Arial"/>
        <family val="2"/>
        <scheme val="none"/>
      </font>
      <fill>
        <patternFill patternType="solid">
          <fgColor indexed="64"/>
          <bgColor rgb="FF8FCFAD"/>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color rgb="FF9C0006"/>
      </font>
    </dxf>
    <dxf>
      <font>
        <color rgb="FF9C0006"/>
      </font>
    </dxf>
    <dxf>
      <numFmt numFmtId="1" formatCode="0"/>
    </dxf>
    <dxf>
      <numFmt numFmtId="1" formatCode="0"/>
    </dxf>
    <dxf>
      <numFmt numFmtId="166" formatCode="&quot;$&quot;#,##0"/>
    </dxf>
    <dxf>
      <numFmt numFmtId="166" formatCode="&quot;$&quot;#,##0"/>
    </dxf>
    <dxf>
      <numFmt numFmtId="13" formatCode="0%"/>
    </dxf>
    <dxf>
      <font>
        <strike val="0"/>
        <outline val="0"/>
        <shadow val="0"/>
        <u val="none"/>
        <vertAlign val="baseline"/>
        <sz val="10"/>
        <color auto="1"/>
        <name val="Arial"/>
        <family val="2"/>
        <scheme val="none"/>
      </font>
      <numFmt numFmtId="166"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quot;$&quot;#,##0"/>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409]d\-mmm\-yy;@"/>
      <fill>
        <patternFill patternType="none">
          <fgColor indexed="64"/>
          <bgColor auto="1"/>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165" formatCode="[$-409]d\-mmm\-yy;@"/>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numFmt numFmtId="0" formatCode="General"/>
      <fill>
        <patternFill patternType="none">
          <fgColor indexed="64"/>
          <bgColor auto="1"/>
        </patternFill>
      </fill>
      <alignment horizontal="general" vertical="center" textRotation="0" wrapText="1" indent="0" justifyLastLine="0" shrinkToFit="0" readingOrder="0"/>
    </dxf>
    <dxf>
      <border>
        <bottom style="thin">
          <color theme="0" tint="-0.14993743705557422"/>
        </bottom>
      </border>
    </dxf>
    <dxf>
      <font>
        <b val="0"/>
        <i val="0"/>
        <strike val="0"/>
        <condense val="0"/>
        <extend val="0"/>
        <outline val="0"/>
        <shadow val="0"/>
        <u val="none"/>
        <vertAlign val="baseline"/>
        <sz val="12"/>
        <color theme="0"/>
        <name val="Arial"/>
        <family val="2"/>
        <scheme val="none"/>
      </font>
      <fill>
        <patternFill patternType="solid">
          <fgColor indexed="64"/>
          <bgColor rgb="FF8FCFAD"/>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color rgb="FF006100"/>
      </font>
      <fill>
        <patternFill>
          <bgColor rgb="FFC6EFCE"/>
        </patternFill>
      </fill>
    </dxf>
    <dxf>
      <font>
        <color rgb="FF9C0006"/>
      </font>
      <fill>
        <patternFill>
          <bgColor rgb="FFFFC7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5" defaultTableStyle="TableStyleMedium2" defaultPivotStyle="PivotStyleLight16">
    <tableStyle name="Invisible" pivot="0" table="0" count="0" xr9:uid="{68C37234-7783-4B42-AAC1-3DA730DAF9E4}"/>
    <tableStyle name="PivotTable Style 1" table="0" count="6" xr9:uid="{3831004B-067D-418F-BD50-A3986E0D4865}">
      <tableStyleElement type="wholeTable" dxfId="54"/>
      <tableStyleElement type="headerRow" dxfId="53"/>
      <tableStyleElement type="totalRow" dxfId="52"/>
      <tableStyleElement type="lastColumn" dxfId="51"/>
      <tableStyleElement type="pageFieldLabels" dxfId="50"/>
      <tableStyleElement type="pageFieldValues" dxfId="49"/>
    </tableStyle>
    <tableStyle name="Slicer Style 1" pivot="0" table="0" count="8" xr9:uid="{6B0103B1-AE5E-4E9B-A35E-CDD51150C899}">
      <tableStyleElement type="wholeTable" dxfId="48"/>
    </tableStyle>
    <tableStyle name="Slicer Style 1 2" pivot="0" table="0" count="8" xr9:uid="{121112F6-CD7D-4975-B100-08E955851BB0}">
      <tableStyleElement type="wholeTable" dxfId="47"/>
    </tableStyle>
    <tableStyle name="Timeline Style 1" pivot="0" table="0" count="8" xr9:uid="{E7FBEFCC-9E91-45D6-9FD4-D3137AAC2CB6}">
      <tableStyleElement type="wholeTable" dxfId="46"/>
      <tableStyleElement type="headerRow" dxfId="45"/>
    </tableStyle>
  </tableStyles>
  <colors>
    <mruColors>
      <color rgb="FF8FCFAD"/>
      <color rgb="FF50B47F"/>
      <color rgb="FF8A0000"/>
      <color rgb="FFF74F4F"/>
      <color rgb="FFFF6565"/>
      <color rgb="FFFF6161"/>
      <color rgb="FFFF5353"/>
      <color rgb="FFFF9797"/>
      <color rgb="FFFF3B3B"/>
      <color rgb="FFFFF5D9"/>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tyles" Target="styles.xml"/><Relationship Id="rId25"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5.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ustomXml" Target="../customXml/item4.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[Lead Generation Analysis.xlsm]Sheet1!pipeline</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t>Leads Status Pipeline</a:t>
            </a:r>
          </a:p>
        </c:rich>
      </c:tx>
      <c:layout>
        <c:manualLayout>
          <c:xMode val="edge"/>
          <c:yMode val="edge"/>
          <c:x val="0.30209731848035126"/>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9"/>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solidFill>
            <a:srgbClr val="8FCFAD"/>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880445566313781E-2"/>
          <c:y val="8.0835777880706089E-2"/>
          <c:w val="0.90427432216905901"/>
          <c:h val="0.77766414492306113"/>
        </c:manualLayout>
      </c:layout>
      <c:barChart>
        <c:barDir val="bar"/>
        <c:grouping val="percentStacked"/>
        <c:varyColors val="0"/>
        <c:ser>
          <c:idx val="0"/>
          <c:order val="0"/>
          <c:tx>
            <c:strRef>
              <c:f>Sheet1!$C$4:$C$5</c:f>
              <c:strCache>
                <c:ptCount val="1"/>
                <c:pt idx="0">
                  <c:v>Prospect</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Sheet1!$C$6</c:f>
              <c:numCache>
                <c:formatCode>General</c:formatCode>
                <c:ptCount val="1"/>
                <c:pt idx="0">
                  <c:v>25</c:v>
                </c:pt>
              </c:numCache>
            </c:numRef>
          </c:val>
          <c:extLst>
            <c:ext xmlns:c16="http://schemas.microsoft.com/office/drawing/2014/chart" uri="{C3380CC4-5D6E-409C-BE32-E72D297353CC}">
              <c16:uniqueId val="{00000000-7DD9-445D-8E58-DDE2DA32A665}"/>
            </c:ext>
          </c:extLst>
        </c:ser>
        <c:ser>
          <c:idx val="1"/>
          <c:order val="1"/>
          <c:tx>
            <c:strRef>
              <c:f>Sheet1!$D$4:$D$5</c:f>
              <c:strCache>
                <c:ptCount val="1"/>
                <c:pt idx="0">
                  <c:v>Meeting</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Sheet1!$D$6</c:f>
              <c:numCache>
                <c:formatCode>General</c:formatCode>
                <c:ptCount val="1"/>
                <c:pt idx="0">
                  <c:v>22</c:v>
                </c:pt>
              </c:numCache>
            </c:numRef>
          </c:val>
          <c:extLst>
            <c:ext xmlns:c16="http://schemas.microsoft.com/office/drawing/2014/chart" uri="{C3380CC4-5D6E-409C-BE32-E72D297353CC}">
              <c16:uniqueId val="{00000001-A040-4392-9F5E-27DB0464E4B7}"/>
            </c:ext>
          </c:extLst>
        </c:ser>
        <c:ser>
          <c:idx val="2"/>
          <c:order val="2"/>
          <c:tx>
            <c:strRef>
              <c:f>Sheet1!$E$4:$E$5</c:f>
              <c:strCache>
                <c:ptCount val="1"/>
                <c:pt idx="0">
                  <c:v>Quote Sent</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Sheet1!$E$6</c:f>
              <c:numCache>
                <c:formatCode>General</c:formatCode>
                <c:ptCount val="1"/>
                <c:pt idx="0">
                  <c:v>25</c:v>
                </c:pt>
              </c:numCache>
            </c:numRef>
          </c:val>
          <c:extLst>
            <c:ext xmlns:c16="http://schemas.microsoft.com/office/drawing/2014/chart" uri="{C3380CC4-5D6E-409C-BE32-E72D297353CC}">
              <c16:uniqueId val="{00000003-2AFE-475C-8059-CB43DC85E856}"/>
            </c:ext>
          </c:extLst>
        </c:ser>
        <c:ser>
          <c:idx val="3"/>
          <c:order val="3"/>
          <c:tx>
            <c:strRef>
              <c:f>Sheet1!$F$4:$F$5</c:f>
              <c:strCache>
                <c:ptCount val="1"/>
                <c:pt idx="0">
                  <c:v>Paid</c:v>
                </c:pt>
              </c:strCache>
            </c:strRef>
          </c:tx>
          <c:spPr>
            <a:solidFill>
              <a:srgbClr val="8FCFAD"/>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Sheet1!$F$6</c:f>
              <c:numCache>
                <c:formatCode>General</c:formatCode>
                <c:ptCount val="1"/>
                <c:pt idx="0">
                  <c:v>31</c:v>
                </c:pt>
              </c:numCache>
            </c:numRef>
          </c:val>
          <c:extLst>
            <c:ext xmlns:c16="http://schemas.microsoft.com/office/drawing/2014/chart" uri="{C3380CC4-5D6E-409C-BE32-E72D297353CC}">
              <c16:uniqueId val="{00000004-2AFE-475C-8059-CB43DC85E856}"/>
            </c:ext>
          </c:extLst>
        </c:ser>
        <c:dLbls>
          <c:dLblPos val="ctr"/>
          <c:showLegendKey val="0"/>
          <c:showVal val="1"/>
          <c:showCatName val="0"/>
          <c:showSerName val="0"/>
          <c:showPercent val="0"/>
          <c:showBubbleSize val="0"/>
        </c:dLbls>
        <c:gapWidth val="91"/>
        <c:overlap val="50"/>
        <c:axId val="2085438271"/>
        <c:axId val="869265487"/>
      </c:barChart>
      <c:catAx>
        <c:axId val="2085438271"/>
        <c:scaling>
          <c:orientation val="minMax"/>
        </c:scaling>
        <c:delete val="1"/>
        <c:axPos val="l"/>
        <c:numFmt formatCode="General" sourceLinked="1"/>
        <c:majorTickMark val="none"/>
        <c:minorTickMark val="none"/>
        <c:tickLblPos val="nextTo"/>
        <c:crossAx val="869265487"/>
        <c:crosses val="autoZero"/>
        <c:auto val="1"/>
        <c:lblAlgn val="ctr"/>
        <c:lblOffset val="100"/>
        <c:noMultiLvlLbl val="0"/>
      </c:catAx>
      <c:valAx>
        <c:axId val="8692654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085438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[Lead Generation Analysis.xlsm]Sheet1!monthly revenue</c:name>
    <c:fmtId val="2"/>
  </c:pivotSource>
  <c:chart>
    <c:autoTitleDeleted val="0"/>
    <c:pivotFmts>
      <c:pivotFmt>
        <c:idx val="0"/>
        <c:spPr>
          <a:solidFill>
            <a:schemeClr val="accent1"/>
          </a:solidFill>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rgbClr val="50B47F"/>
              </a:gs>
              <a:gs pos="74000">
                <a:srgbClr val="8FCFAD"/>
              </a:gs>
              <a:gs pos="100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50B47F"/>
              </a:gs>
              <a:gs pos="74000">
                <a:srgbClr val="8FCFAD"/>
              </a:gs>
              <a:gs pos="100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50B47F"/>
              </a:gs>
              <a:gs pos="74000">
                <a:srgbClr val="8FCFAD"/>
              </a:gs>
              <a:gs pos="100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621656335511254E-2"/>
          <c:y val="9.1097308488612833E-2"/>
          <c:w val="0.90737834366448877"/>
          <c:h val="0.78777840269966259"/>
        </c:manualLayout>
      </c:layout>
      <c:areaChart>
        <c:grouping val="standard"/>
        <c:varyColors val="0"/>
        <c:ser>
          <c:idx val="1"/>
          <c:order val="1"/>
          <c:tx>
            <c:strRef>
              <c:f>Sheet1!$V$4</c:f>
              <c:strCache>
                <c:ptCount val="1"/>
                <c:pt idx="0">
                  <c:v>Accumulated Revenue</c:v>
                </c:pt>
              </c:strCache>
            </c:strRef>
          </c:tx>
          <c:spPr>
            <a:gradFill>
              <a:gsLst>
                <a:gs pos="0">
                  <a:srgbClr val="50B47F"/>
                </a:gs>
                <a:gs pos="74000">
                  <a:srgbClr val="8FCFAD"/>
                </a:gs>
                <a:gs pos="100000">
                  <a:schemeClr val="accent4">
                    <a:lumMod val="20000"/>
                    <a:lumOff val="80000"/>
                  </a:schemeClr>
                </a:gs>
              </a:gsLst>
              <a:lin ang="5400000" scaled="1"/>
            </a:gradFill>
            <a:ln>
              <a:noFill/>
            </a:ln>
            <a:effectLst/>
          </c:spPr>
          <c:cat>
            <c:strRef>
              <c:f>Sheet1!$T$5:$T$11</c:f>
              <c:strCache>
                <c:ptCount val="6"/>
                <c:pt idx="0">
                  <c:v>Jan</c:v>
                </c:pt>
                <c:pt idx="1">
                  <c:v>Feb</c:v>
                </c:pt>
                <c:pt idx="2">
                  <c:v>Mar</c:v>
                </c:pt>
                <c:pt idx="3">
                  <c:v>Oct</c:v>
                </c:pt>
                <c:pt idx="4">
                  <c:v>Nov</c:v>
                </c:pt>
                <c:pt idx="5">
                  <c:v>Dec</c:v>
                </c:pt>
              </c:strCache>
            </c:strRef>
          </c:cat>
          <c:val>
            <c:numRef>
              <c:f>Sheet1!$V$5:$V$11</c:f>
              <c:numCache>
                <c:formatCode>"$"#,##0</c:formatCode>
                <c:ptCount val="6"/>
                <c:pt idx="0">
                  <c:v>2930</c:v>
                </c:pt>
                <c:pt idx="1">
                  <c:v>3680</c:v>
                </c:pt>
                <c:pt idx="2">
                  <c:v>3680</c:v>
                </c:pt>
                <c:pt idx="3">
                  <c:v>5210</c:v>
                </c:pt>
                <c:pt idx="4">
                  <c:v>6630</c:v>
                </c:pt>
                <c:pt idx="5">
                  <c:v>8740</c:v>
                </c:pt>
              </c:numCache>
            </c:numRef>
          </c:val>
          <c:extLst>
            <c:ext xmlns:c16="http://schemas.microsoft.com/office/drawing/2014/chart" uri="{C3380CC4-5D6E-409C-BE32-E72D297353CC}">
              <c16:uniqueId val="{00000000-22D0-49F9-9D4F-4CA6E3C64BFD}"/>
            </c:ext>
          </c:extLst>
        </c:ser>
        <c:dLbls>
          <c:showLegendKey val="0"/>
          <c:showVal val="0"/>
          <c:showCatName val="0"/>
          <c:showSerName val="0"/>
          <c:showPercent val="0"/>
          <c:showBubbleSize val="0"/>
        </c:dLbls>
        <c:axId val="2105322415"/>
        <c:axId val="910643519"/>
      </c:areaChart>
      <c:lineChart>
        <c:grouping val="standard"/>
        <c:varyColors val="0"/>
        <c:ser>
          <c:idx val="0"/>
          <c:order val="0"/>
          <c:tx>
            <c:strRef>
              <c:f>Sheet1!$U$4</c:f>
              <c:strCache>
                <c:ptCount val="1"/>
                <c:pt idx="0">
                  <c:v>Monthly Revenue</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Sheet1!$T$5:$T$11</c:f>
              <c:strCache>
                <c:ptCount val="6"/>
                <c:pt idx="0">
                  <c:v>Jan</c:v>
                </c:pt>
                <c:pt idx="1">
                  <c:v>Feb</c:v>
                </c:pt>
                <c:pt idx="2">
                  <c:v>Mar</c:v>
                </c:pt>
                <c:pt idx="3">
                  <c:v>Oct</c:v>
                </c:pt>
                <c:pt idx="4">
                  <c:v>Nov</c:v>
                </c:pt>
                <c:pt idx="5">
                  <c:v>Dec</c:v>
                </c:pt>
              </c:strCache>
            </c:strRef>
          </c:cat>
          <c:val>
            <c:numRef>
              <c:f>Sheet1!$U$5:$U$11</c:f>
              <c:numCache>
                <c:formatCode>"$"#,##0</c:formatCode>
                <c:ptCount val="6"/>
                <c:pt idx="0">
                  <c:v>2930</c:v>
                </c:pt>
                <c:pt idx="1">
                  <c:v>750</c:v>
                </c:pt>
                <c:pt idx="3">
                  <c:v>1530</c:v>
                </c:pt>
                <c:pt idx="4">
                  <c:v>1420</c:v>
                </c:pt>
                <c:pt idx="5">
                  <c:v>2110</c:v>
                </c:pt>
              </c:numCache>
            </c:numRef>
          </c:val>
          <c:smooth val="0"/>
          <c:extLst>
            <c:ext xmlns:c16="http://schemas.microsoft.com/office/drawing/2014/chart" uri="{C3380CC4-5D6E-409C-BE32-E72D297353CC}">
              <c16:uniqueId val="{00000001-22D0-49F9-9D4F-4CA6E3C64BFD}"/>
            </c:ext>
          </c:extLst>
        </c:ser>
        <c:dLbls>
          <c:showLegendKey val="0"/>
          <c:showVal val="0"/>
          <c:showCatName val="0"/>
          <c:showSerName val="0"/>
          <c:showPercent val="0"/>
          <c:showBubbleSize val="0"/>
        </c:dLbls>
        <c:marker val="1"/>
        <c:smooth val="0"/>
        <c:axId val="2120044847"/>
        <c:axId val="681595935"/>
      </c:lineChart>
      <c:catAx>
        <c:axId val="21053224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10643519"/>
        <c:crosses val="autoZero"/>
        <c:auto val="1"/>
        <c:lblAlgn val="ctr"/>
        <c:lblOffset val="100"/>
        <c:noMultiLvlLbl val="0"/>
      </c:catAx>
      <c:valAx>
        <c:axId val="910643519"/>
        <c:scaling>
          <c:orientation val="minMax"/>
        </c:scaling>
        <c:delete val="0"/>
        <c:axPos val="l"/>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322415"/>
        <c:crosses val="autoZero"/>
        <c:crossBetween val="between"/>
      </c:valAx>
      <c:valAx>
        <c:axId val="681595935"/>
        <c:scaling>
          <c:orientation val="minMax"/>
        </c:scaling>
        <c:delete val="1"/>
        <c:axPos val="r"/>
        <c:numFmt formatCode="&quot;$&quot;#,##0" sourceLinked="1"/>
        <c:majorTickMark val="out"/>
        <c:minorTickMark val="none"/>
        <c:tickLblPos val="nextTo"/>
        <c:crossAx val="2120044847"/>
        <c:crosses val="max"/>
        <c:crossBetween val="between"/>
      </c:valAx>
      <c:catAx>
        <c:axId val="2120044847"/>
        <c:scaling>
          <c:orientation val="minMax"/>
        </c:scaling>
        <c:delete val="1"/>
        <c:axPos val="t"/>
        <c:numFmt formatCode="General" sourceLinked="1"/>
        <c:majorTickMark val="out"/>
        <c:minorTickMark val="none"/>
        <c:tickLblPos val="nextTo"/>
        <c:crossAx val="681595935"/>
        <c:crosses val="max"/>
        <c:auto val="1"/>
        <c:lblAlgn val="ctr"/>
        <c:lblOffset val="100"/>
        <c:noMultiLvlLbl val="0"/>
      </c:catAx>
      <c:spPr>
        <a:noFill/>
        <a:ln>
          <a:noFill/>
        </a:ln>
        <a:effectLst/>
      </c:spPr>
    </c:plotArea>
    <c:legend>
      <c:legendPos val="t"/>
      <c:layout>
        <c:manualLayout>
          <c:xMode val="edge"/>
          <c:yMode val="edge"/>
          <c:x val="0.1261746759995063"/>
          <c:y val="0"/>
          <c:w val="0.75207305747896169"/>
          <c:h val="0.134433976895294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[Lead Generation Analysis.xlsm]Sheet1!Close time</c:name>
    <c:fmtId val="2"/>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a:latin typeface="Arial" panose="020B0604020202020204" pitchFamily="34" charset="0"/>
                <a:cs typeface="Arial" panose="020B0604020202020204" pitchFamily="34" charset="0"/>
              </a:rPr>
              <a:t>Average Time To Close Service in Days</a:t>
            </a:r>
          </a:p>
        </c:rich>
      </c:tx>
      <c:layout>
        <c:manualLayout>
          <c:xMode val="edge"/>
          <c:yMode val="edge"/>
          <c:x val="0.26476718005367345"/>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75000"/>
            </a:schemeClr>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345348267192201E-3"/>
          <c:y val="0.1481733991420833"/>
          <c:w val="0.99236528768787269"/>
          <c:h val="0.68503270318564902"/>
        </c:manualLayout>
      </c:layout>
      <c:barChart>
        <c:barDir val="col"/>
        <c:grouping val="clustered"/>
        <c:varyColors val="0"/>
        <c:ser>
          <c:idx val="0"/>
          <c:order val="0"/>
          <c:tx>
            <c:strRef>
              <c:f>Sheet1!$Q$4</c:f>
              <c:strCache>
                <c:ptCount val="1"/>
                <c:pt idx="0">
                  <c:v>Total</c:v>
                </c:pt>
              </c:strCache>
            </c:strRef>
          </c:tx>
          <c:spPr>
            <a:solidFill>
              <a:schemeClr val="bg1">
                <a:lumMod val="75000"/>
              </a:schemeClr>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Sheet1!$P$5:$P$8</c:f>
              <c:strCache>
                <c:ptCount val="3"/>
                <c:pt idx="0">
                  <c:v>Remodel</c:v>
                </c:pt>
                <c:pt idx="1">
                  <c:v>Roofing</c:v>
                </c:pt>
                <c:pt idx="2">
                  <c:v>Siding</c:v>
                </c:pt>
              </c:strCache>
            </c:strRef>
          </c:cat>
          <c:val>
            <c:numRef>
              <c:f>Sheet1!$Q$5:$Q$8</c:f>
              <c:numCache>
                <c:formatCode>0</c:formatCode>
                <c:ptCount val="3"/>
                <c:pt idx="0">
                  <c:v>22.5</c:v>
                </c:pt>
                <c:pt idx="1">
                  <c:v>21.09090909090909</c:v>
                </c:pt>
                <c:pt idx="2">
                  <c:v>21.5</c:v>
                </c:pt>
              </c:numCache>
            </c:numRef>
          </c:val>
          <c:extLst>
            <c:ext xmlns:c16="http://schemas.microsoft.com/office/drawing/2014/chart" uri="{C3380CC4-5D6E-409C-BE32-E72D297353CC}">
              <c16:uniqueId val="{00000000-52FF-4C6B-BC5F-D04A3DB584DB}"/>
            </c:ext>
          </c:extLst>
        </c:ser>
        <c:dLbls>
          <c:dLblPos val="outEnd"/>
          <c:showLegendKey val="0"/>
          <c:showVal val="1"/>
          <c:showCatName val="0"/>
          <c:showSerName val="0"/>
          <c:showPercent val="0"/>
          <c:showBubbleSize val="0"/>
        </c:dLbls>
        <c:gapWidth val="219"/>
        <c:overlap val="-27"/>
        <c:axId val="834887855"/>
        <c:axId val="910645183"/>
      </c:barChart>
      <c:catAx>
        <c:axId val="83488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10645183"/>
        <c:crosses val="autoZero"/>
        <c:auto val="1"/>
        <c:lblAlgn val="ctr"/>
        <c:lblOffset val="100"/>
        <c:noMultiLvlLbl val="0"/>
      </c:catAx>
      <c:valAx>
        <c:axId val="910645183"/>
        <c:scaling>
          <c:orientation val="minMax"/>
        </c:scaling>
        <c:delete val="1"/>
        <c:axPos val="l"/>
        <c:numFmt formatCode="0" sourceLinked="1"/>
        <c:majorTickMark val="none"/>
        <c:minorTickMark val="none"/>
        <c:tickLblPos val="nextTo"/>
        <c:crossAx val="83488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[Lead Generation Analysis.xlsm]Sheet1!lead per platform</c:name>
    <c:fmtId val="2"/>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a:latin typeface="Arial" panose="020B0604020202020204" pitchFamily="34" charset="0"/>
                <a:cs typeface="Arial" panose="020B0604020202020204" pitchFamily="34" charset="0"/>
              </a:rPr>
              <a:t>Leads Per Platform</a:t>
            </a:r>
          </a:p>
        </c:rich>
      </c:tx>
      <c:layout>
        <c:manualLayout>
          <c:xMode val="edge"/>
          <c:yMode val="edge"/>
          <c:x val="0.38142806090722603"/>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059748746179645E-2"/>
          <c:y val="0.32046686185999751"/>
          <c:w val="0.97850789277959904"/>
          <c:h val="0.47340016902514148"/>
        </c:manualLayout>
      </c:layout>
      <c:barChart>
        <c:barDir val="col"/>
        <c:grouping val="clustered"/>
        <c:varyColors val="0"/>
        <c:ser>
          <c:idx val="0"/>
          <c:order val="0"/>
          <c:tx>
            <c:strRef>
              <c:f>Sheet1!$Y$4</c:f>
              <c:strCache>
                <c:ptCount val="1"/>
                <c:pt idx="0">
                  <c:v>Total</c:v>
                </c:pt>
              </c:strCache>
            </c:strRef>
          </c:tx>
          <c:spPr>
            <a:solidFill>
              <a:srgbClr val="8FCFAD"/>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Sheet1!$X$5:$X$10</c:f>
              <c:strCache>
                <c:ptCount val="5"/>
                <c:pt idx="0">
                  <c:v>Angie's List</c:v>
                </c:pt>
                <c:pt idx="1">
                  <c:v>Facebook</c:v>
                </c:pt>
                <c:pt idx="2">
                  <c:v>Google</c:v>
                </c:pt>
                <c:pt idx="3">
                  <c:v>Not Known</c:v>
                </c:pt>
                <c:pt idx="4">
                  <c:v>Porch</c:v>
                </c:pt>
              </c:strCache>
            </c:strRef>
          </c:cat>
          <c:val>
            <c:numRef>
              <c:f>Sheet1!$Y$5:$Y$10</c:f>
              <c:numCache>
                <c:formatCode>General</c:formatCode>
                <c:ptCount val="5"/>
                <c:pt idx="0">
                  <c:v>21</c:v>
                </c:pt>
                <c:pt idx="1">
                  <c:v>17</c:v>
                </c:pt>
                <c:pt idx="2">
                  <c:v>17</c:v>
                </c:pt>
                <c:pt idx="3">
                  <c:v>22</c:v>
                </c:pt>
                <c:pt idx="4">
                  <c:v>26</c:v>
                </c:pt>
              </c:numCache>
            </c:numRef>
          </c:val>
          <c:extLst>
            <c:ext xmlns:c16="http://schemas.microsoft.com/office/drawing/2014/chart" uri="{C3380CC4-5D6E-409C-BE32-E72D297353CC}">
              <c16:uniqueId val="{00000000-6787-4F32-9E08-BCA6C3F20763}"/>
            </c:ext>
          </c:extLst>
        </c:ser>
        <c:dLbls>
          <c:dLblPos val="outEnd"/>
          <c:showLegendKey val="0"/>
          <c:showVal val="1"/>
          <c:showCatName val="0"/>
          <c:showSerName val="0"/>
          <c:showPercent val="0"/>
          <c:showBubbleSize val="0"/>
        </c:dLbls>
        <c:gapWidth val="219"/>
        <c:overlap val="-27"/>
        <c:axId val="911299951"/>
        <c:axId val="1411241951"/>
      </c:barChart>
      <c:catAx>
        <c:axId val="91129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11241951"/>
        <c:crosses val="autoZero"/>
        <c:auto val="1"/>
        <c:lblAlgn val="ctr"/>
        <c:lblOffset val="100"/>
        <c:noMultiLvlLbl val="0"/>
      </c:catAx>
      <c:valAx>
        <c:axId val="1411241951"/>
        <c:scaling>
          <c:orientation val="minMax"/>
        </c:scaling>
        <c:delete val="1"/>
        <c:axPos val="l"/>
        <c:numFmt formatCode="General" sourceLinked="1"/>
        <c:majorTickMark val="none"/>
        <c:minorTickMark val="none"/>
        <c:tickLblPos val="nextTo"/>
        <c:crossAx val="91129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[Lead Generation Analysis.xlsm]Sheet1!revenue</c:name>
    <c:fmtId val="2"/>
  </c:pivotSource>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a:t>Ad Spend Per Platform</a:t>
            </a:r>
          </a:p>
        </c:rich>
      </c:tx>
      <c:layout>
        <c:manualLayout>
          <c:xMode val="edge"/>
          <c:yMode val="edge"/>
          <c:x val="0.15725115743981077"/>
          <c:y val="0"/>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pivotFmt>
      <c:pivotFmt>
        <c:idx val="8"/>
      </c:pivotFmt>
      <c:pivotFmt>
        <c:idx val="9"/>
      </c:pivotFmt>
      <c:pivotFmt>
        <c:idx val="10"/>
      </c:pivotFmt>
      <c:pivotFmt>
        <c:idx val="11"/>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pivotFmt>
      <c:pivotFmt>
        <c:idx val="1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pivotFmt>
      <c:pivotFmt>
        <c:idx val="1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s>
    <c:plotArea>
      <c:layout>
        <c:manualLayout>
          <c:layoutTarget val="inner"/>
          <c:xMode val="edge"/>
          <c:yMode val="edge"/>
          <c:x val="2.8054213279040226E-2"/>
          <c:y val="0.10933553851065286"/>
          <c:w val="0.91321473442737899"/>
          <c:h val="0.88595478105062941"/>
        </c:manualLayout>
      </c:layout>
      <c:doughnutChart>
        <c:varyColors val="1"/>
        <c:ser>
          <c:idx val="0"/>
          <c:order val="0"/>
          <c:tx>
            <c:strRef>
              <c:f>Sheet1!$AF$4</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DA24-4D48-95CA-5ED0FAB94AB8}"/>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DA24-4D48-95CA-5ED0FAB94AB8}"/>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DA24-4D48-95CA-5ED0FAB94AB8}"/>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DA24-4D48-95CA-5ED0FAB94AB8}"/>
              </c:ext>
            </c:extLst>
          </c:dPt>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rect">
                    <a:avLst/>
                  </a:prstGeom>
                </c15:spPr>
              </c:ext>
            </c:extLst>
          </c:dLbls>
          <c:cat>
            <c:strRef>
              <c:f>Sheet1!$AE$5:$AE$9</c:f>
              <c:strCache>
                <c:ptCount val="4"/>
                <c:pt idx="0">
                  <c:v>Angie's List</c:v>
                </c:pt>
                <c:pt idx="1">
                  <c:v>Facebook</c:v>
                </c:pt>
                <c:pt idx="2">
                  <c:v>Google</c:v>
                </c:pt>
                <c:pt idx="3">
                  <c:v>Porch</c:v>
                </c:pt>
              </c:strCache>
            </c:strRef>
          </c:cat>
          <c:val>
            <c:numRef>
              <c:f>Sheet1!$AF$5:$AF$9</c:f>
              <c:numCache>
                <c:formatCode>"$"#,##0</c:formatCode>
                <c:ptCount val="4"/>
                <c:pt idx="0">
                  <c:v>1150</c:v>
                </c:pt>
                <c:pt idx="1">
                  <c:v>1900</c:v>
                </c:pt>
                <c:pt idx="2">
                  <c:v>1250</c:v>
                </c:pt>
                <c:pt idx="3">
                  <c:v>700</c:v>
                </c:pt>
              </c:numCache>
            </c:numRef>
          </c:val>
          <c:extLst>
            <c:ext xmlns:c16="http://schemas.microsoft.com/office/drawing/2014/chart" uri="{C3380CC4-5D6E-409C-BE32-E72D297353CC}">
              <c16:uniqueId val="{0000000A-8594-4878-BD20-B73FAB281E5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[Lead Generation Analysis.xlsm]Sheet1!roi</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 Per Platform</a:t>
            </a:r>
          </a:p>
        </c:rich>
      </c:tx>
      <c:layout>
        <c:manualLayout>
          <c:xMode val="edge"/>
          <c:yMode val="edge"/>
          <c:x val="0.2091057976467848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629279663438262"/>
          <c:y val="0.11027450980392157"/>
          <c:w val="0.64370720336561738"/>
          <c:h val="0.87823127991354022"/>
        </c:manualLayout>
      </c:layout>
      <c:barChart>
        <c:barDir val="bar"/>
        <c:grouping val="clustered"/>
        <c:varyColors val="0"/>
        <c:ser>
          <c:idx val="0"/>
          <c:order val="0"/>
          <c:tx>
            <c:strRef>
              <c:f>Sheet1!$AB$4</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Sheet1!$AA$5:$AA$9</c:f>
              <c:strCache>
                <c:ptCount val="4"/>
                <c:pt idx="0">
                  <c:v>Angie's List</c:v>
                </c:pt>
                <c:pt idx="1">
                  <c:v>Facebook</c:v>
                </c:pt>
                <c:pt idx="2">
                  <c:v>Google</c:v>
                </c:pt>
                <c:pt idx="3">
                  <c:v>Porch</c:v>
                </c:pt>
              </c:strCache>
            </c:strRef>
          </c:cat>
          <c:val>
            <c:numRef>
              <c:f>Sheet1!$AB$5:$AB$9</c:f>
              <c:numCache>
                <c:formatCode>0%</c:formatCode>
                <c:ptCount val="4"/>
                <c:pt idx="0">
                  <c:v>-0.23809523809523811</c:v>
                </c:pt>
                <c:pt idx="1">
                  <c:v>0.11481481481481481</c:v>
                </c:pt>
                <c:pt idx="2">
                  <c:v>0.25952380952380955</c:v>
                </c:pt>
                <c:pt idx="3">
                  <c:v>0.14285714285714285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8232-4FC2-9211-B624D47E7542}"/>
            </c:ext>
          </c:extLst>
        </c:ser>
        <c:dLbls>
          <c:dLblPos val="outEnd"/>
          <c:showLegendKey val="0"/>
          <c:showVal val="1"/>
          <c:showCatName val="0"/>
          <c:showSerName val="0"/>
          <c:showPercent val="0"/>
          <c:showBubbleSize val="0"/>
        </c:dLbls>
        <c:gapWidth val="182"/>
        <c:axId val="2103990352"/>
        <c:axId val="2094218912"/>
      </c:barChart>
      <c:catAx>
        <c:axId val="210399035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094218912"/>
        <c:crosses val="autoZero"/>
        <c:auto val="1"/>
        <c:lblAlgn val="ctr"/>
        <c:lblOffset val="100"/>
        <c:noMultiLvlLbl val="0"/>
      </c:catAx>
      <c:valAx>
        <c:axId val="2094218912"/>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210399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microsoft.com/office/2007/relationships/hdphoto" Target="../media/hdphoto1.wdp"/><Relationship Id="rId7" Type="http://schemas.openxmlformats.org/officeDocument/2006/relationships/chart" Target="../charts/chart4.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47624</xdr:colOff>
      <xdr:row>38</xdr:row>
      <xdr:rowOff>19050</xdr:rowOff>
    </xdr:from>
    <xdr:to>
      <xdr:col>12</xdr:col>
      <xdr:colOff>437029</xdr:colOff>
      <xdr:row>42</xdr:row>
      <xdr:rowOff>38100</xdr:rowOff>
    </xdr:to>
    <xdr:grpSp>
      <xdr:nvGrpSpPr>
        <xdr:cNvPr id="3" name="Group 2">
          <a:extLst>
            <a:ext uri="{FF2B5EF4-FFF2-40B4-BE49-F238E27FC236}">
              <a16:creationId xmlns:a16="http://schemas.microsoft.com/office/drawing/2014/main" id="{B4C36004-413A-4177-B117-555646F3C1AA}"/>
            </a:ext>
          </a:extLst>
        </xdr:cNvPr>
        <xdr:cNvGrpSpPr/>
      </xdr:nvGrpSpPr>
      <xdr:grpSpPr>
        <a:xfrm>
          <a:off x="5090271" y="6059021"/>
          <a:ext cx="6440582" cy="680197"/>
          <a:chOff x="4257674" y="8324850"/>
          <a:chExt cx="7353301" cy="666750"/>
        </a:xfrm>
      </xdr:grpSpPr>
      <xdr:pic>
        <xdr:nvPicPr>
          <xdr:cNvPr id="4" name="Picture 3">
            <a:extLst>
              <a:ext uri="{FF2B5EF4-FFF2-40B4-BE49-F238E27FC236}">
                <a16:creationId xmlns:a16="http://schemas.microsoft.com/office/drawing/2014/main" id="{D9417533-6E21-4E0D-B639-70CE73CF64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5B4CEDB5-DB8E-4077-B44D-28EEAEA01DFF}"/>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8BE8A72C-CB8E-4931-BED2-38A634177617}"/>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46</xdr:row>
      <xdr:rowOff>95250</xdr:rowOff>
    </xdr:from>
    <xdr:to>
      <xdr:col>12</xdr:col>
      <xdr:colOff>456079</xdr:colOff>
      <xdr:row>50</xdr:row>
      <xdr:rowOff>114300</xdr:rowOff>
    </xdr:to>
    <xdr:grpSp>
      <xdr:nvGrpSpPr>
        <xdr:cNvPr id="7" name="Group 6">
          <a:extLst>
            <a:ext uri="{FF2B5EF4-FFF2-40B4-BE49-F238E27FC236}">
              <a16:creationId xmlns:a16="http://schemas.microsoft.com/office/drawing/2014/main" id="{5842BDBA-E1A8-42FF-808E-FE9763E454B3}"/>
            </a:ext>
          </a:extLst>
        </xdr:cNvPr>
        <xdr:cNvGrpSpPr/>
      </xdr:nvGrpSpPr>
      <xdr:grpSpPr>
        <a:xfrm>
          <a:off x="5109321" y="7558368"/>
          <a:ext cx="6440582" cy="781050"/>
          <a:chOff x="4276724" y="9696450"/>
          <a:chExt cx="7353301" cy="666750"/>
        </a:xfrm>
      </xdr:grpSpPr>
      <xdr:pic>
        <xdr:nvPicPr>
          <xdr:cNvPr id="8" name="Picture 7">
            <a:extLst>
              <a:ext uri="{FF2B5EF4-FFF2-40B4-BE49-F238E27FC236}">
                <a16:creationId xmlns:a16="http://schemas.microsoft.com/office/drawing/2014/main" id="{B9DBB317-B72E-425F-9905-7D7561435C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23A0AE56-852F-415C-936B-23BC5C4C4DA8}"/>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52</xdr:row>
      <xdr:rowOff>47625</xdr:rowOff>
    </xdr:from>
    <xdr:to>
      <xdr:col>12</xdr:col>
      <xdr:colOff>420024</xdr:colOff>
      <xdr:row>56</xdr:row>
      <xdr:rowOff>133350</xdr:rowOff>
    </xdr:to>
    <xdr:grpSp>
      <xdr:nvGrpSpPr>
        <xdr:cNvPr id="10" name="Group 9">
          <a:extLst>
            <a:ext uri="{FF2B5EF4-FFF2-40B4-BE49-F238E27FC236}">
              <a16:creationId xmlns:a16="http://schemas.microsoft.com/office/drawing/2014/main" id="{A3E95632-E7B6-44CA-B98A-B8D13F36A7A3}"/>
            </a:ext>
          </a:extLst>
        </xdr:cNvPr>
        <xdr:cNvGrpSpPr/>
      </xdr:nvGrpSpPr>
      <xdr:grpSpPr>
        <a:xfrm>
          <a:off x="5128372" y="8653743"/>
          <a:ext cx="6385476" cy="847725"/>
          <a:chOff x="4295775" y="10620375"/>
          <a:chExt cx="7334250" cy="733425"/>
        </a:xfrm>
      </xdr:grpSpPr>
      <xdr:pic>
        <xdr:nvPicPr>
          <xdr:cNvPr id="11" name="Picture 10">
            <a:extLst>
              <a:ext uri="{FF2B5EF4-FFF2-40B4-BE49-F238E27FC236}">
                <a16:creationId xmlns:a16="http://schemas.microsoft.com/office/drawing/2014/main" id="{C39C6406-0907-4C19-81F3-383279F7A261}"/>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6B89B948-C54C-49C6-9F88-3D4FB55FC9E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46566</xdr:colOff>
      <xdr:row>0</xdr:row>
      <xdr:rowOff>46566</xdr:rowOff>
    </xdr:from>
    <xdr:to>
      <xdr:col>0</xdr:col>
      <xdr:colOff>1500187</xdr:colOff>
      <xdr:row>2</xdr:row>
      <xdr:rowOff>42334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46566" y="46566"/>
          <a:ext cx="1453621" cy="388674"/>
          <a:chOff x="46566" y="46565"/>
          <a:chExt cx="1559052" cy="345017"/>
        </a:xfrm>
      </xdr:grpSpPr>
      <xdr:sp macro="[0]!HideDB"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6566" y="46565"/>
            <a:ext cx="1559052" cy="345017"/>
          </a:xfrm>
          <a:prstGeom prst="roundRect">
            <a:avLst/>
          </a:prstGeom>
          <a:solidFill>
            <a:schemeClr val="bg1">
              <a:lumMod val="75000"/>
            </a:schemeClr>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Hide Dashboard</a:t>
            </a:r>
          </a:p>
        </xdr:txBody>
      </xdr:sp>
      <xdr:sp macro="" textlink="">
        <xdr:nvSpPr>
          <xdr:cNvPr id="3" name="Arrow: Down 2">
            <a:extLst>
              <a:ext uri="{FF2B5EF4-FFF2-40B4-BE49-F238E27FC236}">
                <a16:creationId xmlns:a16="http://schemas.microsoft.com/office/drawing/2014/main" id="{00000000-0008-0000-0100-000003000000}"/>
              </a:ext>
            </a:extLst>
          </xdr:cNvPr>
          <xdr:cNvSpPr/>
        </xdr:nvSpPr>
        <xdr:spPr>
          <a:xfrm>
            <a:off x="84666" y="116417"/>
            <a:ext cx="222250" cy="190500"/>
          </a:xfrm>
          <a:prstGeom prst="downArrow">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31750</xdr:colOff>
      <xdr:row>21</xdr:row>
      <xdr:rowOff>42332</xdr:rowOff>
    </xdr:from>
    <xdr:to>
      <xdr:col>0</xdr:col>
      <xdr:colOff>1502833</xdr:colOff>
      <xdr:row>21</xdr:row>
      <xdr:rowOff>355600</xdr:rowOff>
    </xdr:to>
    <xdr:grpSp>
      <xdr:nvGrpSpPr>
        <xdr:cNvPr id="4" name="DBBTN" hidden="1">
          <a:extLst>
            <a:ext uri="{FF2B5EF4-FFF2-40B4-BE49-F238E27FC236}">
              <a16:creationId xmlns:a16="http://schemas.microsoft.com/office/drawing/2014/main" id="{00000000-0008-0000-0100-000004000000}"/>
            </a:ext>
          </a:extLst>
        </xdr:cNvPr>
        <xdr:cNvGrpSpPr/>
      </xdr:nvGrpSpPr>
      <xdr:grpSpPr>
        <a:xfrm>
          <a:off x="31750" y="4280957"/>
          <a:ext cx="1471083" cy="313268"/>
          <a:chOff x="31750" y="3839632"/>
          <a:chExt cx="1471083" cy="345017"/>
        </a:xfrm>
      </xdr:grpSpPr>
      <xdr:sp macro="[0]!showDB" textlink="">
        <xdr:nvSpPr>
          <xdr:cNvPr id="2" name="Rectangle: Rounded Corners 1" hidden="1">
            <a:extLst>
              <a:ext uri="{FF2B5EF4-FFF2-40B4-BE49-F238E27FC236}">
                <a16:creationId xmlns:a16="http://schemas.microsoft.com/office/drawing/2014/main" id="{00000000-0008-0000-0100-000002000000}"/>
              </a:ext>
            </a:extLst>
          </xdr:cNvPr>
          <xdr:cNvSpPr/>
        </xdr:nvSpPr>
        <xdr:spPr>
          <a:xfrm>
            <a:off x="31750" y="3839632"/>
            <a:ext cx="1471083" cy="345017"/>
          </a:xfrm>
          <a:prstGeom prst="roundRect">
            <a:avLst/>
          </a:prstGeom>
          <a:solidFill>
            <a:srgbClr val="8FCFAD"/>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   Show Dashboard</a:t>
            </a:r>
          </a:p>
        </xdr:txBody>
      </xdr:sp>
      <xdr:sp macro="" textlink="">
        <xdr:nvSpPr>
          <xdr:cNvPr id="9" name="Arrow: Down 8" hidden="1">
            <a:extLst>
              <a:ext uri="{FF2B5EF4-FFF2-40B4-BE49-F238E27FC236}">
                <a16:creationId xmlns:a16="http://schemas.microsoft.com/office/drawing/2014/main" id="{00000000-0008-0000-0100-000009000000}"/>
              </a:ext>
            </a:extLst>
          </xdr:cNvPr>
          <xdr:cNvSpPr/>
        </xdr:nvSpPr>
        <xdr:spPr>
          <a:xfrm rot="10800000">
            <a:off x="67732" y="3877733"/>
            <a:ext cx="222250" cy="190500"/>
          </a:xfrm>
          <a:prstGeom prst="downArrow">
            <a:avLst/>
          </a:prstGeom>
          <a:solidFill>
            <a:srgbClr val="50B47F"/>
          </a:solidFill>
          <a:ln>
            <a:solidFill>
              <a:srgbClr val="50B4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714375</xdr:colOff>
      <xdr:row>21</xdr:row>
      <xdr:rowOff>404812</xdr:rowOff>
    </xdr:from>
    <xdr:to>
      <xdr:col>0</xdr:col>
      <xdr:colOff>1543051</xdr:colOff>
      <xdr:row>21</xdr:row>
      <xdr:rowOff>735806</xdr:rowOff>
    </xdr:to>
    <xdr:grpSp>
      <xdr:nvGrpSpPr>
        <xdr:cNvPr id="10" name="Group 9">
          <a:extLst>
            <a:ext uri="{FF2B5EF4-FFF2-40B4-BE49-F238E27FC236}">
              <a16:creationId xmlns:a16="http://schemas.microsoft.com/office/drawing/2014/main" id="{4B249323-58C7-4643-A098-BA6EA395322B}"/>
            </a:ext>
          </a:extLst>
        </xdr:cNvPr>
        <xdr:cNvGrpSpPr/>
      </xdr:nvGrpSpPr>
      <xdr:grpSpPr>
        <a:xfrm>
          <a:off x="714375" y="4643437"/>
          <a:ext cx="828676" cy="330994"/>
          <a:chOff x="595311" y="404812"/>
          <a:chExt cx="881064" cy="333375"/>
        </a:xfrm>
      </xdr:grpSpPr>
      <xdr:pic macro="[0]!Refresh">
        <xdr:nvPicPr>
          <xdr:cNvPr id="11" name="Picture 10">
            <a:extLst>
              <a:ext uri="{FF2B5EF4-FFF2-40B4-BE49-F238E27FC236}">
                <a16:creationId xmlns:a16="http://schemas.microsoft.com/office/drawing/2014/main" id="{39160203-A61D-4658-8275-D9018A17E037}"/>
              </a:ext>
            </a:extLst>
          </xdr:cNvPr>
          <xdr:cNvPicPr>
            <a:picLocks noChangeAspect="1"/>
          </xdr:cNvPicPr>
        </xdr:nvPicPr>
        <xdr:blipFill>
          <a:blip xmlns:r="http://schemas.openxmlformats.org/officeDocument/2006/relationships" r:embed="rId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 y="404812"/>
            <a:ext cx="333375" cy="333375"/>
          </a:xfrm>
          <a:prstGeom prst="rect">
            <a:avLst/>
          </a:prstGeom>
        </xdr:spPr>
      </xdr:pic>
      <xdr:sp macro="[0]!Refresh" textlink="">
        <xdr:nvSpPr>
          <xdr:cNvPr id="12" name="Rectangle 11">
            <a:extLst>
              <a:ext uri="{FF2B5EF4-FFF2-40B4-BE49-F238E27FC236}">
                <a16:creationId xmlns:a16="http://schemas.microsoft.com/office/drawing/2014/main" id="{A7D329E6-76E3-4AE4-90C5-C1701B78C488}"/>
              </a:ext>
            </a:extLst>
          </xdr:cNvPr>
          <xdr:cNvSpPr/>
        </xdr:nvSpPr>
        <xdr:spPr>
          <a:xfrm>
            <a:off x="595311" y="452438"/>
            <a:ext cx="726282" cy="2500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solidFill>
                  <a:schemeClr val="tx1">
                    <a:lumMod val="50000"/>
                    <a:lumOff val="50000"/>
                  </a:schemeClr>
                </a:solidFill>
                <a:latin typeface="Arial" panose="020B0604020202020204" pitchFamily="34" charset="0"/>
                <a:cs typeface="Arial" panose="020B0604020202020204" pitchFamily="34" charset="0"/>
              </a:rPr>
              <a:t>Refresh</a:t>
            </a:r>
          </a:p>
        </xdr:txBody>
      </xdr:sp>
    </xdr:grpSp>
    <xdr:clientData/>
  </xdr:twoCellAnchor>
  <xdr:twoCellAnchor>
    <xdr:from>
      <xdr:col>0</xdr:col>
      <xdr:colOff>0</xdr:colOff>
      <xdr:row>21</xdr:row>
      <xdr:rowOff>390525</xdr:rowOff>
    </xdr:from>
    <xdr:to>
      <xdr:col>0</xdr:col>
      <xdr:colOff>762000</xdr:colOff>
      <xdr:row>21</xdr:row>
      <xdr:rowOff>752476</xdr:rowOff>
    </xdr:to>
    <xdr:grpSp>
      <xdr:nvGrpSpPr>
        <xdr:cNvPr id="13" name="Group 12">
          <a:extLst>
            <a:ext uri="{FF2B5EF4-FFF2-40B4-BE49-F238E27FC236}">
              <a16:creationId xmlns:a16="http://schemas.microsoft.com/office/drawing/2014/main" id="{FEF86EF1-A9C8-4E98-9980-3405206AFF95}"/>
            </a:ext>
          </a:extLst>
        </xdr:cNvPr>
        <xdr:cNvGrpSpPr/>
      </xdr:nvGrpSpPr>
      <xdr:grpSpPr>
        <a:xfrm>
          <a:off x="0" y="4629150"/>
          <a:ext cx="762000" cy="361951"/>
          <a:chOff x="69367" y="404812"/>
          <a:chExt cx="895039" cy="381001"/>
        </a:xfrm>
      </xdr:grpSpPr>
      <xdr:pic macro="[0]!Full_screen">
        <xdr:nvPicPr>
          <xdr:cNvPr id="14" name="Picture 13">
            <a:extLst>
              <a:ext uri="{FF2B5EF4-FFF2-40B4-BE49-F238E27FC236}">
                <a16:creationId xmlns:a16="http://schemas.microsoft.com/office/drawing/2014/main" id="{00E01FB7-21CA-41F0-ABC9-5EDC3BE0C085}"/>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BEBA8EAE-BF5A-486C-A8C5-ECC9F3942E4B}">
                <a14:imgProps xmlns:a14="http://schemas.microsoft.com/office/drawing/2010/main">
                  <a14:imgLayer r:embed="rId3">
                    <a14:imgEffect>
                      <a14:backgroundRemoval t="10000" b="93906" l="10000" r="93750">
                        <a14:foregroundMark x1="35938" y1="34063" x2="35938" y2="34063"/>
                        <a14:foregroundMark x1="71094" y1="33594" x2="71094" y2="33594"/>
                        <a14:foregroundMark x1="69688" y1="75156" x2="69688" y2="75156"/>
                        <a14:foregroundMark x1="32927" y1="70787" x2="32927" y2="70787"/>
                      </a14:backgroundRemoval>
                    </a14:imgEffect>
                  </a14:imgLayer>
                </a14:imgProps>
              </a:ext>
              <a:ext uri="{28A0092B-C50C-407E-A947-70E740481C1C}">
                <a14:useLocalDpi xmlns:a14="http://schemas.microsoft.com/office/drawing/2010/main" val="0"/>
              </a:ext>
            </a:extLst>
          </a:blip>
          <a:stretch>
            <a:fillRect/>
          </a:stretch>
        </xdr:blipFill>
        <xdr:spPr>
          <a:xfrm>
            <a:off x="608494" y="404812"/>
            <a:ext cx="355912" cy="369093"/>
          </a:xfrm>
          <a:prstGeom prst="rect">
            <a:avLst/>
          </a:prstGeom>
        </xdr:spPr>
      </xdr:pic>
      <xdr:sp macro="[0]!Full_screen" textlink="">
        <xdr:nvSpPr>
          <xdr:cNvPr id="15" name="Rectangle 14">
            <a:extLst>
              <a:ext uri="{FF2B5EF4-FFF2-40B4-BE49-F238E27FC236}">
                <a16:creationId xmlns:a16="http://schemas.microsoft.com/office/drawing/2014/main" id="{367526C5-8774-4556-9435-B3760EA00E67}"/>
              </a:ext>
            </a:extLst>
          </xdr:cNvPr>
          <xdr:cNvSpPr/>
        </xdr:nvSpPr>
        <xdr:spPr>
          <a:xfrm>
            <a:off x="69367" y="404813"/>
            <a:ext cx="706732"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solidFill>
                  <a:schemeClr val="tx1">
                    <a:lumMod val="50000"/>
                    <a:lumOff val="50000"/>
                  </a:schemeClr>
                </a:solidFill>
                <a:latin typeface="Arial" panose="020B0604020202020204" pitchFamily="34" charset="0"/>
                <a:cs typeface="Arial" panose="020B0604020202020204" pitchFamily="34" charset="0"/>
              </a:rPr>
              <a:t>Full Screen</a:t>
            </a:r>
          </a:p>
        </xdr:txBody>
      </xdr:sp>
    </xdr:grpSp>
    <xdr:clientData/>
  </xdr:twoCellAnchor>
  <xdr:twoCellAnchor>
    <xdr:from>
      <xdr:col>1</xdr:col>
      <xdr:colOff>9525</xdr:colOff>
      <xdr:row>9</xdr:row>
      <xdr:rowOff>85725</xdr:rowOff>
    </xdr:from>
    <xdr:to>
      <xdr:col>7</xdr:col>
      <xdr:colOff>0</xdr:colOff>
      <xdr:row>21</xdr:row>
      <xdr:rowOff>0</xdr:rowOff>
    </xdr:to>
    <xdr:graphicFrame macro="">
      <xdr:nvGraphicFramePr>
        <xdr:cNvPr id="16" name="Chart 15">
          <a:extLst>
            <a:ext uri="{FF2B5EF4-FFF2-40B4-BE49-F238E27FC236}">
              <a16:creationId xmlns:a16="http://schemas.microsoft.com/office/drawing/2014/main" id="{2DCF0AC2-9499-4CDF-9382-F8E0A2798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xdr:row>
      <xdr:rowOff>66675</xdr:rowOff>
    </xdr:from>
    <xdr:to>
      <xdr:col>0</xdr:col>
      <xdr:colOff>1533525</xdr:colOff>
      <xdr:row>9</xdr:row>
      <xdr:rowOff>161925</xdr:rowOff>
    </xdr:to>
    <mc:AlternateContent xmlns:mc="http://schemas.openxmlformats.org/markup-compatibility/2006" xmlns:a14="http://schemas.microsoft.com/office/drawing/2010/main">
      <mc:Choice Requires="a14">
        <xdr:graphicFrame macro="">
          <xdr:nvGraphicFramePr>
            <xdr:cNvPr id="20" name="Platform">
              <a:extLst>
                <a:ext uri="{FF2B5EF4-FFF2-40B4-BE49-F238E27FC236}">
                  <a16:creationId xmlns:a16="http://schemas.microsoft.com/office/drawing/2014/main" id="{F0EEDD66-DD64-491B-8C88-14F3ED3169D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latform"/>
            </a:graphicData>
          </a:graphic>
        </xdr:graphicFrame>
      </mc:Choice>
      <mc:Fallback xmlns="">
        <xdr:sp macro="" textlink="">
          <xdr:nvSpPr>
            <xdr:cNvPr id="0" name=""/>
            <xdr:cNvSpPr>
              <a:spLocks noTextEdit="1"/>
            </xdr:cNvSpPr>
          </xdr:nvSpPr>
          <xdr:spPr>
            <a:xfrm>
              <a:off x="0" y="390525"/>
              <a:ext cx="1533525" cy="1314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152400</xdr:rowOff>
    </xdr:from>
    <xdr:to>
      <xdr:col>0</xdr:col>
      <xdr:colOff>1533525</xdr:colOff>
      <xdr:row>15</xdr:row>
      <xdr:rowOff>9525</xdr:rowOff>
    </xdr:to>
    <mc:AlternateContent xmlns:mc="http://schemas.openxmlformats.org/markup-compatibility/2006" xmlns:a14="http://schemas.microsoft.com/office/drawing/2010/main">
      <mc:Choice Requires="a14">
        <xdr:graphicFrame macro="">
          <xdr:nvGraphicFramePr>
            <xdr:cNvPr id="21" name="Service">
              <a:extLst>
                <a:ext uri="{FF2B5EF4-FFF2-40B4-BE49-F238E27FC236}">
                  <a16:creationId xmlns:a16="http://schemas.microsoft.com/office/drawing/2014/main" id="{66637F24-20B7-40C4-A717-4BFD1665955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
            </a:graphicData>
          </a:graphic>
        </xdr:graphicFrame>
      </mc:Choice>
      <mc:Fallback xmlns="">
        <xdr:sp macro="" textlink="">
          <xdr:nvSpPr>
            <xdr:cNvPr id="0" name=""/>
            <xdr:cNvSpPr>
              <a:spLocks noTextEdit="1"/>
            </xdr:cNvSpPr>
          </xdr:nvSpPr>
          <xdr:spPr>
            <a:xfrm>
              <a:off x="0" y="1695450"/>
              <a:ext cx="1533525" cy="1000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15</xdr:row>
      <xdr:rowOff>0</xdr:rowOff>
    </xdr:from>
    <xdr:to>
      <xdr:col>0</xdr:col>
      <xdr:colOff>1533525</xdr:colOff>
      <xdr:row>21</xdr:row>
      <xdr:rowOff>19050</xdr:rowOff>
    </xdr:to>
    <mc:AlternateContent xmlns:mc="http://schemas.openxmlformats.org/markup-compatibility/2006" xmlns:a14="http://schemas.microsoft.com/office/drawing/2010/main">
      <mc:Choice Requires="a14">
        <xdr:graphicFrame macro="">
          <xdr:nvGraphicFramePr>
            <xdr:cNvPr id="22" name="Stage">
              <a:extLst>
                <a:ext uri="{FF2B5EF4-FFF2-40B4-BE49-F238E27FC236}">
                  <a16:creationId xmlns:a16="http://schemas.microsoft.com/office/drawing/2014/main" id="{F039FD01-AB79-4691-8629-BAD5D0377BB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0" y="2686050"/>
              <a:ext cx="1533525"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1371599</xdr:colOff>
      <xdr:row>0</xdr:row>
      <xdr:rowOff>0</xdr:rowOff>
    </xdr:from>
    <xdr:to>
      <xdr:col>10</xdr:col>
      <xdr:colOff>1075764</xdr:colOff>
      <xdr:row>8</xdr:row>
      <xdr:rowOff>9525</xdr:rowOff>
    </xdr:to>
    <xdr:graphicFrame macro="">
      <xdr:nvGraphicFramePr>
        <xdr:cNvPr id="18" name="Chart 17">
          <a:extLst>
            <a:ext uri="{FF2B5EF4-FFF2-40B4-BE49-F238E27FC236}">
              <a16:creationId xmlns:a16="http://schemas.microsoft.com/office/drawing/2014/main" id="{9C302AD6-2128-4594-B0CC-19244636B4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1562099</xdr:colOff>
      <xdr:row>5</xdr:row>
      <xdr:rowOff>9525</xdr:rowOff>
    </xdr:from>
    <xdr:to>
      <xdr:col>5</xdr:col>
      <xdr:colOff>1209675</xdr:colOff>
      <xdr:row>9</xdr:row>
      <xdr:rowOff>9525</xdr:rowOff>
    </xdr:to>
    <mc:AlternateContent xmlns:mc="http://schemas.openxmlformats.org/markup-compatibility/2006" xmlns:a14="http://schemas.microsoft.com/office/drawing/2010/main">
      <mc:Choice Requires="a14">
        <xdr:graphicFrame macro="">
          <xdr:nvGraphicFramePr>
            <xdr:cNvPr id="19" name="Month">
              <a:extLst>
                <a:ext uri="{FF2B5EF4-FFF2-40B4-BE49-F238E27FC236}">
                  <a16:creationId xmlns:a16="http://schemas.microsoft.com/office/drawing/2014/main" id="{70882AA0-70CC-4A24-8718-45708C2E111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62099" y="0"/>
              <a:ext cx="258842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67236</xdr:colOff>
      <xdr:row>14</xdr:row>
      <xdr:rowOff>171450</xdr:rowOff>
    </xdr:from>
    <xdr:to>
      <xdr:col>10</xdr:col>
      <xdr:colOff>1058065</xdr:colOff>
      <xdr:row>20</xdr:row>
      <xdr:rowOff>133350</xdr:rowOff>
    </xdr:to>
    <xdr:graphicFrame macro="">
      <xdr:nvGraphicFramePr>
        <xdr:cNvPr id="23" name="Chart 22">
          <a:extLst>
            <a:ext uri="{FF2B5EF4-FFF2-40B4-BE49-F238E27FC236}">
              <a16:creationId xmlns:a16="http://schemas.microsoft.com/office/drawing/2014/main" id="{EEE31DE4-F25E-41E7-8A67-3E2021CEC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1181099</xdr:colOff>
      <xdr:row>5</xdr:row>
      <xdr:rowOff>0</xdr:rowOff>
    </xdr:from>
    <xdr:to>
      <xdr:col>6</xdr:col>
      <xdr:colOff>1371599</xdr:colOff>
      <xdr:row>9</xdr:row>
      <xdr:rowOff>28575</xdr:rowOff>
    </xdr:to>
    <mc:AlternateContent xmlns:mc="http://schemas.openxmlformats.org/markup-compatibility/2006" xmlns:a14="http://schemas.microsoft.com/office/drawing/2010/main">
      <mc:Choice Requires="a14">
        <xdr:graphicFrame macro="">
          <xdr:nvGraphicFramePr>
            <xdr:cNvPr id="24" name="Year">
              <a:extLst>
                <a:ext uri="{FF2B5EF4-FFF2-40B4-BE49-F238E27FC236}">
                  <a16:creationId xmlns:a16="http://schemas.microsoft.com/office/drawing/2014/main" id="{D5F6D483-07AD-4257-A83B-AD8D35CE416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121943" y="0"/>
              <a:ext cx="157162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44824</xdr:colOff>
      <xdr:row>8</xdr:row>
      <xdr:rowOff>19050</xdr:rowOff>
    </xdr:from>
    <xdr:to>
      <xdr:col>10</xdr:col>
      <xdr:colOff>1098176</xdr:colOff>
      <xdr:row>14</xdr:row>
      <xdr:rowOff>57150</xdr:rowOff>
    </xdr:to>
    <xdr:graphicFrame macro="">
      <xdr:nvGraphicFramePr>
        <xdr:cNvPr id="25" name="Chart 24">
          <a:extLst>
            <a:ext uri="{FF2B5EF4-FFF2-40B4-BE49-F238E27FC236}">
              <a16:creationId xmlns:a16="http://schemas.microsoft.com/office/drawing/2014/main" id="{FA88AB29-7B9D-4F2D-BE03-D440421E42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1086969</xdr:colOff>
      <xdr:row>5</xdr:row>
      <xdr:rowOff>0</xdr:rowOff>
    </xdr:from>
    <xdr:to>
      <xdr:col>12</xdr:col>
      <xdr:colOff>1255058</xdr:colOff>
      <xdr:row>8</xdr:row>
      <xdr:rowOff>191201</xdr:rowOff>
    </xdr:to>
    <mc:AlternateContent xmlns:mc="http://schemas.openxmlformats.org/markup-compatibility/2006" xmlns:a14="http://schemas.microsoft.com/office/drawing/2010/main">
      <mc:Choice Requires="a14">
        <xdr:graphicFrame macro="">
          <xdr:nvGraphicFramePr>
            <xdr:cNvPr id="28" name="Month 1">
              <a:extLst>
                <a:ext uri="{FF2B5EF4-FFF2-40B4-BE49-F238E27FC236}">
                  <a16:creationId xmlns:a16="http://schemas.microsoft.com/office/drawing/2014/main" id="{C6EE38E8-61E8-492A-AC68-89B646E9C95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433500" y="0"/>
              <a:ext cx="266840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1266264</xdr:colOff>
      <xdr:row>5</xdr:row>
      <xdr:rowOff>0</xdr:rowOff>
    </xdr:from>
    <xdr:to>
      <xdr:col>18</xdr:col>
      <xdr:colOff>0</xdr:colOff>
      <xdr:row>8</xdr:row>
      <xdr:rowOff>191201</xdr:rowOff>
    </xdr:to>
    <mc:AlternateContent xmlns:mc="http://schemas.openxmlformats.org/markup-compatibility/2006" xmlns:a14="http://schemas.microsoft.com/office/drawing/2010/main">
      <mc:Choice Requires="a14">
        <xdr:graphicFrame macro="">
          <xdr:nvGraphicFramePr>
            <xdr:cNvPr id="29" name="Year 1">
              <a:extLst>
                <a:ext uri="{FF2B5EF4-FFF2-40B4-BE49-F238E27FC236}">
                  <a16:creationId xmlns:a16="http://schemas.microsoft.com/office/drawing/2014/main" id="{BD097C6B-D6A3-42DF-979E-C2DFF3FDB42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4113108" y="0"/>
              <a:ext cx="155551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1119187</xdr:colOff>
      <xdr:row>9</xdr:row>
      <xdr:rowOff>23813</xdr:rowOff>
    </xdr:from>
    <xdr:to>
      <xdr:col>12</xdr:col>
      <xdr:colOff>940593</xdr:colOff>
      <xdr:row>20</xdr:row>
      <xdr:rowOff>190500</xdr:rowOff>
    </xdr:to>
    <xdr:graphicFrame macro="">
      <xdr:nvGraphicFramePr>
        <xdr:cNvPr id="26" name="Chart 25">
          <a:extLst>
            <a:ext uri="{FF2B5EF4-FFF2-40B4-BE49-F238E27FC236}">
              <a16:creationId xmlns:a16="http://schemas.microsoft.com/office/drawing/2014/main" id="{2BABAB72-04A9-49EA-8D8B-9222C2790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869156</xdr:colOff>
      <xdr:row>9</xdr:row>
      <xdr:rowOff>11906</xdr:rowOff>
    </xdr:from>
    <xdr:to>
      <xdr:col>13</xdr:col>
      <xdr:colOff>1343025</xdr:colOff>
      <xdr:row>21</xdr:row>
      <xdr:rowOff>11906</xdr:rowOff>
    </xdr:to>
    <xdr:graphicFrame macro="">
      <xdr:nvGraphicFramePr>
        <xdr:cNvPr id="30" name="Chart 29">
          <a:extLst>
            <a:ext uri="{FF2B5EF4-FFF2-40B4-BE49-F238E27FC236}">
              <a16:creationId xmlns:a16="http://schemas.microsoft.com/office/drawing/2014/main" id="{38753329-9244-4EA8-9314-1218B9EE75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58.907493402781" createdVersion="6" refreshedVersion="6" minRefreshableVersion="3" recordCount="103" xr:uid="{682B0FCE-E87F-4FA4-880C-A4AF982DE229}">
  <cacheSource type="worksheet">
    <worksheetSource name="lead"/>
  </cacheSource>
  <cacheFields count="16">
    <cacheField name="Date Of Lead" numFmtId="165">
      <sharedItems containsSemiMixedTypes="0" containsNonDate="0" containsDate="1" containsString="0" minDate="2020-10-01T00:00:00" maxDate="2021-03-02T00:00:00" count="73">
        <d v="2020-12-05T00:00:00"/>
        <d v="2021-01-21T00:00:00"/>
        <d v="2021-01-25T00:00:00"/>
        <d v="2021-01-22T00:00:00"/>
        <d v="2020-10-24T00:00:00"/>
        <d v="2021-02-04T00:00:00"/>
        <d v="2021-01-23T00:00:00"/>
        <d v="2021-01-27T00:00:00"/>
        <d v="2021-01-31T00:00:00"/>
        <d v="2020-11-12T00:00:00"/>
        <d v="2020-11-01T00:00:00"/>
        <d v="2020-11-06T00:00:00"/>
        <d v="2021-03-01T00:00:00"/>
        <d v="2020-11-08T00:00:00"/>
        <d v="2021-01-05T00:00:00"/>
        <d v="2020-10-14T00:00:00"/>
        <d v="2020-11-19T00:00:00"/>
        <d v="2021-01-24T00:00:00"/>
        <d v="2020-12-21T00:00:00"/>
        <d v="2020-12-27T00:00:00"/>
        <d v="2020-12-02T00:00:00"/>
        <d v="2021-02-07T00:00:00"/>
        <d v="2021-01-06T00:00:00"/>
        <d v="2021-01-17T00:00:00"/>
        <d v="2020-10-15T00:00:00"/>
        <d v="2020-12-12T00:00:00"/>
        <d v="2020-10-25T00:00:00"/>
        <d v="2021-02-17T00:00:00"/>
        <d v="2020-10-11T00:00:00"/>
        <d v="2021-01-26T00:00:00"/>
        <d v="2020-12-17T00:00:00"/>
        <d v="2020-10-16T00:00:00"/>
        <d v="2020-12-23T00:00:00"/>
        <d v="2020-11-09T00:00:00"/>
        <d v="2020-10-12T00:00:00"/>
        <d v="2020-12-22T00:00:00"/>
        <d v="2021-02-19T00:00:00"/>
        <d v="2021-01-02T00:00:00"/>
        <d v="2021-02-06T00:00:00"/>
        <d v="2021-01-09T00:00:00"/>
        <d v="2020-10-31T00:00:00"/>
        <d v="2020-11-24T00:00:00"/>
        <d v="2020-12-29T00:00:00"/>
        <d v="2020-11-05T00:00:00"/>
        <d v="2021-01-08T00:00:00"/>
        <d v="2021-02-14T00:00:00"/>
        <d v="2021-01-01T00:00:00"/>
        <d v="2020-10-06T00:00:00"/>
        <d v="2020-12-07T00:00:00"/>
        <d v="2021-01-29T00:00:00"/>
        <d v="2020-11-21T00:00:00"/>
        <d v="2020-11-20T00:00:00"/>
        <d v="2021-01-16T00:00:00"/>
        <d v="2020-11-15T00:00:00"/>
        <d v="2020-12-14T00:00:00"/>
        <d v="2020-10-01T00:00:00"/>
        <d v="2021-01-14T00:00:00"/>
        <d v="2021-01-07T00:00:00"/>
        <d v="2020-11-07T00:00:00"/>
        <d v="2020-11-04T00:00:00"/>
        <d v="2020-11-23T00:00:00"/>
        <d v="2021-01-30T00:00:00"/>
        <d v="2020-10-17T00:00:00"/>
        <d v="2021-02-15T00:00:00"/>
        <d v="2020-10-09T00:00:00"/>
        <d v="2020-12-30T00:00:00"/>
        <d v="2020-12-13T00:00:00"/>
        <d v="2020-11-16T00:00:00"/>
        <d v="2021-01-28T00:00:00"/>
        <d v="2020-11-22T00:00:00"/>
        <d v="2020-11-25T00:00:00"/>
        <d v="2021-01-04T00:00:00"/>
        <d v="2020-10-10T00:00:00"/>
      </sharedItems>
      <fieldGroup base="0">
        <rangePr groupBy="days" startDate="2020-10-01T00:00:00" endDate="2021-03-02T00:00:00"/>
        <groupItems count="368">
          <s v="&lt;10/01/2020"/>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3/02/2021"/>
        </groupItems>
      </fieldGroup>
    </cacheField>
    <cacheField name="Year" numFmtId="0">
      <sharedItems containsSemiMixedTypes="0" containsString="0" containsNumber="1" containsInteger="1" minValue="2020" maxValue="2021" count="2">
        <n v="2020"/>
        <n v="2021"/>
      </sharedItems>
    </cacheField>
    <cacheField name="Month" numFmtId="0">
      <sharedItems count="6">
        <s v="Dec"/>
        <s v="Jan"/>
        <s v="Oct"/>
        <s v="Feb"/>
        <s v="Nov"/>
        <s v="Mar"/>
      </sharedItems>
    </cacheField>
    <cacheField name="Date Comp" numFmtId="0">
      <sharedItems/>
    </cacheField>
    <cacheField name="Platform" numFmtId="0">
      <sharedItems count="5">
        <s v="Google"/>
        <s v="Angie's List"/>
        <s v="Facebook"/>
        <s v="Not Known"/>
        <s v="Porch"/>
      </sharedItems>
    </cacheField>
    <cacheField name="Customer Name" numFmtId="0">
      <sharedItems/>
    </cacheField>
    <cacheField name="Email Address" numFmtId="0">
      <sharedItems/>
    </cacheField>
    <cacheField name="Service" numFmtId="0">
      <sharedItems count="3">
        <s v="Remodel"/>
        <s v="Siding"/>
        <s v="Roofing"/>
      </sharedItems>
    </cacheField>
    <cacheField name="Stage" numFmtId="0">
      <sharedItems count="4">
        <s v="Paid"/>
        <s v="Meeting"/>
        <s v="Quote Sent"/>
        <s v="Prospect"/>
      </sharedItems>
    </cacheField>
    <cacheField name="Closed Date" numFmtId="165">
      <sharedItems containsNonDate="0" containsDate="1" containsString="0" containsBlank="1" minDate="2020-10-18T00:00:00" maxDate="2021-03-02T00:00:00"/>
    </cacheField>
    <cacheField name="Lead Time (Day)" numFmtId="0">
      <sharedItems containsMixedTypes="1" containsNumber="1" containsInteger="1" minValue="12" maxValue="35"/>
    </cacheField>
    <cacheField name="Converting Status" numFmtId="0">
      <sharedItems count="2">
        <s v="Yes"/>
        <s v="No"/>
      </sharedItems>
    </cacheField>
    <cacheField name="Total Revenue" numFmtId="166">
      <sharedItems containsString="0" containsBlank="1" containsNumber="1" containsInteger="1" minValue="150" maxValue="500"/>
    </cacheField>
    <cacheField name="Related Ad Cost" numFmtId="166">
      <sharedItems containsSemiMixedTypes="0" containsString="0" containsNumber="1" containsInteger="1" minValue="0" maxValue="900"/>
    </cacheField>
    <cacheField name="Related Ad Profit" numFmtId="166">
      <sharedItems containsSemiMixedTypes="0" containsString="0" containsNumber="1" containsInteger="1" minValue="-200" maxValue="250"/>
    </cacheField>
    <cacheField name="Related Ad ROI" numFmtId="166">
      <sharedItems containsSemiMixedTypes="0" containsString="0" containsNumber="1" minValue="-0.4" maxValue="0.6785714285714286"/>
    </cacheField>
  </cacheFields>
  <extLst>
    <ext xmlns:x14="http://schemas.microsoft.com/office/spreadsheetml/2009/9/main" uri="{725AE2AE-9491-48be-B2B4-4EB974FC3084}">
      <x14:pivotCacheDefinition pivotCacheId="12760311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58.907494560182" createdVersion="6" refreshedVersion="6" minRefreshableVersion="3" recordCount="10" xr:uid="{CE427A8F-D6B7-4DD9-BE46-493CFF5D32DA}">
  <cacheSource type="worksheet">
    <worksheetSource name="adv"/>
  </cacheSource>
  <cacheFields count="10">
    <cacheField name="Date Of Ad" numFmtId="165">
      <sharedItems containsSemiMixedTypes="0" containsNonDate="0" containsDate="1" containsString="0" minDate="2020-10-02T00:00:00" maxDate="2021-02-11T00:00:00"/>
    </cacheField>
    <cacheField name="Ad Name or Code" numFmtId="165">
      <sharedItems count="10">
        <s v="Ad Code 001"/>
        <s v="Ad Code 002"/>
        <s v="Ad Code 003"/>
        <s v="Ad Code 004"/>
        <s v="Ad Code 005"/>
        <s v="Ad Code 006"/>
        <s v="Ad Code 007"/>
        <s v="Ad Code 008"/>
        <s v="Ad Code 009"/>
        <s v="Ad Code 010"/>
      </sharedItems>
    </cacheField>
    <cacheField name="Year" numFmtId="0">
      <sharedItems containsSemiMixedTypes="0" containsString="0" containsNumber="1" containsInteger="1" minValue="2020" maxValue="2021" count="2">
        <n v="2020"/>
        <n v="2021"/>
      </sharedItems>
    </cacheField>
    <cacheField name="Month" numFmtId="0">
      <sharedItems count="5">
        <s v="Dec"/>
        <s v="Feb"/>
        <s v="Jan"/>
        <s v="Nov"/>
        <s v="Oct"/>
      </sharedItems>
    </cacheField>
    <cacheField name="Date Comb" numFmtId="0">
      <sharedItems/>
    </cacheField>
    <cacheField name="Platform" numFmtId="0">
      <sharedItems count="4">
        <s v="Google"/>
        <s v="Angie's List"/>
        <s v="Facebook"/>
        <s v="Porch"/>
      </sharedItems>
    </cacheField>
    <cacheField name="Cost Spend" numFmtId="166">
      <sharedItems containsSemiMixedTypes="0" containsString="0" containsNumber="1" containsInteger="1" minValue="300" maxValue="900"/>
    </cacheField>
    <cacheField name="Revenue" numFmtId="166">
      <sharedItems containsSemiMixedTypes="0" containsString="0" containsNumber="1" containsInteger="1" minValue="240" maxValue="800"/>
    </cacheField>
    <cacheField name="Profit" numFmtId="166">
      <sharedItems containsSemiMixedTypes="0" containsString="0" containsNumber="1" containsInteger="1" minValue="-200" maxValue="200"/>
    </cacheField>
    <cacheField name="ROI" numFmtId="9">
      <sharedItems containsSemiMixedTypes="0" containsString="0" containsNumber="1" minValue="-0.4" maxValue="0.42857142857142855"/>
    </cacheField>
  </cacheFields>
  <extLst>
    <ext xmlns:x14="http://schemas.microsoft.com/office/spreadsheetml/2009/9/main" uri="{725AE2AE-9491-48be-B2B4-4EB974FC3084}">
      <x14:pivotCacheDefinition pivotCacheId="5542468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x v="0"/>
    <s v="2020Dec"/>
    <x v="0"/>
    <s v="Customer 1"/>
    <s v="Customeremailaddress@domain.com"/>
    <x v="0"/>
    <x v="0"/>
    <d v="2021-01-03T00:00:00"/>
    <n v="29"/>
    <x v="0"/>
    <n v="500"/>
    <n v="750"/>
    <n v="250"/>
    <n v="0.6785714285714286"/>
  </r>
  <r>
    <x v="1"/>
    <x v="1"/>
    <x v="1"/>
    <s v="2021Jan"/>
    <x v="1"/>
    <s v="Customer 2"/>
    <s v="Customeremailaddress@domain.com"/>
    <x v="0"/>
    <x v="1"/>
    <m/>
    <s v=""/>
    <x v="1"/>
    <m/>
    <n v="0"/>
    <n v="0"/>
    <n v="0"/>
  </r>
  <r>
    <x v="2"/>
    <x v="1"/>
    <x v="1"/>
    <s v="2021Jan"/>
    <x v="2"/>
    <s v="Customer 3"/>
    <s v="Customeremailaddress@domain.com"/>
    <x v="1"/>
    <x v="0"/>
    <d v="2021-02-10T00:00:00"/>
    <n v="16"/>
    <x v="0"/>
    <n v="200"/>
    <n v="500"/>
    <n v="200"/>
    <n v="0.4"/>
  </r>
  <r>
    <x v="3"/>
    <x v="1"/>
    <x v="1"/>
    <s v="2021Jan"/>
    <x v="3"/>
    <s v="Customer 4"/>
    <s v="Customeremailaddress@domain.com"/>
    <x v="0"/>
    <x v="2"/>
    <m/>
    <s v=""/>
    <x v="1"/>
    <m/>
    <n v="0"/>
    <n v="0"/>
    <n v="0"/>
  </r>
  <r>
    <x v="4"/>
    <x v="0"/>
    <x v="2"/>
    <s v="2020Oct"/>
    <x v="3"/>
    <s v="Customer 5"/>
    <s v="Customeremailaddress@domain.com"/>
    <x v="1"/>
    <x v="3"/>
    <m/>
    <s v=""/>
    <x v="1"/>
    <m/>
    <n v="0"/>
    <n v="0"/>
    <n v="0"/>
  </r>
  <r>
    <x v="5"/>
    <x v="1"/>
    <x v="3"/>
    <s v="2021Feb"/>
    <x v="3"/>
    <s v="Customer 6"/>
    <s v="Customeremailaddress@domain.com"/>
    <x v="0"/>
    <x v="1"/>
    <m/>
    <s v=""/>
    <x v="1"/>
    <m/>
    <n v="0"/>
    <n v="0"/>
    <n v="0"/>
  </r>
  <r>
    <x v="6"/>
    <x v="1"/>
    <x v="1"/>
    <s v="2021Jan"/>
    <x v="2"/>
    <s v="Customer 7"/>
    <s v="Customeremailaddress@domain.com"/>
    <x v="1"/>
    <x v="3"/>
    <m/>
    <s v=""/>
    <x v="1"/>
    <m/>
    <n v="500"/>
    <n v="200"/>
    <n v="0.4"/>
  </r>
  <r>
    <x v="7"/>
    <x v="1"/>
    <x v="1"/>
    <s v="2021Jan"/>
    <x v="3"/>
    <s v="Customer 8"/>
    <s v="Customeremailaddress@domain.com"/>
    <x v="1"/>
    <x v="2"/>
    <m/>
    <s v=""/>
    <x v="1"/>
    <m/>
    <n v="0"/>
    <n v="0"/>
    <n v="0"/>
  </r>
  <r>
    <x v="8"/>
    <x v="1"/>
    <x v="1"/>
    <s v="2021Jan"/>
    <x v="0"/>
    <s v="Customer 9"/>
    <s v="Customeremailaddress@domain.com"/>
    <x v="0"/>
    <x v="0"/>
    <d v="2021-02-15T00:00:00"/>
    <n v="15"/>
    <x v="0"/>
    <n v="250"/>
    <n v="500"/>
    <n v="50"/>
    <n v="0.1"/>
  </r>
  <r>
    <x v="9"/>
    <x v="0"/>
    <x v="4"/>
    <s v="2020Nov"/>
    <x v="1"/>
    <s v="Customer 10"/>
    <s v="Customeremailaddress@domain.com"/>
    <x v="1"/>
    <x v="3"/>
    <m/>
    <s v=""/>
    <x v="1"/>
    <m/>
    <n v="350"/>
    <n v="-110"/>
    <n v="-0.31428571428571428"/>
  </r>
  <r>
    <x v="10"/>
    <x v="0"/>
    <x v="4"/>
    <s v="2020Nov"/>
    <x v="3"/>
    <s v="Customer 11"/>
    <s v="Customeremailaddress@domain.com"/>
    <x v="1"/>
    <x v="3"/>
    <m/>
    <s v=""/>
    <x v="1"/>
    <m/>
    <n v="0"/>
    <n v="0"/>
    <n v="0"/>
  </r>
  <r>
    <x v="11"/>
    <x v="0"/>
    <x v="4"/>
    <s v="2020Nov"/>
    <x v="4"/>
    <s v="Customer 12"/>
    <s v="Customeremailaddress@domain.com"/>
    <x v="1"/>
    <x v="3"/>
    <m/>
    <s v=""/>
    <x v="1"/>
    <m/>
    <n v="0"/>
    <n v="0"/>
    <n v="0"/>
  </r>
  <r>
    <x v="12"/>
    <x v="1"/>
    <x v="5"/>
    <s v="2021Mar"/>
    <x v="1"/>
    <s v="Customer 13"/>
    <s v="Customeremailaddress@domain.com"/>
    <x v="2"/>
    <x v="1"/>
    <m/>
    <s v=""/>
    <x v="1"/>
    <m/>
    <n v="0"/>
    <n v="0"/>
    <n v="0"/>
  </r>
  <r>
    <x v="13"/>
    <x v="0"/>
    <x v="4"/>
    <s v="2020Nov"/>
    <x v="2"/>
    <s v="Customer 14"/>
    <s v="Customeremailaddress@domain.com"/>
    <x v="2"/>
    <x v="1"/>
    <m/>
    <s v=""/>
    <x v="1"/>
    <m/>
    <n v="0"/>
    <n v="0"/>
    <n v="0"/>
  </r>
  <r>
    <x v="14"/>
    <x v="1"/>
    <x v="1"/>
    <s v="2021Jan"/>
    <x v="3"/>
    <s v="Customer 15"/>
    <s v="Customeremailaddress@domain.com"/>
    <x v="0"/>
    <x v="1"/>
    <m/>
    <s v=""/>
    <x v="1"/>
    <m/>
    <n v="0"/>
    <n v="0"/>
    <n v="0"/>
  </r>
  <r>
    <x v="15"/>
    <x v="0"/>
    <x v="2"/>
    <s v="2020Oct"/>
    <x v="2"/>
    <s v="Customer 16"/>
    <s v="Customeremailaddress@domain.com"/>
    <x v="1"/>
    <x v="0"/>
    <d v="2020-11-10T00:00:00"/>
    <n v="27"/>
    <x v="0"/>
    <n v="200"/>
    <n v="500"/>
    <n v="50"/>
    <n v="0.1"/>
  </r>
  <r>
    <x v="16"/>
    <x v="0"/>
    <x v="4"/>
    <s v="2020Nov"/>
    <x v="4"/>
    <s v="Customer 17"/>
    <s v="Customeremailaddress@domain.com"/>
    <x v="2"/>
    <x v="0"/>
    <d v="2020-12-03T00:00:00"/>
    <n v="14"/>
    <x v="0"/>
    <n v="180"/>
    <n v="0"/>
    <n v="0"/>
    <n v="0"/>
  </r>
  <r>
    <x v="17"/>
    <x v="1"/>
    <x v="1"/>
    <s v="2021Jan"/>
    <x v="3"/>
    <s v="Customer 18"/>
    <s v="Customeremailaddress@domain.com"/>
    <x v="0"/>
    <x v="0"/>
    <d v="2021-02-15T00:00:00"/>
    <n v="22"/>
    <x v="0"/>
    <n v="330"/>
    <n v="0"/>
    <n v="0"/>
    <n v="0"/>
  </r>
  <r>
    <x v="18"/>
    <x v="0"/>
    <x v="0"/>
    <s v="2020Dec"/>
    <x v="4"/>
    <s v="Customer 19"/>
    <s v="Customeremailaddress@domain.com"/>
    <x v="0"/>
    <x v="2"/>
    <m/>
    <s v=""/>
    <x v="1"/>
    <m/>
    <n v="0"/>
    <n v="0"/>
    <n v="0"/>
  </r>
  <r>
    <x v="19"/>
    <x v="0"/>
    <x v="0"/>
    <s v="2020Dec"/>
    <x v="3"/>
    <s v="Customer 20"/>
    <s v="Customeremailaddress@domain.com"/>
    <x v="2"/>
    <x v="0"/>
    <d v="2021-01-15T00:00:00"/>
    <n v="19"/>
    <x v="0"/>
    <n v="250"/>
    <n v="0"/>
    <n v="0"/>
    <n v="0"/>
  </r>
  <r>
    <x v="20"/>
    <x v="0"/>
    <x v="0"/>
    <s v="2020Dec"/>
    <x v="0"/>
    <s v="Customer 21"/>
    <s v="Customeremailaddress@domain.com"/>
    <x v="2"/>
    <x v="1"/>
    <m/>
    <s v=""/>
    <x v="1"/>
    <m/>
    <n v="750"/>
    <n v="250"/>
    <n v="0.6785714285714286"/>
  </r>
  <r>
    <x v="21"/>
    <x v="1"/>
    <x v="3"/>
    <s v="2021Feb"/>
    <x v="1"/>
    <s v="Customer 22"/>
    <s v="Customeremailaddress@domain.com"/>
    <x v="2"/>
    <x v="0"/>
    <d v="2021-03-01T00:00:00"/>
    <n v="22"/>
    <x v="0"/>
    <n v="300"/>
    <n v="800"/>
    <n v="-200"/>
    <n v="-0.4"/>
  </r>
  <r>
    <x v="22"/>
    <x v="1"/>
    <x v="1"/>
    <s v="2021Jan"/>
    <x v="0"/>
    <s v="Customer 23"/>
    <s v="Customeremailaddress@domain.com"/>
    <x v="2"/>
    <x v="2"/>
    <m/>
    <s v=""/>
    <x v="1"/>
    <m/>
    <n v="500"/>
    <n v="50"/>
    <n v="0.1"/>
  </r>
  <r>
    <x v="23"/>
    <x v="1"/>
    <x v="1"/>
    <s v="2021Jan"/>
    <x v="4"/>
    <s v="Customer 24"/>
    <s v="Customeremailaddress@domain.com"/>
    <x v="2"/>
    <x v="3"/>
    <m/>
    <s v=""/>
    <x v="1"/>
    <m/>
    <n v="0"/>
    <n v="0"/>
    <n v="0"/>
  </r>
  <r>
    <x v="24"/>
    <x v="0"/>
    <x v="2"/>
    <s v="2020Oct"/>
    <x v="4"/>
    <s v="Customer 25"/>
    <s v="Customeremailaddress@domain.com"/>
    <x v="1"/>
    <x v="2"/>
    <m/>
    <s v=""/>
    <x v="1"/>
    <m/>
    <n v="700"/>
    <n v="100"/>
    <n v="0.14285714285714285"/>
  </r>
  <r>
    <x v="25"/>
    <x v="0"/>
    <x v="0"/>
    <s v="2020Dec"/>
    <x v="4"/>
    <s v="Customer 26"/>
    <s v="Customeremailaddress@domain.com"/>
    <x v="1"/>
    <x v="3"/>
    <m/>
    <s v=""/>
    <x v="1"/>
    <m/>
    <n v="0"/>
    <n v="0"/>
    <n v="0"/>
  </r>
  <r>
    <x v="26"/>
    <x v="0"/>
    <x v="2"/>
    <s v="2020Oct"/>
    <x v="4"/>
    <s v="Customer 27"/>
    <s v="Customeremailaddress@domain.com"/>
    <x v="0"/>
    <x v="0"/>
    <d v="2020-11-15T00:00:00"/>
    <n v="21"/>
    <x v="0"/>
    <n v="150"/>
    <n v="700"/>
    <n v="100"/>
    <n v="0.14285714285714285"/>
  </r>
  <r>
    <x v="27"/>
    <x v="1"/>
    <x v="3"/>
    <s v="2021Feb"/>
    <x v="4"/>
    <s v="Customer 28"/>
    <s v="Customeremailaddress@domain.com"/>
    <x v="0"/>
    <x v="1"/>
    <m/>
    <s v=""/>
    <x v="1"/>
    <m/>
    <n v="0"/>
    <n v="0"/>
    <n v="0"/>
  </r>
  <r>
    <x v="23"/>
    <x v="1"/>
    <x v="1"/>
    <s v="2021Jan"/>
    <x v="1"/>
    <s v="Customer 29"/>
    <s v="Customeremailaddress@domain.com"/>
    <x v="2"/>
    <x v="3"/>
    <m/>
    <s v=""/>
    <x v="1"/>
    <m/>
    <n v="0"/>
    <n v="0"/>
    <n v="0"/>
  </r>
  <r>
    <x v="28"/>
    <x v="0"/>
    <x v="2"/>
    <s v="2020Oct"/>
    <x v="1"/>
    <s v="Customer 30"/>
    <s v="Customeremailaddress@domain.com"/>
    <x v="1"/>
    <x v="1"/>
    <m/>
    <s v=""/>
    <x v="1"/>
    <m/>
    <n v="0"/>
    <n v="0"/>
    <n v="0"/>
  </r>
  <r>
    <x v="29"/>
    <x v="1"/>
    <x v="1"/>
    <s v="2021Jan"/>
    <x v="4"/>
    <s v="Customer 31"/>
    <s v="Customeremailaddress@domain.com"/>
    <x v="0"/>
    <x v="0"/>
    <d v="2021-02-20T00:00:00"/>
    <n v="25"/>
    <x v="0"/>
    <n v="200"/>
    <n v="0"/>
    <n v="0"/>
    <n v="0"/>
  </r>
  <r>
    <x v="30"/>
    <x v="0"/>
    <x v="0"/>
    <s v="2020Dec"/>
    <x v="2"/>
    <s v="Customer 32"/>
    <s v="Customeremailaddress@domain.com"/>
    <x v="0"/>
    <x v="0"/>
    <d v="2021-01-14T00:00:00"/>
    <n v="28"/>
    <x v="0"/>
    <n v="160"/>
    <n v="900"/>
    <n v="-140"/>
    <n v="-0.15555555555555556"/>
  </r>
  <r>
    <x v="31"/>
    <x v="0"/>
    <x v="2"/>
    <s v="2020Oct"/>
    <x v="3"/>
    <s v="Customer 33"/>
    <s v="Customeremailaddress@domain.com"/>
    <x v="0"/>
    <x v="0"/>
    <d v="2020-11-10T00:00:00"/>
    <n v="25"/>
    <x v="0"/>
    <n v="180"/>
    <n v="0"/>
    <n v="0"/>
    <n v="0"/>
  </r>
  <r>
    <x v="32"/>
    <x v="0"/>
    <x v="0"/>
    <s v="2020Dec"/>
    <x v="3"/>
    <s v="Customer 34"/>
    <s v="Customeremailaddress@domain.com"/>
    <x v="1"/>
    <x v="2"/>
    <m/>
    <s v=""/>
    <x v="1"/>
    <m/>
    <n v="0"/>
    <n v="0"/>
    <n v="0"/>
  </r>
  <r>
    <x v="33"/>
    <x v="0"/>
    <x v="4"/>
    <s v="2020Nov"/>
    <x v="3"/>
    <s v="Customer 35"/>
    <s v="Customeremailaddress@domain.com"/>
    <x v="1"/>
    <x v="2"/>
    <m/>
    <s v=""/>
    <x v="1"/>
    <m/>
    <n v="0"/>
    <n v="0"/>
    <n v="0"/>
  </r>
  <r>
    <x v="19"/>
    <x v="0"/>
    <x v="0"/>
    <s v="2020Dec"/>
    <x v="2"/>
    <s v="Customer 36"/>
    <s v="Customeremailaddress@domain.com"/>
    <x v="1"/>
    <x v="0"/>
    <d v="2021-01-15T00:00:00"/>
    <n v="19"/>
    <x v="0"/>
    <n v="250"/>
    <n v="900"/>
    <n v="-140"/>
    <n v="-0.15555555555555556"/>
  </r>
  <r>
    <x v="9"/>
    <x v="0"/>
    <x v="4"/>
    <s v="2020Nov"/>
    <x v="4"/>
    <s v="Customer 37"/>
    <s v="Customeremailaddress@domain.com"/>
    <x v="2"/>
    <x v="1"/>
    <m/>
    <s v=""/>
    <x v="1"/>
    <m/>
    <n v="0"/>
    <n v="0"/>
    <n v="0"/>
  </r>
  <r>
    <x v="27"/>
    <x v="1"/>
    <x v="3"/>
    <s v="2021Feb"/>
    <x v="4"/>
    <s v="Customer 38"/>
    <s v="Customeremailaddress@domain.com"/>
    <x v="1"/>
    <x v="2"/>
    <m/>
    <s v=""/>
    <x v="1"/>
    <m/>
    <n v="0"/>
    <n v="0"/>
    <n v="0"/>
  </r>
  <r>
    <x v="34"/>
    <x v="0"/>
    <x v="2"/>
    <s v="2020Oct"/>
    <x v="4"/>
    <s v="Customer 39"/>
    <s v="Customeremailaddress@domain.com"/>
    <x v="2"/>
    <x v="0"/>
    <d v="2020-11-10T00:00:00"/>
    <n v="29"/>
    <x v="0"/>
    <n v="300"/>
    <n v="700"/>
    <n v="100"/>
    <n v="0.14285714285714285"/>
  </r>
  <r>
    <x v="35"/>
    <x v="0"/>
    <x v="0"/>
    <s v="2020Dec"/>
    <x v="4"/>
    <s v="Customer 40"/>
    <s v="Customeremailaddress@domain.com"/>
    <x v="2"/>
    <x v="1"/>
    <m/>
    <s v=""/>
    <x v="1"/>
    <m/>
    <n v="0"/>
    <n v="0"/>
    <n v="0"/>
  </r>
  <r>
    <x v="35"/>
    <x v="0"/>
    <x v="0"/>
    <s v="2020Dec"/>
    <x v="3"/>
    <s v="Customer 41"/>
    <s v="Customeremailaddress@domain.com"/>
    <x v="1"/>
    <x v="2"/>
    <m/>
    <s v=""/>
    <x v="1"/>
    <m/>
    <n v="0"/>
    <n v="0"/>
    <n v="0"/>
  </r>
  <r>
    <x v="36"/>
    <x v="1"/>
    <x v="3"/>
    <s v="2021Feb"/>
    <x v="0"/>
    <s v="Customer 42"/>
    <s v="Customeremailaddress@domain.com"/>
    <x v="2"/>
    <x v="2"/>
    <m/>
    <s v=""/>
    <x v="1"/>
    <m/>
    <n v="0"/>
    <n v="0"/>
    <n v="0"/>
  </r>
  <r>
    <x v="37"/>
    <x v="1"/>
    <x v="1"/>
    <s v="2021Jan"/>
    <x v="2"/>
    <s v="Customer 43"/>
    <s v="Customeremailaddress@domain.com"/>
    <x v="1"/>
    <x v="0"/>
    <d v="2021-01-27T00:00:00"/>
    <n v="25"/>
    <x v="0"/>
    <n v="150"/>
    <n v="500"/>
    <n v="200"/>
    <n v="0.4"/>
  </r>
  <r>
    <x v="12"/>
    <x v="1"/>
    <x v="5"/>
    <s v="2021Mar"/>
    <x v="0"/>
    <s v="Customer 44"/>
    <s v="Customeremailaddress@domain.com"/>
    <x v="2"/>
    <x v="1"/>
    <m/>
    <s v=""/>
    <x v="1"/>
    <m/>
    <n v="0"/>
    <n v="0"/>
    <n v="0"/>
  </r>
  <r>
    <x v="38"/>
    <x v="1"/>
    <x v="3"/>
    <s v="2021Feb"/>
    <x v="0"/>
    <s v="Customer 45"/>
    <s v="Customeremailaddress@domain.com"/>
    <x v="0"/>
    <x v="0"/>
    <d v="2021-02-27T00:00:00"/>
    <n v="21"/>
    <x v="0"/>
    <n v="200"/>
    <n v="0"/>
    <n v="0"/>
    <n v="0"/>
  </r>
  <r>
    <x v="39"/>
    <x v="1"/>
    <x v="1"/>
    <s v="2021Jan"/>
    <x v="0"/>
    <s v="Customer 46"/>
    <s v="Customeremailaddress@domain.com"/>
    <x v="2"/>
    <x v="2"/>
    <m/>
    <s v=""/>
    <x v="1"/>
    <m/>
    <n v="500"/>
    <n v="50"/>
    <n v="0.1"/>
  </r>
  <r>
    <x v="21"/>
    <x v="1"/>
    <x v="3"/>
    <s v="2021Feb"/>
    <x v="4"/>
    <s v="Customer 47"/>
    <s v="Customeremailaddress@domain.com"/>
    <x v="2"/>
    <x v="2"/>
    <m/>
    <s v=""/>
    <x v="1"/>
    <m/>
    <n v="0"/>
    <n v="0"/>
    <n v="0"/>
  </r>
  <r>
    <x v="16"/>
    <x v="0"/>
    <x v="4"/>
    <s v="2020Nov"/>
    <x v="3"/>
    <s v="Customer 48"/>
    <s v="Customeremailaddress@domain.com"/>
    <x v="2"/>
    <x v="0"/>
    <d v="2020-12-01T00:00:00"/>
    <n v="12"/>
    <x v="0"/>
    <n v="350"/>
    <n v="0"/>
    <n v="0"/>
    <n v="0"/>
  </r>
  <r>
    <x v="38"/>
    <x v="1"/>
    <x v="3"/>
    <s v="2021Feb"/>
    <x v="0"/>
    <s v="Customer 49"/>
    <s v="Customeremailaddress@domain.com"/>
    <x v="2"/>
    <x v="1"/>
    <m/>
    <s v=""/>
    <x v="1"/>
    <m/>
    <n v="0"/>
    <n v="0"/>
    <n v="0"/>
  </r>
  <r>
    <x v="40"/>
    <x v="0"/>
    <x v="2"/>
    <s v="2020Oct"/>
    <x v="1"/>
    <s v="Customer 50"/>
    <s v="Customeremailaddress@domain.com"/>
    <x v="1"/>
    <x v="3"/>
    <m/>
    <s v=""/>
    <x v="1"/>
    <m/>
    <n v="0"/>
    <n v="0"/>
    <n v="0"/>
  </r>
  <r>
    <x v="41"/>
    <x v="0"/>
    <x v="4"/>
    <s v="2020Nov"/>
    <x v="0"/>
    <s v="Customer 51"/>
    <s v="Customeremailaddress@domain.com"/>
    <x v="0"/>
    <x v="1"/>
    <m/>
    <s v=""/>
    <x v="1"/>
    <m/>
    <n v="0"/>
    <n v="0"/>
    <n v="0"/>
  </r>
  <r>
    <x v="42"/>
    <x v="0"/>
    <x v="0"/>
    <s v="2020Dec"/>
    <x v="1"/>
    <s v="Customer 52"/>
    <s v="Customeremailaddress@domain.com"/>
    <x v="2"/>
    <x v="0"/>
    <d v="2021-01-15T00:00:00"/>
    <n v="17"/>
    <x v="0"/>
    <n v="300"/>
    <n v="0"/>
    <n v="0"/>
    <n v="0"/>
  </r>
  <r>
    <x v="43"/>
    <x v="0"/>
    <x v="4"/>
    <s v="2020Nov"/>
    <x v="0"/>
    <s v="Customer 53"/>
    <s v="Customeremailaddress@domain.com"/>
    <x v="0"/>
    <x v="0"/>
    <d v="2020-12-10T00:00:00"/>
    <n v="35"/>
    <x v="0"/>
    <n v="250"/>
    <n v="0"/>
    <n v="0"/>
    <n v="0"/>
  </r>
  <r>
    <x v="21"/>
    <x v="1"/>
    <x v="3"/>
    <s v="2021Feb"/>
    <x v="4"/>
    <s v="Customer 54"/>
    <s v="Customeremailaddress@domain.com"/>
    <x v="0"/>
    <x v="3"/>
    <m/>
    <s v=""/>
    <x v="1"/>
    <m/>
    <n v="0"/>
    <n v="0"/>
    <n v="0"/>
  </r>
  <r>
    <x v="37"/>
    <x v="1"/>
    <x v="1"/>
    <s v="2021Jan"/>
    <x v="1"/>
    <s v="Customer 55"/>
    <s v="Customeremailaddress@domain.com"/>
    <x v="0"/>
    <x v="3"/>
    <m/>
    <s v=""/>
    <x v="1"/>
    <m/>
    <n v="0"/>
    <n v="0"/>
    <n v="0"/>
  </r>
  <r>
    <x v="44"/>
    <x v="1"/>
    <x v="1"/>
    <s v="2021Jan"/>
    <x v="0"/>
    <s v="Customer 56"/>
    <s v="Customeremailaddress@domain.com"/>
    <x v="2"/>
    <x v="0"/>
    <d v="2021-02-01T00:00:00"/>
    <n v="24"/>
    <x v="0"/>
    <n v="300"/>
    <n v="500"/>
    <n v="50"/>
    <n v="0.1"/>
  </r>
  <r>
    <x v="45"/>
    <x v="1"/>
    <x v="3"/>
    <s v="2021Feb"/>
    <x v="4"/>
    <s v="Customer 57"/>
    <s v="Customeremailaddress@domain.com"/>
    <x v="2"/>
    <x v="0"/>
    <d v="2021-02-28T00:00:00"/>
    <n v="14"/>
    <x v="0"/>
    <n v="250"/>
    <n v="0"/>
    <n v="0"/>
    <n v="0"/>
  </r>
  <r>
    <x v="46"/>
    <x v="1"/>
    <x v="1"/>
    <s v="2021Jan"/>
    <x v="3"/>
    <s v="Customer 58"/>
    <s v="Customeremailaddress@domain.com"/>
    <x v="2"/>
    <x v="0"/>
    <d v="2021-01-22T00:00:00"/>
    <n v="21"/>
    <x v="0"/>
    <n v="350"/>
    <n v="0"/>
    <n v="0"/>
    <n v="0"/>
  </r>
  <r>
    <x v="47"/>
    <x v="0"/>
    <x v="2"/>
    <s v="2020Oct"/>
    <x v="3"/>
    <s v="Customer 59"/>
    <s v="Customeremailaddress@domain.com"/>
    <x v="0"/>
    <x v="2"/>
    <m/>
    <s v=""/>
    <x v="1"/>
    <m/>
    <n v="0"/>
    <n v="0"/>
    <n v="0"/>
  </r>
  <r>
    <x v="48"/>
    <x v="0"/>
    <x v="0"/>
    <s v="2020Dec"/>
    <x v="1"/>
    <s v="Customer 60"/>
    <s v="Customeremailaddress@domain.com"/>
    <x v="1"/>
    <x v="0"/>
    <d v="2021-01-10T00:00:00"/>
    <n v="34"/>
    <x v="0"/>
    <n v="300"/>
    <n v="0"/>
    <n v="0"/>
    <n v="0"/>
  </r>
  <r>
    <x v="39"/>
    <x v="1"/>
    <x v="1"/>
    <s v="2021Jan"/>
    <x v="1"/>
    <s v="Customer 61"/>
    <s v="Customeremailaddress@domain.com"/>
    <x v="0"/>
    <x v="1"/>
    <m/>
    <s v=""/>
    <x v="1"/>
    <m/>
    <n v="0"/>
    <n v="0"/>
    <n v="0"/>
  </r>
  <r>
    <x v="49"/>
    <x v="1"/>
    <x v="1"/>
    <s v="2021Jan"/>
    <x v="1"/>
    <s v="Customer 62"/>
    <s v="Customeremailaddress@domain.com"/>
    <x v="0"/>
    <x v="0"/>
    <d v="2021-02-15T00:00:00"/>
    <n v="17"/>
    <x v="0"/>
    <n v="400"/>
    <n v="0"/>
    <n v="0"/>
    <n v="0"/>
  </r>
  <r>
    <x v="50"/>
    <x v="0"/>
    <x v="4"/>
    <s v="2020Nov"/>
    <x v="2"/>
    <s v="Customer 63"/>
    <s v="Customeremailaddress@domain.com"/>
    <x v="1"/>
    <x v="2"/>
    <m/>
    <s v=""/>
    <x v="1"/>
    <m/>
    <n v="0"/>
    <n v="0"/>
    <n v="0"/>
  </r>
  <r>
    <x v="0"/>
    <x v="0"/>
    <x v="0"/>
    <s v="2020Dec"/>
    <x v="3"/>
    <s v="Customer 64"/>
    <s v="Customeremailaddress@domain.com"/>
    <x v="0"/>
    <x v="2"/>
    <m/>
    <s v=""/>
    <x v="1"/>
    <m/>
    <n v="0"/>
    <n v="0"/>
    <n v="0"/>
  </r>
  <r>
    <x v="51"/>
    <x v="0"/>
    <x v="4"/>
    <s v="2020Nov"/>
    <x v="1"/>
    <s v="Customer 65"/>
    <s v="Customeremailaddress@domain.com"/>
    <x v="1"/>
    <x v="3"/>
    <m/>
    <s v=""/>
    <x v="1"/>
    <m/>
    <n v="350"/>
    <n v="-110"/>
    <n v="-0.31428571428571428"/>
  </r>
  <r>
    <x v="52"/>
    <x v="1"/>
    <x v="1"/>
    <s v="2021Jan"/>
    <x v="0"/>
    <s v="Customer 66"/>
    <s v="Customeremailaddress@domain.com"/>
    <x v="0"/>
    <x v="2"/>
    <m/>
    <s v=""/>
    <x v="1"/>
    <m/>
    <n v="500"/>
    <n v="50"/>
    <n v="0.1"/>
  </r>
  <r>
    <x v="53"/>
    <x v="0"/>
    <x v="4"/>
    <s v="2020Nov"/>
    <x v="3"/>
    <s v="Customer 67"/>
    <s v="Customeremailaddress@domain.com"/>
    <x v="2"/>
    <x v="3"/>
    <m/>
    <s v=""/>
    <x v="1"/>
    <m/>
    <n v="0"/>
    <n v="0"/>
    <n v="0"/>
  </r>
  <r>
    <x v="8"/>
    <x v="1"/>
    <x v="1"/>
    <s v="2021Jan"/>
    <x v="3"/>
    <s v="Customer 68"/>
    <s v="Customeremailaddress@domain.com"/>
    <x v="1"/>
    <x v="3"/>
    <m/>
    <s v=""/>
    <x v="1"/>
    <m/>
    <n v="0"/>
    <n v="0"/>
    <n v="0"/>
  </r>
  <r>
    <x v="54"/>
    <x v="0"/>
    <x v="0"/>
    <s v="2020Dec"/>
    <x v="2"/>
    <s v="Customer 69"/>
    <s v="Customeremailaddress@domain.com"/>
    <x v="0"/>
    <x v="1"/>
    <m/>
    <s v=""/>
    <x v="1"/>
    <m/>
    <n v="900"/>
    <n v="-140"/>
    <n v="-0.15555555555555556"/>
  </r>
  <r>
    <x v="55"/>
    <x v="0"/>
    <x v="2"/>
    <s v="2020Oct"/>
    <x v="4"/>
    <s v="Customer 70"/>
    <s v="Customeremailaddress@domain.com"/>
    <x v="1"/>
    <x v="0"/>
    <d v="2020-10-18T00:00:00"/>
    <n v="17"/>
    <x v="0"/>
    <n v="350"/>
    <n v="700"/>
    <n v="100"/>
    <n v="0.14285714285714285"/>
  </r>
  <r>
    <x v="56"/>
    <x v="1"/>
    <x v="1"/>
    <s v="2021Jan"/>
    <x v="0"/>
    <s v="Customer 71"/>
    <s v="Customeremailaddress@domain.com"/>
    <x v="2"/>
    <x v="2"/>
    <m/>
    <s v=""/>
    <x v="1"/>
    <m/>
    <n v="500"/>
    <n v="50"/>
    <n v="0.1"/>
  </r>
  <r>
    <x v="57"/>
    <x v="1"/>
    <x v="1"/>
    <s v="2021Jan"/>
    <x v="4"/>
    <s v="Customer 72"/>
    <s v="Customeremailaddress@domain.com"/>
    <x v="0"/>
    <x v="1"/>
    <m/>
    <s v=""/>
    <x v="1"/>
    <m/>
    <n v="0"/>
    <n v="0"/>
    <n v="0"/>
  </r>
  <r>
    <x v="58"/>
    <x v="0"/>
    <x v="4"/>
    <s v="2020Nov"/>
    <x v="4"/>
    <s v="Customer 73"/>
    <s v="Customeremailaddress@domain.com"/>
    <x v="2"/>
    <x v="3"/>
    <m/>
    <s v=""/>
    <x v="1"/>
    <m/>
    <n v="0"/>
    <n v="0"/>
    <n v="0"/>
  </r>
  <r>
    <x v="59"/>
    <x v="0"/>
    <x v="4"/>
    <s v="2020Nov"/>
    <x v="0"/>
    <s v="Customer 74"/>
    <s v="Customeremailaddress@domain.com"/>
    <x v="0"/>
    <x v="1"/>
    <m/>
    <s v=""/>
    <x v="1"/>
    <m/>
    <n v="0"/>
    <n v="0"/>
    <n v="0"/>
  </r>
  <r>
    <x v="60"/>
    <x v="0"/>
    <x v="4"/>
    <s v="2020Nov"/>
    <x v="0"/>
    <s v="Customer 75"/>
    <s v="Customeremailaddress@domain.com"/>
    <x v="2"/>
    <x v="3"/>
    <m/>
    <s v=""/>
    <x v="1"/>
    <m/>
    <n v="0"/>
    <n v="0"/>
    <n v="0"/>
  </r>
  <r>
    <x v="61"/>
    <x v="1"/>
    <x v="1"/>
    <s v="2021Jan"/>
    <x v="0"/>
    <s v="Customer 76"/>
    <s v="Customeremailaddress@domain.com"/>
    <x v="2"/>
    <x v="3"/>
    <m/>
    <s v=""/>
    <x v="1"/>
    <m/>
    <n v="500"/>
    <n v="50"/>
    <n v="0.1"/>
  </r>
  <r>
    <x v="12"/>
    <x v="1"/>
    <x v="5"/>
    <s v="2021Mar"/>
    <x v="1"/>
    <s v="Customer 77"/>
    <s v="Customeremailaddress@domain.com"/>
    <x v="2"/>
    <x v="2"/>
    <m/>
    <s v=""/>
    <x v="1"/>
    <m/>
    <n v="0"/>
    <n v="0"/>
    <n v="0"/>
  </r>
  <r>
    <x v="62"/>
    <x v="0"/>
    <x v="2"/>
    <s v="2020Oct"/>
    <x v="1"/>
    <s v="Customer 78"/>
    <s v="Customeremailaddress@domain.com"/>
    <x v="2"/>
    <x v="3"/>
    <m/>
    <s v=""/>
    <x v="1"/>
    <m/>
    <n v="0"/>
    <n v="0"/>
    <n v="0"/>
  </r>
  <r>
    <x v="32"/>
    <x v="0"/>
    <x v="0"/>
    <s v="2020Dec"/>
    <x v="3"/>
    <s v="Customer 79"/>
    <s v="Customeremailaddress@domain.com"/>
    <x v="2"/>
    <x v="2"/>
    <m/>
    <s v=""/>
    <x v="1"/>
    <m/>
    <n v="0"/>
    <n v="0"/>
    <n v="0"/>
  </r>
  <r>
    <x v="63"/>
    <x v="1"/>
    <x v="3"/>
    <s v="2021Feb"/>
    <x v="4"/>
    <s v="Customer 80"/>
    <s v="Customeremailaddress@domain.com"/>
    <x v="0"/>
    <x v="1"/>
    <m/>
    <s v=""/>
    <x v="1"/>
    <m/>
    <n v="0"/>
    <n v="0"/>
    <n v="0"/>
  </r>
  <r>
    <x v="64"/>
    <x v="0"/>
    <x v="2"/>
    <s v="2020Oct"/>
    <x v="3"/>
    <s v="Customer 81"/>
    <s v="Customeremailaddress@domain.com"/>
    <x v="2"/>
    <x v="1"/>
    <m/>
    <s v=""/>
    <x v="1"/>
    <m/>
    <n v="0"/>
    <n v="0"/>
    <n v="0"/>
  </r>
  <r>
    <x v="32"/>
    <x v="0"/>
    <x v="0"/>
    <s v="2020Dec"/>
    <x v="1"/>
    <s v="Customer 82"/>
    <s v="Customeremailaddress@domain.com"/>
    <x v="1"/>
    <x v="3"/>
    <m/>
    <s v=""/>
    <x v="1"/>
    <m/>
    <n v="0"/>
    <n v="0"/>
    <n v="0"/>
  </r>
  <r>
    <x v="65"/>
    <x v="0"/>
    <x v="0"/>
    <s v="2020Dec"/>
    <x v="1"/>
    <s v="Customer 83"/>
    <s v="Customeremailaddress@domain.com"/>
    <x v="0"/>
    <x v="3"/>
    <m/>
    <s v=""/>
    <x v="1"/>
    <m/>
    <n v="0"/>
    <n v="0"/>
    <n v="0"/>
  </r>
  <r>
    <x v="13"/>
    <x v="0"/>
    <x v="4"/>
    <s v="2020Nov"/>
    <x v="1"/>
    <s v="Customer 84"/>
    <s v="Customeremailaddress@domain.com"/>
    <x v="0"/>
    <x v="0"/>
    <d v="2020-11-25T00:00:00"/>
    <n v="17"/>
    <x v="0"/>
    <n v="240"/>
    <n v="350"/>
    <n v="-110"/>
    <n v="-0.31428571428571428"/>
  </r>
  <r>
    <x v="35"/>
    <x v="0"/>
    <x v="0"/>
    <s v="2020Dec"/>
    <x v="4"/>
    <s v="Customer 85"/>
    <s v="Customeremailaddress@domain.com"/>
    <x v="2"/>
    <x v="2"/>
    <m/>
    <s v=""/>
    <x v="1"/>
    <m/>
    <n v="0"/>
    <n v="0"/>
    <n v="0"/>
  </r>
  <r>
    <x v="53"/>
    <x v="0"/>
    <x v="4"/>
    <s v="2020Nov"/>
    <x v="1"/>
    <s v="Customer 86"/>
    <s v="Customeremailaddress@domain.com"/>
    <x v="0"/>
    <x v="3"/>
    <m/>
    <s v=""/>
    <x v="1"/>
    <m/>
    <n v="350"/>
    <n v="-110"/>
    <n v="-0.31428571428571428"/>
  </r>
  <r>
    <x v="40"/>
    <x v="0"/>
    <x v="2"/>
    <s v="2020Oct"/>
    <x v="2"/>
    <s v="Customer 87"/>
    <s v="Customeremailaddress@domain.com"/>
    <x v="1"/>
    <x v="1"/>
    <m/>
    <s v=""/>
    <x v="1"/>
    <m/>
    <n v="500"/>
    <n v="50"/>
    <n v="0.1"/>
  </r>
  <r>
    <x v="5"/>
    <x v="1"/>
    <x v="3"/>
    <s v="2021Feb"/>
    <x v="2"/>
    <s v="Customer 88"/>
    <s v="Customeremailaddress@domain.com"/>
    <x v="0"/>
    <x v="2"/>
    <m/>
    <s v=""/>
    <x v="1"/>
    <m/>
    <n v="0"/>
    <n v="0"/>
    <n v="0"/>
  </r>
  <r>
    <x v="5"/>
    <x v="1"/>
    <x v="3"/>
    <s v="2021Feb"/>
    <x v="3"/>
    <s v="Customer 89"/>
    <s v="Customeremailaddress@domain.com"/>
    <x v="2"/>
    <x v="3"/>
    <m/>
    <s v=""/>
    <x v="1"/>
    <m/>
    <n v="0"/>
    <n v="0"/>
    <n v="0"/>
  </r>
  <r>
    <x v="27"/>
    <x v="1"/>
    <x v="3"/>
    <s v="2021Feb"/>
    <x v="1"/>
    <s v="Customer 90"/>
    <s v="Customeremailaddress@domain.com"/>
    <x v="2"/>
    <x v="3"/>
    <m/>
    <s v=""/>
    <x v="1"/>
    <m/>
    <n v="800"/>
    <n v="-200"/>
    <n v="-0.4"/>
  </r>
  <r>
    <x v="66"/>
    <x v="0"/>
    <x v="0"/>
    <s v="2020Dec"/>
    <x v="2"/>
    <s v="Customer 91"/>
    <s v="Customeremailaddress@domain.com"/>
    <x v="1"/>
    <x v="0"/>
    <d v="2021-01-01T00:00:00"/>
    <n v="19"/>
    <x v="0"/>
    <n v="350"/>
    <n v="900"/>
    <n v="-140"/>
    <n v="-0.15555555555555556"/>
  </r>
  <r>
    <x v="67"/>
    <x v="0"/>
    <x v="4"/>
    <s v="2020Nov"/>
    <x v="2"/>
    <s v="Customer 92"/>
    <s v="Customeremailaddress@domain.com"/>
    <x v="2"/>
    <x v="0"/>
    <d v="2020-12-15T00:00:00"/>
    <n v="29"/>
    <x v="0"/>
    <n v="400"/>
    <n v="0"/>
    <n v="0"/>
    <n v="0"/>
  </r>
  <r>
    <x v="68"/>
    <x v="1"/>
    <x v="1"/>
    <s v="2021Jan"/>
    <x v="2"/>
    <s v="Customer 93"/>
    <s v="Customeremailaddress@domain.com"/>
    <x v="0"/>
    <x v="0"/>
    <d v="2021-02-12T00:00:00"/>
    <n v="15"/>
    <x v="0"/>
    <n v="350"/>
    <n v="500"/>
    <n v="200"/>
    <n v="0.4"/>
  </r>
  <r>
    <x v="66"/>
    <x v="0"/>
    <x v="0"/>
    <s v="2020Dec"/>
    <x v="4"/>
    <s v="Customer 94"/>
    <s v="Customeremailaddress@domain.com"/>
    <x v="1"/>
    <x v="1"/>
    <m/>
    <s v=""/>
    <x v="1"/>
    <m/>
    <n v="0"/>
    <n v="0"/>
    <n v="0"/>
  </r>
  <r>
    <x v="69"/>
    <x v="0"/>
    <x v="4"/>
    <s v="2020Nov"/>
    <x v="4"/>
    <s v="Customer 95"/>
    <s v="Customeremailaddress@domain.com"/>
    <x v="1"/>
    <x v="2"/>
    <m/>
    <s v=""/>
    <x v="1"/>
    <m/>
    <n v="0"/>
    <n v="0"/>
    <n v="0"/>
  </r>
  <r>
    <x v="70"/>
    <x v="0"/>
    <x v="4"/>
    <s v="2020Nov"/>
    <x v="1"/>
    <s v="Customer 96"/>
    <s v="Customeremailaddress@domain.com"/>
    <x v="0"/>
    <x v="2"/>
    <m/>
    <s v=""/>
    <x v="1"/>
    <m/>
    <n v="350"/>
    <n v="-110"/>
    <n v="-0.31428571428571428"/>
  </r>
  <r>
    <x v="26"/>
    <x v="0"/>
    <x v="2"/>
    <s v="2020Oct"/>
    <x v="2"/>
    <s v="Customer 97"/>
    <s v="Customeremailaddress@domain.com"/>
    <x v="1"/>
    <x v="3"/>
    <m/>
    <s v=""/>
    <x v="1"/>
    <m/>
    <n v="500"/>
    <n v="50"/>
    <n v="0.1"/>
  </r>
  <r>
    <x v="71"/>
    <x v="1"/>
    <x v="1"/>
    <s v="2021Jan"/>
    <x v="3"/>
    <s v="Customer 98"/>
    <s v="Customeremailaddress@domain.com"/>
    <x v="2"/>
    <x v="1"/>
    <m/>
    <s v=""/>
    <x v="1"/>
    <m/>
    <n v="0"/>
    <n v="0"/>
    <n v="0"/>
  </r>
  <r>
    <x v="22"/>
    <x v="1"/>
    <x v="1"/>
    <s v="2021Jan"/>
    <x v="2"/>
    <s v="Customer 99"/>
    <s v="Customeremailaddress@domain.com"/>
    <x v="1"/>
    <x v="2"/>
    <m/>
    <s v=""/>
    <x v="1"/>
    <m/>
    <n v="500"/>
    <n v="200"/>
    <n v="0.4"/>
  </r>
  <r>
    <x v="29"/>
    <x v="1"/>
    <x v="1"/>
    <s v="2021Jan"/>
    <x v="4"/>
    <s v="Customer 100"/>
    <s v="Customeremailaddress@domain.com"/>
    <x v="1"/>
    <x v="0"/>
    <d v="2021-02-10T00:00:00"/>
    <n v="15"/>
    <x v="0"/>
    <n v="400"/>
    <n v="0"/>
    <n v="0"/>
    <n v="0"/>
  </r>
  <r>
    <x v="72"/>
    <x v="0"/>
    <x v="2"/>
    <s v="2020Oct"/>
    <x v="2"/>
    <s v="Customer 101"/>
    <s v="Customeremailaddress@domain.com"/>
    <x v="2"/>
    <x v="0"/>
    <d v="2020-11-10T00:00:00"/>
    <n v="31"/>
    <x v="0"/>
    <n v="350"/>
    <n v="500"/>
    <n v="50"/>
    <n v="0.1"/>
  </r>
  <r>
    <x v="15"/>
    <x v="0"/>
    <x v="2"/>
    <s v="2020Oct"/>
    <x v="4"/>
    <s v="Customer 102"/>
    <s v="Customeremailaddress@domain.com"/>
    <x v="2"/>
    <x v="3"/>
    <m/>
    <s v=""/>
    <x v="1"/>
    <m/>
    <n v="700"/>
    <n v="100"/>
    <n v="0.14285714285714285"/>
  </r>
  <r>
    <x v="42"/>
    <x v="0"/>
    <x v="0"/>
    <s v="2020Dec"/>
    <x v="4"/>
    <s v="Customer 103"/>
    <s v="Customeremailaddress@domain.com"/>
    <x v="1"/>
    <x v="2"/>
    <m/>
    <s v=""/>
    <x v="1"/>
    <m/>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d v="2020-12-01T00:00:00"/>
    <x v="0"/>
    <x v="0"/>
    <x v="0"/>
    <s v="2020Dec"/>
    <x v="0"/>
    <n v="350"/>
    <n v="500"/>
    <n v="150"/>
    <n v="0.42857142857142855"/>
  </r>
  <r>
    <d v="2020-12-10T00:00:00"/>
    <x v="1"/>
    <x v="0"/>
    <x v="0"/>
    <s v="2020Dec"/>
    <x v="0"/>
    <n v="400"/>
    <n v="500"/>
    <n v="100"/>
    <n v="0.25"/>
  </r>
  <r>
    <d v="2021-02-10T00:00:00"/>
    <x v="2"/>
    <x v="1"/>
    <x v="1"/>
    <s v="2021Feb"/>
    <x v="1"/>
    <n v="300"/>
    <n v="300"/>
    <n v="0"/>
    <n v="0"/>
  </r>
  <r>
    <d v="2021-01-11T00:00:00"/>
    <x v="3"/>
    <x v="1"/>
    <x v="2"/>
    <s v="2021Jan"/>
    <x v="0"/>
    <n v="500"/>
    <n v="550"/>
    <n v="50"/>
    <n v="0.1"/>
  </r>
  <r>
    <d v="2021-02-01T00:00:00"/>
    <x v="4"/>
    <x v="1"/>
    <x v="1"/>
    <s v="2021Feb"/>
    <x v="1"/>
    <n v="500"/>
    <n v="300"/>
    <n v="-200"/>
    <n v="-0.4"/>
  </r>
  <r>
    <d v="2021-01-02T00:00:00"/>
    <x v="5"/>
    <x v="1"/>
    <x v="2"/>
    <s v="2021Jan"/>
    <x v="2"/>
    <n v="500"/>
    <n v="700"/>
    <n v="200"/>
    <n v="0.4"/>
  </r>
  <r>
    <d v="2020-12-01T00:00:00"/>
    <x v="6"/>
    <x v="0"/>
    <x v="0"/>
    <s v="2020Dec"/>
    <x v="2"/>
    <n v="900"/>
    <n v="760"/>
    <n v="-140"/>
    <n v="-0.15555555555555556"/>
  </r>
  <r>
    <d v="2020-11-12T00:00:00"/>
    <x v="7"/>
    <x v="0"/>
    <x v="3"/>
    <s v="2020Nov"/>
    <x v="1"/>
    <n v="350"/>
    <n v="240"/>
    <n v="-110"/>
    <n v="-0.31428571428571428"/>
  </r>
  <r>
    <d v="2020-10-02T00:00:00"/>
    <x v="8"/>
    <x v="0"/>
    <x v="4"/>
    <s v="2020Oct"/>
    <x v="3"/>
    <n v="700"/>
    <n v="800"/>
    <n v="100"/>
    <n v="0.14285714285714285"/>
  </r>
  <r>
    <d v="2020-10-02T00:00:00"/>
    <x v="9"/>
    <x v="0"/>
    <x v="4"/>
    <s v="2020Oct"/>
    <x v="2"/>
    <n v="500"/>
    <n v="550"/>
    <n v="50"/>
    <n v="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D28E7C-4EDF-4B14-BD78-56F9A2D7AD81}" name="lead per platform"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X4:Y10" firstHeaderRow="1" firstDataRow="1" firstDataCol="1"/>
  <pivotFields count="16">
    <pivotField numFmtId="165" showAll="0"/>
    <pivotField showAll="0">
      <items count="3">
        <item x="0"/>
        <item x="1"/>
        <item t="default"/>
      </items>
    </pivotField>
    <pivotField showAll="0">
      <items count="7">
        <item x="1"/>
        <item x="3"/>
        <item x="5"/>
        <item x="2"/>
        <item x="4"/>
        <item x="0"/>
        <item t="default"/>
      </items>
    </pivotField>
    <pivotField showAll="0"/>
    <pivotField axis="axisRow" showAll="0">
      <items count="6">
        <item x="1"/>
        <item x="2"/>
        <item x="0"/>
        <item x="3"/>
        <item x="4"/>
        <item t="default"/>
      </items>
    </pivotField>
    <pivotField showAll="0"/>
    <pivotField showAll="0"/>
    <pivotField dataField="1" showAll="0">
      <items count="4">
        <item x="0"/>
        <item x="2"/>
        <item x="1"/>
        <item t="default"/>
      </items>
    </pivotField>
    <pivotField showAll="0">
      <items count="5">
        <item x="1"/>
        <item x="0"/>
        <item x="3"/>
        <item x="2"/>
        <item t="default"/>
      </items>
    </pivotField>
    <pivotField showAll="0"/>
    <pivotField showAll="0"/>
    <pivotField showAll="0"/>
    <pivotField showAll="0"/>
    <pivotField numFmtId="166" showAll="0"/>
    <pivotField numFmtId="166" showAll="0"/>
    <pivotField numFmtId="166" showAll="0"/>
  </pivotFields>
  <rowFields count="1">
    <field x="4"/>
  </rowFields>
  <rowItems count="6">
    <i>
      <x/>
    </i>
    <i>
      <x v="1"/>
    </i>
    <i>
      <x v="2"/>
    </i>
    <i>
      <x v="3"/>
    </i>
    <i>
      <x v="4"/>
    </i>
    <i t="grand">
      <x/>
    </i>
  </rowItems>
  <colItems count="1">
    <i/>
  </colItems>
  <dataFields count="1">
    <dataField name="Count of Service" fld="7"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81F5FB-F4FC-4C27-9611-F37E011BC93A}" name="lead time"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4:N8" firstHeaderRow="1" firstDataRow="1" firstDataCol="1"/>
  <pivotFields count="16">
    <pivotField numFmtId="165"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axis="axisRow" showAll="0">
      <items count="4">
        <item x="0"/>
        <item x="2"/>
        <item x="1"/>
        <item t="default"/>
      </items>
    </pivotField>
    <pivotField showAll="0"/>
    <pivotField showAll="0"/>
    <pivotField dataField="1" showAll="0"/>
    <pivotField showAll="0"/>
    <pivotField showAll="0"/>
    <pivotField numFmtId="166" showAll="0"/>
    <pivotField numFmtId="166" showAll="0"/>
    <pivotField numFmtId="166" showAll="0"/>
  </pivotFields>
  <rowFields count="1">
    <field x="7"/>
  </rowFields>
  <rowItems count="4">
    <i>
      <x/>
    </i>
    <i>
      <x v="1"/>
    </i>
    <i>
      <x v="2"/>
    </i>
    <i t="grand">
      <x/>
    </i>
  </rowItems>
  <colItems count="1">
    <i/>
  </colItems>
  <dataFields count="1">
    <dataField name="Average of Lead Time (Day)" fld="10" subtotal="average" baseField="0" baseItem="0" numFmtId="1"/>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7D8D88-F587-4F0B-8C91-55E2001F66C1}" name="pipeline" cacheId="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
  <location ref="B4:F6" firstHeaderRow="1" firstDataRow="2" firstDataCol="1"/>
  <pivotFields count="16">
    <pivotField numFmtId="165"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showAll="0">
      <items count="4">
        <item x="0"/>
        <item x="2"/>
        <item x="1"/>
        <item t="default"/>
      </items>
    </pivotField>
    <pivotField axis="axisCol" dataField="1" showAll="0">
      <items count="5">
        <item x="3"/>
        <item x="1"/>
        <item x="2"/>
        <item x="0"/>
        <item t="default"/>
      </items>
    </pivotField>
    <pivotField showAll="0"/>
    <pivotField showAll="0"/>
    <pivotField showAll="0"/>
    <pivotField showAll="0"/>
    <pivotField numFmtId="166" showAll="0"/>
    <pivotField numFmtId="166" showAll="0"/>
    <pivotField numFmtId="166" showAll="0"/>
  </pivotFields>
  <rowItems count="1">
    <i/>
  </rowItems>
  <colFields count="1">
    <field x="8"/>
  </colFields>
  <colItems count="4">
    <i>
      <x/>
    </i>
    <i>
      <x v="1"/>
    </i>
    <i>
      <x v="2"/>
    </i>
    <i>
      <x v="3"/>
    </i>
  </colItems>
  <dataFields count="1">
    <dataField name="Count of Stage" fld="8" subtotal="count" baseField="0" baseItem="0"/>
  </dataFields>
  <chartFormats count="5">
    <chartFormat chart="2" format="8" series="1">
      <pivotArea type="data" outline="0" fieldPosition="0">
        <references count="2">
          <reference field="4294967294" count="1" selected="0">
            <x v="0"/>
          </reference>
          <reference field="8" count="1" selected="0">
            <x v="0"/>
          </reference>
        </references>
      </pivotArea>
    </chartFormat>
    <chartFormat chart="2" format="9" series="1">
      <pivotArea type="data" outline="0" fieldPosition="0">
        <references count="2">
          <reference field="4294967294" count="1" selected="0">
            <x v="0"/>
          </reference>
          <reference field="8" count="1" selected="0">
            <x v="1"/>
          </reference>
        </references>
      </pivotArea>
    </chartFormat>
    <chartFormat chart="2" format="10" series="1">
      <pivotArea type="data" outline="0" fieldPosition="0">
        <references count="2">
          <reference field="4294967294" count="1" selected="0">
            <x v="0"/>
          </reference>
          <reference field="8" count="1" selected="0">
            <x v="2"/>
          </reference>
        </references>
      </pivotArea>
    </chartFormat>
    <chartFormat chart="2" format="11" series="1">
      <pivotArea type="data" outline="0" fieldPosition="0">
        <references count="2">
          <reference field="4294967294" count="1" selected="0">
            <x v="0"/>
          </reference>
          <reference field="8" count="1" selected="0">
            <x v="3"/>
          </reference>
        </references>
      </pivotArea>
    </chartFormat>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7CF1C71-3D07-420D-A766-B5BBE74B8D87}" name="Close time"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P4:Q8" firstHeaderRow="1" firstDataRow="1" firstDataCol="1"/>
  <pivotFields count="16">
    <pivotField numFmtId="165"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axis="axisRow" showAll="0">
      <items count="4">
        <item x="0"/>
        <item x="2"/>
        <item x="1"/>
        <item t="default"/>
      </items>
    </pivotField>
    <pivotField showAll="0"/>
    <pivotField showAll="0"/>
    <pivotField dataField="1" showAll="0"/>
    <pivotField showAll="0"/>
    <pivotField showAll="0"/>
    <pivotField numFmtId="166" showAll="0"/>
    <pivotField numFmtId="166" showAll="0"/>
    <pivotField numFmtId="166" showAll="0"/>
  </pivotFields>
  <rowFields count="1">
    <field x="7"/>
  </rowFields>
  <rowItems count="4">
    <i>
      <x/>
    </i>
    <i>
      <x v="1"/>
    </i>
    <i>
      <x v="2"/>
    </i>
    <i t="grand">
      <x/>
    </i>
  </rowItems>
  <colItems count="1">
    <i/>
  </colItems>
  <dataFields count="1">
    <dataField name="Average of Lead Time (Day)" fld="10" subtotal="average" baseField="0" baseItem="0" numFmtId="1"/>
  </dataFields>
  <formats count="1">
    <format dxfId="18">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371558-D63C-4E09-8C83-38125B7BD086}" name="revenue"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E4:AF9" firstHeaderRow="1" firstDataRow="1" firstDataCol="1"/>
  <pivotFields count="10">
    <pivotField numFmtId="165" showAll="0"/>
    <pivotField showAll="0"/>
    <pivotField showAll="0">
      <items count="3">
        <item x="0"/>
        <item x="1"/>
        <item t="default"/>
      </items>
    </pivotField>
    <pivotField showAll="0">
      <items count="6">
        <item x="2"/>
        <item x="1"/>
        <item x="4"/>
        <item x="3"/>
        <item x="0"/>
        <item t="default"/>
      </items>
    </pivotField>
    <pivotField showAll="0"/>
    <pivotField axis="axisRow" showAll="0">
      <items count="5">
        <item x="1"/>
        <item x="2"/>
        <item x="0"/>
        <item x="3"/>
        <item t="default"/>
      </items>
    </pivotField>
    <pivotField dataField="1" numFmtId="166" showAll="0"/>
    <pivotField numFmtId="166" showAll="0"/>
    <pivotField numFmtId="166" showAll="0"/>
    <pivotField numFmtId="9" showAll="0"/>
  </pivotFields>
  <rowFields count="1">
    <field x="5"/>
  </rowFields>
  <rowItems count="5">
    <i>
      <x/>
    </i>
    <i>
      <x v="1"/>
    </i>
    <i>
      <x v="2"/>
    </i>
    <i>
      <x v="3"/>
    </i>
    <i t="grand">
      <x/>
    </i>
  </rowItems>
  <colItems count="1">
    <i/>
  </colItems>
  <dataFields count="1">
    <dataField name="Sum of Cost Spend" fld="6" baseField="0" baseItem="0"/>
  </dataFields>
  <formats count="1">
    <format dxfId="19">
      <pivotArea outline="0" collapsedLevelsAreSubtotals="1" fieldPosition="0"/>
    </format>
  </formats>
  <chartFormats count="5">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5" count="1" selected="0">
            <x v="0"/>
          </reference>
        </references>
      </pivotArea>
    </chartFormat>
    <chartFormat chart="2" format="13">
      <pivotArea type="data" outline="0" fieldPosition="0">
        <references count="2">
          <reference field="4294967294" count="1" selected="0">
            <x v="0"/>
          </reference>
          <reference field="5" count="1" selected="0">
            <x v="1"/>
          </reference>
        </references>
      </pivotArea>
    </chartFormat>
    <chartFormat chart="2" format="14">
      <pivotArea type="data" outline="0" fieldPosition="0">
        <references count="2">
          <reference field="4294967294" count="1" selected="0">
            <x v="0"/>
          </reference>
          <reference field="5" count="1" selected="0">
            <x v="2"/>
          </reference>
        </references>
      </pivotArea>
    </chartFormat>
    <chartFormat chart="2" format="15">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D5D2D6-7C9F-4AE8-BCEE-44C97D17010C}" name="monthly revenue"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T4:V11" firstHeaderRow="0" firstDataRow="1" firstDataCol="1"/>
  <pivotFields count="16">
    <pivotField numFmtId="165" showAll="0"/>
    <pivotField showAll="0">
      <items count="3">
        <item x="0"/>
        <item x="1"/>
        <item t="default"/>
      </items>
    </pivotField>
    <pivotField axis="axisRow" showAll="0">
      <items count="7">
        <item x="1"/>
        <item x="3"/>
        <item x="5"/>
        <item x="2"/>
        <item x="4"/>
        <item x="0"/>
        <item t="default"/>
      </items>
    </pivotField>
    <pivotField showAll="0"/>
    <pivotField showAll="0">
      <items count="6">
        <item x="1"/>
        <item x="2"/>
        <item x="0"/>
        <item x="3"/>
        <item x="4"/>
        <item t="default"/>
      </items>
    </pivotField>
    <pivotField showAll="0"/>
    <pivotField showAll="0"/>
    <pivotField showAll="0">
      <items count="4">
        <item x="0"/>
        <item x="2"/>
        <item x="1"/>
        <item t="default"/>
      </items>
    </pivotField>
    <pivotField showAll="0"/>
    <pivotField showAll="0"/>
    <pivotField showAll="0"/>
    <pivotField showAll="0"/>
    <pivotField dataField="1" showAll="0"/>
    <pivotField numFmtId="166" showAll="0"/>
    <pivotField numFmtId="166" showAll="0"/>
    <pivotField numFmtId="166" showAll="0"/>
  </pivotFields>
  <rowFields count="1">
    <field x="2"/>
  </rowFields>
  <rowItems count="7">
    <i>
      <x/>
    </i>
    <i>
      <x v="1"/>
    </i>
    <i>
      <x v="2"/>
    </i>
    <i>
      <x v="3"/>
    </i>
    <i>
      <x v="4"/>
    </i>
    <i>
      <x v="5"/>
    </i>
    <i t="grand">
      <x/>
    </i>
  </rowItems>
  <colFields count="1">
    <field x="-2"/>
  </colFields>
  <colItems count="2">
    <i>
      <x/>
    </i>
    <i i="1">
      <x v="1"/>
    </i>
  </colItems>
  <dataFields count="2">
    <dataField name="Monthly Revenue" fld="12" baseField="0" baseItem="0"/>
    <dataField name="Accumulated Revenue" fld="12" showDataAs="runTotal" baseField="2" baseItem="5"/>
  </dataFields>
  <formats count="1">
    <format dxfId="20">
      <pivotArea outline="0" collapsedLevelsAreSubtotals="1"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53538A-B460-45B9-8631-628DC526FC99}" name="leads closed"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4:K9" firstHeaderRow="1" firstDataRow="2" firstDataCol="1"/>
  <pivotFields count="16">
    <pivotField numFmtId="165"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axis="axisRow" showAll="0">
      <items count="4">
        <item x="0"/>
        <item x="2"/>
        <item x="1"/>
        <item t="default"/>
      </items>
    </pivotField>
    <pivotField showAll="0"/>
    <pivotField showAll="0"/>
    <pivotField showAll="0"/>
    <pivotField axis="axisCol" dataField="1" showAll="0">
      <items count="3">
        <item x="1"/>
        <item x="0"/>
        <item t="default"/>
      </items>
    </pivotField>
    <pivotField showAll="0"/>
    <pivotField numFmtId="166" showAll="0"/>
    <pivotField numFmtId="166" showAll="0"/>
    <pivotField numFmtId="166" showAll="0"/>
  </pivotFields>
  <rowFields count="1">
    <field x="7"/>
  </rowFields>
  <rowItems count="4">
    <i>
      <x/>
    </i>
    <i>
      <x v="1"/>
    </i>
    <i>
      <x v="2"/>
    </i>
    <i t="grand">
      <x/>
    </i>
  </rowItems>
  <colFields count="1">
    <field x="11"/>
  </colFields>
  <colItems count="3">
    <i>
      <x/>
    </i>
    <i>
      <x v="1"/>
    </i>
    <i t="grand">
      <x/>
    </i>
  </colItems>
  <dataFields count="1">
    <dataField name="Count of Converting Status"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5DD176-4EC1-4702-B6A4-CD8C33DCD07F}" name="roi"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A4:AB9" firstHeaderRow="1" firstDataRow="1" firstDataCol="1"/>
  <pivotFields count="10">
    <pivotField numFmtId="165" showAll="0"/>
    <pivotField showAll="0"/>
    <pivotField showAll="0">
      <items count="3">
        <item x="0"/>
        <item x="1"/>
        <item t="default"/>
      </items>
    </pivotField>
    <pivotField showAll="0">
      <items count="6">
        <item x="2"/>
        <item x="1"/>
        <item x="4"/>
        <item x="3"/>
        <item x="0"/>
        <item t="default"/>
      </items>
    </pivotField>
    <pivotField showAll="0"/>
    <pivotField axis="axisRow" showAll="0">
      <items count="5">
        <item x="1"/>
        <item x="2"/>
        <item x="0"/>
        <item x="3"/>
        <item t="default"/>
      </items>
    </pivotField>
    <pivotField numFmtId="166" showAll="0"/>
    <pivotField numFmtId="166" showAll="0"/>
    <pivotField numFmtId="166" showAll="0"/>
    <pivotField dataField="1" numFmtId="9" showAll="0"/>
  </pivotFields>
  <rowFields count="1">
    <field x="5"/>
  </rowFields>
  <rowItems count="5">
    <i>
      <x/>
    </i>
    <i>
      <x v="1"/>
    </i>
    <i>
      <x v="2"/>
    </i>
    <i>
      <x v="3"/>
    </i>
    <i t="grand">
      <x/>
    </i>
  </rowItems>
  <colItems count="1">
    <i/>
  </colItems>
  <dataFields count="1">
    <dataField name="Average of ROI" fld="9" subtotal="average" baseField="0" baseItem="0" numFmtId="9"/>
  </dataFields>
  <formats count="1">
    <format dxfId="21">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DDC2699-0EF4-45D8-B948-EC59598A779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H4:AJ15" firstHeaderRow="0" firstDataRow="1" firstDataCol="1"/>
  <pivotFields count="10">
    <pivotField numFmtId="165" showAll="0"/>
    <pivotField axis="axisRow" showAll="0">
      <items count="11">
        <item x="0"/>
        <item x="1"/>
        <item x="2"/>
        <item x="3"/>
        <item x="4"/>
        <item x="5"/>
        <item x="6"/>
        <item x="7"/>
        <item x="8"/>
        <item x="9"/>
        <item t="default"/>
      </items>
    </pivotField>
    <pivotField showAll="0">
      <items count="3">
        <item x="0"/>
        <item x="1"/>
        <item t="default"/>
      </items>
    </pivotField>
    <pivotField showAll="0">
      <items count="6">
        <item x="2"/>
        <item x="1"/>
        <item x="4"/>
        <item x="3"/>
        <item x="0"/>
        <item t="default"/>
      </items>
    </pivotField>
    <pivotField showAll="0"/>
    <pivotField showAll="0"/>
    <pivotField dataField="1" numFmtId="166" showAll="0"/>
    <pivotField dataField="1" numFmtId="166" showAll="0"/>
    <pivotField numFmtId="166" showAll="0"/>
    <pivotField numFmtId="9" showAll="0"/>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name="Sum of Cost Spend" fld="6" baseField="0" baseItem="0"/>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 xr10:uid="{172E4CDA-2174-48D0-9262-BE4F53300BE9}" sourceName="Platform">
  <pivotTables>
    <pivotTable tabId="15" name="pipeline"/>
    <pivotTable tabId="15" name="lead time"/>
    <pivotTable tabId="15" name="leads closed"/>
    <pivotTable tabId="15" name="monthly revenue"/>
    <pivotTable tabId="15" name="Close time"/>
  </pivotTables>
  <data>
    <tabular pivotCacheId="1276031195">
      <items count="5">
        <i x="1" s="1"/>
        <i x="2" s="1"/>
        <i x="0" s="1"/>
        <i x="3"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 xr10:uid="{472D5B8F-AEBA-4134-B0FD-3FBB3B155515}" sourceName="Service">
  <pivotTables>
    <pivotTable tabId="15" name="pipeline"/>
    <pivotTable tabId="15" name="lead time"/>
    <pivotTable tabId="15" name="leads closed"/>
    <pivotTable tabId="15" name="Close time"/>
    <pivotTable tabId="15" name="lead per platform"/>
    <pivotTable tabId="15" name="monthly revenue"/>
  </pivotTables>
  <data>
    <tabular pivotCacheId="1276031195">
      <items count="3">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93F43AE2-CF39-4450-AFD7-EA9E6D564537}" sourceName="Stage">
  <pivotTables>
    <pivotTable tabId="15" name="lead per platform"/>
  </pivotTables>
  <data>
    <tabular pivotCacheId="1276031195">
      <items count="4">
        <i x="1" s="1"/>
        <i x="0" s="1"/>
        <i x="3"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2E907AB-98D0-4A67-B553-C252C25E1AC4}" sourceName="Month">
  <pivotTables>
    <pivotTable tabId="15" name="leads closed"/>
    <pivotTable tabId="15" name="lead time"/>
    <pivotTable tabId="15" name="pipeline"/>
    <pivotTable tabId="15" name="Close time"/>
    <pivotTable tabId="15" name="lead per platform"/>
  </pivotTables>
  <data>
    <tabular pivotCacheId="1276031195">
      <items count="6">
        <i x="1" s="1"/>
        <i x="3" s="1"/>
        <i x="5" s="1"/>
        <i x="2" s="1"/>
        <i x="4"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74E9F8E-849C-4191-876B-1FDB663E9630}" sourceName="Year">
  <pivotTables>
    <pivotTable tabId="15" name="leads closed"/>
    <pivotTable tabId="15" name="Close time"/>
    <pivotTable tabId="15" name="lead time"/>
    <pivotTable tabId="15" name="monthly revenue"/>
    <pivotTable tabId="15" name="pipeline"/>
    <pivotTable tabId="15" name="lead per platform"/>
  </pivotTables>
  <data>
    <tabular pivotCacheId="1276031195">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7A6D1AAB-AFEE-4CE6-8575-93A94A8B309B}" sourceName="Month">
  <pivotTables>
    <pivotTable tabId="15" name="roi"/>
    <pivotTable tabId="15" name="revenue"/>
    <pivotTable tabId="15" name="PivotTable1"/>
  </pivotTables>
  <data>
    <tabular pivotCacheId="554246883">
      <items count="5">
        <i x="2" s="1"/>
        <i x="1" s="1"/>
        <i x="4" s="1"/>
        <i x="3"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158CD872-5819-4C7F-BDE0-6670E27A03E1}" sourceName="Year">
  <pivotTables>
    <pivotTable tabId="15" name="roi"/>
    <pivotTable tabId="15" name="revenue"/>
    <pivotTable tabId="15" name="PivotTable1"/>
  </pivotTables>
  <data>
    <tabular pivotCacheId="55424688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 xr10:uid="{6B15BCB3-7042-489A-B723-77AE3DB0EA16}" cache="Slicer_Platform" caption="Platform" style="Slicer Style 1 2" lockedPosition="1" rowHeight="225425"/>
  <slicer name="Service" xr10:uid="{DFF3F2BE-6A91-4A7A-9002-D5EA43A51206}" cache="Slicer_Service" caption="Service" style="Slicer Style 1 2" lockedPosition="1" rowHeight="225425"/>
  <slicer name="Stage" xr10:uid="{2BA7D753-8F9F-469E-83CE-CD15AC328FC4}" cache="Slicer_Stage" caption="Stage" style="Slicer Style 1 2" lockedPosition="1" rowHeight="225425"/>
  <slicer name="Month" xr10:uid="{55D3E26E-C8D7-40B3-A5D8-50242FDAD45D}" cache="Slicer_Month" caption="Month" columnCount="4" style="Slicer Style 1" lockedPosition="1" rowHeight="225425"/>
  <slicer name="Year" xr10:uid="{092121AE-BFEE-4EA8-8255-1DDE539FDC1A}" cache="Slicer_Year" caption="Year" style="Slicer Style 1" lockedPosition="1" rowHeight="225425"/>
  <slicer name="Month 1" xr10:uid="{ED0C4EA0-7C0D-4DD9-847A-B16BE031D3B9}" cache="Slicer_Month1" caption="Month" columnCount="4" style="Slicer Style 1" lockedPosition="1" rowHeight="225425"/>
  <slicer name="Year 1" xr10:uid="{91BDB2FE-B656-4BA1-902F-1F7951E9E123}" cache="Slicer_Year1" caption="Year"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lead" displayName="lead" ref="B22:Q125" totalsRowShown="0" headerRowDxfId="42" dataDxfId="40" headerRowBorderDxfId="41" tableBorderDxfId="39" totalsRowBorderDxfId="38">
  <tableColumns count="16">
    <tableColumn id="1" xr3:uid="{C1C023B3-B031-4668-B6AF-D42F2252A966}" name="Date Of Lead" dataDxfId="37"/>
    <tableColumn id="13" xr3:uid="{B814C527-0611-4BC0-AC85-B239A43AEDF2}" name="Year" dataDxfId="36">
      <calculatedColumnFormula>IFERROR(IF(lead[[#This Row],[Date Of Lead]]="","",YEAR(lead[[#This Row],[Date Of Lead]])),"")</calculatedColumnFormula>
    </tableColumn>
    <tableColumn id="2" xr3:uid="{FDD2FDF3-2103-46AD-BB64-FC474F39E315}" name="Month" dataDxfId="35">
      <calculatedColumnFormula>IFERROR(VLOOKUP(IF(lead[[#This Row],[Date Of Lead]]="","",MONTH(lead[[#This Row],[Date Of Lead]])),Sheet3!D:E,2,0),"")</calculatedColumnFormula>
    </tableColumn>
    <tableColumn id="14" xr3:uid="{94BCA9B8-8798-491C-8455-D4DF6DF3417E}" name="Date Comp" dataDxfId="34">
      <calculatedColumnFormula>IFERROR(IF(OR(lead[[#This Row],[Year]]="",lead[[#This Row],[Month]]=""),"",lead[[#This Row],[Year]]&amp;lead[[#This Row],[Month]]),"")</calculatedColumnFormula>
    </tableColumn>
    <tableColumn id="9" xr3:uid="{09988A16-AA51-493D-81F5-A96E1D049E14}" name="Platform" dataDxfId="33"/>
    <tableColumn id="11" xr3:uid="{D2909BA1-A962-4AF3-BBE4-EA37095E560F}" name="Customer Name" dataDxfId="32"/>
    <tableColumn id="7" xr3:uid="{A9CAE794-581B-499A-981E-E52F69996A25}" name="Email Address" dataDxfId="31" dataCellStyle="Hyperlink"/>
    <tableColumn id="6" xr3:uid="{39D4C39F-DE05-4A9E-B5A6-AA921406F8B2}" name="Service" dataDxfId="30"/>
    <tableColumn id="5" xr3:uid="{6045A146-6640-45D2-B32F-2D324E6909A8}" name="Stage" dataDxfId="29"/>
    <tableColumn id="10" xr3:uid="{36CE08CE-AFAA-44C2-AC0A-762715F0EAFA}" name="Closed Date" dataDxfId="28"/>
    <tableColumn id="4" xr3:uid="{29D6D385-58A3-42D0-AB56-F21E33080948}" name="Lead Time (Day)" dataDxfId="27">
      <calculatedColumnFormula>IFERROR(IF(OR(lead[[#This Row],[Closed Date]]="",lead[[#This Row],[Date Of Lead]]=""),"",lead[[#This Row],[Closed Date]]-lead[[#This Row],[Date Of Lead]]),"")</calculatedColumnFormula>
    </tableColumn>
    <tableColumn id="8" xr3:uid="{A32E19D7-7F18-4E01-9394-9C370B34907F}" name="Converting Status" dataDxfId="26">
      <calculatedColumnFormula>IFERROR(IF(OR(lead[[#This Row],[Closed Date]]="",lead[[#This Row],[Date Of Lead]]=""),"No","Yes"),"")</calculatedColumnFormula>
    </tableColumn>
    <tableColumn id="3" xr3:uid="{1E0C847F-29DE-4AC2-ABBB-F643908CE218}" name="Total Revenue" dataDxfId="25"/>
    <tableColumn id="15" xr3:uid="{47AD99E3-B7B0-4B0D-A7BB-5B13B340E85B}" name="Related Ad Cost" dataDxfId="24">
      <calculatedColumnFormula>IFERROR(SUMIFS('Advertising Spend'!H:H,'Advertising Spend'!G:G,lead[[#This Row],[Platform]],'Advertising Spend'!F:F,lead[[#This Row],[Date Comp]]),"")</calculatedColumnFormula>
    </tableColumn>
    <tableColumn id="16" xr3:uid="{D9362D91-7EFB-4FFC-9041-7563484B297B}" name="Related Ad Profit" dataDxfId="23">
      <calculatedColumnFormula>IFERROR(SUMIFS('Advertising Spend'!J:J,'Advertising Spend'!G:G,lead[[#This Row],[Platform]],'Advertising Spend'!F:F,lead[[#This Row],[Date Comp]]),"")</calculatedColumnFormula>
    </tableColumn>
    <tableColumn id="12" xr3:uid="{FF81C187-F8CF-4C2A-8688-B44AFA3A087D}" name="Related Ad ROI" dataDxfId="22">
      <calculatedColumnFormula>IFERROR(SUMIFS('Advertising Spend'!K:K,'Advertising Spend'!G:G,lead[[#This Row],[Platform]],'Advertising Spend'!F:F,lead[[#This Row],[Date Comp]]),"")</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D0E765-259F-49A5-8B9B-C299A8BB33F1}" name="adv" displayName="adv" ref="B1:K11" totalsRowShown="0" headerRowDxfId="14" dataDxfId="12" headerRowBorderDxfId="13" tableBorderDxfId="11" totalsRowBorderDxfId="10">
  <tableColumns count="10">
    <tableColumn id="1" xr3:uid="{F4ECBAC0-BA68-44AC-BD87-2FA865D2771D}" name="Date Of Ad" dataDxfId="9"/>
    <tableColumn id="2" xr3:uid="{BD57F004-EE2F-4411-8F2B-9D0C6B586331}" name="Ad Name or Code" dataDxfId="8"/>
    <tableColumn id="13" xr3:uid="{9056F2F4-34D2-4932-AA47-C5E7F9BEFA60}" name="Year" dataDxfId="7">
      <calculatedColumnFormula>IF(adv[[#This Row],[Date Of Ad]]="","",YEAR(adv[[#This Row],[Date Of Ad]]))</calculatedColumnFormula>
    </tableColumn>
    <tableColumn id="14" xr3:uid="{5BE72643-09B0-433A-BB0F-2566411332D6}" name="Month" dataDxfId="6">
      <calculatedColumnFormula>IFERROR(VLOOKUP(IF(adv[[#This Row],[Date Of Ad]]="","",MONTH(adv[[#This Row],[Date Of Ad]])),Sheet3!D:E,2,0),"")</calculatedColumnFormula>
    </tableColumn>
    <tableColumn id="9" xr3:uid="{EAAA5C0F-03F0-409A-BE6D-BBDF4CED6E7F}" name="Date Comb" dataDxfId="5">
      <calculatedColumnFormula>IF(OR(adv[[#This Row],[Year]]="",adv[[#This Row],[Month]]=""),"",adv[[#This Row],[Year]]&amp;adv[[#This Row],[Month]])</calculatedColumnFormula>
    </tableColumn>
    <tableColumn id="11" xr3:uid="{3A9949DD-ECDC-4B9E-94E8-E90B57273922}" name="Platform" dataDxfId="4"/>
    <tableColumn id="8" xr3:uid="{EEBCE01D-140C-40DD-A452-44C66D8C7EB4}" name="Cost Spend" dataDxfId="3"/>
    <tableColumn id="7" xr3:uid="{F38E31AB-F35F-4D7B-A27F-5A1BFBA64A22}" name="Revenue" dataDxfId="2">
      <calculatedColumnFormula>IFERROR(IF(adv[[#This Row],[Platform]]="","",SUMIFS('Leads Raw Data'!N:N,'Leads Raw Data'!F:F,adv[[#This Row],[Platform]],'Leads Raw Data'!E:E,adv[[#This Row],[Date Comb]])),"")</calculatedColumnFormula>
    </tableColumn>
    <tableColumn id="6" xr3:uid="{BD127421-DD94-4953-A62D-DD8C2ED4532E}" name="Profit" dataDxfId="1">
      <calculatedColumnFormula>IF(OR(adv[[#This Row],[Revenue]]="",adv[[#This Row],[Cost Spend]]=""),"",adv[[#This Row],[Revenue]]-adv[[#This Row],[Cost Spend]])</calculatedColumnFormula>
    </tableColumn>
    <tableColumn id="5" xr3:uid="{F67CBC49-6F37-4608-A975-FD100435F4B2}" name="ROI" dataDxfId="0" dataCellStyle="Percent">
      <calculatedColumnFormula>IF(OR(adv[[#This Row],[Profit]]="",adv[[#This Row],[Revenue]]=""),"",(adv[[#This Row],[Profit]]/adv[[#This Row],[Cost Spend]]))</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ustomeremailaddress@domain.com" TargetMode="External"/><Relationship Id="rId1" Type="http://schemas.openxmlformats.org/officeDocument/2006/relationships/hyperlink" Target="mailto:Customeremailaddress@domain.com" TargetMode="Externa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63"/>
  <sheetViews>
    <sheetView showGridLines="0" showRowColHeaders="0" tabSelected="1" topLeftCell="A26" zoomScale="85" zoomScaleNormal="85" workbookViewId="0">
      <pane xSplit="3" topLeftCell="D1" activePane="topRight" state="frozen"/>
      <selection pane="topRight" activeCell="C58" sqref="C58:E65"/>
    </sheetView>
  </sheetViews>
  <sheetFormatPr defaultColWidth="10.140625" defaultRowHeight="15" x14ac:dyDescent="0.2"/>
  <cols>
    <col min="1" max="1" width="26" style="5"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6" t="s">
        <v>1</v>
      </c>
      <c r="B5" s="3" t="s">
        <v>0</v>
      </c>
      <c r="D5" s="3" t="s">
        <v>235</v>
      </c>
    </row>
    <row r="7" spans="1:4" ht="12.75" x14ac:dyDescent="0.2">
      <c r="A7" s="7"/>
      <c r="B7" s="3" t="s">
        <v>2</v>
      </c>
      <c r="D7" s="2" t="s">
        <v>213</v>
      </c>
    </row>
    <row r="8" spans="1:4" ht="12.75" x14ac:dyDescent="0.2">
      <c r="A8" s="7" t="s">
        <v>208</v>
      </c>
      <c r="D8" s="2" t="s">
        <v>214</v>
      </c>
    </row>
    <row r="9" spans="1:4" ht="12.75" x14ac:dyDescent="0.2">
      <c r="A9" s="7" t="s">
        <v>209</v>
      </c>
    </row>
    <row r="10" spans="1:4" ht="12.75" x14ac:dyDescent="0.2">
      <c r="A10" s="7" t="s">
        <v>15</v>
      </c>
    </row>
    <row r="11" spans="1:4" ht="12.75" x14ac:dyDescent="0.2">
      <c r="A11" s="7"/>
      <c r="B11" s="11"/>
      <c r="C11" s="10"/>
    </row>
    <row r="13" spans="1:4" ht="12.75" x14ac:dyDescent="0.2">
      <c r="A13" s="7"/>
    </row>
    <row r="14" spans="1:4" ht="12.75" x14ac:dyDescent="0.2">
      <c r="A14" s="7"/>
      <c r="B14" s="3" t="s">
        <v>3</v>
      </c>
      <c r="D14" s="3">
        <v>2</v>
      </c>
    </row>
    <row r="15" spans="1:4" ht="12.75" x14ac:dyDescent="0.2">
      <c r="A15" s="7"/>
    </row>
    <row r="16" spans="1:4" x14ac:dyDescent="0.2">
      <c r="B16" s="3" t="s">
        <v>4</v>
      </c>
      <c r="C16" s="8"/>
      <c r="D16" s="9"/>
    </row>
    <row r="17" spans="1:4" ht="12.75" x14ac:dyDescent="0.2">
      <c r="A17" s="7"/>
      <c r="B17" s="3"/>
      <c r="C17" s="12" t="s">
        <v>208</v>
      </c>
      <c r="D17" s="2" t="s">
        <v>210</v>
      </c>
    </row>
    <row r="18" spans="1:4" ht="12.75" x14ac:dyDescent="0.2">
      <c r="A18" s="7"/>
      <c r="B18" s="3"/>
      <c r="C18" s="12" t="s">
        <v>209</v>
      </c>
      <c r="D18" s="2" t="s">
        <v>211</v>
      </c>
    </row>
    <row r="19" spans="1:4" ht="12.75" x14ac:dyDescent="0.2">
      <c r="A19" s="7"/>
      <c r="B19" s="3"/>
      <c r="C19" s="12" t="s">
        <v>15</v>
      </c>
      <c r="D19" s="2" t="s">
        <v>212</v>
      </c>
    </row>
    <row r="20" spans="1:4" ht="12.75" customHeight="1" x14ac:dyDescent="0.2">
      <c r="C20" s="4"/>
    </row>
    <row r="21" spans="1:4" ht="12.75" customHeight="1" x14ac:dyDescent="0.2">
      <c r="B21" s="3" t="s">
        <v>5</v>
      </c>
      <c r="C21" s="4" t="s">
        <v>6</v>
      </c>
      <c r="D21" s="2" t="s">
        <v>215</v>
      </c>
    </row>
    <row r="22" spans="1:4" ht="12.75" customHeight="1" x14ac:dyDescent="0.2">
      <c r="C22" s="4" t="s">
        <v>7</v>
      </c>
      <c r="D22" s="2" t="s">
        <v>216</v>
      </c>
    </row>
    <row r="23" spans="1:4" ht="12.75" customHeight="1" x14ac:dyDescent="0.2">
      <c r="C23" s="4" t="s">
        <v>8</v>
      </c>
      <c r="D23" s="2" t="s">
        <v>217</v>
      </c>
    </row>
    <row r="24" spans="1:4" ht="12.75" customHeight="1" x14ac:dyDescent="0.2">
      <c r="C24" s="4" t="s">
        <v>9</v>
      </c>
      <c r="D24" s="2" t="s">
        <v>218</v>
      </c>
    </row>
    <row r="25" spans="1:4" ht="12.75" customHeight="1" x14ac:dyDescent="0.2">
      <c r="C25" s="4" t="s">
        <v>10</v>
      </c>
      <c r="D25" s="2" t="s">
        <v>219</v>
      </c>
    </row>
    <row r="26" spans="1:4" ht="12.75" customHeight="1" x14ac:dyDescent="0.2">
      <c r="C26" s="4" t="s">
        <v>11</v>
      </c>
      <c r="D26" s="2" t="s">
        <v>220</v>
      </c>
    </row>
    <row r="27" spans="1:4" ht="12.75" customHeight="1" x14ac:dyDescent="0.2">
      <c r="C27" s="4" t="s">
        <v>12</v>
      </c>
      <c r="D27" s="2" t="s">
        <v>221</v>
      </c>
    </row>
    <row r="28" spans="1:4" ht="12.75" customHeight="1" x14ac:dyDescent="0.2">
      <c r="C28" s="4" t="s">
        <v>13</v>
      </c>
      <c r="D28" s="2" t="s">
        <v>222</v>
      </c>
    </row>
    <row r="29" spans="1:4" ht="12.75" customHeight="1" x14ac:dyDescent="0.2">
      <c r="C29" s="4" t="s">
        <v>14</v>
      </c>
      <c r="D29" s="2" t="s">
        <v>223</v>
      </c>
    </row>
    <row r="30" spans="1:4" ht="12.75" customHeight="1" x14ac:dyDescent="0.2">
      <c r="C30" s="4"/>
    </row>
    <row r="31" spans="1:4" ht="12.75" customHeight="1" x14ac:dyDescent="0.2">
      <c r="C31" s="4"/>
    </row>
    <row r="32" spans="1:4" ht="12.75" customHeight="1" x14ac:dyDescent="0.2">
      <c r="C32" s="4"/>
    </row>
    <row r="33" spans="2:7" ht="12.75" customHeight="1" x14ac:dyDescent="0.2">
      <c r="C33" s="4"/>
    </row>
    <row r="34" spans="2:7" ht="12.75" customHeight="1" x14ac:dyDescent="0.2">
      <c r="C34" s="4"/>
    </row>
    <row r="35" spans="2:7" ht="12.75" customHeight="1" x14ac:dyDescent="0.2">
      <c r="B35" s="11" t="s">
        <v>224</v>
      </c>
      <c r="C35" s="61"/>
      <c r="D35" s="62" t="s">
        <v>225</v>
      </c>
      <c r="E35" s="63"/>
      <c r="F35" s="63"/>
      <c r="G35" s="63"/>
    </row>
    <row r="36" spans="2:7" ht="12.75" customHeight="1" x14ac:dyDescent="0.2">
      <c r="B36" s="63"/>
      <c r="C36" s="63"/>
      <c r="D36" s="62" t="s">
        <v>226</v>
      </c>
      <c r="E36" s="63"/>
      <c r="F36" s="63"/>
      <c r="G36" s="63"/>
    </row>
    <row r="37" spans="2:7" ht="12.75" customHeight="1" x14ac:dyDescent="0.2">
      <c r="B37" s="63"/>
      <c r="C37" s="63"/>
      <c r="D37" s="63"/>
      <c r="E37" s="63"/>
      <c r="F37" s="63"/>
      <c r="G37" s="63"/>
    </row>
    <row r="38" spans="2:7" ht="12.75" customHeight="1" x14ac:dyDescent="0.2">
      <c r="B38" s="63"/>
      <c r="C38" s="64" t="s">
        <v>227</v>
      </c>
      <c r="D38" s="63" t="s">
        <v>228</v>
      </c>
      <c r="E38" s="63"/>
      <c r="F38" s="63"/>
      <c r="G38" s="63"/>
    </row>
    <row r="39" spans="2:7" ht="12.75" customHeight="1" x14ac:dyDescent="0.2">
      <c r="B39" s="63"/>
      <c r="C39" s="63"/>
      <c r="D39" s="61"/>
      <c r="E39" s="63"/>
      <c r="F39" s="63"/>
      <c r="G39" s="63"/>
    </row>
    <row r="40" spans="2:7" ht="12.75" customHeight="1" x14ac:dyDescent="0.2">
      <c r="B40" s="63"/>
      <c r="C40" s="63"/>
      <c r="D40" s="61"/>
      <c r="E40" s="63"/>
      <c r="F40" s="63"/>
      <c r="G40" s="63"/>
    </row>
    <row r="41" spans="2:7" ht="12.75" customHeight="1" x14ac:dyDescent="0.2">
      <c r="B41" s="63"/>
      <c r="C41" s="63"/>
      <c r="D41" s="61"/>
      <c r="E41" s="63"/>
      <c r="F41" s="63"/>
      <c r="G41" s="63"/>
    </row>
    <row r="42" spans="2:7" x14ac:dyDescent="0.2">
      <c r="B42" s="63"/>
      <c r="C42" s="63"/>
      <c r="D42" s="61"/>
      <c r="E42" s="63"/>
      <c r="F42" s="63"/>
      <c r="G42" s="63"/>
    </row>
    <row r="43" spans="2:7" x14ac:dyDescent="0.2">
      <c r="B43" s="63"/>
      <c r="C43" s="63"/>
      <c r="D43" s="61"/>
      <c r="E43" s="63"/>
      <c r="F43" s="63"/>
      <c r="G43" s="63"/>
    </row>
    <row r="44" spans="2:7" x14ac:dyDescent="0.2">
      <c r="B44" s="63"/>
      <c r="C44" s="64" t="s">
        <v>229</v>
      </c>
      <c r="D44" s="63" t="s">
        <v>230</v>
      </c>
      <c r="E44" s="63"/>
      <c r="F44" s="63"/>
      <c r="G44" s="63"/>
    </row>
    <row r="45" spans="2:7" x14ac:dyDescent="0.2">
      <c r="B45" s="63"/>
      <c r="C45" s="63"/>
      <c r="D45" s="63"/>
      <c r="E45" s="63"/>
      <c r="F45" s="63"/>
      <c r="G45" s="63"/>
    </row>
    <row r="46" spans="2:7" x14ac:dyDescent="0.2">
      <c r="B46" s="63"/>
      <c r="C46" s="64" t="s">
        <v>231</v>
      </c>
      <c r="D46" s="63" t="s">
        <v>232</v>
      </c>
      <c r="E46" s="63"/>
      <c r="F46" s="63"/>
      <c r="G46" s="63"/>
    </row>
    <row r="47" spans="2:7" x14ac:dyDescent="0.2">
      <c r="B47" s="63"/>
      <c r="C47" s="63"/>
      <c r="D47" s="63"/>
      <c r="E47" s="63"/>
      <c r="F47" s="63"/>
      <c r="G47" s="63"/>
    </row>
    <row r="48" spans="2:7" x14ac:dyDescent="0.2">
      <c r="B48" s="63"/>
      <c r="C48" s="63"/>
      <c r="D48" s="63"/>
      <c r="E48" s="63"/>
      <c r="F48" s="63"/>
      <c r="G48" s="63"/>
    </row>
    <row r="49" spans="2:7" x14ac:dyDescent="0.2">
      <c r="B49" s="63"/>
      <c r="C49" s="63"/>
      <c r="D49" s="63"/>
      <c r="E49" s="63"/>
      <c r="F49" s="63"/>
      <c r="G49" s="63"/>
    </row>
    <row r="50" spans="2:7" x14ac:dyDescent="0.2">
      <c r="B50" s="63"/>
      <c r="C50" s="63"/>
      <c r="D50" s="63"/>
      <c r="E50" s="63"/>
      <c r="F50" s="63"/>
      <c r="G50" s="63"/>
    </row>
    <row r="51" spans="2:7" x14ac:dyDescent="0.2">
      <c r="B51" s="63"/>
      <c r="C51" s="63"/>
      <c r="D51" s="63"/>
      <c r="E51" s="63"/>
      <c r="F51" s="63"/>
      <c r="G51" s="63"/>
    </row>
    <row r="52" spans="2:7" x14ac:dyDescent="0.2">
      <c r="B52" s="63"/>
      <c r="C52" s="64" t="s">
        <v>233</v>
      </c>
      <c r="D52" s="63" t="s">
        <v>234</v>
      </c>
      <c r="E52" s="63"/>
      <c r="F52" s="63"/>
      <c r="G52" s="63"/>
    </row>
    <row r="53" spans="2:7" x14ac:dyDescent="0.2">
      <c r="B53" s="63"/>
      <c r="C53" s="63"/>
      <c r="D53" s="63"/>
      <c r="E53" s="63"/>
      <c r="F53" s="63"/>
      <c r="G53" s="63"/>
    </row>
    <row r="54" spans="2:7" x14ac:dyDescent="0.2">
      <c r="B54" s="63"/>
      <c r="C54" s="63"/>
      <c r="D54" s="63"/>
      <c r="E54" s="63"/>
      <c r="F54" s="63"/>
      <c r="G54" s="63"/>
    </row>
    <row r="55" spans="2:7" x14ac:dyDescent="0.2">
      <c r="B55" s="63"/>
      <c r="C55" s="63"/>
      <c r="D55" s="63"/>
      <c r="E55" s="63"/>
      <c r="F55" s="63"/>
      <c r="G55" s="63"/>
    </row>
    <row r="56" spans="2:7" x14ac:dyDescent="0.2">
      <c r="B56" s="63"/>
      <c r="C56" s="63"/>
      <c r="D56" s="63"/>
      <c r="E56" s="63"/>
      <c r="F56" s="63"/>
      <c r="G56" s="63"/>
    </row>
    <row r="57" spans="2:7" x14ac:dyDescent="0.2">
      <c r="B57" s="63"/>
      <c r="C57" s="63"/>
      <c r="D57" s="63"/>
      <c r="E57" s="63"/>
      <c r="F57" s="63"/>
      <c r="G57" s="63"/>
    </row>
    <row r="58" spans="2:7" x14ac:dyDescent="0.2">
      <c r="B58" s="63"/>
      <c r="C58" s="63"/>
      <c r="D58" s="62"/>
      <c r="E58" s="63"/>
      <c r="F58" s="63"/>
      <c r="G58" s="63"/>
    </row>
    <row r="59" spans="2:7" x14ac:dyDescent="0.2">
      <c r="B59" s="63"/>
      <c r="C59" s="63"/>
      <c r="E59" s="63"/>
      <c r="F59" s="63"/>
      <c r="G59" s="63"/>
    </row>
    <row r="60" spans="2:7" x14ac:dyDescent="0.2">
      <c r="B60" s="63"/>
      <c r="C60" s="63"/>
      <c r="D60" s="14"/>
      <c r="E60" s="63"/>
      <c r="F60" s="63"/>
      <c r="G60" s="63"/>
    </row>
    <row r="61" spans="2:7" x14ac:dyDescent="0.2">
      <c r="B61" s="63"/>
      <c r="C61" s="63"/>
      <c r="E61" s="63"/>
      <c r="F61" s="63"/>
      <c r="G61" s="63"/>
    </row>
    <row r="62" spans="2:7" x14ac:dyDescent="0.2">
      <c r="B62" s="63"/>
      <c r="C62" s="63"/>
      <c r="E62" s="63"/>
      <c r="F62" s="63"/>
      <c r="G62" s="63"/>
    </row>
    <row r="63" spans="2:7" x14ac:dyDescent="0.2">
      <c r="B63" s="63"/>
      <c r="C63" s="63"/>
      <c r="E63" s="63"/>
      <c r="F63" s="63"/>
      <c r="G63" s="63"/>
    </row>
  </sheetData>
  <conditionalFormatting sqref="D14">
    <cfRule type="iconSet" priority="1">
      <iconSet reverse="1">
        <cfvo type="percent" val="0"/>
        <cfvo type="num" val="1" gte="0"/>
        <cfvo type="num" val="2" gte="0"/>
      </iconSet>
    </cfRule>
  </conditionalFormatting>
  <hyperlinks>
    <hyperlink ref="A8" location="'Leads Raw Data'!A1" display="Leads Raw Data" xr:uid="{20C6A001-D3DB-40DD-8345-6487FB7EC561}"/>
    <hyperlink ref="A9" location="'Advertising Spend'!A1" display="Advertising Spend" xr:uid="{5C4D5A1C-1B73-4429-8871-BB9B71F5E6D9}"/>
    <hyperlink ref="A10" location="Database!A1" display="Database" xr:uid="{4E1385FA-EE32-4811-A104-E77EE6E2E1F4}"/>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50B47F"/>
  </sheetPr>
  <dimension ref="A1:R1100"/>
  <sheetViews>
    <sheetView showGridLines="0" showRowColHeaders="0" zoomScale="80" zoomScaleNormal="80" workbookViewId="0">
      <pane xSplit="1" ySplit="22" topLeftCell="B23" activePane="bottomRight" state="frozen"/>
      <selection pane="topRight" activeCell="B1" sqref="B1"/>
      <selection pane="bottomLeft" activeCell="A23" sqref="A23"/>
      <selection pane="bottomRight" activeCell="K23" sqref="K23"/>
    </sheetView>
  </sheetViews>
  <sheetFormatPr defaultColWidth="0" defaultRowHeight="30" customHeight="1" outlineLevelRow="1" x14ac:dyDescent="0.2"/>
  <cols>
    <col min="1" max="1" width="23.42578125" customWidth="1"/>
    <col min="2" max="2" width="20.7109375" customWidth="1"/>
    <col min="3" max="5" width="18.7109375" hidden="1" customWidth="1"/>
    <col min="6" max="7" width="20.7109375" customWidth="1"/>
    <col min="8" max="8" width="36.140625" customWidth="1"/>
    <col min="9" max="11" width="16.7109375" customWidth="1"/>
    <col min="12" max="14" width="20.7109375" customWidth="1"/>
    <col min="15" max="17" width="18.7109375" hidden="1" customWidth="1"/>
    <col min="18" max="18" width="0.85546875" customWidth="1"/>
    <col min="19" max="16384" width="9.140625" hidden="1"/>
  </cols>
  <sheetData>
    <row r="1" spans="2:14" ht="15" customHeight="1" outlineLevel="1" thickBot="1" x14ac:dyDescent="0.25">
      <c r="B1" s="52" t="s">
        <v>191</v>
      </c>
      <c r="C1" s="52"/>
      <c r="D1" s="52"/>
      <c r="E1" s="52"/>
      <c r="F1" s="52" t="s">
        <v>192</v>
      </c>
      <c r="G1" s="52" t="s">
        <v>207</v>
      </c>
      <c r="L1" s="52" t="s">
        <v>206</v>
      </c>
      <c r="M1" s="52" t="s">
        <v>47</v>
      </c>
      <c r="N1" s="52" t="s">
        <v>205</v>
      </c>
    </row>
    <row r="2" spans="2:14" ht="15.95" customHeight="1" outlineLevel="1" x14ac:dyDescent="0.2">
      <c r="B2" s="74">
        <f>IFERROR(GETPIVOTDATA("Converting Status",Sheet1!$H$4,"Converting Status","No")+GETPIVOTDATA("Converting Status",Sheet1!$H$4,"Converting Status","Yes"),"")</f>
        <v>103</v>
      </c>
      <c r="C2" s="77"/>
      <c r="D2" s="77"/>
      <c r="E2" s="77"/>
      <c r="F2" s="74">
        <f>IFERROR(GETPIVOTDATA("Converting Status",Sheet1!$H$4,"Converting Status","Yes"),"")</f>
        <v>31</v>
      </c>
      <c r="G2" s="71">
        <f>IFERROR(F2/B2,"")</f>
        <v>0.30097087378640774</v>
      </c>
      <c r="L2" s="65">
        <f>IFERROR(GETPIVOTDATA("Sum of Cost Spend",Sheet1!$AH$4),"")</f>
        <v>5000</v>
      </c>
      <c r="M2" s="65">
        <f>IFERROR(GETPIVOTDATA("Sum of Revenue",Sheet1!$AH$4),"")</f>
        <v>5200</v>
      </c>
      <c r="N2" s="68">
        <f>IFERROR(M2/L2,"")</f>
        <v>1.04</v>
      </c>
    </row>
    <row r="3" spans="2:14" ht="15.95" customHeight="1" outlineLevel="1" x14ac:dyDescent="0.2">
      <c r="B3" s="75"/>
      <c r="C3" s="78"/>
      <c r="D3" s="78"/>
      <c r="E3" s="78"/>
      <c r="F3" s="75"/>
      <c r="G3" s="72"/>
      <c r="L3" s="66"/>
      <c r="M3" s="66"/>
      <c r="N3" s="69"/>
    </row>
    <row r="4" spans="2:14" ht="15.95" customHeight="1" outlineLevel="1" x14ac:dyDescent="0.2">
      <c r="B4" s="75"/>
      <c r="C4" s="78"/>
      <c r="D4" s="78"/>
      <c r="E4" s="78"/>
      <c r="F4" s="75"/>
      <c r="G4" s="72"/>
      <c r="L4" s="66"/>
      <c r="M4" s="66"/>
      <c r="N4" s="69"/>
    </row>
    <row r="5" spans="2:14" ht="15.95" customHeight="1" outlineLevel="1" thickBot="1" x14ac:dyDescent="0.25">
      <c r="B5" s="76"/>
      <c r="C5" s="79"/>
      <c r="D5" s="79"/>
      <c r="E5" s="79"/>
      <c r="F5" s="76"/>
      <c r="G5" s="73"/>
      <c r="L5" s="67"/>
      <c r="M5" s="67"/>
      <c r="N5" s="70"/>
    </row>
    <row r="6" spans="2:14" ht="15.95" customHeight="1" outlineLevel="1" thickBot="1" x14ac:dyDescent="0.25">
      <c r="B6" s="57"/>
      <c r="C6" s="57"/>
      <c r="D6" s="57"/>
      <c r="E6" s="57"/>
      <c r="F6" s="57"/>
      <c r="G6" s="57"/>
    </row>
    <row r="7" spans="2:14" ht="15.95" customHeight="1" outlineLevel="1" thickBot="1" x14ac:dyDescent="0.25">
      <c r="B7" s="55"/>
      <c r="C7" s="58"/>
      <c r="D7" s="58"/>
      <c r="E7" s="58"/>
      <c r="F7" s="55"/>
      <c r="G7" s="56"/>
    </row>
    <row r="8" spans="2:14" ht="15.95" customHeight="1" outlineLevel="1" thickBot="1" x14ac:dyDescent="0.25">
      <c r="B8" s="55"/>
      <c r="C8" s="58"/>
      <c r="D8" s="58"/>
      <c r="E8" s="58"/>
      <c r="F8" s="55"/>
      <c r="G8" s="56"/>
    </row>
    <row r="9" spans="2:14" ht="15.95" customHeight="1" outlineLevel="1" thickBot="1" x14ac:dyDescent="0.25">
      <c r="B9" s="55"/>
      <c r="C9" s="58"/>
      <c r="D9" s="58"/>
      <c r="E9" s="58"/>
      <c r="F9" s="55"/>
      <c r="G9" s="56"/>
    </row>
    <row r="10" spans="2:14" ht="15.95" customHeight="1" outlineLevel="1" thickBot="1" x14ac:dyDescent="0.25">
      <c r="B10" s="55"/>
      <c r="C10" s="58"/>
      <c r="D10" s="58"/>
      <c r="E10" s="58"/>
      <c r="F10" s="55"/>
      <c r="G10" s="56"/>
    </row>
    <row r="11" spans="2:14" ht="15.95" customHeight="1" outlineLevel="1" x14ac:dyDescent="0.2"/>
    <row r="12" spans="2:14" ht="15.95" customHeight="1" outlineLevel="1" x14ac:dyDescent="0.2"/>
    <row r="13" spans="2:14" ht="15.95" customHeight="1" outlineLevel="1" x14ac:dyDescent="0.2"/>
    <row r="14" spans="2:14" ht="15.95" customHeight="1" outlineLevel="1" x14ac:dyDescent="0.2"/>
    <row r="15" spans="2:14" ht="15.95" customHeight="1" outlineLevel="1" x14ac:dyDescent="0.2"/>
    <row r="16" spans="2:14" ht="15.95" customHeight="1" outlineLevel="1" x14ac:dyDescent="0.2"/>
    <row r="17" spans="1:17" ht="15.95" customHeight="1" outlineLevel="1" x14ac:dyDescent="0.2"/>
    <row r="18" spans="1:17" ht="15.95" customHeight="1" outlineLevel="1" x14ac:dyDescent="0.2"/>
    <row r="19" spans="1:17" ht="15.95" customHeight="1" outlineLevel="1" x14ac:dyDescent="0.2"/>
    <row r="20" spans="1:17" ht="15.95" customHeight="1" outlineLevel="1" x14ac:dyDescent="0.2"/>
    <row r="21" spans="1:17" ht="15.95" customHeight="1" outlineLevel="1" x14ac:dyDescent="0.2"/>
    <row r="22" spans="1:17" s="16" customFormat="1" ht="60" customHeight="1" x14ac:dyDescent="0.2">
      <c r="A22" s="25" t="s">
        <v>23</v>
      </c>
      <c r="B22" s="35" t="s">
        <v>39</v>
      </c>
      <c r="C22" s="35" t="s">
        <v>51</v>
      </c>
      <c r="D22" s="35" t="s">
        <v>52</v>
      </c>
      <c r="E22" s="35" t="s">
        <v>48</v>
      </c>
      <c r="F22" s="35" t="s">
        <v>40</v>
      </c>
      <c r="G22" s="35" t="s">
        <v>41</v>
      </c>
      <c r="H22" s="35" t="s">
        <v>42</v>
      </c>
      <c r="I22" s="35" t="s">
        <v>43</v>
      </c>
      <c r="J22" s="35" t="s">
        <v>44</v>
      </c>
      <c r="K22" s="35" t="s">
        <v>45</v>
      </c>
      <c r="L22" s="35" t="s">
        <v>46</v>
      </c>
      <c r="M22" s="35" t="s">
        <v>71</v>
      </c>
      <c r="N22" s="35" t="s">
        <v>47</v>
      </c>
      <c r="O22" s="35" t="s">
        <v>49</v>
      </c>
      <c r="P22" s="35" t="s">
        <v>73</v>
      </c>
      <c r="Q22" s="35" t="s">
        <v>72</v>
      </c>
    </row>
    <row r="23" spans="1:17" s="24" customFormat="1" ht="30" customHeight="1" x14ac:dyDescent="0.2">
      <c r="A23" s="20" t="str">
        <f>IF(AND(B22&lt;&gt;"",B23=""),$A$22&amp;"---&gt;","")</f>
        <v/>
      </c>
      <c r="B23" s="28">
        <v>44170</v>
      </c>
      <c r="C23" s="36">
        <f>IFERROR(IF(lead[[#This Row],[Date Of Lead]]="","",YEAR(lead[[#This Row],[Date Of Lead]])),"")</f>
        <v>2020</v>
      </c>
      <c r="D23" s="36" t="str">
        <f>IFERROR(VLOOKUP(IF(lead[[#This Row],[Date Of Lead]]="","",MONTH(lead[[#This Row],[Date Of Lead]])),Sheet3!D:E,2,0),"")</f>
        <v>Dec</v>
      </c>
      <c r="E23" s="36" t="str">
        <f>IFERROR(IF(OR(lead[[#This Row],[Year]]="",lead[[#This Row],[Month]]=""),"",lead[[#This Row],[Year]]&amp;lead[[#This Row],[Month]]),"")</f>
        <v>2020Dec</v>
      </c>
      <c r="F23" s="29" t="s">
        <v>28</v>
      </c>
      <c r="G23" s="29" t="s">
        <v>85</v>
      </c>
      <c r="H23" s="30" t="s">
        <v>188</v>
      </c>
      <c r="I23" s="29" t="s">
        <v>31</v>
      </c>
      <c r="J23" s="39" t="s">
        <v>37</v>
      </c>
      <c r="K23" s="28">
        <v>44199</v>
      </c>
      <c r="L23" s="36">
        <f>IFERROR(IF(OR(lead[[#This Row],[Closed Date]]="",lead[[#This Row],[Date Of Lead]]=""),"",lead[[#This Row],[Closed Date]]-lead[[#This Row],[Date Of Lead]]),"")</f>
        <v>29</v>
      </c>
      <c r="M23" s="36" t="str">
        <f>IFERROR(IF(OR(lead[[#This Row],[Closed Date]]="",lead[[#This Row],[Date Of Lead]]=""),"No","Yes"),"")</f>
        <v>Yes</v>
      </c>
      <c r="N23" s="38">
        <v>500</v>
      </c>
      <c r="O23" s="40">
        <f>IFERROR(SUMIFS('Advertising Spend'!H:H,'Advertising Spend'!G:G,lead[[#This Row],[Platform]],'Advertising Spend'!F:F,lead[[#This Row],[Date Comp]]),"")</f>
        <v>750</v>
      </c>
      <c r="P23" s="40">
        <f>IFERROR(SUMIFS('Advertising Spend'!J:J,'Advertising Spend'!G:G,lead[[#This Row],[Platform]],'Advertising Spend'!F:F,lead[[#This Row],[Date Comp]]),"")</f>
        <v>250</v>
      </c>
      <c r="Q23" s="42">
        <f>IFERROR(SUMIFS('Advertising Spend'!K:K,'Advertising Spend'!G:G,lead[[#This Row],[Platform]],'Advertising Spend'!F:F,lead[[#This Row],[Date Comp]]),"")</f>
        <v>0.6785714285714286</v>
      </c>
    </row>
    <row r="24" spans="1:17" ht="30" customHeight="1" x14ac:dyDescent="0.2">
      <c r="A24" s="20" t="str">
        <f t="shared" ref="A24:A87" si="0">IF(AND(B23&lt;&gt;"",B24=""),$A$22&amp;"---&gt;","")</f>
        <v/>
      </c>
      <c r="B24" s="28">
        <v>44217</v>
      </c>
      <c r="C24" s="36">
        <f>IFERROR(IF(lead[[#This Row],[Date Of Lead]]="","",YEAR(lead[[#This Row],[Date Of Lead]])),"")</f>
        <v>2021</v>
      </c>
      <c r="D24" s="36" t="str">
        <f>IFERROR(VLOOKUP(IF(lead[[#This Row],[Date Of Lead]]="","",MONTH(lead[[#This Row],[Date Of Lead]])),Sheet3!D:E,2,0),"")</f>
        <v>Jan</v>
      </c>
      <c r="E24" s="36" t="str">
        <f>IFERROR(IF(OR(lead[[#This Row],[Year]]="",lead[[#This Row],[Month]]=""),"",lead[[#This Row],[Year]]&amp;lead[[#This Row],[Month]]),"")</f>
        <v>2021Jan</v>
      </c>
      <c r="F24" s="29" t="s">
        <v>30</v>
      </c>
      <c r="G24" s="29" t="s">
        <v>86</v>
      </c>
      <c r="H24" s="30" t="s">
        <v>188</v>
      </c>
      <c r="I24" s="29" t="s">
        <v>31</v>
      </c>
      <c r="J24" s="50" t="s">
        <v>35</v>
      </c>
      <c r="K24" s="28"/>
      <c r="L24" s="36" t="str">
        <f>IFERROR(IF(OR(lead[[#This Row],[Closed Date]]="",lead[[#This Row],[Date Of Lead]]=""),"",lead[[#This Row],[Closed Date]]-lead[[#This Row],[Date Of Lead]]),"")</f>
        <v/>
      </c>
      <c r="M24" s="36" t="str">
        <f>IFERROR(IF(OR(lead[[#This Row],[Closed Date]]="",lead[[#This Row],[Date Of Lead]]=""),"No","Yes"),"")</f>
        <v>No</v>
      </c>
      <c r="N24" s="38"/>
      <c r="O24" s="40">
        <f>IFERROR(SUMIFS('Advertising Spend'!H:H,'Advertising Spend'!G:G,lead[[#This Row],[Platform]],'Advertising Spend'!F:F,lead[[#This Row],[Date Comp]]),"")</f>
        <v>0</v>
      </c>
      <c r="P24" s="40">
        <f>IFERROR(SUMIFS('Advertising Spend'!J:J,'Advertising Spend'!G:G,lead[[#This Row],[Platform]],'Advertising Spend'!F:F,lead[[#This Row],[Date Comp]]),"")</f>
        <v>0</v>
      </c>
      <c r="Q24" s="42">
        <f>IFERROR(SUMIFS('Advertising Spend'!K:K,'Advertising Spend'!G:G,lead[[#This Row],[Platform]],'Advertising Spend'!F:F,lead[[#This Row],[Date Comp]]),"")</f>
        <v>0</v>
      </c>
    </row>
    <row r="25" spans="1:17" ht="30" customHeight="1" x14ac:dyDescent="0.2">
      <c r="A25" s="20" t="str">
        <f t="shared" si="0"/>
        <v/>
      </c>
      <c r="B25" s="28">
        <v>44221</v>
      </c>
      <c r="C25" s="36">
        <f>IFERROR(IF(lead[[#This Row],[Date Of Lead]]="","",YEAR(lead[[#This Row],[Date Of Lead]])),"")</f>
        <v>2021</v>
      </c>
      <c r="D25" s="36" t="str">
        <f>IFERROR(VLOOKUP(IF(lead[[#This Row],[Date Of Lead]]="","",MONTH(lead[[#This Row],[Date Of Lead]])),Sheet3!D:E,2,0),"")</f>
        <v>Jan</v>
      </c>
      <c r="E25" s="36" t="str">
        <f>IFERROR(IF(OR(lead[[#This Row],[Year]]="",lead[[#This Row],[Month]]=""),"",lead[[#This Row],[Year]]&amp;lead[[#This Row],[Month]]),"")</f>
        <v>2021Jan</v>
      </c>
      <c r="F25" s="29" t="s">
        <v>27</v>
      </c>
      <c r="G25" s="29" t="s">
        <v>87</v>
      </c>
      <c r="H25" s="30" t="s">
        <v>188</v>
      </c>
      <c r="I25" s="29" t="s">
        <v>33</v>
      </c>
      <c r="J25" s="50" t="s">
        <v>37</v>
      </c>
      <c r="K25" s="28">
        <v>44237</v>
      </c>
      <c r="L25" s="36">
        <f>IFERROR(IF(OR(lead[[#This Row],[Closed Date]]="",lead[[#This Row],[Date Of Lead]]=""),"",lead[[#This Row],[Closed Date]]-lead[[#This Row],[Date Of Lead]]),"")</f>
        <v>16</v>
      </c>
      <c r="M25" s="36" t="str">
        <f>IFERROR(IF(OR(lead[[#This Row],[Closed Date]]="",lead[[#This Row],[Date Of Lead]]=""),"No","Yes"),"")</f>
        <v>Yes</v>
      </c>
      <c r="N25" s="38">
        <v>200</v>
      </c>
      <c r="O25" s="40">
        <f>IFERROR(SUMIFS('Advertising Spend'!H:H,'Advertising Spend'!G:G,lead[[#This Row],[Platform]],'Advertising Spend'!F:F,lead[[#This Row],[Date Comp]]),"")</f>
        <v>500</v>
      </c>
      <c r="P25" s="40">
        <f>IFERROR(SUMIFS('Advertising Spend'!J:J,'Advertising Spend'!G:G,lead[[#This Row],[Platform]],'Advertising Spend'!F:F,lead[[#This Row],[Date Comp]]),"")</f>
        <v>200</v>
      </c>
      <c r="Q25" s="42">
        <f>IFERROR(SUMIFS('Advertising Spend'!K:K,'Advertising Spend'!G:G,lead[[#This Row],[Platform]],'Advertising Spend'!F:F,lead[[#This Row],[Date Comp]]),"")</f>
        <v>0.4</v>
      </c>
    </row>
    <row r="26" spans="1:17" ht="30" customHeight="1" x14ac:dyDescent="0.2">
      <c r="A26" s="20" t="str">
        <f t="shared" si="0"/>
        <v/>
      </c>
      <c r="B26" s="28">
        <v>44218</v>
      </c>
      <c r="C26" s="36">
        <f>IFERROR(IF(lead[[#This Row],[Date Of Lead]]="","",YEAR(lead[[#This Row],[Date Of Lead]])),"")</f>
        <v>2021</v>
      </c>
      <c r="D26" s="36" t="str">
        <f>IFERROR(VLOOKUP(IF(lead[[#This Row],[Date Of Lead]]="","",MONTH(lead[[#This Row],[Date Of Lead]])),Sheet3!D:E,2,0),"")</f>
        <v>Jan</v>
      </c>
      <c r="E26" s="36" t="str">
        <f>IFERROR(IF(OR(lead[[#This Row],[Year]]="",lead[[#This Row],[Month]]=""),"",lead[[#This Row],[Year]]&amp;lead[[#This Row],[Month]]),"")</f>
        <v>2021Jan</v>
      </c>
      <c r="F26" s="29" t="s">
        <v>74</v>
      </c>
      <c r="G26" s="29" t="s">
        <v>88</v>
      </c>
      <c r="H26" s="30" t="s">
        <v>188</v>
      </c>
      <c r="I26" s="29" t="s">
        <v>31</v>
      </c>
      <c r="J26" s="50" t="s">
        <v>36</v>
      </c>
      <c r="K26" s="28"/>
      <c r="L26" s="36" t="str">
        <f>IFERROR(IF(OR(lead[[#This Row],[Closed Date]]="",lead[[#This Row],[Date Of Lead]]=""),"",lead[[#This Row],[Closed Date]]-lead[[#This Row],[Date Of Lead]]),"")</f>
        <v/>
      </c>
      <c r="M26" s="36" t="str">
        <f>IFERROR(IF(OR(lead[[#This Row],[Closed Date]]="",lead[[#This Row],[Date Of Lead]]=""),"No","Yes"),"")</f>
        <v>No</v>
      </c>
      <c r="N26" s="38"/>
      <c r="O26" s="40">
        <f>IFERROR(SUMIFS('Advertising Spend'!H:H,'Advertising Spend'!G:G,lead[[#This Row],[Platform]],'Advertising Spend'!F:F,lead[[#This Row],[Date Comp]]),"")</f>
        <v>0</v>
      </c>
      <c r="P26" s="40">
        <f>IFERROR(SUMIFS('Advertising Spend'!J:J,'Advertising Spend'!G:G,lead[[#This Row],[Platform]],'Advertising Spend'!F:F,lead[[#This Row],[Date Comp]]),"")</f>
        <v>0</v>
      </c>
      <c r="Q26" s="42">
        <f>IFERROR(SUMIFS('Advertising Spend'!K:K,'Advertising Spend'!G:G,lead[[#This Row],[Platform]],'Advertising Spend'!F:F,lead[[#This Row],[Date Comp]]),"")</f>
        <v>0</v>
      </c>
    </row>
    <row r="27" spans="1:17" ht="30" customHeight="1" x14ac:dyDescent="0.2">
      <c r="A27" s="20" t="str">
        <f t="shared" si="0"/>
        <v/>
      </c>
      <c r="B27" s="28">
        <v>44128</v>
      </c>
      <c r="C27" s="36">
        <f>IFERROR(IF(lead[[#This Row],[Date Of Lead]]="","",YEAR(lead[[#This Row],[Date Of Lead]])),"")</f>
        <v>2020</v>
      </c>
      <c r="D27" s="36" t="str">
        <f>IFERROR(VLOOKUP(IF(lead[[#This Row],[Date Of Lead]]="","",MONTH(lead[[#This Row],[Date Of Lead]])),Sheet3!D:E,2,0),"")</f>
        <v>Oct</v>
      </c>
      <c r="E27" s="36" t="str">
        <f>IFERROR(IF(OR(lead[[#This Row],[Year]]="",lead[[#This Row],[Month]]=""),"",lead[[#This Row],[Year]]&amp;lead[[#This Row],[Month]]),"")</f>
        <v>2020Oct</v>
      </c>
      <c r="F27" s="29" t="s">
        <v>74</v>
      </c>
      <c r="G27" s="29" t="s">
        <v>89</v>
      </c>
      <c r="H27" s="30" t="s">
        <v>188</v>
      </c>
      <c r="I27" s="29" t="s">
        <v>33</v>
      </c>
      <c r="J27" s="50" t="s">
        <v>34</v>
      </c>
      <c r="K27" s="28"/>
      <c r="L27" s="36" t="str">
        <f>IFERROR(IF(OR(lead[[#This Row],[Closed Date]]="",lead[[#This Row],[Date Of Lead]]=""),"",lead[[#This Row],[Closed Date]]-lead[[#This Row],[Date Of Lead]]),"")</f>
        <v/>
      </c>
      <c r="M27" s="36" t="str">
        <f>IFERROR(IF(OR(lead[[#This Row],[Closed Date]]="",lead[[#This Row],[Date Of Lead]]=""),"No","Yes"),"")</f>
        <v>No</v>
      </c>
      <c r="N27" s="38"/>
      <c r="O27" s="40">
        <f>IFERROR(SUMIFS('Advertising Spend'!H:H,'Advertising Spend'!G:G,lead[[#This Row],[Platform]],'Advertising Spend'!F:F,lead[[#This Row],[Date Comp]]),"")</f>
        <v>0</v>
      </c>
      <c r="P27" s="40">
        <f>IFERROR(SUMIFS('Advertising Spend'!J:J,'Advertising Spend'!G:G,lead[[#This Row],[Platform]],'Advertising Spend'!F:F,lead[[#This Row],[Date Comp]]),"")</f>
        <v>0</v>
      </c>
      <c r="Q27" s="42">
        <f>IFERROR(SUMIFS('Advertising Spend'!K:K,'Advertising Spend'!G:G,lead[[#This Row],[Platform]],'Advertising Spend'!F:F,lead[[#This Row],[Date Comp]]),"")</f>
        <v>0</v>
      </c>
    </row>
    <row r="28" spans="1:17" ht="30" customHeight="1" x14ac:dyDescent="0.2">
      <c r="A28" s="20" t="str">
        <f t="shared" si="0"/>
        <v/>
      </c>
      <c r="B28" s="28">
        <v>44231</v>
      </c>
      <c r="C28" s="36">
        <f>IFERROR(IF(lead[[#This Row],[Date Of Lead]]="","",YEAR(lead[[#This Row],[Date Of Lead]])),"")</f>
        <v>2021</v>
      </c>
      <c r="D28" s="36" t="str">
        <f>IFERROR(VLOOKUP(IF(lead[[#This Row],[Date Of Lead]]="","",MONTH(lead[[#This Row],[Date Of Lead]])),Sheet3!D:E,2,0),"")</f>
        <v>Feb</v>
      </c>
      <c r="E28" s="36" t="str">
        <f>IFERROR(IF(OR(lead[[#This Row],[Year]]="",lead[[#This Row],[Month]]=""),"",lead[[#This Row],[Year]]&amp;lead[[#This Row],[Month]]),"")</f>
        <v>2021Feb</v>
      </c>
      <c r="F28" s="29" t="s">
        <v>74</v>
      </c>
      <c r="G28" s="29" t="s">
        <v>90</v>
      </c>
      <c r="H28" s="30" t="s">
        <v>188</v>
      </c>
      <c r="I28" s="29" t="s">
        <v>31</v>
      </c>
      <c r="J28" s="50" t="s">
        <v>35</v>
      </c>
      <c r="K28" s="28"/>
      <c r="L28" s="36" t="str">
        <f>IFERROR(IF(OR(lead[[#This Row],[Closed Date]]="",lead[[#This Row],[Date Of Lead]]=""),"",lead[[#This Row],[Closed Date]]-lead[[#This Row],[Date Of Lead]]),"")</f>
        <v/>
      </c>
      <c r="M28" s="36" t="str">
        <f>IFERROR(IF(OR(lead[[#This Row],[Closed Date]]="",lead[[#This Row],[Date Of Lead]]=""),"No","Yes"),"")</f>
        <v>No</v>
      </c>
      <c r="N28" s="38"/>
      <c r="O28" s="40">
        <f>IFERROR(SUMIFS('Advertising Spend'!H:H,'Advertising Spend'!G:G,lead[[#This Row],[Platform]],'Advertising Spend'!F:F,lead[[#This Row],[Date Comp]]),"")</f>
        <v>0</v>
      </c>
      <c r="P28" s="40">
        <f>IFERROR(SUMIFS('Advertising Spend'!J:J,'Advertising Spend'!G:G,lead[[#This Row],[Platform]],'Advertising Spend'!F:F,lead[[#This Row],[Date Comp]]),"")</f>
        <v>0</v>
      </c>
      <c r="Q28" s="42">
        <f>IFERROR(SUMIFS('Advertising Spend'!K:K,'Advertising Spend'!G:G,lead[[#This Row],[Platform]],'Advertising Spend'!F:F,lead[[#This Row],[Date Comp]]),"")</f>
        <v>0</v>
      </c>
    </row>
    <row r="29" spans="1:17" ht="30" customHeight="1" x14ac:dyDescent="0.2">
      <c r="A29" s="20" t="str">
        <f t="shared" si="0"/>
        <v/>
      </c>
      <c r="B29" s="28">
        <v>44219</v>
      </c>
      <c r="C29" s="36">
        <f>IFERROR(IF(lead[[#This Row],[Date Of Lead]]="","",YEAR(lead[[#This Row],[Date Of Lead]])),"")</f>
        <v>2021</v>
      </c>
      <c r="D29" s="36" t="str">
        <f>IFERROR(VLOOKUP(IF(lead[[#This Row],[Date Of Lead]]="","",MONTH(lead[[#This Row],[Date Of Lead]])),Sheet3!D:E,2,0),"")</f>
        <v>Jan</v>
      </c>
      <c r="E29" s="36" t="str">
        <f>IFERROR(IF(OR(lead[[#This Row],[Year]]="",lead[[#This Row],[Month]]=""),"",lead[[#This Row],[Year]]&amp;lead[[#This Row],[Month]]),"")</f>
        <v>2021Jan</v>
      </c>
      <c r="F29" s="29" t="s">
        <v>27</v>
      </c>
      <c r="G29" s="29" t="s">
        <v>91</v>
      </c>
      <c r="H29" s="30" t="s">
        <v>188</v>
      </c>
      <c r="I29" s="29" t="s">
        <v>33</v>
      </c>
      <c r="J29" s="50" t="s">
        <v>34</v>
      </c>
      <c r="K29" s="28"/>
      <c r="L29" s="36" t="str">
        <f>IFERROR(IF(OR(lead[[#This Row],[Closed Date]]="",lead[[#This Row],[Date Of Lead]]=""),"",lead[[#This Row],[Closed Date]]-lead[[#This Row],[Date Of Lead]]),"")</f>
        <v/>
      </c>
      <c r="M29" s="36" t="str">
        <f>IFERROR(IF(OR(lead[[#This Row],[Closed Date]]="",lead[[#This Row],[Date Of Lead]]=""),"No","Yes"),"")</f>
        <v>No</v>
      </c>
      <c r="N29" s="38"/>
      <c r="O29" s="40">
        <f>IFERROR(SUMIFS('Advertising Spend'!H:H,'Advertising Spend'!G:G,lead[[#This Row],[Platform]],'Advertising Spend'!F:F,lead[[#This Row],[Date Comp]]),"")</f>
        <v>500</v>
      </c>
      <c r="P29" s="40">
        <f>IFERROR(SUMIFS('Advertising Spend'!J:J,'Advertising Spend'!G:G,lead[[#This Row],[Platform]],'Advertising Spend'!F:F,lead[[#This Row],[Date Comp]]),"")</f>
        <v>200</v>
      </c>
      <c r="Q29" s="42">
        <f>IFERROR(SUMIFS('Advertising Spend'!K:K,'Advertising Spend'!G:G,lead[[#This Row],[Platform]],'Advertising Spend'!F:F,lead[[#This Row],[Date Comp]]),"")</f>
        <v>0.4</v>
      </c>
    </row>
    <row r="30" spans="1:17" ht="30" customHeight="1" x14ac:dyDescent="0.2">
      <c r="A30" s="20" t="str">
        <f t="shared" si="0"/>
        <v/>
      </c>
      <c r="B30" s="28">
        <v>44223</v>
      </c>
      <c r="C30" s="36">
        <f>IFERROR(IF(lead[[#This Row],[Date Of Lead]]="","",YEAR(lead[[#This Row],[Date Of Lead]])),"")</f>
        <v>2021</v>
      </c>
      <c r="D30" s="36" t="str">
        <f>IFERROR(VLOOKUP(IF(lead[[#This Row],[Date Of Lead]]="","",MONTH(lead[[#This Row],[Date Of Lead]])),Sheet3!D:E,2,0),"")</f>
        <v>Jan</v>
      </c>
      <c r="E30" s="36" t="str">
        <f>IFERROR(IF(OR(lead[[#This Row],[Year]]="",lead[[#This Row],[Month]]=""),"",lead[[#This Row],[Year]]&amp;lead[[#This Row],[Month]]),"")</f>
        <v>2021Jan</v>
      </c>
      <c r="F30" s="29" t="s">
        <v>74</v>
      </c>
      <c r="G30" s="29" t="s">
        <v>92</v>
      </c>
      <c r="H30" s="30" t="s">
        <v>188</v>
      </c>
      <c r="I30" s="29" t="s">
        <v>33</v>
      </c>
      <c r="J30" s="50" t="s">
        <v>36</v>
      </c>
      <c r="K30" s="28"/>
      <c r="L30" s="36" t="str">
        <f>IFERROR(IF(OR(lead[[#This Row],[Closed Date]]="",lead[[#This Row],[Date Of Lead]]=""),"",lead[[#This Row],[Closed Date]]-lead[[#This Row],[Date Of Lead]]),"")</f>
        <v/>
      </c>
      <c r="M30" s="36" t="str">
        <f>IFERROR(IF(OR(lead[[#This Row],[Closed Date]]="",lead[[#This Row],[Date Of Lead]]=""),"No","Yes"),"")</f>
        <v>No</v>
      </c>
      <c r="N30" s="38"/>
      <c r="O30" s="40">
        <f>IFERROR(SUMIFS('Advertising Spend'!H:H,'Advertising Spend'!G:G,lead[[#This Row],[Platform]],'Advertising Spend'!F:F,lead[[#This Row],[Date Comp]]),"")</f>
        <v>0</v>
      </c>
      <c r="P30" s="40">
        <f>IFERROR(SUMIFS('Advertising Spend'!J:J,'Advertising Spend'!G:G,lead[[#This Row],[Platform]],'Advertising Spend'!F:F,lead[[#This Row],[Date Comp]]),"")</f>
        <v>0</v>
      </c>
      <c r="Q30" s="42">
        <f>IFERROR(SUMIFS('Advertising Spend'!K:K,'Advertising Spend'!G:G,lead[[#This Row],[Platform]],'Advertising Spend'!F:F,lead[[#This Row],[Date Comp]]),"")</f>
        <v>0</v>
      </c>
    </row>
    <row r="31" spans="1:17" ht="30" customHeight="1" x14ac:dyDescent="0.2">
      <c r="A31" s="20" t="str">
        <f t="shared" si="0"/>
        <v/>
      </c>
      <c r="B31" s="28">
        <v>44227</v>
      </c>
      <c r="C31" s="36">
        <f>IFERROR(IF(lead[[#This Row],[Date Of Lead]]="","",YEAR(lead[[#This Row],[Date Of Lead]])),"")</f>
        <v>2021</v>
      </c>
      <c r="D31" s="36" t="str">
        <f>IFERROR(VLOOKUP(IF(lead[[#This Row],[Date Of Lead]]="","",MONTH(lead[[#This Row],[Date Of Lead]])),Sheet3!D:E,2,0),"")</f>
        <v>Jan</v>
      </c>
      <c r="E31" s="36" t="str">
        <f>IFERROR(IF(OR(lead[[#This Row],[Year]]="",lead[[#This Row],[Month]]=""),"",lead[[#This Row],[Year]]&amp;lead[[#This Row],[Month]]),"")</f>
        <v>2021Jan</v>
      </c>
      <c r="F31" s="29" t="s">
        <v>28</v>
      </c>
      <c r="G31" s="29" t="s">
        <v>93</v>
      </c>
      <c r="H31" s="30" t="s">
        <v>188</v>
      </c>
      <c r="I31" s="29" t="s">
        <v>31</v>
      </c>
      <c r="J31" s="50" t="s">
        <v>37</v>
      </c>
      <c r="K31" s="28">
        <v>44242</v>
      </c>
      <c r="L31" s="36">
        <f>IFERROR(IF(OR(lead[[#This Row],[Closed Date]]="",lead[[#This Row],[Date Of Lead]]=""),"",lead[[#This Row],[Closed Date]]-lead[[#This Row],[Date Of Lead]]),"")</f>
        <v>15</v>
      </c>
      <c r="M31" s="36" t="str">
        <f>IFERROR(IF(OR(lead[[#This Row],[Closed Date]]="",lead[[#This Row],[Date Of Lead]]=""),"No","Yes"),"")</f>
        <v>Yes</v>
      </c>
      <c r="N31" s="38">
        <v>250</v>
      </c>
      <c r="O31" s="40">
        <f>IFERROR(SUMIFS('Advertising Spend'!H:H,'Advertising Spend'!G:G,lead[[#This Row],[Platform]],'Advertising Spend'!F:F,lead[[#This Row],[Date Comp]]),"")</f>
        <v>500</v>
      </c>
      <c r="P31" s="40">
        <f>IFERROR(SUMIFS('Advertising Spend'!J:J,'Advertising Spend'!G:G,lead[[#This Row],[Platform]],'Advertising Spend'!F:F,lead[[#This Row],[Date Comp]]),"")</f>
        <v>50</v>
      </c>
      <c r="Q31" s="42">
        <f>IFERROR(SUMIFS('Advertising Spend'!K:K,'Advertising Spend'!G:G,lead[[#This Row],[Platform]],'Advertising Spend'!F:F,lead[[#This Row],[Date Comp]]),"")</f>
        <v>0.1</v>
      </c>
    </row>
    <row r="32" spans="1:17" ht="30" customHeight="1" x14ac:dyDescent="0.2">
      <c r="A32" s="20" t="str">
        <f t="shared" si="0"/>
        <v/>
      </c>
      <c r="B32" s="28">
        <v>44147</v>
      </c>
      <c r="C32" s="36">
        <f>IFERROR(IF(lead[[#This Row],[Date Of Lead]]="","",YEAR(lead[[#This Row],[Date Of Lead]])),"")</f>
        <v>2020</v>
      </c>
      <c r="D32" s="36" t="str">
        <f>IFERROR(VLOOKUP(IF(lead[[#This Row],[Date Of Lead]]="","",MONTH(lead[[#This Row],[Date Of Lead]])),Sheet3!D:E,2,0),"")</f>
        <v>Nov</v>
      </c>
      <c r="E32" s="36" t="str">
        <f>IFERROR(IF(OR(lead[[#This Row],[Year]]="",lead[[#This Row],[Month]]=""),"",lead[[#This Row],[Year]]&amp;lead[[#This Row],[Month]]),"")</f>
        <v>2020Nov</v>
      </c>
      <c r="F32" s="29" t="s">
        <v>30</v>
      </c>
      <c r="G32" s="29" t="s">
        <v>94</v>
      </c>
      <c r="H32" s="30" t="s">
        <v>188</v>
      </c>
      <c r="I32" s="29" t="s">
        <v>33</v>
      </c>
      <c r="J32" s="50" t="s">
        <v>34</v>
      </c>
      <c r="K32" s="28"/>
      <c r="L32" s="36" t="str">
        <f>IFERROR(IF(OR(lead[[#This Row],[Closed Date]]="",lead[[#This Row],[Date Of Lead]]=""),"",lead[[#This Row],[Closed Date]]-lead[[#This Row],[Date Of Lead]]),"")</f>
        <v/>
      </c>
      <c r="M32" s="36" t="str">
        <f>IFERROR(IF(OR(lead[[#This Row],[Closed Date]]="",lead[[#This Row],[Date Of Lead]]=""),"No","Yes"),"")</f>
        <v>No</v>
      </c>
      <c r="N32" s="38"/>
      <c r="O32" s="40">
        <f>IFERROR(SUMIFS('Advertising Spend'!H:H,'Advertising Spend'!G:G,lead[[#This Row],[Platform]],'Advertising Spend'!F:F,lead[[#This Row],[Date Comp]]),"")</f>
        <v>350</v>
      </c>
      <c r="P32" s="40">
        <f>IFERROR(SUMIFS('Advertising Spend'!J:J,'Advertising Spend'!G:G,lead[[#This Row],[Platform]],'Advertising Spend'!F:F,lead[[#This Row],[Date Comp]]),"")</f>
        <v>-110</v>
      </c>
      <c r="Q32" s="42">
        <f>IFERROR(SUMIFS('Advertising Spend'!K:K,'Advertising Spend'!G:G,lead[[#This Row],[Platform]],'Advertising Spend'!F:F,lead[[#This Row],[Date Comp]]),"")</f>
        <v>-0.31428571428571428</v>
      </c>
    </row>
    <row r="33" spans="1:17" ht="30" customHeight="1" x14ac:dyDescent="0.2">
      <c r="A33" s="20" t="str">
        <f t="shared" si="0"/>
        <v/>
      </c>
      <c r="B33" s="28">
        <v>44136</v>
      </c>
      <c r="C33" s="36">
        <f>IFERROR(IF(lead[[#This Row],[Date Of Lead]]="","",YEAR(lead[[#This Row],[Date Of Lead]])),"")</f>
        <v>2020</v>
      </c>
      <c r="D33" s="36" t="str">
        <f>IFERROR(VLOOKUP(IF(lead[[#This Row],[Date Of Lead]]="","",MONTH(lead[[#This Row],[Date Of Lead]])),Sheet3!D:E,2,0),"")</f>
        <v>Nov</v>
      </c>
      <c r="E33" s="36" t="str">
        <f>IFERROR(IF(OR(lead[[#This Row],[Year]]="",lead[[#This Row],[Month]]=""),"",lead[[#This Row],[Year]]&amp;lead[[#This Row],[Month]]),"")</f>
        <v>2020Nov</v>
      </c>
      <c r="F33" s="29" t="s">
        <v>74</v>
      </c>
      <c r="G33" s="29" t="s">
        <v>95</v>
      </c>
      <c r="H33" s="30" t="s">
        <v>188</v>
      </c>
      <c r="I33" s="29" t="s">
        <v>33</v>
      </c>
      <c r="J33" s="50" t="s">
        <v>34</v>
      </c>
      <c r="K33" s="28"/>
      <c r="L33" s="36" t="str">
        <f>IFERROR(IF(OR(lead[[#This Row],[Closed Date]]="",lead[[#This Row],[Date Of Lead]]=""),"",lead[[#This Row],[Closed Date]]-lead[[#This Row],[Date Of Lead]]),"")</f>
        <v/>
      </c>
      <c r="M33" s="36" t="str">
        <f>IFERROR(IF(OR(lead[[#This Row],[Closed Date]]="",lead[[#This Row],[Date Of Lead]]=""),"No","Yes"),"")</f>
        <v>No</v>
      </c>
      <c r="N33" s="38"/>
      <c r="O33" s="40">
        <f>IFERROR(SUMIFS('Advertising Spend'!H:H,'Advertising Spend'!G:G,lead[[#This Row],[Platform]],'Advertising Spend'!F:F,lead[[#This Row],[Date Comp]]),"")</f>
        <v>0</v>
      </c>
      <c r="P33" s="40">
        <f>IFERROR(SUMIFS('Advertising Spend'!J:J,'Advertising Spend'!G:G,lead[[#This Row],[Platform]],'Advertising Spend'!F:F,lead[[#This Row],[Date Comp]]),"")</f>
        <v>0</v>
      </c>
      <c r="Q33" s="42">
        <f>IFERROR(SUMIFS('Advertising Spend'!K:K,'Advertising Spend'!G:G,lead[[#This Row],[Platform]],'Advertising Spend'!F:F,lead[[#This Row],[Date Comp]]),"")</f>
        <v>0</v>
      </c>
    </row>
    <row r="34" spans="1:17" ht="30" customHeight="1" x14ac:dyDescent="0.2">
      <c r="A34" s="20" t="str">
        <f t="shared" si="0"/>
        <v/>
      </c>
      <c r="B34" s="28">
        <v>44141</v>
      </c>
      <c r="C34" s="36">
        <f>IFERROR(IF(lead[[#This Row],[Date Of Lead]]="","",YEAR(lead[[#This Row],[Date Of Lead]])),"")</f>
        <v>2020</v>
      </c>
      <c r="D34" s="36" t="str">
        <f>IFERROR(VLOOKUP(IF(lead[[#This Row],[Date Of Lead]]="","",MONTH(lead[[#This Row],[Date Of Lead]])),Sheet3!D:E,2,0),"")</f>
        <v>Nov</v>
      </c>
      <c r="E34" s="36" t="str">
        <f>IFERROR(IF(OR(lead[[#This Row],[Year]]="",lead[[#This Row],[Month]]=""),"",lead[[#This Row],[Year]]&amp;lead[[#This Row],[Month]]),"")</f>
        <v>2020Nov</v>
      </c>
      <c r="F34" s="29" t="s">
        <v>29</v>
      </c>
      <c r="G34" s="29" t="s">
        <v>96</v>
      </c>
      <c r="H34" s="30" t="s">
        <v>188</v>
      </c>
      <c r="I34" s="29" t="s">
        <v>33</v>
      </c>
      <c r="J34" s="50" t="s">
        <v>34</v>
      </c>
      <c r="K34" s="28"/>
      <c r="L34" s="36" t="str">
        <f>IFERROR(IF(OR(lead[[#This Row],[Closed Date]]="",lead[[#This Row],[Date Of Lead]]=""),"",lead[[#This Row],[Closed Date]]-lead[[#This Row],[Date Of Lead]]),"")</f>
        <v/>
      </c>
      <c r="M34" s="36" t="str">
        <f>IFERROR(IF(OR(lead[[#This Row],[Closed Date]]="",lead[[#This Row],[Date Of Lead]]=""),"No","Yes"),"")</f>
        <v>No</v>
      </c>
      <c r="N34" s="38"/>
      <c r="O34" s="40">
        <f>IFERROR(SUMIFS('Advertising Spend'!H:H,'Advertising Spend'!G:G,lead[[#This Row],[Platform]],'Advertising Spend'!F:F,lead[[#This Row],[Date Comp]]),"")</f>
        <v>0</v>
      </c>
      <c r="P34" s="40">
        <f>IFERROR(SUMIFS('Advertising Spend'!J:J,'Advertising Spend'!G:G,lead[[#This Row],[Platform]],'Advertising Spend'!F:F,lead[[#This Row],[Date Comp]]),"")</f>
        <v>0</v>
      </c>
      <c r="Q34" s="42">
        <f>IFERROR(SUMIFS('Advertising Spend'!K:K,'Advertising Spend'!G:G,lead[[#This Row],[Platform]],'Advertising Spend'!F:F,lead[[#This Row],[Date Comp]]),"")</f>
        <v>0</v>
      </c>
    </row>
    <row r="35" spans="1:17" ht="30" customHeight="1" x14ac:dyDescent="0.2">
      <c r="A35" s="20" t="str">
        <f t="shared" si="0"/>
        <v/>
      </c>
      <c r="B35" s="28">
        <v>44256</v>
      </c>
      <c r="C35" s="36">
        <f>IFERROR(IF(lead[[#This Row],[Date Of Lead]]="","",YEAR(lead[[#This Row],[Date Of Lead]])),"")</f>
        <v>2021</v>
      </c>
      <c r="D35" s="36" t="str">
        <f>IFERROR(VLOOKUP(IF(lead[[#This Row],[Date Of Lead]]="","",MONTH(lead[[#This Row],[Date Of Lead]])),Sheet3!D:E,2,0),"")</f>
        <v>Mar</v>
      </c>
      <c r="E35" s="36" t="str">
        <f>IFERROR(IF(OR(lead[[#This Row],[Year]]="",lead[[#This Row],[Month]]=""),"",lead[[#This Row],[Year]]&amp;lead[[#This Row],[Month]]),"")</f>
        <v>2021Mar</v>
      </c>
      <c r="F35" s="29" t="s">
        <v>30</v>
      </c>
      <c r="G35" s="29" t="s">
        <v>97</v>
      </c>
      <c r="H35" s="30" t="s">
        <v>188</v>
      </c>
      <c r="I35" s="29" t="s">
        <v>32</v>
      </c>
      <c r="J35" s="50" t="s">
        <v>35</v>
      </c>
      <c r="K35" s="28"/>
      <c r="L35" s="36" t="str">
        <f>IFERROR(IF(OR(lead[[#This Row],[Closed Date]]="",lead[[#This Row],[Date Of Lead]]=""),"",lead[[#This Row],[Closed Date]]-lead[[#This Row],[Date Of Lead]]),"")</f>
        <v/>
      </c>
      <c r="M35" s="36" t="str">
        <f>IFERROR(IF(OR(lead[[#This Row],[Closed Date]]="",lead[[#This Row],[Date Of Lead]]=""),"No","Yes"),"")</f>
        <v>No</v>
      </c>
      <c r="N35" s="38"/>
      <c r="O35" s="40">
        <f>IFERROR(SUMIFS('Advertising Spend'!H:H,'Advertising Spend'!G:G,lead[[#This Row],[Platform]],'Advertising Spend'!F:F,lead[[#This Row],[Date Comp]]),"")</f>
        <v>0</v>
      </c>
      <c r="P35" s="40">
        <f>IFERROR(SUMIFS('Advertising Spend'!J:J,'Advertising Spend'!G:G,lead[[#This Row],[Platform]],'Advertising Spend'!F:F,lead[[#This Row],[Date Comp]]),"")</f>
        <v>0</v>
      </c>
      <c r="Q35" s="42">
        <f>IFERROR(SUMIFS('Advertising Spend'!K:K,'Advertising Spend'!G:G,lead[[#This Row],[Platform]],'Advertising Spend'!F:F,lead[[#This Row],[Date Comp]]),"")</f>
        <v>0</v>
      </c>
    </row>
    <row r="36" spans="1:17" ht="30" customHeight="1" x14ac:dyDescent="0.2">
      <c r="A36" s="20" t="str">
        <f t="shared" si="0"/>
        <v/>
      </c>
      <c r="B36" s="28">
        <v>44143</v>
      </c>
      <c r="C36" s="36">
        <f>IFERROR(IF(lead[[#This Row],[Date Of Lead]]="","",YEAR(lead[[#This Row],[Date Of Lead]])),"")</f>
        <v>2020</v>
      </c>
      <c r="D36" s="36" t="str">
        <f>IFERROR(VLOOKUP(IF(lead[[#This Row],[Date Of Lead]]="","",MONTH(lead[[#This Row],[Date Of Lead]])),Sheet3!D:E,2,0),"")</f>
        <v>Nov</v>
      </c>
      <c r="E36" s="36" t="str">
        <f>IFERROR(IF(OR(lead[[#This Row],[Year]]="",lead[[#This Row],[Month]]=""),"",lead[[#This Row],[Year]]&amp;lead[[#This Row],[Month]]),"")</f>
        <v>2020Nov</v>
      </c>
      <c r="F36" s="29" t="s">
        <v>27</v>
      </c>
      <c r="G36" s="29" t="s">
        <v>98</v>
      </c>
      <c r="H36" s="30" t="s">
        <v>188</v>
      </c>
      <c r="I36" s="29" t="s">
        <v>32</v>
      </c>
      <c r="J36" s="50" t="s">
        <v>35</v>
      </c>
      <c r="K36" s="28"/>
      <c r="L36" s="36" t="str">
        <f>IFERROR(IF(OR(lead[[#This Row],[Closed Date]]="",lead[[#This Row],[Date Of Lead]]=""),"",lead[[#This Row],[Closed Date]]-lead[[#This Row],[Date Of Lead]]),"")</f>
        <v/>
      </c>
      <c r="M36" s="36" t="str">
        <f>IFERROR(IF(OR(lead[[#This Row],[Closed Date]]="",lead[[#This Row],[Date Of Lead]]=""),"No","Yes"),"")</f>
        <v>No</v>
      </c>
      <c r="N36" s="38"/>
      <c r="O36" s="40">
        <f>IFERROR(SUMIFS('Advertising Spend'!H:H,'Advertising Spend'!G:G,lead[[#This Row],[Platform]],'Advertising Spend'!F:F,lead[[#This Row],[Date Comp]]),"")</f>
        <v>0</v>
      </c>
      <c r="P36" s="40">
        <f>IFERROR(SUMIFS('Advertising Spend'!J:J,'Advertising Spend'!G:G,lead[[#This Row],[Platform]],'Advertising Spend'!F:F,lead[[#This Row],[Date Comp]]),"")</f>
        <v>0</v>
      </c>
      <c r="Q36" s="42">
        <f>IFERROR(SUMIFS('Advertising Spend'!K:K,'Advertising Spend'!G:G,lead[[#This Row],[Platform]],'Advertising Spend'!F:F,lead[[#This Row],[Date Comp]]),"")</f>
        <v>0</v>
      </c>
    </row>
    <row r="37" spans="1:17" ht="30" customHeight="1" x14ac:dyDescent="0.2">
      <c r="A37" s="20" t="str">
        <f t="shared" si="0"/>
        <v/>
      </c>
      <c r="B37" s="28">
        <v>44201</v>
      </c>
      <c r="C37" s="36">
        <f>IFERROR(IF(lead[[#This Row],[Date Of Lead]]="","",YEAR(lead[[#This Row],[Date Of Lead]])),"")</f>
        <v>2021</v>
      </c>
      <c r="D37" s="36" t="str">
        <f>IFERROR(VLOOKUP(IF(lead[[#This Row],[Date Of Lead]]="","",MONTH(lead[[#This Row],[Date Of Lead]])),Sheet3!D:E,2,0),"")</f>
        <v>Jan</v>
      </c>
      <c r="E37" s="36" t="str">
        <f>IFERROR(IF(OR(lead[[#This Row],[Year]]="",lead[[#This Row],[Month]]=""),"",lead[[#This Row],[Year]]&amp;lead[[#This Row],[Month]]),"")</f>
        <v>2021Jan</v>
      </c>
      <c r="F37" s="29" t="s">
        <v>74</v>
      </c>
      <c r="G37" s="29" t="s">
        <v>99</v>
      </c>
      <c r="H37" s="30" t="s">
        <v>188</v>
      </c>
      <c r="I37" s="29" t="s">
        <v>31</v>
      </c>
      <c r="J37" s="50" t="s">
        <v>35</v>
      </c>
      <c r="K37" s="28"/>
      <c r="L37" s="36" t="str">
        <f>IFERROR(IF(OR(lead[[#This Row],[Closed Date]]="",lead[[#This Row],[Date Of Lead]]=""),"",lead[[#This Row],[Closed Date]]-lead[[#This Row],[Date Of Lead]]),"")</f>
        <v/>
      </c>
      <c r="M37" s="36" t="str">
        <f>IFERROR(IF(OR(lead[[#This Row],[Closed Date]]="",lead[[#This Row],[Date Of Lead]]=""),"No","Yes"),"")</f>
        <v>No</v>
      </c>
      <c r="N37" s="38"/>
      <c r="O37" s="40">
        <f>IFERROR(SUMIFS('Advertising Spend'!H:H,'Advertising Spend'!G:G,lead[[#This Row],[Platform]],'Advertising Spend'!F:F,lead[[#This Row],[Date Comp]]),"")</f>
        <v>0</v>
      </c>
      <c r="P37" s="40">
        <f>IFERROR(SUMIFS('Advertising Spend'!J:J,'Advertising Spend'!G:G,lead[[#This Row],[Platform]],'Advertising Spend'!F:F,lead[[#This Row],[Date Comp]]),"")</f>
        <v>0</v>
      </c>
      <c r="Q37" s="42">
        <f>IFERROR(SUMIFS('Advertising Spend'!K:K,'Advertising Spend'!G:G,lead[[#This Row],[Platform]],'Advertising Spend'!F:F,lead[[#This Row],[Date Comp]]),"")</f>
        <v>0</v>
      </c>
    </row>
    <row r="38" spans="1:17" ht="30" customHeight="1" x14ac:dyDescent="0.2">
      <c r="A38" s="20" t="str">
        <f t="shared" si="0"/>
        <v/>
      </c>
      <c r="B38" s="28">
        <v>44118</v>
      </c>
      <c r="C38" s="36">
        <f>IFERROR(IF(lead[[#This Row],[Date Of Lead]]="","",YEAR(lead[[#This Row],[Date Of Lead]])),"")</f>
        <v>2020</v>
      </c>
      <c r="D38" s="36" t="str">
        <f>IFERROR(VLOOKUP(IF(lead[[#This Row],[Date Of Lead]]="","",MONTH(lead[[#This Row],[Date Of Lead]])),Sheet3!D:E,2,0),"")</f>
        <v>Oct</v>
      </c>
      <c r="E38" s="36" t="str">
        <f>IFERROR(IF(OR(lead[[#This Row],[Year]]="",lead[[#This Row],[Month]]=""),"",lead[[#This Row],[Year]]&amp;lead[[#This Row],[Month]]),"")</f>
        <v>2020Oct</v>
      </c>
      <c r="F38" s="29" t="s">
        <v>27</v>
      </c>
      <c r="G38" s="29" t="s">
        <v>100</v>
      </c>
      <c r="H38" s="30" t="s">
        <v>188</v>
      </c>
      <c r="I38" s="29" t="s">
        <v>33</v>
      </c>
      <c r="J38" s="50" t="s">
        <v>37</v>
      </c>
      <c r="K38" s="28">
        <v>44145</v>
      </c>
      <c r="L38" s="36">
        <f>IFERROR(IF(OR(lead[[#This Row],[Closed Date]]="",lead[[#This Row],[Date Of Lead]]=""),"",lead[[#This Row],[Closed Date]]-lead[[#This Row],[Date Of Lead]]),"")</f>
        <v>27</v>
      </c>
      <c r="M38" s="36" t="str">
        <f>IFERROR(IF(OR(lead[[#This Row],[Closed Date]]="",lead[[#This Row],[Date Of Lead]]=""),"No","Yes"),"")</f>
        <v>Yes</v>
      </c>
      <c r="N38" s="38">
        <v>200</v>
      </c>
      <c r="O38" s="40">
        <f>IFERROR(SUMIFS('Advertising Spend'!H:H,'Advertising Spend'!G:G,lead[[#This Row],[Platform]],'Advertising Spend'!F:F,lead[[#This Row],[Date Comp]]),"")</f>
        <v>500</v>
      </c>
      <c r="P38" s="40">
        <f>IFERROR(SUMIFS('Advertising Spend'!J:J,'Advertising Spend'!G:G,lead[[#This Row],[Platform]],'Advertising Spend'!F:F,lead[[#This Row],[Date Comp]]),"")</f>
        <v>50</v>
      </c>
      <c r="Q38" s="42">
        <f>IFERROR(SUMIFS('Advertising Spend'!K:K,'Advertising Spend'!G:G,lead[[#This Row],[Platform]],'Advertising Spend'!F:F,lead[[#This Row],[Date Comp]]),"")</f>
        <v>0.1</v>
      </c>
    </row>
    <row r="39" spans="1:17" ht="30" customHeight="1" x14ac:dyDescent="0.2">
      <c r="A39" s="20" t="str">
        <f t="shared" si="0"/>
        <v/>
      </c>
      <c r="B39" s="28">
        <v>44154</v>
      </c>
      <c r="C39" s="36">
        <f>IFERROR(IF(lead[[#This Row],[Date Of Lead]]="","",YEAR(lead[[#This Row],[Date Of Lead]])),"")</f>
        <v>2020</v>
      </c>
      <c r="D39" s="36" t="str">
        <f>IFERROR(VLOOKUP(IF(lead[[#This Row],[Date Of Lead]]="","",MONTH(lead[[#This Row],[Date Of Lead]])),Sheet3!D:E,2,0),"")</f>
        <v>Nov</v>
      </c>
      <c r="E39" s="36" t="str">
        <f>IFERROR(IF(OR(lead[[#This Row],[Year]]="",lead[[#This Row],[Month]]=""),"",lead[[#This Row],[Year]]&amp;lead[[#This Row],[Month]]),"")</f>
        <v>2020Nov</v>
      </c>
      <c r="F39" s="29" t="s">
        <v>29</v>
      </c>
      <c r="G39" s="29" t="s">
        <v>101</v>
      </c>
      <c r="H39" s="30" t="s">
        <v>188</v>
      </c>
      <c r="I39" s="29" t="s">
        <v>32</v>
      </c>
      <c r="J39" s="50" t="s">
        <v>37</v>
      </c>
      <c r="K39" s="28">
        <v>44168</v>
      </c>
      <c r="L39" s="36">
        <f>IFERROR(IF(OR(lead[[#This Row],[Closed Date]]="",lead[[#This Row],[Date Of Lead]]=""),"",lead[[#This Row],[Closed Date]]-lead[[#This Row],[Date Of Lead]]),"")</f>
        <v>14</v>
      </c>
      <c r="M39" s="36" t="str">
        <f>IFERROR(IF(OR(lead[[#This Row],[Closed Date]]="",lead[[#This Row],[Date Of Lead]]=""),"No","Yes"),"")</f>
        <v>Yes</v>
      </c>
      <c r="N39" s="38">
        <v>180</v>
      </c>
      <c r="O39" s="40">
        <f>IFERROR(SUMIFS('Advertising Spend'!H:H,'Advertising Spend'!G:G,lead[[#This Row],[Platform]],'Advertising Spend'!F:F,lead[[#This Row],[Date Comp]]),"")</f>
        <v>0</v>
      </c>
      <c r="P39" s="40">
        <f>IFERROR(SUMIFS('Advertising Spend'!J:J,'Advertising Spend'!G:G,lead[[#This Row],[Platform]],'Advertising Spend'!F:F,lead[[#This Row],[Date Comp]]),"")</f>
        <v>0</v>
      </c>
      <c r="Q39" s="42">
        <f>IFERROR(SUMIFS('Advertising Spend'!K:K,'Advertising Spend'!G:G,lead[[#This Row],[Platform]],'Advertising Spend'!F:F,lead[[#This Row],[Date Comp]]),"")</f>
        <v>0</v>
      </c>
    </row>
    <row r="40" spans="1:17" ht="30" customHeight="1" x14ac:dyDescent="0.2">
      <c r="A40" s="20" t="str">
        <f t="shared" si="0"/>
        <v/>
      </c>
      <c r="B40" s="28">
        <v>44220</v>
      </c>
      <c r="C40" s="36">
        <f>IFERROR(IF(lead[[#This Row],[Date Of Lead]]="","",YEAR(lead[[#This Row],[Date Of Lead]])),"")</f>
        <v>2021</v>
      </c>
      <c r="D40" s="36" t="str">
        <f>IFERROR(VLOOKUP(IF(lead[[#This Row],[Date Of Lead]]="","",MONTH(lead[[#This Row],[Date Of Lead]])),Sheet3!D:E,2,0),"")</f>
        <v>Jan</v>
      </c>
      <c r="E40" s="36" t="str">
        <f>IFERROR(IF(OR(lead[[#This Row],[Year]]="",lead[[#This Row],[Month]]=""),"",lead[[#This Row],[Year]]&amp;lead[[#This Row],[Month]]),"")</f>
        <v>2021Jan</v>
      </c>
      <c r="F40" s="29" t="s">
        <v>74</v>
      </c>
      <c r="G40" s="29" t="s">
        <v>102</v>
      </c>
      <c r="H40" s="30" t="s">
        <v>188</v>
      </c>
      <c r="I40" s="29" t="s">
        <v>31</v>
      </c>
      <c r="J40" s="50" t="s">
        <v>37</v>
      </c>
      <c r="K40" s="28">
        <v>44242</v>
      </c>
      <c r="L40" s="36">
        <f>IFERROR(IF(OR(lead[[#This Row],[Closed Date]]="",lead[[#This Row],[Date Of Lead]]=""),"",lead[[#This Row],[Closed Date]]-lead[[#This Row],[Date Of Lead]]),"")</f>
        <v>22</v>
      </c>
      <c r="M40" s="36" t="str">
        <f>IFERROR(IF(OR(lead[[#This Row],[Closed Date]]="",lead[[#This Row],[Date Of Lead]]=""),"No","Yes"),"")</f>
        <v>Yes</v>
      </c>
      <c r="N40" s="38">
        <v>330</v>
      </c>
      <c r="O40" s="40">
        <f>IFERROR(SUMIFS('Advertising Spend'!H:H,'Advertising Spend'!G:G,lead[[#This Row],[Platform]],'Advertising Spend'!F:F,lead[[#This Row],[Date Comp]]),"")</f>
        <v>0</v>
      </c>
      <c r="P40" s="40">
        <f>IFERROR(SUMIFS('Advertising Spend'!J:J,'Advertising Spend'!G:G,lead[[#This Row],[Platform]],'Advertising Spend'!F:F,lead[[#This Row],[Date Comp]]),"")</f>
        <v>0</v>
      </c>
      <c r="Q40" s="42">
        <f>IFERROR(SUMIFS('Advertising Spend'!K:K,'Advertising Spend'!G:G,lead[[#This Row],[Platform]],'Advertising Spend'!F:F,lead[[#This Row],[Date Comp]]),"")</f>
        <v>0</v>
      </c>
    </row>
    <row r="41" spans="1:17" ht="30" customHeight="1" x14ac:dyDescent="0.2">
      <c r="A41" s="20" t="str">
        <f t="shared" si="0"/>
        <v/>
      </c>
      <c r="B41" s="28">
        <v>44186</v>
      </c>
      <c r="C41" s="36">
        <f>IFERROR(IF(lead[[#This Row],[Date Of Lead]]="","",YEAR(lead[[#This Row],[Date Of Lead]])),"")</f>
        <v>2020</v>
      </c>
      <c r="D41" s="36" t="str">
        <f>IFERROR(VLOOKUP(IF(lead[[#This Row],[Date Of Lead]]="","",MONTH(lead[[#This Row],[Date Of Lead]])),Sheet3!D:E,2,0),"")</f>
        <v>Dec</v>
      </c>
      <c r="E41" s="36" t="str">
        <f>IFERROR(IF(OR(lead[[#This Row],[Year]]="",lead[[#This Row],[Month]]=""),"",lead[[#This Row],[Year]]&amp;lead[[#This Row],[Month]]),"")</f>
        <v>2020Dec</v>
      </c>
      <c r="F41" s="29" t="s">
        <v>29</v>
      </c>
      <c r="G41" s="29" t="s">
        <v>103</v>
      </c>
      <c r="H41" s="30" t="s">
        <v>188</v>
      </c>
      <c r="I41" s="29" t="s">
        <v>31</v>
      </c>
      <c r="J41" s="50" t="s">
        <v>36</v>
      </c>
      <c r="K41" s="28"/>
      <c r="L41" s="36" t="str">
        <f>IFERROR(IF(OR(lead[[#This Row],[Closed Date]]="",lead[[#This Row],[Date Of Lead]]=""),"",lead[[#This Row],[Closed Date]]-lead[[#This Row],[Date Of Lead]]),"")</f>
        <v/>
      </c>
      <c r="M41" s="36" t="str">
        <f>IFERROR(IF(OR(lead[[#This Row],[Closed Date]]="",lead[[#This Row],[Date Of Lead]]=""),"No","Yes"),"")</f>
        <v>No</v>
      </c>
      <c r="N41" s="38"/>
      <c r="O41" s="40">
        <f>IFERROR(SUMIFS('Advertising Spend'!H:H,'Advertising Spend'!G:G,lead[[#This Row],[Platform]],'Advertising Spend'!F:F,lead[[#This Row],[Date Comp]]),"")</f>
        <v>0</v>
      </c>
      <c r="P41" s="40">
        <f>IFERROR(SUMIFS('Advertising Spend'!J:J,'Advertising Spend'!G:G,lead[[#This Row],[Platform]],'Advertising Spend'!F:F,lead[[#This Row],[Date Comp]]),"")</f>
        <v>0</v>
      </c>
      <c r="Q41" s="42">
        <f>IFERROR(SUMIFS('Advertising Spend'!K:K,'Advertising Spend'!G:G,lead[[#This Row],[Platform]],'Advertising Spend'!F:F,lead[[#This Row],[Date Comp]]),"")</f>
        <v>0</v>
      </c>
    </row>
    <row r="42" spans="1:17" ht="30" customHeight="1" x14ac:dyDescent="0.2">
      <c r="A42" s="20" t="str">
        <f t="shared" si="0"/>
        <v/>
      </c>
      <c r="B42" s="28">
        <v>44192</v>
      </c>
      <c r="C42" s="36">
        <f>IFERROR(IF(lead[[#This Row],[Date Of Lead]]="","",YEAR(lead[[#This Row],[Date Of Lead]])),"")</f>
        <v>2020</v>
      </c>
      <c r="D42" s="36" t="str">
        <f>IFERROR(VLOOKUP(IF(lead[[#This Row],[Date Of Lead]]="","",MONTH(lead[[#This Row],[Date Of Lead]])),Sheet3!D:E,2,0),"")</f>
        <v>Dec</v>
      </c>
      <c r="E42" s="36" t="str">
        <f>IFERROR(IF(OR(lead[[#This Row],[Year]]="",lead[[#This Row],[Month]]=""),"",lead[[#This Row],[Year]]&amp;lead[[#This Row],[Month]]),"")</f>
        <v>2020Dec</v>
      </c>
      <c r="F42" s="29" t="s">
        <v>74</v>
      </c>
      <c r="G42" s="29" t="s">
        <v>104</v>
      </c>
      <c r="H42" s="30" t="s">
        <v>188</v>
      </c>
      <c r="I42" s="29" t="s">
        <v>32</v>
      </c>
      <c r="J42" s="50" t="s">
        <v>37</v>
      </c>
      <c r="K42" s="28">
        <v>44211</v>
      </c>
      <c r="L42" s="36">
        <f>IFERROR(IF(OR(lead[[#This Row],[Closed Date]]="",lead[[#This Row],[Date Of Lead]]=""),"",lead[[#This Row],[Closed Date]]-lead[[#This Row],[Date Of Lead]]),"")</f>
        <v>19</v>
      </c>
      <c r="M42" s="36" t="str">
        <f>IFERROR(IF(OR(lead[[#This Row],[Closed Date]]="",lead[[#This Row],[Date Of Lead]]=""),"No","Yes"),"")</f>
        <v>Yes</v>
      </c>
      <c r="N42" s="38">
        <v>250</v>
      </c>
      <c r="O42" s="40">
        <f>IFERROR(SUMIFS('Advertising Spend'!H:H,'Advertising Spend'!G:G,lead[[#This Row],[Platform]],'Advertising Spend'!F:F,lead[[#This Row],[Date Comp]]),"")</f>
        <v>0</v>
      </c>
      <c r="P42" s="40">
        <f>IFERROR(SUMIFS('Advertising Spend'!J:J,'Advertising Spend'!G:G,lead[[#This Row],[Platform]],'Advertising Spend'!F:F,lead[[#This Row],[Date Comp]]),"")</f>
        <v>0</v>
      </c>
      <c r="Q42" s="42">
        <f>IFERROR(SUMIFS('Advertising Spend'!K:K,'Advertising Spend'!G:G,lead[[#This Row],[Platform]],'Advertising Spend'!F:F,lead[[#This Row],[Date Comp]]),"")</f>
        <v>0</v>
      </c>
    </row>
    <row r="43" spans="1:17" ht="30" customHeight="1" x14ac:dyDescent="0.2">
      <c r="A43" s="20" t="str">
        <f t="shared" si="0"/>
        <v/>
      </c>
      <c r="B43" s="28">
        <v>44167</v>
      </c>
      <c r="C43" s="36">
        <f>IFERROR(IF(lead[[#This Row],[Date Of Lead]]="","",YEAR(lead[[#This Row],[Date Of Lead]])),"")</f>
        <v>2020</v>
      </c>
      <c r="D43" s="36" t="str">
        <f>IFERROR(VLOOKUP(IF(lead[[#This Row],[Date Of Lead]]="","",MONTH(lead[[#This Row],[Date Of Lead]])),Sheet3!D:E,2,0),"")</f>
        <v>Dec</v>
      </c>
      <c r="E43" s="36" t="str">
        <f>IFERROR(IF(OR(lead[[#This Row],[Year]]="",lead[[#This Row],[Month]]=""),"",lead[[#This Row],[Year]]&amp;lead[[#This Row],[Month]]),"")</f>
        <v>2020Dec</v>
      </c>
      <c r="F43" s="29" t="s">
        <v>28</v>
      </c>
      <c r="G43" s="29" t="s">
        <v>105</v>
      </c>
      <c r="H43" s="30" t="s">
        <v>188</v>
      </c>
      <c r="I43" s="29" t="s">
        <v>32</v>
      </c>
      <c r="J43" s="50" t="s">
        <v>35</v>
      </c>
      <c r="K43" s="28"/>
      <c r="L43" s="36" t="str">
        <f>IFERROR(IF(OR(lead[[#This Row],[Closed Date]]="",lead[[#This Row],[Date Of Lead]]=""),"",lead[[#This Row],[Closed Date]]-lead[[#This Row],[Date Of Lead]]),"")</f>
        <v/>
      </c>
      <c r="M43" s="36" t="str">
        <f>IFERROR(IF(OR(lead[[#This Row],[Closed Date]]="",lead[[#This Row],[Date Of Lead]]=""),"No","Yes"),"")</f>
        <v>No</v>
      </c>
      <c r="N43" s="38"/>
      <c r="O43" s="40">
        <f>IFERROR(SUMIFS('Advertising Spend'!H:H,'Advertising Spend'!G:G,lead[[#This Row],[Platform]],'Advertising Spend'!F:F,lead[[#This Row],[Date Comp]]),"")</f>
        <v>750</v>
      </c>
      <c r="P43" s="40">
        <f>IFERROR(SUMIFS('Advertising Spend'!J:J,'Advertising Spend'!G:G,lead[[#This Row],[Platform]],'Advertising Spend'!F:F,lead[[#This Row],[Date Comp]]),"")</f>
        <v>250</v>
      </c>
      <c r="Q43" s="42">
        <f>IFERROR(SUMIFS('Advertising Spend'!K:K,'Advertising Spend'!G:G,lead[[#This Row],[Platform]],'Advertising Spend'!F:F,lead[[#This Row],[Date Comp]]),"")</f>
        <v>0.6785714285714286</v>
      </c>
    </row>
    <row r="44" spans="1:17" ht="30" customHeight="1" x14ac:dyDescent="0.2">
      <c r="A44" s="20" t="str">
        <f t="shared" si="0"/>
        <v/>
      </c>
      <c r="B44" s="28">
        <v>44234</v>
      </c>
      <c r="C44" s="36">
        <f>IFERROR(IF(lead[[#This Row],[Date Of Lead]]="","",YEAR(lead[[#This Row],[Date Of Lead]])),"")</f>
        <v>2021</v>
      </c>
      <c r="D44" s="36" t="str">
        <f>IFERROR(VLOOKUP(IF(lead[[#This Row],[Date Of Lead]]="","",MONTH(lead[[#This Row],[Date Of Lead]])),Sheet3!D:E,2,0),"")</f>
        <v>Feb</v>
      </c>
      <c r="E44" s="36" t="str">
        <f>IFERROR(IF(OR(lead[[#This Row],[Year]]="",lead[[#This Row],[Month]]=""),"",lead[[#This Row],[Year]]&amp;lead[[#This Row],[Month]]),"")</f>
        <v>2021Feb</v>
      </c>
      <c r="F44" s="29" t="s">
        <v>30</v>
      </c>
      <c r="G44" s="29" t="s">
        <v>106</v>
      </c>
      <c r="H44" s="30" t="s">
        <v>188</v>
      </c>
      <c r="I44" s="29" t="s">
        <v>32</v>
      </c>
      <c r="J44" s="50" t="s">
        <v>37</v>
      </c>
      <c r="K44" s="28">
        <v>44256</v>
      </c>
      <c r="L44" s="36">
        <f>IFERROR(IF(OR(lead[[#This Row],[Closed Date]]="",lead[[#This Row],[Date Of Lead]]=""),"",lead[[#This Row],[Closed Date]]-lead[[#This Row],[Date Of Lead]]),"")</f>
        <v>22</v>
      </c>
      <c r="M44" s="36" t="str">
        <f>IFERROR(IF(OR(lead[[#This Row],[Closed Date]]="",lead[[#This Row],[Date Of Lead]]=""),"No","Yes"),"")</f>
        <v>Yes</v>
      </c>
      <c r="N44" s="38">
        <v>300</v>
      </c>
      <c r="O44" s="40">
        <f>IFERROR(SUMIFS('Advertising Spend'!H:H,'Advertising Spend'!G:G,lead[[#This Row],[Platform]],'Advertising Spend'!F:F,lead[[#This Row],[Date Comp]]),"")</f>
        <v>800</v>
      </c>
      <c r="P44" s="40">
        <f>IFERROR(SUMIFS('Advertising Spend'!J:J,'Advertising Spend'!G:G,lead[[#This Row],[Platform]],'Advertising Spend'!F:F,lead[[#This Row],[Date Comp]]),"")</f>
        <v>-200</v>
      </c>
      <c r="Q44" s="42">
        <f>IFERROR(SUMIFS('Advertising Spend'!K:K,'Advertising Spend'!G:G,lead[[#This Row],[Platform]],'Advertising Spend'!F:F,lead[[#This Row],[Date Comp]]),"")</f>
        <v>-0.4</v>
      </c>
    </row>
    <row r="45" spans="1:17" ht="30" customHeight="1" x14ac:dyDescent="0.2">
      <c r="A45" s="20" t="str">
        <f t="shared" si="0"/>
        <v/>
      </c>
      <c r="B45" s="28">
        <v>44202</v>
      </c>
      <c r="C45" s="36">
        <f>IFERROR(IF(lead[[#This Row],[Date Of Lead]]="","",YEAR(lead[[#This Row],[Date Of Lead]])),"")</f>
        <v>2021</v>
      </c>
      <c r="D45" s="36" t="str">
        <f>IFERROR(VLOOKUP(IF(lead[[#This Row],[Date Of Lead]]="","",MONTH(lead[[#This Row],[Date Of Lead]])),Sheet3!D:E,2,0),"")</f>
        <v>Jan</v>
      </c>
      <c r="E45" s="36" t="str">
        <f>IFERROR(IF(OR(lead[[#This Row],[Year]]="",lead[[#This Row],[Month]]=""),"",lead[[#This Row],[Year]]&amp;lead[[#This Row],[Month]]),"")</f>
        <v>2021Jan</v>
      </c>
      <c r="F45" s="29" t="s">
        <v>28</v>
      </c>
      <c r="G45" s="29" t="s">
        <v>107</v>
      </c>
      <c r="H45" s="30" t="s">
        <v>188</v>
      </c>
      <c r="I45" s="29" t="s">
        <v>32</v>
      </c>
      <c r="J45" s="50" t="s">
        <v>36</v>
      </c>
      <c r="K45" s="28"/>
      <c r="L45" s="36" t="str">
        <f>IFERROR(IF(OR(lead[[#This Row],[Closed Date]]="",lead[[#This Row],[Date Of Lead]]=""),"",lead[[#This Row],[Closed Date]]-lead[[#This Row],[Date Of Lead]]),"")</f>
        <v/>
      </c>
      <c r="M45" s="36" t="str">
        <f>IFERROR(IF(OR(lead[[#This Row],[Closed Date]]="",lead[[#This Row],[Date Of Lead]]=""),"No","Yes"),"")</f>
        <v>No</v>
      </c>
      <c r="N45" s="38"/>
      <c r="O45" s="40">
        <f>IFERROR(SUMIFS('Advertising Spend'!H:H,'Advertising Spend'!G:G,lead[[#This Row],[Platform]],'Advertising Spend'!F:F,lead[[#This Row],[Date Comp]]),"")</f>
        <v>500</v>
      </c>
      <c r="P45" s="40">
        <f>IFERROR(SUMIFS('Advertising Spend'!J:J,'Advertising Spend'!G:G,lead[[#This Row],[Platform]],'Advertising Spend'!F:F,lead[[#This Row],[Date Comp]]),"")</f>
        <v>50</v>
      </c>
      <c r="Q45" s="42">
        <f>IFERROR(SUMIFS('Advertising Spend'!K:K,'Advertising Spend'!G:G,lead[[#This Row],[Platform]],'Advertising Spend'!F:F,lead[[#This Row],[Date Comp]]),"")</f>
        <v>0.1</v>
      </c>
    </row>
    <row r="46" spans="1:17" ht="30" customHeight="1" x14ac:dyDescent="0.2">
      <c r="A46" s="20" t="str">
        <f t="shared" si="0"/>
        <v/>
      </c>
      <c r="B46" s="28">
        <v>44213</v>
      </c>
      <c r="C46" s="36">
        <f>IFERROR(IF(lead[[#This Row],[Date Of Lead]]="","",YEAR(lead[[#This Row],[Date Of Lead]])),"")</f>
        <v>2021</v>
      </c>
      <c r="D46" s="36" t="str">
        <f>IFERROR(VLOOKUP(IF(lead[[#This Row],[Date Of Lead]]="","",MONTH(lead[[#This Row],[Date Of Lead]])),Sheet3!D:E,2,0),"")</f>
        <v>Jan</v>
      </c>
      <c r="E46" s="36" t="str">
        <f>IFERROR(IF(OR(lead[[#This Row],[Year]]="",lead[[#This Row],[Month]]=""),"",lead[[#This Row],[Year]]&amp;lead[[#This Row],[Month]]),"")</f>
        <v>2021Jan</v>
      </c>
      <c r="F46" s="29" t="s">
        <v>29</v>
      </c>
      <c r="G46" s="29" t="s">
        <v>108</v>
      </c>
      <c r="H46" s="30" t="s">
        <v>188</v>
      </c>
      <c r="I46" s="29" t="s">
        <v>32</v>
      </c>
      <c r="J46" s="50" t="s">
        <v>34</v>
      </c>
      <c r="K46" s="28"/>
      <c r="L46" s="36" t="str">
        <f>IFERROR(IF(OR(lead[[#This Row],[Closed Date]]="",lead[[#This Row],[Date Of Lead]]=""),"",lead[[#This Row],[Closed Date]]-lead[[#This Row],[Date Of Lead]]),"")</f>
        <v/>
      </c>
      <c r="M46" s="36" t="str">
        <f>IFERROR(IF(OR(lead[[#This Row],[Closed Date]]="",lead[[#This Row],[Date Of Lead]]=""),"No","Yes"),"")</f>
        <v>No</v>
      </c>
      <c r="N46" s="38"/>
      <c r="O46" s="40">
        <f>IFERROR(SUMIFS('Advertising Spend'!H:H,'Advertising Spend'!G:G,lead[[#This Row],[Platform]],'Advertising Spend'!F:F,lead[[#This Row],[Date Comp]]),"")</f>
        <v>0</v>
      </c>
      <c r="P46" s="40">
        <f>IFERROR(SUMIFS('Advertising Spend'!J:J,'Advertising Spend'!G:G,lead[[#This Row],[Platform]],'Advertising Spend'!F:F,lead[[#This Row],[Date Comp]]),"")</f>
        <v>0</v>
      </c>
      <c r="Q46" s="42">
        <f>IFERROR(SUMIFS('Advertising Spend'!K:K,'Advertising Spend'!G:G,lead[[#This Row],[Platform]],'Advertising Spend'!F:F,lead[[#This Row],[Date Comp]]),"")</f>
        <v>0</v>
      </c>
    </row>
    <row r="47" spans="1:17" ht="30" customHeight="1" x14ac:dyDescent="0.2">
      <c r="A47" s="20" t="str">
        <f t="shared" si="0"/>
        <v/>
      </c>
      <c r="B47" s="28">
        <v>44119</v>
      </c>
      <c r="C47" s="36">
        <f>IFERROR(IF(lead[[#This Row],[Date Of Lead]]="","",YEAR(lead[[#This Row],[Date Of Lead]])),"")</f>
        <v>2020</v>
      </c>
      <c r="D47" s="36" t="str">
        <f>IFERROR(VLOOKUP(IF(lead[[#This Row],[Date Of Lead]]="","",MONTH(lead[[#This Row],[Date Of Lead]])),Sheet3!D:E,2,0),"")</f>
        <v>Oct</v>
      </c>
      <c r="E47" s="36" t="str">
        <f>IFERROR(IF(OR(lead[[#This Row],[Year]]="",lead[[#This Row],[Month]]=""),"",lead[[#This Row],[Year]]&amp;lead[[#This Row],[Month]]),"")</f>
        <v>2020Oct</v>
      </c>
      <c r="F47" s="29" t="s">
        <v>29</v>
      </c>
      <c r="G47" s="29" t="s">
        <v>109</v>
      </c>
      <c r="H47" s="30" t="s">
        <v>188</v>
      </c>
      <c r="I47" s="29" t="s">
        <v>33</v>
      </c>
      <c r="J47" s="50" t="s">
        <v>36</v>
      </c>
      <c r="K47" s="28"/>
      <c r="L47" s="36" t="str">
        <f>IFERROR(IF(OR(lead[[#This Row],[Closed Date]]="",lead[[#This Row],[Date Of Lead]]=""),"",lead[[#This Row],[Closed Date]]-lead[[#This Row],[Date Of Lead]]),"")</f>
        <v/>
      </c>
      <c r="M47" s="36" t="str">
        <f>IFERROR(IF(OR(lead[[#This Row],[Closed Date]]="",lead[[#This Row],[Date Of Lead]]=""),"No","Yes"),"")</f>
        <v>No</v>
      </c>
      <c r="N47" s="38"/>
      <c r="O47" s="40">
        <f>IFERROR(SUMIFS('Advertising Spend'!H:H,'Advertising Spend'!G:G,lead[[#This Row],[Platform]],'Advertising Spend'!F:F,lead[[#This Row],[Date Comp]]),"")</f>
        <v>700</v>
      </c>
      <c r="P47" s="40">
        <f>IFERROR(SUMIFS('Advertising Spend'!J:J,'Advertising Spend'!G:G,lead[[#This Row],[Platform]],'Advertising Spend'!F:F,lead[[#This Row],[Date Comp]]),"")</f>
        <v>100</v>
      </c>
      <c r="Q47" s="42">
        <f>IFERROR(SUMIFS('Advertising Spend'!K:K,'Advertising Spend'!G:G,lead[[#This Row],[Platform]],'Advertising Spend'!F:F,lead[[#This Row],[Date Comp]]),"")</f>
        <v>0.14285714285714285</v>
      </c>
    </row>
    <row r="48" spans="1:17" ht="30" customHeight="1" x14ac:dyDescent="0.2">
      <c r="A48" s="20" t="str">
        <f t="shared" si="0"/>
        <v/>
      </c>
      <c r="B48" s="28">
        <v>44177</v>
      </c>
      <c r="C48" s="36">
        <f>IFERROR(IF(lead[[#This Row],[Date Of Lead]]="","",YEAR(lead[[#This Row],[Date Of Lead]])),"")</f>
        <v>2020</v>
      </c>
      <c r="D48" s="36" t="str">
        <f>IFERROR(VLOOKUP(IF(lead[[#This Row],[Date Of Lead]]="","",MONTH(lead[[#This Row],[Date Of Lead]])),Sheet3!D:E,2,0),"")</f>
        <v>Dec</v>
      </c>
      <c r="E48" s="36" t="str">
        <f>IFERROR(IF(OR(lead[[#This Row],[Year]]="",lead[[#This Row],[Month]]=""),"",lead[[#This Row],[Year]]&amp;lead[[#This Row],[Month]]),"")</f>
        <v>2020Dec</v>
      </c>
      <c r="F48" s="29" t="s">
        <v>29</v>
      </c>
      <c r="G48" s="29" t="s">
        <v>110</v>
      </c>
      <c r="H48" s="30" t="s">
        <v>188</v>
      </c>
      <c r="I48" s="29" t="s">
        <v>33</v>
      </c>
      <c r="J48" s="50" t="s">
        <v>34</v>
      </c>
      <c r="K48" s="28"/>
      <c r="L48" s="36" t="str">
        <f>IFERROR(IF(OR(lead[[#This Row],[Closed Date]]="",lead[[#This Row],[Date Of Lead]]=""),"",lead[[#This Row],[Closed Date]]-lead[[#This Row],[Date Of Lead]]),"")</f>
        <v/>
      </c>
      <c r="M48" s="36" t="str">
        <f>IFERROR(IF(OR(lead[[#This Row],[Closed Date]]="",lead[[#This Row],[Date Of Lead]]=""),"No","Yes"),"")</f>
        <v>No</v>
      </c>
      <c r="N48" s="38"/>
      <c r="O48" s="40">
        <f>IFERROR(SUMIFS('Advertising Spend'!H:H,'Advertising Spend'!G:G,lead[[#This Row],[Platform]],'Advertising Spend'!F:F,lead[[#This Row],[Date Comp]]),"")</f>
        <v>0</v>
      </c>
      <c r="P48" s="40">
        <f>IFERROR(SUMIFS('Advertising Spend'!J:J,'Advertising Spend'!G:G,lead[[#This Row],[Platform]],'Advertising Spend'!F:F,lead[[#This Row],[Date Comp]]),"")</f>
        <v>0</v>
      </c>
      <c r="Q48" s="42">
        <f>IFERROR(SUMIFS('Advertising Spend'!K:K,'Advertising Spend'!G:G,lead[[#This Row],[Platform]],'Advertising Spend'!F:F,lead[[#This Row],[Date Comp]]),"")</f>
        <v>0</v>
      </c>
    </row>
    <row r="49" spans="1:17" ht="30" customHeight="1" x14ac:dyDescent="0.2">
      <c r="A49" s="20" t="str">
        <f t="shared" si="0"/>
        <v/>
      </c>
      <c r="B49" s="28">
        <v>44129</v>
      </c>
      <c r="C49" s="36">
        <f>IFERROR(IF(lead[[#This Row],[Date Of Lead]]="","",YEAR(lead[[#This Row],[Date Of Lead]])),"")</f>
        <v>2020</v>
      </c>
      <c r="D49" s="36" t="str">
        <f>IFERROR(VLOOKUP(IF(lead[[#This Row],[Date Of Lead]]="","",MONTH(lead[[#This Row],[Date Of Lead]])),Sheet3!D:E,2,0),"")</f>
        <v>Oct</v>
      </c>
      <c r="E49" s="36" t="str">
        <f>IFERROR(IF(OR(lead[[#This Row],[Year]]="",lead[[#This Row],[Month]]=""),"",lead[[#This Row],[Year]]&amp;lead[[#This Row],[Month]]),"")</f>
        <v>2020Oct</v>
      </c>
      <c r="F49" s="29" t="s">
        <v>29</v>
      </c>
      <c r="G49" s="29" t="s">
        <v>111</v>
      </c>
      <c r="H49" s="30" t="s">
        <v>188</v>
      </c>
      <c r="I49" s="29" t="s">
        <v>31</v>
      </c>
      <c r="J49" s="50" t="s">
        <v>37</v>
      </c>
      <c r="K49" s="28">
        <v>44150</v>
      </c>
      <c r="L49" s="36">
        <f>IFERROR(IF(OR(lead[[#This Row],[Closed Date]]="",lead[[#This Row],[Date Of Lead]]=""),"",lead[[#This Row],[Closed Date]]-lead[[#This Row],[Date Of Lead]]),"")</f>
        <v>21</v>
      </c>
      <c r="M49" s="36" t="str">
        <f>IFERROR(IF(OR(lead[[#This Row],[Closed Date]]="",lead[[#This Row],[Date Of Lead]]=""),"No","Yes"),"")</f>
        <v>Yes</v>
      </c>
      <c r="N49" s="38">
        <v>150</v>
      </c>
      <c r="O49" s="40">
        <f>IFERROR(SUMIFS('Advertising Spend'!H:H,'Advertising Spend'!G:G,lead[[#This Row],[Platform]],'Advertising Spend'!F:F,lead[[#This Row],[Date Comp]]),"")</f>
        <v>700</v>
      </c>
      <c r="P49" s="40">
        <f>IFERROR(SUMIFS('Advertising Spend'!J:J,'Advertising Spend'!G:G,lead[[#This Row],[Platform]],'Advertising Spend'!F:F,lead[[#This Row],[Date Comp]]),"")</f>
        <v>100</v>
      </c>
      <c r="Q49" s="42">
        <f>IFERROR(SUMIFS('Advertising Spend'!K:K,'Advertising Spend'!G:G,lead[[#This Row],[Platform]],'Advertising Spend'!F:F,lead[[#This Row],[Date Comp]]),"")</f>
        <v>0.14285714285714285</v>
      </c>
    </row>
    <row r="50" spans="1:17" ht="30" customHeight="1" x14ac:dyDescent="0.2">
      <c r="A50" s="20" t="str">
        <f t="shared" si="0"/>
        <v/>
      </c>
      <c r="B50" s="28">
        <v>44244</v>
      </c>
      <c r="C50" s="36">
        <f>IFERROR(IF(lead[[#This Row],[Date Of Lead]]="","",YEAR(lead[[#This Row],[Date Of Lead]])),"")</f>
        <v>2021</v>
      </c>
      <c r="D50" s="36" t="str">
        <f>IFERROR(VLOOKUP(IF(lead[[#This Row],[Date Of Lead]]="","",MONTH(lead[[#This Row],[Date Of Lead]])),Sheet3!D:E,2,0),"")</f>
        <v>Feb</v>
      </c>
      <c r="E50" s="36" t="str">
        <f>IFERROR(IF(OR(lead[[#This Row],[Year]]="",lead[[#This Row],[Month]]=""),"",lead[[#This Row],[Year]]&amp;lead[[#This Row],[Month]]),"")</f>
        <v>2021Feb</v>
      </c>
      <c r="F50" s="29" t="s">
        <v>29</v>
      </c>
      <c r="G50" s="29" t="s">
        <v>112</v>
      </c>
      <c r="H50" s="30" t="s">
        <v>188</v>
      </c>
      <c r="I50" s="29" t="s">
        <v>31</v>
      </c>
      <c r="J50" s="50" t="s">
        <v>35</v>
      </c>
      <c r="K50" s="28"/>
      <c r="L50" s="36" t="str">
        <f>IFERROR(IF(OR(lead[[#This Row],[Closed Date]]="",lead[[#This Row],[Date Of Lead]]=""),"",lead[[#This Row],[Closed Date]]-lead[[#This Row],[Date Of Lead]]),"")</f>
        <v/>
      </c>
      <c r="M50" s="36" t="str">
        <f>IFERROR(IF(OR(lead[[#This Row],[Closed Date]]="",lead[[#This Row],[Date Of Lead]]=""),"No","Yes"),"")</f>
        <v>No</v>
      </c>
      <c r="N50" s="38"/>
      <c r="O50" s="40">
        <f>IFERROR(SUMIFS('Advertising Spend'!H:H,'Advertising Spend'!G:G,lead[[#This Row],[Platform]],'Advertising Spend'!F:F,lead[[#This Row],[Date Comp]]),"")</f>
        <v>0</v>
      </c>
      <c r="P50" s="40">
        <f>IFERROR(SUMIFS('Advertising Spend'!J:J,'Advertising Spend'!G:G,lead[[#This Row],[Platform]],'Advertising Spend'!F:F,lead[[#This Row],[Date Comp]]),"")</f>
        <v>0</v>
      </c>
      <c r="Q50" s="42">
        <f>IFERROR(SUMIFS('Advertising Spend'!K:K,'Advertising Spend'!G:G,lead[[#This Row],[Platform]],'Advertising Spend'!F:F,lead[[#This Row],[Date Comp]]),"")</f>
        <v>0</v>
      </c>
    </row>
    <row r="51" spans="1:17" ht="30" customHeight="1" x14ac:dyDescent="0.2">
      <c r="A51" s="20" t="str">
        <f t="shared" si="0"/>
        <v/>
      </c>
      <c r="B51" s="28">
        <v>44213</v>
      </c>
      <c r="C51" s="36">
        <f>IFERROR(IF(lead[[#This Row],[Date Of Lead]]="","",YEAR(lead[[#This Row],[Date Of Lead]])),"")</f>
        <v>2021</v>
      </c>
      <c r="D51" s="36" t="str">
        <f>IFERROR(VLOOKUP(IF(lead[[#This Row],[Date Of Lead]]="","",MONTH(lead[[#This Row],[Date Of Lead]])),Sheet3!D:E,2,0),"")</f>
        <v>Jan</v>
      </c>
      <c r="E51" s="36" t="str">
        <f>IFERROR(IF(OR(lead[[#This Row],[Year]]="",lead[[#This Row],[Month]]=""),"",lead[[#This Row],[Year]]&amp;lead[[#This Row],[Month]]),"")</f>
        <v>2021Jan</v>
      </c>
      <c r="F51" s="29" t="s">
        <v>30</v>
      </c>
      <c r="G51" s="29" t="s">
        <v>113</v>
      </c>
      <c r="H51" s="30" t="s">
        <v>188</v>
      </c>
      <c r="I51" s="29" t="s">
        <v>32</v>
      </c>
      <c r="J51" s="50" t="s">
        <v>34</v>
      </c>
      <c r="K51" s="28"/>
      <c r="L51" s="36" t="str">
        <f>IFERROR(IF(OR(lead[[#This Row],[Closed Date]]="",lead[[#This Row],[Date Of Lead]]=""),"",lead[[#This Row],[Closed Date]]-lead[[#This Row],[Date Of Lead]]),"")</f>
        <v/>
      </c>
      <c r="M51" s="36" t="str">
        <f>IFERROR(IF(OR(lead[[#This Row],[Closed Date]]="",lead[[#This Row],[Date Of Lead]]=""),"No","Yes"),"")</f>
        <v>No</v>
      </c>
      <c r="N51" s="38"/>
      <c r="O51" s="40">
        <f>IFERROR(SUMIFS('Advertising Spend'!H:H,'Advertising Spend'!G:G,lead[[#This Row],[Platform]],'Advertising Spend'!F:F,lead[[#This Row],[Date Comp]]),"")</f>
        <v>0</v>
      </c>
      <c r="P51" s="40">
        <f>IFERROR(SUMIFS('Advertising Spend'!J:J,'Advertising Spend'!G:G,lead[[#This Row],[Platform]],'Advertising Spend'!F:F,lead[[#This Row],[Date Comp]]),"")</f>
        <v>0</v>
      </c>
      <c r="Q51" s="42">
        <f>IFERROR(SUMIFS('Advertising Spend'!K:K,'Advertising Spend'!G:G,lead[[#This Row],[Platform]],'Advertising Spend'!F:F,lead[[#This Row],[Date Comp]]),"")</f>
        <v>0</v>
      </c>
    </row>
    <row r="52" spans="1:17" ht="30" customHeight="1" x14ac:dyDescent="0.2">
      <c r="A52" s="20" t="str">
        <f t="shared" si="0"/>
        <v/>
      </c>
      <c r="B52" s="28">
        <v>44115</v>
      </c>
      <c r="C52" s="36">
        <f>IFERROR(IF(lead[[#This Row],[Date Of Lead]]="","",YEAR(lead[[#This Row],[Date Of Lead]])),"")</f>
        <v>2020</v>
      </c>
      <c r="D52" s="36" t="str">
        <f>IFERROR(VLOOKUP(IF(lead[[#This Row],[Date Of Lead]]="","",MONTH(lead[[#This Row],[Date Of Lead]])),Sheet3!D:E,2,0),"")</f>
        <v>Oct</v>
      </c>
      <c r="E52" s="36" t="str">
        <f>IFERROR(IF(OR(lead[[#This Row],[Year]]="",lead[[#This Row],[Month]]=""),"",lead[[#This Row],[Year]]&amp;lead[[#This Row],[Month]]),"")</f>
        <v>2020Oct</v>
      </c>
      <c r="F52" s="29" t="s">
        <v>30</v>
      </c>
      <c r="G52" s="29" t="s">
        <v>114</v>
      </c>
      <c r="H52" s="30" t="s">
        <v>188</v>
      </c>
      <c r="I52" s="29" t="s">
        <v>33</v>
      </c>
      <c r="J52" s="50" t="s">
        <v>35</v>
      </c>
      <c r="K52" s="28"/>
      <c r="L52" s="36" t="str">
        <f>IFERROR(IF(OR(lead[[#This Row],[Closed Date]]="",lead[[#This Row],[Date Of Lead]]=""),"",lead[[#This Row],[Closed Date]]-lead[[#This Row],[Date Of Lead]]),"")</f>
        <v/>
      </c>
      <c r="M52" s="36" t="str">
        <f>IFERROR(IF(OR(lead[[#This Row],[Closed Date]]="",lead[[#This Row],[Date Of Lead]]=""),"No","Yes"),"")</f>
        <v>No</v>
      </c>
      <c r="N52" s="38"/>
      <c r="O52" s="40">
        <f>IFERROR(SUMIFS('Advertising Spend'!H:H,'Advertising Spend'!G:G,lead[[#This Row],[Platform]],'Advertising Spend'!F:F,lead[[#This Row],[Date Comp]]),"")</f>
        <v>0</v>
      </c>
      <c r="P52" s="40">
        <f>IFERROR(SUMIFS('Advertising Spend'!J:J,'Advertising Spend'!G:G,lead[[#This Row],[Platform]],'Advertising Spend'!F:F,lead[[#This Row],[Date Comp]]),"")</f>
        <v>0</v>
      </c>
      <c r="Q52" s="42">
        <f>IFERROR(SUMIFS('Advertising Spend'!K:K,'Advertising Spend'!G:G,lead[[#This Row],[Platform]],'Advertising Spend'!F:F,lead[[#This Row],[Date Comp]]),"")</f>
        <v>0</v>
      </c>
    </row>
    <row r="53" spans="1:17" ht="30" customHeight="1" x14ac:dyDescent="0.2">
      <c r="A53" s="20" t="str">
        <f t="shared" si="0"/>
        <v/>
      </c>
      <c r="B53" s="28">
        <v>44222</v>
      </c>
      <c r="C53" s="36">
        <f>IFERROR(IF(lead[[#This Row],[Date Of Lead]]="","",YEAR(lead[[#This Row],[Date Of Lead]])),"")</f>
        <v>2021</v>
      </c>
      <c r="D53" s="36" t="str">
        <f>IFERROR(VLOOKUP(IF(lead[[#This Row],[Date Of Lead]]="","",MONTH(lead[[#This Row],[Date Of Lead]])),Sheet3!D:E,2,0),"")</f>
        <v>Jan</v>
      </c>
      <c r="E53" s="36" t="str">
        <f>IFERROR(IF(OR(lead[[#This Row],[Year]]="",lead[[#This Row],[Month]]=""),"",lead[[#This Row],[Year]]&amp;lead[[#This Row],[Month]]),"")</f>
        <v>2021Jan</v>
      </c>
      <c r="F53" s="29" t="s">
        <v>29</v>
      </c>
      <c r="G53" s="29" t="s">
        <v>115</v>
      </c>
      <c r="H53" s="30" t="s">
        <v>188</v>
      </c>
      <c r="I53" s="29" t="s">
        <v>31</v>
      </c>
      <c r="J53" s="50" t="s">
        <v>37</v>
      </c>
      <c r="K53" s="28">
        <v>44247</v>
      </c>
      <c r="L53" s="36">
        <f>IFERROR(IF(OR(lead[[#This Row],[Closed Date]]="",lead[[#This Row],[Date Of Lead]]=""),"",lead[[#This Row],[Closed Date]]-lead[[#This Row],[Date Of Lead]]),"")</f>
        <v>25</v>
      </c>
      <c r="M53" s="36" t="str">
        <f>IFERROR(IF(OR(lead[[#This Row],[Closed Date]]="",lead[[#This Row],[Date Of Lead]]=""),"No","Yes"),"")</f>
        <v>Yes</v>
      </c>
      <c r="N53" s="38">
        <v>200</v>
      </c>
      <c r="O53" s="40">
        <f>IFERROR(SUMIFS('Advertising Spend'!H:H,'Advertising Spend'!G:G,lead[[#This Row],[Platform]],'Advertising Spend'!F:F,lead[[#This Row],[Date Comp]]),"")</f>
        <v>0</v>
      </c>
      <c r="P53" s="40">
        <f>IFERROR(SUMIFS('Advertising Spend'!J:J,'Advertising Spend'!G:G,lead[[#This Row],[Platform]],'Advertising Spend'!F:F,lead[[#This Row],[Date Comp]]),"")</f>
        <v>0</v>
      </c>
      <c r="Q53" s="42">
        <f>IFERROR(SUMIFS('Advertising Spend'!K:K,'Advertising Spend'!G:G,lead[[#This Row],[Platform]],'Advertising Spend'!F:F,lead[[#This Row],[Date Comp]]),"")</f>
        <v>0</v>
      </c>
    </row>
    <row r="54" spans="1:17" ht="30" customHeight="1" x14ac:dyDescent="0.2">
      <c r="A54" s="20" t="str">
        <f t="shared" si="0"/>
        <v/>
      </c>
      <c r="B54" s="28">
        <v>44182</v>
      </c>
      <c r="C54" s="36">
        <f>IFERROR(IF(lead[[#This Row],[Date Of Lead]]="","",YEAR(lead[[#This Row],[Date Of Lead]])),"")</f>
        <v>2020</v>
      </c>
      <c r="D54" s="36" t="str">
        <f>IFERROR(VLOOKUP(IF(lead[[#This Row],[Date Of Lead]]="","",MONTH(lead[[#This Row],[Date Of Lead]])),Sheet3!D:E,2,0),"")</f>
        <v>Dec</v>
      </c>
      <c r="E54" s="36" t="str">
        <f>IFERROR(IF(OR(lead[[#This Row],[Year]]="",lead[[#This Row],[Month]]=""),"",lead[[#This Row],[Year]]&amp;lead[[#This Row],[Month]]),"")</f>
        <v>2020Dec</v>
      </c>
      <c r="F54" s="29" t="s">
        <v>27</v>
      </c>
      <c r="G54" s="29" t="s">
        <v>116</v>
      </c>
      <c r="H54" s="30" t="s">
        <v>188</v>
      </c>
      <c r="I54" s="29" t="s">
        <v>31</v>
      </c>
      <c r="J54" s="50" t="s">
        <v>37</v>
      </c>
      <c r="K54" s="28">
        <v>44210</v>
      </c>
      <c r="L54" s="36">
        <f>IFERROR(IF(OR(lead[[#This Row],[Closed Date]]="",lead[[#This Row],[Date Of Lead]]=""),"",lead[[#This Row],[Closed Date]]-lead[[#This Row],[Date Of Lead]]),"")</f>
        <v>28</v>
      </c>
      <c r="M54" s="36" t="str">
        <f>IFERROR(IF(OR(lead[[#This Row],[Closed Date]]="",lead[[#This Row],[Date Of Lead]]=""),"No","Yes"),"")</f>
        <v>Yes</v>
      </c>
      <c r="N54" s="38">
        <v>160</v>
      </c>
      <c r="O54" s="40">
        <f>IFERROR(SUMIFS('Advertising Spend'!H:H,'Advertising Spend'!G:G,lead[[#This Row],[Platform]],'Advertising Spend'!F:F,lead[[#This Row],[Date Comp]]),"")</f>
        <v>900</v>
      </c>
      <c r="P54" s="40">
        <f>IFERROR(SUMIFS('Advertising Spend'!J:J,'Advertising Spend'!G:G,lead[[#This Row],[Platform]],'Advertising Spend'!F:F,lead[[#This Row],[Date Comp]]),"")</f>
        <v>-140</v>
      </c>
      <c r="Q54" s="42">
        <f>IFERROR(SUMIFS('Advertising Spend'!K:K,'Advertising Spend'!G:G,lead[[#This Row],[Platform]],'Advertising Spend'!F:F,lead[[#This Row],[Date Comp]]),"")</f>
        <v>-0.15555555555555556</v>
      </c>
    </row>
    <row r="55" spans="1:17" ht="30" customHeight="1" x14ac:dyDescent="0.2">
      <c r="A55" s="20" t="str">
        <f t="shared" si="0"/>
        <v/>
      </c>
      <c r="B55" s="28">
        <v>44120</v>
      </c>
      <c r="C55" s="36">
        <f>IFERROR(IF(lead[[#This Row],[Date Of Lead]]="","",YEAR(lead[[#This Row],[Date Of Lead]])),"")</f>
        <v>2020</v>
      </c>
      <c r="D55" s="36" t="str">
        <f>IFERROR(VLOOKUP(IF(lead[[#This Row],[Date Of Lead]]="","",MONTH(lead[[#This Row],[Date Of Lead]])),Sheet3!D:E,2,0),"")</f>
        <v>Oct</v>
      </c>
      <c r="E55" s="36" t="str">
        <f>IFERROR(IF(OR(lead[[#This Row],[Year]]="",lead[[#This Row],[Month]]=""),"",lead[[#This Row],[Year]]&amp;lead[[#This Row],[Month]]),"")</f>
        <v>2020Oct</v>
      </c>
      <c r="F55" s="29" t="s">
        <v>74</v>
      </c>
      <c r="G55" s="29" t="s">
        <v>117</v>
      </c>
      <c r="H55" s="30" t="s">
        <v>188</v>
      </c>
      <c r="I55" s="29" t="s">
        <v>31</v>
      </c>
      <c r="J55" s="50" t="s">
        <v>37</v>
      </c>
      <c r="K55" s="28">
        <v>44145</v>
      </c>
      <c r="L55" s="36">
        <f>IFERROR(IF(OR(lead[[#This Row],[Closed Date]]="",lead[[#This Row],[Date Of Lead]]=""),"",lead[[#This Row],[Closed Date]]-lead[[#This Row],[Date Of Lead]]),"")</f>
        <v>25</v>
      </c>
      <c r="M55" s="36" t="str">
        <f>IFERROR(IF(OR(lead[[#This Row],[Closed Date]]="",lead[[#This Row],[Date Of Lead]]=""),"No","Yes"),"")</f>
        <v>Yes</v>
      </c>
      <c r="N55" s="38">
        <v>180</v>
      </c>
      <c r="O55" s="40">
        <f>IFERROR(SUMIFS('Advertising Spend'!H:H,'Advertising Spend'!G:G,lead[[#This Row],[Platform]],'Advertising Spend'!F:F,lead[[#This Row],[Date Comp]]),"")</f>
        <v>0</v>
      </c>
      <c r="P55" s="40">
        <f>IFERROR(SUMIFS('Advertising Spend'!J:J,'Advertising Spend'!G:G,lead[[#This Row],[Platform]],'Advertising Spend'!F:F,lead[[#This Row],[Date Comp]]),"")</f>
        <v>0</v>
      </c>
      <c r="Q55" s="42">
        <f>IFERROR(SUMIFS('Advertising Spend'!K:K,'Advertising Spend'!G:G,lead[[#This Row],[Platform]],'Advertising Spend'!F:F,lead[[#This Row],[Date Comp]]),"")</f>
        <v>0</v>
      </c>
    </row>
    <row r="56" spans="1:17" ht="30" customHeight="1" x14ac:dyDescent="0.2">
      <c r="A56" s="20" t="str">
        <f t="shared" si="0"/>
        <v/>
      </c>
      <c r="B56" s="28">
        <v>44188</v>
      </c>
      <c r="C56" s="36">
        <f>IFERROR(IF(lead[[#This Row],[Date Of Lead]]="","",YEAR(lead[[#This Row],[Date Of Lead]])),"")</f>
        <v>2020</v>
      </c>
      <c r="D56" s="36" t="str">
        <f>IFERROR(VLOOKUP(IF(lead[[#This Row],[Date Of Lead]]="","",MONTH(lead[[#This Row],[Date Of Lead]])),Sheet3!D:E,2,0),"")</f>
        <v>Dec</v>
      </c>
      <c r="E56" s="36" t="str">
        <f>IFERROR(IF(OR(lead[[#This Row],[Year]]="",lead[[#This Row],[Month]]=""),"",lead[[#This Row],[Year]]&amp;lead[[#This Row],[Month]]),"")</f>
        <v>2020Dec</v>
      </c>
      <c r="F56" s="29" t="s">
        <v>74</v>
      </c>
      <c r="G56" s="29" t="s">
        <v>118</v>
      </c>
      <c r="H56" s="30" t="s">
        <v>188</v>
      </c>
      <c r="I56" s="29" t="s">
        <v>33</v>
      </c>
      <c r="J56" s="50" t="s">
        <v>36</v>
      </c>
      <c r="K56" s="28"/>
      <c r="L56" s="36" t="str">
        <f>IFERROR(IF(OR(lead[[#This Row],[Closed Date]]="",lead[[#This Row],[Date Of Lead]]=""),"",lead[[#This Row],[Closed Date]]-lead[[#This Row],[Date Of Lead]]),"")</f>
        <v/>
      </c>
      <c r="M56" s="36" t="str">
        <f>IFERROR(IF(OR(lead[[#This Row],[Closed Date]]="",lead[[#This Row],[Date Of Lead]]=""),"No","Yes"),"")</f>
        <v>No</v>
      </c>
      <c r="N56" s="38"/>
      <c r="O56" s="40">
        <f>IFERROR(SUMIFS('Advertising Spend'!H:H,'Advertising Spend'!G:G,lead[[#This Row],[Platform]],'Advertising Spend'!F:F,lead[[#This Row],[Date Comp]]),"")</f>
        <v>0</v>
      </c>
      <c r="P56" s="40">
        <f>IFERROR(SUMIFS('Advertising Spend'!J:J,'Advertising Spend'!G:G,lead[[#This Row],[Platform]],'Advertising Spend'!F:F,lead[[#This Row],[Date Comp]]),"")</f>
        <v>0</v>
      </c>
      <c r="Q56" s="42">
        <f>IFERROR(SUMIFS('Advertising Spend'!K:K,'Advertising Spend'!G:G,lead[[#This Row],[Platform]],'Advertising Spend'!F:F,lead[[#This Row],[Date Comp]]),"")</f>
        <v>0</v>
      </c>
    </row>
    <row r="57" spans="1:17" ht="30" customHeight="1" x14ac:dyDescent="0.2">
      <c r="A57" s="20" t="str">
        <f t="shared" si="0"/>
        <v/>
      </c>
      <c r="B57" s="28">
        <v>44144</v>
      </c>
      <c r="C57" s="36">
        <f>IFERROR(IF(lead[[#This Row],[Date Of Lead]]="","",YEAR(lead[[#This Row],[Date Of Lead]])),"")</f>
        <v>2020</v>
      </c>
      <c r="D57" s="36" t="str">
        <f>IFERROR(VLOOKUP(IF(lead[[#This Row],[Date Of Lead]]="","",MONTH(lead[[#This Row],[Date Of Lead]])),Sheet3!D:E,2,0),"")</f>
        <v>Nov</v>
      </c>
      <c r="E57" s="36" t="str">
        <f>IFERROR(IF(OR(lead[[#This Row],[Year]]="",lead[[#This Row],[Month]]=""),"",lead[[#This Row],[Year]]&amp;lead[[#This Row],[Month]]),"")</f>
        <v>2020Nov</v>
      </c>
      <c r="F57" s="29" t="s">
        <v>74</v>
      </c>
      <c r="G57" s="29" t="s">
        <v>119</v>
      </c>
      <c r="H57" s="30" t="s">
        <v>188</v>
      </c>
      <c r="I57" s="29" t="s">
        <v>33</v>
      </c>
      <c r="J57" s="50" t="s">
        <v>36</v>
      </c>
      <c r="K57" s="28"/>
      <c r="L57" s="36" t="str">
        <f>IFERROR(IF(OR(lead[[#This Row],[Closed Date]]="",lead[[#This Row],[Date Of Lead]]=""),"",lead[[#This Row],[Closed Date]]-lead[[#This Row],[Date Of Lead]]),"")</f>
        <v/>
      </c>
      <c r="M57" s="36" t="str">
        <f>IFERROR(IF(OR(lead[[#This Row],[Closed Date]]="",lead[[#This Row],[Date Of Lead]]=""),"No","Yes"),"")</f>
        <v>No</v>
      </c>
      <c r="N57" s="38"/>
      <c r="O57" s="40">
        <f>IFERROR(SUMIFS('Advertising Spend'!H:H,'Advertising Spend'!G:G,lead[[#This Row],[Platform]],'Advertising Spend'!F:F,lead[[#This Row],[Date Comp]]),"")</f>
        <v>0</v>
      </c>
      <c r="P57" s="40">
        <f>IFERROR(SUMIFS('Advertising Spend'!J:J,'Advertising Spend'!G:G,lead[[#This Row],[Platform]],'Advertising Spend'!F:F,lead[[#This Row],[Date Comp]]),"")</f>
        <v>0</v>
      </c>
      <c r="Q57" s="42">
        <f>IFERROR(SUMIFS('Advertising Spend'!K:K,'Advertising Spend'!G:G,lead[[#This Row],[Platform]],'Advertising Spend'!F:F,lead[[#This Row],[Date Comp]]),"")</f>
        <v>0</v>
      </c>
    </row>
    <row r="58" spans="1:17" ht="30" customHeight="1" x14ac:dyDescent="0.2">
      <c r="A58" s="20" t="str">
        <f t="shared" si="0"/>
        <v/>
      </c>
      <c r="B58" s="28">
        <v>44192</v>
      </c>
      <c r="C58" s="36">
        <f>IFERROR(IF(lead[[#This Row],[Date Of Lead]]="","",YEAR(lead[[#This Row],[Date Of Lead]])),"")</f>
        <v>2020</v>
      </c>
      <c r="D58" s="36" t="str">
        <f>IFERROR(VLOOKUP(IF(lead[[#This Row],[Date Of Lead]]="","",MONTH(lead[[#This Row],[Date Of Lead]])),Sheet3!D:E,2,0),"")</f>
        <v>Dec</v>
      </c>
      <c r="E58" s="36" t="str">
        <f>IFERROR(IF(OR(lead[[#This Row],[Year]]="",lead[[#This Row],[Month]]=""),"",lead[[#This Row],[Year]]&amp;lead[[#This Row],[Month]]),"")</f>
        <v>2020Dec</v>
      </c>
      <c r="F58" s="29" t="s">
        <v>27</v>
      </c>
      <c r="G58" s="29" t="s">
        <v>120</v>
      </c>
      <c r="H58" s="30" t="s">
        <v>188</v>
      </c>
      <c r="I58" s="29" t="s">
        <v>33</v>
      </c>
      <c r="J58" s="50" t="s">
        <v>37</v>
      </c>
      <c r="K58" s="28">
        <v>44211</v>
      </c>
      <c r="L58" s="36">
        <f>IFERROR(IF(OR(lead[[#This Row],[Closed Date]]="",lead[[#This Row],[Date Of Lead]]=""),"",lead[[#This Row],[Closed Date]]-lead[[#This Row],[Date Of Lead]]),"")</f>
        <v>19</v>
      </c>
      <c r="M58" s="36" t="str">
        <f>IFERROR(IF(OR(lead[[#This Row],[Closed Date]]="",lead[[#This Row],[Date Of Lead]]=""),"No","Yes"),"")</f>
        <v>Yes</v>
      </c>
      <c r="N58" s="38">
        <v>250</v>
      </c>
      <c r="O58" s="40">
        <f>IFERROR(SUMIFS('Advertising Spend'!H:H,'Advertising Spend'!G:G,lead[[#This Row],[Platform]],'Advertising Spend'!F:F,lead[[#This Row],[Date Comp]]),"")</f>
        <v>900</v>
      </c>
      <c r="P58" s="40">
        <f>IFERROR(SUMIFS('Advertising Spend'!J:J,'Advertising Spend'!G:G,lead[[#This Row],[Platform]],'Advertising Spend'!F:F,lead[[#This Row],[Date Comp]]),"")</f>
        <v>-140</v>
      </c>
      <c r="Q58" s="42">
        <f>IFERROR(SUMIFS('Advertising Spend'!K:K,'Advertising Spend'!G:G,lead[[#This Row],[Platform]],'Advertising Spend'!F:F,lead[[#This Row],[Date Comp]]),"")</f>
        <v>-0.15555555555555556</v>
      </c>
    </row>
    <row r="59" spans="1:17" ht="30" customHeight="1" x14ac:dyDescent="0.2">
      <c r="A59" s="20" t="str">
        <f t="shared" si="0"/>
        <v/>
      </c>
      <c r="B59" s="28">
        <v>44147</v>
      </c>
      <c r="C59" s="36">
        <f>IFERROR(IF(lead[[#This Row],[Date Of Lead]]="","",YEAR(lead[[#This Row],[Date Of Lead]])),"")</f>
        <v>2020</v>
      </c>
      <c r="D59" s="36" t="str">
        <f>IFERROR(VLOOKUP(IF(lead[[#This Row],[Date Of Lead]]="","",MONTH(lead[[#This Row],[Date Of Lead]])),Sheet3!D:E,2,0),"")</f>
        <v>Nov</v>
      </c>
      <c r="E59" s="36" t="str">
        <f>IFERROR(IF(OR(lead[[#This Row],[Year]]="",lead[[#This Row],[Month]]=""),"",lead[[#This Row],[Year]]&amp;lead[[#This Row],[Month]]),"")</f>
        <v>2020Nov</v>
      </c>
      <c r="F59" s="29" t="s">
        <v>29</v>
      </c>
      <c r="G59" s="29" t="s">
        <v>121</v>
      </c>
      <c r="H59" s="30" t="s">
        <v>188</v>
      </c>
      <c r="I59" s="29" t="s">
        <v>32</v>
      </c>
      <c r="J59" s="50" t="s">
        <v>35</v>
      </c>
      <c r="K59" s="28"/>
      <c r="L59" s="36" t="str">
        <f>IFERROR(IF(OR(lead[[#This Row],[Closed Date]]="",lead[[#This Row],[Date Of Lead]]=""),"",lead[[#This Row],[Closed Date]]-lead[[#This Row],[Date Of Lead]]),"")</f>
        <v/>
      </c>
      <c r="M59" s="36" t="str">
        <f>IFERROR(IF(OR(lead[[#This Row],[Closed Date]]="",lead[[#This Row],[Date Of Lead]]=""),"No","Yes"),"")</f>
        <v>No</v>
      </c>
      <c r="N59" s="38"/>
      <c r="O59" s="40">
        <f>IFERROR(SUMIFS('Advertising Spend'!H:H,'Advertising Spend'!G:G,lead[[#This Row],[Platform]],'Advertising Spend'!F:F,lead[[#This Row],[Date Comp]]),"")</f>
        <v>0</v>
      </c>
      <c r="P59" s="40">
        <f>IFERROR(SUMIFS('Advertising Spend'!J:J,'Advertising Spend'!G:G,lead[[#This Row],[Platform]],'Advertising Spend'!F:F,lead[[#This Row],[Date Comp]]),"")</f>
        <v>0</v>
      </c>
      <c r="Q59" s="42">
        <f>IFERROR(SUMIFS('Advertising Spend'!K:K,'Advertising Spend'!G:G,lead[[#This Row],[Platform]],'Advertising Spend'!F:F,lead[[#This Row],[Date Comp]]),"")</f>
        <v>0</v>
      </c>
    </row>
    <row r="60" spans="1:17" ht="30" customHeight="1" x14ac:dyDescent="0.2">
      <c r="A60" s="20" t="str">
        <f t="shared" si="0"/>
        <v/>
      </c>
      <c r="B60" s="28">
        <v>44244</v>
      </c>
      <c r="C60" s="36">
        <f>IFERROR(IF(lead[[#This Row],[Date Of Lead]]="","",YEAR(lead[[#This Row],[Date Of Lead]])),"")</f>
        <v>2021</v>
      </c>
      <c r="D60" s="36" t="str">
        <f>IFERROR(VLOOKUP(IF(lead[[#This Row],[Date Of Lead]]="","",MONTH(lead[[#This Row],[Date Of Lead]])),Sheet3!D:E,2,0),"")</f>
        <v>Feb</v>
      </c>
      <c r="E60" s="36" t="str">
        <f>IFERROR(IF(OR(lead[[#This Row],[Year]]="",lead[[#This Row],[Month]]=""),"",lead[[#This Row],[Year]]&amp;lead[[#This Row],[Month]]),"")</f>
        <v>2021Feb</v>
      </c>
      <c r="F60" s="29" t="s">
        <v>29</v>
      </c>
      <c r="G60" s="29" t="s">
        <v>122</v>
      </c>
      <c r="H60" s="30" t="s">
        <v>188</v>
      </c>
      <c r="I60" s="29" t="s">
        <v>33</v>
      </c>
      <c r="J60" s="50" t="s">
        <v>36</v>
      </c>
      <c r="K60" s="28"/>
      <c r="L60" s="36" t="str">
        <f>IFERROR(IF(OR(lead[[#This Row],[Closed Date]]="",lead[[#This Row],[Date Of Lead]]=""),"",lead[[#This Row],[Closed Date]]-lead[[#This Row],[Date Of Lead]]),"")</f>
        <v/>
      </c>
      <c r="M60" s="36" t="str">
        <f>IFERROR(IF(OR(lead[[#This Row],[Closed Date]]="",lead[[#This Row],[Date Of Lead]]=""),"No","Yes"),"")</f>
        <v>No</v>
      </c>
      <c r="N60" s="38"/>
      <c r="O60" s="40">
        <f>IFERROR(SUMIFS('Advertising Spend'!H:H,'Advertising Spend'!G:G,lead[[#This Row],[Platform]],'Advertising Spend'!F:F,lead[[#This Row],[Date Comp]]),"")</f>
        <v>0</v>
      </c>
      <c r="P60" s="40">
        <f>IFERROR(SUMIFS('Advertising Spend'!J:J,'Advertising Spend'!G:G,lead[[#This Row],[Platform]],'Advertising Spend'!F:F,lead[[#This Row],[Date Comp]]),"")</f>
        <v>0</v>
      </c>
      <c r="Q60" s="42">
        <f>IFERROR(SUMIFS('Advertising Spend'!K:K,'Advertising Spend'!G:G,lead[[#This Row],[Platform]],'Advertising Spend'!F:F,lead[[#This Row],[Date Comp]]),"")</f>
        <v>0</v>
      </c>
    </row>
    <row r="61" spans="1:17" ht="30" customHeight="1" x14ac:dyDescent="0.2">
      <c r="A61" s="20" t="str">
        <f t="shared" si="0"/>
        <v/>
      </c>
      <c r="B61" s="28">
        <v>44116</v>
      </c>
      <c r="C61" s="36">
        <f>IFERROR(IF(lead[[#This Row],[Date Of Lead]]="","",YEAR(lead[[#This Row],[Date Of Lead]])),"")</f>
        <v>2020</v>
      </c>
      <c r="D61" s="36" t="str">
        <f>IFERROR(VLOOKUP(IF(lead[[#This Row],[Date Of Lead]]="","",MONTH(lead[[#This Row],[Date Of Lead]])),Sheet3!D:E,2,0),"")</f>
        <v>Oct</v>
      </c>
      <c r="E61" s="36" t="str">
        <f>IFERROR(IF(OR(lead[[#This Row],[Year]]="",lead[[#This Row],[Month]]=""),"",lead[[#This Row],[Year]]&amp;lead[[#This Row],[Month]]),"")</f>
        <v>2020Oct</v>
      </c>
      <c r="F61" s="29" t="s">
        <v>29</v>
      </c>
      <c r="G61" s="29" t="s">
        <v>123</v>
      </c>
      <c r="H61" s="30" t="s">
        <v>188</v>
      </c>
      <c r="I61" s="29" t="s">
        <v>32</v>
      </c>
      <c r="J61" s="50" t="s">
        <v>37</v>
      </c>
      <c r="K61" s="28">
        <v>44145</v>
      </c>
      <c r="L61" s="36">
        <f>IFERROR(IF(OR(lead[[#This Row],[Closed Date]]="",lead[[#This Row],[Date Of Lead]]=""),"",lead[[#This Row],[Closed Date]]-lead[[#This Row],[Date Of Lead]]),"")</f>
        <v>29</v>
      </c>
      <c r="M61" s="36" t="str">
        <f>IFERROR(IF(OR(lead[[#This Row],[Closed Date]]="",lead[[#This Row],[Date Of Lead]]=""),"No","Yes"),"")</f>
        <v>Yes</v>
      </c>
      <c r="N61" s="38">
        <v>300</v>
      </c>
      <c r="O61" s="40">
        <f>IFERROR(SUMIFS('Advertising Spend'!H:H,'Advertising Spend'!G:G,lead[[#This Row],[Platform]],'Advertising Spend'!F:F,lead[[#This Row],[Date Comp]]),"")</f>
        <v>700</v>
      </c>
      <c r="P61" s="40">
        <f>IFERROR(SUMIFS('Advertising Spend'!J:J,'Advertising Spend'!G:G,lead[[#This Row],[Platform]],'Advertising Spend'!F:F,lead[[#This Row],[Date Comp]]),"")</f>
        <v>100</v>
      </c>
      <c r="Q61" s="42">
        <f>IFERROR(SUMIFS('Advertising Spend'!K:K,'Advertising Spend'!G:G,lead[[#This Row],[Platform]],'Advertising Spend'!F:F,lead[[#This Row],[Date Comp]]),"")</f>
        <v>0.14285714285714285</v>
      </c>
    </row>
    <row r="62" spans="1:17" ht="30" customHeight="1" x14ac:dyDescent="0.2">
      <c r="A62" s="20" t="str">
        <f t="shared" si="0"/>
        <v/>
      </c>
      <c r="B62" s="28">
        <v>44187</v>
      </c>
      <c r="C62" s="36">
        <f>IFERROR(IF(lead[[#This Row],[Date Of Lead]]="","",YEAR(lead[[#This Row],[Date Of Lead]])),"")</f>
        <v>2020</v>
      </c>
      <c r="D62" s="36" t="str">
        <f>IFERROR(VLOOKUP(IF(lead[[#This Row],[Date Of Lead]]="","",MONTH(lead[[#This Row],[Date Of Lead]])),Sheet3!D:E,2,0),"")</f>
        <v>Dec</v>
      </c>
      <c r="E62" s="36" t="str">
        <f>IFERROR(IF(OR(lead[[#This Row],[Year]]="",lead[[#This Row],[Month]]=""),"",lead[[#This Row],[Year]]&amp;lead[[#This Row],[Month]]),"")</f>
        <v>2020Dec</v>
      </c>
      <c r="F62" s="29" t="s">
        <v>29</v>
      </c>
      <c r="G62" s="29" t="s">
        <v>124</v>
      </c>
      <c r="H62" s="30" t="s">
        <v>188</v>
      </c>
      <c r="I62" s="29" t="s">
        <v>32</v>
      </c>
      <c r="J62" s="50" t="s">
        <v>35</v>
      </c>
      <c r="K62" s="28"/>
      <c r="L62" s="36" t="str">
        <f>IFERROR(IF(OR(lead[[#This Row],[Closed Date]]="",lead[[#This Row],[Date Of Lead]]=""),"",lead[[#This Row],[Closed Date]]-lead[[#This Row],[Date Of Lead]]),"")</f>
        <v/>
      </c>
      <c r="M62" s="36" t="str">
        <f>IFERROR(IF(OR(lead[[#This Row],[Closed Date]]="",lead[[#This Row],[Date Of Lead]]=""),"No","Yes"),"")</f>
        <v>No</v>
      </c>
      <c r="N62" s="38"/>
      <c r="O62" s="40">
        <f>IFERROR(SUMIFS('Advertising Spend'!H:H,'Advertising Spend'!G:G,lead[[#This Row],[Platform]],'Advertising Spend'!F:F,lead[[#This Row],[Date Comp]]),"")</f>
        <v>0</v>
      </c>
      <c r="P62" s="40">
        <f>IFERROR(SUMIFS('Advertising Spend'!J:J,'Advertising Spend'!G:G,lead[[#This Row],[Platform]],'Advertising Spend'!F:F,lead[[#This Row],[Date Comp]]),"")</f>
        <v>0</v>
      </c>
      <c r="Q62" s="42">
        <f>IFERROR(SUMIFS('Advertising Spend'!K:K,'Advertising Spend'!G:G,lead[[#This Row],[Platform]],'Advertising Spend'!F:F,lead[[#This Row],[Date Comp]]),"")</f>
        <v>0</v>
      </c>
    </row>
    <row r="63" spans="1:17" ht="30" customHeight="1" x14ac:dyDescent="0.2">
      <c r="A63" s="20" t="str">
        <f t="shared" si="0"/>
        <v/>
      </c>
      <c r="B63" s="28">
        <v>44187</v>
      </c>
      <c r="C63" s="36">
        <f>IFERROR(IF(lead[[#This Row],[Date Of Lead]]="","",YEAR(lead[[#This Row],[Date Of Lead]])),"")</f>
        <v>2020</v>
      </c>
      <c r="D63" s="36" t="str">
        <f>IFERROR(VLOOKUP(IF(lead[[#This Row],[Date Of Lead]]="","",MONTH(lead[[#This Row],[Date Of Lead]])),Sheet3!D:E,2,0),"")</f>
        <v>Dec</v>
      </c>
      <c r="E63" s="36" t="str">
        <f>IFERROR(IF(OR(lead[[#This Row],[Year]]="",lead[[#This Row],[Month]]=""),"",lead[[#This Row],[Year]]&amp;lead[[#This Row],[Month]]),"")</f>
        <v>2020Dec</v>
      </c>
      <c r="F63" s="29" t="s">
        <v>74</v>
      </c>
      <c r="G63" s="29" t="s">
        <v>125</v>
      </c>
      <c r="H63" s="30" t="s">
        <v>188</v>
      </c>
      <c r="I63" s="29" t="s">
        <v>33</v>
      </c>
      <c r="J63" s="50" t="s">
        <v>36</v>
      </c>
      <c r="K63" s="28"/>
      <c r="L63" s="36" t="str">
        <f>IFERROR(IF(OR(lead[[#This Row],[Closed Date]]="",lead[[#This Row],[Date Of Lead]]=""),"",lead[[#This Row],[Closed Date]]-lead[[#This Row],[Date Of Lead]]),"")</f>
        <v/>
      </c>
      <c r="M63" s="36" t="str">
        <f>IFERROR(IF(OR(lead[[#This Row],[Closed Date]]="",lead[[#This Row],[Date Of Lead]]=""),"No","Yes"),"")</f>
        <v>No</v>
      </c>
      <c r="N63" s="38"/>
      <c r="O63" s="40">
        <f>IFERROR(SUMIFS('Advertising Spend'!H:H,'Advertising Spend'!G:G,lead[[#This Row],[Platform]],'Advertising Spend'!F:F,lead[[#This Row],[Date Comp]]),"")</f>
        <v>0</v>
      </c>
      <c r="P63" s="40">
        <f>IFERROR(SUMIFS('Advertising Spend'!J:J,'Advertising Spend'!G:G,lead[[#This Row],[Platform]],'Advertising Spend'!F:F,lead[[#This Row],[Date Comp]]),"")</f>
        <v>0</v>
      </c>
      <c r="Q63" s="42">
        <f>IFERROR(SUMIFS('Advertising Spend'!K:K,'Advertising Spend'!G:G,lead[[#This Row],[Platform]],'Advertising Spend'!F:F,lead[[#This Row],[Date Comp]]),"")</f>
        <v>0</v>
      </c>
    </row>
    <row r="64" spans="1:17" ht="30" customHeight="1" x14ac:dyDescent="0.2">
      <c r="A64" s="20" t="str">
        <f t="shared" si="0"/>
        <v/>
      </c>
      <c r="B64" s="28">
        <v>44246</v>
      </c>
      <c r="C64" s="36">
        <f>IFERROR(IF(lead[[#This Row],[Date Of Lead]]="","",YEAR(lead[[#This Row],[Date Of Lead]])),"")</f>
        <v>2021</v>
      </c>
      <c r="D64" s="36" t="str">
        <f>IFERROR(VLOOKUP(IF(lead[[#This Row],[Date Of Lead]]="","",MONTH(lead[[#This Row],[Date Of Lead]])),Sheet3!D:E,2,0),"")</f>
        <v>Feb</v>
      </c>
      <c r="E64" s="36" t="str">
        <f>IFERROR(IF(OR(lead[[#This Row],[Year]]="",lead[[#This Row],[Month]]=""),"",lead[[#This Row],[Year]]&amp;lead[[#This Row],[Month]]),"")</f>
        <v>2021Feb</v>
      </c>
      <c r="F64" s="29" t="s">
        <v>28</v>
      </c>
      <c r="G64" s="29" t="s">
        <v>126</v>
      </c>
      <c r="H64" s="30" t="s">
        <v>188</v>
      </c>
      <c r="I64" s="29" t="s">
        <v>32</v>
      </c>
      <c r="J64" s="50" t="s">
        <v>36</v>
      </c>
      <c r="K64" s="28"/>
      <c r="L64" s="36" t="str">
        <f>IFERROR(IF(OR(lead[[#This Row],[Closed Date]]="",lead[[#This Row],[Date Of Lead]]=""),"",lead[[#This Row],[Closed Date]]-lead[[#This Row],[Date Of Lead]]),"")</f>
        <v/>
      </c>
      <c r="M64" s="36" t="str">
        <f>IFERROR(IF(OR(lead[[#This Row],[Closed Date]]="",lead[[#This Row],[Date Of Lead]]=""),"No","Yes"),"")</f>
        <v>No</v>
      </c>
      <c r="N64" s="38"/>
      <c r="O64" s="40">
        <f>IFERROR(SUMIFS('Advertising Spend'!H:H,'Advertising Spend'!G:G,lead[[#This Row],[Platform]],'Advertising Spend'!F:F,lead[[#This Row],[Date Comp]]),"")</f>
        <v>0</v>
      </c>
      <c r="P64" s="40">
        <f>IFERROR(SUMIFS('Advertising Spend'!J:J,'Advertising Spend'!G:G,lead[[#This Row],[Platform]],'Advertising Spend'!F:F,lead[[#This Row],[Date Comp]]),"")</f>
        <v>0</v>
      </c>
      <c r="Q64" s="42">
        <f>IFERROR(SUMIFS('Advertising Spend'!K:K,'Advertising Spend'!G:G,lead[[#This Row],[Platform]],'Advertising Spend'!F:F,lead[[#This Row],[Date Comp]]),"")</f>
        <v>0</v>
      </c>
    </row>
    <row r="65" spans="1:17" ht="30" customHeight="1" x14ac:dyDescent="0.2">
      <c r="A65" s="20" t="str">
        <f t="shared" si="0"/>
        <v/>
      </c>
      <c r="B65" s="28">
        <v>44198</v>
      </c>
      <c r="C65" s="36">
        <f>IFERROR(IF(lead[[#This Row],[Date Of Lead]]="","",YEAR(lead[[#This Row],[Date Of Lead]])),"")</f>
        <v>2021</v>
      </c>
      <c r="D65" s="36" t="str">
        <f>IFERROR(VLOOKUP(IF(lead[[#This Row],[Date Of Lead]]="","",MONTH(lead[[#This Row],[Date Of Lead]])),Sheet3!D:E,2,0),"")</f>
        <v>Jan</v>
      </c>
      <c r="E65" s="36" t="str">
        <f>IFERROR(IF(OR(lead[[#This Row],[Year]]="",lead[[#This Row],[Month]]=""),"",lead[[#This Row],[Year]]&amp;lead[[#This Row],[Month]]),"")</f>
        <v>2021Jan</v>
      </c>
      <c r="F65" s="29" t="s">
        <v>27</v>
      </c>
      <c r="G65" s="29" t="s">
        <v>127</v>
      </c>
      <c r="H65" s="30" t="s">
        <v>188</v>
      </c>
      <c r="I65" s="29" t="s">
        <v>33</v>
      </c>
      <c r="J65" s="50" t="s">
        <v>37</v>
      </c>
      <c r="K65" s="28">
        <v>44223</v>
      </c>
      <c r="L65" s="36">
        <f>IFERROR(IF(OR(lead[[#This Row],[Closed Date]]="",lead[[#This Row],[Date Of Lead]]=""),"",lead[[#This Row],[Closed Date]]-lead[[#This Row],[Date Of Lead]]),"")</f>
        <v>25</v>
      </c>
      <c r="M65" s="36" t="str">
        <f>IFERROR(IF(OR(lead[[#This Row],[Closed Date]]="",lead[[#This Row],[Date Of Lead]]=""),"No","Yes"),"")</f>
        <v>Yes</v>
      </c>
      <c r="N65" s="38">
        <v>150</v>
      </c>
      <c r="O65" s="40">
        <f>IFERROR(SUMIFS('Advertising Spend'!H:H,'Advertising Spend'!G:G,lead[[#This Row],[Platform]],'Advertising Spend'!F:F,lead[[#This Row],[Date Comp]]),"")</f>
        <v>500</v>
      </c>
      <c r="P65" s="40">
        <f>IFERROR(SUMIFS('Advertising Spend'!J:J,'Advertising Spend'!G:G,lead[[#This Row],[Platform]],'Advertising Spend'!F:F,lead[[#This Row],[Date Comp]]),"")</f>
        <v>200</v>
      </c>
      <c r="Q65" s="42">
        <f>IFERROR(SUMIFS('Advertising Spend'!K:K,'Advertising Spend'!G:G,lead[[#This Row],[Platform]],'Advertising Spend'!F:F,lead[[#This Row],[Date Comp]]),"")</f>
        <v>0.4</v>
      </c>
    </row>
    <row r="66" spans="1:17" ht="30" customHeight="1" x14ac:dyDescent="0.2">
      <c r="A66" s="20" t="str">
        <f t="shared" si="0"/>
        <v/>
      </c>
      <c r="B66" s="28">
        <v>44256</v>
      </c>
      <c r="C66" s="36">
        <f>IFERROR(IF(lead[[#This Row],[Date Of Lead]]="","",YEAR(lead[[#This Row],[Date Of Lead]])),"")</f>
        <v>2021</v>
      </c>
      <c r="D66" s="36" t="str">
        <f>IFERROR(VLOOKUP(IF(lead[[#This Row],[Date Of Lead]]="","",MONTH(lead[[#This Row],[Date Of Lead]])),Sheet3!D:E,2,0),"")</f>
        <v>Mar</v>
      </c>
      <c r="E66" s="36" t="str">
        <f>IFERROR(IF(OR(lead[[#This Row],[Year]]="",lead[[#This Row],[Month]]=""),"",lead[[#This Row],[Year]]&amp;lead[[#This Row],[Month]]),"")</f>
        <v>2021Mar</v>
      </c>
      <c r="F66" s="29" t="s">
        <v>28</v>
      </c>
      <c r="G66" s="29" t="s">
        <v>128</v>
      </c>
      <c r="H66" s="30" t="s">
        <v>188</v>
      </c>
      <c r="I66" s="29" t="s">
        <v>32</v>
      </c>
      <c r="J66" s="50" t="s">
        <v>35</v>
      </c>
      <c r="K66" s="28"/>
      <c r="L66" s="36" t="str">
        <f>IFERROR(IF(OR(lead[[#This Row],[Closed Date]]="",lead[[#This Row],[Date Of Lead]]=""),"",lead[[#This Row],[Closed Date]]-lead[[#This Row],[Date Of Lead]]),"")</f>
        <v/>
      </c>
      <c r="M66" s="36" t="str">
        <f>IFERROR(IF(OR(lead[[#This Row],[Closed Date]]="",lead[[#This Row],[Date Of Lead]]=""),"No","Yes"),"")</f>
        <v>No</v>
      </c>
      <c r="N66" s="38"/>
      <c r="O66" s="40">
        <f>IFERROR(SUMIFS('Advertising Spend'!H:H,'Advertising Spend'!G:G,lead[[#This Row],[Platform]],'Advertising Spend'!F:F,lead[[#This Row],[Date Comp]]),"")</f>
        <v>0</v>
      </c>
      <c r="P66" s="40">
        <f>IFERROR(SUMIFS('Advertising Spend'!J:J,'Advertising Spend'!G:G,lead[[#This Row],[Platform]],'Advertising Spend'!F:F,lead[[#This Row],[Date Comp]]),"")</f>
        <v>0</v>
      </c>
      <c r="Q66" s="42">
        <f>IFERROR(SUMIFS('Advertising Spend'!K:K,'Advertising Spend'!G:G,lead[[#This Row],[Platform]],'Advertising Spend'!F:F,lead[[#This Row],[Date Comp]]),"")</f>
        <v>0</v>
      </c>
    </row>
    <row r="67" spans="1:17" ht="30" customHeight="1" x14ac:dyDescent="0.2">
      <c r="A67" s="20" t="str">
        <f t="shared" si="0"/>
        <v/>
      </c>
      <c r="B67" s="28">
        <v>44233</v>
      </c>
      <c r="C67" s="36">
        <f>IFERROR(IF(lead[[#This Row],[Date Of Lead]]="","",YEAR(lead[[#This Row],[Date Of Lead]])),"")</f>
        <v>2021</v>
      </c>
      <c r="D67" s="36" t="str">
        <f>IFERROR(VLOOKUP(IF(lead[[#This Row],[Date Of Lead]]="","",MONTH(lead[[#This Row],[Date Of Lead]])),Sheet3!D:E,2,0),"")</f>
        <v>Feb</v>
      </c>
      <c r="E67" s="36" t="str">
        <f>IFERROR(IF(OR(lead[[#This Row],[Year]]="",lead[[#This Row],[Month]]=""),"",lead[[#This Row],[Year]]&amp;lead[[#This Row],[Month]]),"")</f>
        <v>2021Feb</v>
      </c>
      <c r="F67" s="29" t="s">
        <v>28</v>
      </c>
      <c r="G67" s="29" t="s">
        <v>129</v>
      </c>
      <c r="H67" s="30" t="s">
        <v>188</v>
      </c>
      <c r="I67" s="29" t="s">
        <v>31</v>
      </c>
      <c r="J67" s="50" t="s">
        <v>37</v>
      </c>
      <c r="K67" s="28">
        <v>44254</v>
      </c>
      <c r="L67" s="36">
        <f>IFERROR(IF(OR(lead[[#This Row],[Closed Date]]="",lead[[#This Row],[Date Of Lead]]=""),"",lead[[#This Row],[Closed Date]]-lead[[#This Row],[Date Of Lead]]),"")</f>
        <v>21</v>
      </c>
      <c r="M67" s="36" t="str">
        <f>IFERROR(IF(OR(lead[[#This Row],[Closed Date]]="",lead[[#This Row],[Date Of Lead]]=""),"No","Yes"),"")</f>
        <v>Yes</v>
      </c>
      <c r="N67" s="38">
        <v>200</v>
      </c>
      <c r="O67" s="40">
        <f>IFERROR(SUMIFS('Advertising Spend'!H:H,'Advertising Spend'!G:G,lead[[#This Row],[Platform]],'Advertising Spend'!F:F,lead[[#This Row],[Date Comp]]),"")</f>
        <v>0</v>
      </c>
      <c r="P67" s="40">
        <f>IFERROR(SUMIFS('Advertising Spend'!J:J,'Advertising Spend'!G:G,lead[[#This Row],[Platform]],'Advertising Spend'!F:F,lead[[#This Row],[Date Comp]]),"")</f>
        <v>0</v>
      </c>
      <c r="Q67" s="42">
        <f>IFERROR(SUMIFS('Advertising Spend'!K:K,'Advertising Spend'!G:G,lead[[#This Row],[Platform]],'Advertising Spend'!F:F,lead[[#This Row],[Date Comp]]),"")</f>
        <v>0</v>
      </c>
    </row>
    <row r="68" spans="1:17" ht="30" customHeight="1" x14ac:dyDescent="0.2">
      <c r="A68" s="20" t="str">
        <f t="shared" si="0"/>
        <v/>
      </c>
      <c r="B68" s="28">
        <v>44205</v>
      </c>
      <c r="C68" s="36">
        <f>IFERROR(IF(lead[[#This Row],[Date Of Lead]]="","",YEAR(lead[[#This Row],[Date Of Lead]])),"")</f>
        <v>2021</v>
      </c>
      <c r="D68" s="36" t="str">
        <f>IFERROR(VLOOKUP(IF(lead[[#This Row],[Date Of Lead]]="","",MONTH(lead[[#This Row],[Date Of Lead]])),Sheet3!D:E,2,0),"")</f>
        <v>Jan</v>
      </c>
      <c r="E68" s="36" t="str">
        <f>IFERROR(IF(OR(lead[[#This Row],[Year]]="",lead[[#This Row],[Month]]=""),"",lead[[#This Row],[Year]]&amp;lead[[#This Row],[Month]]),"")</f>
        <v>2021Jan</v>
      </c>
      <c r="F68" s="29" t="s">
        <v>28</v>
      </c>
      <c r="G68" s="29" t="s">
        <v>130</v>
      </c>
      <c r="H68" s="30" t="s">
        <v>188</v>
      </c>
      <c r="I68" s="29" t="s">
        <v>32</v>
      </c>
      <c r="J68" s="50" t="s">
        <v>36</v>
      </c>
      <c r="K68" s="28"/>
      <c r="L68" s="36" t="str">
        <f>IFERROR(IF(OR(lead[[#This Row],[Closed Date]]="",lead[[#This Row],[Date Of Lead]]=""),"",lead[[#This Row],[Closed Date]]-lead[[#This Row],[Date Of Lead]]),"")</f>
        <v/>
      </c>
      <c r="M68" s="36" t="str">
        <f>IFERROR(IF(OR(lead[[#This Row],[Closed Date]]="",lead[[#This Row],[Date Of Lead]]=""),"No","Yes"),"")</f>
        <v>No</v>
      </c>
      <c r="N68" s="38"/>
      <c r="O68" s="40">
        <f>IFERROR(SUMIFS('Advertising Spend'!H:H,'Advertising Spend'!G:G,lead[[#This Row],[Platform]],'Advertising Spend'!F:F,lead[[#This Row],[Date Comp]]),"")</f>
        <v>500</v>
      </c>
      <c r="P68" s="40">
        <f>IFERROR(SUMIFS('Advertising Spend'!J:J,'Advertising Spend'!G:G,lead[[#This Row],[Platform]],'Advertising Spend'!F:F,lead[[#This Row],[Date Comp]]),"")</f>
        <v>50</v>
      </c>
      <c r="Q68" s="42">
        <f>IFERROR(SUMIFS('Advertising Spend'!K:K,'Advertising Spend'!G:G,lead[[#This Row],[Platform]],'Advertising Spend'!F:F,lead[[#This Row],[Date Comp]]),"")</f>
        <v>0.1</v>
      </c>
    </row>
    <row r="69" spans="1:17" ht="30" customHeight="1" x14ac:dyDescent="0.2">
      <c r="A69" s="20" t="str">
        <f t="shared" si="0"/>
        <v/>
      </c>
      <c r="B69" s="28">
        <v>44234</v>
      </c>
      <c r="C69" s="36">
        <f>IFERROR(IF(lead[[#This Row],[Date Of Lead]]="","",YEAR(lead[[#This Row],[Date Of Lead]])),"")</f>
        <v>2021</v>
      </c>
      <c r="D69" s="36" t="str">
        <f>IFERROR(VLOOKUP(IF(lead[[#This Row],[Date Of Lead]]="","",MONTH(lead[[#This Row],[Date Of Lead]])),Sheet3!D:E,2,0),"")</f>
        <v>Feb</v>
      </c>
      <c r="E69" s="36" t="str">
        <f>IFERROR(IF(OR(lead[[#This Row],[Year]]="",lead[[#This Row],[Month]]=""),"",lead[[#This Row],[Year]]&amp;lead[[#This Row],[Month]]),"")</f>
        <v>2021Feb</v>
      </c>
      <c r="F69" s="29" t="s">
        <v>29</v>
      </c>
      <c r="G69" s="29" t="s">
        <v>131</v>
      </c>
      <c r="H69" s="30" t="s">
        <v>188</v>
      </c>
      <c r="I69" s="29" t="s">
        <v>32</v>
      </c>
      <c r="J69" s="50" t="s">
        <v>36</v>
      </c>
      <c r="K69" s="28"/>
      <c r="L69" s="36" t="str">
        <f>IFERROR(IF(OR(lead[[#This Row],[Closed Date]]="",lead[[#This Row],[Date Of Lead]]=""),"",lead[[#This Row],[Closed Date]]-lead[[#This Row],[Date Of Lead]]),"")</f>
        <v/>
      </c>
      <c r="M69" s="36" t="str">
        <f>IFERROR(IF(OR(lead[[#This Row],[Closed Date]]="",lead[[#This Row],[Date Of Lead]]=""),"No","Yes"),"")</f>
        <v>No</v>
      </c>
      <c r="N69" s="38"/>
      <c r="O69" s="40">
        <f>IFERROR(SUMIFS('Advertising Spend'!H:H,'Advertising Spend'!G:G,lead[[#This Row],[Platform]],'Advertising Spend'!F:F,lead[[#This Row],[Date Comp]]),"")</f>
        <v>0</v>
      </c>
      <c r="P69" s="40">
        <f>IFERROR(SUMIFS('Advertising Spend'!J:J,'Advertising Spend'!G:G,lead[[#This Row],[Platform]],'Advertising Spend'!F:F,lead[[#This Row],[Date Comp]]),"")</f>
        <v>0</v>
      </c>
      <c r="Q69" s="42">
        <f>IFERROR(SUMIFS('Advertising Spend'!K:K,'Advertising Spend'!G:G,lead[[#This Row],[Platform]],'Advertising Spend'!F:F,lead[[#This Row],[Date Comp]]),"")</f>
        <v>0</v>
      </c>
    </row>
    <row r="70" spans="1:17" ht="30" customHeight="1" x14ac:dyDescent="0.2">
      <c r="A70" s="20" t="str">
        <f t="shared" si="0"/>
        <v/>
      </c>
      <c r="B70" s="28">
        <v>44154</v>
      </c>
      <c r="C70" s="36">
        <f>IFERROR(IF(lead[[#This Row],[Date Of Lead]]="","",YEAR(lead[[#This Row],[Date Of Lead]])),"")</f>
        <v>2020</v>
      </c>
      <c r="D70" s="36" t="str">
        <f>IFERROR(VLOOKUP(IF(lead[[#This Row],[Date Of Lead]]="","",MONTH(lead[[#This Row],[Date Of Lead]])),Sheet3!D:E,2,0),"")</f>
        <v>Nov</v>
      </c>
      <c r="E70" s="36" t="str">
        <f>IFERROR(IF(OR(lead[[#This Row],[Year]]="",lead[[#This Row],[Month]]=""),"",lead[[#This Row],[Year]]&amp;lead[[#This Row],[Month]]),"")</f>
        <v>2020Nov</v>
      </c>
      <c r="F70" s="29" t="s">
        <v>74</v>
      </c>
      <c r="G70" s="29" t="s">
        <v>132</v>
      </c>
      <c r="H70" s="30" t="s">
        <v>188</v>
      </c>
      <c r="I70" s="29" t="s">
        <v>32</v>
      </c>
      <c r="J70" s="50" t="s">
        <v>37</v>
      </c>
      <c r="K70" s="28">
        <v>44166</v>
      </c>
      <c r="L70" s="36">
        <f>IFERROR(IF(OR(lead[[#This Row],[Closed Date]]="",lead[[#This Row],[Date Of Lead]]=""),"",lead[[#This Row],[Closed Date]]-lead[[#This Row],[Date Of Lead]]),"")</f>
        <v>12</v>
      </c>
      <c r="M70" s="36" t="str">
        <f>IFERROR(IF(OR(lead[[#This Row],[Closed Date]]="",lead[[#This Row],[Date Of Lead]]=""),"No","Yes"),"")</f>
        <v>Yes</v>
      </c>
      <c r="N70" s="38">
        <v>350</v>
      </c>
      <c r="O70" s="40">
        <f>IFERROR(SUMIFS('Advertising Spend'!H:H,'Advertising Spend'!G:G,lead[[#This Row],[Platform]],'Advertising Spend'!F:F,lead[[#This Row],[Date Comp]]),"")</f>
        <v>0</v>
      </c>
      <c r="P70" s="40">
        <f>IFERROR(SUMIFS('Advertising Spend'!J:J,'Advertising Spend'!G:G,lead[[#This Row],[Platform]],'Advertising Spend'!F:F,lead[[#This Row],[Date Comp]]),"")</f>
        <v>0</v>
      </c>
      <c r="Q70" s="42">
        <f>IFERROR(SUMIFS('Advertising Spend'!K:K,'Advertising Spend'!G:G,lead[[#This Row],[Platform]],'Advertising Spend'!F:F,lead[[#This Row],[Date Comp]]),"")</f>
        <v>0</v>
      </c>
    </row>
    <row r="71" spans="1:17" ht="30" customHeight="1" x14ac:dyDescent="0.2">
      <c r="A71" s="20" t="str">
        <f t="shared" si="0"/>
        <v/>
      </c>
      <c r="B71" s="28">
        <v>44233</v>
      </c>
      <c r="C71" s="36">
        <f>IFERROR(IF(lead[[#This Row],[Date Of Lead]]="","",YEAR(lead[[#This Row],[Date Of Lead]])),"")</f>
        <v>2021</v>
      </c>
      <c r="D71" s="36" t="str">
        <f>IFERROR(VLOOKUP(IF(lead[[#This Row],[Date Of Lead]]="","",MONTH(lead[[#This Row],[Date Of Lead]])),Sheet3!D:E,2,0),"")</f>
        <v>Feb</v>
      </c>
      <c r="E71" s="36" t="str">
        <f>IFERROR(IF(OR(lead[[#This Row],[Year]]="",lead[[#This Row],[Month]]=""),"",lead[[#This Row],[Year]]&amp;lead[[#This Row],[Month]]),"")</f>
        <v>2021Feb</v>
      </c>
      <c r="F71" s="29" t="s">
        <v>28</v>
      </c>
      <c r="G71" s="29" t="s">
        <v>133</v>
      </c>
      <c r="H71" s="30" t="s">
        <v>188</v>
      </c>
      <c r="I71" s="29" t="s">
        <v>32</v>
      </c>
      <c r="J71" s="50" t="s">
        <v>35</v>
      </c>
      <c r="K71" s="28"/>
      <c r="L71" s="36" t="str">
        <f>IFERROR(IF(OR(lead[[#This Row],[Closed Date]]="",lead[[#This Row],[Date Of Lead]]=""),"",lead[[#This Row],[Closed Date]]-lead[[#This Row],[Date Of Lead]]),"")</f>
        <v/>
      </c>
      <c r="M71" s="36" t="str">
        <f>IFERROR(IF(OR(lead[[#This Row],[Closed Date]]="",lead[[#This Row],[Date Of Lead]]=""),"No","Yes"),"")</f>
        <v>No</v>
      </c>
      <c r="N71" s="38"/>
      <c r="O71" s="40">
        <f>IFERROR(SUMIFS('Advertising Spend'!H:H,'Advertising Spend'!G:G,lead[[#This Row],[Platform]],'Advertising Spend'!F:F,lead[[#This Row],[Date Comp]]),"")</f>
        <v>0</v>
      </c>
      <c r="P71" s="40">
        <f>IFERROR(SUMIFS('Advertising Spend'!J:J,'Advertising Spend'!G:G,lead[[#This Row],[Platform]],'Advertising Spend'!F:F,lead[[#This Row],[Date Comp]]),"")</f>
        <v>0</v>
      </c>
      <c r="Q71" s="42">
        <f>IFERROR(SUMIFS('Advertising Spend'!K:K,'Advertising Spend'!G:G,lead[[#This Row],[Platform]],'Advertising Spend'!F:F,lead[[#This Row],[Date Comp]]),"")</f>
        <v>0</v>
      </c>
    </row>
    <row r="72" spans="1:17" ht="30" customHeight="1" x14ac:dyDescent="0.2">
      <c r="A72" s="20" t="str">
        <f t="shared" si="0"/>
        <v/>
      </c>
      <c r="B72" s="28">
        <v>44135</v>
      </c>
      <c r="C72" s="36">
        <f>IFERROR(IF(lead[[#This Row],[Date Of Lead]]="","",YEAR(lead[[#This Row],[Date Of Lead]])),"")</f>
        <v>2020</v>
      </c>
      <c r="D72" s="36" t="str">
        <f>IFERROR(VLOOKUP(IF(lead[[#This Row],[Date Of Lead]]="","",MONTH(lead[[#This Row],[Date Of Lead]])),Sheet3!D:E,2,0),"")</f>
        <v>Oct</v>
      </c>
      <c r="E72" s="36" t="str">
        <f>IFERROR(IF(OR(lead[[#This Row],[Year]]="",lead[[#This Row],[Month]]=""),"",lead[[#This Row],[Year]]&amp;lead[[#This Row],[Month]]),"")</f>
        <v>2020Oct</v>
      </c>
      <c r="F72" s="29" t="s">
        <v>30</v>
      </c>
      <c r="G72" s="29" t="s">
        <v>134</v>
      </c>
      <c r="H72" s="30" t="s">
        <v>188</v>
      </c>
      <c r="I72" s="29" t="s">
        <v>33</v>
      </c>
      <c r="J72" s="50" t="s">
        <v>34</v>
      </c>
      <c r="K72" s="28"/>
      <c r="L72" s="36" t="str">
        <f>IFERROR(IF(OR(lead[[#This Row],[Closed Date]]="",lead[[#This Row],[Date Of Lead]]=""),"",lead[[#This Row],[Closed Date]]-lead[[#This Row],[Date Of Lead]]),"")</f>
        <v/>
      </c>
      <c r="M72" s="36" t="str">
        <f>IFERROR(IF(OR(lead[[#This Row],[Closed Date]]="",lead[[#This Row],[Date Of Lead]]=""),"No","Yes"),"")</f>
        <v>No</v>
      </c>
      <c r="N72" s="38"/>
      <c r="O72" s="40">
        <f>IFERROR(SUMIFS('Advertising Spend'!H:H,'Advertising Spend'!G:G,lead[[#This Row],[Platform]],'Advertising Spend'!F:F,lead[[#This Row],[Date Comp]]),"")</f>
        <v>0</v>
      </c>
      <c r="P72" s="40">
        <f>IFERROR(SUMIFS('Advertising Spend'!J:J,'Advertising Spend'!G:G,lead[[#This Row],[Platform]],'Advertising Spend'!F:F,lead[[#This Row],[Date Comp]]),"")</f>
        <v>0</v>
      </c>
      <c r="Q72" s="42">
        <f>IFERROR(SUMIFS('Advertising Spend'!K:K,'Advertising Spend'!G:G,lead[[#This Row],[Platform]],'Advertising Spend'!F:F,lead[[#This Row],[Date Comp]]),"")</f>
        <v>0</v>
      </c>
    </row>
    <row r="73" spans="1:17" ht="30" customHeight="1" x14ac:dyDescent="0.2">
      <c r="A73" s="20" t="str">
        <f t="shared" si="0"/>
        <v/>
      </c>
      <c r="B73" s="28">
        <v>44159</v>
      </c>
      <c r="C73" s="36">
        <f>IFERROR(IF(lead[[#This Row],[Date Of Lead]]="","",YEAR(lead[[#This Row],[Date Of Lead]])),"")</f>
        <v>2020</v>
      </c>
      <c r="D73" s="36" t="str">
        <f>IFERROR(VLOOKUP(IF(lead[[#This Row],[Date Of Lead]]="","",MONTH(lead[[#This Row],[Date Of Lead]])),Sheet3!D:E,2,0),"")</f>
        <v>Nov</v>
      </c>
      <c r="E73" s="36" t="str">
        <f>IFERROR(IF(OR(lead[[#This Row],[Year]]="",lead[[#This Row],[Month]]=""),"",lead[[#This Row],[Year]]&amp;lead[[#This Row],[Month]]),"")</f>
        <v>2020Nov</v>
      </c>
      <c r="F73" s="29" t="s">
        <v>28</v>
      </c>
      <c r="G73" s="29" t="s">
        <v>135</v>
      </c>
      <c r="H73" s="30" t="s">
        <v>188</v>
      </c>
      <c r="I73" s="29" t="s">
        <v>31</v>
      </c>
      <c r="J73" s="50" t="s">
        <v>35</v>
      </c>
      <c r="K73" s="28"/>
      <c r="L73" s="36" t="str">
        <f>IFERROR(IF(OR(lead[[#This Row],[Closed Date]]="",lead[[#This Row],[Date Of Lead]]=""),"",lead[[#This Row],[Closed Date]]-lead[[#This Row],[Date Of Lead]]),"")</f>
        <v/>
      </c>
      <c r="M73" s="36" t="str">
        <f>IFERROR(IF(OR(lead[[#This Row],[Closed Date]]="",lead[[#This Row],[Date Of Lead]]=""),"No","Yes"),"")</f>
        <v>No</v>
      </c>
      <c r="N73" s="38"/>
      <c r="O73" s="40">
        <f>IFERROR(SUMIFS('Advertising Spend'!H:H,'Advertising Spend'!G:G,lead[[#This Row],[Platform]],'Advertising Spend'!F:F,lead[[#This Row],[Date Comp]]),"")</f>
        <v>0</v>
      </c>
      <c r="P73" s="40">
        <f>IFERROR(SUMIFS('Advertising Spend'!J:J,'Advertising Spend'!G:G,lead[[#This Row],[Platform]],'Advertising Spend'!F:F,lead[[#This Row],[Date Comp]]),"")</f>
        <v>0</v>
      </c>
      <c r="Q73" s="42">
        <f>IFERROR(SUMIFS('Advertising Spend'!K:K,'Advertising Spend'!G:G,lead[[#This Row],[Platform]],'Advertising Spend'!F:F,lead[[#This Row],[Date Comp]]),"")</f>
        <v>0</v>
      </c>
    </row>
    <row r="74" spans="1:17" ht="30" customHeight="1" x14ac:dyDescent="0.2">
      <c r="A74" s="20" t="str">
        <f t="shared" si="0"/>
        <v/>
      </c>
      <c r="B74" s="28">
        <v>44194</v>
      </c>
      <c r="C74" s="36">
        <f>IFERROR(IF(lead[[#This Row],[Date Of Lead]]="","",YEAR(lead[[#This Row],[Date Of Lead]])),"")</f>
        <v>2020</v>
      </c>
      <c r="D74" s="36" t="str">
        <f>IFERROR(VLOOKUP(IF(lead[[#This Row],[Date Of Lead]]="","",MONTH(lead[[#This Row],[Date Of Lead]])),Sheet3!D:E,2,0),"")</f>
        <v>Dec</v>
      </c>
      <c r="E74" s="36" t="str">
        <f>IFERROR(IF(OR(lead[[#This Row],[Year]]="",lead[[#This Row],[Month]]=""),"",lead[[#This Row],[Year]]&amp;lead[[#This Row],[Month]]),"")</f>
        <v>2020Dec</v>
      </c>
      <c r="F74" s="29" t="s">
        <v>30</v>
      </c>
      <c r="G74" s="29" t="s">
        <v>136</v>
      </c>
      <c r="H74" s="30" t="s">
        <v>188</v>
      </c>
      <c r="I74" s="29" t="s">
        <v>32</v>
      </c>
      <c r="J74" s="50" t="s">
        <v>37</v>
      </c>
      <c r="K74" s="28">
        <v>44211</v>
      </c>
      <c r="L74" s="36">
        <f>IFERROR(IF(OR(lead[[#This Row],[Closed Date]]="",lead[[#This Row],[Date Of Lead]]=""),"",lead[[#This Row],[Closed Date]]-lead[[#This Row],[Date Of Lead]]),"")</f>
        <v>17</v>
      </c>
      <c r="M74" s="36" t="str">
        <f>IFERROR(IF(OR(lead[[#This Row],[Closed Date]]="",lead[[#This Row],[Date Of Lead]]=""),"No","Yes"),"")</f>
        <v>Yes</v>
      </c>
      <c r="N74" s="38">
        <v>300</v>
      </c>
      <c r="O74" s="40">
        <f>IFERROR(SUMIFS('Advertising Spend'!H:H,'Advertising Spend'!G:G,lead[[#This Row],[Platform]],'Advertising Spend'!F:F,lead[[#This Row],[Date Comp]]),"")</f>
        <v>0</v>
      </c>
      <c r="P74" s="40">
        <f>IFERROR(SUMIFS('Advertising Spend'!J:J,'Advertising Spend'!G:G,lead[[#This Row],[Platform]],'Advertising Spend'!F:F,lead[[#This Row],[Date Comp]]),"")</f>
        <v>0</v>
      </c>
      <c r="Q74" s="42">
        <f>IFERROR(SUMIFS('Advertising Spend'!K:K,'Advertising Spend'!G:G,lead[[#This Row],[Platform]],'Advertising Spend'!F:F,lead[[#This Row],[Date Comp]]),"")</f>
        <v>0</v>
      </c>
    </row>
    <row r="75" spans="1:17" ht="30" customHeight="1" x14ac:dyDescent="0.2">
      <c r="A75" s="20" t="str">
        <f t="shared" si="0"/>
        <v/>
      </c>
      <c r="B75" s="28">
        <v>44140</v>
      </c>
      <c r="C75" s="36">
        <f>IFERROR(IF(lead[[#This Row],[Date Of Lead]]="","",YEAR(lead[[#This Row],[Date Of Lead]])),"")</f>
        <v>2020</v>
      </c>
      <c r="D75" s="36" t="str">
        <f>IFERROR(VLOOKUP(IF(lead[[#This Row],[Date Of Lead]]="","",MONTH(lead[[#This Row],[Date Of Lead]])),Sheet3!D:E,2,0),"")</f>
        <v>Nov</v>
      </c>
      <c r="E75" s="36" t="str">
        <f>IFERROR(IF(OR(lead[[#This Row],[Year]]="",lead[[#This Row],[Month]]=""),"",lead[[#This Row],[Year]]&amp;lead[[#This Row],[Month]]),"")</f>
        <v>2020Nov</v>
      </c>
      <c r="F75" s="29" t="s">
        <v>28</v>
      </c>
      <c r="G75" s="29" t="s">
        <v>137</v>
      </c>
      <c r="H75" s="30" t="s">
        <v>188</v>
      </c>
      <c r="I75" s="29" t="s">
        <v>31</v>
      </c>
      <c r="J75" s="50" t="s">
        <v>37</v>
      </c>
      <c r="K75" s="28">
        <v>44175</v>
      </c>
      <c r="L75" s="36">
        <f>IFERROR(IF(OR(lead[[#This Row],[Closed Date]]="",lead[[#This Row],[Date Of Lead]]=""),"",lead[[#This Row],[Closed Date]]-lead[[#This Row],[Date Of Lead]]),"")</f>
        <v>35</v>
      </c>
      <c r="M75" s="36" t="str">
        <f>IFERROR(IF(OR(lead[[#This Row],[Closed Date]]="",lead[[#This Row],[Date Of Lead]]=""),"No","Yes"),"")</f>
        <v>Yes</v>
      </c>
      <c r="N75" s="38">
        <v>250</v>
      </c>
      <c r="O75" s="40">
        <f>IFERROR(SUMIFS('Advertising Spend'!H:H,'Advertising Spend'!G:G,lead[[#This Row],[Platform]],'Advertising Spend'!F:F,lead[[#This Row],[Date Comp]]),"")</f>
        <v>0</v>
      </c>
      <c r="P75" s="40">
        <f>IFERROR(SUMIFS('Advertising Spend'!J:J,'Advertising Spend'!G:G,lead[[#This Row],[Platform]],'Advertising Spend'!F:F,lead[[#This Row],[Date Comp]]),"")</f>
        <v>0</v>
      </c>
      <c r="Q75" s="42">
        <f>IFERROR(SUMIFS('Advertising Spend'!K:K,'Advertising Spend'!G:G,lead[[#This Row],[Platform]],'Advertising Spend'!F:F,lead[[#This Row],[Date Comp]]),"")</f>
        <v>0</v>
      </c>
    </row>
    <row r="76" spans="1:17" ht="30" customHeight="1" x14ac:dyDescent="0.2">
      <c r="A76" s="20" t="str">
        <f t="shared" si="0"/>
        <v/>
      </c>
      <c r="B76" s="28">
        <v>44234</v>
      </c>
      <c r="C76" s="36">
        <f>IFERROR(IF(lead[[#This Row],[Date Of Lead]]="","",YEAR(lead[[#This Row],[Date Of Lead]])),"")</f>
        <v>2021</v>
      </c>
      <c r="D76" s="36" t="str">
        <f>IFERROR(VLOOKUP(IF(lead[[#This Row],[Date Of Lead]]="","",MONTH(lead[[#This Row],[Date Of Lead]])),Sheet3!D:E,2,0),"")</f>
        <v>Feb</v>
      </c>
      <c r="E76" s="36" t="str">
        <f>IFERROR(IF(OR(lead[[#This Row],[Year]]="",lead[[#This Row],[Month]]=""),"",lead[[#This Row],[Year]]&amp;lead[[#This Row],[Month]]),"")</f>
        <v>2021Feb</v>
      </c>
      <c r="F76" s="29" t="s">
        <v>29</v>
      </c>
      <c r="G76" s="29" t="s">
        <v>138</v>
      </c>
      <c r="H76" s="30" t="s">
        <v>188</v>
      </c>
      <c r="I76" s="29" t="s">
        <v>31</v>
      </c>
      <c r="J76" s="50" t="s">
        <v>34</v>
      </c>
      <c r="K76" s="28"/>
      <c r="L76" s="36" t="str">
        <f>IFERROR(IF(OR(lead[[#This Row],[Closed Date]]="",lead[[#This Row],[Date Of Lead]]=""),"",lead[[#This Row],[Closed Date]]-lead[[#This Row],[Date Of Lead]]),"")</f>
        <v/>
      </c>
      <c r="M76" s="36" t="str">
        <f>IFERROR(IF(OR(lead[[#This Row],[Closed Date]]="",lead[[#This Row],[Date Of Lead]]=""),"No","Yes"),"")</f>
        <v>No</v>
      </c>
      <c r="N76" s="38"/>
      <c r="O76" s="40">
        <f>IFERROR(SUMIFS('Advertising Spend'!H:H,'Advertising Spend'!G:G,lead[[#This Row],[Platform]],'Advertising Spend'!F:F,lead[[#This Row],[Date Comp]]),"")</f>
        <v>0</v>
      </c>
      <c r="P76" s="40">
        <f>IFERROR(SUMIFS('Advertising Spend'!J:J,'Advertising Spend'!G:G,lead[[#This Row],[Platform]],'Advertising Spend'!F:F,lead[[#This Row],[Date Comp]]),"")</f>
        <v>0</v>
      </c>
      <c r="Q76" s="42">
        <f>IFERROR(SUMIFS('Advertising Spend'!K:K,'Advertising Spend'!G:G,lead[[#This Row],[Platform]],'Advertising Spend'!F:F,lead[[#This Row],[Date Comp]]),"")</f>
        <v>0</v>
      </c>
    </row>
    <row r="77" spans="1:17" ht="30" customHeight="1" x14ac:dyDescent="0.2">
      <c r="A77" s="20" t="str">
        <f t="shared" si="0"/>
        <v/>
      </c>
      <c r="B77" s="28">
        <v>44198</v>
      </c>
      <c r="C77" s="36">
        <f>IFERROR(IF(lead[[#This Row],[Date Of Lead]]="","",YEAR(lead[[#This Row],[Date Of Lead]])),"")</f>
        <v>2021</v>
      </c>
      <c r="D77" s="36" t="str">
        <f>IFERROR(VLOOKUP(IF(lead[[#This Row],[Date Of Lead]]="","",MONTH(lead[[#This Row],[Date Of Lead]])),Sheet3!D:E,2,0),"")</f>
        <v>Jan</v>
      </c>
      <c r="E77" s="36" t="str">
        <f>IFERROR(IF(OR(lead[[#This Row],[Year]]="",lead[[#This Row],[Month]]=""),"",lead[[#This Row],[Year]]&amp;lead[[#This Row],[Month]]),"")</f>
        <v>2021Jan</v>
      </c>
      <c r="F77" s="29" t="s">
        <v>30</v>
      </c>
      <c r="G77" s="29" t="s">
        <v>139</v>
      </c>
      <c r="H77" s="30" t="s">
        <v>188</v>
      </c>
      <c r="I77" s="29" t="s">
        <v>31</v>
      </c>
      <c r="J77" s="50" t="s">
        <v>34</v>
      </c>
      <c r="K77" s="28"/>
      <c r="L77" s="36" t="str">
        <f>IFERROR(IF(OR(lead[[#This Row],[Closed Date]]="",lead[[#This Row],[Date Of Lead]]=""),"",lead[[#This Row],[Closed Date]]-lead[[#This Row],[Date Of Lead]]),"")</f>
        <v/>
      </c>
      <c r="M77" s="36" t="str">
        <f>IFERROR(IF(OR(lead[[#This Row],[Closed Date]]="",lead[[#This Row],[Date Of Lead]]=""),"No","Yes"),"")</f>
        <v>No</v>
      </c>
      <c r="N77" s="38"/>
      <c r="O77" s="40">
        <f>IFERROR(SUMIFS('Advertising Spend'!H:H,'Advertising Spend'!G:G,lead[[#This Row],[Platform]],'Advertising Spend'!F:F,lead[[#This Row],[Date Comp]]),"")</f>
        <v>0</v>
      </c>
      <c r="P77" s="40">
        <f>IFERROR(SUMIFS('Advertising Spend'!J:J,'Advertising Spend'!G:G,lead[[#This Row],[Platform]],'Advertising Spend'!F:F,lead[[#This Row],[Date Comp]]),"")</f>
        <v>0</v>
      </c>
      <c r="Q77" s="42">
        <f>IFERROR(SUMIFS('Advertising Spend'!K:K,'Advertising Spend'!G:G,lead[[#This Row],[Platform]],'Advertising Spend'!F:F,lead[[#This Row],[Date Comp]]),"")</f>
        <v>0</v>
      </c>
    </row>
    <row r="78" spans="1:17" ht="30" customHeight="1" x14ac:dyDescent="0.2">
      <c r="A78" s="20" t="str">
        <f t="shared" si="0"/>
        <v/>
      </c>
      <c r="B78" s="28">
        <v>44204</v>
      </c>
      <c r="C78" s="36">
        <f>IFERROR(IF(lead[[#This Row],[Date Of Lead]]="","",YEAR(lead[[#This Row],[Date Of Lead]])),"")</f>
        <v>2021</v>
      </c>
      <c r="D78" s="36" t="str">
        <f>IFERROR(VLOOKUP(IF(lead[[#This Row],[Date Of Lead]]="","",MONTH(lead[[#This Row],[Date Of Lead]])),Sheet3!D:E,2,0),"")</f>
        <v>Jan</v>
      </c>
      <c r="E78" s="36" t="str">
        <f>IFERROR(IF(OR(lead[[#This Row],[Year]]="",lead[[#This Row],[Month]]=""),"",lead[[#This Row],[Year]]&amp;lead[[#This Row],[Month]]),"")</f>
        <v>2021Jan</v>
      </c>
      <c r="F78" s="29" t="s">
        <v>28</v>
      </c>
      <c r="G78" s="29" t="s">
        <v>140</v>
      </c>
      <c r="H78" s="30" t="s">
        <v>188</v>
      </c>
      <c r="I78" s="29" t="s">
        <v>32</v>
      </c>
      <c r="J78" s="50" t="s">
        <v>37</v>
      </c>
      <c r="K78" s="28">
        <v>44228</v>
      </c>
      <c r="L78" s="36">
        <f>IFERROR(IF(OR(lead[[#This Row],[Closed Date]]="",lead[[#This Row],[Date Of Lead]]=""),"",lead[[#This Row],[Closed Date]]-lead[[#This Row],[Date Of Lead]]),"")</f>
        <v>24</v>
      </c>
      <c r="M78" s="36" t="str">
        <f>IFERROR(IF(OR(lead[[#This Row],[Closed Date]]="",lead[[#This Row],[Date Of Lead]]=""),"No","Yes"),"")</f>
        <v>Yes</v>
      </c>
      <c r="N78" s="38">
        <v>300</v>
      </c>
      <c r="O78" s="40">
        <f>IFERROR(SUMIFS('Advertising Spend'!H:H,'Advertising Spend'!G:G,lead[[#This Row],[Platform]],'Advertising Spend'!F:F,lead[[#This Row],[Date Comp]]),"")</f>
        <v>500</v>
      </c>
      <c r="P78" s="40">
        <f>IFERROR(SUMIFS('Advertising Spend'!J:J,'Advertising Spend'!G:G,lead[[#This Row],[Platform]],'Advertising Spend'!F:F,lead[[#This Row],[Date Comp]]),"")</f>
        <v>50</v>
      </c>
      <c r="Q78" s="42">
        <f>IFERROR(SUMIFS('Advertising Spend'!K:K,'Advertising Spend'!G:G,lead[[#This Row],[Platform]],'Advertising Spend'!F:F,lead[[#This Row],[Date Comp]]),"")</f>
        <v>0.1</v>
      </c>
    </row>
    <row r="79" spans="1:17" ht="30" customHeight="1" x14ac:dyDescent="0.2">
      <c r="A79" s="20" t="str">
        <f t="shared" si="0"/>
        <v/>
      </c>
      <c r="B79" s="28">
        <v>44241</v>
      </c>
      <c r="C79" s="36">
        <f>IFERROR(IF(lead[[#This Row],[Date Of Lead]]="","",YEAR(lead[[#This Row],[Date Of Lead]])),"")</f>
        <v>2021</v>
      </c>
      <c r="D79" s="36" t="str">
        <f>IFERROR(VLOOKUP(IF(lead[[#This Row],[Date Of Lead]]="","",MONTH(lead[[#This Row],[Date Of Lead]])),Sheet3!D:E,2,0),"")</f>
        <v>Feb</v>
      </c>
      <c r="E79" s="36" t="str">
        <f>IFERROR(IF(OR(lead[[#This Row],[Year]]="",lead[[#This Row],[Month]]=""),"",lead[[#This Row],[Year]]&amp;lead[[#This Row],[Month]]),"")</f>
        <v>2021Feb</v>
      </c>
      <c r="F79" s="29" t="s">
        <v>29</v>
      </c>
      <c r="G79" s="29" t="s">
        <v>141</v>
      </c>
      <c r="H79" s="30" t="s">
        <v>188</v>
      </c>
      <c r="I79" s="29" t="s">
        <v>32</v>
      </c>
      <c r="J79" s="50" t="s">
        <v>37</v>
      </c>
      <c r="K79" s="28">
        <v>44255</v>
      </c>
      <c r="L79" s="36">
        <f>IFERROR(IF(OR(lead[[#This Row],[Closed Date]]="",lead[[#This Row],[Date Of Lead]]=""),"",lead[[#This Row],[Closed Date]]-lead[[#This Row],[Date Of Lead]]),"")</f>
        <v>14</v>
      </c>
      <c r="M79" s="36" t="str">
        <f>IFERROR(IF(OR(lead[[#This Row],[Closed Date]]="",lead[[#This Row],[Date Of Lead]]=""),"No","Yes"),"")</f>
        <v>Yes</v>
      </c>
      <c r="N79" s="38">
        <v>250</v>
      </c>
      <c r="O79" s="40">
        <f>IFERROR(SUMIFS('Advertising Spend'!H:H,'Advertising Spend'!G:G,lead[[#This Row],[Platform]],'Advertising Spend'!F:F,lead[[#This Row],[Date Comp]]),"")</f>
        <v>0</v>
      </c>
      <c r="P79" s="40">
        <f>IFERROR(SUMIFS('Advertising Spend'!J:J,'Advertising Spend'!G:G,lead[[#This Row],[Platform]],'Advertising Spend'!F:F,lead[[#This Row],[Date Comp]]),"")</f>
        <v>0</v>
      </c>
      <c r="Q79" s="42">
        <f>IFERROR(SUMIFS('Advertising Spend'!K:K,'Advertising Spend'!G:G,lead[[#This Row],[Platform]],'Advertising Spend'!F:F,lead[[#This Row],[Date Comp]]),"")</f>
        <v>0</v>
      </c>
    </row>
    <row r="80" spans="1:17" ht="30" customHeight="1" x14ac:dyDescent="0.2">
      <c r="A80" s="20" t="str">
        <f t="shared" si="0"/>
        <v/>
      </c>
      <c r="B80" s="28">
        <v>44197</v>
      </c>
      <c r="C80" s="36">
        <f>IFERROR(IF(lead[[#This Row],[Date Of Lead]]="","",YEAR(lead[[#This Row],[Date Of Lead]])),"")</f>
        <v>2021</v>
      </c>
      <c r="D80" s="36" t="str">
        <f>IFERROR(VLOOKUP(IF(lead[[#This Row],[Date Of Lead]]="","",MONTH(lead[[#This Row],[Date Of Lead]])),Sheet3!D:E,2,0),"")</f>
        <v>Jan</v>
      </c>
      <c r="E80" s="36" t="str">
        <f>IFERROR(IF(OR(lead[[#This Row],[Year]]="",lead[[#This Row],[Month]]=""),"",lead[[#This Row],[Year]]&amp;lead[[#This Row],[Month]]),"")</f>
        <v>2021Jan</v>
      </c>
      <c r="F80" s="29" t="s">
        <v>74</v>
      </c>
      <c r="G80" s="29" t="s">
        <v>142</v>
      </c>
      <c r="H80" s="30" t="s">
        <v>188</v>
      </c>
      <c r="I80" s="29" t="s">
        <v>32</v>
      </c>
      <c r="J80" s="50" t="s">
        <v>37</v>
      </c>
      <c r="K80" s="28">
        <v>44218</v>
      </c>
      <c r="L80" s="36">
        <f>IFERROR(IF(OR(lead[[#This Row],[Closed Date]]="",lead[[#This Row],[Date Of Lead]]=""),"",lead[[#This Row],[Closed Date]]-lead[[#This Row],[Date Of Lead]]),"")</f>
        <v>21</v>
      </c>
      <c r="M80" s="36" t="str">
        <f>IFERROR(IF(OR(lead[[#This Row],[Closed Date]]="",lead[[#This Row],[Date Of Lead]]=""),"No","Yes"),"")</f>
        <v>Yes</v>
      </c>
      <c r="N80" s="38">
        <v>350</v>
      </c>
      <c r="O80" s="40">
        <f>IFERROR(SUMIFS('Advertising Spend'!H:H,'Advertising Spend'!G:G,lead[[#This Row],[Platform]],'Advertising Spend'!F:F,lead[[#This Row],[Date Comp]]),"")</f>
        <v>0</v>
      </c>
      <c r="P80" s="40">
        <f>IFERROR(SUMIFS('Advertising Spend'!J:J,'Advertising Spend'!G:G,lead[[#This Row],[Platform]],'Advertising Spend'!F:F,lead[[#This Row],[Date Comp]]),"")</f>
        <v>0</v>
      </c>
      <c r="Q80" s="42">
        <f>IFERROR(SUMIFS('Advertising Spend'!K:K,'Advertising Spend'!G:G,lead[[#This Row],[Platform]],'Advertising Spend'!F:F,lead[[#This Row],[Date Comp]]),"")</f>
        <v>0</v>
      </c>
    </row>
    <row r="81" spans="1:17" ht="30" customHeight="1" x14ac:dyDescent="0.2">
      <c r="A81" s="20" t="str">
        <f t="shared" si="0"/>
        <v/>
      </c>
      <c r="B81" s="28">
        <v>44110</v>
      </c>
      <c r="C81" s="36">
        <f>IFERROR(IF(lead[[#This Row],[Date Of Lead]]="","",YEAR(lead[[#This Row],[Date Of Lead]])),"")</f>
        <v>2020</v>
      </c>
      <c r="D81" s="36" t="str">
        <f>IFERROR(VLOOKUP(IF(lead[[#This Row],[Date Of Lead]]="","",MONTH(lead[[#This Row],[Date Of Lead]])),Sheet3!D:E,2,0),"")</f>
        <v>Oct</v>
      </c>
      <c r="E81" s="36" t="str">
        <f>IFERROR(IF(OR(lead[[#This Row],[Year]]="",lead[[#This Row],[Month]]=""),"",lead[[#This Row],[Year]]&amp;lead[[#This Row],[Month]]),"")</f>
        <v>2020Oct</v>
      </c>
      <c r="F81" s="29" t="s">
        <v>74</v>
      </c>
      <c r="G81" s="29" t="s">
        <v>143</v>
      </c>
      <c r="H81" s="30" t="s">
        <v>188</v>
      </c>
      <c r="I81" s="29" t="s">
        <v>31</v>
      </c>
      <c r="J81" s="50" t="s">
        <v>36</v>
      </c>
      <c r="K81" s="28"/>
      <c r="L81" s="36" t="str">
        <f>IFERROR(IF(OR(lead[[#This Row],[Closed Date]]="",lead[[#This Row],[Date Of Lead]]=""),"",lead[[#This Row],[Closed Date]]-lead[[#This Row],[Date Of Lead]]),"")</f>
        <v/>
      </c>
      <c r="M81" s="36" t="str">
        <f>IFERROR(IF(OR(lead[[#This Row],[Closed Date]]="",lead[[#This Row],[Date Of Lead]]=""),"No","Yes"),"")</f>
        <v>No</v>
      </c>
      <c r="N81" s="38"/>
      <c r="O81" s="40">
        <f>IFERROR(SUMIFS('Advertising Spend'!H:H,'Advertising Spend'!G:G,lead[[#This Row],[Platform]],'Advertising Spend'!F:F,lead[[#This Row],[Date Comp]]),"")</f>
        <v>0</v>
      </c>
      <c r="P81" s="40">
        <f>IFERROR(SUMIFS('Advertising Spend'!J:J,'Advertising Spend'!G:G,lead[[#This Row],[Platform]],'Advertising Spend'!F:F,lead[[#This Row],[Date Comp]]),"")</f>
        <v>0</v>
      </c>
      <c r="Q81" s="42">
        <f>IFERROR(SUMIFS('Advertising Spend'!K:K,'Advertising Spend'!G:G,lead[[#This Row],[Platform]],'Advertising Spend'!F:F,lead[[#This Row],[Date Comp]]),"")</f>
        <v>0</v>
      </c>
    </row>
    <row r="82" spans="1:17" ht="30" customHeight="1" x14ac:dyDescent="0.2">
      <c r="A82" s="20" t="str">
        <f t="shared" si="0"/>
        <v/>
      </c>
      <c r="B82" s="28">
        <v>44172</v>
      </c>
      <c r="C82" s="36">
        <f>IFERROR(IF(lead[[#This Row],[Date Of Lead]]="","",YEAR(lead[[#This Row],[Date Of Lead]])),"")</f>
        <v>2020</v>
      </c>
      <c r="D82" s="36" t="str">
        <f>IFERROR(VLOOKUP(IF(lead[[#This Row],[Date Of Lead]]="","",MONTH(lead[[#This Row],[Date Of Lead]])),Sheet3!D:E,2,0),"")</f>
        <v>Dec</v>
      </c>
      <c r="E82" s="36" t="str">
        <f>IFERROR(IF(OR(lead[[#This Row],[Year]]="",lead[[#This Row],[Month]]=""),"",lead[[#This Row],[Year]]&amp;lead[[#This Row],[Month]]),"")</f>
        <v>2020Dec</v>
      </c>
      <c r="F82" s="29" t="s">
        <v>30</v>
      </c>
      <c r="G82" s="29" t="s">
        <v>144</v>
      </c>
      <c r="H82" s="30" t="s">
        <v>188</v>
      </c>
      <c r="I82" s="29" t="s">
        <v>33</v>
      </c>
      <c r="J82" s="50" t="s">
        <v>37</v>
      </c>
      <c r="K82" s="28">
        <v>44206</v>
      </c>
      <c r="L82" s="36">
        <f>IFERROR(IF(OR(lead[[#This Row],[Closed Date]]="",lead[[#This Row],[Date Of Lead]]=""),"",lead[[#This Row],[Closed Date]]-lead[[#This Row],[Date Of Lead]]),"")</f>
        <v>34</v>
      </c>
      <c r="M82" s="36" t="str">
        <f>IFERROR(IF(OR(lead[[#This Row],[Closed Date]]="",lead[[#This Row],[Date Of Lead]]=""),"No","Yes"),"")</f>
        <v>Yes</v>
      </c>
      <c r="N82" s="38">
        <v>300</v>
      </c>
      <c r="O82" s="40">
        <f>IFERROR(SUMIFS('Advertising Spend'!H:H,'Advertising Spend'!G:G,lead[[#This Row],[Platform]],'Advertising Spend'!F:F,lead[[#This Row],[Date Comp]]),"")</f>
        <v>0</v>
      </c>
      <c r="P82" s="40">
        <f>IFERROR(SUMIFS('Advertising Spend'!J:J,'Advertising Spend'!G:G,lead[[#This Row],[Platform]],'Advertising Spend'!F:F,lead[[#This Row],[Date Comp]]),"")</f>
        <v>0</v>
      </c>
      <c r="Q82" s="42">
        <f>IFERROR(SUMIFS('Advertising Spend'!K:K,'Advertising Spend'!G:G,lead[[#This Row],[Platform]],'Advertising Spend'!F:F,lead[[#This Row],[Date Comp]]),"")</f>
        <v>0</v>
      </c>
    </row>
    <row r="83" spans="1:17" ht="30" customHeight="1" x14ac:dyDescent="0.2">
      <c r="A83" s="20" t="str">
        <f t="shared" si="0"/>
        <v/>
      </c>
      <c r="B83" s="28">
        <v>44205</v>
      </c>
      <c r="C83" s="36">
        <f>IFERROR(IF(lead[[#This Row],[Date Of Lead]]="","",YEAR(lead[[#This Row],[Date Of Lead]])),"")</f>
        <v>2021</v>
      </c>
      <c r="D83" s="36" t="str">
        <f>IFERROR(VLOOKUP(IF(lead[[#This Row],[Date Of Lead]]="","",MONTH(lead[[#This Row],[Date Of Lead]])),Sheet3!D:E,2,0),"")</f>
        <v>Jan</v>
      </c>
      <c r="E83" s="36" t="str">
        <f>IFERROR(IF(OR(lead[[#This Row],[Year]]="",lead[[#This Row],[Month]]=""),"",lead[[#This Row],[Year]]&amp;lead[[#This Row],[Month]]),"")</f>
        <v>2021Jan</v>
      </c>
      <c r="F83" s="29" t="s">
        <v>30</v>
      </c>
      <c r="G83" s="29" t="s">
        <v>145</v>
      </c>
      <c r="H83" s="30" t="s">
        <v>188</v>
      </c>
      <c r="I83" s="29" t="s">
        <v>31</v>
      </c>
      <c r="J83" s="50" t="s">
        <v>35</v>
      </c>
      <c r="K83" s="28"/>
      <c r="L83" s="36" t="str">
        <f>IFERROR(IF(OR(lead[[#This Row],[Closed Date]]="",lead[[#This Row],[Date Of Lead]]=""),"",lead[[#This Row],[Closed Date]]-lead[[#This Row],[Date Of Lead]]),"")</f>
        <v/>
      </c>
      <c r="M83" s="36" t="str">
        <f>IFERROR(IF(OR(lead[[#This Row],[Closed Date]]="",lead[[#This Row],[Date Of Lead]]=""),"No","Yes"),"")</f>
        <v>No</v>
      </c>
      <c r="N83" s="38"/>
      <c r="O83" s="40">
        <f>IFERROR(SUMIFS('Advertising Spend'!H:H,'Advertising Spend'!G:G,lead[[#This Row],[Platform]],'Advertising Spend'!F:F,lead[[#This Row],[Date Comp]]),"")</f>
        <v>0</v>
      </c>
      <c r="P83" s="40">
        <f>IFERROR(SUMIFS('Advertising Spend'!J:J,'Advertising Spend'!G:G,lead[[#This Row],[Platform]],'Advertising Spend'!F:F,lead[[#This Row],[Date Comp]]),"")</f>
        <v>0</v>
      </c>
      <c r="Q83" s="42">
        <f>IFERROR(SUMIFS('Advertising Spend'!K:K,'Advertising Spend'!G:G,lead[[#This Row],[Platform]],'Advertising Spend'!F:F,lead[[#This Row],[Date Comp]]),"")</f>
        <v>0</v>
      </c>
    </row>
    <row r="84" spans="1:17" ht="30" customHeight="1" x14ac:dyDescent="0.2">
      <c r="A84" s="20" t="str">
        <f t="shared" si="0"/>
        <v/>
      </c>
      <c r="B84" s="28">
        <v>44225</v>
      </c>
      <c r="C84" s="36">
        <f>IFERROR(IF(lead[[#This Row],[Date Of Lead]]="","",YEAR(lead[[#This Row],[Date Of Lead]])),"")</f>
        <v>2021</v>
      </c>
      <c r="D84" s="36" t="str">
        <f>IFERROR(VLOOKUP(IF(lead[[#This Row],[Date Of Lead]]="","",MONTH(lead[[#This Row],[Date Of Lead]])),Sheet3!D:E,2,0),"")</f>
        <v>Jan</v>
      </c>
      <c r="E84" s="36" t="str">
        <f>IFERROR(IF(OR(lead[[#This Row],[Year]]="",lead[[#This Row],[Month]]=""),"",lead[[#This Row],[Year]]&amp;lead[[#This Row],[Month]]),"")</f>
        <v>2021Jan</v>
      </c>
      <c r="F84" s="29" t="s">
        <v>30</v>
      </c>
      <c r="G84" s="29" t="s">
        <v>146</v>
      </c>
      <c r="H84" s="30" t="s">
        <v>188</v>
      </c>
      <c r="I84" s="29" t="s">
        <v>31</v>
      </c>
      <c r="J84" s="50" t="s">
        <v>37</v>
      </c>
      <c r="K84" s="28">
        <v>44242</v>
      </c>
      <c r="L84" s="36">
        <f>IFERROR(IF(OR(lead[[#This Row],[Closed Date]]="",lead[[#This Row],[Date Of Lead]]=""),"",lead[[#This Row],[Closed Date]]-lead[[#This Row],[Date Of Lead]]),"")</f>
        <v>17</v>
      </c>
      <c r="M84" s="36" t="str">
        <f>IFERROR(IF(OR(lead[[#This Row],[Closed Date]]="",lead[[#This Row],[Date Of Lead]]=""),"No","Yes"),"")</f>
        <v>Yes</v>
      </c>
      <c r="N84" s="38">
        <v>400</v>
      </c>
      <c r="O84" s="40">
        <f>IFERROR(SUMIFS('Advertising Spend'!H:H,'Advertising Spend'!G:G,lead[[#This Row],[Platform]],'Advertising Spend'!F:F,lead[[#This Row],[Date Comp]]),"")</f>
        <v>0</v>
      </c>
      <c r="P84" s="40">
        <f>IFERROR(SUMIFS('Advertising Spend'!J:J,'Advertising Spend'!G:G,lead[[#This Row],[Platform]],'Advertising Spend'!F:F,lead[[#This Row],[Date Comp]]),"")</f>
        <v>0</v>
      </c>
      <c r="Q84" s="42">
        <f>IFERROR(SUMIFS('Advertising Spend'!K:K,'Advertising Spend'!G:G,lead[[#This Row],[Platform]],'Advertising Spend'!F:F,lead[[#This Row],[Date Comp]]),"")</f>
        <v>0</v>
      </c>
    </row>
    <row r="85" spans="1:17" ht="30" customHeight="1" x14ac:dyDescent="0.2">
      <c r="A85" s="20" t="str">
        <f t="shared" si="0"/>
        <v/>
      </c>
      <c r="B85" s="28">
        <v>44156</v>
      </c>
      <c r="C85" s="36">
        <f>IFERROR(IF(lead[[#This Row],[Date Of Lead]]="","",YEAR(lead[[#This Row],[Date Of Lead]])),"")</f>
        <v>2020</v>
      </c>
      <c r="D85" s="36" t="str">
        <f>IFERROR(VLOOKUP(IF(lead[[#This Row],[Date Of Lead]]="","",MONTH(lead[[#This Row],[Date Of Lead]])),Sheet3!D:E,2,0),"")</f>
        <v>Nov</v>
      </c>
      <c r="E85" s="36" t="str">
        <f>IFERROR(IF(OR(lead[[#This Row],[Year]]="",lead[[#This Row],[Month]]=""),"",lead[[#This Row],[Year]]&amp;lead[[#This Row],[Month]]),"")</f>
        <v>2020Nov</v>
      </c>
      <c r="F85" s="29" t="s">
        <v>27</v>
      </c>
      <c r="G85" s="29" t="s">
        <v>147</v>
      </c>
      <c r="H85" s="30" t="s">
        <v>188</v>
      </c>
      <c r="I85" s="29" t="s">
        <v>33</v>
      </c>
      <c r="J85" s="50" t="s">
        <v>36</v>
      </c>
      <c r="K85" s="28"/>
      <c r="L85" s="36" t="str">
        <f>IFERROR(IF(OR(lead[[#This Row],[Closed Date]]="",lead[[#This Row],[Date Of Lead]]=""),"",lead[[#This Row],[Closed Date]]-lead[[#This Row],[Date Of Lead]]),"")</f>
        <v/>
      </c>
      <c r="M85" s="36" t="str">
        <f>IFERROR(IF(OR(lead[[#This Row],[Closed Date]]="",lead[[#This Row],[Date Of Lead]]=""),"No","Yes"),"")</f>
        <v>No</v>
      </c>
      <c r="N85" s="38"/>
      <c r="O85" s="40">
        <f>IFERROR(SUMIFS('Advertising Spend'!H:H,'Advertising Spend'!G:G,lead[[#This Row],[Platform]],'Advertising Spend'!F:F,lead[[#This Row],[Date Comp]]),"")</f>
        <v>0</v>
      </c>
      <c r="P85" s="40">
        <f>IFERROR(SUMIFS('Advertising Spend'!J:J,'Advertising Spend'!G:G,lead[[#This Row],[Platform]],'Advertising Spend'!F:F,lead[[#This Row],[Date Comp]]),"")</f>
        <v>0</v>
      </c>
      <c r="Q85" s="42">
        <f>IFERROR(SUMIFS('Advertising Spend'!K:K,'Advertising Spend'!G:G,lead[[#This Row],[Platform]],'Advertising Spend'!F:F,lead[[#This Row],[Date Comp]]),"")</f>
        <v>0</v>
      </c>
    </row>
    <row r="86" spans="1:17" ht="30" customHeight="1" x14ac:dyDescent="0.2">
      <c r="A86" s="20" t="str">
        <f t="shared" si="0"/>
        <v/>
      </c>
      <c r="B86" s="28">
        <v>44170</v>
      </c>
      <c r="C86" s="36">
        <f>IFERROR(IF(lead[[#This Row],[Date Of Lead]]="","",YEAR(lead[[#This Row],[Date Of Lead]])),"")</f>
        <v>2020</v>
      </c>
      <c r="D86" s="36" t="str">
        <f>IFERROR(VLOOKUP(IF(lead[[#This Row],[Date Of Lead]]="","",MONTH(lead[[#This Row],[Date Of Lead]])),Sheet3!D:E,2,0),"")</f>
        <v>Dec</v>
      </c>
      <c r="E86" s="36" t="str">
        <f>IFERROR(IF(OR(lead[[#This Row],[Year]]="",lead[[#This Row],[Month]]=""),"",lead[[#This Row],[Year]]&amp;lead[[#This Row],[Month]]),"")</f>
        <v>2020Dec</v>
      </c>
      <c r="F86" s="29" t="s">
        <v>74</v>
      </c>
      <c r="G86" s="29" t="s">
        <v>148</v>
      </c>
      <c r="H86" s="30" t="s">
        <v>188</v>
      </c>
      <c r="I86" s="29" t="s">
        <v>31</v>
      </c>
      <c r="J86" s="50" t="s">
        <v>36</v>
      </c>
      <c r="K86" s="28"/>
      <c r="L86" s="36" t="str">
        <f>IFERROR(IF(OR(lead[[#This Row],[Closed Date]]="",lead[[#This Row],[Date Of Lead]]=""),"",lead[[#This Row],[Closed Date]]-lead[[#This Row],[Date Of Lead]]),"")</f>
        <v/>
      </c>
      <c r="M86" s="36" t="str">
        <f>IFERROR(IF(OR(lead[[#This Row],[Closed Date]]="",lead[[#This Row],[Date Of Lead]]=""),"No","Yes"),"")</f>
        <v>No</v>
      </c>
      <c r="N86" s="38"/>
      <c r="O86" s="40">
        <f>IFERROR(SUMIFS('Advertising Spend'!H:H,'Advertising Spend'!G:G,lead[[#This Row],[Platform]],'Advertising Spend'!F:F,lead[[#This Row],[Date Comp]]),"")</f>
        <v>0</v>
      </c>
      <c r="P86" s="40">
        <f>IFERROR(SUMIFS('Advertising Spend'!J:J,'Advertising Spend'!G:G,lead[[#This Row],[Platform]],'Advertising Spend'!F:F,lead[[#This Row],[Date Comp]]),"")</f>
        <v>0</v>
      </c>
      <c r="Q86" s="42">
        <f>IFERROR(SUMIFS('Advertising Spend'!K:K,'Advertising Spend'!G:G,lead[[#This Row],[Platform]],'Advertising Spend'!F:F,lead[[#This Row],[Date Comp]]),"")</f>
        <v>0</v>
      </c>
    </row>
    <row r="87" spans="1:17" ht="30" customHeight="1" x14ac:dyDescent="0.2">
      <c r="A87" s="20" t="str">
        <f t="shared" si="0"/>
        <v/>
      </c>
      <c r="B87" s="28">
        <v>44155</v>
      </c>
      <c r="C87" s="36">
        <f>IFERROR(IF(lead[[#This Row],[Date Of Lead]]="","",YEAR(lead[[#This Row],[Date Of Lead]])),"")</f>
        <v>2020</v>
      </c>
      <c r="D87" s="36" t="str">
        <f>IFERROR(VLOOKUP(IF(lead[[#This Row],[Date Of Lead]]="","",MONTH(lead[[#This Row],[Date Of Lead]])),Sheet3!D:E,2,0),"")</f>
        <v>Nov</v>
      </c>
      <c r="E87" s="36" t="str">
        <f>IFERROR(IF(OR(lead[[#This Row],[Year]]="",lead[[#This Row],[Month]]=""),"",lead[[#This Row],[Year]]&amp;lead[[#This Row],[Month]]),"")</f>
        <v>2020Nov</v>
      </c>
      <c r="F87" s="29" t="s">
        <v>30</v>
      </c>
      <c r="G87" s="29" t="s">
        <v>149</v>
      </c>
      <c r="H87" s="30" t="s">
        <v>188</v>
      </c>
      <c r="I87" s="29" t="s">
        <v>33</v>
      </c>
      <c r="J87" s="50" t="s">
        <v>34</v>
      </c>
      <c r="K87" s="28"/>
      <c r="L87" s="36" t="str">
        <f>IFERROR(IF(OR(lead[[#This Row],[Closed Date]]="",lead[[#This Row],[Date Of Lead]]=""),"",lead[[#This Row],[Closed Date]]-lead[[#This Row],[Date Of Lead]]),"")</f>
        <v/>
      </c>
      <c r="M87" s="36" t="str">
        <f>IFERROR(IF(OR(lead[[#This Row],[Closed Date]]="",lead[[#This Row],[Date Of Lead]]=""),"No","Yes"),"")</f>
        <v>No</v>
      </c>
      <c r="N87" s="38"/>
      <c r="O87" s="40">
        <f>IFERROR(SUMIFS('Advertising Spend'!H:H,'Advertising Spend'!G:G,lead[[#This Row],[Platform]],'Advertising Spend'!F:F,lead[[#This Row],[Date Comp]]),"")</f>
        <v>350</v>
      </c>
      <c r="P87" s="40">
        <f>IFERROR(SUMIFS('Advertising Spend'!J:J,'Advertising Spend'!G:G,lead[[#This Row],[Platform]],'Advertising Spend'!F:F,lead[[#This Row],[Date Comp]]),"")</f>
        <v>-110</v>
      </c>
      <c r="Q87" s="42">
        <f>IFERROR(SUMIFS('Advertising Spend'!K:K,'Advertising Spend'!G:G,lead[[#This Row],[Platform]],'Advertising Spend'!F:F,lead[[#This Row],[Date Comp]]),"")</f>
        <v>-0.31428571428571428</v>
      </c>
    </row>
    <row r="88" spans="1:17" ht="30" customHeight="1" x14ac:dyDescent="0.2">
      <c r="A88" s="20" t="str">
        <f t="shared" ref="A88:A151" si="1">IF(AND(B87&lt;&gt;"",B88=""),$A$22&amp;"---&gt;","")</f>
        <v/>
      </c>
      <c r="B88" s="28">
        <v>44212</v>
      </c>
      <c r="C88" s="36">
        <f>IFERROR(IF(lead[[#This Row],[Date Of Lead]]="","",YEAR(lead[[#This Row],[Date Of Lead]])),"")</f>
        <v>2021</v>
      </c>
      <c r="D88" s="36" t="str">
        <f>IFERROR(VLOOKUP(IF(lead[[#This Row],[Date Of Lead]]="","",MONTH(lead[[#This Row],[Date Of Lead]])),Sheet3!D:E,2,0),"")</f>
        <v>Jan</v>
      </c>
      <c r="E88" s="36" t="str">
        <f>IFERROR(IF(OR(lead[[#This Row],[Year]]="",lead[[#This Row],[Month]]=""),"",lead[[#This Row],[Year]]&amp;lead[[#This Row],[Month]]),"")</f>
        <v>2021Jan</v>
      </c>
      <c r="F88" s="29" t="s">
        <v>28</v>
      </c>
      <c r="G88" s="29" t="s">
        <v>150</v>
      </c>
      <c r="H88" s="30" t="s">
        <v>188</v>
      </c>
      <c r="I88" s="29" t="s">
        <v>31</v>
      </c>
      <c r="J88" s="50" t="s">
        <v>36</v>
      </c>
      <c r="K88" s="28"/>
      <c r="L88" s="36" t="str">
        <f>IFERROR(IF(OR(lead[[#This Row],[Closed Date]]="",lead[[#This Row],[Date Of Lead]]=""),"",lead[[#This Row],[Closed Date]]-lead[[#This Row],[Date Of Lead]]),"")</f>
        <v/>
      </c>
      <c r="M88" s="36" t="str">
        <f>IFERROR(IF(OR(lead[[#This Row],[Closed Date]]="",lead[[#This Row],[Date Of Lead]]=""),"No","Yes"),"")</f>
        <v>No</v>
      </c>
      <c r="N88" s="38"/>
      <c r="O88" s="40">
        <f>IFERROR(SUMIFS('Advertising Spend'!H:H,'Advertising Spend'!G:G,lead[[#This Row],[Platform]],'Advertising Spend'!F:F,lead[[#This Row],[Date Comp]]),"")</f>
        <v>500</v>
      </c>
      <c r="P88" s="40">
        <f>IFERROR(SUMIFS('Advertising Spend'!J:J,'Advertising Spend'!G:G,lead[[#This Row],[Platform]],'Advertising Spend'!F:F,lead[[#This Row],[Date Comp]]),"")</f>
        <v>50</v>
      </c>
      <c r="Q88" s="42">
        <f>IFERROR(SUMIFS('Advertising Spend'!K:K,'Advertising Spend'!G:G,lead[[#This Row],[Platform]],'Advertising Spend'!F:F,lead[[#This Row],[Date Comp]]),"")</f>
        <v>0.1</v>
      </c>
    </row>
    <row r="89" spans="1:17" ht="30" customHeight="1" x14ac:dyDescent="0.2">
      <c r="A89" s="20" t="str">
        <f t="shared" si="1"/>
        <v/>
      </c>
      <c r="B89" s="28">
        <v>44150</v>
      </c>
      <c r="C89" s="36">
        <f>IFERROR(IF(lead[[#This Row],[Date Of Lead]]="","",YEAR(lead[[#This Row],[Date Of Lead]])),"")</f>
        <v>2020</v>
      </c>
      <c r="D89" s="36" t="str">
        <f>IFERROR(VLOOKUP(IF(lead[[#This Row],[Date Of Lead]]="","",MONTH(lead[[#This Row],[Date Of Lead]])),Sheet3!D:E,2,0),"")</f>
        <v>Nov</v>
      </c>
      <c r="E89" s="36" t="str">
        <f>IFERROR(IF(OR(lead[[#This Row],[Year]]="",lead[[#This Row],[Month]]=""),"",lead[[#This Row],[Year]]&amp;lead[[#This Row],[Month]]),"")</f>
        <v>2020Nov</v>
      </c>
      <c r="F89" s="29" t="s">
        <v>74</v>
      </c>
      <c r="G89" s="29" t="s">
        <v>151</v>
      </c>
      <c r="H89" s="30" t="s">
        <v>188</v>
      </c>
      <c r="I89" s="29" t="s">
        <v>32</v>
      </c>
      <c r="J89" s="50" t="s">
        <v>34</v>
      </c>
      <c r="K89" s="28"/>
      <c r="L89" s="36" t="str">
        <f>IFERROR(IF(OR(lead[[#This Row],[Closed Date]]="",lead[[#This Row],[Date Of Lead]]=""),"",lead[[#This Row],[Closed Date]]-lead[[#This Row],[Date Of Lead]]),"")</f>
        <v/>
      </c>
      <c r="M89" s="36" t="str">
        <f>IFERROR(IF(OR(lead[[#This Row],[Closed Date]]="",lead[[#This Row],[Date Of Lead]]=""),"No","Yes"),"")</f>
        <v>No</v>
      </c>
      <c r="N89" s="38"/>
      <c r="O89" s="40">
        <f>IFERROR(SUMIFS('Advertising Spend'!H:H,'Advertising Spend'!G:G,lead[[#This Row],[Platform]],'Advertising Spend'!F:F,lead[[#This Row],[Date Comp]]),"")</f>
        <v>0</v>
      </c>
      <c r="P89" s="40">
        <f>IFERROR(SUMIFS('Advertising Spend'!J:J,'Advertising Spend'!G:G,lead[[#This Row],[Platform]],'Advertising Spend'!F:F,lead[[#This Row],[Date Comp]]),"")</f>
        <v>0</v>
      </c>
      <c r="Q89" s="42">
        <f>IFERROR(SUMIFS('Advertising Spend'!K:K,'Advertising Spend'!G:G,lead[[#This Row],[Platform]],'Advertising Spend'!F:F,lead[[#This Row],[Date Comp]]),"")</f>
        <v>0</v>
      </c>
    </row>
    <row r="90" spans="1:17" ht="30" customHeight="1" x14ac:dyDescent="0.2">
      <c r="A90" s="20" t="str">
        <f t="shared" si="1"/>
        <v/>
      </c>
      <c r="B90" s="28">
        <v>44227</v>
      </c>
      <c r="C90" s="36">
        <f>IFERROR(IF(lead[[#This Row],[Date Of Lead]]="","",YEAR(lead[[#This Row],[Date Of Lead]])),"")</f>
        <v>2021</v>
      </c>
      <c r="D90" s="36" t="str">
        <f>IFERROR(VLOOKUP(IF(lead[[#This Row],[Date Of Lead]]="","",MONTH(lead[[#This Row],[Date Of Lead]])),Sheet3!D:E,2,0),"")</f>
        <v>Jan</v>
      </c>
      <c r="E90" s="36" t="str">
        <f>IFERROR(IF(OR(lead[[#This Row],[Year]]="",lead[[#This Row],[Month]]=""),"",lead[[#This Row],[Year]]&amp;lead[[#This Row],[Month]]),"")</f>
        <v>2021Jan</v>
      </c>
      <c r="F90" s="29" t="s">
        <v>74</v>
      </c>
      <c r="G90" s="29" t="s">
        <v>152</v>
      </c>
      <c r="H90" s="30" t="s">
        <v>188</v>
      </c>
      <c r="I90" s="29" t="s">
        <v>33</v>
      </c>
      <c r="J90" s="50" t="s">
        <v>34</v>
      </c>
      <c r="K90" s="28"/>
      <c r="L90" s="36" t="str">
        <f>IFERROR(IF(OR(lead[[#This Row],[Closed Date]]="",lead[[#This Row],[Date Of Lead]]=""),"",lead[[#This Row],[Closed Date]]-lead[[#This Row],[Date Of Lead]]),"")</f>
        <v/>
      </c>
      <c r="M90" s="36" t="str">
        <f>IFERROR(IF(OR(lead[[#This Row],[Closed Date]]="",lead[[#This Row],[Date Of Lead]]=""),"No","Yes"),"")</f>
        <v>No</v>
      </c>
      <c r="N90" s="38"/>
      <c r="O90" s="40">
        <f>IFERROR(SUMIFS('Advertising Spend'!H:H,'Advertising Spend'!G:G,lead[[#This Row],[Platform]],'Advertising Spend'!F:F,lead[[#This Row],[Date Comp]]),"")</f>
        <v>0</v>
      </c>
      <c r="P90" s="40">
        <f>IFERROR(SUMIFS('Advertising Spend'!J:J,'Advertising Spend'!G:G,lead[[#This Row],[Platform]],'Advertising Spend'!F:F,lead[[#This Row],[Date Comp]]),"")</f>
        <v>0</v>
      </c>
      <c r="Q90" s="42">
        <f>IFERROR(SUMIFS('Advertising Spend'!K:K,'Advertising Spend'!G:G,lead[[#This Row],[Platform]],'Advertising Spend'!F:F,lead[[#This Row],[Date Comp]]),"")</f>
        <v>0</v>
      </c>
    </row>
    <row r="91" spans="1:17" ht="30" customHeight="1" x14ac:dyDescent="0.2">
      <c r="A91" s="20" t="str">
        <f t="shared" si="1"/>
        <v/>
      </c>
      <c r="B91" s="28">
        <v>44179</v>
      </c>
      <c r="C91" s="36">
        <f>IFERROR(IF(lead[[#This Row],[Date Of Lead]]="","",YEAR(lead[[#This Row],[Date Of Lead]])),"")</f>
        <v>2020</v>
      </c>
      <c r="D91" s="36" t="str">
        <f>IFERROR(VLOOKUP(IF(lead[[#This Row],[Date Of Lead]]="","",MONTH(lead[[#This Row],[Date Of Lead]])),Sheet3!D:E,2,0),"")</f>
        <v>Dec</v>
      </c>
      <c r="E91" s="36" t="str">
        <f>IFERROR(IF(OR(lead[[#This Row],[Year]]="",lead[[#This Row],[Month]]=""),"",lead[[#This Row],[Year]]&amp;lead[[#This Row],[Month]]),"")</f>
        <v>2020Dec</v>
      </c>
      <c r="F91" s="29" t="s">
        <v>27</v>
      </c>
      <c r="G91" s="29" t="s">
        <v>153</v>
      </c>
      <c r="H91" s="30" t="s">
        <v>188</v>
      </c>
      <c r="I91" s="29" t="s">
        <v>31</v>
      </c>
      <c r="J91" s="50" t="s">
        <v>35</v>
      </c>
      <c r="K91" s="28"/>
      <c r="L91" s="36" t="str">
        <f>IFERROR(IF(OR(lead[[#This Row],[Closed Date]]="",lead[[#This Row],[Date Of Lead]]=""),"",lead[[#This Row],[Closed Date]]-lead[[#This Row],[Date Of Lead]]),"")</f>
        <v/>
      </c>
      <c r="M91" s="36" t="str">
        <f>IFERROR(IF(OR(lead[[#This Row],[Closed Date]]="",lead[[#This Row],[Date Of Lead]]=""),"No","Yes"),"")</f>
        <v>No</v>
      </c>
      <c r="N91" s="38"/>
      <c r="O91" s="40">
        <f>IFERROR(SUMIFS('Advertising Spend'!H:H,'Advertising Spend'!G:G,lead[[#This Row],[Platform]],'Advertising Spend'!F:F,lead[[#This Row],[Date Comp]]),"")</f>
        <v>900</v>
      </c>
      <c r="P91" s="40">
        <f>IFERROR(SUMIFS('Advertising Spend'!J:J,'Advertising Spend'!G:G,lead[[#This Row],[Platform]],'Advertising Spend'!F:F,lead[[#This Row],[Date Comp]]),"")</f>
        <v>-140</v>
      </c>
      <c r="Q91" s="42">
        <f>IFERROR(SUMIFS('Advertising Spend'!K:K,'Advertising Spend'!G:G,lead[[#This Row],[Platform]],'Advertising Spend'!F:F,lead[[#This Row],[Date Comp]]),"")</f>
        <v>-0.15555555555555556</v>
      </c>
    </row>
    <row r="92" spans="1:17" ht="30" customHeight="1" x14ac:dyDescent="0.2">
      <c r="A92" s="20" t="str">
        <f t="shared" si="1"/>
        <v/>
      </c>
      <c r="B92" s="28">
        <v>44105</v>
      </c>
      <c r="C92" s="36">
        <f>IFERROR(IF(lead[[#This Row],[Date Of Lead]]="","",YEAR(lead[[#This Row],[Date Of Lead]])),"")</f>
        <v>2020</v>
      </c>
      <c r="D92" s="36" t="str">
        <f>IFERROR(VLOOKUP(IF(lead[[#This Row],[Date Of Lead]]="","",MONTH(lead[[#This Row],[Date Of Lead]])),Sheet3!D:E,2,0),"")</f>
        <v>Oct</v>
      </c>
      <c r="E92" s="36" t="str">
        <f>IFERROR(IF(OR(lead[[#This Row],[Year]]="",lead[[#This Row],[Month]]=""),"",lead[[#This Row],[Year]]&amp;lead[[#This Row],[Month]]),"")</f>
        <v>2020Oct</v>
      </c>
      <c r="F92" s="29" t="s">
        <v>29</v>
      </c>
      <c r="G92" s="29" t="s">
        <v>154</v>
      </c>
      <c r="H92" s="30" t="s">
        <v>188</v>
      </c>
      <c r="I92" s="29" t="s">
        <v>33</v>
      </c>
      <c r="J92" s="50" t="s">
        <v>37</v>
      </c>
      <c r="K92" s="28">
        <v>44122</v>
      </c>
      <c r="L92" s="36">
        <f>IFERROR(IF(OR(lead[[#This Row],[Closed Date]]="",lead[[#This Row],[Date Of Lead]]=""),"",lead[[#This Row],[Closed Date]]-lead[[#This Row],[Date Of Lead]]),"")</f>
        <v>17</v>
      </c>
      <c r="M92" s="36" t="str">
        <f>IFERROR(IF(OR(lead[[#This Row],[Closed Date]]="",lead[[#This Row],[Date Of Lead]]=""),"No","Yes"),"")</f>
        <v>Yes</v>
      </c>
      <c r="N92" s="38">
        <v>350</v>
      </c>
      <c r="O92" s="40">
        <f>IFERROR(SUMIFS('Advertising Spend'!H:H,'Advertising Spend'!G:G,lead[[#This Row],[Platform]],'Advertising Spend'!F:F,lead[[#This Row],[Date Comp]]),"")</f>
        <v>700</v>
      </c>
      <c r="P92" s="40">
        <f>IFERROR(SUMIFS('Advertising Spend'!J:J,'Advertising Spend'!G:G,lead[[#This Row],[Platform]],'Advertising Spend'!F:F,lead[[#This Row],[Date Comp]]),"")</f>
        <v>100</v>
      </c>
      <c r="Q92" s="42">
        <f>IFERROR(SUMIFS('Advertising Spend'!K:K,'Advertising Spend'!G:G,lead[[#This Row],[Platform]],'Advertising Spend'!F:F,lead[[#This Row],[Date Comp]]),"")</f>
        <v>0.14285714285714285</v>
      </c>
    </row>
    <row r="93" spans="1:17" ht="30" customHeight="1" x14ac:dyDescent="0.2">
      <c r="A93" s="20" t="str">
        <f t="shared" si="1"/>
        <v/>
      </c>
      <c r="B93" s="28">
        <v>44210</v>
      </c>
      <c r="C93" s="36">
        <f>IFERROR(IF(lead[[#This Row],[Date Of Lead]]="","",YEAR(lead[[#This Row],[Date Of Lead]])),"")</f>
        <v>2021</v>
      </c>
      <c r="D93" s="36" t="str">
        <f>IFERROR(VLOOKUP(IF(lead[[#This Row],[Date Of Lead]]="","",MONTH(lead[[#This Row],[Date Of Lead]])),Sheet3!D:E,2,0),"")</f>
        <v>Jan</v>
      </c>
      <c r="E93" s="36" t="str">
        <f>IFERROR(IF(OR(lead[[#This Row],[Year]]="",lead[[#This Row],[Month]]=""),"",lead[[#This Row],[Year]]&amp;lead[[#This Row],[Month]]),"")</f>
        <v>2021Jan</v>
      </c>
      <c r="F93" s="29" t="s">
        <v>28</v>
      </c>
      <c r="G93" s="29" t="s">
        <v>155</v>
      </c>
      <c r="H93" s="30" t="s">
        <v>188</v>
      </c>
      <c r="I93" s="29" t="s">
        <v>32</v>
      </c>
      <c r="J93" s="50" t="s">
        <v>36</v>
      </c>
      <c r="K93" s="28"/>
      <c r="L93" s="36" t="str">
        <f>IFERROR(IF(OR(lead[[#This Row],[Closed Date]]="",lead[[#This Row],[Date Of Lead]]=""),"",lead[[#This Row],[Closed Date]]-lead[[#This Row],[Date Of Lead]]),"")</f>
        <v/>
      </c>
      <c r="M93" s="36" t="str">
        <f>IFERROR(IF(OR(lead[[#This Row],[Closed Date]]="",lead[[#This Row],[Date Of Lead]]=""),"No","Yes"),"")</f>
        <v>No</v>
      </c>
      <c r="N93" s="38"/>
      <c r="O93" s="40">
        <f>IFERROR(SUMIFS('Advertising Spend'!H:H,'Advertising Spend'!G:G,lead[[#This Row],[Platform]],'Advertising Spend'!F:F,lead[[#This Row],[Date Comp]]),"")</f>
        <v>500</v>
      </c>
      <c r="P93" s="40">
        <f>IFERROR(SUMIFS('Advertising Spend'!J:J,'Advertising Spend'!G:G,lead[[#This Row],[Platform]],'Advertising Spend'!F:F,lead[[#This Row],[Date Comp]]),"")</f>
        <v>50</v>
      </c>
      <c r="Q93" s="42">
        <f>IFERROR(SUMIFS('Advertising Spend'!K:K,'Advertising Spend'!G:G,lead[[#This Row],[Platform]],'Advertising Spend'!F:F,lead[[#This Row],[Date Comp]]),"")</f>
        <v>0.1</v>
      </c>
    </row>
    <row r="94" spans="1:17" ht="30" customHeight="1" x14ac:dyDescent="0.2">
      <c r="A94" s="20" t="str">
        <f t="shared" si="1"/>
        <v/>
      </c>
      <c r="B94" s="28">
        <v>44203</v>
      </c>
      <c r="C94" s="36">
        <f>IFERROR(IF(lead[[#This Row],[Date Of Lead]]="","",YEAR(lead[[#This Row],[Date Of Lead]])),"")</f>
        <v>2021</v>
      </c>
      <c r="D94" s="36" t="str">
        <f>IFERROR(VLOOKUP(IF(lead[[#This Row],[Date Of Lead]]="","",MONTH(lead[[#This Row],[Date Of Lead]])),Sheet3!D:E,2,0),"")</f>
        <v>Jan</v>
      </c>
      <c r="E94" s="36" t="str">
        <f>IFERROR(IF(OR(lead[[#This Row],[Year]]="",lead[[#This Row],[Month]]=""),"",lead[[#This Row],[Year]]&amp;lead[[#This Row],[Month]]),"")</f>
        <v>2021Jan</v>
      </c>
      <c r="F94" s="29" t="s">
        <v>29</v>
      </c>
      <c r="G94" s="29" t="s">
        <v>156</v>
      </c>
      <c r="H94" s="30" t="s">
        <v>188</v>
      </c>
      <c r="I94" s="29" t="s">
        <v>31</v>
      </c>
      <c r="J94" s="50" t="s">
        <v>35</v>
      </c>
      <c r="K94" s="28"/>
      <c r="L94" s="36" t="str">
        <f>IFERROR(IF(OR(lead[[#This Row],[Closed Date]]="",lead[[#This Row],[Date Of Lead]]=""),"",lead[[#This Row],[Closed Date]]-lead[[#This Row],[Date Of Lead]]),"")</f>
        <v/>
      </c>
      <c r="M94" s="36" t="str">
        <f>IFERROR(IF(OR(lead[[#This Row],[Closed Date]]="",lead[[#This Row],[Date Of Lead]]=""),"No","Yes"),"")</f>
        <v>No</v>
      </c>
      <c r="N94" s="38"/>
      <c r="O94" s="40">
        <f>IFERROR(SUMIFS('Advertising Spend'!H:H,'Advertising Spend'!G:G,lead[[#This Row],[Platform]],'Advertising Spend'!F:F,lead[[#This Row],[Date Comp]]),"")</f>
        <v>0</v>
      </c>
      <c r="P94" s="40">
        <f>IFERROR(SUMIFS('Advertising Spend'!J:J,'Advertising Spend'!G:G,lead[[#This Row],[Platform]],'Advertising Spend'!F:F,lead[[#This Row],[Date Comp]]),"")</f>
        <v>0</v>
      </c>
      <c r="Q94" s="42">
        <f>IFERROR(SUMIFS('Advertising Spend'!K:K,'Advertising Spend'!G:G,lead[[#This Row],[Platform]],'Advertising Spend'!F:F,lead[[#This Row],[Date Comp]]),"")</f>
        <v>0</v>
      </c>
    </row>
    <row r="95" spans="1:17" ht="30" customHeight="1" x14ac:dyDescent="0.2">
      <c r="A95" s="20" t="str">
        <f t="shared" si="1"/>
        <v/>
      </c>
      <c r="B95" s="28">
        <v>44142</v>
      </c>
      <c r="C95" s="36">
        <f>IFERROR(IF(lead[[#This Row],[Date Of Lead]]="","",YEAR(lead[[#This Row],[Date Of Lead]])),"")</f>
        <v>2020</v>
      </c>
      <c r="D95" s="36" t="str">
        <f>IFERROR(VLOOKUP(IF(lead[[#This Row],[Date Of Lead]]="","",MONTH(lead[[#This Row],[Date Of Lead]])),Sheet3!D:E,2,0),"")</f>
        <v>Nov</v>
      </c>
      <c r="E95" s="36" t="str">
        <f>IFERROR(IF(OR(lead[[#This Row],[Year]]="",lead[[#This Row],[Month]]=""),"",lead[[#This Row],[Year]]&amp;lead[[#This Row],[Month]]),"")</f>
        <v>2020Nov</v>
      </c>
      <c r="F95" s="29" t="s">
        <v>29</v>
      </c>
      <c r="G95" s="29" t="s">
        <v>157</v>
      </c>
      <c r="H95" s="30" t="s">
        <v>188</v>
      </c>
      <c r="I95" s="29" t="s">
        <v>32</v>
      </c>
      <c r="J95" s="50" t="s">
        <v>34</v>
      </c>
      <c r="K95" s="28"/>
      <c r="L95" s="36" t="str">
        <f>IFERROR(IF(OR(lead[[#This Row],[Closed Date]]="",lead[[#This Row],[Date Of Lead]]=""),"",lead[[#This Row],[Closed Date]]-lead[[#This Row],[Date Of Lead]]),"")</f>
        <v/>
      </c>
      <c r="M95" s="36" t="str">
        <f>IFERROR(IF(OR(lead[[#This Row],[Closed Date]]="",lead[[#This Row],[Date Of Lead]]=""),"No","Yes"),"")</f>
        <v>No</v>
      </c>
      <c r="N95" s="38"/>
      <c r="O95" s="40">
        <f>IFERROR(SUMIFS('Advertising Spend'!H:H,'Advertising Spend'!G:G,lead[[#This Row],[Platform]],'Advertising Spend'!F:F,lead[[#This Row],[Date Comp]]),"")</f>
        <v>0</v>
      </c>
      <c r="P95" s="40">
        <f>IFERROR(SUMIFS('Advertising Spend'!J:J,'Advertising Spend'!G:G,lead[[#This Row],[Platform]],'Advertising Spend'!F:F,lead[[#This Row],[Date Comp]]),"")</f>
        <v>0</v>
      </c>
      <c r="Q95" s="42">
        <f>IFERROR(SUMIFS('Advertising Spend'!K:K,'Advertising Spend'!G:G,lead[[#This Row],[Platform]],'Advertising Spend'!F:F,lead[[#This Row],[Date Comp]]),"")</f>
        <v>0</v>
      </c>
    </row>
    <row r="96" spans="1:17" ht="30" customHeight="1" x14ac:dyDescent="0.2">
      <c r="A96" s="20" t="str">
        <f t="shared" si="1"/>
        <v/>
      </c>
      <c r="B96" s="28">
        <v>44139</v>
      </c>
      <c r="C96" s="36">
        <f>IFERROR(IF(lead[[#This Row],[Date Of Lead]]="","",YEAR(lead[[#This Row],[Date Of Lead]])),"")</f>
        <v>2020</v>
      </c>
      <c r="D96" s="36" t="str">
        <f>IFERROR(VLOOKUP(IF(lead[[#This Row],[Date Of Lead]]="","",MONTH(lead[[#This Row],[Date Of Lead]])),Sheet3!D:E,2,0),"")</f>
        <v>Nov</v>
      </c>
      <c r="E96" s="36" t="str">
        <f>IFERROR(IF(OR(lead[[#This Row],[Year]]="",lead[[#This Row],[Month]]=""),"",lead[[#This Row],[Year]]&amp;lead[[#This Row],[Month]]),"")</f>
        <v>2020Nov</v>
      </c>
      <c r="F96" s="29" t="s">
        <v>28</v>
      </c>
      <c r="G96" s="29" t="s">
        <v>158</v>
      </c>
      <c r="H96" s="30" t="s">
        <v>188</v>
      </c>
      <c r="I96" s="29" t="s">
        <v>31</v>
      </c>
      <c r="J96" s="50" t="s">
        <v>35</v>
      </c>
      <c r="K96" s="28"/>
      <c r="L96" s="36" t="str">
        <f>IFERROR(IF(OR(lead[[#This Row],[Closed Date]]="",lead[[#This Row],[Date Of Lead]]=""),"",lead[[#This Row],[Closed Date]]-lead[[#This Row],[Date Of Lead]]),"")</f>
        <v/>
      </c>
      <c r="M96" s="36" t="str">
        <f>IFERROR(IF(OR(lead[[#This Row],[Closed Date]]="",lead[[#This Row],[Date Of Lead]]=""),"No","Yes"),"")</f>
        <v>No</v>
      </c>
      <c r="N96" s="38"/>
      <c r="O96" s="40">
        <f>IFERROR(SUMIFS('Advertising Spend'!H:H,'Advertising Spend'!G:G,lead[[#This Row],[Platform]],'Advertising Spend'!F:F,lead[[#This Row],[Date Comp]]),"")</f>
        <v>0</v>
      </c>
      <c r="P96" s="40">
        <f>IFERROR(SUMIFS('Advertising Spend'!J:J,'Advertising Spend'!G:G,lead[[#This Row],[Platform]],'Advertising Spend'!F:F,lead[[#This Row],[Date Comp]]),"")</f>
        <v>0</v>
      </c>
      <c r="Q96" s="42">
        <f>IFERROR(SUMIFS('Advertising Spend'!K:K,'Advertising Spend'!G:G,lead[[#This Row],[Platform]],'Advertising Spend'!F:F,lead[[#This Row],[Date Comp]]),"")</f>
        <v>0</v>
      </c>
    </row>
    <row r="97" spans="1:17" ht="30" customHeight="1" x14ac:dyDescent="0.2">
      <c r="A97" s="20" t="str">
        <f t="shared" si="1"/>
        <v/>
      </c>
      <c r="B97" s="28">
        <v>44158</v>
      </c>
      <c r="C97" s="36">
        <f>IFERROR(IF(lead[[#This Row],[Date Of Lead]]="","",YEAR(lead[[#This Row],[Date Of Lead]])),"")</f>
        <v>2020</v>
      </c>
      <c r="D97" s="36" t="str">
        <f>IFERROR(VLOOKUP(IF(lead[[#This Row],[Date Of Lead]]="","",MONTH(lead[[#This Row],[Date Of Lead]])),Sheet3!D:E,2,0),"")</f>
        <v>Nov</v>
      </c>
      <c r="E97" s="36" t="str">
        <f>IFERROR(IF(OR(lead[[#This Row],[Year]]="",lead[[#This Row],[Month]]=""),"",lead[[#This Row],[Year]]&amp;lead[[#This Row],[Month]]),"")</f>
        <v>2020Nov</v>
      </c>
      <c r="F97" s="29" t="s">
        <v>28</v>
      </c>
      <c r="G97" s="29" t="s">
        <v>159</v>
      </c>
      <c r="H97" s="30" t="s">
        <v>188</v>
      </c>
      <c r="I97" s="29" t="s">
        <v>32</v>
      </c>
      <c r="J97" s="50" t="s">
        <v>34</v>
      </c>
      <c r="K97" s="28"/>
      <c r="L97" s="36" t="str">
        <f>IFERROR(IF(OR(lead[[#This Row],[Closed Date]]="",lead[[#This Row],[Date Of Lead]]=""),"",lead[[#This Row],[Closed Date]]-lead[[#This Row],[Date Of Lead]]),"")</f>
        <v/>
      </c>
      <c r="M97" s="36" t="str">
        <f>IFERROR(IF(OR(lead[[#This Row],[Closed Date]]="",lead[[#This Row],[Date Of Lead]]=""),"No","Yes"),"")</f>
        <v>No</v>
      </c>
      <c r="N97" s="38"/>
      <c r="O97" s="40">
        <f>IFERROR(SUMIFS('Advertising Spend'!H:H,'Advertising Spend'!G:G,lead[[#This Row],[Platform]],'Advertising Spend'!F:F,lead[[#This Row],[Date Comp]]),"")</f>
        <v>0</v>
      </c>
      <c r="P97" s="40">
        <f>IFERROR(SUMIFS('Advertising Spend'!J:J,'Advertising Spend'!G:G,lead[[#This Row],[Platform]],'Advertising Spend'!F:F,lead[[#This Row],[Date Comp]]),"")</f>
        <v>0</v>
      </c>
      <c r="Q97" s="42">
        <f>IFERROR(SUMIFS('Advertising Spend'!K:K,'Advertising Spend'!G:G,lead[[#This Row],[Platform]],'Advertising Spend'!F:F,lead[[#This Row],[Date Comp]]),"")</f>
        <v>0</v>
      </c>
    </row>
    <row r="98" spans="1:17" ht="30" customHeight="1" x14ac:dyDescent="0.2">
      <c r="A98" s="20" t="str">
        <f t="shared" si="1"/>
        <v/>
      </c>
      <c r="B98" s="28">
        <v>44226</v>
      </c>
      <c r="C98" s="36">
        <f>IFERROR(IF(lead[[#This Row],[Date Of Lead]]="","",YEAR(lead[[#This Row],[Date Of Lead]])),"")</f>
        <v>2021</v>
      </c>
      <c r="D98" s="36" t="str">
        <f>IFERROR(VLOOKUP(IF(lead[[#This Row],[Date Of Lead]]="","",MONTH(lead[[#This Row],[Date Of Lead]])),Sheet3!D:E,2,0),"")</f>
        <v>Jan</v>
      </c>
      <c r="E98" s="36" t="str">
        <f>IFERROR(IF(OR(lead[[#This Row],[Year]]="",lead[[#This Row],[Month]]=""),"",lead[[#This Row],[Year]]&amp;lead[[#This Row],[Month]]),"")</f>
        <v>2021Jan</v>
      </c>
      <c r="F98" s="29" t="s">
        <v>28</v>
      </c>
      <c r="G98" s="29" t="s">
        <v>160</v>
      </c>
      <c r="H98" s="30" t="s">
        <v>188</v>
      </c>
      <c r="I98" s="29" t="s">
        <v>32</v>
      </c>
      <c r="J98" s="50" t="s">
        <v>34</v>
      </c>
      <c r="K98" s="28"/>
      <c r="L98" s="36" t="str">
        <f>IFERROR(IF(OR(lead[[#This Row],[Closed Date]]="",lead[[#This Row],[Date Of Lead]]=""),"",lead[[#This Row],[Closed Date]]-lead[[#This Row],[Date Of Lead]]),"")</f>
        <v/>
      </c>
      <c r="M98" s="36" t="str">
        <f>IFERROR(IF(OR(lead[[#This Row],[Closed Date]]="",lead[[#This Row],[Date Of Lead]]=""),"No","Yes"),"")</f>
        <v>No</v>
      </c>
      <c r="N98" s="38"/>
      <c r="O98" s="40">
        <f>IFERROR(SUMIFS('Advertising Spend'!H:H,'Advertising Spend'!G:G,lead[[#This Row],[Platform]],'Advertising Spend'!F:F,lead[[#This Row],[Date Comp]]),"")</f>
        <v>500</v>
      </c>
      <c r="P98" s="40">
        <f>IFERROR(SUMIFS('Advertising Spend'!J:J,'Advertising Spend'!G:G,lead[[#This Row],[Platform]],'Advertising Spend'!F:F,lead[[#This Row],[Date Comp]]),"")</f>
        <v>50</v>
      </c>
      <c r="Q98" s="42">
        <f>IFERROR(SUMIFS('Advertising Spend'!K:K,'Advertising Spend'!G:G,lead[[#This Row],[Platform]],'Advertising Spend'!F:F,lead[[#This Row],[Date Comp]]),"")</f>
        <v>0.1</v>
      </c>
    </row>
    <row r="99" spans="1:17" ht="30" customHeight="1" x14ac:dyDescent="0.2">
      <c r="A99" s="20" t="str">
        <f t="shared" si="1"/>
        <v/>
      </c>
      <c r="B99" s="28">
        <v>44256</v>
      </c>
      <c r="C99" s="36">
        <f>IFERROR(IF(lead[[#This Row],[Date Of Lead]]="","",YEAR(lead[[#This Row],[Date Of Lead]])),"")</f>
        <v>2021</v>
      </c>
      <c r="D99" s="36" t="str">
        <f>IFERROR(VLOOKUP(IF(lead[[#This Row],[Date Of Lead]]="","",MONTH(lead[[#This Row],[Date Of Lead]])),Sheet3!D:E,2,0),"")</f>
        <v>Mar</v>
      </c>
      <c r="E99" s="36" t="str">
        <f>IFERROR(IF(OR(lead[[#This Row],[Year]]="",lead[[#This Row],[Month]]=""),"",lead[[#This Row],[Year]]&amp;lead[[#This Row],[Month]]),"")</f>
        <v>2021Mar</v>
      </c>
      <c r="F99" s="29" t="s">
        <v>30</v>
      </c>
      <c r="G99" s="29" t="s">
        <v>161</v>
      </c>
      <c r="H99" s="30" t="s">
        <v>188</v>
      </c>
      <c r="I99" s="29" t="s">
        <v>32</v>
      </c>
      <c r="J99" s="50" t="s">
        <v>36</v>
      </c>
      <c r="K99" s="28"/>
      <c r="L99" s="36" t="str">
        <f>IFERROR(IF(OR(lead[[#This Row],[Closed Date]]="",lead[[#This Row],[Date Of Lead]]=""),"",lead[[#This Row],[Closed Date]]-lead[[#This Row],[Date Of Lead]]),"")</f>
        <v/>
      </c>
      <c r="M99" s="36" t="str">
        <f>IFERROR(IF(OR(lead[[#This Row],[Closed Date]]="",lead[[#This Row],[Date Of Lead]]=""),"No","Yes"),"")</f>
        <v>No</v>
      </c>
      <c r="N99" s="38"/>
      <c r="O99" s="40">
        <f>IFERROR(SUMIFS('Advertising Spend'!H:H,'Advertising Spend'!G:G,lead[[#This Row],[Platform]],'Advertising Spend'!F:F,lead[[#This Row],[Date Comp]]),"")</f>
        <v>0</v>
      </c>
      <c r="P99" s="40">
        <f>IFERROR(SUMIFS('Advertising Spend'!J:J,'Advertising Spend'!G:G,lead[[#This Row],[Platform]],'Advertising Spend'!F:F,lead[[#This Row],[Date Comp]]),"")</f>
        <v>0</v>
      </c>
      <c r="Q99" s="42">
        <f>IFERROR(SUMIFS('Advertising Spend'!K:K,'Advertising Spend'!G:G,lead[[#This Row],[Platform]],'Advertising Spend'!F:F,lead[[#This Row],[Date Comp]]),"")</f>
        <v>0</v>
      </c>
    </row>
    <row r="100" spans="1:17" ht="30" customHeight="1" x14ac:dyDescent="0.2">
      <c r="A100" s="20" t="str">
        <f t="shared" si="1"/>
        <v/>
      </c>
      <c r="B100" s="28">
        <v>44121</v>
      </c>
      <c r="C100" s="36">
        <f>IFERROR(IF(lead[[#This Row],[Date Of Lead]]="","",YEAR(lead[[#This Row],[Date Of Lead]])),"")</f>
        <v>2020</v>
      </c>
      <c r="D100" s="36" t="str">
        <f>IFERROR(VLOOKUP(IF(lead[[#This Row],[Date Of Lead]]="","",MONTH(lead[[#This Row],[Date Of Lead]])),Sheet3!D:E,2,0),"")</f>
        <v>Oct</v>
      </c>
      <c r="E100" s="36" t="str">
        <f>IFERROR(IF(OR(lead[[#This Row],[Year]]="",lead[[#This Row],[Month]]=""),"",lead[[#This Row],[Year]]&amp;lead[[#This Row],[Month]]),"")</f>
        <v>2020Oct</v>
      </c>
      <c r="F100" s="29" t="s">
        <v>30</v>
      </c>
      <c r="G100" s="29" t="s">
        <v>162</v>
      </c>
      <c r="H100" s="30" t="s">
        <v>188</v>
      </c>
      <c r="I100" s="29" t="s">
        <v>32</v>
      </c>
      <c r="J100" s="50" t="s">
        <v>34</v>
      </c>
      <c r="K100" s="28"/>
      <c r="L100" s="36" t="str">
        <f>IFERROR(IF(OR(lead[[#This Row],[Closed Date]]="",lead[[#This Row],[Date Of Lead]]=""),"",lead[[#This Row],[Closed Date]]-lead[[#This Row],[Date Of Lead]]),"")</f>
        <v/>
      </c>
      <c r="M100" s="36" t="str">
        <f>IFERROR(IF(OR(lead[[#This Row],[Closed Date]]="",lead[[#This Row],[Date Of Lead]]=""),"No","Yes"),"")</f>
        <v>No</v>
      </c>
      <c r="N100" s="38"/>
      <c r="O100" s="40">
        <f>IFERROR(SUMIFS('Advertising Spend'!H:H,'Advertising Spend'!G:G,lead[[#This Row],[Platform]],'Advertising Spend'!F:F,lead[[#This Row],[Date Comp]]),"")</f>
        <v>0</v>
      </c>
      <c r="P100" s="40">
        <f>IFERROR(SUMIFS('Advertising Spend'!J:J,'Advertising Spend'!G:G,lead[[#This Row],[Platform]],'Advertising Spend'!F:F,lead[[#This Row],[Date Comp]]),"")</f>
        <v>0</v>
      </c>
      <c r="Q100" s="42">
        <f>IFERROR(SUMIFS('Advertising Spend'!K:K,'Advertising Spend'!G:G,lead[[#This Row],[Platform]],'Advertising Spend'!F:F,lead[[#This Row],[Date Comp]]),"")</f>
        <v>0</v>
      </c>
    </row>
    <row r="101" spans="1:17" ht="30" customHeight="1" x14ac:dyDescent="0.2">
      <c r="A101" s="20" t="str">
        <f t="shared" si="1"/>
        <v/>
      </c>
      <c r="B101" s="28">
        <v>44188</v>
      </c>
      <c r="C101" s="36">
        <f>IFERROR(IF(lead[[#This Row],[Date Of Lead]]="","",YEAR(lead[[#This Row],[Date Of Lead]])),"")</f>
        <v>2020</v>
      </c>
      <c r="D101" s="36" t="str">
        <f>IFERROR(VLOOKUP(IF(lead[[#This Row],[Date Of Lead]]="","",MONTH(lead[[#This Row],[Date Of Lead]])),Sheet3!D:E,2,0),"")</f>
        <v>Dec</v>
      </c>
      <c r="E101" s="36" t="str">
        <f>IFERROR(IF(OR(lead[[#This Row],[Year]]="",lead[[#This Row],[Month]]=""),"",lead[[#This Row],[Year]]&amp;lead[[#This Row],[Month]]),"")</f>
        <v>2020Dec</v>
      </c>
      <c r="F101" s="29" t="s">
        <v>74</v>
      </c>
      <c r="G101" s="29" t="s">
        <v>163</v>
      </c>
      <c r="H101" s="30" t="s">
        <v>188</v>
      </c>
      <c r="I101" s="29" t="s">
        <v>32</v>
      </c>
      <c r="J101" s="50" t="s">
        <v>36</v>
      </c>
      <c r="K101" s="28"/>
      <c r="L101" s="36" t="str">
        <f>IFERROR(IF(OR(lead[[#This Row],[Closed Date]]="",lead[[#This Row],[Date Of Lead]]=""),"",lead[[#This Row],[Closed Date]]-lead[[#This Row],[Date Of Lead]]),"")</f>
        <v/>
      </c>
      <c r="M101" s="36" t="str">
        <f>IFERROR(IF(OR(lead[[#This Row],[Closed Date]]="",lead[[#This Row],[Date Of Lead]]=""),"No","Yes"),"")</f>
        <v>No</v>
      </c>
      <c r="N101" s="38"/>
      <c r="O101" s="40">
        <f>IFERROR(SUMIFS('Advertising Spend'!H:H,'Advertising Spend'!G:G,lead[[#This Row],[Platform]],'Advertising Spend'!F:F,lead[[#This Row],[Date Comp]]),"")</f>
        <v>0</v>
      </c>
      <c r="P101" s="40">
        <f>IFERROR(SUMIFS('Advertising Spend'!J:J,'Advertising Spend'!G:G,lead[[#This Row],[Platform]],'Advertising Spend'!F:F,lead[[#This Row],[Date Comp]]),"")</f>
        <v>0</v>
      </c>
      <c r="Q101" s="42">
        <f>IFERROR(SUMIFS('Advertising Spend'!K:K,'Advertising Spend'!G:G,lead[[#This Row],[Platform]],'Advertising Spend'!F:F,lead[[#This Row],[Date Comp]]),"")</f>
        <v>0</v>
      </c>
    </row>
    <row r="102" spans="1:17" ht="30" customHeight="1" x14ac:dyDescent="0.2">
      <c r="A102" s="20" t="str">
        <f t="shared" si="1"/>
        <v/>
      </c>
      <c r="B102" s="28">
        <v>44242</v>
      </c>
      <c r="C102" s="36">
        <f>IFERROR(IF(lead[[#This Row],[Date Of Lead]]="","",YEAR(lead[[#This Row],[Date Of Lead]])),"")</f>
        <v>2021</v>
      </c>
      <c r="D102" s="36" t="str">
        <f>IFERROR(VLOOKUP(IF(lead[[#This Row],[Date Of Lead]]="","",MONTH(lead[[#This Row],[Date Of Lead]])),Sheet3!D:E,2,0),"")</f>
        <v>Feb</v>
      </c>
      <c r="E102" s="36" t="str">
        <f>IFERROR(IF(OR(lead[[#This Row],[Year]]="",lead[[#This Row],[Month]]=""),"",lead[[#This Row],[Year]]&amp;lead[[#This Row],[Month]]),"")</f>
        <v>2021Feb</v>
      </c>
      <c r="F102" s="29" t="s">
        <v>29</v>
      </c>
      <c r="G102" s="29" t="s">
        <v>164</v>
      </c>
      <c r="H102" s="30" t="s">
        <v>188</v>
      </c>
      <c r="I102" s="29" t="s">
        <v>31</v>
      </c>
      <c r="J102" s="50" t="s">
        <v>35</v>
      </c>
      <c r="K102" s="28"/>
      <c r="L102" s="36" t="str">
        <f>IFERROR(IF(OR(lead[[#This Row],[Closed Date]]="",lead[[#This Row],[Date Of Lead]]=""),"",lead[[#This Row],[Closed Date]]-lead[[#This Row],[Date Of Lead]]),"")</f>
        <v/>
      </c>
      <c r="M102" s="36" t="str">
        <f>IFERROR(IF(OR(lead[[#This Row],[Closed Date]]="",lead[[#This Row],[Date Of Lead]]=""),"No","Yes"),"")</f>
        <v>No</v>
      </c>
      <c r="N102" s="38"/>
      <c r="O102" s="40">
        <f>IFERROR(SUMIFS('Advertising Spend'!H:H,'Advertising Spend'!G:G,lead[[#This Row],[Platform]],'Advertising Spend'!F:F,lead[[#This Row],[Date Comp]]),"")</f>
        <v>0</v>
      </c>
      <c r="P102" s="40">
        <f>IFERROR(SUMIFS('Advertising Spend'!J:J,'Advertising Spend'!G:G,lead[[#This Row],[Platform]],'Advertising Spend'!F:F,lead[[#This Row],[Date Comp]]),"")</f>
        <v>0</v>
      </c>
      <c r="Q102" s="42">
        <f>IFERROR(SUMIFS('Advertising Spend'!K:K,'Advertising Spend'!G:G,lead[[#This Row],[Platform]],'Advertising Spend'!F:F,lead[[#This Row],[Date Comp]]),"")</f>
        <v>0</v>
      </c>
    </row>
    <row r="103" spans="1:17" ht="30" customHeight="1" x14ac:dyDescent="0.2">
      <c r="A103" s="20" t="str">
        <f t="shared" si="1"/>
        <v/>
      </c>
      <c r="B103" s="28">
        <v>44113</v>
      </c>
      <c r="C103" s="36">
        <f>IFERROR(IF(lead[[#This Row],[Date Of Lead]]="","",YEAR(lead[[#This Row],[Date Of Lead]])),"")</f>
        <v>2020</v>
      </c>
      <c r="D103" s="36" t="str">
        <f>IFERROR(VLOOKUP(IF(lead[[#This Row],[Date Of Lead]]="","",MONTH(lead[[#This Row],[Date Of Lead]])),Sheet3!D:E,2,0),"")</f>
        <v>Oct</v>
      </c>
      <c r="E103" s="36" t="str">
        <f>IFERROR(IF(OR(lead[[#This Row],[Year]]="",lead[[#This Row],[Month]]=""),"",lead[[#This Row],[Year]]&amp;lead[[#This Row],[Month]]),"")</f>
        <v>2020Oct</v>
      </c>
      <c r="F103" s="29" t="s">
        <v>74</v>
      </c>
      <c r="G103" s="29" t="s">
        <v>165</v>
      </c>
      <c r="H103" s="30" t="s">
        <v>188</v>
      </c>
      <c r="I103" s="29" t="s">
        <v>32</v>
      </c>
      <c r="J103" s="50" t="s">
        <v>35</v>
      </c>
      <c r="K103" s="28"/>
      <c r="L103" s="36" t="str">
        <f>IFERROR(IF(OR(lead[[#This Row],[Closed Date]]="",lead[[#This Row],[Date Of Lead]]=""),"",lead[[#This Row],[Closed Date]]-lead[[#This Row],[Date Of Lead]]),"")</f>
        <v/>
      </c>
      <c r="M103" s="36" t="str">
        <f>IFERROR(IF(OR(lead[[#This Row],[Closed Date]]="",lead[[#This Row],[Date Of Lead]]=""),"No","Yes"),"")</f>
        <v>No</v>
      </c>
      <c r="N103" s="38"/>
      <c r="O103" s="40">
        <f>IFERROR(SUMIFS('Advertising Spend'!H:H,'Advertising Spend'!G:G,lead[[#This Row],[Platform]],'Advertising Spend'!F:F,lead[[#This Row],[Date Comp]]),"")</f>
        <v>0</v>
      </c>
      <c r="P103" s="40">
        <f>IFERROR(SUMIFS('Advertising Spend'!J:J,'Advertising Spend'!G:G,lead[[#This Row],[Platform]],'Advertising Spend'!F:F,lead[[#This Row],[Date Comp]]),"")</f>
        <v>0</v>
      </c>
      <c r="Q103" s="42">
        <f>IFERROR(SUMIFS('Advertising Spend'!K:K,'Advertising Spend'!G:G,lead[[#This Row],[Platform]],'Advertising Spend'!F:F,lead[[#This Row],[Date Comp]]),"")</f>
        <v>0</v>
      </c>
    </row>
    <row r="104" spans="1:17" ht="30" customHeight="1" x14ac:dyDescent="0.2">
      <c r="A104" s="20" t="str">
        <f t="shared" si="1"/>
        <v/>
      </c>
      <c r="B104" s="28">
        <v>44188</v>
      </c>
      <c r="C104" s="36">
        <f>IFERROR(IF(lead[[#This Row],[Date Of Lead]]="","",YEAR(lead[[#This Row],[Date Of Lead]])),"")</f>
        <v>2020</v>
      </c>
      <c r="D104" s="36" t="str">
        <f>IFERROR(VLOOKUP(IF(lead[[#This Row],[Date Of Lead]]="","",MONTH(lead[[#This Row],[Date Of Lead]])),Sheet3!D:E,2,0),"")</f>
        <v>Dec</v>
      </c>
      <c r="E104" s="36" t="str">
        <f>IFERROR(IF(OR(lead[[#This Row],[Year]]="",lead[[#This Row],[Month]]=""),"",lead[[#This Row],[Year]]&amp;lead[[#This Row],[Month]]),"")</f>
        <v>2020Dec</v>
      </c>
      <c r="F104" s="29" t="s">
        <v>30</v>
      </c>
      <c r="G104" s="29" t="s">
        <v>166</v>
      </c>
      <c r="H104" s="30" t="s">
        <v>188</v>
      </c>
      <c r="I104" s="29" t="s">
        <v>33</v>
      </c>
      <c r="J104" s="50" t="s">
        <v>34</v>
      </c>
      <c r="K104" s="28"/>
      <c r="L104" s="36" t="str">
        <f>IFERROR(IF(OR(lead[[#This Row],[Closed Date]]="",lead[[#This Row],[Date Of Lead]]=""),"",lead[[#This Row],[Closed Date]]-lead[[#This Row],[Date Of Lead]]),"")</f>
        <v/>
      </c>
      <c r="M104" s="36" t="str">
        <f>IFERROR(IF(OR(lead[[#This Row],[Closed Date]]="",lead[[#This Row],[Date Of Lead]]=""),"No","Yes"),"")</f>
        <v>No</v>
      </c>
      <c r="N104" s="38"/>
      <c r="O104" s="40">
        <f>IFERROR(SUMIFS('Advertising Spend'!H:H,'Advertising Spend'!G:G,lead[[#This Row],[Platform]],'Advertising Spend'!F:F,lead[[#This Row],[Date Comp]]),"")</f>
        <v>0</v>
      </c>
      <c r="P104" s="40">
        <f>IFERROR(SUMIFS('Advertising Spend'!J:J,'Advertising Spend'!G:G,lead[[#This Row],[Platform]],'Advertising Spend'!F:F,lead[[#This Row],[Date Comp]]),"")</f>
        <v>0</v>
      </c>
      <c r="Q104" s="42">
        <f>IFERROR(SUMIFS('Advertising Spend'!K:K,'Advertising Spend'!G:G,lead[[#This Row],[Platform]],'Advertising Spend'!F:F,lead[[#This Row],[Date Comp]]),"")</f>
        <v>0</v>
      </c>
    </row>
    <row r="105" spans="1:17" ht="30" customHeight="1" x14ac:dyDescent="0.2">
      <c r="A105" s="20" t="str">
        <f t="shared" si="1"/>
        <v/>
      </c>
      <c r="B105" s="28">
        <v>44195</v>
      </c>
      <c r="C105" s="36">
        <f>IFERROR(IF(lead[[#This Row],[Date Of Lead]]="","",YEAR(lead[[#This Row],[Date Of Lead]])),"")</f>
        <v>2020</v>
      </c>
      <c r="D105" s="36" t="str">
        <f>IFERROR(VLOOKUP(IF(lead[[#This Row],[Date Of Lead]]="","",MONTH(lead[[#This Row],[Date Of Lead]])),Sheet3!D:E,2,0),"")</f>
        <v>Dec</v>
      </c>
      <c r="E105" s="36" t="str">
        <f>IFERROR(IF(OR(lead[[#This Row],[Year]]="",lead[[#This Row],[Month]]=""),"",lead[[#This Row],[Year]]&amp;lead[[#This Row],[Month]]),"")</f>
        <v>2020Dec</v>
      </c>
      <c r="F105" s="29" t="s">
        <v>30</v>
      </c>
      <c r="G105" s="29" t="s">
        <v>167</v>
      </c>
      <c r="H105" s="30" t="s">
        <v>188</v>
      </c>
      <c r="I105" s="29" t="s">
        <v>31</v>
      </c>
      <c r="J105" s="50" t="s">
        <v>34</v>
      </c>
      <c r="K105" s="28"/>
      <c r="L105" s="36" t="str">
        <f>IFERROR(IF(OR(lead[[#This Row],[Closed Date]]="",lead[[#This Row],[Date Of Lead]]=""),"",lead[[#This Row],[Closed Date]]-lead[[#This Row],[Date Of Lead]]),"")</f>
        <v/>
      </c>
      <c r="M105" s="36" t="str">
        <f>IFERROR(IF(OR(lead[[#This Row],[Closed Date]]="",lead[[#This Row],[Date Of Lead]]=""),"No","Yes"),"")</f>
        <v>No</v>
      </c>
      <c r="N105" s="38"/>
      <c r="O105" s="40">
        <f>IFERROR(SUMIFS('Advertising Spend'!H:H,'Advertising Spend'!G:G,lead[[#This Row],[Platform]],'Advertising Spend'!F:F,lead[[#This Row],[Date Comp]]),"")</f>
        <v>0</v>
      </c>
      <c r="P105" s="40">
        <f>IFERROR(SUMIFS('Advertising Spend'!J:J,'Advertising Spend'!G:G,lead[[#This Row],[Platform]],'Advertising Spend'!F:F,lead[[#This Row],[Date Comp]]),"")</f>
        <v>0</v>
      </c>
      <c r="Q105" s="42">
        <f>IFERROR(SUMIFS('Advertising Spend'!K:K,'Advertising Spend'!G:G,lead[[#This Row],[Platform]],'Advertising Spend'!F:F,lead[[#This Row],[Date Comp]]),"")</f>
        <v>0</v>
      </c>
    </row>
    <row r="106" spans="1:17" ht="30" customHeight="1" x14ac:dyDescent="0.2">
      <c r="A106" s="20" t="str">
        <f t="shared" si="1"/>
        <v/>
      </c>
      <c r="B106" s="28">
        <v>44143</v>
      </c>
      <c r="C106" s="36">
        <f>IFERROR(IF(lead[[#This Row],[Date Of Lead]]="","",YEAR(lead[[#This Row],[Date Of Lead]])),"")</f>
        <v>2020</v>
      </c>
      <c r="D106" s="36" t="str">
        <f>IFERROR(VLOOKUP(IF(lead[[#This Row],[Date Of Lead]]="","",MONTH(lead[[#This Row],[Date Of Lead]])),Sheet3!D:E,2,0),"")</f>
        <v>Nov</v>
      </c>
      <c r="E106" s="36" t="str">
        <f>IFERROR(IF(OR(lead[[#This Row],[Year]]="",lead[[#This Row],[Month]]=""),"",lead[[#This Row],[Year]]&amp;lead[[#This Row],[Month]]),"")</f>
        <v>2020Nov</v>
      </c>
      <c r="F106" s="29" t="s">
        <v>30</v>
      </c>
      <c r="G106" s="29" t="s">
        <v>168</v>
      </c>
      <c r="H106" s="30" t="s">
        <v>188</v>
      </c>
      <c r="I106" s="29" t="s">
        <v>31</v>
      </c>
      <c r="J106" s="50" t="s">
        <v>37</v>
      </c>
      <c r="K106" s="28">
        <v>44160</v>
      </c>
      <c r="L106" s="36">
        <f>IFERROR(IF(OR(lead[[#This Row],[Closed Date]]="",lead[[#This Row],[Date Of Lead]]=""),"",lead[[#This Row],[Closed Date]]-lead[[#This Row],[Date Of Lead]]),"")</f>
        <v>17</v>
      </c>
      <c r="M106" s="36" t="str">
        <f>IFERROR(IF(OR(lead[[#This Row],[Closed Date]]="",lead[[#This Row],[Date Of Lead]]=""),"No","Yes"),"")</f>
        <v>Yes</v>
      </c>
      <c r="N106" s="38">
        <v>240</v>
      </c>
      <c r="O106" s="40">
        <f>IFERROR(SUMIFS('Advertising Spend'!H:H,'Advertising Spend'!G:G,lead[[#This Row],[Platform]],'Advertising Spend'!F:F,lead[[#This Row],[Date Comp]]),"")</f>
        <v>350</v>
      </c>
      <c r="P106" s="40">
        <f>IFERROR(SUMIFS('Advertising Spend'!J:J,'Advertising Spend'!G:G,lead[[#This Row],[Platform]],'Advertising Spend'!F:F,lead[[#This Row],[Date Comp]]),"")</f>
        <v>-110</v>
      </c>
      <c r="Q106" s="42">
        <f>IFERROR(SUMIFS('Advertising Spend'!K:K,'Advertising Spend'!G:G,lead[[#This Row],[Platform]],'Advertising Spend'!F:F,lead[[#This Row],[Date Comp]]),"")</f>
        <v>-0.31428571428571428</v>
      </c>
    </row>
    <row r="107" spans="1:17" ht="30" customHeight="1" x14ac:dyDescent="0.2">
      <c r="A107" s="20" t="str">
        <f t="shared" si="1"/>
        <v/>
      </c>
      <c r="B107" s="28">
        <v>44187</v>
      </c>
      <c r="C107" s="36">
        <f>IFERROR(IF(lead[[#This Row],[Date Of Lead]]="","",YEAR(lead[[#This Row],[Date Of Lead]])),"")</f>
        <v>2020</v>
      </c>
      <c r="D107" s="36" t="str">
        <f>IFERROR(VLOOKUP(IF(lead[[#This Row],[Date Of Lead]]="","",MONTH(lead[[#This Row],[Date Of Lead]])),Sheet3!D:E,2,0),"")</f>
        <v>Dec</v>
      </c>
      <c r="E107" s="36" t="str">
        <f>IFERROR(IF(OR(lead[[#This Row],[Year]]="",lead[[#This Row],[Month]]=""),"",lead[[#This Row],[Year]]&amp;lead[[#This Row],[Month]]),"")</f>
        <v>2020Dec</v>
      </c>
      <c r="F107" s="29" t="s">
        <v>29</v>
      </c>
      <c r="G107" s="29" t="s">
        <v>169</v>
      </c>
      <c r="H107" s="30" t="s">
        <v>188</v>
      </c>
      <c r="I107" s="29" t="s">
        <v>32</v>
      </c>
      <c r="J107" s="50" t="s">
        <v>36</v>
      </c>
      <c r="K107" s="28"/>
      <c r="L107" s="36" t="str">
        <f>IFERROR(IF(OR(lead[[#This Row],[Closed Date]]="",lead[[#This Row],[Date Of Lead]]=""),"",lead[[#This Row],[Closed Date]]-lead[[#This Row],[Date Of Lead]]),"")</f>
        <v/>
      </c>
      <c r="M107" s="36" t="str">
        <f>IFERROR(IF(OR(lead[[#This Row],[Closed Date]]="",lead[[#This Row],[Date Of Lead]]=""),"No","Yes"),"")</f>
        <v>No</v>
      </c>
      <c r="N107" s="38"/>
      <c r="O107" s="40">
        <f>IFERROR(SUMIFS('Advertising Spend'!H:H,'Advertising Spend'!G:G,lead[[#This Row],[Platform]],'Advertising Spend'!F:F,lead[[#This Row],[Date Comp]]),"")</f>
        <v>0</v>
      </c>
      <c r="P107" s="40">
        <f>IFERROR(SUMIFS('Advertising Spend'!J:J,'Advertising Spend'!G:G,lead[[#This Row],[Platform]],'Advertising Spend'!F:F,lead[[#This Row],[Date Comp]]),"")</f>
        <v>0</v>
      </c>
      <c r="Q107" s="42">
        <f>IFERROR(SUMIFS('Advertising Spend'!K:K,'Advertising Spend'!G:G,lead[[#This Row],[Platform]],'Advertising Spend'!F:F,lead[[#This Row],[Date Comp]]),"")</f>
        <v>0</v>
      </c>
    </row>
    <row r="108" spans="1:17" ht="30" customHeight="1" x14ac:dyDescent="0.2">
      <c r="A108" s="20" t="str">
        <f t="shared" si="1"/>
        <v/>
      </c>
      <c r="B108" s="28">
        <v>44150</v>
      </c>
      <c r="C108" s="36">
        <f>IFERROR(IF(lead[[#This Row],[Date Of Lead]]="","",YEAR(lead[[#This Row],[Date Of Lead]])),"")</f>
        <v>2020</v>
      </c>
      <c r="D108" s="36" t="str">
        <f>IFERROR(VLOOKUP(IF(lead[[#This Row],[Date Of Lead]]="","",MONTH(lead[[#This Row],[Date Of Lead]])),Sheet3!D:E,2,0),"")</f>
        <v>Nov</v>
      </c>
      <c r="E108" s="36" t="str">
        <f>IFERROR(IF(OR(lead[[#This Row],[Year]]="",lead[[#This Row],[Month]]=""),"",lead[[#This Row],[Year]]&amp;lead[[#This Row],[Month]]),"")</f>
        <v>2020Nov</v>
      </c>
      <c r="F108" s="29" t="s">
        <v>30</v>
      </c>
      <c r="G108" s="29" t="s">
        <v>170</v>
      </c>
      <c r="H108" s="30" t="s">
        <v>188</v>
      </c>
      <c r="I108" s="29" t="s">
        <v>31</v>
      </c>
      <c r="J108" s="50" t="s">
        <v>34</v>
      </c>
      <c r="K108" s="28"/>
      <c r="L108" s="36" t="str">
        <f>IFERROR(IF(OR(lead[[#This Row],[Closed Date]]="",lead[[#This Row],[Date Of Lead]]=""),"",lead[[#This Row],[Closed Date]]-lead[[#This Row],[Date Of Lead]]),"")</f>
        <v/>
      </c>
      <c r="M108" s="36" t="str">
        <f>IFERROR(IF(OR(lead[[#This Row],[Closed Date]]="",lead[[#This Row],[Date Of Lead]]=""),"No","Yes"),"")</f>
        <v>No</v>
      </c>
      <c r="N108" s="38"/>
      <c r="O108" s="40">
        <f>IFERROR(SUMIFS('Advertising Spend'!H:H,'Advertising Spend'!G:G,lead[[#This Row],[Platform]],'Advertising Spend'!F:F,lead[[#This Row],[Date Comp]]),"")</f>
        <v>350</v>
      </c>
      <c r="P108" s="40">
        <f>IFERROR(SUMIFS('Advertising Spend'!J:J,'Advertising Spend'!G:G,lead[[#This Row],[Platform]],'Advertising Spend'!F:F,lead[[#This Row],[Date Comp]]),"")</f>
        <v>-110</v>
      </c>
      <c r="Q108" s="42">
        <f>IFERROR(SUMIFS('Advertising Spend'!K:K,'Advertising Spend'!G:G,lead[[#This Row],[Platform]],'Advertising Spend'!F:F,lead[[#This Row],[Date Comp]]),"")</f>
        <v>-0.31428571428571428</v>
      </c>
    </row>
    <row r="109" spans="1:17" ht="30" customHeight="1" x14ac:dyDescent="0.2">
      <c r="A109" s="20" t="str">
        <f t="shared" si="1"/>
        <v/>
      </c>
      <c r="B109" s="28">
        <v>44135</v>
      </c>
      <c r="C109" s="36">
        <f>IFERROR(IF(lead[[#This Row],[Date Of Lead]]="","",YEAR(lead[[#This Row],[Date Of Lead]])),"")</f>
        <v>2020</v>
      </c>
      <c r="D109" s="36" t="str">
        <f>IFERROR(VLOOKUP(IF(lead[[#This Row],[Date Of Lead]]="","",MONTH(lead[[#This Row],[Date Of Lead]])),Sheet3!D:E,2,0),"")</f>
        <v>Oct</v>
      </c>
      <c r="E109" s="36" t="str">
        <f>IFERROR(IF(OR(lead[[#This Row],[Year]]="",lead[[#This Row],[Month]]=""),"",lead[[#This Row],[Year]]&amp;lead[[#This Row],[Month]]),"")</f>
        <v>2020Oct</v>
      </c>
      <c r="F109" s="29" t="s">
        <v>27</v>
      </c>
      <c r="G109" s="29" t="s">
        <v>171</v>
      </c>
      <c r="H109" s="30" t="s">
        <v>188</v>
      </c>
      <c r="I109" s="29" t="s">
        <v>33</v>
      </c>
      <c r="J109" s="50" t="s">
        <v>35</v>
      </c>
      <c r="K109" s="28"/>
      <c r="L109" s="36" t="str">
        <f>IFERROR(IF(OR(lead[[#This Row],[Closed Date]]="",lead[[#This Row],[Date Of Lead]]=""),"",lead[[#This Row],[Closed Date]]-lead[[#This Row],[Date Of Lead]]),"")</f>
        <v/>
      </c>
      <c r="M109" s="36" t="str">
        <f>IFERROR(IF(OR(lead[[#This Row],[Closed Date]]="",lead[[#This Row],[Date Of Lead]]=""),"No","Yes"),"")</f>
        <v>No</v>
      </c>
      <c r="N109" s="38"/>
      <c r="O109" s="40">
        <f>IFERROR(SUMIFS('Advertising Spend'!H:H,'Advertising Spend'!G:G,lead[[#This Row],[Platform]],'Advertising Spend'!F:F,lead[[#This Row],[Date Comp]]),"")</f>
        <v>500</v>
      </c>
      <c r="P109" s="40">
        <f>IFERROR(SUMIFS('Advertising Spend'!J:J,'Advertising Spend'!G:G,lead[[#This Row],[Platform]],'Advertising Spend'!F:F,lead[[#This Row],[Date Comp]]),"")</f>
        <v>50</v>
      </c>
      <c r="Q109" s="42">
        <f>IFERROR(SUMIFS('Advertising Spend'!K:K,'Advertising Spend'!G:G,lead[[#This Row],[Platform]],'Advertising Spend'!F:F,lead[[#This Row],[Date Comp]]),"")</f>
        <v>0.1</v>
      </c>
    </row>
    <row r="110" spans="1:17" ht="30" customHeight="1" x14ac:dyDescent="0.2">
      <c r="A110" s="20" t="str">
        <f t="shared" si="1"/>
        <v/>
      </c>
      <c r="B110" s="28">
        <v>44231</v>
      </c>
      <c r="C110" s="36">
        <f>IFERROR(IF(lead[[#This Row],[Date Of Lead]]="","",YEAR(lead[[#This Row],[Date Of Lead]])),"")</f>
        <v>2021</v>
      </c>
      <c r="D110" s="36" t="str">
        <f>IFERROR(VLOOKUP(IF(lead[[#This Row],[Date Of Lead]]="","",MONTH(lead[[#This Row],[Date Of Lead]])),Sheet3!D:E,2,0),"")</f>
        <v>Feb</v>
      </c>
      <c r="E110" s="36" t="str">
        <f>IFERROR(IF(OR(lead[[#This Row],[Year]]="",lead[[#This Row],[Month]]=""),"",lead[[#This Row],[Year]]&amp;lead[[#This Row],[Month]]),"")</f>
        <v>2021Feb</v>
      </c>
      <c r="F110" s="29" t="s">
        <v>27</v>
      </c>
      <c r="G110" s="29" t="s">
        <v>172</v>
      </c>
      <c r="H110" s="30" t="s">
        <v>188</v>
      </c>
      <c r="I110" s="29" t="s">
        <v>31</v>
      </c>
      <c r="J110" s="50" t="s">
        <v>36</v>
      </c>
      <c r="K110" s="28"/>
      <c r="L110" s="36" t="str">
        <f>IFERROR(IF(OR(lead[[#This Row],[Closed Date]]="",lead[[#This Row],[Date Of Lead]]=""),"",lead[[#This Row],[Closed Date]]-lead[[#This Row],[Date Of Lead]]),"")</f>
        <v/>
      </c>
      <c r="M110" s="36" t="str">
        <f>IFERROR(IF(OR(lead[[#This Row],[Closed Date]]="",lead[[#This Row],[Date Of Lead]]=""),"No","Yes"),"")</f>
        <v>No</v>
      </c>
      <c r="N110" s="38"/>
      <c r="O110" s="40">
        <f>IFERROR(SUMIFS('Advertising Spend'!H:H,'Advertising Spend'!G:G,lead[[#This Row],[Platform]],'Advertising Spend'!F:F,lead[[#This Row],[Date Comp]]),"")</f>
        <v>0</v>
      </c>
      <c r="P110" s="40">
        <f>IFERROR(SUMIFS('Advertising Spend'!J:J,'Advertising Spend'!G:G,lead[[#This Row],[Platform]],'Advertising Spend'!F:F,lead[[#This Row],[Date Comp]]),"")</f>
        <v>0</v>
      </c>
      <c r="Q110" s="42">
        <f>IFERROR(SUMIFS('Advertising Spend'!K:K,'Advertising Spend'!G:G,lead[[#This Row],[Platform]],'Advertising Spend'!F:F,lead[[#This Row],[Date Comp]]),"")</f>
        <v>0</v>
      </c>
    </row>
    <row r="111" spans="1:17" ht="30" customHeight="1" x14ac:dyDescent="0.2">
      <c r="A111" s="20" t="str">
        <f t="shared" si="1"/>
        <v/>
      </c>
      <c r="B111" s="28">
        <v>44231</v>
      </c>
      <c r="C111" s="36">
        <f>IFERROR(IF(lead[[#This Row],[Date Of Lead]]="","",YEAR(lead[[#This Row],[Date Of Lead]])),"")</f>
        <v>2021</v>
      </c>
      <c r="D111" s="36" t="str">
        <f>IFERROR(VLOOKUP(IF(lead[[#This Row],[Date Of Lead]]="","",MONTH(lead[[#This Row],[Date Of Lead]])),Sheet3!D:E,2,0),"")</f>
        <v>Feb</v>
      </c>
      <c r="E111" s="36" t="str">
        <f>IFERROR(IF(OR(lead[[#This Row],[Year]]="",lead[[#This Row],[Month]]=""),"",lead[[#This Row],[Year]]&amp;lead[[#This Row],[Month]]),"")</f>
        <v>2021Feb</v>
      </c>
      <c r="F111" s="29" t="s">
        <v>74</v>
      </c>
      <c r="G111" s="29" t="s">
        <v>173</v>
      </c>
      <c r="H111" s="30" t="s">
        <v>188</v>
      </c>
      <c r="I111" s="29" t="s">
        <v>32</v>
      </c>
      <c r="J111" s="50" t="s">
        <v>34</v>
      </c>
      <c r="K111" s="28"/>
      <c r="L111" s="36" t="str">
        <f>IFERROR(IF(OR(lead[[#This Row],[Closed Date]]="",lead[[#This Row],[Date Of Lead]]=""),"",lead[[#This Row],[Closed Date]]-lead[[#This Row],[Date Of Lead]]),"")</f>
        <v/>
      </c>
      <c r="M111" s="36" t="str">
        <f>IFERROR(IF(OR(lead[[#This Row],[Closed Date]]="",lead[[#This Row],[Date Of Lead]]=""),"No","Yes"),"")</f>
        <v>No</v>
      </c>
      <c r="N111" s="38"/>
      <c r="O111" s="40">
        <f>IFERROR(SUMIFS('Advertising Spend'!H:H,'Advertising Spend'!G:G,lead[[#This Row],[Platform]],'Advertising Spend'!F:F,lead[[#This Row],[Date Comp]]),"")</f>
        <v>0</v>
      </c>
      <c r="P111" s="40">
        <f>IFERROR(SUMIFS('Advertising Spend'!J:J,'Advertising Spend'!G:G,lead[[#This Row],[Platform]],'Advertising Spend'!F:F,lead[[#This Row],[Date Comp]]),"")</f>
        <v>0</v>
      </c>
      <c r="Q111" s="42">
        <f>IFERROR(SUMIFS('Advertising Spend'!K:K,'Advertising Spend'!G:G,lead[[#This Row],[Platform]],'Advertising Spend'!F:F,lead[[#This Row],[Date Comp]]),"")</f>
        <v>0</v>
      </c>
    </row>
    <row r="112" spans="1:17" ht="30" customHeight="1" x14ac:dyDescent="0.2">
      <c r="A112" s="20" t="str">
        <f t="shared" si="1"/>
        <v/>
      </c>
      <c r="B112" s="28">
        <v>44244</v>
      </c>
      <c r="C112" s="36">
        <f>IFERROR(IF(lead[[#This Row],[Date Of Lead]]="","",YEAR(lead[[#This Row],[Date Of Lead]])),"")</f>
        <v>2021</v>
      </c>
      <c r="D112" s="36" t="str">
        <f>IFERROR(VLOOKUP(IF(lead[[#This Row],[Date Of Lead]]="","",MONTH(lead[[#This Row],[Date Of Lead]])),Sheet3!D:E,2,0),"")</f>
        <v>Feb</v>
      </c>
      <c r="E112" s="36" t="str">
        <f>IFERROR(IF(OR(lead[[#This Row],[Year]]="",lead[[#This Row],[Month]]=""),"",lead[[#This Row],[Year]]&amp;lead[[#This Row],[Month]]),"")</f>
        <v>2021Feb</v>
      </c>
      <c r="F112" s="29" t="s">
        <v>30</v>
      </c>
      <c r="G112" s="29" t="s">
        <v>174</v>
      </c>
      <c r="H112" s="30" t="s">
        <v>188</v>
      </c>
      <c r="I112" s="29" t="s">
        <v>32</v>
      </c>
      <c r="J112" s="50" t="s">
        <v>34</v>
      </c>
      <c r="K112" s="28"/>
      <c r="L112" s="36" t="str">
        <f>IFERROR(IF(OR(lead[[#This Row],[Closed Date]]="",lead[[#This Row],[Date Of Lead]]=""),"",lead[[#This Row],[Closed Date]]-lead[[#This Row],[Date Of Lead]]),"")</f>
        <v/>
      </c>
      <c r="M112" s="36" t="str">
        <f>IFERROR(IF(OR(lead[[#This Row],[Closed Date]]="",lead[[#This Row],[Date Of Lead]]=""),"No","Yes"),"")</f>
        <v>No</v>
      </c>
      <c r="N112" s="38"/>
      <c r="O112" s="40">
        <f>IFERROR(SUMIFS('Advertising Spend'!H:H,'Advertising Spend'!G:G,lead[[#This Row],[Platform]],'Advertising Spend'!F:F,lead[[#This Row],[Date Comp]]),"")</f>
        <v>800</v>
      </c>
      <c r="P112" s="40">
        <f>IFERROR(SUMIFS('Advertising Spend'!J:J,'Advertising Spend'!G:G,lead[[#This Row],[Platform]],'Advertising Spend'!F:F,lead[[#This Row],[Date Comp]]),"")</f>
        <v>-200</v>
      </c>
      <c r="Q112" s="42">
        <f>IFERROR(SUMIFS('Advertising Spend'!K:K,'Advertising Spend'!G:G,lead[[#This Row],[Platform]],'Advertising Spend'!F:F,lead[[#This Row],[Date Comp]]),"")</f>
        <v>-0.4</v>
      </c>
    </row>
    <row r="113" spans="1:17" ht="30" customHeight="1" x14ac:dyDescent="0.2">
      <c r="A113" s="20" t="str">
        <f t="shared" si="1"/>
        <v/>
      </c>
      <c r="B113" s="28">
        <v>44178</v>
      </c>
      <c r="C113" s="36">
        <f>IFERROR(IF(lead[[#This Row],[Date Of Lead]]="","",YEAR(lead[[#This Row],[Date Of Lead]])),"")</f>
        <v>2020</v>
      </c>
      <c r="D113" s="36" t="str">
        <f>IFERROR(VLOOKUP(IF(lead[[#This Row],[Date Of Lead]]="","",MONTH(lead[[#This Row],[Date Of Lead]])),Sheet3!D:E,2,0),"")</f>
        <v>Dec</v>
      </c>
      <c r="E113" s="36" t="str">
        <f>IFERROR(IF(OR(lead[[#This Row],[Year]]="",lead[[#This Row],[Month]]=""),"",lead[[#This Row],[Year]]&amp;lead[[#This Row],[Month]]),"")</f>
        <v>2020Dec</v>
      </c>
      <c r="F113" s="29" t="s">
        <v>27</v>
      </c>
      <c r="G113" s="29" t="s">
        <v>175</v>
      </c>
      <c r="H113" s="30" t="s">
        <v>188</v>
      </c>
      <c r="I113" s="29" t="s">
        <v>33</v>
      </c>
      <c r="J113" s="50" t="s">
        <v>37</v>
      </c>
      <c r="K113" s="28">
        <v>44197</v>
      </c>
      <c r="L113" s="36">
        <f>IFERROR(IF(OR(lead[[#This Row],[Closed Date]]="",lead[[#This Row],[Date Of Lead]]=""),"",lead[[#This Row],[Closed Date]]-lead[[#This Row],[Date Of Lead]]),"")</f>
        <v>19</v>
      </c>
      <c r="M113" s="36" t="str">
        <f>IFERROR(IF(OR(lead[[#This Row],[Closed Date]]="",lead[[#This Row],[Date Of Lead]]=""),"No","Yes"),"")</f>
        <v>Yes</v>
      </c>
      <c r="N113" s="38">
        <v>350</v>
      </c>
      <c r="O113" s="40">
        <f>IFERROR(SUMIFS('Advertising Spend'!H:H,'Advertising Spend'!G:G,lead[[#This Row],[Platform]],'Advertising Spend'!F:F,lead[[#This Row],[Date Comp]]),"")</f>
        <v>900</v>
      </c>
      <c r="P113" s="40">
        <f>IFERROR(SUMIFS('Advertising Spend'!J:J,'Advertising Spend'!G:G,lead[[#This Row],[Platform]],'Advertising Spend'!F:F,lead[[#This Row],[Date Comp]]),"")</f>
        <v>-140</v>
      </c>
      <c r="Q113" s="42">
        <f>IFERROR(SUMIFS('Advertising Spend'!K:K,'Advertising Spend'!G:G,lead[[#This Row],[Platform]],'Advertising Spend'!F:F,lead[[#This Row],[Date Comp]]),"")</f>
        <v>-0.15555555555555556</v>
      </c>
    </row>
    <row r="114" spans="1:17" ht="30" customHeight="1" x14ac:dyDescent="0.2">
      <c r="A114" s="20" t="str">
        <f t="shared" si="1"/>
        <v/>
      </c>
      <c r="B114" s="28">
        <v>44151</v>
      </c>
      <c r="C114" s="36">
        <f>IFERROR(IF(lead[[#This Row],[Date Of Lead]]="","",YEAR(lead[[#This Row],[Date Of Lead]])),"")</f>
        <v>2020</v>
      </c>
      <c r="D114" s="36" t="str">
        <f>IFERROR(VLOOKUP(IF(lead[[#This Row],[Date Of Lead]]="","",MONTH(lead[[#This Row],[Date Of Lead]])),Sheet3!D:E,2,0),"")</f>
        <v>Nov</v>
      </c>
      <c r="E114" s="36" t="str">
        <f>IFERROR(IF(OR(lead[[#This Row],[Year]]="",lead[[#This Row],[Month]]=""),"",lead[[#This Row],[Year]]&amp;lead[[#This Row],[Month]]),"")</f>
        <v>2020Nov</v>
      </c>
      <c r="F114" s="29" t="s">
        <v>27</v>
      </c>
      <c r="G114" s="29" t="s">
        <v>176</v>
      </c>
      <c r="H114" s="30" t="s">
        <v>188</v>
      </c>
      <c r="I114" s="29" t="s">
        <v>32</v>
      </c>
      <c r="J114" s="50" t="s">
        <v>37</v>
      </c>
      <c r="K114" s="28">
        <v>44180</v>
      </c>
      <c r="L114" s="36">
        <f>IFERROR(IF(OR(lead[[#This Row],[Closed Date]]="",lead[[#This Row],[Date Of Lead]]=""),"",lead[[#This Row],[Closed Date]]-lead[[#This Row],[Date Of Lead]]),"")</f>
        <v>29</v>
      </c>
      <c r="M114" s="36" t="str">
        <f>IFERROR(IF(OR(lead[[#This Row],[Closed Date]]="",lead[[#This Row],[Date Of Lead]]=""),"No","Yes"),"")</f>
        <v>Yes</v>
      </c>
      <c r="N114" s="38">
        <v>400</v>
      </c>
      <c r="O114" s="40">
        <f>IFERROR(SUMIFS('Advertising Spend'!H:H,'Advertising Spend'!G:G,lead[[#This Row],[Platform]],'Advertising Spend'!F:F,lead[[#This Row],[Date Comp]]),"")</f>
        <v>0</v>
      </c>
      <c r="P114" s="40">
        <f>IFERROR(SUMIFS('Advertising Spend'!J:J,'Advertising Spend'!G:G,lead[[#This Row],[Platform]],'Advertising Spend'!F:F,lead[[#This Row],[Date Comp]]),"")</f>
        <v>0</v>
      </c>
      <c r="Q114" s="42">
        <f>IFERROR(SUMIFS('Advertising Spend'!K:K,'Advertising Spend'!G:G,lead[[#This Row],[Platform]],'Advertising Spend'!F:F,lead[[#This Row],[Date Comp]]),"")</f>
        <v>0</v>
      </c>
    </row>
    <row r="115" spans="1:17" ht="30" customHeight="1" x14ac:dyDescent="0.2">
      <c r="A115" s="20" t="str">
        <f t="shared" si="1"/>
        <v/>
      </c>
      <c r="B115" s="28">
        <v>44224</v>
      </c>
      <c r="C115" s="36">
        <f>IFERROR(IF(lead[[#This Row],[Date Of Lead]]="","",YEAR(lead[[#This Row],[Date Of Lead]])),"")</f>
        <v>2021</v>
      </c>
      <c r="D115" s="36" t="str">
        <f>IFERROR(VLOOKUP(IF(lead[[#This Row],[Date Of Lead]]="","",MONTH(lead[[#This Row],[Date Of Lead]])),Sheet3!D:E,2,0),"")</f>
        <v>Jan</v>
      </c>
      <c r="E115" s="36" t="str">
        <f>IFERROR(IF(OR(lead[[#This Row],[Year]]="",lead[[#This Row],[Month]]=""),"",lead[[#This Row],[Year]]&amp;lead[[#This Row],[Month]]),"")</f>
        <v>2021Jan</v>
      </c>
      <c r="F115" s="29" t="s">
        <v>27</v>
      </c>
      <c r="G115" s="29" t="s">
        <v>177</v>
      </c>
      <c r="H115" s="30" t="s">
        <v>188</v>
      </c>
      <c r="I115" s="29" t="s">
        <v>31</v>
      </c>
      <c r="J115" s="50" t="s">
        <v>37</v>
      </c>
      <c r="K115" s="28">
        <v>44239</v>
      </c>
      <c r="L115" s="36">
        <f>IFERROR(IF(OR(lead[[#This Row],[Closed Date]]="",lead[[#This Row],[Date Of Lead]]=""),"",lead[[#This Row],[Closed Date]]-lead[[#This Row],[Date Of Lead]]),"")</f>
        <v>15</v>
      </c>
      <c r="M115" s="36" t="str">
        <f>IFERROR(IF(OR(lead[[#This Row],[Closed Date]]="",lead[[#This Row],[Date Of Lead]]=""),"No","Yes"),"")</f>
        <v>Yes</v>
      </c>
      <c r="N115" s="38">
        <v>350</v>
      </c>
      <c r="O115" s="40">
        <f>IFERROR(SUMIFS('Advertising Spend'!H:H,'Advertising Spend'!G:G,lead[[#This Row],[Platform]],'Advertising Spend'!F:F,lead[[#This Row],[Date Comp]]),"")</f>
        <v>500</v>
      </c>
      <c r="P115" s="40">
        <f>IFERROR(SUMIFS('Advertising Spend'!J:J,'Advertising Spend'!G:G,lead[[#This Row],[Platform]],'Advertising Spend'!F:F,lead[[#This Row],[Date Comp]]),"")</f>
        <v>200</v>
      </c>
      <c r="Q115" s="42">
        <f>IFERROR(SUMIFS('Advertising Spend'!K:K,'Advertising Spend'!G:G,lead[[#This Row],[Platform]],'Advertising Spend'!F:F,lead[[#This Row],[Date Comp]]),"")</f>
        <v>0.4</v>
      </c>
    </row>
    <row r="116" spans="1:17" ht="30" customHeight="1" x14ac:dyDescent="0.2">
      <c r="A116" s="20" t="str">
        <f t="shared" si="1"/>
        <v/>
      </c>
      <c r="B116" s="28">
        <v>44178</v>
      </c>
      <c r="C116" s="36">
        <f>IFERROR(IF(lead[[#This Row],[Date Of Lead]]="","",YEAR(lead[[#This Row],[Date Of Lead]])),"")</f>
        <v>2020</v>
      </c>
      <c r="D116" s="36" t="str">
        <f>IFERROR(VLOOKUP(IF(lead[[#This Row],[Date Of Lead]]="","",MONTH(lead[[#This Row],[Date Of Lead]])),Sheet3!D:E,2,0),"")</f>
        <v>Dec</v>
      </c>
      <c r="E116" s="36" t="str">
        <f>IFERROR(IF(OR(lead[[#This Row],[Year]]="",lead[[#This Row],[Month]]=""),"",lead[[#This Row],[Year]]&amp;lead[[#This Row],[Month]]),"")</f>
        <v>2020Dec</v>
      </c>
      <c r="F116" s="29" t="s">
        <v>29</v>
      </c>
      <c r="G116" s="29" t="s">
        <v>178</v>
      </c>
      <c r="H116" s="30" t="s">
        <v>188</v>
      </c>
      <c r="I116" s="29" t="s">
        <v>33</v>
      </c>
      <c r="J116" s="50" t="s">
        <v>35</v>
      </c>
      <c r="K116" s="28"/>
      <c r="L116" s="36" t="str">
        <f>IFERROR(IF(OR(lead[[#This Row],[Closed Date]]="",lead[[#This Row],[Date Of Lead]]=""),"",lead[[#This Row],[Closed Date]]-lead[[#This Row],[Date Of Lead]]),"")</f>
        <v/>
      </c>
      <c r="M116" s="36" t="str">
        <f>IFERROR(IF(OR(lead[[#This Row],[Closed Date]]="",lead[[#This Row],[Date Of Lead]]=""),"No","Yes"),"")</f>
        <v>No</v>
      </c>
      <c r="N116" s="38"/>
      <c r="O116" s="40">
        <f>IFERROR(SUMIFS('Advertising Spend'!H:H,'Advertising Spend'!G:G,lead[[#This Row],[Platform]],'Advertising Spend'!F:F,lead[[#This Row],[Date Comp]]),"")</f>
        <v>0</v>
      </c>
      <c r="P116" s="40">
        <f>IFERROR(SUMIFS('Advertising Spend'!J:J,'Advertising Spend'!G:G,lead[[#This Row],[Platform]],'Advertising Spend'!F:F,lead[[#This Row],[Date Comp]]),"")</f>
        <v>0</v>
      </c>
      <c r="Q116" s="42">
        <f>IFERROR(SUMIFS('Advertising Spend'!K:K,'Advertising Spend'!G:G,lead[[#This Row],[Platform]],'Advertising Spend'!F:F,lead[[#This Row],[Date Comp]]),"")</f>
        <v>0</v>
      </c>
    </row>
    <row r="117" spans="1:17" ht="30" customHeight="1" x14ac:dyDescent="0.2">
      <c r="A117" s="20" t="str">
        <f t="shared" si="1"/>
        <v/>
      </c>
      <c r="B117" s="28">
        <v>44157</v>
      </c>
      <c r="C117" s="36">
        <f>IFERROR(IF(lead[[#This Row],[Date Of Lead]]="","",YEAR(lead[[#This Row],[Date Of Lead]])),"")</f>
        <v>2020</v>
      </c>
      <c r="D117" s="36" t="str">
        <f>IFERROR(VLOOKUP(IF(lead[[#This Row],[Date Of Lead]]="","",MONTH(lead[[#This Row],[Date Of Lead]])),Sheet3!D:E,2,0),"")</f>
        <v>Nov</v>
      </c>
      <c r="E117" s="36" t="str">
        <f>IFERROR(IF(OR(lead[[#This Row],[Year]]="",lead[[#This Row],[Month]]=""),"",lead[[#This Row],[Year]]&amp;lead[[#This Row],[Month]]),"")</f>
        <v>2020Nov</v>
      </c>
      <c r="F117" s="29" t="s">
        <v>29</v>
      </c>
      <c r="G117" s="29" t="s">
        <v>179</v>
      </c>
      <c r="H117" s="30" t="s">
        <v>188</v>
      </c>
      <c r="I117" s="29" t="s">
        <v>33</v>
      </c>
      <c r="J117" s="50" t="s">
        <v>36</v>
      </c>
      <c r="K117" s="28"/>
      <c r="L117" s="36" t="str">
        <f>IFERROR(IF(OR(lead[[#This Row],[Closed Date]]="",lead[[#This Row],[Date Of Lead]]=""),"",lead[[#This Row],[Closed Date]]-lead[[#This Row],[Date Of Lead]]),"")</f>
        <v/>
      </c>
      <c r="M117" s="36" t="str">
        <f>IFERROR(IF(OR(lead[[#This Row],[Closed Date]]="",lead[[#This Row],[Date Of Lead]]=""),"No","Yes"),"")</f>
        <v>No</v>
      </c>
      <c r="N117" s="38"/>
      <c r="O117" s="40">
        <f>IFERROR(SUMIFS('Advertising Spend'!H:H,'Advertising Spend'!G:G,lead[[#This Row],[Platform]],'Advertising Spend'!F:F,lead[[#This Row],[Date Comp]]),"")</f>
        <v>0</v>
      </c>
      <c r="P117" s="40">
        <f>IFERROR(SUMIFS('Advertising Spend'!J:J,'Advertising Spend'!G:G,lead[[#This Row],[Platform]],'Advertising Spend'!F:F,lead[[#This Row],[Date Comp]]),"")</f>
        <v>0</v>
      </c>
      <c r="Q117" s="42">
        <f>IFERROR(SUMIFS('Advertising Spend'!K:K,'Advertising Spend'!G:G,lead[[#This Row],[Platform]],'Advertising Spend'!F:F,lead[[#This Row],[Date Comp]]),"")</f>
        <v>0</v>
      </c>
    </row>
    <row r="118" spans="1:17" ht="30" customHeight="1" x14ac:dyDescent="0.2">
      <c r="A118" s="20" t="str">
        <f t="shared" si="1"/>
        <v/>
      </c>
      <c r="B118" s="28">
        <v>44160</v>
      </c>
      <c r="C118" s="36">
        <f>IFERROR(IF(lead[[#This Row],[Date Of Lead]]="","",YEAR(lead[[#This Row],[Date Of Lead]])),"")</f>
        <v>2020</v>
      </c>
      <c r="D118" s="36" t="str">
        <f>IFERROR(VLOOKUP(IF(lead[[#This Row],[Date Of Lead]]="","",MONTH(lead[[#This Row],[Date Of Lead]])),Sheet3!D:E,2,0),"")</f>
        <v>Nov</v>
      </c>
      <c r="E118" s="36" t="str">
        <f>IFERROR(IF(OR(lead[[#This Row],[Year]]="",lead[[#This Row],[Month]]=""),"",lead[[#This Row],[Year]]&amp;lead[[#This Row],[Month]]),"")</f>
        <v>2020Nov</v>
      </c>
      <c r="F118" s="29" t="s">
        <v>30</v>
      </c>
      <c r="G118" s="29" t="s">
        <v>180</v>
      </c>
      <c r="H118" s="30" t="s">
        <v>188</v>
      </c>
      <c r="I118" s="29" t="s">
        <v>31</v>
      </c>
      <c r="J118" s="50" t="s">
        <v>36</v>
      </c>
      <c r="K118" s="28"/>
      <c r="L118" s="36" t="str">
        <f>IFERROR(IF(OR(lead[[#This Row],[Closed Date]]="",lead[[#This Row],[Date Of Lead]]=""),"",lead[[#This Row],[Closed Date]]-lead[[#This Row],[Date Of Lead]]),"")</f>
        <v/>
      </c>
      <c r="M118" s="36" t="str">
        <f>IFERROR(IF(OR(lead[[#This Row],[Closed Date]]="",lead[[#This Row],[Date Of Lead]]=""),"No","Yes"),"")</f>
        <v>No</v>
      </c>
      <c r="N118" s="38"/>
      <c r="O118" s="40">
        <f>IFERROR(SUMIFS('Advertising Spend'!H:H,'Advertising Spend'!G:G,lead[[#This Row],[Platform]],'Advertising Spend'!F:F,lead[[#This Row],[Date Comp]]),"")</f>
        <v>350</v>
      </c>
      <c r="P118" s="40">
        <f>IFERROR(SUMIFS('Advertising Spend'!J:J,'Advertising Spend'!G:G,lead[[#This Row],[Platform]],'Advertising Spend'!F:F,lead[[#This Row],[Date Comp]]),"")</f>
        <v>-110</v>
      </c>
      <c r="Q118" s="42">
        <f>IFERROR(SUMIFS('Advertising Spend'!K:K,'Advertising Spend'!G:G,lead[[#This Row],[Platform]],'Advertising Spend'!F:F,lead[[#This Row],[Date Comp]]),"")</f>
        <v>-0.31428571428571428</v>
      </c>
    </row>
    <row r="119" spans="1:17" ht="30" customHeight="1" x14ac:dyDescent="0.2">
      <c r="A119" s="20" t="str">
        <f t="shared" si="1"/>
        <v/>
      </c>
      <c r="B119" s="28">
        <v>44129</v>
      </c>
      <c r="C119" s="36">
        <f>IFERROR(IF(lead[[#This Row],[Date Of Lead]]="","",YEAR(lead[[#This Row],[Date Of Lead]])),"")</f>
        <v>2020</v>
      </c>
      <c r="D119" s="36" t="str">
        <f>IFERROR(VLOOKUP(IF(lead[[#This Row],[Date Of Lead]]="","",MONTH(lead[[#This Row],[Date Of Lead]])),Sheet3!D:E,2,0),"")</f>
        <v>Oct</v>
      </c>
      <c r="E119" s="36" t="str">
        <f>IFERROR(IF(OR(lead[[#This Row],[Year]]="",lead[[#This Row],[Month]]=""),"",lead[[#This Row],[Year]]&amp;lead[[#This Row],[Month]]),"")</f>
        <v>2020Oct</v>
      </c>
      <c r="F119" s="29" t="s">
        <v>27</v>
      </c>
      <c r="G119" s="29" t="s">
        <v>181</v>
      </c>
      <c r="H119" s="30" t="s">
        <v>188</v>
      </c>
      <c r="I119" s="29" t="s">
        <v>33</v>
      </c>
      <c r="J119" s="50" t="s">
        <v>34</v>
      </c>
      <c r="K119" s="28"/>
      <c r="L119" s="36" t="str">
        <f>IFERROR(IF(OR(lead[[#This Row],[Closed Date]]="",lead[[#This Row],[Date Of Lead]]=""),"",lead[[#This Row],[Closed Date]]-lead[[#This Row],[Date Of Lead]]),"")</f>
        <v/>
      </c>
      <c r="M119" s="36" t="str">
        <f>IFERROR(IF(OR(lead[[#This Row],[Closed Date]]="",lead[[#This Row],[Date Of Lead]]=""),"No","Yes"),"")</f>
        <v>No</v>
      </c>
      <c r="N119" s="38"/>
      <c r="O119" s="40">
        <f>IFERROR(SUMIFS('Advertising Spend'!H:H,'Advertising Spend'!G:G,lead[[#This Row],[Platform]],'Advertising Spend'!F:F,lead[[#This Row],[Date Comp]]),"")</f>
        <v>500</v>
      </c>
      <c r="P119" s="40">
        <f>IFERROR(SUMIFS('Advertising Spend'!J:J,'Advertising Spend'!G:G,lead[[#This Row],[Platform]],'Advertising Spend'!F:F,lead[[#This Row],[Date Comp]]),"")</f>
        <v>50</v>
      </c>
      <c r="Q119" s="42">
        <f>IFERROR(SUMIFS('Advertising Spend'!K:K,'Advertising Spend'!G:G,lead[[#This Row],[Platform]],'Advertising Spend'!F:F,lead[[#This Row],[Date Comp]]),"")</f>
        <v>0.1</v>
      </c>
    </row>
    <row r="120" spans="1:17" ht="30" customHeight="1" x14ac:dyDescent="0.2">
      <c r="A120" s="20" t="str">
        <f t="shared" si="1"/>
        <v/>
      </c>
      <c r="B120" s="28">
        <v>44200</v>
      </c>
      <c r="C120" s="36">
        <f>IFERROR(IF(lead[[#This Row],[Date Of Lead]]="","",YEAR(lead[[#This Row],[Date Of Lead]])),"")</f>
        <v>2021</v>
      </c>
      <c r="D120" s="36" t="str">
        <f>IFERROR(VLOOKUP(IF(lead[[#This Row],[Date Of Lead]]="","",MONTH(lead[[#This Row],[Date Of Lead]])),Sheet3!D:E,2,0),"")</f>
        <v>Jan</v>
      </c>
      <c r="E120" s="36" t="str">
        <f>IFERROR(IF(OR(lead[[#This Row],[Year]]="",lead[[#This Row],[Month]]=""),"",lead[[#This Row],[Year]]&amp;lead[[#This Row],[Month]]),"")</f>
        <v>2021Jan</v>
      </c>
      <c r="F120" s="29" t="s">
        <v>74</v>
      </c>
      <c r="G120" s="29" t="s">
        <v>182</v>
      </c>
      <c r="H120" s="30" t="s">
        <v>188</v>
      </c>
      <c r="I120" s="29" t="s">
        <v>32</v>
      </c>
      <c r="J120" s="50" t="s">
        <v>35</v>
      </c>
      <c r="K120" s="28"/>
      <c r="L120" s="36" t="str">
        <f>IFERROR(IF(OR(lead[[#This Row],[Closed Date]]="",lead[[#This Row],[Date Of Lead]]=""),"",lead[[#This Row],[Closed Date]]-lead[[#This Row],[Date Of Lead]]),"")</f>
        <v/>
      </c>
      <c r="M120" s="36" t="str">
        <f>IFERROR(IF(OR(lead[[#This Row],[Closed Date]]="",lead[[#This Row],[Date Of Lead]]=""),"No","Yes"),"")</f>
        <v>No</v>
      </c>
      <c r="N120" s="38"/>
      <c r="O120" s="40">
        <f>IFERROR(SUMIFS('Advertising Spend'!H:H,'Advertising Spend'!G:G,lead[[#This Row],[Platform]],'Advertising Spend'!F:F,lead[[#This Row],[Date Comp]]),"")</f>
        <v>0</v>
      </c>
      <c r="P120" s="40">
        <f>IFERROR(SUMIFS('Advertising Spend'!J:J,'Advertising Spend'!G:G,lead[[#This Row],[Platform]],'Advertising Spend'!F:F,lead[[#This Row],[Date Comp]]),"")</f>
        <v>0</v>
      </c>
      <c r="Q120" s="42">
        <f>IFERROR(SUMIFS('Advertising Spend'!K:K,'Advertising Spend'!G:G,lead[[#This Row],[Platform]],'Advertising Spend'!F:F,lead[[#This Row],[Date Comp]]),"")</f>
        <v>0</v>
      </c>
    </row>
    <row r="121" spans="1:17" ht="30" customHeight="1" x14ac:dyDescent="0.2">
      <c r="A121" s="20" t="str">
        <f t="shared" si="1"/>
        <v/>
      </c>
      <c r="B121" s="28">
        <v>44202</v>
      </c>
      <c r="C121" s="36">
        <f>IFERROR(IF(lead[[#This Row],[Date Of Lead]]="","",YEAR(lead[[#This Row],[Date Of Lead]])),"")</f>
        <v>2021</v>
      </c>
      <c r="D121" s="36" t="str">
        <f>IFERROR(VLOOKUP(IF(lead[[#This Row],[Date Of Lead]]="","",MONTH(lead[[#This Row],[Date Of Lead]])),Sheet3!D:E,2,0),"")</f>
        <v>Jan</v>
      </c>
      <c r="E121" s="36" t="str">
        <f>IFERROR(IF(OR(lead[[#This Row],[Year]]="",lead[[#This Row],[Month]]=""),"",lead[[#This Row],[Year]]&amp;lead[[#This Row],[Month]]),"")</f>
        <v>2021Jan</v>
      </c>
      <c r="F121" s="29" t="s">
        <v>27</v>
      </c>
      <c r="G121" s="29" t="s">
        <v>183</v>
      </c>
      <c r="H121" s="30" t="s">
        <v>188</v>
      </c>
      <c r="I121" s="29" t="s">
        <v>33</v>
      </c>
      <c r="J121" s="50" t="s">
        <v>36</v>
      </c>
      <c r="K121" s="28"/>
      <c r="L121" s="36" t="str">
        <f>IFERROR(IF(OR(lead[[#This Row],[Closed Date]]="",lead[[#This Row],[Date Of Lead]]=""),"",lead[[#This Row],[Closed Date]]-lead[[#This Row],[Date Of Lead]]),"")</f>
        <v/>
      </c>
      <c r="M121" s="36" t="str">
        <f>IFERROR(IF(OR(lead[[#This Row],[Closed Date]]="",lead[[#This Row],[Date Of Lead]]=""),"No","Yes"),"")</f>
        <v>No</v>
      </c>
      <c r="N121" s="38"/>
      <c r="O121" s="40">
        <f>IFERROR(SUMIFS('Advertising Spend'!H:H,'Advertising Spend'!G:G,lead[[#This Row],[Platform]],'Advertising Spend'!F:F,lead[[#This Row],[Date Comp]]),"")</f>
        <v>500</v>
      </c>
      <c r="P121" s="40">
        <f>IFERROR(SUMIFS('Advertising Spend'!J:J,'Advertising Spend'!G:G,lead[[#This Row],[Platform]],'Advertising Spend'!F:F,lead[[#This Row],[Date Comp]]),"")</f>
        <v>200</v>
      </c>
      <c r="Q121" s="42">
        <f>IFERROR(SUMIFS('Advertising Spend'!K:K,'Advertising Spend'!G:G,lead[[#This Row],[Platform]],'Advertising Spend'!F:F,lead[[#This Row],[Date Comp]]),"")</f>
        <v>0.4</v>
      </c>
    </row>
    <row r="122" spans="1:17" ht="30" customHeight="1" x14ac:dyDescent="0.2">
      <c r="A122" s="20" t="str">
        <f t="shared" si="1"/>
        <v/>
      </c>
      <c r="B122" s="28">
        <v>44222</v>
      </c>
      <c r="C122" s="36">
        <f>IFERROR(IF(lead[[#This Row],[Date Of Lead]]="","",YEAR(lead[[#This Row],[Date Of Lead]])),"")</f>
        <v>2021</v>
      </c>
      <c r="D122" s="36" t="str">
        <f>IFERROR(VLOOKUP(IF(lead[[#This Row],[Date Of Lead]]="","",MONTH(lead[[#This Row],[Date Of Lead]])),Sheet3!D:E,2,0),"")</f>
        <v>Jan</v>
      </c>
      <c r="E122" s="36" t="str">
        <f>IFERROR(IF(OR(lead[[#This Row],[Year]]="",lead[[#This Row],[Month]]=""),"",lead[[#This Row],[Year]]&amp;lead[[#This Row],[Month]]),"")</f>
        <v>2021Jan</v>
      </c>
      <c r="F122" s="29" t="s">
        <v>29</v>
      </c>
      <c r="G122" s="29" t="s">
        <v>184</v>
      </c>
      <c r="H122" s="30" t="s">
        <v>188</v>
      </c>
      <c r="I122" s="29" t="s">
        <v>33</v>
      </c>
      <c r="J122" s="50" t="s">
        <v>37</v>
      </c>
      <c r="K122" s="28">
        <v>44237</v>
      </c>
      <c r="L122" s="36">
        <f>IFERROR(IF(OR(lead[[#This Row],[Closed Date]]="",lead[[#This Row],[Date Of Lead]]=""),"",lead[[#This Row],[Closed Date]]-lead[[#This Row],[Date Of Lead]]),"")</f>
        <v>15</v>
      </c>
      <c r="M122" s="36" t="str">
        <f>IFERROR(IF(OR(lead[[#This Row],[Closed Date]]="",lead[[#This Row],[Date Of Lead]]=""),"No","Yes"),"")</f>
        <v>Yes</v>
      </c>
      <c r="N122" s="38">
        <v>400</v>
      </c>
      <c r="O122" s="40">
        <f>IFERROR(SUMIFS('Advertising Spend'!H:H,'Advertising Spend'!G:G,lead[[#This Row],[Platform]],'Advertising Spend'!F:F,lead[[#This Row],[Date Comp]]),"")</f>
        <v>0</v>
      </c>
      <c r="P122" s="40">
        <f>IFERROR(SUMIFS('Advertising Spend'!J:J,'Advertising Spend'!G:G,lead[[#This Row],[Platform]],'Advertising Spend'!F:F,lead[[#This Row],[Date Comp]]),"")</f>
        <v>0</v>
      </c>
      <c r="Q122" s="42">
        <f>IFERROR(SUMIFS('Advertising Spend'!K:K,'Advertising Spend'!G:G,lead[[#This Row],[Platform]],'Advertising Spend'!F:F,lead[[#This Row],[Date Comp]]),"")</f>
        <v>0</v>
      </c>
    </row>
    <row r="123" spans="1:17" ht="30" customHeight="1" x14ac:dyDescent="0.2">
      <c r="A123" s="20" t="str">
        <f t="shared" si="1"/>
        <v/>
      </c>
      <c r="B123" s="28">
        <v>44114</v>
      </c>
      <c r="C123" s="36">
        <f>IFERROR(IF(lead[[#This Row],[Date Of Lead]]="","",YEAR(lead[[#This Row],[Date Of Lead]])),"")</f>
        <v>2020</v>
      </c>
      <c r="D123" s="36" t="str">
        <f>IFERROR(VLOOKUP(IF(lead[[#This Row],[Date Of Lead]]="","",MONTH(lead[[#This Row],[Date Of Lead]])),Sheet3!D:E,2,0),"")</f>
        <v>Oct</v>
      </c>
      <c r="E123" s="36" t="str">
        <f>IFERROR(IF(OR(lead[[#This Row],[Year]]="",lead[[#This Row],[Month]]=""),"",lead[[#This Row],[Year]]&amp;lead[[#This Row],[Month]]),"")</f>
        <v>2020Oct</v>
      </c>
      <c r="F123" s="29" t="s">
        <v>27</v>
      </c>
      <c r="G123" s="29" t="s">
        <v>185</v>
      </c>
      <c r="H123" s="30" t="s">
        <v>188</v>
      </c>
      <c r="I123" s="29" t="s">
        <v>32</v>
      </c>
      <c r="J123" s="50" t="s">
        <v>37</v>
      </c>
      <c r="K123" s="28">
        <v>44145</v>
      </c>
      <c r="L123" s="36">
        <f>IFERROR(IF(OR(lead[[#This Row],[Closed Date]]="",lead[[#This Row],[Date Of Lead]]=""),"",lead[[#This Row],[Closed Date]]-lead[[#This Row],[Date Of Lead]]),"")</f>
        <v>31</v>
      </c>
      <c r="M123" s="36" t="str">
        <f>IFERROR(IF(OR(lead[[#This Row],[Closed Date]]="",lead[[#This Row],[Date Of Lead]]=""),"No","Yes"),"")</f>
        <v>Yes</v>
      </c>
      <c r="N123" s="38">
        <v>350</v>
      </c>
      <c r="O123" s="40">
        <f>IFERROR(SUMIFS('Advertising Spend'!H:H,'Advertising Spend'!G:G,lead[[#This Row],[Platform]],'Advertising Spend'!F:F,lead[[#This Row],[Date Comp]]),"")</f>
        <v>500</v>
      </c>
      <c r="P123" s="40">
        <f>IFERROR(SUMIFS('Advertising Spend'!J:J,'Advertising Spend'!G:G,lead[[#This Row],[Platform]],'Advertising Spend'!F:F,lead[[#This Row],[Date Comp]]),"")</f>
        <v>50</v>
      </c>
      <c r="Q123" s="42">
        <f>IFERROR(SUMIFS('Advertising Spend'!K:K,'Advertising Spend'!G:G,lead[[#This Row],[Platform]],'Advertising Spend'!F:F,lead[[#This Row],[Date Comp]]),"")</f>
        <v>0.1</v>
      </c>
    </row>
    <row r="124" spans="1:17" ht="30" customHeight="1" x14ac:dyDescent="0.2">
      <c r="A124" s="20" t="str">
        <f t="shared" si="1"/>
        <v/>
      </c>
      <c r="B124" s="28">
        <v>44118</v>
      </c>
      <c r="C124" s="36">
        <f>IFERROR(IF(lead[[#This Row],[Date Of Lead]]="","",YEAR(lead[[#This Row],[Date Of Lead]])),"")</f>
        <v>2020</v>
      </c>
      <c r="D124" s="36" t="str">
        <f>IFERROR(VLOOKUP(IF(lead[[#This Row],[Date Of Lead]]="","",MONTH(lead[[#This Row],[Date Of Lead]])),Sheet3!D:E,2,0),"")</f>
        <v>Oct</v>
      </c>
      <c r="E124" s="36" t="str">
        <f>IFERROR(IF(OR(lead[[#This Row],[Year]]="",lead[[#This Row],[Month]]=""),"",lead[[#This Row],[Year]]&amp;lead[[#This Row],[Month]]),"")</f>
        <v>2020Oct</v>
      </c>
      <c r="F124" s="29" t="s">
        <v>29</v>
      </c>
      <c r="G124" s="29" t="s">
        <v>186</v>
      </c>
      <c r="H124" s="30" t="s">
        <v>188</v>
      </c>
      <c r="I124" s="29" t="s">
        <v>32</v>
      </c>
      <c r="J124" s="50" t="s">
        <v>34</v>
      </c>
      <c r="K124" s="28"/>
      <c r="L124" s="36" t="str">
        <f>IFERROR(IF(OR(lead[[#This Row],[Closed Date]]="",lead[[#This Row],[Date Of Lead]]=""),"",lead[[#This Row],[Closed Date]]-lead[[#This Row],[Date Of Lead]]),"")</f>
        <v/>
      </c>
      <c r="M124" s="36" t="str">
        <f>IFERROR(IF(OR(lead[[#This Row],[Closed Date]]="",lead[[#This Row],[Date Of Lead]]=""),"No","Yes"),"")</f>
        <v>No</v>
      </c>
      <c r="N124" s="38"/>
      <c r="O124" s="40">
        <f>IFERROR(SUMIFS('Advertising Spend'!H:H,'Advertising Spend'!G:G,lead[[#This Row],[Platform]],'Advertising Spend'!F:F,lead[[#This Row],[Date Comp]]),"")</f>
        <v>700</v>
      </c>
      <c r="P124" s="40">
        <f>IFERROR(SUMIFS('Advertising Spend'!J:J,'Advertising Spend'!G:G,lead[[#This Row],[Platform]],'Advertising Spend'!F:F,lead[[#This Row],[Date Comp]]),"")</f>
        <v>100</v>
      </c>
      <c r="Q124" s="42">
        <f>IFERROR(SUMIFS('Advertising Spend'!K:K,'Advertising Spend'!G:G,lead[[#This Row],[Platform]],'Advertising Spend'!F:F,lead[[#This Row],[Date Comp]]),"")</f>
        <v>0.14285714285714285</v>
      </c>
    </row>
    <row r="125" spans="1:17" ht="30" customHeight="1" x14ac:dyDescent="0.2">
      <c r="A125" s="20" t="str">
        <f t="shared" si="1"/>
        <v/>
      </c>
      <c r="B125" s="28">
        <v>44194</v>
      </c>
      <c r="C125" s="36">
        <f>IFERROR(IF(lead[[#This Row],[Date Of Lead]]="","",YEAR(lead[[#This Row],[Date Of Lead]])),"")</f>
        <v>2020</v>
      </c>
      <c r="D125" s="36" t="str">
        <f>IFERROR(VLOOKUP(IF(lead[[#This Row],[Date Of Lead]]="","",MONTH(lead[[#This Row],[Date Of Lead]])),Sheet3!D:E,2,0),"")</f>
        <v>Dec</v>
      </c>
      <c r="E125" s="36" t="str">
        <f>IFERROR(IF(OR(lead[[#This Row],[Year]]="",lead[[#This Row],[Month]]=""),"",lead[[#This Row],[Year]]&amp;lead[[#This Row],[Month]]),"")</f>
        <v>2020Dec</v>
      </c>
      <c r="F125" s="29" t="s">
        <v>29</v>
      </c>
      <c r="G125" s="29" t="s">
        <v>187</v>
      </c>
      <c r="H125" s="30" t="s">
        <v>188</v>
      </c>
      <c r="I125" s="29" t="s">
        <v>33</v>
      </c>
      <c r="J125" s="50" t="s">
        <v>36</v>
      </c>
      <c r="K125" s="28"/>
      <c r="L125" s="36" t="str">
        <f>IFERROR(IF(OR(lead[[#This Row],[Closed Date]]="",lead[[#This Row],[Date Of Lead]]=""),"",lead[[#This Row],[Closed Date]]-lead[[#This Row],[Date Of Lead]]),"")</f>
        <v/>
      </c>
      <c r="M125" s="36" t="str">
        <f>IFERROR(IF(OR(lead[[#This Row],[Closed Date]]="",lead[[#This Row],[Date Of Lead]]=""),"No","Yes"),"")</f>
        <v>No</v>
      </c>
      <c r="N125" s="38"/>
      <c r="O125" s="40">
        <f>IFERROR(SUMIFS('Advertising Spend'!H:H,'Advertising Spend'!G:G,lead[[#This Row],[Platform]],'Advertising Spend'!F:F,lead[[#This Row],[Date Comp]]),"")</f>
        <v>0</v>
      </c>
      <c r="P125" s="40">
        <f>IFERROR(SUMIFS('Advertising Spend'!J:J,'Advertising Spend'!G:G,lead[[#This Row],[Platform]],'Advertising Spend'!F:F,lead[[#This Row],[Date Comp]]),"")</f>
        <v>0</v>
      </c>
      <c r="Q125" s="42">
        <f>IFERROR(SUMIFS('Advertising Spend'!K:K,'Advertising Spend'!G:G,lead[[#This Row],[Platform]],'Advertising Spend'!F:F,lead[[#This Row],[Date Comp]]),"")</f>
        <v>0</v>
      </c>
    </row>
    <row r="126" spans="1:17" ht="30" customHeight="1" x14ac:dyDescent="0.2">
      <c r="A126" s="20" t="str">
        <f t="shared" si="1"/>
        <v>Add New Lead---&gt;</v>
      </c>
    </row>
    <row r="127" spans="1:17" ht="30" customHeight="1" x14ac:dyDescent="0.2">
      <c r="A127" s="20" t="str">
        <f t="shared" si="1"/>
        <v/>
      </c>
    </row>
    <row r="128" spans="1:17" ht="30" customHeight="1" x14ac:dyDescent="0.2">
      <c r="A128" s="20" t="str">
        <f t="shared" si="1"/>
        <v/>
      </c>
    </row>
    <row r="129" spans="1:1" ht="30" customHeight="1" x14ac:dyDescent="0.2">
      <c r="A129" s="20" t="str">
        <f t="shared" si="1"/>
        <v/>
      </c>
    </row>
    <row r="130" spans="1:1" ht="30" customHeight="1" x14ac:dyDescent="0.2">
      <c r="A130" s="20" t="str">
        <f t="shared" si="1"/>
        <v/>
      </c>
    </row>
    <row r="131" spans="1:1" ht="30" customHeight="1" x14ac:dyDescent="0.2">
      <c r="A131" s="20" t="str">
        <f t="shared" si="1"/>
        <v/>
      </c>
    </row>
    <row r="132" spans="1:1" ht="30" customHeight="1" x14ac:dyDescent="0.2">
      <c r="A132" s="20" t="str">
        <f t="shared" si="1"/>
        <v/>
      </c>
    </row>
    <row r="133" spans="1:1" ht="30" customHeight="1" x14ac:dyDescent="0.2">
      <c r="A133" s="20" t="str">
        <f t="shared" si="1"/>
        <v/>
      </c>
    </row>
    <row r="134" spans="1:1" ht="30" customHeight="1" x14ac:dyDescent="0.2">
      <c r="A134" s="20" t="str">
        <f t="shared" si="1"/>
        <v/>
      </c>
    </row>
    <row r="135" spans="1:1" ht="30" customHeight="1" x14ac:dyDescent="0.2">
      <c r="A135" s="20" t="str">
        <f t="shared" si="1"/>
        <v/>
      </c>
    </row>
    <row r="136" spans="1:1" ht="30" customHeight="1" x14ac:dyDescent="0.2">
      <c r="A136" s="20" t="str">
        <f t="shared" si="1"/>
        <v/>
      </c>
    </row>
    <row r="137" spans="1:1" ht="30" customHeight="1" x14ac:dyDescent="0.2">
      <c r="A137" s="20" t="str">
        <f t="shared" si="1"/>
        <v/>
      </c>
    </row>
    <row r="138" spans="1:1" ht="30" customHeight="1" x14ac:dyDescent="0.2">
      <c r="A138" s="20" t="str">
        <f t="shared" si="1"/>
        <v/>
      </c>
    </row>
    <row r="139" spans="1:1" ht="30" customHeight="1" x14ac:dyDescent="0.2">
      <c r="A139" s="20" t="str">
        <f t="shared" si="1"/>
        <v/>
      </c>
    </row>
    <row r="140" spans="1:1" ht="30" customHeight="1" x14ac:dyDescent="0.2">
      <c r="A140" s="20" t="str">
        <f t="shared" si="1"/>
        <v/>
      </c>
    </row>
    <row r="141" spans="1:1" ht="30" customHeight="1" x14ac:dyDescent="0.2">
      <c r="A141" s="20" t="str">
        <f t="shared" si="1"/>
        <v/>
      </c>
    </row>
    <row r="142" spans="1:1" ht="30" customHeight="1" x14ac:dyDescent="0.2">
      <c r="A142" s="20" t="str">
        <f t="shared" si="1"/>
        <v/>
      </c>
    </row>
    <row r="143" spans="1:1" ht="30" customHeight="1" x14ac:dyDescent="0.2">
      <c r="A143" s="20" t="str">
        <f t="shared" si="1"/>
        <v/>
      </c>
    </row>
    <row r="144" spans="1:1" ht="30" customHeight="1" x14ac:dyDescent="0.2">
      <c r="A144" s="20" t="str">
        <f t="shared" si="1"/>
        <v/>
      </c>
    </row>
    <row r="145" spans="1:1" ht="30" customHeight="1" x14ac:dyDescent="0.2">
      <c r="A145" s="20" t="str">
        <f t="shared" si="1"/>
        <v/>
      </c>
    </row>
    <row r="146" spans="1:1" ht="30" customHeight="1" x14ac:dyDescent="0.2">
      <c r="A146" s="20" t="str">
        <f t="shared" si="1"/>
        <v/>
      </c>
    </row>
    <row r="147" spans="1:1" ht="30" customHeight="1" x14ac:dyDescent="0.2">
      <c r="A147" s="20" t="str">
        <f t="shared" si="1"/>
        <v/>
      </c>
    </row>
    <row r="148" spans="1:1" ht="30" customHeight="1" x14ac:dyDescent="0.2">
      <c r="A148" s="20" t="str">
        <f t="shared" si="1"/>
        <v/>
      </c>
    </row>
    <row r="149" spans="1:1" ht="30" customHeight="1" x14ac:dyDescent="0.2">
      <c r="A149" s="20" t="str">
        <f t="shared" si="1"/>
        <v/>
      </c>
    </row>
    <row r="150" spans="1:1" ht="30" customHeight="1" x14ac:dyDescent="0.2">
      <c r="A150" s="20" t="str">
        <f t="shared" si="1"/>
        <v/>
      </c>
    </row>
    <row r="151" spans="1:1" ht="30" customHeight="1" x14ac:dyDescent="0.2">
      <c r="A151" s="20" t="str">
        <f t="shared" si="1"/>
        <v/>
      </c>
    </row>
    <row r="152" spans="1:1" ht="30" customHeight="1" x14ac:dyDescent="0.2">
      <c r="A152" s="20" t="str">
        <f t="shared" ref="A152:A215" si="2">IF(AND(B151&lt;&gt;"",B152=""),$A$22&amp;"---&gt;","")</f>
        <v/>
      </c>
    </row>
    <row r="153" spans="1:1" ht="30" customHeight="1" x14ac:dyDescent="0.2">
      <c r="A153" s="20" t="str">
        <f t="shared" si="2"/>
        <v/>
      </c>
    </row>
    <row r="154" spans="1:1" ht="30" customHeight="1" x14ac:dyDescent="0.2">
      <c r="A154" s="20" t="str">
        <f t="shared" si="2"/>
        <v/>
      </c>
    </row>
    <row r="155" spans="1:1" ht="30" customHeight="1" x14ac:dyDescent="0.2">
      <c r="A155" s="20" t="str">
        <f t="shared" si="2"/>
        <v/>
      </c>
    </row>
    <row r="156" spans="1:1" ht="30" customHeight="1" x14ac:dyDescent="0.2">
      <c r="A156" s="20" t="str">
        <f t="shared" si="2"/>
        <v/>
      </c>
    </row>
    <row r="157" spans="1:1" ht="30" customHeight="1" x14ac:dyDescent="0.2">
      <c r="A157" s="20" t="str">
        <f t="shared" si="2"/>
        <v/>
      </c>
    </row>
    <row r="158" spans="1:1" ht="30" customHeight="1" x14ac:dyDescent="0.2">
      <c r="A158" s="20" t="str">
        <f t="shared" si="2"/>
        <v/>
      </c>
    </row>
    <row r="159" spans="1:1" ht="30" customHeight="1" x14ac:dyDescent="0.2">
      <c r="A159" s="20" t="str">
        <f t="shared" si="2"/>
        <v/>
      </c>
    </row>
    <row r="160" spans="1:1" ht="30" customHeight="1" x14ac:dyDescent="0.2">
      <c r="A160" s="20" t="str">
        <f t="shared" si="2"/>
        <v/>
      </c>
    </row>
    <row r="161" spans="1:1" ht="30" customHeight="1" x14ac:dyDescent="0.2">
      <c r="A161" s="20" t="str">
        <f t="shared" si="2"/>
        <v/>
      </c>
    </row>
    <row r="162" spans="1:1" ht="30" customHeight="1" x14ac:dyDescent="0.2">
      <c r="A162" s="20" t="str">
        <f t="shared" si="2"/>
        <v/>
      </c>
    </row>
    <row r="163" spans="1:1" ht="30" customHeight="1" x14ac:dyDescent="0.2">
      <c r="A163" s="20" t="str">
        <f t="shared" si="2"/>
        <v/>
      </c>
    </row>
    <row r="164" spans="1:1" ht="30" customHeight="1" x14ac:dyDescent="0.2">
      <c r="A164" s="20" t="str">
        <f t="shared" si="2"/>
        <v/>
      </c>
    </row>
    <row r="165" spans="1:1" ht="30" customHeight="1" x14ac:dyDescent="0.2">
      <c r="A165" s="20" t="str">
        <f t="shared" si="2"/>
        <v/>
      </c>
    </row>
    <row r="166" spans="1:1" ht="30" customHeight="1" x14ac:dyDescent="0.2">
      <c r="A166" s="20" t="str">
        <f t="shared" si="2"/>
        <v/>
      </c>
    </row>
    <row r="167" spans="1:1" ht="30" customHeight="1" x14ac:dyDescent="0.2">
      <c r="A167" s="20" t="str">
        <f t="shared" si="2"/>
        <v/>
      </c>
    </row>
    <row r="168" spans="1:1" ht="30" customHeight="1" x14ac:dyDescent="0.2">
      <c r="A168" s="20" t="str">
        <f t="shared" si="2"/>
        <v/>
      </c>
    </row>
    <row r="169" spans="1:1" ht="30" customHeight="1" x14ac:dyDescent="0.2">
      <c r="A169" s="20" t="str">
        <f t="shared" si="2"/>
        <v/>
      </c>
    </row>
    <row r="170" spans="1:1" ht="30" customHeight="1" x14ac:dyDescent="0.2">
      <c r="A170" s="20" t="str">
        <f t="shared" si="2"/>
        <v/>
      </c>
    </row>
    <row r="171" spans="1:1" ht="30" customHeight="1" x14ac:dyDescent="0.2">
      <c r="A171" s="20" t="str">
        <f t="shared" si="2"/>
        <v/>
      </c>
    </row>
    <row r="172" spans="1:1" ht="30" customHeight="1" x14ac:dyDescent="0.2">
      <c r="A172" s="20" t="str">
        <f t="shared" si="2"/>
        <v/>
      </c>
    </row>
    <row r="173" spans="1:1" ht="30" customHeight="1" x14ac:dyDescent="0.2">
      <c r="A173" s="20" t="str">
        <f t="shared" si="2"/>
        <v/>
      </c>
    </row>
    <row r="174" spans="1:1" ht="30" customHeight="1" x14ac:dyDescent="0.2">
      <c r="A174" s="20" t="str">
        <f t="shared" si="2"/>
        <v/>
      </c>
    </row>
    <row r="175" spans="1:1" ht="30" customHeight="1" x14ac:dyDescent="0.2">
      <c r="A175" s="20" t="str">
        <f t="shared" si="2"/>
        <v/>
      </c>
    </row>
    <row r="176" spans="1:1" ht="30" customHeight="1" x14ac:dyDescent="0.2">
      <c r="A176" s="20" t="str">
        <f t="shared" si="2"/>
        <v/>
      </c>
    </row>
    <row r="177" spans="1:1" ht="30" customHeight="1" x14ac:dyDescent="0.2">
      <c r="A177" s="20" t="str">
        <f t="shared" si="2"/>
        <v/>
      </c>
    </row>
    <row r="178" spans="1:1" ht="30" customHeight="1" x14ac:dyDescent="0.2">
      <c r="A178" s="20" t="str">
        <f t="shared" si="2"/>
        <v/>
      </c>
    </row>
    <row r="179" spans="1:1" ht="30" customHeight="1" x14ac:dyDescent="0.2">
      <c r="A179" s="20" t="str">
        <f t="shared" si="2"/>
        <v/>
      </c>
    </row>
    <row r="180" spans="1:1" ht="30" customHeight="1" x14ac:dyDescent="0.2">
      <c r="A180" s="20" t="str">
        <f t="shared" si="2"/>
        <v/>
      </c>
    </row>
    <row r="181" spans="1:1" ht="30" customHeight="1" x14ac:dyDescent="0.2">
      <c r="A181" s="20" t="str">
        <f t="shared" si="2"/>
        <v/>
      </c>
    </row>
    <row r="182" spans="1:1" ht="30" customHeight="1" x14ac:dyDescent="0.2">
      <c r="A182" s="20" t="str">
        <f t="shared" si="2"/>
        <v/>
      </c>
    </row>
    <row r="183" spans="1:1" ht="30" customHeight="1" x14ac:dyDescent="0.2">
      <c r="A183" s="20" t="str">
        <f t="shared" si="2"/>
        <v/>
      </c>
    </row>
    <row r="184" spans="1:1" ht="30" customHeight="1" x14ac:dyDescent="0.2">
      <c r="A184" s="20" t="str">
        <f t="shared" si="2"/>
        <v/>
      </c>
    </row>
    <row r="185" spans="1:1" ht="30" customHeight="1" x14ac:dyDescent="0.2">
      <c r="A185" s="20" t="str">
        <f t="shared" si="2"/>
        <v/>
      </c>
    </row>
    <row r="186" spans="1:1" ht="30" customHeight="1" x14ac:dyDescent="0.2">
      <c r="A186" s="20" t="str">
        <f t="shared" si="2"/>
        <v/>
      </c>
    </row>
    <row r="187" spans="1:1" ht="30" customHeight="1" x14ac:dyDescent="0.2">
      <c r="A187" s="20" t="str">
        <f t="shared" si="2"/>
        <v/>
      </c>
    </row>
    <row r="188" spans="1:1" ht="30" customHeight="1" x14ac:dyDescent="0.2">
      <c r="A188" s="20" t="str">
        <f t="shared" si="2"/>
        <v/>
      </c>
    </row>
    <row r="189" spans="1:1" ht="30" customHeight="1" x14ac:dyDescent="0.2">
      <c r="A189" s="20" t="str">
        <f t="shared" si="2"/>
        <v/>
      </c>
    </row>
    <row r="190" spans="1:1" ht="30" customHeight="1" x14ac:dyDescent="0.2">
      <c r="A190" s="20" t="str">
        <f t="shared" si="2"/>
        <v/>
      </c>
    </row>
    <row r="191" spans="1:1" ht="30" customHeight="1" x14ac:dyDescent="0.2">
      <c r="A191" s="20" t="str">
        <f t="shared" si="2"/>
        <v/>
      </c>
    </row>
    <row r="192" spans="1:1" ht="30" customHeight="1" x14ac:dyDescent="0.2">
      <c r="A192" s="20" t="str">
        <f t="shared" si="2"/>
        <v/>
      </c>
    </row>
    <row r="193" spans="1:1" ht="30" customHeight="1" x14ac:dyDescent="0.2">
      <c r="A193" s="20" t="str">
        <f t="shared" si="2"/>
        <v/>
      </c>
    </row>
    <row r="194" spans="1:1" ht="30" customHeight="1" x14ac:dyDescent="0.2">
      <c r="A194" s="20" t="str">
        <f t="shared" si="2"/>
        <v/>
      </c>
    </row>
    <row r="195" spans="1:1" ht="30" customHeight="1" x14ac:dyDescent="0.2">
      <c r="A195" s="20" t="str">
        <f t="shared" si="2"/>
        <v/>
      </c>
    </row>
    <row r="196" spans="1:1" ht="30" customHeight="1" x14ac:dyDescent="0.2">
      <c r="A196" s="20" t="str">
        <f t="shared" si="2"/>
        <v/>
      </c>
    </row>
    <row r="197" spans="1:1" ht="30" customHeight="1" x14ac:dyDescent="0.2">
      <c r="A197" s="20" t="str">
        <f t="shared" si="2"/>
        <v/>
      </c>
    </row>
    <row r="198" spans="1:1" ht="30" customHeight="1" x14ac:dyDescent="0.2">
      <c r="A198" s="20" t="str">
        <f t="shared" si="2"/>
        <v/>
      </c>
    </row>
    <row r="199" spans="1:1" ht="30" customHeight="1" x14ac:dyDescent="0.2">
      <c r="A199" s="20" t="str">
        <f t="shared" si="2"/>
        <v/>
      </c>
    </row>
    <row r="200" spans="1:1" ht="30" customHeight="1" x14ac:dyDescent="0.2">
      <c r="A200" s="20" t="str">
        <f t="shared" si="2"/>
        <v/>
      </c>
    </row>
    <row r="201" spans="1:1" ht="30" customHeight="1" x14ac:dyDescent="0.2">
      <c r="A201" s="20" t="str">
        <f t="shared" si="2"/>
        <v/>
      </c>
    </row>
    <row r="202" spans="1:1" ht="30" customHeight="1" x14ac:dyDescent="0.2">
      <c r="A202" s="20" t="str">
        <f t="shared" si="2"/>
        <v/>
      </c>
    </row>
    <row r="203" spans="1:1" ht="30" customHeight="1" x14ac:dyDescent="0.2">
      <c r="A203" s="20" t="str">
        <f t="shared" si="2"/>
        <v/>
      </c>
    </row>
    <row r="204" spans="1:1" ht="30" customHeight="1" x14ac:dyDescent="0.2">
      <c r="A204" s="20" t="str">
        <f t="shared" si="2"/>
        <v/>
      </c>
    </row>
    <row r="205" spans="1:1" ht="30" customHeight="1" x14ac:dyDescent="0.2">
      <c r="A205" s="20" t="str">
        <f t="shared" si="2"/>
        <v/>
      </c>
    </row>
    <row r="206" spans="1:1" ht="30" customHeight="1" x14ac:dyDescent="0.2">
      <c r="A206" s="20" t="str">
        <f t="shared" si="2"/>
        <v/>
      </c>
    </row>
    <row r="207" spans="1:1" ht="30" customHeight="1" x14ac:dyDescent="0.2">
      <c r="A207" s="20" t="str">
        <f t="shared" si="2"/>
        <v/>
      </c>
    </row>
    <row r="208" spans="1:1" ht="30" customHeight="1" x14ac:dyDescent="0.2">
      <c r="A208" s="20" t="str">
        <f t="shared" si="2"/>
        <v/>
      </c>
    </row>
    <row r="209" spans="1:1" ht="30" customHeight="1" x14ac:dyDescent="0.2">
      <c r="A209" s="20" t="str">
        <f t="shared" si="2"/>
        <v/>
      </c>
    </row>
    <row r="210" spans="1:1" ht="30" customHeight="1" x14ac:dyDescent="0.2">
      <c r="A210" s="20" t="str">
        <f t="shared" si="2"/>
        <v/>
      </c>
    </row>
    <row r="211" spans="1:1" ht="30" customHeight="1" x14ac:dyDescent="0.2">
      <c r="A211" s="20" t="str">
        <f t="shared" si="2"/>
        <v/>
      </c>
    </row>
    <row r="212" spans="1:1" ht="30" customHeight="1" x14ac:dyDescent="0.2">
      <c r="A212" s="20" t="str">
        <f t="shared" si="2"/>
        <v/>
      </c>
    </row>
    <row r="213" spans="1:1" ht="30" customHeight="1" x14ac:dyDescent="0.2">
      <c r="A213" s="20" t="str">
        <f t="shared" si="2"/>
        <v/>
      </c>
    </row>
    <row r="214" spans="1:1" ht="30" customHeight="1" x14ac:dyDescent="0.2">
      <c r="A214" s="20" t="str">
        <f t="shared" si="2"/>
        <v/>
      </c>
    </row>
    <row r="215" spans="1:1" ht="30" customHeight="1" x14ac:dyDescent="0.2">
      <c r="A215" s="20" t="str">
        <f t="shared" si="2"/>
        <v/>
      </c>
    </row>
    <row r="216" spans="1:1" ht="30" customHeight="1" x14ac:dyDescent="0.2">
      <c r="A216" s="20" t="str">
        <f t="shared" ref="A216:A279" si="3">IF(AND(B215&lt;&gt;"",B216=""),$A$22&amp;"---&gt;","")</f>
        <v/>
      </c>
    </row>
    <row r="217" spans="1:1" ht="30" customHeight="1" x14ac:dyDescent="0.2">
      <c r="A217" s="20" t="str">
        <f t="shared" si="3"/>
        <v/>
      </c>
    </row>
    <row r="218" spans="1:1" ht="30" customHeight="1" x14ac:dyDescent="0.2">
      <c r="A218" s="20" t="str">
        <f t="shared" si="3"/>
        <v/>
      </c>
    </row>
    <row r="219" spans="1:1" ht="30" customHeight="1" x14ac:dyDescent="0.2">
      <c r="A219" s="20" t="str">
        <f t="shared" si="3"/>
        <v/>
      </c>
    </row>
    <row r="220" spans="1:1" ht="30" customHeight="1" x14ac:dyDescent="0.2">
      <c r="A220" s="20" t="str">
        <f t="shared" si="3"/>
        <v/>
      </c>
    </row>
    <row r="221" spans="1:1" ht="30" customHeight="1" x14ac:dyDescent="0.2">
      <c r="A221" s="20" t="str">
        <f t="shared" si="3"/>
        <v/>
      </c>
    </row>
    <row r="222" spans="1:1" ht="30" customHeight="1" x14ac:dyDescent="0.2">
      <c r="A222" s="20" t="str">
        <f t="shared" si="3"/>
        <v/>
      </c>
    </row>
    <row r="223" spans="1:1" ht="30" customHeight="1" x14ac:dyDescent="0.2">
      <c r="A223" s="20" t="str">
        <f t="shared" si="3"/>
        <v/>
      </c>
    </row>
    <row r="224" spans="1:1" ht="30" customHeight="1" x14ac:dyDescent="0.2">
      <c r="A224" s="20" t="str">
        <f t="shared" si="3"/>
        <v/>
      </c>
    </row>
    <row r="225" spans="1:1" ht="30" customHeight="1" x14ac:dyDescent="0.2">
      <c r="A225" s="20" t="str">
        <f t="shared" si="3"/>
        <v/>
      </c>
    </row>
    <row r="226" spans="1:1" ht="30" customHeight="1" x14ac:dyDescent="0.2">
      <c r="A226" s="20" t="str">
        <f t="shared" si="3"/>
        <v/>
      </c>
    </row>
    <row r="227" spans="1:1" ht="30" customHeight="1" x14ac:dyDescent="0.2">
      <c r="A227" s="20" t="str">
        <f t="shared" si="3"/>
        <v/>
      </c>
    </row>
    <row r="228" spans="1:1" ht="30" customHeight="1" x14ac:dyDescent="0.2">
      <c r="A228" s="20" t="str">
        <f t="shared" si="3"/>
        <v/>
      </c>
    </row>
    <row r="229" spans="1:1" ht="30" customHeight="1" x14ac:dyDescent="0.2">
      <c r="A229" s="20" t="str">
        <f t="shared" si="3"/>
        <v/>
      </c>
    </row>
    <row r="230" spans="1:1" ht="30" customHeight="1" x14ac:dyDescent="0.2">
      <c r="A230" s="20" t="str">
        <f t="shared" si="3"/>
        <v/>
      </c>
    </row>
    <row r="231" spans="1:1" ht="30" customHeight="1" x14ac:dyDescent="0.2">
      <c r="A231" s="20" t="str">
        <f t="shared" si="3"/>
        <v/>
      </c>
    </row>
    <row r="232" spans="1:1" ht="30" customHeight="1" x14ac:dyDescent="0.2">
      <c r="A232" s="20" t="str">
        <f t="shared" si="3"/>
        <v/>
      </c>
    </row>
    <row r="233" spans="1:1" ht="30" customHeight="1" x14ac:dyDescent="0.2">
      <c r="A233" s="20" t="str">
        <f t="shared" si="3"/>
        <v/>
      </c>
    </row>
    <row r="234" spans="1:1" ht="30" customHeight="1" x14ac:dyDescent="0.2">
      <c r="A234" s="20" t="str">
        <f t="shared" si="3"/>
        <v/>
      </c>
    </row>
    <row r="235" spans="1:1" ht="30" customHeight="1" x14ac:dyDescent="0.2">
      <c r="A235" s="20" t="str">
        <f t="shared" si="3"/>
        <v/>
      </c>
    </row>
    <row r="236" spans="1:1" ht="30" customHeight="1" x14ac:dyDescent="0.2">
      <c r="A236" s="20" t="str">
        <f t="shared" si="3"/>
        <v/>
      </c>
    </row>
    <row r="237" spans="1:1" ht="30" customHeight="1" x14ac:dyDescent="0.2">
      <c r="A237" s="20" t="str">
        <f t="shared" si="3"/>
        <v/>
      </c>
    </row>
    <row r="238" spans="1:1" ht="30" customHeight="1" x14ac:dyDescent="0.2">
      <c r="A238" s="20" t="str">
        <f t="shared" si="3"/>
        <v/>
      </c>
    </row>
    <row r="239" spans="1:1" ht="30" customHeight="1" x14ac:dyDescent="0.2">
      <c r="A239" s="20" t="str">
        <f t="shared" si="3"/>
        <v/>
      </c>
    </row>
    <row r="240" spans="1:1" ht="30" customHeight="1" x14ac:dyDescent="0.2">
      <c r="A240" s="20" t="str">
        <f t="shared" si="3"/>
        <v/>
      </c>
    </row>
    <row r="241" spans="1:1" ht="30" customHeight="1" x14ac:dyDescent="0.2">
      <c r="A241" s="20" t="str">
        <f t="shared" si="3"/>
        <v/>
      </c>
    </row>
    <row r="242" spans="1:1" ht="30" customHeight="1" x14ac:dyDescent="0.2">
      <c r="A242" s="20" t="str">
        <f t="shared" si="3"/>
        <v/>
      </c>
    </row>
    <row r="243" spans="1:1" ht="30" customHeight="1" x14ac:dyDescent="0.2">
      <c r="A243" s="20" t="str">
        <f t="shared" si="3"/>
        <v/>
      </c>
    </row>
    <row r="244" spans="1:1" ht="30" customHeight="1" x14ac:dyDescent="0.2">
      <c r="A244" s="20" t="str">
        <f t="shared" si="3"/>
        <v/>
      </c>
    </row>
    <row r="245" spans="1:1" ht="30" customHeight="1" x14ac:dyDescent="0.2">
      <c r="A245" s="20" t="str">
        <f t="shared" si="3"/>
        <v/>
      </c>
    </row>
    <row r="246" spans="1:1" ht="30" customHeight="1" x14ac:dyDescent="0.2">
      <c r="A246" s="20" t="str">
        <f t="shared" si="3"/>
        <v/>
      </c>
    </row>
    <row r="247" spans="1:1" ht="30" customHeight="1" x14ac:dyDescent="0.2">
      <c r="A247" s="20" t="str">
        <f t="shared" si="3"/>
        <v/>
      </c>
    </row>
    <row r="248" spans="1:1" ht="30" customHeight="1" x14ac:dyDescent="0.2">
      <c r="A248" s="20" t="str">
        <f t="shared" si="3"/>
        <v/>
      </c>
    </row>
    <row r="249" spans="1:1" ht="30" customHeight="1" x14ac:dyDescent="0.2">
      <c r="A249" s="20" t="str">
        <f t="shared" si="3"/>
        <v/>
      </c>
    </row>
    <row r="250" spans="1:1" ht="30" customHeight="1" x14ac:dyDescent="0.2">
      <c r="A250" s="20" t="str">
        <f t="shared" si="3"/>
        <v/>
      </c>
    </row>
    <row r="251" spans="1:1" ht="30" customHeight="1" x14ac:dyDescent="0.2">
      <c r="A251" s="20" t="str">
        <f t="shared" si="3"/>
        <v/>
      </c>
    </row>
    <row r="252" spans="1:1" ht="30" customHeight="1" x14ac:dyDescent="0.2">
      <c r="A252" s="20" t="str">
        <f t="shared" si="3"/>
        <v/>
      </c>
    </row>
    <row r="253" spans="1:1" ht="30" customHeight="1" x14ac:dyDescent="0.2">
      <c r="A253" s="20" t="str">
        <f t="shared" si="3"/>
        <v/>
      </c>
    </row>
    <row r="254" spans="1:1" ht="30" customHeight="1" x14ac:dyDescent="0.2">
      <c r="A254" s="20" t="str">
        <f t="shared" si="3"/>
        <v/>
      </c>
    </row>
    <row r="255" spans="1:1" ht="30" customHeight="1" x14ac:dyDescent="0.2">
      <c r="A255" s="20" t="str">
        <f t="shared" si="3"/>
        <v/>
      </c>
    </row>
    <row r="256" spans="1:1" ht="30" customHeight="1" x14ac:dyDescent="0.2">
      <c r="A256" s="20" t="str">
        <f t="shared" si="3"/>
        <v/>
      </c>
    </row>
    <row r="257" spans="1:1" ht="30" customHeight="1" x14ac:dyDescent="0.2">
      <c r="A257" s="20" t="str">
        <f t="shared" si="3"/>
        <v/>
      </c>
    </row>
    <row r="258" spans="1:1" ht="30" customHeight="1" x14ac:dyDescent="0.2">
      <c r="A258" s="20" t="str">
        <f t="shared" si="3"/>
        <v/>
      </c>
    </row>
    <row r="259" spans="1:1" ht="30" customHeight="1" x14ac:dyDescent="0.2">
      <c r="A259" s="20" t="str">
        <f t="shared" si="3"/>
        <v/>
      </c>
    </row>
    <row r="260" spans="1:1" ht="30" customHeight="1" x14ac:dyDescent="0.2">
      <c r="A260" s="20" t="str">
        <f t="shared" si="3"/>
        <v/>
      </c>
    </row>
    <row r="261" spans="1:1" ht="30" customHeight="1" x14ac:dyDescent="0.2">
      <c r="A261" s="20" t="str">
        <f t="shared" si="3"/>
        <v/>
      </c>
    </row>
    <row r="262" spans="1:1" ht="30" customHeight="1" x14ac:dyDescent="0.2">
      <c r="A262" s="20" t="str">
        <f t="shared" si="3"/>
        <v/>
      </c>
    </row>
    <row r="263" spans="1:1" ht="30" customHeight="1" x14ac:dyDescent="0.2">
      <c r="A263" s="20" t="str">
        <f t="shared" si="3"/>
        <v/>
      </c>
    </row>
    <row r="264" spans="1:1" ht="30" customHeight="1" x14ac:dyDescent="0.2">
      <c r="A264" s="20" t="str">
        <f t="shared" si="3"/>
        <v/>
      </c>
    </row>
    <row r="265" spans="1:1" ht="30" customHeight="1" x14ac:dyDescent="0.2">
      <c r="A265" s="20" t="str">
        <f t="shared" si="3"/>
        <v/>
      </c>
    </row>
    <row r="266" spans="1:1" ht="30" customHeight="1" x14ac:dyDescent="0.2">
      <c r="A266" s="20" t="str">
        <f t="shared" si="3"/>
        <v/>
      </c>
    </row>
    <row r="267" spans="1:1" ht="30" customHeight="1" x14ac:dyDescent="0.2">
      <c r="A267" s="20" t="str">
        <f t="shared" si="3"/>
        <v/>
      </c>
    </row>
    <row r="268" spans="1:1" ht="30" customHeight="1" x14ac:dyDescent="0.2">
      <c r="A268" s="20" t="str">
        <f t="shared" si="3"/>
        <v/>
      </c>
    </row>
    <row r="269" spans="1:1" ht="30" customHeight="1" x14ac:dyDescent="0.2">
      <c r="A269" s="20" t="str">
        <f t="shared" si="3"/>
        <v/>
      </c>
    </row>
    <row r="270" spans="1:1" ht="30" customHeight="1" x14ac:dyDescent="0.2">
      <c r="A270" s="20" t="str">
        <f t="shared" si="3"/>
        <v/>
      </c>
    </row>
    <row r="271" spans="1:1" ht="30" customHeight="1" x14ac:dyDescent="0.2">
      <c r="A271" s="20" t="str">
        <f t="shared" si="3"/>
        <v/>
      </c>
    </row>
    <row r="272" spans="1:1" ht="30" customHeight="1" x14ac:dyDescent="0.2">
      <c r="A272" s="20" t="str">
        <f t="shared" si="3"/>
        <v/>
      </c>
    </row>
    <row r="273" spans="1:1" ht="30" customHeight="1" x14ac:dyDescent="0.2">
      <c r="A273" s="20" t="str">
        <f t="shared" si="3"/>
        <v/>
      </c>
    </row>
    <row r="274" spans="1:1" ht="30" customHeight="1" x14ac:dyDescent="0.2">
      <c r="A274" s="20" t="str">
        <f t="shared" si="3"/>
        <v/>
      </c>
    </row>
    <row r="275" spans="1:1" ht="30" customHeight="1" x14ac:dyDescent="0.2">
      <c r="A275" s="20" t="str">
        <f t="shared" si="3"/>
        <v/>
      </c>
    </row>
    <row r="276" spans="1:1" ht="30" customHeight="1" x14ac:dyDescent="0.2">
      <c r="A276" s="20" t="str">
        <f t="shared" si="3"/>
        <v/>
      </c>
    </row>
    <row r="277" spans="1:1" ht="30" customHeight="1" x14ac:dyDescent="0.2">
      <c r="A277" s="20" t="str">
        <f t="shared" si="3"/>
        <v/>
      </c>
    </row>
    <row r="278" spans="1:1" ht="30" customHeight="1" x14ac:dyDescent="0.2">
      <c r="A278" s="20" t="str">
        <f t="shared" si="3"/>
        <v/>
      </c>
    </row>
    <row r="279" spans="1:1" ht="30" customHeight="1" x14ac:dyDescent="0.2">
      <c r="A279" s="20" t="str">
        <f t="shared" si="3"/>
        <v/>
      </c>
    </row>
    <row r="280" spans="1:1" ht="30" customHeight="1" x14ac:dyDescent="0.2">
      <c r="A280" s="20" t="str">
        <f t="shared" ref="A280:A343" si="4">IF(AND(B279&lt;&gt;"",B280=""),$A$22&amp;"---&gt;","")</f>
        <v/>
      </c>
    </row>
    <row r="281" spans="1:1" ht="30" customHeight="1" x14ac:dyDescent="0.2">
      <c r="A281" s="20" t="str">
        <f t="shared" si="4"/>
        <v/>
      </c>
    </row>
    <row r="282" spans="1:1" ht="30" customHeight="1" x14ac:dyDescent="0.2">
      <c r="A282" s="20" t="str">
        <f t="shared" si="4"/>
        <v/>
      </c>
    </row>
    <row r="283" spans="1:1" ht="30" customHeight="1" x14ac:dyDescent="0.2">
      <c r="A283" s="20" t="str">
        <f t="shared" si="4"/>
        <v/>
      </c>
    </row>
    <row r="284" spans="1:1" ht="30" customHeight="1" x14ac:dyDescent="0.2">
      <c r="A284" s="20" t="str">
        <f t="shared" si="4"/>
        <v/>
      </c>
    </row>
    <row r="285" spans="1:1" ht="30" customHeight="1" x14ac:dyDescent="0.2">
      <c r="A285" s="20" t="str">
        <f t="shared" si="4"/>
        <v/>
      </c>
    </row>
    <row r="286" spans="1:1" ht="30" customHeight="1" x14ac:dyDescent="0.2">
      <c r="A286" s="20" t="str">
        <f t="shared" si="4"/>
        <v/>
      </c>
    </row>
    <row r="287" spans="1:1" ht="30" customHeight="1" x14ac:dyDescent="0.2">
      <c r="A287" s="20" t="str">
        <f t="shared" si="4"/>
        <v/>
      </c>
    </row>
    <row r="288" spans="1:1" ht="30" customHeight="1" x14ac:dyDescent="0.2">
      <c r="A288" s="20" t="str">
        <f t="shared" si="4"/>
        <v/>
      </c>
    </row>
    <row r="289" spans="1:1" ht="30" customHeight="1" x14ac:dyDescent="0.2">
      <c r="A289" s="20" t="str">
        <f t="shared" si="4"/>
        <v/>
      </c>
    </row>
    <row r="290" spans="1:1" ht="30" customHeight="1" x14ac:dyDescent="0.2">
      <c r="A290" s="20" t="str">
        <f t="shared" si="4"/>
        <v/>
      </c>
    </row>
    <row r="291" spans="1:1" ht="30" customHeight="1" x14ac:dyDescent="0.2">
      <c r="A291" s="20" t="str">
        <f t="shared" si="4"/>
        <v/>
      </c>
    </row>
    <row r="292" spans="1:1" ht="30" customHeight="1" x14ac:dyDescent="0.2">
      <c r="A292" s="20" t="str">
        <f t="shared" si="4"/>
        <v/>
      </c>
    </row>
    <row r="293" spans="1:1" ht="30" customHeight="1" x14ac:dyDescent="0.2">
      <c r="A293" s="20" t="str">
        <f t="shared" si="4"/>
        <v/>
      </c>
    </row>
    <row r="294" spans="1:1" ht="30" customHeight="1" x14ac:dyDescent="0.2">
      <c r="A294" s="20" t="str">
        <f t="shared" si="4"/>
        <v/>
      </c>
    </row>
    <row r="295" spans="1:1" ht="30" customHeight="1" x14ac:dyDescent="0.2">
      <c r="A295" s="20" t="str">
        <f t="shared" si="4"/>
        <v/>
      </c>
    </row>
    <row r="296" spans="1:1" ht="30" customHeight="1" x14ac:dyDescent="0.2">
      <c r="A296" s="20" t="str">
        <f t="shared" si="4"/>
        <v/>
      </c>
    </row>
    <row r="297" spans="1:1" ht="30" customHeight="1" x14ac:dyDescent="0.2">
      <c r="A297" s="20" t="str">
        <f t="shared" si="4"/>
        <v/>
      </c>
    </row>
    <row r="298" spans="1:1" ht="30" customHeight="1" x14ac:dyDescent="0.2">
      <c r="A298" s="20" t="str">
        <f t="shared" si="4"/>
        <v/>
      </c>
    </row>
    <row r="299" spans="1:1" ht="30" customHeight="1" x14ac:dyDescent="0.2">
      <c r="A299" s="20" t="str">
        <f t="shared" si="4"/>
        <v/>
      </c>
    </row>
    <row r="300" spans="1:1" ht="30" customHeight="1" x14ac:dyDescent="0.2">
      <c r="A300" s="20" t="str">
        <f t="shared" si="4"/>
        <v/>
      </c>
    </row>
    <row r="301" spans="1:1" ht="30" customHeight="1" x14ac:dyDescent="0.2">
      <c r="A301" s="20" t="str">
        <f t="shared" si="4"/>
        <v/>
      </c>
    </row>
    <row r="302" spans="1:1" ht="30" customHeight="1" x14ac:dyDescent="0.2">
      <c r="A302" s="20" t="str">
        <f t="shared" si="4"/>
        <v/>
      </c>
    </row>
    <row r="303" spans="1:1" ht="30" customHeight="1" x14ac:dyDescent="0.2">
      <c r="A303" s="20" t="str">
        <f t="shared" si="4"/>
        <v/>
      </c>
    </row>
    <row r="304" spans="1:1" ht="30" customHeight="1" x14ac:dyDescent="0.2">
      <c r="A304" s="20" t="str">
        <f t="shared" si="4"/>
        <v/>
      </c>
    </row>
    <row r="305" spans="1:1" ht="30" customHeight="1" x14ac:dyDescent="0.2">
      <c r="A305" s="20" t="str">
        <f t="shared" si="4"/>
        <v/>
      </c>
    </row>
    <row r="306" spans="1:1" ht="30" customHeight="1" x14ac:dyDescent="0.2">
      <c r="A306" s="20" t="str">
        <f t="shared" si="4"/>
        <v/>
      </c>
    </row>
    <row r="307" spans="1:1" ht="30" customHeight="1" x14ac:dyDescent="0.2">
      <c r="A307" s="20" t="str">
        <f t="shared" si="4"/>
        <v/>
      </c>
    </row>
    <row r="308" spans="1:1" ht="30" customHeight="1" x14ac:dyDescent="0.2">
      <c r="A308" s="20" t="str">
        <f t="shared" si="4"/>
        <v/>
      </c>
    </row>
    <row r="309" spans="1:1" ht="30" customHeight="1" x14ac:dyDescent="0.2">
      <c r="A309" s="20" t="str">
        <f t="shared" si="4"/>
        <v/>
      </c>
    </row>
    <row r="310" spans="1:1" ht="30" customHeight="1" x14ac:dyDescent="0.2">
      <c r="A310" s="20" t="str">
        <f t="shared" si="4"/>
        <v/>
      </c>
    </row>
    <row r="311" spans="1:1" ht="30" customHeight="1" x14ac:dyDescent="0.2">
      <c r="A311" s="20" t="str">
        <f t="shared" si="4"/>
        <v/>
      </c>
    </row>
    <row r="312" spans="1:1" ht="30" customHeight="1" x14ac:dyDescent="0.2">
      <c r="A312" s="20" t="str">
        <f t="shared" si="4"/>
        <v/>
      </c>
    </row>
    <row r="313" spans="1:1" ht="30" customHeight="1" x14ac:dyDescent="0.2">
      <c r="A313" s="20" t="str">
        <f t="shared" si="4"/>
        <v/>
      </c>
    </row>
    <row r="314" spans="1:1" ht="30" customHeight="1" x14ac:dyDescent="0.2">
      <c r="A314" s="20" t="str">
        <f t="shared" si="4"/>
        <v/>
      </c>
    </row>
    <row r="315" spans="1:1" ht="30" customHeight="1" x14ac:dyDescent="0.2">
      <c r="A315" s="20" t="str">
        <f t="shared" si="4"/>
        <v/>
      </c>
    </row>
    <row r="316" spans="1:1" ht="30" customHeight="1" x14ac:dyDescent="0.2">
      <c r="A316" s="20" t="str">
        <f t="shared" si="4"/>
        <v/>
      </c>
    </row>
    <row r="317" spans="1:1" ht="30" customHeight="1" x14ac:dyDescent="0.2">
      <c r="A317" s="20" t="str">
        <f t="shared" si="4"/>
        <v/>
      </c>
    </row>
    <row r="318" spans="1:1" ht="30" customHeight="1" x14ac:dyDescent="0.2">
      <c r="A318" s="20" t="str">
        <f t="shared" si="4"/>
        <v/>
      </c>
    </row>
    <row r="319" spans="1:1" ht="30" customHeight="1" x14ac:dyDescent="0.2">
      <c r="A319" s="20" t="str">
        <f t="shared" si="4"/>
        <v/>
      </c>
    </row>
    <row r="320" spans="1:1" ht="30" customHeight="1" x14ac:dyDescent="0.2">
      <c r="A320" s="20" t="str">
        <f t="shared" si="4"/>
        <v/>
      </c>
    </row>
    <row r="321" spans="1:1" ht="30" customHeight="1" x14ac:dyDescent="0.2">
      <c r="A321" s="20" t="str">
        <f t="shared" si="4"/>
        <v/>
      </c>
    </row>
    <row r="322" spans="1:1" ht="30" customHeight="1" x14ac:dyDescent="0.2">
      <c r="A322" s="20" t="str">
        <f t="shared" si="4"/>
        <v/>
      </c>
    </row>
    <row r="323" spans="1:1" ht="30" customHeight="1" x14ac:dyDescent="0.2">
      <c r="A323" s="20" t="str">
        <f t="shared" si="4"/>
        <v/>
      </c>
    </row>
    <row r="324" spans="1:1" ht="30" customHeight="1" x14ac:dyDescent="0.2">
      <c r="A324" s="20" t="str">
        <f t="shared" si="4"/>
        <v/>
      </c>
    </row>
    <row r="325" spans="1:1" ht="30" customHeight="1" x14ac:dyDescent="0.2">
      <c r="A325" s="20" t="str">
        <f t="shared" si="4"/>
        <v/>
      </c>
    </row>
    <row r="326" spans="1:1" ht="30" customHeight="1" x14ac:dyDescent="0.2">
      <c r="A326" s="20" t="str">
        <f t="shared" si="4"/>
        <v/>
      </c>
    </row>
    <row r="327" spans="1:1" ht="30" customHeight="1" x14ac:dyDescent="0.2">
      <c r="A327" s="20" t="str">
        <f t="shared" si="4"/>
        <v/>
      </c>
    </row>
    <row r="328" spans="1:1" ht="30" customHeight="1" x14ac:dyDescent="0.2">
      <c r="A328" s="20" t="str">
        <f t="shared" si="4"/>
        <v/>
      </c>
    </row>
    <row r="329" spans="1:1" ht="30" customHeight="1" x14ac:dyDescent="0.2">
      <c r="A329" s="20" t="str">
        <f t="shared" si="4"/>
        <v/>
      </c>
    </row>
    <row r="330" spans="1:1" ht="30" customHeight="1" x14ac:dyDescent="0.2">
      <c r="A330" s="20" t="str">
        <f t="shared" si="4"/>
        <v/>
      </c>
    </row>
    <row r="331" spans="1:1" ht="30" customHeight="1" x14ac:dyDescent="0.2">
      <c r="A331" s="20" t="str">
        <f t="shared" si="4"/>
        <v/>
      </c>
    </row>
    <row r="332" spans="1:1" ht="30" customHeight="1" x14ac:dyDescent="0.2">
      <c r="A332" s="20" t="str">
        <f t="shared" si="4"/>
        <v/>
      </c>
    </row>
    <row r="333" spans="1:1" ht="30" customHeight="1" x14ac:dyDescent="0.2">
      <c r="A333" s="20" t="str">
        <f t="shared" si="4"/>
        <v/>
      </c>
    </row>
    <row r="334" spans="1:1" ht="30" customHeight="1" x14ac:dyDescent="0.2">
      <c r="A334" s="20" t="str">
        <f t="shared" si="4"/>
        <v/>
      </c>
    </row>
    <row r="335" spans="1:1" ht="30" customHeight="1" x14ac:dyDescent="0.2">
      <c r="A335" s="20" t="str">
        <f t="shared" si="4"/>
        <v/>
      </c>
    </row>
    <row r="336" spans="1:1" ht="30" customHeight="1" x14ac:dyDescent="0.2">
      <c r="A336" s="20" t="str">
        <f t="shared" si="4"/>
        <v/>
      </c>
    </row>
    <row r="337" spans="1:1" ht="30" customHeight="1" x14ac:dyDescent="0.2">
      <c r="A337" s="20" t="str">
        <f t="shared" si="4"/>
        <v/>
      </c>
    </row>
    <row r="338" spans="1:1" ht="30" customHeight="1" x14ac:dyDescent="0.2">
      <c r="A338" s="20" t="str">
        <f t="shared" si="4"/>
        <v/>
      </c>
    </row>
    <row r="339" spans="1:1" ht="30" customHeight="1" x14ac:dyDescent="0.2">
      <c r="A339" s="20" t="str">
        <f t="shared" si="4"/>
        <v/>
      </c>
    </row>
    <row r="340" spans="1:1" ht="30" customHeight="1" x14ac:dyDescent="0.2">
      <c r="A340" s="20" t="str">
        <f t="shared" si="4"/>
        <v/>
      </c>
    </row>
    <row r="341" spans="1:1" ht="30" customHeight="1" x14ac:dyDescent="0.2">
      <c r="A341" s="20" t="str">
        <f t="shared" si="4"/>
        <v/>
      </c>
    </row>
    <row r="342" spans="1:1" ht="30" customHeight="1" x14ac:dyDescent="0.2">
      <c r="A342" s="20" t="str">
        <f t="shared" si="4"/>
        <v/>
      </c>
    </row>
    <row r="343" spans="1:1" ht="30" customHeight="1" x14ac:dyDescent="0.2">
      <c r="A343" s="20" t="str">
        <f t="shared" si="4"/>
        <v/>
      </c>
    </row>
    <row r="344" spans="1:1" ht="30" customHeight="1" x14ac:dyDescent="0.2">
      <c r="A344" s="20" t="str">
        <f t="shared" ref="A344:A407" si="5">IF(AND(B343&lt;&gt;"",B344=""),$A$22&amp;"---&gt;","")</f>
        <v/>
      </c>
    </row>
    <row r="345" spans="1:1" ht="30" customHeight="1" x14ac:dyDescent="0.2">
      <c r="A345" s="20" t="str">
        <f t="shared" si="5"/>
        <v/>
      </c>
    </row>
    <row r="346" spans="1:1" ht="30" customHeight="1" x14ac:dyDescent="0.2">
      <c r="A346" s="20" t="str">
        <f t="shared" si="5"/>
        <v/>
      </c>
    </row>
    <row r="347" spans="1:1" ht="30" customHeight="1" x14ac:dyDescent="0.2">
      <c r="A347" s="20" t="str">
        <f t="shared" si="5"/>
        <v/>
      </c>
    </row>
    <row r="348" spans="1:1" ht="30" customHeight="1" x14ac:dyDescent="0.2">
      <c r="A348" s="20" t="str">
        <f t="shared" si="5"/>
        <v/>
      </c>
    </row>
    <row r="349" spans="1:1" ht="30" customHeight="1" x14ac:dyDescent="0.2">
      <c r="A349" s="20" t="str">
        <f t="shared" si="5"/>
        <v/>
      </c>
    </row>
    <row r="350" spans="1:1" ht="30" customHeight="1" x14ac:dyDescent="0.2">
      <c r="A350" s="20" t="str">
        <f t="shared" si="5"/>
        <v/>
      </c>
    </row>
    <row r="351" spans="1:1" ht="30" customHeight="1" x14ac:dyDescent="0.2">
      <c r="A351" s="20" t="str">
        <f t="shared" si="5"/>
        <v/>
      </c>
    </row>
    <row r="352" spans="1:1" ht="30" customHeight="1" x14ac:dyDescent="0.2">
      <c r="A352" s="20" t="str">
        <f t="shared" si="5"/>
        <v/>
      </c>
    </row>
    <row r="353" spans="1:1" ht="30" customHeight="1" x14ac:dyDescent="0.2">
      <c r="A353" s="20" t="str">
        <f t="shared" si="5"/>
        <v/>
      </c>
    </row>
    <row r="354" spans="1:1" ht="30" customHeight="1" x14ac:dyDescent="0.2">
      <c r="A354" s="20" t="str">
        <f t="shared" si="5"/>
        <v/>
      </c>
    </row>
    <row r="355" spans="1:1" ht="30" customHeight="1" x14ac:dyDescent="0.2">
      <c r="A355" s="20" t="str">
        <f t="shared" si="5"/>
        <v/>
      </c>
    </row>
    <row r="356" spans="1:1" ht="30" customHeight="1" x14ac:dyDescent="0.2">
      <c r="A356" s="20" t="str">
        <f t="shared" si="5"/>
        <v/>
      </c>
    </row>
    <row r="357" spans="1:1" ht="30" customHeight="1" x14ac:dyDescent="0.2">
      <c r="A357" s="20" t="str">
        <f t="shared" si="5"/>
        <v/>
      </c>
    </row>
    <row r="358" spans="1:1" ht="30" customHeight="1" x14ac:dyDescent="0.2">
      <c r="A358" s="20" t="str">
        <f t="shared" si="5"/>
        <v/>
      </c>
    </row>
    <row r="359" spans="1:1" ht="30" customHeight="1" x14ac:dyDescent="0.2">
      <c r="A359" s="20" t="str">
        <f t="shared" si="5"/>
        <v/>
      </c>
    </row>
    <row r="360" spans="1:1" ht="30" customHeight="1" x14ac:dyDescent="0.2">
      <c r="A360" s="20" t="str">
        <f t="shared" si="5"/>
        <v/>
      </c>
    </row>
    <row r="361" spans="1:1" ht="30" customHeight="1" x14ac:dyDescent="0.2">
      <c r="A361" s="20" t="str">
        <f t="shared" si="5"/>
        <v/>
      </c>
    </row>
    <row r="362" spans="1:1" ht="30" customHeight="1" x14ac:dyDescent="0.2">
      <c r="A362" s="20" t="str">
        <f t="shared" si="5"/>
        <v/>
      </c>
    </row>
    <row r="363" spans="1:1" ht="30" customHeight="1" x14ac:dyDescent="0.2">
      <c r="A363" s="20" t="str">
        <f t="shared" si="5"/>
        <v/>
      </c>
    </row>
    <row r="364" spans="1:1" ht="30" customHeight="1" x14ac:dyDescent="0.2">
      <c r="A364" s="20" t="str">
        <f t="shared" si="5"/>
        <v/>
      </c>
    </row>
    <row r="365" spans="1:1" ht="30" customHeight="1" x14ac:dyDescent="0.2">
      <c r="A365" s="20" t="str">
        <f t="shared" si="5"/>
        <v/>
      </c>
    </row>
    <row r="366" spans="1:1" ht="30" customHeight="1" x14ac:dyDescent="0.2">
      <c r="A366" s="20" t="str">
        <f t="shared" si="5"/>
        <v/>
      </c>
    </row>
    <row r="367" spans="1:1" ht="30" customHeight="1" x14ac:dyDescent="0.2">
      <c r="A367" s="20" t="str">
        <f t="shared" si="5"/>
        <v/>
      </c>
    </row>
    <row r="368" spans="1:1" ht="30" customHeight="1" x14ac:dyDescent="0.2">
      <c r="A368" s="20" t="str">
        <f t="shared" si="5"/>
        <v/>
      </c>
    </row>
    <row r="369" spans="1:1" ht="30" customHeight="1" x14ac:dyDescent="0.2">
      <c r="A369" s="20" t="str">
        <f t="shared" si="5"/>
        <v/>
      </c>
    </row>
    <row r="370" spans="1:1" ht="30" customHeight="1" x14ac:dyDescent="0.2">
      <c r="A370" s="20" t="str">
        <f t="shared" si="5"/>
        <v/>
      </c>
    </row>
    <row r="371" spans="1:1" ht="30" customHeight="1" x14ac:dyDescent="0.2">
      <c r="A371" s="20" t="str">
        <f t="shared" si="5"/>
        <v/>
      </c>
    </row>
    <row r="372" spans="1:1" ht="30" customHeight="1" x14ac:dyDescent="0.2">
      <c r="A372" s="20" t="str">
        <f t="shared" si="5"/>
        <v/>
      </c>
    </row>
    <row r="373" spans="1:1" ht="30" customHeight="1" x14ac:dyDescent="0.2">
      <c r="A373" s="20" t="str">
        <f t="shared" si="5"/>
        <v/>
      </c>
    </row>
    <row r="374" spans="1:1" ht="30" customHeight="1" x14ac:dyDescent="0.2">
      <c r="A374" s="20" t="str">
        <f t="shared" si="5"/>
        <v/>
      </c>
    </row>
    <row r="375" spans="1:1" ht="30" customHeight="1" x14ac:dyDescent="0.2">
      <c r="A375" s="20" t="str">
        <f t="shared" si="5"/>
        <v/>
      </c>
    </row>
    <row r="376" spans="1:1" ht="30" customHeight="1" x14ac:dyDescent="0.2">
      <c r="A376" s="20" t="str">
        <f t="shared" si="5"/>
        <v/>
      </c>
    </row>
    <row r="377" spans="1:1" ht="30" customHeight="1" x14ac:dyDescent="0.2">
      <c r="A377" s="20" t="str">
        <f t="shared" si="5"/>
        <v/>
      </c>
    </row>
    <row r="378" spans="1:1" ht="30" customHeight="1" x14ac:dyDescent="0.2">
      <c r="A378" s="20" t="str">
        <f t="shared" si="5"/>
        <v/>
      </c>
    </row>
    <row r="379" spans="1:1" ht="30" customHeight="1" x14ac:dyDescent="0.2">
      <c r="A379" s="20" t="str">
        <f t="shared" si="5"/>
        <v/>
      </c>
    </row>
    <row r="380" spans="1:1" ht="30" customHeight="1" x14ac:dyDescent="0.2">
      <c r="A380" s="20" t="str">
        <f t="shared" si="5"/>
        <v/>
      </c>
    </row>
    <row r="381" spans="1:1" ht="30" customHeight="1" x14ac:dyDescent="0.2">
      <c r="A381" s="20" t="str">
        <f t="shared" si="5"/>
        <v/>
      </c>
    </row>
    <row r="382" spans="1:1" ht="30" customHeight="1" x14ac:dyDescent="0.2">
      <c r="A382" s="20" t="str">
        <f t="shared" si="5"/>
        <v/>
      </c>
    </row>
    <row r="383" spans="1:1" ht="30" customHeight="1" x14ac:dyDescent="0.2">
      <c r="A383" s="20" t="str">
        <f t="shared" si="5"/>
        <v/>
      </c>
    </row>
    <row r="384" spans="1:1" ht="30" customHeight="1" x14ac:dyDescent="0.2">
      <c r="A384" s="20" t="str">
        <f t="shared" si="5"/>
        <v/>
      </c>
    </row>
    <row r="385" spans="1:1" ht="30" customHeight="1" x14ac:dyDescent="0.2">
      <c r="A385" s="20" t="str">
        <f t="shared" si="5"/>
        <v/>
      </c>
    </row>
    <row r="386" spans="1:1" ht="30" customHeight="1" x14ac:dyDescent="0.2">
      <c r="A386" s="20" t="str">
        <f t="shared" si="5"/>
        <v/>
      </c>
    </row>
    <row r="387" spans="1:1" ht="30" customHeight="1" x14ac:dyDescent="0.2">
      <c r="A387" s="20" t="str">
        <f t="shared" si="5"/>
        <v/>
      </c>
    </row>
    <row r="388" spans="1:1" ht="30" customHeight="1" x14ac:dyDescent="0.2">
      <c r="A388" s="20" t="str">
        <f t="shared" si="5"/>
        <v/>
      </c>
    </row>
    <row r="389" spans="1:1" ht="30" customHeight="1" x14ac:dyDescent="0.2">
      <c r="A389" s="20" t="str">
        <f t="shared" si="5"/>
        <v/>
      </c>
    </row>
    <row r="390" spans="1:1" ht="30" customHeight="1" x14ac:dyDescent="0.2">
      <c r="A390" s="20" t="str">
        <f t="shared" si="5"/>
        <v/>
      </c>
    </row>
    <row r="391" spans="1:1" ht="30" customHeight="1" x14ac:dyDescent="0.2">
      <c r="A391" s="20" t="str">
        <f t="shared" si="5"/>
        <v/>
      </c>
    </row>
    <row r="392" spans="1:1" ht="30" customHeight="1" x14ac:dyDescent="0.2">
      <c r="A392" s="20" t="str">
        <f t="shared" si="5"/>
        <v/>
      </c>
    </row>
    <row r="393" spans="1:1" ht="30" customHeight="1" x14ac:dyDescent="0.2">
      <c r="A393" s="20" t="str">
        <f t="shared" si="5"/>
        <v/>
      </c>
    </row>
    <row r="394" spans="1:1" ht="30" customHeight="1" x14ac:dyDescent="0.2">
      <c r="A394" s="20" t="str">
        <f t="shared" si="5"/>
        <v/>
      </c>
    </row>
    <row r="395" spans="1:1" ht="30" customHeight="1" x14ac:dyDescent="0.2">
      <c r="A395" s="20" t="str">
        <f t="shared" si="5"/>
        <v/>
      </c>
    </row>
    <row r="396" spans="1:1" ht="30" customHeight="1" x14ac:dyDescent="0.2">
      <c r="A396" s="20" t="str">
        <f t="shared" si="5"/>
        <v/>
      </c>
    </row>
    <row r="397" spans="1:1" ht="30" customHeight="1" x14ac:dyDescent="0.2">
      <c r="A397" s="20" t="str">
        <f t="shared" si="5"/>
        <v/>
      </c>
    </row>
    <row r="398" spans="1:1" ht="30" customHeight="1" x14ac:dyDescent="0.2">
      <c r="A398" s="20" t="str">
        <f t="shared" si="5"/>
        <v/>
      </c>
    </row>
    <row r="399" spans="1:1" ht="30" customHeight="1" x14ac:dyDescent="0.2">
      <c r="A399" s="20" t="str">
        <f t="shared" si="5"/>
        <v/>
      </c>
    </row>
    <row r="400" spans="1:1" ht="30" customHeight="1" x14ac:dyDescent="0.2">
      <c r="A400" s="20" t="str">
        <f t="shared" si="5"/>
        <v/>
      </c>
    </row>
    <row r="401" spans="1:1" ht="30" customHeight="1" x14ac:dyDescent="0.2">
      <c r="A401" s="20" t="str">
        <f t="shared" si="5"/>
        <v/>
      </c>
    </row>
    <row r="402" spans="1:1" ht="30" customHeight="1" x14ac:dyDescent="0.2">
      <c r="A402" s="20" t="str">
        <f t="shared" si="5"/>
        <v/>
      </c>
    </row>
    <row r="403" spans="1:1" ht="30" customHeight="1" x14ac:dyDescent="0.2">
      <c r="A403" s="20" t="str">
        <f t="shared" si="5"/>
        <v/>
      </c>
    </row>
    <row r="404" spans="1:1" ht="30" customHeight="1" x14ac:dyDescent="0.2">
      <c r="A404" s="20" t="str">
        <f t="shared" si="5"/>
        <v/>
      </c>
    </row>
    <row r="405" spans="1:1" ht="30" customHeight="1" x14ac:dyDescent="0.2">
      <c r="A405" s="20" t="str">
        <f t="shared" si="5"/>
        <v/>
      </c>
    </row>
    <row r="406" spans="1:1" ht="30" customHeight="1" x14ac:dyDescent="0.2">
      <c r="A406" s="20" t="str">
        <f t="shared" si="5"/>
        <v/>
      </c>
    </row>
    <row r="407" spans="1:1" ht="30" customHeight="1" x14ac:dyDescent="0.2">
      <c r="A407" s="20" t="str">
        <f t="shared" si="5"/>
        <v/>
      </c>
    </row>
    <row r="408" spans="1:1" ht="30" customHeight="1" x14ac:dyDescent="0.2">
      <c r="A408" s="20" t="str">
        <f t="shared" ref="A408:A471" si="6">IF(AND(B407&lt;&gt;"",B408=""),$A$22&amp;"---&gt;","")</f>
        <v/>
      </c>
    </row>
    <row r="409" spans="1:1" ht="30" customHeight="1" x14ac:dyDescent="0.2">
      <c r="A409" s="20" t="str">
        <f t="shared" si="6"/>
        <v/>
      </c>
    </row>
    <row r="410" spans="1:1" ht="30" customHeight="1" x14ac:dyDescent="0.2">
      <c r="A410" s="20" t="str">
        <f t="shared" si="6"/>
        <v/>
      </c>
    </row>
    <row r="411" spans="1:1" ht="30" customHeight="1" x14ac:dyDescent="0.2">
      <c r="A411" s="20" t="str">
        <f t="shared" si="6"/>
        <v/>
      </c>
    </row>
    <row r="412" spans="1:1" ht="30" customHeight="1" x14ac:dyDescent="0.2">
      <c r="A412" s="20" t="str">
        <f t="shared" si="6"/>
        <v/>
      </c>
    </row>
    <row r="413" spans="1:1" ht="30" customHeight="1" x14ac:dyDescent="0.2">
      <c r="A413" s="20" t="str">
        <f t="shared" si="6"/>
        <v/>
      </c>
    </row>
    <row r="414" spans="1:1" ht="30" customHeight="1" x14ac:dyDescent="0.2">
      <c r="A414" s="20" t="str">
        <f t="shared" si="6"/>
        <v/>
      </c>
    </row>
    <row r="415" spans="1:1" ht="30" customHeight="1" x14ac:dyDescent="0.2">
      <c r="A415" s="20" t="str">
        <f t="shared" si="6"/>
        <v/>
      </c>
    </row>
    <row r="416" spans="1:1" ht="30" customHeight="1" x14ac:dyDescent="0.2">
      <c r="A416" s="20" t="str">
        <f t="shared" si="6"/>
        <v/>
      </c>
    </row>
    <row r="417" spans="1:1" ht="30" customHeight="1" x14ac:dyDescent="0.2">
      <c r="A417" s="20" t="str">
        <f t="shared" si="6"/>
        <v/>
      </c>
    </row>
    <row r="418" spans="1:1" ht="30" customHeight="1" x14ac:dyDescent="0.2">
      <c r="A418" s="20" t="str">
        <f t="shared" si="6"/>
        <v/>
      </c>
    </row>
    <row r="419" spans="1:1" ht="30" customHeight="1" x14ac:dyDescent="0.2">
      <c r="A419" s="20" t="str">
        <f t="shared" si="6"/>
        <v/>
      </c>
    </row>
    <row r="420" spans="1:1" ht="30" customHeight="1" x14ac:dyDescent="0.2">
      <c r="A420" s="20" t="str">
        <f t="shared" si="6"/>
        <v/>
      </c>
    </row>
    <row r="421" spans="1:1" ht="30" customHeight="1" x14ac:dyDescent="0.2">
      <c r="A421" s="20" t="str">
        <f t="shared" si="6"/>
        <v/>
      </c>
    </row>
    <row r="422" spans="1:1" ht="30" customHeight="1" x14ac:dyDescent="0.2">
      <c r="A422" s="20" t="str">
        <f t="shared" si="6"/>
        <v/>
      </c>
    </row>
    <row r="423" spans="1:1" ht="30" customHeight="1" x14ac:dyDescent="0.2">
      <c r="A423" s="20" t="str">
        <f t="shared" si="6"/>
        <v/>
      </c>
    </row>
    <row r="424" spans="1:1" ht="30" customHeight="1" x14ac:dyDescent="0.2">
      <c r="A424" s="20" t="str">
        <f t="shared" si="6"/>
        <v/>
      </c>
    </row>
    <row r="425" spans="1:1" ht="30" customHeight="1" x14ac:dyDescent="0.2">
      <c r="A425" s="20" t="str">
        <f t="shared" si="6"/>
        <v/>
      </c>
    </row>
    <row r="426" spans="1:1" ht="30" customHeight="1" x14ac:dyDescent="0.2">
      <c r="A426" s="20" t="str">
        <f t="shared" si="6"/>
        <v/>
      </c>
    </row>
    <row r="427" spans="1:1" ht="30" customHeight="1" x14ac:dyDescent="0.2">
      <c r="A427" s="20" t="str">
        <f t="shared" si="6"/>
        <v/>
      </c>
    </row>
    <row r="428" spans="1:1" ht="30" customHeight="1" x14ac:dyDescent="0.2">
      <c r="A428" s="20" t="str">
        <f t="shared" si="6"/>
        <v/>
      </c>
    </row>
    <row r="429" spans="1:1" ht="30" customHeight="1" x14ac:dyDescent="0.2">
      <c r="A429" s="20" t="str">
        <f t="shared" si="6"/>
        <v/>
      </c>
    </row>
    <row r="430" spans="1:1" ht="30" customHeight="1" x14ac:dyDescent="0.2">
      <c r="A430" s="20" t="str">
        <f t="shared" si="6"/>
        <v/>
      </c>
    </row>
    <row r="431" spans="1:1" ht="30" customHeight="1" x14ac:dyDescent="0.2">
      <c r="A431" s="20" t="str">
        <f t="shared" si="6"/>
        <v/>
      </c>
    </row>
    <row r="432" spans="1:1" ht="30" customHeight="1" x14ac:dyDescent="0.2">
      <c r="A432" s="20" t="str">
        <f t="shared" si="6"/>
        <v/>
      </c>
    </row>
    <row r="433" spans="1:1" ht="30" customHeight="1" x14ac:dyDescent="0.2">
      <c r="A433" s="20" t="str">
        <f t="shared" si="6"/>
        <v/>
      </c>
    </row>
    <row r="434" spans="1:1" ht="30" customHeight="1" x14ac:dyDescent="0.2">
      <c r="A434" s="20" t="str">
        <f t="shared" si="6"/>
        <v/>
      </c>
    </row>
    <row r="435" spans="1:1" ht="30" customHeight="1" x14ac:dyDescent="0.2">
      <c r="A435" s="20" t="str">
        <f t="shared" si="6"/>
        <v/>
      </c>
    </row>
    <row r="436" spans="1:1" ht="30" customHeight="1" x14ac:dyDescent="0.2">
      <c r="A436" s="20" t="str">
        <f t="shared" si="6"/>
        <v/>
      </c>
    </row>
    <row r="437" spans="1:1" ht="30" customHeight="1" x14ac:dyDescent="0.2">
      <c r="A437" s="20" t="str">
        <f t="shared" si="6"/>
        <v/>
      </c>
    </row>
    <row r="438" spans="1:1" ht="30" customHeight="1" x14ac:dyDescent="0.2">
      <c r="A438" s="20" t="str">
        <f t="shared" si="6"/>
        <v/>
      </c>
    </row>
    <row r="439" spans="1:1" ht="30" customHeight="1" x14ac:dyDescent="0.2">
      <c r="A439" s="20" t="str">
        <f t="shared" si="6"/>
        <v/>
      </c>
    </row>
    <row r="440" spans="1:1" ht="30" customHeight="1" x14ac:dyDescent="0.2">
      <c r="A440" s="20" t="str">
        <f t="shared" si="6"/>
        <v/>
      </c>
    </row>
    <row r="441" spans="1:1" ht="30" customHeight="1" x14ac:dyDescent="0.2">
      <c r="A441" s="20" t="str">
        <f t="shared" si="6"/>
        <v/>
      </c>
    </row>
    <row r="442" spans="1:1" ht="30" customHeight="1" x14ac:dyDescent="0.2">
      <c r="A442" s="20" t="str">
        <f t="shared" si="6"/>
        <v/>
      </c>
    </row>
    <row r="443" spans="1:1" ht="30" customHeight="1" x14ac:dyDescent="0.2">
      <c r="A443" s="20" t="str">
        <f t="shared" si="6"/>
        <v/>
      </c>
    </row>
    <row r="444" spans="1:1" ht="30" customHeight="1" x14ac:dyDescent="0.2">
      <c r="A444" s="20" t="str">
        <f t="shared" si="6"/>
        <v/>
      </c>
    </row>
    <row r="445" spans="1:1" ht="30" customHeight="1" x14ac:dyDescent="0.2">
      <c r="A445" s="20" t="str">
        <f t="shared" si="6"/>
        <v/>
      </c>
    </row>
    <row r="446" spans="1:1" ht="30" customHeight="1" x14ac:dyDescent="0.2">
      <c r="A446" s="20" t="str">
        <f t="shared" si="6"/>
        <v/>
      </c>
    </row>
    <row r="447" spans="1:1" ht="30" customHeight="1" x14ac:dyDescent="0.2">
      <c r="A447" s="20" t="str">
        <f t="shared" si="6"/>
        <v/>
      </c>
    </row>
    <row r="448" spans="1:1" ht="30" customHeight="1" x14ac:dyDescent="0.2">
      <c r="A448" s="20" t="str">
        <f t="shared" si="6"/>
        <v/>
      </c>
    </row>
    <row r="449" spans="1:1" ht="30" customHeight="1" x14ac:dyDescent="0.2">
      <c r="A449" s="20" t="str">
        <f t="shared" si="6"/>
        <v/>
      </c>
    </row>
    <row r="450" spans="1:1" ht="30" customHeight="1" x14ac:dyDescent="0.2">
      <c r="A450" s="20" t="str">
        <f t="shared" si="6"/>
        <v/>
      </c>
    </row>
    <row r="451" spans="1:1" ht="30" customHeight="1" x14ac:dyDescent="0.2">
      <c r="A451" s="20" t="str">
        <f t="shared" si="6"/>
        <v/>
      </c>
    </row>
    <row r="452" spans="1:1" ht="30" customHeight="1" x14ac:dyDescent="0.2">
      <c r="A452" s="20" t="str">
        <f t="shared" si="6"/>
        <v/>
      </c>
    </row>
    <row r="453" spans="1:1" ht="30" customHeight="1" x14ac:dyDescent="0.2">
      <c r="A453" s="20" t="str">
        <f t="shared" si="6"/>
        <v/>
      </c>
    </row>
    <row r="454" spans="1:1" ht="30" customHeight="1" x14ac:dyDescent="0.2">
      <c r="A454" s="20" t="str">
        <f t="shared" si="6"/>
        <v/>
      </c>
    </row>
    <row r="455" spans="1:1" ht="30" customHeight="1" x14ac:dyDescent="0.2">
      <c r="A455" s="20" t="str">
        <f t="shared" si="6"/>
        <v/>
      </c>
    </row>
    <row r="456" spans="1:1" ht="30" customHeight="1" x14ac:dyDescent="0.2">
      <c r="A456" s="20" t="str">
        <f t="shared" si="6"/>
        <v/>
      </c>
    </row>
    <row r="457" spans="1:1" ht="30" customHeight="1" x14ac:dyDescent="0.2">
      <c r="A457" s="20" t="str">
        <f t="shared" si="6"/>
        <v/>
      </c>
    </row>
    <row r="458" spans="1:1" ht="30" customHeight="1" x14ac:dyDescent="0.2">
      <c r="A458" s="20" t="str">
        <f t="shared" si="6"/>
        <v/>
      </c>
    </row>
    <row r="459" spans="1:1" ht="30" customHeight="1" x14ac:dyDescent="0.2">
      <c r="A459" s="20" t="str">
        <f t="shared" si="6"/>
        <v/>
      </c>
    </row>
    <row r="460" spans="1:1" ht="30" customHeight="1" x14ac:dyDescent="0.2">
      <c r="A460" s="20" t="str">
        <f t="shared" si="6"/>
        <v/>
      </c>
    </row>
    <row r="461" spans="1:1" ht="30" customHeight="1" x14ac:dyDescent="0.2">
      <c r="A461" s="20" t="str">
        <f t="shared" si="6"/>
        <v/>
      </c>
    </row>
    <row r="462" spans="1:1" ht="30" customHeight="1" x14ac:dyDescent="0.2">
      <c r="A462" s="20" t="str">
        <f t="shared" si="6"/>
        <v/>
      </c>
    </row>
    <row r="463" spans="1:1" ht="30" customHeight="1" x14ac:dyDescent="0.2">
      <c r="A463" s="20" t="str">
        <f t="shared" si="6"/>
        <v/>
      </c>
    </row>
    <row r="464" spans="1:1" ht="30" customHeight="1" x14ac:dyDescent="0.2">
      <c r="A464" s="20" t="str">
        <f t="shared" si="6"/>
        <v/>
      </c>
    </row>
    <row r="465" spans="1:1" ht="30" customHeight="1" x14ac:dyDescent="0.2">
      <c r="A465" s="20" t="str">
        <f t="shared" si="6"/>
        <v/>
      </c>
    </row>
    <row r="466" spans="1:1" ht="30" customHeight="1" x14ac:dyDescent="0.2">
      <c r="A466" s="20" t="str">
        <f t="shared" si="6"/>
        <v/>
      </c>
    </row>
    <row r="467" spans="1:1" ht="30" customHeight="1" x14ac:dyDescent="0.2">
      <c r="A467" s="20" t="str">
        <f t="shared" si="6"/>
        <v/>
      </c>
    </row>
    <row r="468" spans="1:1" ht="30" customHeight="1" x14ac:dyDescent="0.2">
      <c r="A468" s="20" t="str">
        <f t="shared" si="6"/>
        <v/>
      </c>
    </row>
    <row r="469" spans="1:1" ht="30" customHeight="1" x14ac:dyDescent="0.2">
      <c r="A469" s="20" t="str">
        <f t="shared" si="6"/>
        <v/>
      </c>
    </row>
    <row r="470" spans="1:1" ht="30" customHeight="1" x14ac:dyDescent="0.2">
      <c r="A470" s="20" t="str">
        <f t="shared" si="6"/>
        <v/>
      </c>
    </row>
    <row r="471" spans="1:1" ht="30" customHeight="1" x14ac:dyDescent="0.2">
      <c r="A471" s="20" t="str">
        <f t="shared" si="6"/>
        <v/>
      </c>
    </row>
    <row r="472" spans="1:1" ht="30" customHeight="1" x14ac:dyDescent="0.2">
      <c r="A472" s="20" t="str">
        <f t="shared" ref="A472:A535" si="7">IF(AND(B471&lt;&gt;"",B472=""),$A$22&amp;"---&gt;","")</f>
        <v/>
      </c>
    </row>
    <row r="473" spans="1:1" ht="30" customHeight="1" x14ac:dyDescent="0.2">
      <c r="A473" s="20" t="str">
        <f t="shared" si="7"/>
        <v/>
      </c>
    </row>
    <row r="474" spans="1:1" ht="30" customHeight="1" x14ac:dyDescent="0.2">
      <c r="A474" s="20" t="str">
        <f t="shared" si="7"/>
        <v/>
      </c>
    </row>
    <row r="475" spans="1:1" ht="30" customHeight="1" x14ac:dyDescent="0.2">
      <c r="A475" s="20" t="str">
        <f t="shared" si="7"/>
        <v/>
      </c>
    </row>
    <row r="476" spans="1:1" ht="30" customHeight="1" x14ac:dyDescent="0.2">
      <c r="A476" s="20" t="str">
        <f t="shared" si="7"/>
        <v/>
      </c>
    </row>
    <row r="477" spans="1:1" ht="30" customHeight="1" x14ac:dyDescent="0.2">
      <c r="A477" s="20" t="str">
        <f t="shared" si="7"/>
        <v/>
      </c>
    </row>
    <row r="478" spans="1:1" ht="30" customHeight="1" x14ac:dyDescent="0.2">
      <c r="A478" s="20" t="str">
        <f t="shared" si="7"/>
        <v/>
      </c>
    </row>
    <row r="479" spans="1:1" ht="30" customHeight="1" x14ac:dyDescent="0.2">
      <c r="A479" s="20" t="str">
        <f t="shared" si="7"/>
        <v/>
      </c>
    </row>
    <row r="480" spans="1:1" ht="30" customHeight="1" x14ac:dyDescent="0.2">
      <c r="A480" s="20" t="str">
        <f t="shared" si="7"/>
        <v/>
      </c>
    </row>
    <row r="481" spans="1:1" ht="30" customHeight="1" x14ac:dyDescent="0.2">
      <c r="A481" s="20" t="str">
        <f t="shared" si="7"/>
        <v/>
      </c>
    </row>
    <row r="482" spans="1:1" ht="30" customHeight="1" x14ac:dyDescent="0.2">
      <c r="A482" s="20" t="str">
        <f t="shared" si="7"/>
        <v/>
      </c>
    </row>
    <row r="483" spans="1:1" ht="30" customHeight="1" x14ac:dyDescent="0.2">
      <c r="A483" s="20" t="str">
        <f t="shared" si="7"/>
        <v/>
      </c>
    </row>
    <row r="484" spans="1:1" ht="30" customHeight="1" x14ac:dyDescent="0.2">
      <c r="A484" s="20" t="str">
        <f t="shared" si="7"/>
        <v/>
      </c>
    </row>
    <row r="485" spans="1:1" ht="30" customHeight="1" x14ac:dyDescent="0.2">
      <c r="A485" s="20" t="str">
        <f t="shared" si="7"/>
        <v/>
      </c>
    </row>
    <row r="486" spans="1:1" ht="30" customHeight="1" x14ac:dyDescent="0.2">
      <c r="A486" s="20" t="str">
        <f t="shared" si="7"/>
        <v/>
      </c>
    </row>
    <row r="487" spans="1:1" ht="30" customHeight="1" x14ac:dyDescent="0.2">
      <c r="A487" s="20" t="str">
        <f t="shared" si="7"/>
        <v/>
      </c>
    </row>
    <row r="488" spans="1:1" ht="30" customHeight="1" x14ac:dyDescent="0.2">
      <c r="A488" s="20" t="str">
        <f t="shared" si="7"/>
        <v/>
      </c>
    </row>
    <row r="489" spans="1:1" ht="30" customHeight="1" x14ac:dyDescent="0.2">
      <c r="A489" s="20" t="str">
        <f t="shared" si="7"/>
        <v/>
      </c>
    </row>
    <row r="490" spans="1:1" ht="30" customHeight="1" x14ac:dyDescent="0.2">
      <c r="A490" s="20" t="str">
        <f t="shared" si="7"/>
        <v/>
      </c>
    </row>
    <row r="491" spans="1:1" ht="30" customHeight="1" x14ac:dyDescent="0.2">
      <c r="A491" s="20" t="str">
        <f t="shared" si="7"/>
        <v/>
      </c>
    </row>
    <row r="492" spans="1:1" ht="30" customHeight="1" x14ac:dyDescent="0.2">
      <c r="A492" s="20" t="str">
        <f t="shared" si="7"/>
        <v/>
      </c>
    </row>
    <row r="493" spans="1:1" ht="30" customHeight="1" x14ac:dyDescent="0.2">
      <c r="A493" s="20" t="str">
        <f t="shared" si="7"/>
        <v/>
      </c>
    </row>
    <row r="494" spans="1:1" ht="30" customHeight="1" x14ac:dyDescent="0.2">
      <c r="A494" s="20" t="str">
        <f t="shared" si="7"/>
        <v/>
      </c>
    </row>
    <row r="495" spans="1:1" ht="30" customHeight="1" x14ac:dyDescent="0.2">
      <c r="A495" s="20" t="str">
        <f t="shared" si="7"/>
        <v/>
      </c>
    </row>
    <row r="496" spans="1:1" ht="30" customHeight="1" x14ac:dyDescent="0.2">
      <c r="A496" s="20" t="str">
        <f t="shared" si="7"/>
        <v/>
      </c>
    </row>
    <row r="497" spans="1:1" ht="30" customHeight="1" x14ac:dyDescent="0.2">
      <c r="A497" s="20" t="str">
        <f t="shared" si="7"/>
        <v/>
      </c>
    </row>
    <row r="498" spans="1:1" ht="30" customHeight="1" x14ac:dyDescent="0.2">
      <c r="A498" s="20" t="str">
        <f t="shared" si="7"/>
        <v/>
      </c>
    </row>
    <row r="499" spans="1:1" ht="30" customHeight="1" x14ac:dyDescent="0.2">
      <c r="A499" s="20" t="str">
        <f t="shared" si="7"/>
        <v/>
      </c>
    </row>
    <row r="500" spans="1:1" ht="30" customHeight="1" x14ac:dyDescent="0.2">
      <c r="A500" s="20" t="str">
        <f t="shared" si="7"/>
        <v/>
      </c>
    </row>
    <row r="501" spans="1:1" ht="30" customHeight="1" x14ac:dyDescent="0.2">
      <c r="A501" s="20" t="str">
        <f t="shared" si="7"/>
        <v/>
      </c>
    </row>
    <row r="502" spans="1:1" ht="30" customHeight="1" x14ac:dyDescent="0.2">
      <c r="A502" s="20" t="str">
        <f t="shared" si="7"/>
        <v/>
      </c>
    </row>
    <row r="503" spans="1:1" ht="30" customHeight="1" x14ac:dyDescent="0.2">
      <c r="A503" s="20" t="str">
        <f t="shared" si="7"/>
        <v/>
      </c>
    </row>
    <row r="504" spans="1:1" ht="30" customHeight="1" x14ac:dyDescent="0.2">
      <c r="A504" s="20" t="str">
        <f t="shared" si="7"/>
        <v/>
      </c>
    </row>
    <row r="505" spans="1:1" ht="30" customHeight="1" x14ac:dyDescent="0.2">
      <c r="A505" s="20" t="str">
        <f t="shared" si="7"/>
        <v/>
      </c>
    </row>
    <row r="506" spans="1:1" ht="30" customHeight="1" x14ac:dyDescent="0.2">
      <c r="A506" s="20" t="str">
        <f t="shared" si="7"/>
        <v/>
      </c>
    </row>
    <row r="507" spans="1:1" ht="30" customHeight="1" x14ac:dyDescent="0.2">
      <c r="A507" s="20" t="str">
        <f t="shared" si="7"/>
        <v/>
      </c>
    </row>
    <row r="508" spans="1:1" ht="30" customHeight="1" x14ac:dyDescent="0.2">
      <c r="A508" s="20" t="str">
        <f t="shared" si="7"/>
        <v/>
      </c>
    </row>
    <row r="509" spans="1:1" ht="30" customHeight="1" x14ac:dyDescent="0.2">
      <c r="A509" s="20" t="str">
        <f t="shared" si="7"/>
        <v/>
      </c>
    </row>
    <row r="510" spans="1:1" ht="30" customHeight="1" x14ac:dyDescent="0.2">
      <c r="A510" s="20" t="str">
        <f t="shared" si="7"/>
        <v/>
      </c>
    </row>
    <row r="511" spans="1:1" ht="30" customHeight="1" x14ac:dyDescent="0.2">
      <c r="A511" s="20" t="str">
        <f t="shared" si="7"/>
        <v/>
      </c>
    </row>
    <row r="512" spans="1:1" ht="30" customHeight="1" x14ac:dyDescent="0.2">
      <c r="A512" s="20" t="str">
        <f t="shared" si="7"/>
        <v/>
      </c>
    </row>
    <row r="513" spans="1:1" ht="30" customHeight="1" x14ac:dyDescent="0.2">
      <c r="A513" s="20" t="str">
        <f t="shared" si="7"/>
        <v/>
      </c>
    </row>
    <row r="514" spans="1:1" ht="30" customHeight="1" x14ac:dyDescent="0.2">
      <c r="A514" s="20" t="str">
        <f t="shared" si="7"/>
        <v/>
      </c>
    </row>
    <row r="515" spans="1:1" ht="30" customHeight="1" x14ac:dyDescent="0.2">
      <c r="A515" s="20" t="str">
        <f t="shared" si="7"/>
        <v/>
      </c>
    </row>
    <row r="516" spans="1:1" ht="30" customHeight="1" x14ac:dyDescent="0.2">
      <c r="A516" s="20" t="str">
        <f t="shared" si="7"/>
        <v/>
      </c>
    </row>
    <row r="517" spans="1:1" ht="30" customHeight="1" x14ac:dyDescent="0.2">
      <c r="A517" s="20" t="str">
        <f t="shared" si="7"/>
        <v/>
      </c>
    </row>
    <row r="518" spans="1:1" ht="30" customHeight="1" x14ac:dyDescent="0.2">
      <c r="A518" s="20" t="str">
        <f t="shared" si="7"/>
        <v/>
      </c>
    </row>
    <row r="519" spans="1:1" ht="30" customHeight="1" x14ac:dyDescent="0.2">
      <c r="A519" s="20" t="str">
        <f t="shared" si="7"/>
        <v/>
      </c>
    </row>
    <row r="520" spans="1:1" ht="30" customHeight="1" x14ac:dyDescent="0.2">
      <c r="A520" s="20" t="str">
        <f t="shared" si="7"/>
        <v/>
      </c>
    </row>
    <row r="521" spans="1:1" ht="30" customHeight="1" x14ac:dyDescent="0.2">
      <c r="A521" s="20" t="str">
        <f t="shared" si="7"/>
        <v/>
      </c>
    </row>
    <row r="522" spans="1:1" ht="30" customHeight="1" x14ac:dyDescent="0.2">
      <c r="A522" s="20" t="str">
        <f t="shared" si="7"/>
        <v/>
      </c>
    </row>
    <row r="523" spans="1:1" ht="30" customHeight="1" x14ac:dyDescent="0.2">
      <c r="A523" s="20" t="str">
        <f t="shared" si="7"/>
        <v/>
      </c>
    </row>
    <row r="524" spans="1:1" ht="30" customHeight="1" x14ac:dyDescent="0.2">
      <c r="A524" s="20" t="str">
        <f t="shared" si="7"/>
        <v/>
      </c>
    </row>
    <row r="525" spans="1:1" ht="30" customHeight="1" x14ac:dyDescent="0.2">
      <c r="A525" s="20" t="str">
        <f t="shared" si="7"/>
        <v/>
      </c>
    </row>
    <row r="526" spans="1:1" ht="30" customHeight="1" x14ac:dyDescent="0.2">
      <c r="A526" s="20" t="str">
        <f t="shared" si="7"/>
        <v/>
      </c>
    </row>
    <row r="527" spans="1:1" ht="30" customHeight="1" x14ac:dyDescent="0.2">
      <c r="A527" s="20" t="str">
        <f t="shared" si="7"/>
        <v/>
      </c>
    </row>
    <row r="528" spans="1:1" ht="30" customHeight="1" x14ac:dyDescent="0.2">
      <c r="A528" s="20" t="str">
        <f t="shared" si="7"/>
        <v/>
      </c>
    </row>
    <row r="529" spans="1:1" ht="30" customHeight="1" x14ac:dyDescent="0.2">
      <c r="A529" s="20" t="str">
        <f t="shared" si="7"/>
        <v/>
      </c>
    </row>
    <row r="530" spans="1:1" ht="30" customHeight="1" x14ac:dyDescent="0.2">
      <c r="A530" s="20" t="str">
        <f t="shared" si="7"/>
        <v/>
      </c>
    </row>
    <row r="531" spans="1:1" ht="30" customHeight="1" x14ac:dyDescent="0.2">
      <c r="A531" s="20" t="str">
        <f t="shared" si="7"/>
        <v/>
      </c>
    </row>
    <row r="532" spans="1:1" ht="30" customHeight="1" x14ac:dyDescent="0.2">
      <c r="A532" s="20" t="str">
        <f t="shared" si="7"/>
        <v/>
      </c>
    </row>
    <row r="533" spans="1:1" ht="30" customHeight="1" x14ac:dyDescent="0.2">
      <c r="A533" s="20" t="str">
        <f t="shared" si="7"/>
        <v/>
      </c>
    </row>
    <row r="534" spans="1:1" ht="30" customHeight="1" x14ac:dyDescent="0.2">
      <c r="A534" s="20" t="str">
        <f t="shared" si="7"/>
        <v/>
      </c>
    </row>
    <row r="535" spans="1:1" ht="30" customHeight="1" x14ac:dyDescent="0.2">
      <c r="A535" s="20" t="str">
        <f t="shared" si="7"/>
        <v/>
      </c>
    </row>
    <row r="536" spans="1:1" ht="30" customHeight="1" x14ac:dyDescent="0.2">
      <c r="A536" s="20" t="str">
        <f t="shared" ref="A536:A599" si="8">IF(AND(B535&lt;&gt;"",B536=""),$A$22&amp;"---&gt;","")</f>
        <v/>
      </c>
    </row>
    <row r="537" spans="1:1" ht="30" customHeight="1" x14ac:dyDescent="0.2">
      <c r="A537" s="20" t="str">
        <f t="shared" si="8"/>
        <v/>
      </c>
    </row>
    <row r="538" spans="1:1" ht="30" customHeight="1" x14ac:dyDescent="0.2">
      <c r="A538" s="20" t="str">
        <f t="shared" si="8"/>
        <v/>
      </c>
    </row>
    <row r="539" spans="1:1" ht="30" customHeight="1" x14ac:dyDescent="0.2">
      <c r="A539" s="20" t="str">
        <f t="shared" si="8"/>
        <v/>
      </c>
    </row>
    <row r="540" spans="1:1" ht="30" customHeight="1" x14ac:dyDescent="0.2">
      <c r="A540" s="20" t="str">
        <f t="shared" si="8"/>
        <v/>
      </c>
    </row>
    <row r="541" spans="1:1" ht="30" customHeight="1" x14ac:dyDescent="0.2">
      <c r="A541" s="20" t="str">
        <f t="shared" si="8"/>
        <v/>
      </c>
    </row>
    <row r="542" spans="1:1" ht="30" customHeight="1" x14ac:dyDescent="0.2">
      <c r="A542" s="20" t="str">
        <f t="shared" si="8"/>
        <v/>
      </c>
    </row>
    <row r="543" spans="1:1" ht="30" customHeight="1" x14ac:dyDescent="0.2">
      <c r="A543" s="20" t="str">
        <f t="shared" si="8"/>
        <v/>
      </c>
    </row>
    <row r="544" spans="1:1" ht="30" customHeight="1" x14ac:dyDescent="0.2">
      <c r="A544" s="20" t="str">
        <f t="shared" si="8"/>
        <v/>
      </c>
    </row>
    <row r="545" spans="1:1" ht="30" customHeight="1" x14ac:dyDescent="0.2">
      <c r="A545" s="20" t="str">
        <f t="shared" si="8"/>
        <v/>
      </c>
    </row>
    <row r="546" spans="1:1" ht="30" customHeight="1" x14ac:dyDescent="0.2">
      <c r="A546" s="20" t="str">
        <f t="shared" si="8"/>
        <v/>
      </c>
    </row>
    <row r="547" spans="1:1" ht="30" customHeight="1" x14ac:dyDescent="0.2">
      <c r="A547" s="20" t="str">
        <f t="shared" si="8"/>
        <v/>
      </c>
    </row>
    <row r="548" spans="1:1" ht="30" customHeight="1" x14ac:dyDescent="0.2">
      <c r="A548" s="20" t="str">
        <f t="shared" si="8"/>
        <v/>
      </c>
    </row>
    <row r="549" spans="1:1" ht="30" customHeight="1" x14ac:dyDescent="0.2">
      <c r="A549" s="20" t="str">
        <f t="shared" si="8"/>
        <v/>
      </c>
    </row>
    <row r="550" spans="1:1" ht="30" customHeight="1" x14ac:dyDescent="0.2">
      <c r="A550" s="20" t="str">
        <f t="shared" si="8"/>
        <v/>
      </c>
    </row>
    <row r="551" spans="1:1" ht="30" customHeight="1" x14ac:dyDescent="0.2">
      <c r="A551" s="20" t="str">
        <f t="shared" si="8"/>
        <v/>
      </c>
    </row>
    <row r="552" spans="1:1" ht="30" customHeight="1" x14ac:dyDescent="0.2">
      <c r="A552" s="20" t="str">
        <f t="shared" si="8"/>
        <v/>
      </c>
    </row>
    <row r="553" spans="1:1" ht="30" customHeight="1" x14ac:dyDescent="0.2">
      <c r="A553" s="20" t="str">
        <f t="shared" si="8"/>
        <v/>
      </c>
    </row>
    <row r="554" spans="1:1" ht="30" customHeight="1" x14ac:dyDescent="0.2">
      <c r="A554" s="20" t="str">
        <f t="shared" si="8"/>
        <v/>
      </c>
    </row>
    <row r="555" spans="1:1" ht="30" customHeight="1" x14ac:dyDescent="0.2">
      <c r="A555" s="20" t="str">
        <f t="shared" si="8"/>
        <v/>
      </c>
    </row>
    <row r="556" spans="1:1" ht="30" customHeight="1" x14ac:dyDescent="0.2">
      <c r="A556" s="20" t="str">
        <f t="shared" si="8"/>
        <v/>
      </c>
    </row>
    <row r="557" spans="1:1" ht="30" customHeight="1" x14ac:dyDescent="0.2">
      <c r="A557" s="20" t="str">
        <f t="shared" si="8"/>
        <v/>
      </c>
    </row>
    <row r="558" spans="1:1" ht="30" customHeight="1" x14ac:dyDescent="0.2">
      <c r="A558" s="20" t="str">
        <f t="shared" si="8"/>
        <v/>
      </c>
    </row>
    <row r="559" spans="1:1" ht="30" customHeight="1" x14ac:dyDescent="0.2">
      <c r="A559" s="20" t="str">
        <f t="shared" si="8"/>
        <v/>
      </c>
    </row>
    <row r="560" spans="1:1" ht="30" customHeight="1" x14ac:dyDescent="0.2">
      <c r="A560" s="20" t="str">
        <f t="shared" si="8"/>
        <v/>
      </c>
    </row>
    <row r="561" spans="1:1" ht="30" customHeight="1" x14ac:dyDescent="0.2">
      <c r="A561" s="20" t="str">
        <f t="shared" si="8"/>
        <v/>
      </c>
    </row>
    <row r="562" spans="1:1" ht="30" customHeight="1" x14ac:dyDescent="0.2">
      <c r="A562" s="20" t="str">
        <f t="shared" si="8"/>
        <v/>
      </c>
    </row>
    <row r="563" spans="1:1" ht="30" customHeight="1" x14ac:dyDescent="0.2">
      <c r="A563" s="20" t="str">
        <f t="shared" si="8"/>
        <v/>
      </c>
    </row>
    <row r="564" spans="1:1" ht="30" customHeight="1" x14ac:dyDescent="0.2">
      <c r="A564" s="20" t="str">
        <f t="shared" si="8"/>
        <v/>
      </c>
    </row>
    <row r="565" spans="1:1" ht="30" customHeight="1" x14ac:dyDescent="0.2">
      <c r="A565" s="20" t="str">
        <f t="shared" si="8"/>
        <v/>
      </c>
    </row>
    <row r="566" spans="1:1" ht="30" customHeight="1" x14ac:dyDescent="0.2">
      <c r="A566" s="20" t="str">
        <f t="shared" si="8"/>
        <v/>
      </c>
    </row>
    <row r="567" spans="1:1" ht="30" customHeight="1" x14ac:dyDescent="0.2">
      <c r="A567" s="20" t="str">
        <f t="shared" si="8"/>
        <v/>
      </c>
    </row>
    <row r="568" spans="1:1" ht="30" customHeight="1" x14ac:dyDescent="0.2">
      <c r="A568" s="20" t="str">
        <f t="shared" si="8"/>
        <v/>
      </c>
    </row>
    <row r="569" spans="1:1" ht="30" customHeight="1" x14ac:dyDescent="0.2">
      <c r="A569" s="20" t="str">
        <f t="shared" si="8"/>
        <v/>
      </c>
    </row>
    <row r="570" spans="1:1" ht="30" customHeight="1" x14ac:dyDescent="0.2">
      <c r="A570" s="20" t="str">
        <f t="shared" si="8"/>
        <v/>
      </c>
    </row>
    <row r="571" spans="1:1" ht="30" customHeight="1" x14ac:dyDescent="0.2">
      <c r="A571" s="20" t="str">
        <f t="shared" si="8"/>
        <v/>
      </c>
    </row>
    <row r="572" spans="1:1" ht="30" customHeight="1" x14ac:dyDescent="0.2">
      <c r="A572" s="20" t="str">
        <f t="shared" si="8"/>
        <v/>
      </c>
    </row>
    <row r="573" spans="1:1" ht="30" customHeight="1" x14ac:dyDescent="0.2">
      <c r="A573" s="20" t="str">
        <f t="shared" si="8"/>
        <v/>
      </c>
    </row>
    <row r="574" spans="1:1" ht="30" customHeight="1" x14ac:dyDescent="0.2">
      <c r="A574" s="20" t="str">
        <f t="shared" si="8"/>
        <v/>
      </c>
    </row>
    <row r="575" spans="1:1" ht="30" customHeight="1" x14ac:dyDescent="0.2">
      <c r="A575" s="20" t="str">
        <f t="shared" si="8"/>
        <v/>
      </c>
    </row>
    <row r="576" spans="1:1" ht="30" customHeight="1" x14ac:dyDescent="0.2">
      <c r="A576" s="20" t="str">
        <f t="shared" si="8"/>
        <v/>
      </c>
    </row>
    <row r="577" spans="1:1" ht="30" customHeight="1" x14ac:dyDescent="0.2">
      <c r="A577" s="20" t="str">
        <f t="shared" si="8"/>
        <v/>
      </c>
    </row>
    <row r="578" spans="1:1" ht="30" customHeight="1" x14ac:dyDescent="0.2">
      <c r="A578" s="20" t="str">
        <f t="shared" si="8"/>
        <v/>
      </c>
    </row>
    <row r="579" spans="1:1" ht="30" customHeight="1" x14ac:dyDescent="0.2">
      <c r="A579" s="20" t="str">
        <f t="shared" si="8"/>
        <v/>
      </c>
    </row>
    <row r="580" spans="1:1" ht="30" customHeight="1" x14ac:dyDescent="0.2">
      <c r="A580" s="20" t="str">
        <f t="shared" si="8"/>
        <v/>
      </c>
    </row>
    <row r="581" spans="1:1" ht="30" customHeight="1" x14ac:dyDescent="0.2">
      <c r="A581" s="20" t="str">
        <f t="shared" si="8"/>
        <v/>
      </c>
    </row>
    <row r="582" spans="1:1" ht="30" customHeight="1" x14ac:dyDescent="0.2">
      <c r="A582" s="20" t="str">
        <f t="shared" si="8"/>
        <v/>
      </c>
    </row>
    <row r="583" spans="1:1" ht="30" customHeight="1" x14ac:dyDescent="0.2">
      <c r="A583" s="20" t="str">
        <f t="shared" si="8"/>
        <v/>
      </c>
    </row>
    <row r="584" spans="1:1" ht="30" customHeight="1" x14ac:dyDescent="0.2">
      <c r="A584" s="20" t="str">
        <f t="shared" si="8"/>
        <v/>
      </c>
    </row>
    <row r="585" spans="1:1" ht="30" customHeight="1" x14ac:dyDescent="0.2">
      <c r="A585" s="20" t="str">
        <f t="shared" si="8"/>
        <v/>
      </c>
    </row>
    <row r="586" spans="1:1" ht="30" customHeight="1" x14ac:dyDescent="0.2">
      <c r="A586" s="20" t="str">
        <f t="shared" si="8"/>
        <v/>
      </c>
    </row>
    <row r="587" spans="1:1" ht="30" customHeight="1" x14ac:dyDescent="0.2">
      <c r="A587" s="20" t="str">
        <f t="shared" si="8"/>
        <v/>
      </c>
    </row>
    <row r="588" spans="1:1" ht="30" customHeight="1" x14ac:dyDescent="0.2">
      <c r="A588" s="20" t="str">
        <f t="shared" si="8"/>
        <v/>
      </c>
    </row>
    <row r="589" spans="1:1" ht="30" customHeight="1" x14ac:dyDescent="0.2">
      <c r="A589" s="20" t="str">
        <f t="shared" si="8"/>
        <v/>
      </c>
    </row>
    <row r="590" spans="1:1" ht="30" customHeight="1" x14ac:dyDescent="0.2">
      <c r="A590" s="20" t="str">
        <f t="shared" si="8"/>
        <v/>
      </c>
    </row>
    <row r="591" spans="1:1" ht="30" customHeight="1" x14ac:dyDescent="0.2">
      <c r="A591" s="20" t="str">
        <f t="shared" si="8"/>
        <v/>
      </c>
    </row>
    <row r="592" spans="1:1" ht="30" customHeight="1" x14ac:dyDescent="0.2">
      <c r="A592" s="20" t="str">
        <f t="shared" si="8"/>
        <v/>
      </c>
    </row>
    <row r="593" spans="1:1" ht="30" customHeight="1" x14ac:dyDescent="0.2">
      <c r="A593" s="20" t="str">
        <f t="shared" si="8"/>
        <v/>
      </c>
    </row>
    <row r="594" spans="1:1" ht="30" customHeight="1" x14ac:dyDescent="0.2">
      <c r="A594" s="20" t="str">
        <f t="shared" si="8"/>
        <v/>
      </c>
    </row>
    <row r="595" spans="1:1" ht="30" customHeight="1" x14ac:dyDescent="0.2">
      <c r="A595" s="20" t="str">
        <f t="shared" si="8"/>
        <v/>
      </c>
    </row>
    <row r="596" spans="1:1" ht="30" customHeight="1" x14ac:dyDescent="0.2">
      <c r="A596" s="20" t="str">
        <f t="shared" si="8"/>
        <v/>
      </c>
    </row>
    <row r="597" spans="1:1" ht="30" customHeight="1" x14ac:dyDescent="0.2">
      <c r="A597" s="20" t="str">
        <f t="shared" si="8"/>
        <v/>
      </c>
    </row>
    <row r="598" spans="1:1" ht="30" customHeight="1" x14ac:dyDescent="0.2">
      <c r="A598" s="20" t="str">
        <f t="shared" si="8"/>
        <v/>
      </c>
    </row>
    <row r="599" spans="1:1" ht="30" customHeight="1" x14ac:dyDescent="0.2">
      <c r="A599" s="20" t="str">
        <f t="shared" si="8"/>
        <v/>
      </c>
    </row>
    <row r="600" spans="1:1" ht="30" customHeight="1" x14ac:dyDescent="0.2">
      <c r="A600" s="20" t="str">
        <f t="shared" ref="A600:A663" si="9">IF(AND(B599&lt;&gt;"",B600=""),$A$22&amp;"---&gt;","")</f>
        <v/>
      </c>
    </row>
    <row r="601" spans="1:1" ht="30" customHeight="1" x14ac:dyDescent="0.2">
      <c r="A601" s="20" t="str">
        <f t="shared" si="9"/>
        <v/>
      </c>
    </row>
    <row r="602" spans="1:1" ht="30" customHeight="1" x14ac:dyDescent="0.2">
      <c r="A602" s="20" t="str">
        <f t="shared" si="9"/>
        <v/>
      </c>
    </row>
    <row r="603" spans="1:1" ht="30" customHeight="1" x14ac:dyDescent="0.2">
      <c r="A603" s="20" t="str">
        <f t="shared" si="9"/>
        <v/>
      </c>
    </row>
    <row r="604" spans="1:1" ht="30" customHeight="1" x14ac:dyDescent="0.2">
      <c r="A604" s="20" t="str">
        <f t="shared" si="9"/>
        <v/>
      </c>
    </row>
    <row r="605" spans="1:1" ht="30" customHeight="1" x14ac:dyDescent="0.2">
      <c r="A605" s="20" t="str">
        <f t="shared" si="9"/>
        <v/>
      </c>
    </row>
    <row r="606" spans="1:1" ht="30" customHeight="1" x14ac:dyDescent="0.2">
      <c r="A606" s="20" t="str">
        <f t="shared" si="9"/>
        <v/>
      </c>
    </row>
    <row r="607" spans="1:1" ht="30" customHeight="1" x14ac:dyDescent="0.2">
      <c r="A607" s="20" t="str">
        <f t="shared" si="9"/>
        <v/>
      </c>
    </row>
    <row r="608" spans="1:1" ht="30" customHeight="1" x14ac:dyDescent="0.2">
      <c r="A608" s="20" t="str">
        <f t="shared" si="9"/>
        <v/>
      </c>
    </row>
    <row r="609" spans="1:1" ht="30" customHeight="1" x14ac:dyDescent="0.2">
      <c r="A609" s="20" t="str">
        <f t="shared" si="9"/>
        <v/>
      </c>
    </row>
    <row r="610" spans="1:1" ht="30" customHeight="1" x14ac:dyDescent="0.2">
      <c r="A610" s="20" t="str">
        <f t="shared" si="9"/>
        <v/>
      </c>
    </row>
    <row r="611" spans="1:1" ht="30" customHeight="1" x14ac:dyDescent="0.2">
      <c r="A611" s="20" t="str">
        <f t="shared" si="9"/>
        <v/>
      </c>
    </row>
    <row r="612" spans="1:1" ht="30" customHeight="1" x14ac:dyDescent="0.2">
      <c r="A612" s="20" t="str">
        <f t="shared" si="9"/>
        <v/>
      </c>
    </row>
    <row r="613" spans="1:1" ht="30" customHeight="1" x14ac:dyDescent="0.2">
      <c r="A613" s="20" t="str">
        <f t="shared" si="9"/>
        <v/>
      </c>
    </row>
    <row r="614" spans="1:1" ht="30" customHeight="1" x14ac:dyDescent="0.2">
      <c r="A614" s="20" t="str">
        <f t="shared" si="9"/>
        <v/>
      </c>
    </row>
    <row r="615" spans="1:1" ht="30" customHeight="1" x14ac:dyDescent="0.2">
      <c r="A615" s="20" t="str">
        <f t="shared" si="9"/>
        <v/>
      </c>
    </row>
    <row r="616" spans="1:1" ht="30" customHeight="1" x14ac:dyDescent="0.2">
      <c r="A616" s="20" t="str">
        <f t="shared" si="9"/>
        <v/>
      </c>
    </row>
    <row r="617" spans="1:1" ht="30" customHeight="1" x14ac:dyDescent="0.2">
      <c r="A617" s="20" t="str">
        <f t="shared" si="9"/>
        <v/>
      </c>
    </row>
    <row r="618" spans="1:1" ht="30" customHeight="1" x14ac:dyDescent="0.2">
      <c r="A618" s="20" t="str">
        <f t="shared" si="9"/>
        <v/>
      </c>
    </row>
    <row r="619" spans="1:1" ht="30" customHeight="1" x14ac:dyDescent="0.2">
      <c r="A619" s="20" t="str">
        <f t="shared" si="9"/>
        <v/>
      </c>
    </row>
    <row r="620" spans="1:1" ht="30" customHeight="1" x14ac:dyDescent="0.2">
      <c r="A620" s="20" t="str">
        <f t="shared" si="9"/>
        <v/>
      </c>
    </row>
    <row r="621" spans="1:1" ht="30" customHeight="1" x14ac:dyDescent="0.2">
      <c r="A621" s="20" t="str">
        <f t="shared" si="9"/>
        <v/>
      </c>
    </row>
    <row r="622" spans="1:1" ht="30" customHeight="1" x14ac:dyDescent="0.2">
      <c r="A622" s="20" t="str">
        <f t="shared" si="9"/>
        <v/>
      </c>
    </row>
    <row r="623" spans="1:1" ht="30" customHeight="1" x14ac:dyDescent="0.2">
      <c r="A623" s="20" t="str">
        <f t="shared" si="9"/>
        <v/>
      </c>
    </row>
    <row r="624" spans="1:1" ht="30" customHeight="1" x14ac:dyDescent="0.2">
      <c r="A624" s="20" t="str">
        <f t="shared" si="9"/>
        <v/>
      </c>
    </row>
    <row r="625" spans="1:1" ht="30" customHeight="1" x14ac:dyDescent="0.2">
      <c r="A625" s="20" t="str">
        <f t="shared" si="9"/>
        <v/>
      </c>
    </row>
    <row r="626" spans="1:1" ht="30" customHeight="1" x14ac:dyDescent="0.2">
      <c r="A626" s="20" t="str">
        <f t="shared" si="9"/>
        <v/>
      </c>
    </row>
    <row r="627" spans="1:1" ht="30" customHeight="1" x14ac:dyDescent="0.2">
      <c r="A627" s="20" t="str">
        <f t="shared" si="9"/>
        <v/>
      </c>
    </row>
    <row r="628" spans="1:1" ht="30" customHeight="1" x14ac:dyDescent="0.2">
      <c r="A628" s="20" t="str">
        <f t="shared" si="9"/>
        <v/>
      </c>
    </row>
    <row r="629" spans="1:1" ht="30" customHeight="1" x14ac:dyDescent="0.2">
      <c r="A629" s="20" t="str">
        <f t="shared" si="9"/>
        <v/>
      </c>
    </row>
    <row r="630" spans="1:1" ht="30" customHeight="1" x14ac:dyDescent="0.2">
      <c r="A630" s="20" t="str">
        <f t="shared" si="9"/>
        <v/>
      </c>
    </row>
    <row r="631" spans="1:1" ht="30" customHeight="1" x14ac:dyDescent="0.2">
      <c r="A631" s="20" t="str">
        <f t="shared" si="9"/>
        <v/>
      </c>
    </row>
    <row r="632" spans="1:1" ht="30" customHeight="1" x14ac:dyDescent="0.2">
      <c r="A632" s="20" t="str">
        <f t="shared" si="9"/>
        <v/>
      </c>
    </row>
    <row r="633" spans="1:1" ht="30" customHeight="1" x14ac:dyDescent="0.2">
      <c r="A633" s="20" t="str">
        <f t="shared" si="9"/>
        <v/>
      </c>
    </row>
    <row r="634" spans="1:1" ht="30" customHeight="1" x14ac:dyDescent="0.2">
      <c r="A634" s="20" t="str">
        <f t="shared" si="9"/>
        <v/>
      </c>
    </row>
    <row r="635" spans="1:1" ht="30" customHeight="1" x14ac:dyDescent="0.2">
      <c r="A635" s="20" t="str">
        <f t="shared" si="9"/>
        <v/>
      </c>
    </row>
    <row r="636" spans="1:1" ht="30" customHeight="1" x14ac:dyDescent="0.2">
      <c r="A636" s="20" t="str">
        <f t="shared" si="9"/>
        <v/>
      </c>
    </row>
    <row r="637" spans="1:1" ht="30" customHeight="1" x14ac:dyDescent="0.2">
      <c r="A637" s="20" t="str">
        <f t="shared" si="9"/>
        <v/>
      </c>
    </row>
    <row r="638" spans="1:1" ht="30" customHeight="1" x14ac:dyDescent="0.2">
      <c r="A638" s="20" t="str">
        <f t="shared" si="9"/>
        <v/>
      </c>
    </row>
    <row r="639" spans="1:1" ht="30" customHeight="1" x14ac:dyDescent="0.2">
      <c r="A639" s="20" t="str">
        <f t="shared" si="9"/>
        <v/>
      </c>
    </row>
    <row r="640" spans="1:1" ht="30" customHeight="1" x14ac:dyDescent="0.2">
      <c r="A640" s="20" t="str">
        <f t="shared" si="9"/>
        <v/>
      </c>
    </row>
    <row r="641" spans="1:1" ht="30" customHeight="1" x14ac:dyDescent="0.2">
      <c r="A641" s="20" t="str">
        <f t="shared" si="9"/>
        <v/>
      </c>
    </row>
    <row r="642" spans="1:1" ht="30" customHeight="1" x14ac:dyDescent="0.2">
      <c r="A642" s="20" t="str">
        <f t="shared" si="9"/>
        <v/>
      </c>
    </row>
    <row r="643" spans="1:1" ht="30" customHeight="1" x14ac:dyDescent="0.2">
      <c r="A643" s="20" t="str">
        <f t="shared" si="9"/>
        <v/>
      </c>
    </row>
    <row r="644" spans="1:1" ht="30" customHeight="1" x14ac:dyDescent="0.2">
      <c r="A644" s="20" t="str">
        <f t="shared" si="9"/>
        <v/>
      </c>
    </row>
    <row r="645" spans="1:1" ht="30" customHeight="1" x14ac:dyDescent="0.2">
      <c r="A645" s="20" t="str">
        <f t="shared" si="9"/>
        <v/>
      </c>
    </row>
    <row r="646" spans="1:1" ht="30" customHeight="1" x14ac:dyDescent="0.2">
      <c r="A646" s="20" t="str">
        <f t="shared" si="9"/>
        <v/>
      </c>
    </row>
    <row r="647" spans="1:1" ht="30" customHeight="1" x14ac:dyDescent="0.2">
      <c r="A647" s="20" t="str">
        <f t="shared" si="9"/>
        <v/>
      </c>
    </row>
    <row r="648" spans="1:1" ht="30" customHeight="1" x14ac:dyDescent="0.2">
      <c r="A648" s="20" t="str">
        <f t="shared" si="9"/>
        <v/>
      </c>
    </row>
    <row r="649" spans="1:1" ht="30" customHeight="1" x14ac:dyDescent="0.2">
      <c r="A649" s="20" t="str">
        <f t="shared" si="9"/>
        <v/>
      </c>
    </row>
    <row r="650" spans="1:1" ht="30" customHeight="1" x14ac:dyDescent="0.2">
      <c r="A650" s="20" t="str">
        <f t="shared" si="9"/>
        <v/>
      </c>
    </row>
    <row r="651" spans="1:1" ht="30" customHeight="1" x14ac:dyDescent="0.2">
      <c r="A651" s="20" t="str">
        <f t="shared" si="9"/>
        <v/>
      </c>
    </row>
    <row r="652" spans="1:1" ht="30" customHeight="1" x14ac:dyDescent="0.2">
      <c r="A652" s="20" t="str">
        <f t="shared" si="9"/>
        <v/>
      </c>
    </row>
    <row r="653" spans="1:1" ht="30" customHeight="1" x14ac:dyDescent="0.2">
      <c r="A653" s="20" t="str">
        <f t="shared" si="9"/>
        <v/>
      </c>
    </row>
    <row r="654" spans="1:1" ht="30" customHeight="1" x14ac:dyDescent="0.2">
      <c r="A654" s="20" t="str">
        <f t="shared" si="9"/>
        <v/>
      </c>
    </row>
    <row r="655" spans="1:1" ht="30" customHeight="1" x14ac:dyDescent="0.2">
      <c r="A655" s="20" t="str">
        <f t="shared" si="9"/>
        <v/>
      </c>
    </row>
    <row r="656" spans="1:1" ht="30" customHeight="1" x14ac:dyDescent="0.2">
      <c r="A656" s="20" t="str">
        <f t="shared" si="9"/>
        <v/>
      </c>
    </row>
    <row r="657" spans="1:1" ht="30" customHeight="1" x14ac:dyDescent="0.2">
      <c r="A657" s="20" t="str">
        <f t="shared" si="9"/>
        <v/>
      </c>
    </row>
    <row r="658" spans="1:1" ht="30" customHeight="1" x14ac:dyDescent="0.2">
      <c r="A658" s="20" t="str">
        <f t="shared" si="9"/>
        <v/>
      </c>
    </row>
    <row r="659" spans="1:1" ht="30" customHeight="1" x14ac:dyDescent="0.2">
      <c r="A659" s="20" t="str">
        <f t="shared" si="9"/>
        <v/>
      </c>
    </row>
    <row r="660" spans="1:1" ht="30" customHeight="1" x14ac:dyDescent="0.2">
      <c r="A660" s="20" t="str">
        <f t="shared" si="9"/>
        <v/>
      </c>
    </row>
    <row r="661" spans="1:1" ht="30" customHeight="1" x14ac:dyDescent="0.2">
      <c r="A661" s="20" t="str">
        <f t="shared" si="9"/>
        <v/>
      </c>
    </row>
    <row r="662" spans="1:1" ht="30" customHeight="1" x14ac:dyDescent="0.2">
      <c r="A662" s="20" t="str">
        <f t="shared" si="9"/>
        <v/>
      </c>
    </row>
    <row r="663" spans="1:1" ht="30" customHeight="1" x14ac:dyDescent="0.2">
      <c r="A663" s="20" t="str">
        <f t="shared" si="9"/>
        <v/>
      </c>
    </row>
    <row r="664" spans="1:1" ht="30" customHeight="1" x14ac:dyDescent="0.2">
      <c r="A664" s="20" t="str">
        <f t="shared" ref="A664:A727" si="10">IF(AND(B663&lt;&gt;"",B664=""),$A$22&amp;"---&gt;","")</f>
        <v/>
      </c>
    </row>
    <row r="665" spans="1:1" ht="30" customHeight="1" x14ac:dyDescent="0.2">
      <c r="A665" s="20" t="str">
        <f t="shared" si="10"/>
        <v/>
      </c>
    </row>
    <row r="666" spans="1:1" ht="30" customHeight="1" x14ac:dyDescent="0.2">
      <c r="A666" s="20" t="str">
        <f t="shared" si="10"/>
        <v/>
      </c>
    </row>
    <row r="667" spans="1:1" ht="30" customHeight="1" x14ac:dyDescent="0.2">
      <c r="A667" s="20" t="str">
        <f t="shared" si="10"/>
        <v/>
      </c>
    </row>
    <row r="668" spans="1:1" ht="30" customHeight="1" x14ac:dyDescent="0.2">
      <c r="A668" s="20" t="str">
        <f t="shared" si="10"/>
        <v/>
      </c>
    </row>
    <row r="669" spans="1:1" ht="30" customHeight="1" x14ac:dyDescent="0.2">
      <c r="A669" s="20" t="str">
        <f t="shared" si="10"/>
        <v/>
      </c>
    </row>
    <row r="670" spans="1:1" ht="30" customHeight="1" x14ac:dyDescent="0.2">
      <c r="A670" s="20" t="str">
        <f t="shared" si="10"/>
        <v/>
      </c>
    </row>
    <row r="671" spans="1:1" ht="30" customHeight="1" x14ac:dyDescent="0.2">
      <c r="A671" s="20" t="str">
        <f t="shared" si="10"/>
        <v/>
      </c>
    </row>
    <row r="672" spans="1:1" ht="30" customHeight="1" x14ac:dyDescent="0.2">
      <c r="A672" s="20" t="str">
        <f t="shared" si="10"/>
        <v/>
      </c>
    </row>
    <row r="673" spans="1:1" ht="30" customHeight="1" x14ac:dyDescent="0.2">
      <c r="A673" s="20" t="str">
        <f t="shared" si="10"/>
        <v/>
      </c>
    </row>
    <row r="674" spans="1:1" ht="30" customHeight="1" x14ac:dyDescent="0.2">
      <c r="A674" s="20" t="str">
        <f t="shared" si="10"/>
        <v/>
      </c>
    </row>
    <row r="675" spans="1:1" ht="30" customHeight="1" x14ac:dyDescent="0.2">
      <c r="A675" s="20" t="str">
        <f t="shared" si="10"/>
        <v/>
      </c>
    </row>
    <row r="676" spans="1:1" ht="30" customHeight="1" x14ac:dyDescent="0.2">
      <c r="A676" s="20" t="str">
        <f t="shared" si="10"/>
        <v/>
      </c>
    </row>
    <row r="677" spans="1:1" ht="30" customHeight="1" x14ac:dyDescent="0.2">
      <c r="A677" s="20" t="str">
        <f t="shared" si="10"/>
        <v/>
      </c>
    </row>
    <row r="678" spans="1:1" ht="30" customHeight="1" x14ac:dyDescent="0.2">
      <c r="A678" s="20" t="str">
        <f t="shared" si="10"/>
        <v/>
      </c>
    </row>
    <row r="679" spans="1:1" ht="30" customHeight="1" x14ac:dyDescent="0.2">
      <c r="A679" s="20" t="str">
        <f t="shared" si="10"/>
        <v/>
      </c>
    </row>
    <row r="680" spans="1:1" ht="30" customHeight="1" x14ac:dyDescent="0.2">
      <c r="A680" s="20" t="str">
        <f t="shared" si="10"/>
        <v/>
      </c>
    </row>
    <row r="681" spans="1:1" ht="30" customHeight="1" x14ac:dyDescent="0.2">
      <c r="A681" s="20" t="str">
        <f t="shared" si="10"/>
        <v/>
      </c>
    </row>
    <row r="682" spans="1:1" ht="30" customHeight="1" x14ac:dyDescent="0.2">
      <c r="A682" s="20" t="str">
        <f t="shared" si="10"/>
        <v/>
      </c>
    </row>
    <row r="683" spans="1:1" ht="30" customHeight="1" x14ac:dyDescent="0.2">
      <c r="A683" s="20" t="str">
        <f t="shared" si="10"/>
        <v/>
      </c>
    </row>
    <row r="684" spans="1:1" ht="30" customHeight="1" x14ac:dyDescent="0.2">
      <c r="A684" s="20" t="str">
        <f t="shared" si="10"/>
        <v/>
      </c>
    </row>
    <row r="685" spans="1:1" ht="30" customHeight="1" x14ac:dyDescent="0.2">
      <c r="A685" s="20" t="str">
        <f t="shared" si="10"/>
        <v/>
      </c>
    </row>
    <row r="686" spans="1:1" ht="30" customHeight="1" x14ac:dyDescent="0.2">
      <c r="A686" s="20" t="str">
        <f t="shared" si="10"/>
        <v/>
      </c>
    </row>
    <row r="687" spans="1:1" ht="30" customHeight="1" x14ac:dyDescent="0.2">
      <c r="A687" s="20" t="str">
        <f t="shared" si="10"/>
        <v/>
      </c>
    </row>
    <row r="688" spans="1:1" ht="30" customHeight="1" x14ac:dyDescent="0.2">
      <c r="A688" s="20" t="str">
        <f t="shared" si="10"/>
        <v/>
      </c>
    </row>
    <row r="689" spans="1:1" ht="30" customHeight="1" x14ac:dyDescent="0.2">
      <c r="A689" s="20" t="str">
        <f t="shared" si="10"/>
        <v/>
      </c>
    </row>
    <row r="690" spans="1:1" ht="30" customHeight="1" x14ac:dyDescent="0.2">
      <c r="A690" s="20" t="str">
        <f t="shared" si="10"/>
        <v/>
      </c>
    </row>
    <row r="691" spans="1:1" ht="30" customHeight="1" x14ac:dyDescent="0.2">
      <c r="A691" s="20" t="str">
        <f t="shared" si="10"/>
        <v/>
      </c>
    </row>
    <row r="692" spans="1:1" ht="30" customHeight="1" x14ac:dyDescent="0.2">
      <c r="A692" s="20" t="str">
        <f t="shared" si="10"/>
        <v/>
      </c>
    </row>
    <row r="693" spans="1:1" ht="30" customHeight="1" x14ac:dyDescent="0.2">
      <c r="A693" s="20" t="str">
        <f t="shared" si="10"/>
        <v/>
      </c>
    </row>
    <row r="694" spans="1:1" ht="30" customHeight="1" x14ac:dyDescent="0.2">
      <c r="A694" s="20" t="str">
        <f t="shared" si="10"/>
        <v/>
      </c>
    </row>
    <row r="695" spans="1:1" ht="30" customHeight="1" x14ac:dyDescent="0.2">
      <c r="A695" s="20" t="str">
        <f t="shared" si="10"/>
        <v/>
      </c>
    </row>
    <row r="696" spans="1:1" ht="30" customHeight="1" x14ac:dyDescent="0.2">
      <c r="A696" s="20" t="str">
        <f t="shared" si="10"/>
        <v/>
      </c>
    </row>
    <row r="697" spans="1:1" ht="30" customHeight="1" x14ac:dyDescent="0.2">
      <c r="A697" s="20" t="str">
        <f t="shared" si="10"/>
        <v/>
      </c>
    </row>
    <row r="698" spans="1:1" ht="30" customHeight="1" x14ac:dyDescent="0.2">
      <c r="A698" s="20" t="str">
        <f t="shared" si="10"/>
        <v/>
      </c>
    </row>
    <row r="699" spans="1:1" ht="30" customHeight="1" x14ac:dyDescent="0.2">
      <c r="A699" s="20" t="str">
        <f t="shared" si="10"/>
        <v/>
      </c>
    </row>
    <row r="700" spans="1:1" ht="30" customHeight="1" x14ac:dyDescent="0.2">
      <c r="A700" s="20" t="str">
        <f t="shared" si="10"/>
        <v/>
      </c>
    </row>
    <row r="701" spans="1:1" ht="30" customHeight="1" x14ac:dyDescent="0.2">
      <c r="A701" s="20" t="str">
        <f t="shared" si="10"/>
        <v/>
      </c>
    </row>
    <row r="702" spans="1:1" ht="30" customHeight="1" x14ac:dyDescent="0.2">
      <c r="A702" s="20" t="str">
        <f t="shared" si="10"/>
        <v/>
      </c>
    </row>
    <row r="703" spans="1:1" ht="30" customHeight="1" x14ac:dyDescent="0.2">
      <c r="A703" s="20" t="str">
        <f t="shared" si="10"/>
        <v/>
      </c>
    </row>
    <row r="704" spans="1:1" ht="30" customHeight="1" x14ac:dyDescent="0.2">
      <c r="A704" s="20" t="str">
        <f t="shared" si="10"/>
        <v/>
      </c>
    </row>
    <row r="705" spans="1:1" ht="30" customHeight="1" x14ac:dyDescent="0.2">
      <c r="A705" s="20" t="str">
        <f t="shared" si="10"/>
        <v/>
      </c>
    </row>
    <row r="706" spans="1:1" ht="30" customHeight="1" x14ac:dyDescent="0.2">
      <c r="A706" s="20" t="str">
        <f t="shared" si="10"/>
        <v/>
      </c>
    </row>
    <row r="707" spans="1:1" ht="30" customHeight="1" x14ac:dyDescent="0.2">
      <c r="A707" s="20" t="str">
        <f t="shared" si="10"/>
        <v/>
      </c>
    </row>
    <row r="708" spans="1:1" ht="30" customHeight="1" x14ac:dyDescent="0.2">
      <c r="A708" s="20" t="str">
        <f t="shared" si="10"/>
        <v/>
      </c>
    </row>
    <row r="709" spans="1:1" ht="30" customHeight="1" x14ac:dyDescent="0.2">
      <c r="A709" s="20" t="str">
        <f t="shared" si="10"/>
        <v/>
      </c>
    </row>
    <row r="710" spans="1:1" ht="30" customHeight="1" x14ac:dyDescent="0.2">
      <c r="A710" s="20" t="str">
        <f t="shared" si="10"/>
        <v/>
      </c>
    </row>
    <row r="711" spans="1:1" ht="30" customHeight="1" x14ac:dyDescent="0.2">
      <c r="A711" s="20" t="str">
        <f t="shared" si="10"/>
        <v/>
      </c>
    </row>
    <row r="712" spans="1:1" ht="30" customHeight="1" x14ac:dyDescent="0.2">
      <c r="A712" s="20" t="str">
        <f t="shared" si="10"/>
        <v/>
      </c>
    </row>
    <row r="713" spans="1:1" ht="30" customHeight="1" x14ac:dyDescent="0.2">
      <c r="A713" s="20" t="str">
        <f t="shared" si="10"/>
        <v/>
      </c>
    </row>
    <row r="714" spans="1:1" ht="30" customHeight="1" x14ac:dyDescent="0.2">
      <c r="A714" s="20" t="str">
        <f t="shared" si="10"/>
        <v/>
      </c>
    </row>
    <row r="715" spans="1:1" ht="30" customHeight="1" x14ac:dyDescent="0.2">
      <c r="A715" s="20" t="str">
        <f t="shared" si="10"/>
        <v/>
      </c>
    </row>
    <row r="716" spans="1:1" ht="30" customHeight="1" x14ac:dyDescent="0.2">
      <c r="A716" s="20" t="str">
        <f t="shared" si="10"/>
        <v/>
      </c>
    </row>
    <row r="717" spans="1:1" ht="30" customHeight="1" x14ac:dyDescent="0.2">
      <c r="A717" s="20" t="str">
        <f t="shared" si="10"/>
        <v/>
      </c>
    </row>
    <row r="718" spans="1:1" ht="30" customHeight="1" x14ac:dyDescent="0.2">
      <c r="A718" s="20" t="str">
        <f t="shared" si="10"/>
        <v/>
      </c>
    </row>
    <row r="719" spans="1:1" ht="30" customHeight="1" x14ac:dyDescent="0.2">
      <c r="A719" s="20" t="str">
        <f t="shared" si="10"/>
        <v/>
      </c>
    </row>
    <row r="720" spans="1:1" ht="30" customHeight="1" x14ac:dyDescent="0.2">
      <c r="A720" s="20" t="str">
        <f t="shared" si="10"/>
        <v/>
      </c>
    </row>
    <row r="721" spans="1:1" ht="30" customHeight="1" x14ac:dyDescent="0.2">
      <c r="A721" s="20" t="str">
        <f t="shared" si="10"/>
        <v/>
      </c>
    </row>
    <row r="722" spans="1:1" ht="30" customHeight="1" x14ac:dyDescent="0.2">
      <c r="A722" s="20" t="str">
        <f t="shared" si="10"/>
        <v/>
      </c>
    </row>
    <row r="723" spans="1:1" ht="30" customHeight="1" x14ac:dyDescent="0.2">
      <c r="A723" s="20" t="str">
        <f t="shared" si="10"/>
        <v/>
      </c>
    </row>
    <row r="724" spans="1:1" ht="30" customHeight="1" x14ac:dyDescent="0.2">
      <c r="A724" s="20" t="str">
        <f t="shared" si="10"/>
        <v/>
      </c>
    </row>
    <row r="725" spans="1:1" ht="30" customHeight="1" x14ac:dyDescent="0.2">
      <c r="A725" s="20" t="str">
        <f t="shared" si="10"/>
        <v/>
      </c>
    </row>
    <row r="726" spans="1:1" ht="30" customHeight="1" x14ac:dyDescent="0.2">
      <c r="A726" s="20" t="str">
        <f t="shared" si="10"/>
        <v/>
      </c>
    </row>
    <row r="727" spans="1:1" ht="30" customHeight="1" x14ac:dyDescent="0.2">
      <c r="A727" s="20" t="str">
        <f t="shared" si="10"/>
        <v/>
      </c>
    </row>
    <row r="728" spans="1:1" ht="30" customHeight="1" x14ac:dyDescent="0.2">
      <c r="A728" s="20" t="str">
        <f t="shared" ref="A728:A791" si="11">IF(AND(B727&lt;&gt;"",B728=""),$A$22&amp;"---&gt;","")</f>
        <v/>
      </c>
    </row>
    <row r="729" spans="1:1" ht="30" customHeight="1" x14ac:dyDescent="0.2">
      <c r="A729" s="20" t="str">
        <f t="shared" si="11"/>
        <v/>
      </c>
    </row>
    <row r="730" spans="1:1" ht="30" customHeight="1" x14ac:dyDescent="0.2">
      <c r="A730" s="20" t="str">
        <f t="shared" si="11"/>
        <v/>
      </c>
    </row>
    <row r="731" spans="1:1" ht="30" customHeight="1" x14ac:dyDescent="0.2">
      <c r="A731" s="20" t="str">
        <f t="shared" si="11"/>
        <v/>
      </c>
    </row>
    <row r="732" spans="1:1" ht="30" customHeight="1" x14ac:dyDescent="0.2">
      <c r="A732" s="20" t="str">
        <f t="shared" si="11"/>
        <v/>
      </c>
    </row>
    <row r="733" spans="1:1" ht="30" customHeight="1" x14ac:dyDescent="0.2">
      <c r="A733" s="20" t="str">
        <f t="shared" si="11"/>
        <v/>
      </c>
    </row>
    <row r="734" spans="1:1" ht="30" customHeight="1" x14ac:dyDescent="0.2">
      <c r="A734" s="20" t="str">
        <f t="shared" si="11"/>
        <v/>
      </c>
    </row>
    <row r="735" spans="1:1" ht="30" customHeight="1" x14ac:dyDescent="0.2">
      <c r="A735" s="20" t="str">
        <f t="shared" si="11"/>
        <v/>
      </c>
    </row>
    <row r="736" spans="1:1" ht="30" customHeight="1" x14ac:dyDescent="0.2">
      <c r="A736" s="20" t="str">
        <f t="shared" si="11"/>
        <v/>
      </c>
    </row>
    <row r="737" spans="1:1" ht="30" customHeight="1" x14ac:dyDescent="0.2">
      <c r="A737" s="20" t="str">
        <f t="shared" si="11"/>
        <v/>
      </c>
    </row>
    <row r="738" spans="1:1" ht="30" customHeight="1" x14ac:dyDescent="0.2">
      <c r="A738" s="20" t="str">
        <f t="shared" si="11"/>
        <v/>
      </c>
    </row>
    <row r="739" spans="1:1" ht="30" customHeight="1" x14ac:dyDescent="0.2">
      <c r="A739" s="20" t="str">
        <f t="shared" si="11"/>
        <v/>
      </c>
    </row>
    <row r="740" spans="1:1" ht="30" customHeight="1" x14ac:dyDescent="0.2">
      <c r="A740" s="20" t="str">
        <f t="shared" si="11"/>
        <v/>
      </c>
    </row>
    <row r="741" spans="1:1" ht="30" customHeight="1" x14ac:dyDescent="0.2">
      <c r="A741" s="20" t="str">
        <f t="shared" si="11"/>
        <v/>
      </c>
    </row>
    <row r="742" spans="1:1" ht="30" customHeight="1" x14ac:dyDescent="0.2">
      <c r="A742" s="20" t="str">
        <f t="shared" si="11"/>
        <v/>
      </c>
    </row>
    <row r="743" spans="1:1" ht="30" customHeight="1" x14ac:dyDescent="0.2">
      <c r="A743" s="20" t="str">
        <f t="shared" si="11"/>
        <v/>
      </c>
    </row>
    <row r="744" spans="1:1" ht="30" customHeight="1" x14ac:dyDescent="0.2">
      <c r="A744" s="20" t="str">
        <f t="shared" si="11"/>
        <v/>
      </c>
    </row>
    <row r="745" spans="1:1" ht="30" customHeight="1" x14ac:dyDescent="0.2">
      <c r="A745" s="20" t="str">
        <f t="shared" si="11"/>
        <v/>
      </c>
    </row>
    <row r="746" spans="1:1" ht="30" customHeight="1" x14ac:dyDescent="0.2">
      <c r="A746" s="20" t="str">
        <f t="shared" si="11"/>
        <v/>
      </c>
    </row>
    <row r="747" spans="1:1" ht="30" customHeight="1" x14ac:dyDescent="0.2">
      <c r="A747" s="20" t="str">
        <f t="shared" si="11"/>
        <v/>
      </c>
    </row>
    <row r="748" spans="1:1" ht="30" customHeight="1" x14ac:dyDescent="0.2">
      <c r="A748" s="20" t="str">
        <f t="shared" si="11"/>
        <v/>
      </c>
    </row>
    <row r="749" spans="1:1" ht="30" customHeight="1" x14ac:dyDescent="0.2">
      <c r="A749" s="20" t="str">
        <f t="shared" si="11"/>
        <v/>
      </c>
    </row>
    <row r="750" spans="1:1" ht="30" customHeight="1" x14ac:dyDescent="0.2">
      <c r="A750" s="20" t="str">
        <f t="shared" si="11"/>
        <v/>
      </c>
    </row>
    <row r="751" spans="1:1" ht="30" customHeight="1" x14ac:dyDescent="0.2">
      <c r="A751" s="20" t="str">
        <f t="shared" si="11"/>
        <v/>
      </c>
    </row>
    <row r="752" spans="1:1" ht="30" customHeight="1" x14ac:dyDescent="0.2">
      <c r="A752" s="20" t="str">
        <f t="shared" si="11"/>
        <v/>
      </c>
    </row>
    <row r="753" spans="1:1" ht="30" customHeight="1" x14ac:dyDescent="0.2">
      <c r="A753" s="20" t="str">
        <f t="shared" si="11"/>
        <v/>
      </c>
    </row>
    <row r="754" spans="1:1" ht="30" customHeight="1" x14ac:dyDescent="0.2">
      <c r="A754" s="20" t="str">
        <f t="shared" si="11"/>
        <v/>
      </c>
    </row>
    <row r="755" spans="1:1" ht="30" customHeight="1" x14ac:dyDescent="0.2">
      <c r="A755" s="20" t="str">
        <f t="shared" si="11"/>
        <v/>
      </c>
    </row>
    <row r="756" spans="1:1" ht="30" customHeight="1" x14ac:dyDescent="0.2">
      <c r="A756" s="20" t="str">
        <f t="shared" si="11"/>
        <v/>
      </c>
    </row>
    <row r="757" spans="1:1" ht="30" customHeight="1" x14ac:dyDescent="0.2">
      <c r="A757" s="20" t="str">
        <f t="shared" si="11"/>
        <v/>
      </c>
    </row>
    <row r="758" spans="1:1" ht="30" customHeight="1" x14ac:dyDescent="0.2">
      <c r="A758" s="20" t="str">
        <f t="shared" si="11"/>
        <v/>
      </c>
    </row>
    <row r="759" spans="1:1" ht="30" customHeight="1" x14ac:dyDescent="0.2">
      <c r="A759" s="20" t="str">
        <f t="shared" si="11"/>
        <v/>
      </c>
    </row>
    <row r="760" spans="1:1" ht="30" customHeight="1" x14ac:dyDescent="0.2">
      <c r="A760" s="20" t="str">
        <f t="shared" si="11"/>
        <v/>
      </c>
    </row>
    <row r="761" spans="1:1" ht="30" customHeight="1" x14ac:dyDescent="0.2">
      <c r="A761" s="20" t="str">
        <f t="shared" si="11"/>
        <v/>
      </c>
    </row>
    <row r="762" spans="1:1" ht="30" customHeight="1" x14ac:dyDescent="0.2">
      <c r="A762" s="20" t="str">
        <f t="shared" si="11"/>
        <v/>
      </c>
    </row>
    <row r="763" spans="1:1" ht="30" customHeight="1" x14ac:dyDescent="0.2">
      <c r="A763" s="20" t="str">
        <f t="shared" si="11"/>
        <v/>
      </c>
    </row>
    <row r="764" spans="1:1" ht="30" customHeight="1" x14ac:dyDescent="0.2">
      <c r="A764" s="20" t="str">
        <f t="shared" si="11"/>
        <v/>
      </c>
    </row>
    <row r="765" spans="1:1" ht="30" customHeight="1" x14ac:dyDescent="0.2">
      <c r="A765" s="20" t="str">
        <f t="shared" si="11"/>
        <v/>
      </c>
    </row>
    <row r="766" spans="1:1" ht="30" customHeight="1" x14ac:dyDescent="0.2">
      <c r="A766" s="20" t="str">
        <f t="shared" si="11"/>
        <v/>
      </c>
    </row>
    <row r="767" spans="1:1" ht="30" customHeight="1" x14ac:dyDescent="0.2">
      <c r="A767" s="20" t="str">
        <f t="shared" si="11"/>
        <v/>
      </c>
    </row>
    <row r="768" spans="1:1" ht="30" customHeight="1" x14ac:dyDescent="0.2">
      <c r="A768" s="20" t="str">
        <f t="shared" si="11"/>
        <v/>
      </c>
    </row>
    <row r="769" spans="1:1" ht="30" customHeight="1" x14ac:dyDescent="0.2">
      <c r="A769" s="20" t="str">
        <f t="shared" si="11"/>
        <v/>
      </c>
    </row>
    <row r="770" spans="1:1" ht="30" customHeight="1" x14ac:dyDescent="0.2">
      <c r="A770" s="20" t="str">
        <f t="shared" si="11"/>
        <v/>
      </c>
    </row>
    <row r="771" spans="1:1" ht="30" customHeight="1" x14ac:dyDescent="0.2">
      <c r="A771" s="20" t="str">
        <f t="shared" si="11"/>
        <v/>
      </c>
    </row>
    <row r="772" spans="1:1" ht="30" customHeight="1" x14ac:dyDescent="0.2">
      <c r="A772" s="20" t="str">
        <f t="shared" si="11"/>
        <v/>
      </c>
    </row>
    <row r="773" spans="1:1" ht="30" customHeight="1" x14ac:dyDescent="0.2">
      <c r="A773" s="20" t="str">
        <f t="shared" si="11"/>
        <v/>
      </c>
    </row>
    <row r="774" spans="1:1" ht="30" customHeight="1" x14ac:dyDescent="0.2">
      <c r="A774" s="20" t="str">
        <f t="shared" si="11"/>
        <v/>
      </c>
    </row>
    <row r="775" spans="1:1" ht="30" customHeight="1" x14ac:dyDescent="0.2">
      <c r="A775" s="20" t="str">
        <f t="shared" si="11"/>
        <v/>
      </c>
    </row>
    <row r="776" spans="1:1" ht="30" customHeight="1" x14ac:dyDescent="0.2">
      <c r="A776" s="20" t="str">
        <f t="shared" si="11"/>
        <v/>
      </c>
    </row>
    <row r="777" spans="1:1" ht="30" customHeight="1" x14ac:dyDescent="0.2">
      <c r="A777" s="20" t="str">
        <f t="shared" si="11"/>
        <v/>
      </c>
    </row>
    <row r="778" spans="1:1" ht="30" customHeight="1" x14ac:dyDescent="0.2">
      <c r="A778" s="20" t="str">
        <f t="shared" si="11"/>
        <v/>
      </c>
    </row>
    <row r="779" spans="1:1" ht="30" customHeight="1" x14ac:dyDescent="0.2">
      <c r="A779" s="20" t="str">
        <f t="shared" si="11"/>
        <v/>
      </c>
    </row>
    <row r="780" spans="1:1" ht="30" customHeight="1" x14ac:dyDescent="0.2">
      <c r="A780" s="20" t="str">
        <f t="shared" si="11"/>
        <v/>
      </c>
    </row>
    <row r="781" spans="1:1" ht="30" customHeight="1" x14ac:dyDescent="0.2">
      <c r="A781" s="20" t="str">
        <f t="shared" si="11"/>
        <v/>
      </c>
    </row>
    <row r="782" spans="1:1" ht="30" customHeight="1" x14ac:dyDescent="0.2">
      <c r="A782" s="20" t="str">
        <f t="shared" si="11"/>
        <v/>
      </c>
    </row>
    <row r="783" spans="1:1" ht="30" customHeight="1" x14ac:dyDescent="0.2">
      <c r="A783" s="20" t="str">
        <f t="shared" si="11"/>
        <v/>
      </c>
    </row>
    <row r="784" spans="1:1" ht="30" customHeight="1" x14ac:dyDescent="0.2">
      <c r="A784" s="20" t="str">
        <f t="shared" si="11"/>
        <v/>
      </c>
    </row>
    <row r="785" spans="1:1" ht="30" customHeight="1" x14ac:dyDescent="0.2">
      <c r="A785" s="20" t="str">
        <f t="shared" si="11"/>
        <v/>
      </c>
    </row>
    <row r="786" spans="1:1" ht="30" customHeight="1" x14ac:dyDescent="0.2">
      <c r="A786" s="20" t="str">
        <f t="shared" si="11"/>
        <v/>
      </c>
    </row>
    <row r="787" spans="1:1" ht="30" customHeight="1" x14ac:dyDescent="0.2">
      <c r="A787" s="20" t="str">
        <f t="shared" si="11"/>
        <v/>
      </c>
    </row>
    <row r="788" spans="1:1" ht="30" customHeight="1" x14ac:dyDescent="0.2">
      <c r="A788" s="20" t="str">
        <f t="shared" si="11"/>
        <v/>
      </c>
    </row>
    <row r="789" spans="1:1" ht="30" customHeight="1" x14ac:dyDescent="0.2">
      <c r="A789" s="20" t="str">
        <f t="shared" si="11"/>
        <v/>
      </c>
    </row>
    <row r="790" spans="1:1" ht="30" customHeight="1" x14ac:dyDescent="0.2">
      <c r="A790" s="20" t="str">
        <f t="shared" si="11"/>
        <v/>
      </c>
    </row>
    <row r="791" spans="1:1" ht="30" customHeight="1" x14ac:dyDescent="0.2">
      <c r="A791" s="20" t="str">
        <f t="shared" si="11"/>
        <v/>
      </c>
    </row>
    <row r="792" spans="1:1" ht="30" customHeight="1" x14ac:dyDescent="0.2">
      <c r="A792" s="20" t="str">
        <f t="shared" ref="A792:A855" si="12">IF(AND(B791&lt;&gt;"",B792=""),$A$22&amp;"---&gt;","")</f>
        <v/>
      </c>
    </row>
    <row r="793" spans="1:1" ht="30" customHeight="1" x14ac:dyDescent="0.2">
      <c r="A793" s="20" t="str">
        <f t="shared" si="12"/>
        <v/>
      </c>
    </row>
    <row r="794" spans="1:1" ht="30" customHeight="1" x14ac:dyDescent="0.2">
      <c r="A794" s="20" t="str">
        <f t="shared" si="12"/>
        <v/>
      </c>
    </row>
    <row r="795" spans="1:1" ht="30" customHeight="1" x14ac:dyDescent="0.2">
      <c r="A795" s="20" t="str">
        <f t="shared" si="12"/>
        <v/>
      </c>
    </row>
    <row r="796" spans="1:1" ht="30" customHeight="1" x14ac:dyDescent="0.2">
      <c r="A796" s="20" t="str">
        <f t="shared" si="12"/>
        <v/>
      </c>
    </row>
    <row r="797" spans="1:1" ht="30" customHeight="1" x14ac:dyDescent="0.2">
      <c r="A797" s="20" t="str">
        <f t="shared" si="12"/>
        <v/>
      </c>
    </row>
    <row r="798" spans="1:1" ht="30" customHeight="1" x14ac:dyDescent="0.2">
      <c r="A798" s="20" t="str">
        <f t="shared" si="12"/>
        <v/>
      </c>
    </row>
    <row r="799" spans="1:1" ht="30" customHeight="1" x14ac:dyDescent="0.2">
      <c r="A799" s="20" t="str">
        <f t="shared" si="12"/>
        <v/>
      </c>
    </row>
    <row r="800" spans="1:1" ht="30" customHeight="1" x14ac:dyDescent="0.2">
      <c r="A800" s="20" t="str">
        <f t="shared" si="12"/>
        <v/>
      </c>
    </row>
    <row r="801" spans="1:1" ht="30" customHeight="1" x14ac:dyDescent="0.2">
      <c r="A801" s="20" t="str">
        <f t="shared" si="12"/>
        <v/>
      </c>
    </row>
    <row r="802" spans="1:1" ht="30" customHeight="1" x14ac:dyDescent="0.2">
      <c r="A802" s="20" t="str">
        <f t="shared" si="12"/>
        <v/>
      </c>
    </row>
    <row r="803" spans="1:1" ht="30" customHeight="1" x14ac:dyDescent="0.2">
      <c r="A803" s="20" t="str">
        <f t="shared" si="12"/>
        <v/>
      </c>
    </row>
    <row r="804" spans="1:1" ht="30" customHeight="1" x14ac:dyDescent="0.2">
      <c r="A804" s="20" t="str">
        <f t="shared" si="12"/>
        <v/>
      </c>
    </row>
    <row r="805" spans="1:1" ht="30" customHeight="1" x14ac:dyDescent="0.2">
      <c r="A805" s="20" t="str">
        <f t="shared" si="12"/>
        <v/>
      </c>
    </row>
    <row r="806" spans="1:1" ht="30" customHeight="1" x14ac:dyDescent="0.2">
      <c r="A806" s="20" t="str">
        <f t="shared" si="12"/>
        <v/>
      </c>
    </row>
    <row r="807" spans="1:1" ht="30" customHeight="1" x14ac:dyDescent="0.2">
      <c r="A807" s="20" t="str">
        <f t="shared" si="12"/>
        <v/>
      </c>
    </row>
    <row r="808" spans="1:1" ht="30" customHeight="1" x14ac:dyDescent="0.2">
      <c r="A808" s="20" t="str">
        <f t="shared" si="12"/>
        <v/>
      </c>
    </row>
    <row r="809" spans="1:1" ht="30" customHeight="1" x14ac:dyDescent="0.2">
      <c r="A809" s="20" t="str">
        <f t="shared" si="12"/>
        <v/>
      </c>
    </row>
    <row r="810" spans="1:1" ht="30" customHeight="1" x14ac:dyDescent="0.2">
      <c r="A810" s="20" t="str">
        <f t="shared" si="12"/>
        <v/>
      </c>
    </row>
    <row r="811" spans="1:1" ht="30" customHeight="1" x14ac:dyDescent="0.2">
      <c r="A811" s="20" t="str">
        <f t="shared" si="12"/>
        <v/>
      </c>
    </row>
    <row r="812" spans="1:1" ht="30" customHeight="1" x14ac:dyDescent="0.2">
      <c r="A812" s="20" t="str">
        <f t="shared" si="12"/>
        <v/>
      </c>
    </row>
    <row r="813" spans="1:1" ht="30" customHeight="1" x14ac:dyDescent="0.2">
      <c r="A813" s="20" t="str">
        <f t="shared" si="12"/>
        <v/>
      </c>
    </row>
    <row r="814" spans="1:1" ht="30" customHeight="1" x14ac:dyDescent="0.2">
      <c r="A814" s="20" t="str">
        <f t="shared" si="12"/>
        <v/>
      </c>
    </row>
    <row r="815" spans="1:1" ht="30" customHeight="1" x14ac:dyDescent="0.2">
      <c r="A815" s="20" t="str">
        <f t="shared" si="12"/>
        <v/>
      </c>
    </row>
    <row r="816" spans="1:1" ht="30" customHeight="1" x14ac:dyDescent="0.2">
      <c r="A816" s="20" t="str">
        <f t="shared" si="12"/>
        <v/>
      </c>
    </row>
    <row r="817" spans="1:1" ht="30" customHeight="1" x14ac:dyDescent="0.2">
      <c r="A817" s="20" t="str">
        <f t="shared" si="12"/>
        <v/>
      </c>
    </row>
    <row r="818" spans="1:1" ht="30" customHeight="1" x14ac:dyDescent="0.2">
      <c r="A818" s="20" t="str">
        <f t="shared" si="12"/>
        <v/>
      </c>
    </row>
    <row r="819" spans="1:1" ht="30" customHeight="1" x14ac:dyDescent="0.2">
      <c r="A819" s="20" t="str">
        <f t="shared" si="12"/>
        <v/>
      </c>
    </row>
    <row r="820" spans="1:1" ht="30" customHeight="1" x14ac:dyDescent="0.2">
      <c r="A820" s="20" t="str">
        <f t="shared" si="12"/>
        <v/>
      </c>
    </row>
    <row r="821" spans="1:1" ht="30" customHeight="1" x14ac:dyDescent="0.2">
      <c r="A821" s="20" t="str">
        <f t="shared" si="12"/>
        <v/>
      </c>
    </row>
    <row r="822" spans="1:1" ht="30" customHeight="1" x14ac:dyDescent="0.2">
      <c r="A822" s="20" t="str">
        <f t="shared" si="12"/>
        <v/>
      </c>
    </row>
    <row r="823" spans="1:1" ht="30" customHeight="1" x14ac:dyDescent="0.2">
      <c r="A823" s="20" t="str">
        <f t="shared" si="12"/>
        <v/>
      </c>
    </row>
    <row r="824" spans="1:1" ht="30" customHeight="1" x14ac:dyDescent="0.2">
      <c r="A824" s="20" t="str">
        <f t="shared" si="12"/>
        <v/>
      </c>
    </row>
    <row r="825" spans="1:1" ht="30" customHeight="1" x14ac:dyDescent="0.2">
      <c r="A825" s="20" t="str">
        <f t="shared" si="12"/>
        <v/>
      </c>
    </row>
    <row r="826" spans="1:1" ht="30" customHeight="1" x14ac:dyDescent="0.2">
      <c r="A826" s="20" t="str">
        <f t="shared" si="12"/>
        <v/>
      </c>
    </row>
    <row r="827" spans="1:1" ht="30" customHeight="1" x14ac:dyDescent="0.2">
      <c r="A827" s="20" t="str">
        <f t="shared" si="12"/>
        <v/>
      </c>
    </row>
    <row r="828" spans="1:1" ht="30" customHeight="1" x14ac:dyDescent="0.2">
      <c r="A828" s="20" t="str">
        <f t="shared" si="12"/>
        <v/>
      </c>
    </row>
    <row r="829" spans="1:1" ht="30" customHeight="1" x14ac:dyDescent="0.2">
      <c r="A829" s="20" t="str">
        <f t="shared" si="12"/>
        <v/>
      </c>
    </row>
    <row r="830" spans="1:1" ht="30" customHeight="1" x14ac:dyDescent="0.2">
      <c r="A830" s="20" t="str">
        <f t="shared" si="12"/>
        <v/>
      </c>
    </row>
    <row r="831" spans="1:1" ht="30" customHeight="1" x14ac:dyDescent="0.2">
      <c r="A831" s="20" t="str">
        <f t="shared" si="12"/>
        <v/>
      </c>
    </row>
    <row r="832" spans="1:1" ht="30" customHeight="1" x14ac:dyDescent="0.2">
      <c r="A832" s="20" t="str">
        <f t="shared" si="12"/>
        <v/>
      </c>
    </row>
    <row r="833" spans="1:1" ht="30" customHeight="1" x14ac:dyDescent="0.2">
      <c r="A833" s="20" t="str">
        <f t="shared" si="12"/>
        <v/>
      </c>
    </row>
    <row r="834" spans="1:1" ht="30" customHeight="1" x14ac:dyDescent="0.2">
      <c r="A834" s="20" t="str">
        <f t="shared" si="12"/>
        <v/>
      </c>
    </row>
    <row r="835" spans="1:1" ht="30" customHeight="1" x14ac:dyDescent="0.2">
      <c r="A835" s="20" t="str">
        <f t="shared" si="12"/>
        <v/>
      </c>
    </row>
    <row r="836" spans="1:1" ht="30" customHeight="1" x14ac:dyDescent="0.2">
      <c r="A836" s="20" t="str">
        <f t="shared" si="12"/>
        <v/>
      </c>
    </row>
    <row r="837" spans="1:1" ht="30" customHeight="1" x14ac:dyDescent="0.2">
      <c r="A837" s="20" t="str">
        <f t="shared" si="12"/>
        <v/>
      </c>
    </row>
    <row r="838" spans="1:1" ht="30" customHeight="1" x14ac:dyDescent="0.2">
      <c r="A838" s="20" t="str">
        <f t="shared" si="12"/>
        <v/>
      </c>
    </row>
    <row r="839" spans="1:1" ht="30" customHeight="1" x14ac:dyDescent="0.2">
      <c r="A839" s="20" t="str">
        <f t="shared" si="12"/>
        <v/>
      </c>
    </row>
    <row r="840" spans="1:1" ht="30" customHeight="1" x14ac:dyDescent="0.2">
      <c r="A840" s="20" t="str">
        <f t="shared" si="12"/>
        <v/>
      </c>
    </row>
    <row r="841" spans="1:1" ht="30" customHeight="1" x14ac:dyDescent="0.2">
      <c r="A841" s="20" t="str">
        <f t="shared" si="12"/>
        <v/>
      </c>
    </row>
    <row r="842" spans="1:1" ht="30" customHeight="1" x14ac:dyDescent="0.2">
      <c r="A842" s="20" t="str">
        <f t="shared" si="12"/>
        <v/>
      </c>
    </row>
    <row r="843" spans="1:1" ht="30" customHeight="1" x14ac:dyDescent="0.2">
      <c r="A843" s="20" t="str">
        <f t="shared" si="12"/>
        <v/>
      </c>
    </row>
    <row r="844" spans="1:1" ht="30" customHeight="1" x14ac:dyDescent="0.2">
      <c r="A844" s="20" t="str">
        <f t="shared" si="12"/>
        <v/>
      </c>
    </row>
    <row r="845" spans="1:1" ht="30" customHeight="1" x14ac:dyDescent="0.2">
      <c r="A845" s="20" t="str">
        <f t="shared" si="12"/>
        <v/>
      </c>
    </row>
    <row r="846" spans="1:1" ht="30" customHeight="1" x14ac:dyDescent="0.2">
      <c r="A846" s="20" t="str">
        <f t="shared" si="12"/>
        <v/>
      </c>
    </row>
    <row r="847" spans="1:1" ht="30" customHeight="1" x14ac:dyDescent="0.2">
      <c r="A847" s="20" t="str">
        <f t="shared" si="12"/>
        <v/>
      </c>
    </row>
    <row r="848" spans="1:1" ht="30" customHeight="1" x14ac:dyDescent="0.2">
      <c r="A848" s="20" t="str">
        <f t="shared" si="12"/>
        <v/>
      </c>
    </row>
    <row r="849" spans="1:1" ht="30" customHeight="1" x14ac:dyDescent="0.2">
      <c r="A849" s="20" t="str">
        <f t="shared" si="12"/>
        <v/>
      </c>
    </row>
    <row r="850" spans="1:1" ht="30" customHeight="1" x14ac:dyDescent="0.2">
      <c r="A850" s="20" t="str">
        <f t="shared" si="12"/>
        <v/>
      </c>
    </row>
    <row r="851" spans="1:1" ht="30" customHeight="1" x14ac:dyDescent="0.2">
      <c r="A851" s="20" t="str">
        <f t="shared" si="12"/>
        <v/>
      </c>
    </row>
    <row r="852" spans="1:1" ht="30" customHeight="1" x14ac:dyDescent="0.2">
      <c r="A852" s="20" t="str">
        <f t="shared" si="12"/>
        <v/>
      </c>
    </row>
    <row r="853" spans="1:1" ht="30" customHeight="1" x14ac:dyDescent="0.2">
      <c r="A853" s="20" t="str">
        <f t="shared" si="12"/>
        <v/>
      </c>
    </row>
    <row r="854" spans="1:1" ht="30" customHeight="1" x14ac:dyDescent="0.2">
      <c r="A854" s="20" t="str">
        <f t="shared" si="12"/>
        <v/>
      </c>
    </row>
    <row r="855" spans="1:1" ht="30" customHeight="1" x14ac:dyDescent="0.2">
      <c r="A855" s="20" t="str">
        <f t="shared" si="12"/>
        <v/>
      </c>
    </row>
    <row r="856" spans="1:1" ht="30" customHeight="1" x14ac:dyDescent="0.2">
      <c r="A856" s="20" t="str">
        <f t="shared" ref="A856:A919" si="13">IF(AND(B855&lt;&gt;"",B856=""),$A$22&amp;"---&gt;","")</f>
        <v/>
      </c>
    </row>
    <row r="857" spans="1:1" ht="30" customHeight="1" x14ac:dyDescent="0.2">
      <c r="A857" s="20" t="str">
        <f t="shared" si="13"/>
        <v/>
      </c>
    </row>
    <row r="858" spans="1:1" ht="30" customHeight="1" x14ac:dyDescent="0.2">
      <c r="A858" s="20" t="str">
        <f t="shared" si="13"/>
        <v/>
      </c>
    </row>
    <row r="859" spans="1:1" ht="30" customHeight="1" x14ac:dyDescent="0.2">
      <c r="A859" s="20" t="str">
        <f t="shared" si="13"/>
        <v/>
      </c>
    </row>
    <row r="860" spans="1:1" ht="30" customHeight="1" x14ac:dyDescent="0.2">
      <c r="A860" s="20" t="str">
        <f t="shared" si="13"/>
        <v/>
      </c>
    </row>
    <row r="861" spans="1:1" ht="30" customHeight="1" x14ac:dyDescent="0.2">
      <c r="A861" s="20" t="str">
        <f t="shared" si="13"/>
        <v/>
      </c>
    </row>
    <row r="862" spans="1:1" ht="30" customHeight="1" x14ac:dyDescent="0.2">
      <c r="A862" s="20" t="str">
        <f t="shared" si="13"/>
        <v/>
      </c>
    </row>
    <row r="863" spans="1:1" ht="30" customHeight="1" x14ac:dyDescent="0.2">
      <c r="A863" s="20" t="str">
        <f t="shared" si="13"/>
        <v/>
      </c>
    </row>
    <row r="864" spans="1:1" ht="30" customHeight="1" x14ac:dyDescent="0.2">
      <c r="A864" s="20" t="str">
        <f t="shared" si="13"/>
        <v/>
      </c>
    </row>
    <row r="865" spans="1:1" ht="30" customHeight="1" x14ac:dyDescent="0.2">
      <c r="A865" s="20" t="str">
        <f t="shared" si="13"/>
        <v/>
      </c>
    </row>
    <row r="866" spans="1:1" ht="30" customHeight="1" x14ac:dyDescent="0.2">
      <c r="A866" s="20" t="str">
        <f t="shared" si="13"/>
        <v/>
      </c>
    </row>
    <row r="867" spans="1:1" ht="30" customHeight="1" x14ac:dyDescent="0.2">
      <c r="A867" s="20" t="str">
        <f t="shared" si="13"/>
        <v/>
      </c>
    </row>
    <row r="868" spans="1:1" ht="30" customHeight="1" x14ac:dyDescent="0.2">
      <c r="A868" s="20" t="str">
        <f t="shared" si="13"/>
        <v/>
      </c>
    </row>
    <row r="869" spans="1:1" ht="30" customHeight="1" x14ac:dyDescent="0.2">
      <c r="A869" s="20" t="str">
        <f t="shared" si="13"/>
        <v/>
      </c>
    </row>
    <row r="870" spans="1:1" ht="30" customHeight="1" x14ac:dyDescent="0.2">
      <c r="A870" s="20" t="str">
        <f t="shared" si="13"/>
        <v/>
      </c>
    </row>
    <row r="871" spans="1:1" ht="30" customHeight="1" x14ac:dyDescent="0.2">
      <c r="A871" s="20" t="str">
        <f t="shared" si="13"/>
        <v/>
      </c>
    </row>
    <row r="872" spans="1:1" ht="30" customHeight="1" x14ac:dyDescent="0.2">
      <c r="A872" s="20" t="str">
        <f t="shared" si="13"/>
        <v/>
      </c>
    </row>
    <row r="873" spans="1:1" ht="30" customHeight="1" x14ac:dyDescent="0.2">
      <c r="A873" s="20" t="str">
        <f t="shared" si="13"/>
        <v/>
      </c>
    </row>
    <row r="874" spans="1:1" ht="30" customHeight="1" x14ac:dyDescent="0.2">
      <c r="A874" s="20" t="str">
        <f t="shared" si="13"/>
        <v/>
      </c>
    </row>
    <row r="875" spans="1:1" ht="30" customHeight="1" x14ac:dyDescent="0.2">
      <c r="A875" s="20" t="str">
        <f t="shared" si="13"/>
        <v/>
      </c>
    </row>
    <row r="876" spans="1:1" ht="30" customHeight="1" x14ac:dyDescent="0.2">
      <c r="A876" s="20" t="str">
        <f t="shared" si="13"/>
        <v/>
      </c>
    </row>
    <row r="877" spans="1:1" ht="30" customHeight="1" x14ac:dyDescent="0.2">
      <c r="A877" s="20" t="str">
        <f t="shared" si="13"/>
        <v/>
      </c>
    </row>
    <row r="878" spans="1:1" ht="30" customHeight="1" x14ac:dyDescent="0.2">
      <c r="A878" s="20" t="str">
        <f t="shared" si="13"/>
        <v/>
      </c>
    </row>
    <row r="879" spans="1:1" ht="30" customHeight="1" x14ac:dyDescent="0.2">
      <c r="A879" s="20" t="str">
        <f t="shared" si="13"/>
        <v/>
      </c>
    </row>
    <row r="880" spans="1:1" ht="30" customHeight="1" x14ac:dyDescent="0.2">
      <c r="A880" s="20" t="str">
        <f t="shared" si="13"/>
        <v/>
      </c>
    </row>
    <row r="881" spans="1:1" ht="30" customHeight="1" x14ac:dyDescent="0.2">
      <c r="A881" s="20" t="str">
        <f t="shared" si="13"/>
        <v/>
      </c>
    </row>
    <row r="882" spans="1:1" ht="30" customHeight="1" x14ac:dyDescent="0.2">
      <c r="A882" s="20" t="str">
        <f t="shared" si="13"/>
        <v/>
      </c>
    </row>
    <row r="883" spans="1:1" ht="30" customHeight="1" x14ac:dyDescent="0.2">
      <c r="A883" s="20" t="str">
        <f t="shared" si="13"/>
        <v/>
      </c>
    </row>
    <row r="884" spans="1:1" ht="30" customHeight="1" x14ac:dyDescent="0.2">
      <c r="A884" s="20" t="str">
        <f t="shared" si="13"/>
        <v/>
      </c>
    </row>
    <row r="885" spans="1:1" ht="30" customHeight="1" x14ac:dyDescent="0.2">
      <c r="A885" s="20" t="str">
        <f t="shared" si="13"/>
        <v/>
      </c>
    </row>
    <row r="886" spans="1:1" ht="30" customHeight="1" x14ac:dyDescent="0.2">
      <c r="A886" s="20" t="str">
        <f t="shared" si="13"/>
        <v/>
      </c>
    </row>
    <row r="887" spans="1:1" ht="30" customHeight="1" x14ac:dyDescent="0.2">
      <c r="A887" s="20" t="str">
        <f t="shared" si="13"/>
        <v/>
      </c>
    </row>
    <row r="888" spans="1:1" ht="30" customHeight="1" x14ac:dyDescent="0.2">
      <c r="A888" s="20" t="str">
        <f t="shared" si="13"/>
        <v/>
      </c>
    </row>
    <row r="889" spans="1:1" ht="30" customHeight="1" x14ac:dyDescent="0.2">
      <c r="A889" s="20" t="str">
        <f t="shared" si="13"/>
        <v/>
      </c>
    </row>
    <row r="890" spans="1:1" ht="30" customHeight="1" x14ac:dyDescent="0.2">
      <c r="A890" s="20" t="str">
        <f t="shared" si="13"/>
        <v/>
      </c>
    </row>
    <row r="891" spans="1:1" ht="30" customHeight="1" x14ac:dyDescent="0.2">
      <c r="A891" s="20" t="str">
        <f t="shared" si="13"/>
        <v/>
      </c>
    </row>
    <row r="892" spans="1:1" ht="30" customHeight="1" x14ac:dyDescent="0.2">
      <c r="A892" s="20" t="str">
        <f t="shared" si="13"/>
        <v/>
      </c>
    </row>
    <row r="893" spans="1:1" ht="30" customHeight="1" x14ac:dyDescent="0.2">
      <c r="A893" s="20" t="str">
        <f t="shared" si="13"/>
        <v/>
      </c>
    </row>
    <row r="894" spans="1:1" ht="30" customHeight="1" x14ac:dyDescent="0.2">
      <c r="A894" s="20" t="str">
        <f t="shared" si="13"/>
        <v/>
      </c>
    </row>
    <row r="895" spans="1:1" ht="30" customHeight="1" x14ac:dyDescent="0.2">
      <c r="A895" s="20" t="str">
        <f t="shared" si="13"/>
        <v/>
      </c>
    </row>
    <row r="896" spans="1:1" ht="30" customHeight="1" x14ac:dyDescent="0.2">
      <c r="A896" s="20" t="str">
        <f t="shared" si="13"/>
        <v/>
      </c>
    </row>
    <row r="897" spans="1:1" ht="30" customHeight="1" x14ac:dyDescent="0.2">
      <c r="A897" s="20" t="str">
        <f t="shared" si="13"/>
        <v/>
      </c>
    </row>
    <row r="898" spans="1:1" ht="30" customHeight="1" x14ac:dyDescent="0.2">
      <c r="A898" s="20" t="str">
        <f t="shared" si="13"/>
        <v/>
      </c>
    </row>
    <row r="899" spans="1:1" ht="30" customHeight="1" x14ac:dyDescent="0.2">
      <c r="A899" s="20" t="str">
        <f t="shared" si="13"/>
        <v/>
      </c>
    </row>
    <row r="900" spans="1:1" ht="30" customHeight="1" x14ac:dyDescent="0.2">
      <c r="A900" s="20" t="str">
        <f t="shared" si="13"/>
        <v/>
      </c>
    </row>
    <row r="901" spans="1:1" ht="30" customHeight="1" x14ac:dyDescent="0.2">
      <c r="A901" s="20" t="str">
        <f t="shared" si="13"/>
        <v/>
      </c>
    </row>
    <row r="902" spans="1:1" ht="30" customHeight="1" x14ac:dyDescent="0.2">
      <c r="A902" s="20" t="str">
        <f t="shared" si="13"/>
        <v/>
      </c>
    </row>
    <row r="903" spans="1:1" ht="30" customHeight="1" x14ac:dyDescent="0.2">
      <c r="A903" s="20" t="str">
        <f t="shared" si="13"/>
        <v/>
      </c>
    </row>
    <row r="904" spans="1:1" ht="30" customHeight="1" x14ac:dyDescent="0.2">
      <c r="A904" s="20" t="str">
        <f t="shared" si="13"/>
        <v/>
      </c>
    </row>
    <row r="905" spans="1:1" ht="30" customHeight="1" x14ac:dyDescent="0.2">
      <c r="A905" s="20" t="str">
        <f t="shared" si="13"/>
        <v/>
      </c>
    </row>
    <row r="906" spans="1:1" ht="30" customHeight="1" x14ac:dyDescent="0.2">
      <c r="A906" s="20" t="str">
        <f t="shared" si="13"/>
        <v/>
      </c>
    </row>
    <row r="907" spans="1:1" ht="30" customHeight="1" x14ac:dyDescent="0.2">
      <c r="A907" s="20" t="str">
        <f t="shared" si="13"/>
        <v/>
      </c>
    </row>
    <row r="908" spans="1:1" ht="30" customHeight="1" x14ac:dyDescent="0.2">
      <c r="A908" s="20" t="str">
        <f t="shared" si="13"/>
        <v/>
      </c>
    </row>
    <row r="909" spans="1:1" ht="30" customHeight="1" x14ac:dyDescent="0.2">
      <c r="A909" s="20" t="str">
        <f t="shared" si="13"/>
        <v/>
      </c>
    </row>
    <row r="910" spans="1:1" ht="30" customHeight="1" x14ac:dyDescent="0.2">
      <c r="A910" s="20" t="str">
        <f t="shared" si="13"/>
        <v/>
      </c>
    </row>
    <row r="911" spans="1:1" ht="30" customHeight="1" x14ac:dyDescent="0.2">
      <c r="A911" s="20" t="str">
        <f t="shared" si="13"/>
        <v/>
      </c>
    </row>
    <row r="912" spans="1:1" ht="30" customHeight="1" x14ac:dyDescent="0.2">
      <c r="A912" s="20" t="str">
        <f t="shared" si="13"/>
        <v/>
      </c>
    </row>
    <row r="913" spans="1:1" ht="30" customHeight="1" x14ac:dyDescent="0.2">
      <c r="A913" s="20" t="str">
        <f t="shared" si="13"/>
        <v/>
      </c>
    </row>
    <row r="914" spans="1:1" ht="30" customHeight="1" x14ac:dyDescent="0.2">
      <c r="A914" s="20" t="str">
        <f t="shared" si="13"/>
        <v/>
      </c>
    </row>
    <row r="915" spans="1:1" ht="30" customHeight="1" x14ac:dyDescent="0.2">
      <c r="A915" s="20" t="str">
        <f t="shared" si="13"/>
        <v/>
      </c>
    </row>
    <row r="916" spans="1:1" ht="30" customHeight="1" x14ac:dyDescent="0.2">
      <c r="A916" s="20" t="str">
        <f t="shared" si="13"/>
        <v/>
      </c>
    </row>
    <row r="917" spans="1:1" ht="30" customHeight="1" x14ac:dyDescent="0.2">
      <c r="A917" s="20" t="str">
        <f t="shared" si="13"/>
        <v/>
      </c>
    </row>
    <row r="918" spans="1:1" ht="30" customHeight="1" x14ac:dyDescent="0.2">
      <c r="A918" s="20" t="str">
        <f t="shared" si="13"/>
        <v/>
      </c>
    </row>
    <row r="919" spans="1:1" ht="30" customHeight="1" x14ac:dyDescent="0.2">
      <c r="A919" s="20" t="str">
        <f t="shared" si="13"/>
        <v/>
      </c>
    </row>
    <row r="920" spans="1:1" ht="30" customHeight="1" x14ac:dyDescent="0.2">
      <c r="A920" s="20" t="str">
        <f t="shared" ref="A920:A983" si="14">IF(AND(B919&lt;&gt;"",B920=""),$A$22&amp;"---&gt;","")</f>
        <v/>
      </c>
    </row>
    <row r="921" spans="1:1" ht="30" customHeight="1" x14ac:dyDescent="0.2">
      <c r="A921" s="20" t="str">
        <f t="shared" si="14"/>
        <v/>
      </c>
    </row>
    <row r="922" spans="1:1" ht="30" customHeight="1" x14ac:dyDescent="0.2">
      <c r="A922" s="20" t="str">
        <f t="shared" si="14"/>
        <v/>
      </c>
    </row>
    <row r="923" spans="1:1" ht="30" customHeight="1" x14ac:dyDescent="0.2">
      <c r="A923" s="20" t="str">
        <f t="shared" si="14"/>
        <v/>
      </c>
    </row>
    <row r="924" spans="1:1" ht="30" customHeight="1" x14ac:dyDescent="0.2">
      <c r="A924" s="20" t="str">
        <f t="shared" si="14"/>
        <v/>
      </c>
    </row>
    <row r="925" spans="1:1" ht="30" customHeight="1" x14ac:dyDescent="0.2">
      <c r="A925" s="20" t="str">
        <f t="shared" si="14"/>
        <v/>
      </c>
    </row>
    <row r="926" spans="1:1" ht="30" customHeight="1" x14ac:dyDescent="0.2">
      <c r="A926" s="20" t="str">
        <f t="shared" si="14"/>
        <v/>
      </c>
    </row>
    <row r="927" spans="1:1" ht="30" customHeight="1" x14ac:dyDescent="0.2">
      <c r="A927" s="20" t="str">
        <f t="shared" si="14"/>
        <v/>
      </c>
    </row>
    <row r="928" spans="1:1" ht="30" customHeight="1" x14ac:dyDescent="0.2">
      <c r="A928" s="20" t="str">
        <f t="shared" si="14"/>
        <v/>
      </c>
    </row>
    <row r="929" spans="1:1" ht="30" customHeight="1" x14ac:dyDescent="0.2">
      <c r="A929" s="20" t="str">
        <f t="shared" si="14"/>
        <v/>
      </c>
    </row>
    <row r="930" spans="1:1" ht="30" customHeight="1" x14ac:dyDescent="0.2">
      <c r="A930" s="20" t="str">
        <f t="shared" si="14"/>
        <v/>
      </c>
    </row>
    <row r="931" spans="1:1" ht="30" customHeight="1" x14ac:dyDescent="0.2">
      <c r="A931" s="20" t="str">
        <f t="shared" si="14"/>
        <v/>
      </c>
    </row>
    <row r="932" spans="1:1" ht="30" customHeight="1" x14ac:dyDescent="0.2">
      <c r="A932" s="20" t="str">
        <f t="shared" si="14"/>
        <v/>
      </c>
    </row>
    <row r="933" spans="1:1" ht="30" customHeight="1" x14ac:dyDescent="0.2">
      <c r="A933" s="20" t="str">
        <f t="shared" si="14"/>
        <v/>
      </c>
    </row>
    <row r="934" spans="1:1" ht="30" customHeight="1" x14ac:dyDescent="0.2">
      <c r="A934" s="20" t="str">
        <f t="shared" si="14"/>
        <v/>
      </c>
    </row>
    <row r="935" spans="1:1" ht="30" customHeight="1" x14ac:dyDescent="0.2">
      <c r="A935" s="20" t="str">
        <f t="shared" si="14"/>
        <v/>
      </c>
    </row>
    <row r="936" spans="1:1" ht="30" customHeight="1" x14ac:dyDescent="0.2">
      <c r="A936" s="20" t="str">
        <f t="shared" si="14"/>
        <v/>
      </c>
    </row>
    <row r="937" spans="1:1" ht="30" customHeight="1" x14ac:dyDescent="0.2">
      <c r="A937" s="20" t="str">
        <f t="shared" si="14"/>
        <v/>
      </c>
    </row>
    <row r="938" spans="1:1" ht="30" customHeight="1" x14ac:dyDescent="0.2">
      <c r="A938" s="20" t="str">
        <f t="shared" si="14"/>
        <v/>
      </c>
    </row>
    <row r="939" spans="1:1" ht="30" customHeight="1" x14ac:dyDescent="0.2">
      <c r="A939" s="20" t="str">
        <f t="shared" si="14"/>
        <v/>
      </c>
    </row>
    <row r="940" spans="1:1" ht="30" customHeight="1" x14ac:dyDescent="0.2">
      <c r="A940" s="20" t="str">
        <f t="shared" si="14"/>
        <v/>
      </c>
    </row>
    <row r="941" spans="1:1" ht="30" customHeight="1" x14ac:dyDescent="0.2">
      <c r="A941" s="20" t="str">
        <f t="shared" si="14"/>
        <v/>
      </c>
    </row>
    <row r="942" spans="1:1" ht="30" customHeight="1" x14ac:dyDescent="0.2">
      <c r="A942" s="20" t="str">
        <f t="shared" si="14"/>
        <v/>
      </c>
    </row>
    <row r="943" spans="1:1" ht="30" customHeight="1" x14ac:dyDescent="0.2">
      <c r="A943" s="20" t="str">
        <f t="shared" si="14"/>
        <v/>
      </c>
    </row>
    <row r="944" spans="1:1" ht="30" customHeight="1" x14ac:dyDescent="0.2">
      <c r="A944" s="20" t="str">
        <f t="shared" si="14"/>
        <v/>
      </c>
    </row>
    <row r="945" spans="1:1" ht="30" customHeight="1" x14ac:dyDescent="0.2">
      <c r="A945" s="20" t="str">
        <f t="shared" si="14"/>
        <v/>
      </c>
    </row>
    <row r="946" spans="1:1" ht="30" customHeight="1" x14ac:dyDescent="0.2">
      <c r="A946" s="20" t="str">
        <f t="shared" si="14"/>
        <v/>
      </c>
    </row>
    <row r="947" spans="1:1" ht="30" customHeight="1" x14ac:dyDescent="0.2">
      <c r="A947" s="20" t="str">
        <f t="shared" si="14"/>
        <v/>
      </c>
    </row>
    <row r="948" spans="1:1" ht="30" customHeight="1" x14ac:dyDescent="0.2">
      <c r="A948" s="20" t="str">
        <f t="shared" si="14"/>
        <v/>
      </c>
    </row>
    <row r="949" spans="1:1" ht="30" customHeight="1" x14ac:dyDescent="0.2">
      <c r="A949" s="20" t="str">
        <f t="shared" si="14"/>
        <v/>
      </c>
    </row>
    <row r="950" spans="1:1" ht="30" customHeight="1" x14ac:dyDescent="0.2">
      <c r="A950" s="20" t="str">
        <f t="shared" si="14"/>
        <v/>
      </c>
    </row>
    <row r="951" spans="1:1" ht="30" customHeight="1" x14ac:dyDescent="0.2">
      <c r="A951" s="20" t="str">
        <f t="shared" si="14"/>
        <v/>
      </c>
    </row>
    <row r="952" spans="1:1" ht="30" customHeight="1" x14ac:dyDescent="0.2">
      <c r="A952" s="20" t="str">
        <f t="shared" si="14"/>
        <v/>
      </c>
    </row>
    <row r="953" spans="1:1" ht="30" customHeight="1" x14ac:dyDescent="0.2">
      <c r="A953" s="20" t="str">
        <f t="shared" si="14"/>
        <v/>
      </c>
    </row>
    <row r="954" spans="1:1" ht="30" customHeight="1" x14ac:dyDescent="0.2">
      <c r="A954" s="20" t="str">
        <f t="shared" si="14"/>
        <v/>
      </c>
    </row>
    <row r="955" spans="1:1" ht="30" customHeight="1" x14ac:dyDescent="0.2">
      <c r="A955" s="20" t="str">
        <f t="shared" si="14"/>
        <v/>
      </c>
    </row>
    <row r="956" spans="1:1" ht="30" customHeight="1" x14ac:dyDescent="0.2">
      <c r="A956" s="20" t="str">
        <f t="shared" si="14"/>
        <v/>
      </c>
    </row>
    <row r="957" spans="1:1" ht="30" customHeight="1" x14ac:dyDescent="0.2">
      <c r="A957" s="20" t="str">
        <f t="shared" si="14"/>
        <v/>
      </c>
    </row>
    <row r="958" spans="1:1" ht="30" customHeight="1" x14ac:dyDescent="0.2">
      <c r="A958" s="20" t="str">
        <f t="shared" si="14"/>
        <v/>
      </c>
    </row>
    <row r="959" spans="1:1" ht="30" customHeight="1" x14ac:dyDescent="0.2">
      <c r="A959" s="20" t="str">
        <f t="shared" si="14"/>
        <v/>
      </c>
    </row>
    <row r="960" spans="1:1" ht="30" customHeight="1" x14ac:dyDescent="0.2">
      <c r="A960" s="20" t="str">
        <f t="shared" si="14"/>
        <v/>
      </c>
    </row>
    <row r="961" spans="1:1" ht="30" customHeight="1" x14ac:dyDescent="0.2">
      <c r="A961" s="20" t="str">
        <f t="shared" si="14"/>
        <v/>
      </c>
    </row>
    <row r="962" spans="1:1" ht="30" customHeight="1" x14ac:dyDescent="0.2">
      <c r="A962" s="20" t="str">
        <f t="shared" si="14"/>
        <v/>
      </c>
    </row>
    <row r="963" spans="1:1" ht="30" customHeight="1" x14ac:dyDescent="0.2">
      <c r="A963" s="20" t="str">
        <f t="shared" si="14"/>
        <v/>
      </c>
    </row>
    <row r="964" spans="1:1" ht="30" customHeight="1" x14ac:dyDescent="0.2">
      <c r="A964" s="20" t="str">
        <f t="shared" si="14"/>
        <v/>
      </c>
    </row>
    <row r="965" spans="1:1" ht="30" customHeight="1" x14ac:dyDescent="0.2">
      <c r="A965" s="20" t="str">
        <f t="shared" si="14"/>
        <v/>
      </c>
    </row>
    <row r="966" spans="1:1" ht="30" customHeight="1" x14ac:dyDescent="0.2">
      <c r="A966" s="20" t="str">
        <f t="shared" si="14"/>
        <v/>
      </c>
    </row>
    <row r="967" spans="1:1" ht="30" customHeight="1" x14ac:dyDescent="0.2">
      <c r="A967" s="20" t="str">
        <f t="shared" si="14"/>
        <v/>
      </c>
    </row>
    <row r="968" spans="1:1" ht="30" customHeight="1" x14ac:dyDescent="0.2">
      <c r="A968" s="20" t="str">
        <f t="shared" si="14"/>
        <v/>
      </c>
    </row>
    <row r="969" spans="1:1" ht="30" customHeight="1" x14ac:dyDescent="0.2">
      <c r="A969" s="20" t="str">
        <f t="shared" si="14"/>
        <v/>
      </c>
    </row>
    <row r="970" spans="1:1" ht="30" customHeight="1" x14ac:dyDescent="0.2">
      <c r="A970" s="20" t="str">
        <f t="shared" si="14"/>
        <v/>
      </c>
    </row>
    <row r="971" spans="1:1" ht="30" customHeight="1" x14ac:dyDescent="0.2">
      <c r="A971" s="20" t="str">
        <f t="shared" si="14"/>
        <v/>
      </c>
    </row>
    <row r="972" spans="1:1" ht="30" customHeight="1" x14ac:dyDescent="0.2">
      <c r="A972" s="20" t="str">
        <f t="shared" si="14"/>
        <v/>
      </c>
    </row>
    <row r="973" spans="1:1" ht="30" customHeight="1" x14ac:dyDescent="0.2">
      <c r="A973" s="20" t="str">
        <f t="shared" si="14"/>
        <v/>
      </c>
    </row>
    <row r="974" spans="1:1" ht="30" customHeight="1" x14ac:dyDescent="0.2">
      <c r="A974" s="20" t="str">
        <f t="shared" si="14"/>
        <v/>
      </c>
    </row>
    <row r="975" spans="1:1" ht="30" customHeight="1" x14ac:dyDescent="0.2">
      <c r="A975" s="20" t="str">
        <f t="shared" si="14"/>
        <v/>
      </c>
    </row>
    <row r="976" spans="1:1" ht="30" customHeight="1" x14ac:dyDescent="0.2">
      <c r="A976" s="20" t="str">
        <f t="shared" si="14"/>
        <v/>
      </c>
    </row>
    <row r="977" spans="1:1" ht="30" customHeight="1" x14ac:dyDescent="0.2">
      <c r="A977" s="20" t="str">
        <f t="shared" si="14"/>
        <v/>
      </c>
    </row>
    <row r="978" spans="1:1" ht="30" customHeight="1" x14ac:dyDescent="0.2">
      <c r="A978" s="20" t="str">
        <f t="shared" si="14"/>
        <v/>
      </c>
    </row>
    <row r="979" spans="1:1" ht="30" customHeight="1" x14ac:dyDescent="0.2">
      <c r="A979" s="20" t="str">
        <f t="shared" si="14"/>
        <v/>
      </c>
    </row>
    <row r="980" spans="1:1" ht="30" customHeight="1" x14ac:dyDescent="0.2">
      <c r="A980" s="20" t="str">
        <f t="shared" si="14"/>
        <v/>
      </c>
    </row>
    <row r="981" spans="1:1" ht="30" customHeight="1" x14ac:dyDescent="0.2">
      <c r="A981" s="20" t="str">
        <f t="shared" si="14"/>
        <v/>
      </c>
    </row>
    <row r="982" spans="1:1" ht="30" customHeight="1" x14ac:dyDescent="0.2">
      <c r="A982" s="20" t="str">
        <f t="shared" si="14"/>
        <v/>
      </c>
    </row>
    <row r="983" spans="1:1" ht="30" customHeight="1" x14ac:dyDescent="0.2">
      <c r="A983" s="20" t="str">
        <f t="shared" si="14"/>
        <v/>
      </c>
    </row>
    <row r="984" spans="1:1" ht="30" customHeight="1" x14ac:dyDescent="0.2">
      <c r="A984" s="20" t="str">
        <f t="shared" ref="A984:A1047" si="15">IF(AND(B983&lt;&gt;"",B984=""),$A$22&amp;"---&gt;","")</f>
        <v/>
      </c>
    </row>
    <row r="985" spans="1:1" ht="30" customHeight="1" x14ac:dyDescent="0.2">
      <c r="A985" s="20" t="str">
        <f t="shared" si="15"/>
        <v/>
      </c>
    </row>
    <row r="986" spans="1:1" ht="30" customHeight="1" x14ac:dyDescent="0.2">
      <c r="A986" s="20" t="str">
        <f t="shared" si="15"/>
        <v/>
      </c>
    </row>
    <row r="987" spans="1:1" ht="30" customHeight="1" x14ac:dyDescent="0.2">
      <c r="A987" s="20" t="str">
        <f t="shared" si="15"/>
        <v/>
      </c>
    </row>
    <row r="988" spans="1:1" ht="30" customHeight="1" x14ac:dyDescent="0.2">
      <c r="A988" s="20" t="str">
        <f t="shared" si="15"/>
        <v/>
      </c>
    </row>
    <row r="989" spans="1:1" ht="30" customHeight="1" x14ac:dyDescent="0.2">
      <c r="A989" s="20" t="str">
        <f t="shared" si="15"/>
        <v/>
      </c>
    </row>
    <row r="990" spans="1:1" ht="30" customHeight="1" x14ac:dyDescent="0.2">
      <c r="A990" s="20" t="str">
        <f t="shared" si="15"/>
        <v/>
      </c>
    </row>
    <row r="991" spans="1:1" ht="30" customHeight="1" x14ac:dyDescent="0.2">
      <c r="A991" s="20" t="str">
        <f t="shared" si="15"/>
        <v/>
      </c>
    </row>
    <row r="992" spans="1:1" ht="30" customHeight="1" x14ac:dyDescent="0.2">
      <c r="A992" s="20" t="str">
        <f t="shared" si="15"/>
        <v/>
      </c>
    </row>
    <row r="993" spans="1:1" ht="30" customHeight="1" x14ac:dyDescent="0.2">
      <c r="A993" s="20" t="str">
        <f t="shared" si="15"/>
        <v/>
      </c>
    </row>
    <row r="994" spans="1:1" ht="30" customHeight="1" x14ac:dyDescent="0.2">
      <c r="A994" s="20" t="str">
        <f t="shared" si="15"/>
        <v/>
      </c>
    </row>
    <row r="995" spans="1:1" ht="30" customHeight="1" x14ac:dyDescent="0.2">
      <c r="A995" s="20" t="str">
        <f t="shared" si="15"/>
        <v/>
      </c>
    </row>
    <row r="996" spans="1:1" ht="30" customHeight="1" x14ac:dyDescent="0.2">
      <c r="A996" s="20" t="str">
        <f t="shared" si="15"/>
        <v/>
      </c>
    </row>
    <row r="997" spans="1:1" ht="30" customHeight="1" x14ac:dyDescent="0.2">
      <c r="A997" s="20" t="str">
        <f t="shared" si="15"/>
        <v/>
      </c>
    </row>
    <row r="998" spans="1:1" ht="30" customHeight="1" x14ac:dyDescent="0.2">
      <c r="A998" s="20" t="str">
        <f t="shared" si="15"/>
        <v/>
      </c>
    </row>
    <row r="999" spans="1:1" ht="30" customHeight="1" x14ac:dyDescent="0.2">
      <c r="A999" s="20" t="str">
        <f t="shared" si="15"/>
        <v/>
      </c>
    </row>
    <row r="1000" spans="1:1" ht="30" customHeight="1" x14ac:dyDescent="0.2">
      <c r="A1000" s="20" t="str">
        <f t="shared" si="15"/>
        <v/>
      </c>
    </row>
    <row r="1001" spans="1:1" ht="30" customHeight="1" x14ac:dyDescent="0.2">
      <c r="A1001" s="20" t="str">
        <f t="shared" si="15"/>
        <v/>
      </c>
    </row>
    <row r="1002" spans="1:1" ht="30" customHeight="1" x14ac:dyDescent="0.2">
      <c r="A1002" s="20" t="str">
        <f t="shared" si="15"/>
        <v/>
      </c>
    </row>
    <row r="1003" spans="1:1" ht="30" customHeight="1" x14ac:dyDescent="0.2">
      <c r="A1003" s="20" t="str">
        <f t="shared" si="15"/>
        <v/>
      </c>
    </row>
    <row r="1004" spans="1:1" ht="30" customHeight="1" x14ac:dyDescent="0.2">
      <c r="A1004" s="20" t="str">
        <f t="shared" si="15"/>
        <v/>
      </c>
    </row>
    <row r="1005" spans="1:1" ht="30" customHeight="1" x14ac:dyDescent="0.2">
      <c r="A1005" s="20" t="str">
        <f t="shared" si="15"/>
        <v/>
      </c>
    </row>
    <row r="1006" spans="1:1" ht="30" customHeight="1" x14ac:dyDescent="0.2">
      <c r="A1006" s="20" t="str">
        <f t="shared" si="15"/>
        <v/>
      </c>
    </row>
    <row r="1007" spans="1:1" ht="30" customHeight="1" x14ac:dyDescent="0.2">
      <c r="A1007" s="20" t="str">
        <f t="shared" si="15"/>
        <v/>
      </c>
    </row>
    <row r="1008" spans="1:1" ht="30" customHeight="1" x14ac:dyDescent="0.2">
      <c r="A1008" s="20" t="str">
        <f t="shared" si="15"/>
        <v/>
      </c>
    </row>
    <row r="1009" spans="1:1" ht="30" customHeight="1" x14ac:dyDescent="0.2">
      <c r="A1009" s="20" t="str">
        <f t="shared" si="15"/>
        <v/>
      </c>
    </row>
    <row r="1010" spans="1:1" ht="30" customHeight="1" x14ac:dyDescent="0.2">
      <c r="A1010" s="20" t="str">
        <f t="shared" si="15"/>
        <v/>
      </c>
    </row>
    <row r="1011" spans="1:1" ht="30" customHeight="1" x14ac:dyDescent="0.2">
      <c r="A1011" s="20" t="str">
        <f t="shared" si="15"/>
        <v/>
      </c>
    </row>
    <row r="1012" spans="1:1" ht="30" customHeight="1" x14ac:dyDescent="0.2">
      <c r="A1012" s="20" t="str">
        <f t="shared" si="15"/>
        <v/>
      </c>
    </row>
    <row r="1013" spans="1:1" ht="30" customHeight="1" x14ac:dyDescent="0.2">
      <c r="A1013" s="20" t="str">
        <f t="shared" si="15"/>
        <v/>
      </c>
    </row>
    <row r="1014" spans="1:1" ht="30" customHeight="1" x14ac:dyDescent="0.2">
      <c r="A1014" s="20" t="str">
        <f t="shared" si="15"/>
        <v/>
      </c>
    </row>
    <row r="1015" spans="1:1" ht="30" customHeight="1" x14ac:dyDescent="0.2">
      <c r="A1015" s="20" t="str">
        <f t="shared" si="15"/>
        <v/>
      </c>
    </row>
    <row r="1016" spans="1:1" ht="30" customHeight="1" x14ac:dyDescent="0.2">
      <c r="A1016" s="20" t="str">
        <f t="shared" si="15"/>
        <v/>
      </c>
    </row>
    <row r="1017" spans="1:1" ht="30" customHeight="1" x14ac:dyDescent="0.2">
      <c r="A1017" s="20" t="str">
        <f t="shared" si="15"/>
        <v/>
      </c>
    </row>
    <row r="1018" spans="1:1" ht="30" customHeight="1" x14ac:dyDescent="0.2">
      <c r="A1018" s="20" t="str">
        <f t="shared" si="15"/>
        <v/>
      </c>
    </row>
    <row r="1019" spans="1:1" ht="30" customHeight="1" x14ac:dyDescent="0.2">
      <c r="A1019" s="20" t="str">
        <f t="shared" si="15"/>
        <v/>
      </c>
    </row>
    <row r="1020" spans="1:1" ht="30" customHeight="1" x14ac:dyDescent="0.2">
      <c r="A1020" s="20" t="str">
        <f t="shared" si="15"/>
        <v/>
      </c>
    </row>
    <row r="1021" spans="1:1" ht="30" customHeight="1" x14ac:dyDescent="0.2">
      <c r="A1021" s="20" t="str">
        <f t="shared" si="15"/>
        <v/>
      </c>
    </row>
    <row r="1022" spans="1:1" ht="30" customHeight="1" x14ac:dyDescent="0.2">
      <c r="A1022" s="20" t="str">
        <f t="shared" si="15"/>
        <v/>
      </c>
    </row>
    <row r="1023" spans="1:1" ht="30" customHeight="1" x14ac:dyDescent="0.2">
      <c r="A1023" s="20" t="str">
        <f t="shared" si="15"/>
        <v/>
      </c>
    </row>
    <row r="1024" spans="1:1" ht="30" customHeight="1" x14ac:dyDescent="0.2">
      <c r="A1024" s="20" t="str">
        <f t="shared" si="15"/>
        <v/>
      </c>
    </row>
    <row r="1025" spans="1:1" ht="30" customHeight="1" x14ac:dyDescent="0.2">
      <c r="A1025" s="20" t="str">
        <f t="shared" si="15"/>
        <v/>
      </c>
    </row>
    <row r="1026" spans="1:1" ht="30" customHeight="1" x14ac:dyDescent="0.2">
      <c r="A1026" s="20" t="str">
        <f t="shared" si="15"/>
        <v/>
      </c>
    </row>
    <row r="1027" spans="1:1" ht="30" customHeight="1" x14ac:dyDescent="0.2">
      <c r="A1027" s="20" t="str">
        <f t="shared" si="15"/>
        <v/>
      </c>
    </row>
    <row r="1028" spans="1:1" ht="30" customHeight="1" x14ac:dyDescent="0.2">
      <c r="A1028" s="20" t="str">
        <f t="shared" si="15"/>
        <v/>
      </c>
    </row>
    <row r="1029" spans="1:1" ht="30" customHeight="1" x14ac:dyDescent="0.2">
      <c r="A1029" s="20" t="str">
        <f t="shared" si="15"/>
        <v/>
      </c>
    </row>
    <row r="1030" spans="1:1" ht="30" customHeight="1" x14ac:dyDescent="0.2">
      <c r="A1030" s="20" t="str">
        <f t="shared" si="15"/>
        <v/>
      </c>
    </row>
    <row r="1031" spans="1:1" ht="30" customHeight="1" x14ac:dyDescent="0.2">
      <c r="A1031" s="20" t="str">
        <f t="shared" si="15"/>
        <v/>
      </c>
    </row>
    <row r="1032" spans="1:1" ht="30" customHeight="1" x14ac:dyDescent="0.2">
      <c r="A1032" s="20" t="str">
        <f t="shared" si="15"/>
        <v/>
      </c>
    </row>
    <row r="1033" spans="1:1" ht="30" customHeight="1" x14ac:dyDescent="0.2">
      <c r="A1033" s="20" t="str">
        <f t="shared" si="15"/>
        <v/>
      </c>
    </row>
    <row r="1034" spans="1:1" ht="30" customHeight="1" x14ac:dyDescent="0.2">
      <c r="A1034" s="20" t="str">
        <f t="shared" si="15"/>
        <v/>
      </c>
    </row>
    <row r="1035" spans="1:1" ht="30" customHeight="1" x14ac:dyDescent="0.2">
      <c r="A1035" s="20" t="str">
        <f t="shared" si="15"/>
        <v/>
      </c>
    </row>
    <row r="1036" spans="1:1" ht="30" customHeight="1" x14ac:dyDescent="0.2">
      <c r="A1036" s="20" t="str">
        <f t="shared" si="15"/>
        <v/>
      </c>
    </row>
    <row r="1037" spans="1:1" ht="30" customHeight="1" x14ac:dyDescent="0.2">
      <c r="A1037" s="20" t="str">
        <f t="shared" si="15"/>
        <v/>
      </c>
    </row>
    <row r="1038" spans="1:1" ht="30" customHeight="1" x14ac:dyDescent="0.2">
      <c r="A1038" s="20" t="str">
        <f t="shared" si="15"/>
        <v/>
      </c>
    </row>
    <row r="1039" spans="1:1" ht="30" customHeight="1" x14ac:dyDescent="0.2">
      <c r="A1039" s="20" t="str">
        <f t="shared" si="15"/>
        <v/>
      </c>
    </row>
    <row r="1040" spans="1:1" ht="30" customHeight="1" x14ac:dyDescent="0.2">
      <c r="A1040" s="20" t="str">
        <f t="shared" si="15"/>
        <v/>
      </c>
    </row>
    <row r="1041" spans="1:1" ht="30" customHeight="1" x14ac:dyDescent="0.2">
      <c r="A1041" s="20" t="str">
        <f t="shared" si="15"/>
        <v/>
      </c>
    </row>
    <row r="1042" spans="1:1" ht="30" customHeight="1" x14ac:dyDescent="0.2">
      <c r="A1042" s="20" t="str">
        <f t="shared" si="15"/>
        <v/>
      </c>
    </row>
    <row r="1043" spans="1:1" ht="30" customHeight="1" x14ac:dyDescent="0.2">
      <c r="A1043" s="20" t="str">
        <f t="shared" si="15"/>
        <v/>
      </c>
    </row>
    <row r="1044" spans="1:1" ht="30" customHeight="1" x14ac:dyDescent="0.2">
      <c r="A1044" s="20" t="str">
        <f t="shared" si="15"/>
        <v/>
      </c>
    </row>
    <row r="1045" spans="1:1" ht="30" customHeight="1" x14ac:dyDescent="0.2">
      <c r="A1045" s="20" t="str">
        <f t="shared" si="15"/>
        <v/>
      </c>
    </row>
    <row r="1046" spans="1:1" ht="30" customHeight="1" x14ac:dyDescent="0.2">
      <c r="A1046" s="20" t="str">
        <f t="shared" si="15"/>
        <v/>
      </c>
    </row>
    <row r="1047" spans="1:1" ht="30" customHeight="1" x14ac:dyDescent="0.2">
      <c r="A1047" s="20" t="str">
        <f t="shared" si="15"/>
        <v/>
      </c>
    </row>
    <row r="1048" spans="1:1" ht="30" customHeight="1" x14ac:dyDescent="0.2">
      <c r="A1048" s="20" t="str">
        <f t="shared" ref="A1048:A1100" si="16">IF(AND(B1047&lt;&gt;"",B1048=""),$A$22&amp;"---&gt;","")</f>
        <v/>
      </c>
    </row>
    <row r="1049" spans="1:1" ht="30" customHeight="1" x14ac:dyDescent="0.2">
      <c r="A1049" s="20" t="str">
        <f t="shared" si="16"/>
        <v/>
      </c>
    </row>
    <row r="1050" spans="1:1" ht="30" customHeight="1" x14ac:dyDescent="0.2">
      <c r="A1050" s="20" t="str">
        <f t="shared" si="16"/>
        <v/>
      </c>
    </row>
    <row r="1051" spans="1:1" ht="30" customHeight="1" x14ac:dyDescent="0.2">
      <c r="A1051" s="20" t="str">
        <f t="shared" si="16"/>
        <v/>
      </c>
    </row>
    <row r="1052" spans="1:1" ht="30" customHeight="1" x14ac:dyDescent="0.2">
      <c r="A1052" s="20" t="str">
        <f t="shared" si="16"/>
        <v/>
      </c>
    </row>
    <row r="1053" spans="1:1" ht="30" customHeight="1" x14ac:dyDescent="0.2">
      <c r="A1053" s="20" t="str">
        <f t="shared" si="16"/>
        <v/>
      </c>
    </row>
    <row r="1054" spans="1:1" ht="30" customHeight="1" x14ac:dyDescent="0.2">
      <c r="A1054" s="20" t="str">
        <f t="shared" si="16"/>
        <v/>
      </c>
    </row>
    <row r="1055" spans="1:1" ht="30" customHeight="1" x14ac:dyDescent="0.2">
      <c r="A1055" s="20" t="str">
        <f t="shared" si="16"/>
        <v/>
      </c>
    </row>
    <row r="1056" spans="1:1" ht="30" customHeight="1" x14ac:dyDescent="0.2">
      <c r="A1056" s="20" t="str">
        <f t="shared" si="16"/>
        <v/>
      </c>
    </row>
    <row r="1057" spans="1:1" ht="30" customHeight="1" x14ac:dyDescent="0.2">
      <c r="A1057" s="20" t="str">
        <f t="shared" si="16"/>
        <v/>
      </c>
    </row>
    <row r="1058" spans="1:1" ht="30" customHeight="1" x14ac:dyDescent="0.2">
      <c r="A1058" s="20" t="str">
        <f t="shared" si="16"/>
        <v/>
      </c>
    </row>
    <row r="1059" spans="1:1" ht="30" customHeight="1" x14ac:dyDescent="0.2">
      <c r="A1059" s="20" t="str">
        <f t="shared" si="16"/>
        <v/>
      </c>
    </row>
    <row r="1060" spans="1:1" ht="30" customHeight="1" x14ac:dyDescent="0.2">
      <c r="A1060" s="20" t="str">
        <f t="shared" si="16"/>
        <v/>
      </c>
    </row>
    <row r="1061" spans="1:1" ht="30" customHeight="1" x14ac:dyDescent="0.2">
      <c r="A1061" s="20" t="str">
        <f t="shared" si="16"/>
        <v/>
      </c>
    </row>
    <row r="1062" spans="1:1" ht="30" customHeight="1" x14ac:dyDescent="0.2">
      <c r="A1062" s="20" t="str">
        <f t="shared" si="16"/>
        <v/>
      </c>
    </row>
    <row r="1063" spans="1:1" ht="30" customHeight="1" x14ac:dyDescent="0.2">
      <c r="A1063" s="20" t="str">
        <f t="shared" si="16"/>
        <v/>
      </c>
    </row>
    <row r="1064" spans="1:1" ht="30" customHeight="1" x14ac:dyDescent="0.2">
      <c r="A1064" s="20" t="str">
        <f t="shared" si="16"/>
        <v/>
      </c>
    </row>
    <row r="1065" spans="1:1" ht="30" customHeight="1" x14ac:dyDescent="0.2">
      <c r="A1065" s="20" t="str">
        <f t="shared" si="16"/>
        <v/>
      </c>
    </row>
    <row r="1066" spans="1:1" ht="30" customHeight="1" x14ac:dyDescent="0.2">
      <c r="A1066" s="20" t="str">
        <f t="shared" si="16"/>
        <v/>
      </c>
    </row>
    <row r="1067" spans="1:1" ht="30" customHeight="1" x14ac:dyDescent="0.2">
      <c r="A1067" s="20" t="str">
        <f t="shared" si="16"/>
        <v/>
      </c>
    </row>
    <row r="1068" spans="1:1" ht="30" customHeight="1" x14ac:dyDescent="0.2">
      <c r="A1068" s="20" t="str">
        <f t="shared" si="16"/>
        <v/>
      </c>
    </row>
    <row r="1069" spans="1:1" ht="30" customHeight="1" x14ac:dyDescent="0.2">
      <c r="A1069" s="20" t="str">
        <f t="shared" si="16"/>
        <v/>
      </c>
    </row>
    <row r="1070" spans="1:1" ht="30" customHeight="1" x14ac:dyDescent="0.2">
      <c r="A1070" s="20" t="str">
        <f t="shared" si="16"/>
        <v/>
      </c>
    </row>
    <row r="1071" spans="1:1" ht="30" customHeight="1" x14ac:dyDescent="0.2">
      <c r="A1071" s="20" t="str">
        <f t="shared" si="16"/>
        <v/>
      </c>
    </row>
    <row r="1072" spans="1:1" ht="30" customHeight="1" x14ac:dyDescent="0.2">
      <c r="A1072" s="20" t="str">
        <f t="shared" si="16"/>
        <v/>
      </c>
    </row>
    <row r="1073" spans="1:1" ht="30" customHeight="1" x14ac:dyDescent="0.2">
      <c r="A1073" s="20" t="str">
        <f t="shared" si="16"/>
        <v/>
      </c>
    </row>
    <row r="1074" spans="1:1" ht="30" customHeight="1" x14ac:dyDescent="0.2">
      <c r="A1074" s="20" t="str">
        <f t="shared" si="16"/>
        <v/>
      </c>
    </row>
    <row r="1075" spans="1:1" ht="30" customHeight="1" x14ac:dyDescent="0.2">
      <c r="A1075" s="20" t="str">
        <f t="shared" si="16"/>
        <v/>
      </c>
    </row>
    <row r="1076" spans="1:1" ht="30" customHeight="1" x14ac:dyDescent="0.2">
      <c r="A1076" s="20" t="str">
        <f t="shared" si="16"/>
        <v/>
      </c>
    </row>
    <row r="1077" spans="1:1" ht="30" customHeight="1" x14ac:dyDescent="0.2">
      <c r="A1077" s="20" t="str">
        <f t="shared" si="16"/>
        <v/>
      </c>
    </row>
    <row r="1078" spans="1:1" ht="30" customHeight="1" x14ac:dyDescent="0.2">
      <c r="A1078" s="20" t="str">
        <f t="shared" si="16"/>
        <v/>
      </c>
    </row>
    <row r="1079" spans="1:1" ht="30" customHeight="1" x14ac:dyDescent="0.2">
      <c r="A1079" s="20" t="str">
        <f t="shared" si="16"/>
        <v/>
      </c>
    </row>
    <row r="1080" spans="1:1" ht="30" customHeight="1" x14ac:dyDescent="0.2">
      <c r="A1080" s="20" t="str">
        <f t="shared" si="16"/>
        <v/>
      </c>
    </row>
    <row r="1081" spans="1:1" ht="30" customHeight="1" x14ac:dyDescent="0.2">
      <c r="A1081" s="20" t="str">
        <f t="shared" si="16"/>
        <v/>
      </c>
    </row>
    <row r="1082" spans="1:1" ht="30" customHeight="1" x14ac:dyDescent="0.2">
      <c r="A1082" s="20" t="str">
        <f t="shared" si="16"/>
        <v/>
      </c>
    </row>
    <row r="1083" spans="1:1" ht="30" customHeight="1" x14ac:dyDescent="0.2">
      <c r="A1083" s="20" t="str">
        <f t="shared" si="16"/>
        <v/>
      </c>
    </row>
    <row r="1084" spans="1:1" ht="30" customHeight="1" x14ac:dyDescent="0.2">
      <c r="A1084" s="20" t="str">
        <f t="shared" si="16"/>
        <v/>
      </c>
    </row>
    <row r="1085" spans="1:1" ht="30" customHeight="1" x14ac:dyDescent="0.2">
      <c r="A1085" s="20" t="str">
        <f t="shared" si="16"/>
        <v/>
      </c>
    </row>
    <row r="1086" spans="1:1" ht="30" customHeight="1" x14ac:dyDescent="0.2">
      <c r="A1086" s="20" t="str">
        <f t="shared" si="16"/>
        <v/>
      </c>
    </row>
    <row r="1087" spans="1:1" ht="30" customHeight="1" x14ac:dyDescent="0.2">
      <c r="A1087" s="20" t="str">
        <f t="shared" si="16"/>
        <v/>
      </c>
    </row>
    <row r="1088" spans="1:1" ht="30" customHeight="1" x14ac:dyDescent="0.2">
      <c r="A1088" s="20" t="str">
        <f t="shared" si="16"/>
        <v/>
      </c>
    </row>
    <row r="1089" spans="1:1" ht="30" customHeight="1" x14ac:dyDescent="0.2">
      <c r="A1089" s="20" t="str">
        <f t="shared" si="16"/>
        <v/>
      </c>
    </row>
    <row r="1090" spans="1:1" ht="30" customHeight="1" x14ac:dyDescent="0.2">
      <c r="A1090" s="20" t="str">
        <f t="shared" si="16"/>
        <v/>
      </c>
    </row>
    <row r="1091" spans="1:1" ht="30" customHeight="1" x14ac:dyDescent="0.2">
      <c r="A1091" s="20" t="str">
        <f t="shared" si="16"/>
        <v/>
      </c>
    </row>
    <row r="1092" spans="1:1" ht="30" customHeight="1" x14ac:dyDescent="0.2">
      <c r="A1092" s="20" t="str">
        <f t="shared" si="16"/>
        <v/>
      </c>
    </row>
    <row r="1093" spans="1:1" ht="30" customHeight="1" x14ac:dyDescent="0.2">
      <c r="A1093" s="20" t="str">
        <f t="shared" si="16"/>
        <v/>
      </c>
    </row>
    <row r="1094" spans="1:1" ht="30" customHeight="1" x14ac:dyDescent="0.2">
      <c r="A1094" s="20" t="str">
        <f t="shared" si="16"/>
        <v/>
      </c>
    </row>
    <row r="1095" spans="1:1" ht="30" customHeight="1" x14ac:dyDescent="0.2">
      <c r="A1095" s="20" t="str">
        <f t="shared" si="16"/>
        <v/>
      </c>
    </row>
    <row r="1096" spans="1:1" ht="30" customHeight="1" x14ac:dyDescent="0.2">
      <c r="A1096" s="20" t="str">
        <f t="shared" si="16"/>
        <v/>
      </c>
    </row>
    <row r="1097" spans="1:1" ht="30" customHeight="1" x14ac:dyDescent="0.2">
      <c r="A1097" s="20" t="str">
        <f t="shared" si="16"/>
        <v/>
      </c>
    </row>
    <row r="1098" spans="1:1" ht="30" customHeight="1" x14ac:dyDescent="0.2">
      <c r="A1098" s="20" t="str">
        <f t="shared" si="16"/>
        <v/>
      </c>
    </row>
    <row r="1099" spans="1:1" ht="30" customHeight="1" x14ac:dyDescent="0.2">
      <c r="A1099" s="20" t="str">
        <f t="shared" si="16"/>
        <v/>
      </c>
    </row>
    <row r="1100" spans="1:1" ht="30" customHeight="1" x14ac:dyDescent="0.2">
      <c r="A1100" s="20" t="str">
        <f t="shared" si="16"/>
        <v/>
      </c>
    </row>
  </sheetData>
  <mergeCells count="9">
    <mergeCell ref="L2:L5"/>
    <mergeCell ref="M2:M5"/>
    <mergeCell ref="N2:N5"/>
    <mergeCell ref="G2:G5"/>
    <mergeCell ref="B2:B5"/>
    <mergeCell ref="C2:C5"/>
    <mergeCell ref="D2:D5"/>
    <mergeCell ref="E2:E5"/>
    <mergeCell ref="F2:F5"/>
  </mergeCells>
  <phoneticPr fontId="5" type="noConversion"/>
  <conditionalFormatting sqref="M23:M125">
    <cfRule type="containsText" dxfId="44" priority="1" operator="containsText" text="No">
      <formula>NOT(ISERROR(SEARCH("No",M23)))</formula>
    </cfRule>
    <cfRule type="containsText" dxfId="43" priority="2" operator="containsText" text="yes">
      <formula>NOT(ISERROR(SEARCH("yes",M23)))</formula>
    </cfRule>
  </conditionalFormatting>
  <dataValidations count="4">
    <dataValidation type="list" allowBlank="1" showInputMessage="1" showErrorMessage="1" sqref="F23:F125" xr:uid="{70A50448-8CCB-4833-9FBA-062028F33900}">
      <formula1>Platform</formula1>
    </dataValidation>
    <dataValidation type="list" allowBlank="1" showInputMessage="1" showErrorMessage="1" sqref="I23:I125" xr:uid="{D7C211B2-5CED-4DFB-A316-2C761887D3E2}">
      <formula1>Service</formula1>
    </dataValidation>
    <dataValidation type="list" allowBlank="1" showInputMessage="1" showErrorMessage="1" sqref="J23:J125" xr:uid="{E91DAC60-D658-466A-BBC5-08780DA63B33}">
      <formula1>Stage</formula1>
    </dataValidation>
    <dataValidation type="date" allowBlank="1" showInputMessage="1" showErrorMessage="1" sqref="K23:K125" xr:uid="{16C34460-1B33-468C-9B9B-440D5BEA17B7}">
      <formula1>1</formula1>
      <formula2>109575</formula2>
    </dataValidation>
  </dataValidations>
  <hyperlinks>
    <hyperlink ref="H23" r:id="rId1" xr:uid="{AD892A39-F4B4-4520-A7CF-2DBE653177BD}"/>
    <hyperlink ref="H24:H125" r:id="rId2" display="Customeremailaddress@domain.com" xr:uid="{4B12324A-58BF-47C9-8724-8B02B0F18CE9}"/>
  </hyperlinks>
  <pageMargins left="0.7" right="0.7" top="0.75" bottom="0.75" header="0.3" footer="0.3"/>
  <pageSetup orientation="portrait" r:id="rId3"/>
  <drawing r:id="rId4"/>
  <tableParts count="1">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7BCF2-AA49-47DB-99DA-01787E00347C}">
  <dimension ref="B4:AJ15"/>
  <sheetViews>
    <sheetView topLeftCell="AB1" workbookViewId="0">
      <selection activeCell="AE4" sqref="AE4"/>
    </sheetView>
  </sheetViews>
  <sheetFormatPr defaultRowHeight="12.75" x14ac:dyDescent="0.2"/>
  <cols>
    <col min="2" max="2" width="14.5703125" bestFit="1" customWidth="1"/>
    <col min="3" max="3" width="17" bestFit="1" customWidth="1"/>
    <col min="4" max="4" width="8.28515625" bestFit="1" customWidth="1"/>
    <col min="5" max="5" width="11.140625" bestFit="1" customWidth="1"/>
    <col min="6" max="6" width="5.140625" bestFit="1" customWidth="1"/>
    <col min="7" max="7" width="11.7109375" bestFit="1" customWidth="1"/>
    <col min="8" max="8" width="25.7109375" bestFit="1" customWidth="1"/>
    <col min="9" max="9" width="17" bestFit="1" customWidth="1"/>
    <col min="10" max="10" width="4.140625" bestFit="1" customWidth="1"/>
    <col min="11" max="11" width="11.7109375" bestFit="1" customWidth="1"/>
    <col min="12" max="12" width="11.140625" bestFit="1" customWidth="1"/>
    <col min="13" max="13" width="13.85546875" bestFit="1" customWidth="1"/>
    <col min="14" max="14" width="26.85546875" bestFit="1" customWidth="1"/>
    <col min="16" max="16" width="13.85546875" bestFit="1" customWidth="1"/>
    <col min="17" max="17" width="26.85546875" bestFit="1" customWidth="1"/>
    <col min="18" max="18" width="16.140625" bestFit="1" customWidth="1"/>
    <col min="20" max="20" width="13.85546875" bestFit="1" customWidth="1"/>
    <col min="21" max="21" width="16.85546875" bestFit="1" customWidth="1"/>
    <col min="22" max="22" width="21.85546875" bestFit="1" customWidth="1"/>
    <col min="24" max="24" width="13.85546875" bestFit="1" customWidth="1"/>
    <col min="25" max="25" width="16.140625" bestFit="1" customWidth="1"/>
    <col min="27" max="27" width="13.85546875" bestFit="1" customWidth="1"/>
    <col min="28" max="28" width="14.85546875" bestFit="1" customWidth="1"/>
    <col min="29" max="29" width="16.140625" bestFit="1" customWidth="1"/>
    <col min="30" max="30" width="14.85546875" bestFit="1" customWidth="1"/>
    <col min="31" max="31" width="13.85546875" bestFit="1" customWidth="1"/>
    <col min="32" max="32" width="18.5703125" bestFit="1" customWidth="1"/>
    <col min="33" max="33" width="12.85546875" bestFit="1" customWidth="1"/>
    <col min="34" max="34" width="13.85546875" bestFit="1" customWidth="1"/>
    <col min="35" max="35" width="18.5703125" bestFit="1" customWidth="1"/>
    <col min="36" max="36" width="16.140625" bestFit="1" customWidth="1"/>
  </cols>
  <sheetData>
    <row r="4" spans="2:36" x14ac:dyDescent="0.2">
      <c r="C4" s="51" t="s">
        <v>190</v>
      </c>
      <c r="H4" s="51" t="s">
        <v>195</v>
      </c>
      <c r="I4" s="51" t="s">
        <v>190</v>
      </c>
      <c r="M4" s="51" t="s">
        <v>193</v>
      </c>
      <c r="N4" t="s">
        <v>198</v>
      </c>
      <c r="P4" s="51" t="s">
        <v>193</v>
      </c>
      <c r="Q4" t="s">
        <v>198</v>
      </c>
      <c r="T4" s="51" t="s">
        <v>193</v>
      </c>
      <c r="U4" t="s">
        <v>199</v>
      </c>
      <c r="V4" t="s">
        <v>200</v>
      </c>
      <c r="X4" s="51" t="s">
        <v>193</v>
      </c>
      <c r="Y4" t="s">
        <v>201</v>
      </c>
      <c r="AA4" s="51" t="s">
        <v>193</v>
      </c>
      <c r="AB4" t="s">
        <v>203</v>
      </c>
      <c r="AE4" s="51" t="s">
        <v>193</v>
      </c>
      <c r="AF4" t="s">
        <v>204</v>
      </c>
      <c r="AH4" s="51" t="s">
        <v>193</v>
      </c>
      <c r="AI4" t="s">
        <v>204</v>
      </c>
      <c r="AJ4" t="s">
        <v>202</v>
      </c>
    </row>
    <row r="5" spans="2:36" x14ac:dyDescent="0.2">
      <c r="C5" t="s">
        <v>34</v>
      </c>
      <c r="D5" t="s">
        <v>35</v>
      </c>
      <c r="E5" t="s">
        <v>36</v>
      </c>
      <c r="F5" t="s">
        <v>37</v>
      </c>
      <c r="H5" s="51" t="s">
        <v>193</v>
      </c>
      <c r="I5" t="s">
        <v>196</v>
      </c>
      <c r="J5" t="s">
        <v>197</v>
      </c>
      <c r="K5" t="s">
        <v>194</v>
      </c>
      <c r="M5" s="53" t="s">
        <v>31</v>
      </c>
      <c r="N5" s="54">
        <v>22.5</v>
      </c>
      <c r="P5" s="53" t="s">
        <v>31</v>
      </c>
      <c r="Q5" s="54">
        <v>22.5</v>
      </c>
      <c r="T5" s="53" t="s">
        <v>57</v>
      </c>
      <c r="U5" s="59">
        <v>2930</v>
      </c>
      <c r="V5" s="59">
        <v>2930</v>
      </c>
      <c r="X5" s="53" t="s">
        <v>30</v>
      </c>
      <c r="Y5">
        <v>21</v>
      </c>
      <c r="AA5" s="53" t="s">
        <v>30</v>
      </c>
      <c r="AB5" s="60">
        <v>-0.23809523809523811</v>
      </c>
      <c r="AE5" s="53" t="s">
        <v>30</v>
      </c>
      <c r="AF5" s="59">
        <v>1150</v>
      </c>
      <c r="AH5" s="53" t="s">
        <v>75</v>
      </c>
      <c r="AI5">
        <v>350</v>
      </c>
      <c r="AJ5">
        <v>500</v>
      </c>
    </row>
    <row r="6" spans="2:36" x14ac:dyDescent="0.2">
      <c r="B6" t="s">
        <v>189</v>
      </c>
      <c r="C6">
        <v>25</v>
      </c>
      <c r="D6">
        <v>22</v>
      </c>
      <c r="E6">
        <v>25</v>
      </c>
      <c r="F6">
        <v>31</v>
      </c>
      <c r="H6" s="53" t="s">
        <v>31</v>
      </c>
      <c r="I6">
        <v>21</v>
      </c>
      <c r="J6">
        <v>12</v>
      </c>
      <c r="K6">
        <v>33</v>
      </c>
      <c r="M6" s="53" t="s">
        <v>32</v>
      </c>
      <c r="N6" s="54">
        <v>21.09090909090909</v>
      </c>
      <c r="P6" s="53" t="s">
        <v>32</v>
      </c>
      <c r="Q6" s="54">
        <v>21.09090909090909</v>
      </c>
      <c r="T6" s="53" t="s">
        <v>58</v>
      </c>
      <c r="U6" s="59">
        <v>750</v>
      </c>
      <c r="V6" s="59">
        <v>3680</v>
      </c>
      <c r="X6" s="53" t="s">
        <v>27</v>
      </c>
      <c r="Y6">
        <v>17</v>
      </c>
      <c r="AA6" s="53" t="s">
        <v>27</v>
      </c>
      <c r="AB6" s="60">
        <v>0.11481481481481481</v>
      </c>
      <c r="AE6" s="53" t="s">
        <v>27</v>
      </c>
      <c r="AF6" s="59">
        <v>1900</v>
      </c>
      <c r="AH6" s="53" t="s">
        <v>76</v>
      </c>
      <c r="AI6">
        <v>400</v>
      </c>
      <c r="AJ6">
        <v>500</v>
      </c>
    </row>
    <row r="7" spans="2:36" x14ac:dyDescent="0.2">
      <c r="H7" s="53" t="s">
        <v>32</v>
      </c>
      <c r="I7">
        <v>27</v>
      </c>
      <c r="J7">
        <v>11</v>
      </c>
      <c r="K7">
        <v>38</v>
      </c>
      <c r="M7" s="53" t="s">
        <v>33</v>
      </c>
      <c r="N7" s="54">
        <v>21.5</v>
      </c>
      <c r="P7" s="53" t="s">
        <v>33</v>
      </c>
      <c r="Q7" s="54">
        <v>21.5</v>
      </c>
      <c r="T7" s="53" t="s">
        <v>59</v>
      </c>
      <c r="U7" s="59"/>
      <c r="V7" s="59">
        <v>3680</v>
      </c>
      <c r="X7" s="53" t="s">
        <v>28</v>
      </c>
      <c r="Y7">
        <v>17</v>
      </c>
      <c r="AA7" s="53" t="s">
        <v>28</v>
      </c>
      <c r="AB7" s="60">
        <v>0.25952380952380955</v>
      </c>
      <c r="AE7" s="53" t="s">
        <v>28</v>
      </c>
      <c r="AF7" s="59">
        <v>1250</v>
      </c>
      <c r="AH7" s="53" t="s">
        <v>77</v>
      </c>
      <c r="AI7">
        <v>300</v>
      </c>
      <c r="AJ7">
        <v>300</v>
      </c>
    </row>
    <row r="8" spans="2:36" x14ac:dyDescent="0.2">
      <c r="H8" s="53" t="s">
        <v>33</v>
      </c>
      <c r="I8">
        <v>24</v>
      </c>
      <c r="J8">
        <v>8</v>
      </c>
      <c r="K8">
        <v>32</v>
      </c>
      <c r="M8" s="53" t="s">
        <v>194</v>
      </c>
      <c r="N8" s="54">
        <v>21.741935483870968</v>
      </c>
      <c r="P8" s="53" t="s">
        <v>194</v>
      </c>
      <c r="Q8" s="54">
        <v>21.741935483870968</v>
      </c>
      <c r="T8" s="53" t="s">
        <v>66</v>
      </c>
      <c r="U8" s="59">
        <v>1530</v>
      </c>
      <c r="V8" s="59">
        <v>5210</v>
      </c>
      <c r="X8" s="53" t="s">
        <v>74</v>
      </c>
      <c r="Y8">
        <v>22</v>
      </c>
      <c r="AA8" s="53" t="s">
        <v>29</v>
      </c>
      <c r="AB8" s="60">
        <v>0.14285714285714285</v>
      </c>
      <c r="AE8" s="53" t="s">
        <v>29</v>
      </c>
      <c r="AF8" s="59">
        <v>700</v>
      </c>
      <c r="AH8" s="53" t="s">
        <v>78</v>
      </c>
      <c r="AI8">
        <v>500</v>
      </c>
      <c r="AJ8">
        <v>550</v>
      </c>
    </row>
    <row r="9" spans="2:36" x14ac:dyDescent="0.2">
      <c r="H9" s="53" t="s">
        <v>194</v>
      </c>
      <c r="I9">
        <v>72</v>
      </c>
      <c r="J9">
        <v>31</v>
      </c>
      <c r="K9">
        <v>103</v>
      </c>
      <c r="T9" s="53" t="s">
        <v>67</v>
      </c>
      <c r="U9" s="59">
        <v>1420</v>
      </c>
      <c r="V9" s="59">
        <v>6630</v>
      </c>
      <c r="X9" s="53" t="s">
        <v>29</v>
      </c>
      <c r="Y9">
        <v>26</v>
      </c>
      <c r="AA9" s="53" t="s">
        <v>194</v>
      </c>
      <c r="AB9" s="60">
        <v>5.5158730158730164E-2</v>
      </c>
      <c r="AE9" s="53" t="s">
        <v>194</v>
      </c>
      <c r="AF9" s="59">
        <v>5000</v>
      </c>
      <c r="AH9" s="53" t="s">
        <v>79</v>
      </c>
      <c r="AI9">
        <v>500</v>
      </c>
      <c r="AJ9">
        <v>300</v>
      </c>
    </row>
    <row r="10" spans="2:36" x14ac:dyDescent="0.2">
      <c r="T10" s="53" t="s">
        <v>68</v>
      </c>
      <c r="U10" s="59">
        <v>2110</v>
      </c>
      <c r="V10" s="59">
        <v>8740</v>
      </c>
      <c r="X10" s="53" t="s">
        <v>194</v>
      </c>
      <c r="Y10">
        <v>103</v>
      </c>
      <c r="AH10" s="53" t="s">
        <v>80</v>
      </c>
      <c r="AI10">
        <v>500</v>
      </c>
      <c r="AJ10">
        <v>700</v>
      </c>
    </row>
    <row r="11" spans="2:36" x14ac:dyDescent="0.2">
      <c r="T11" s="53" t="s">
        <v>194</v>
      </c>
      <c r="U11" s="59">
        <v>8740</v>
      </c>
      <c r="V11" s="59"/>
      <c r="AH11" s="53" t="s">
        <v>81</v>
      </c>
      <c r="AI11">
        <v>900</v>
      </c>
      <c r="AJ11">
        <v>760</v>
      </c>
    </row>
    <row r="12" spans="2:36" x14ac:dyDescent="0.2">
      <c r="AH12" s="53" t="s">
        <v>82</v>
      </c>
      <c r="AI12">
        <v>350</v>
      </c>
      <c r="AJ12">
        <v>240</v>
      </c>
    </row>
    <row r="13" spans="2:36" x14ac:dyDescent="0.2">
      <c r="AH13" s="53" t="s">
        <v>83</v>
      </c>
      <c r="AI13">
        <v>700</v>
      </c>
      <c r="AJ13">
        <v>800</v>
      </c>
    </row>
    <row r="14" spans="2:36" x14ac:dyDescent="0.2">
      <c r="AH14" s="53" t="s">
        <v>84</v>
      </c>
      <c r="AI14">
        <v>500</v>
      </c>
      <c r="AJ14">
        <v>550</v>
      </c>
    </row>
    <row r="15" spans="2:36" x14ac:dyDescent="0.2">
      <c r="AH15" s="53" t="s">
        <v>194</v>
      </c>
      <c r="AI15">
        <v>5000</v>
      </c>
      <c r="AJ15">
        <v>5200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0CFF9-89BA-4EF9-8CA2-40EDECBFC826}">
  <sheetPr codeName="Sheet3">
    <tabColor rgb="FF8FCFAD"/>
  </sheetPr>
  <dimension ref="A1:L1070"/>
  <sheetViews>
    <sheetView showGridLines="0" showRowColHeaders="0" zoomScaleNormal="100" workbookViewId="0">
      <pane xSplit="1" ySplit="1" topLeftCell="B5" activePane="bottomRight" state="frozen"/>
      <selection pane="topRight" activeCell="B1" sqref="B1"/>
      <selection pane="bottomLeft" activeCell="A23" sqref="A23"/>
      <selection pane="bottomRight" activeCell="G2" sqref="G2"/>
    </sheetView>
  </sheetViews>
  <sheetFormatPr defaultColWidth="0" defaultRowHeight="30" customHeight="1" x14ac:dyDescent="0.2"/>
  <cols>
    <col min="1" max="1" width="21.42578125" style="37" customWidth="1"/>
    <col min="2" max="3" width="18.7109375" customWidth="1"/>
    <col min="4" max="6" width="18.7109375" hidden="1" customWidth="1"/>
    <col min="7" max="11" width="18.7109375" customWidth="1"/>
    <col min="12" max="12" width="1.7109375" customWidth="1"/>
    <col min="13" max="16384" width="9.140625" hidden="1"/>
  </cols>
  <sheetData>
    <row r="1" spans="1:11" s="16" customFormat="1" ht="60" customHeight="1" x14ac:dyDescent="0.2">
      <c r="A1" s="25" t="s">
        <v>38</v>
      </c>
      <c r="B1" s="27" t="s">
        <v>50</v>
      </c>
      <c r="C1" s="27" t="s">
        <v>70</v>
      </c>
      <c r="D1" s="27" t="s">
        <v>51</v>
      </c>
      <c r="E1" s="27" t="s">
        <v>52</v>
      </c>
      <c r="F1" s="27" t="s">
        <v>53</v>
      </c>
      <c r="G1" s="27" t="s">
        <v>40</v>
      </c>
      <c r="H1" s="27" t="s">
        <v>69</v>
      </c>
      <c r="I1" s="27" t="s">
        <v>54</v>
      </c>
      <c r="J1" s="27" t="s">
        <v>55</v>
      </c>
      <c r="K1" s="27" t="s">
        <v>56</v>
      </c>
    </row>
    <row r="2" spans="1:11" s="24" customFormat="1" ht="30" customHeight="1" x14ac:dyDescent="0.2">
      <c r="A2" s="34" t="str">
        <f>IF(AND(B1&lt;&gt;"",B2=""),$A$1&amp;"---&gt;","")</f>
        <v/>
      </c>
      <c r="B2" s="28">
        <v>44166</v>
      </c>
      <c r="C2" s="28" t="s">
        <v>75</v>
      </c>
      <c r="D2" s="36">
        <f>IF(adv[[#This Row],[Date Of Ad]]="","",YEAR(adv[[#This Row],[Date Of Ad]]))</f>
        <v>2020</v>
      </c>
      <c r="E2" s="36" t="str">
        <f>IFERROR(VLOOKUP(IF(adv[[#This Row],[Date Of Ad]]="","",MONTH(adv[[#This Row],[Date Of Ad]])),Sheet3!D:E,2,0),"")</f>
        <v>Dec</v>
      </c>
      <c r="F2" s="36" t="str">
        <f>IF(OR(adv[[#This Row],[Year]]="",adv[[#This Row],[Month]]=""),"",adv[[#This Row],[Year]]&amp;adv[[#This Row],[Month]])</f>
        <v>2020Dec</v>
      </c>
      <c r="G2" s="29" t="s">
        <v>28</v>
      </c>
      <c r="H2" s="38">
        <v>350</v>
      </c>
      <c r="I2" s="40">
        <f>IFERROR(IF(adv[[#This Row],[Platform]]="","",SUMIFS('Leads Raw Data'!N:N,'Leads Raw Data'!F:F,adv[[#This Row],[Platform]],'Leads Raw Data'!E:E,adv[[#This Row],[Date Comb]])),"")</f>
        <v>500</v>
      </c>
      <c r="J2" s="40">
        <f>IF(OR(adv[[#This Row],[Revenue]]="",adv[[#This Row],[Cost Spend]]=""),"",adv[[#This Row],[Revenue]]-adv[[#This Row],[Cost Spend]])</f>
        <v>150</v>
      </c>
      <c r="K2" s="41">
        <f>IF(OR(adv[[#This Row],[Profit]]="",adv[[#This Row],[Revenue]]=""),"",(adv[[#This Row],[Profit]]/adv[[#This Row],[Cost Spend]]))</f>
        <v>0.42857142857142855</v>
      </c>
    </row>
    <row r="3" spans="1:11" ht="30" customHeight="1" x14ac:dyDescent="0.2">
      <c r="A3" s="34" t="str">
        <f t="shared" ref="A3:A66" si="0">IF(AND(B2&lt;&gt;"",B3=""),$A$1&amp;"---&gt;","")</f>
        <v/>
      </c>
      <c r="B3" s="44">
        <v>44175</v>
      </c>
      <c r="C3" s="28" t="s">
        <v>76</v>
      </c>
      <c r="D3" s="45">
        <f>IF(adv[[#This Row],[Date Of Ad]]="","",YEAR(adv[[#This Row],[Date Of Ad]]))</f>
        <v>2020</v>
      </c>
      <c r="E3" s="45" t="str">
        <f>IFERROR(VLOOKUP(IF(adv[[#This Row],[Date Of Ad]]="","",MONTH(adv[[#This Row],[Date Of Ad]])),Sheet3!D:E,2,0),"")</f>
        <v>Dec</v>
      </c>
      <c r="F3" s="45" t="str">
        <f>IF(OR(adv[[#This Row],[Year]]="",adv[[#This Row],[Month]]=""),"",adv[[#This Row],[Year]]&amp;adv[[#This Row],[Month]])</f>
        <v>2020Dec</v>
      </c>
      <c r="G3" s="46" t="s">
        <v>28</v>
      </c>
      <c r="H3" s="47">
        <v>400</v>
      </c>
      <c r="I3" s="48">
        <f>IFERROR(IF(adv[[#This Row],[Platform]]="","",SUMIFS('Leads Raw Data'!N:N,'Leads Raw Data'!F:F,adv[[#This Row],[Platform]],'Leads Raw Data'!E:E,adv[[#This Row],[Date Comb]])),"")</f>
        <v>500</v>
      </c>
      <c r="J3" s="48">
        <f>IF(OR(adv[[#This Row],[Revenue]]="",adv[[#This Row],[Cost Spend]]=""),"",adv[[#This Row],[Revenue]]-adv[[#This Row],[Cost Spend]])</f>
        <v>100</v>
      </c>
      <c r="K3" s="49">
        <f>IF(OR(adv[[#This Row],[Profit]]="",adv[[#This Row],[Revenue]]=""),"",(adv[[#This Row],[Profit]]/adv[[#This Row],[Cost Spend]]))</f>
        <v>0.25</v>
      </c>
    </row>
    <row r="4" spans="1:11" ht="30" customHeight="1" x14ac:dyDescent="0.2">
      <c r="A4" s="34" t="str">
        <f t="shared" si="0"/>
        <v/>
      </c>
      <c r="B4" s="28">
        <v>44237</v>
      </c>
      <c r="C4" s="28" t="s">
        <v>77</v>
      </c>
      <c r="D4" s="36">
        <f>IF(adv[[#This Row],[Date Of Ad]]="","",YEAR(adv[[#This Row],[Date Of Ad]]))</f>
        <v>2021</v>
      </c>
      <c r="E4" s="36" t="str">
        <f>IFERROR(VLOOKUP(IF(adv[[#This Row],[Date Of Ad]]="","",MONTH(adv[[#This Row],[Date Of Ad]])),Sheet3!D:E,2,0),"")</f>
        <v>Feb</v>
      </c>
      <c r="F4" s="36" t="str">
        <f>IF(OR(adv[[#This Row],[Year]]="",adv[[#This Row],[Month]]=""),"",adv[[#This Row],[Year]]&amp;adv[[#This Row],[Month]])</f>
        <v>2021Feb</v>
      </c>
      <c r="G4" s="29" t="s">
        <v>30</v>
      </c>
      <c r="H4" s="38">
        <v>300</v>
      </c>
      <c r="I4" s="40">
        <f>IFERROR(IF(adv[[#This Row],[Platform]]="","",SUMIFS('Leads Raw Data'!N:N,'Leads Raw Data'!F:F,adv[[#This Row],[Platform]],'Leads Raw Data'!E:E,adv[[#This Row],[Date Comb]])),"")</f>
        <v>300</v>
      </c>
      <c r="J4" s="40">
        <f>IF(OR(adv[[#This Row],[Revenue]]="",adv[[#This Row],[Cost Spend]]=""),"",adv[[#This Row],[Revenue]]-adv[[#This Row],[Cost Spend]])</f>
        <v>0</v>
      </c>
      <c r="K4" s="43">
        <f>IF(OR(adv[[#This Row],[Profit]]="",adv[[#This Row],[Revenue]]=""),"",(adv[[#This Row],[Profit]]/adv[[#This Row],[Cost Spend]]))</f>
        <v>0</v>
      </c>
    </row>
    <row r="5" spans="1:11" ht="30" customHeight="1" x14ac:dyDescent="0.2">
      <c r="A5" s="34" t="str">
        <f t="shared" si="0"/>
        <v/>
      </c>
      <c r="B5" s="44">
        <v>44207</v>
      </c>
      <c r="C5" s="28" t="s">
        <v>78</v>
      </c>
      <c r="D5" s="45">
        <f>IF(adv[[#This Row],[Date Of Ad]]="","",YEAR(adv[[#This Row],[Date Of Ad]]))</f>
        <v>2021</v>
      </c>
      <c r="E5" s="45" t="str">
        <f>IFERROR(VLOOKUP(IF(adv[[#This Row],[Date Of Ad]]="","",MONTH(adv[[#This Row],[Date Of Ad]])),Sheet3!D:E,2,0),"")</f>
        <v>Jan</v>
      </c>
      <c r="F5" s="45" t="str">
        <f>IF(OR(adv[[#This Row],[Year]]="",adv[[#This Row],[Month]]=""),"",adv[[#This Row],[Year]]&amp;adv[[#This Row],[Month]])</f>
        <v>2021Jan</v>
      </c>
      <c r="G5" s="46" t="s">
        <v>28</v>
      </c>
      <c r="H5" s="47">
        <v>500</v>
      </c>
      <c r="I5" s="48">
        <f>IFERROR(IF(adv[[#This Row],[Platform]]="","",SUMIFS('Leads Raw Data'!N:N,'Leads Raw Data'!F:F,adv[[#This Row],[Platform]],'Leads Raw Data'!E:E,adv[[#This Row],[Date Comb]])),"")</f>
        <v>550</v>
      </c>
      <c r="J5" s="48">
        <f>IF(OR(adv[[#This Row],[Revenue]]="",adv[[#This Row],[Cost Spend]]=""),"",adv[[#This Row],[Revenue]]-adv[[#This Row],[Cost Spend]])</f>
        <v>50</v>
      </c>
      <c r="K5" s="49">
        <f>IF(OR(adv[[#This Row],[Profit]]="",adv[[#This Row],[Revenue]]=""),"",(adv[[#This Row],[Profit]]/adv[[#This Row],[Cost Spend]]))</f>
        <v>0.1</v>
      </c>
    </row>
    <row r="6" spans="1:11" ht="30" customHeight="1" x14ac:dyDescent="0.2">
      <c r="A6" s="34" t="str">
        <f t="shared" si="0"/>
        <v/>
      </c>
      <c r="B6" s="44">
        <v>44228</v>
      </c>
      <c r="C6" s="28" t="s">
        <v>79</v>
      </c>
      <c r="D6" s="45">
        <f>IF(adv[[#This Row],[Date Of Ad]]="","",YEAR(adv[[#This Row],[Date Of Ad]]))</f>
        <v>2021</v>
      </c>
      <c r="E6" s="45" t="str">
        <f>IFERROR(VLOOKUP(IF(adv[[#This Row],[Date Of Ad]]="","",MONTH(adv[[#This Row],[Date Of Ad]])),Sheet3!D:E,2,0),"")</f>
        <v>Feb</v>
      </c>
      <c r="F6" s="45" t="str">
        <f>IF(OR(adv[[#This Row],[Year]]="",adv[[#This Row],[Month]]=""),"",adv[[#This Row],[Year]]&amp;adv[[#This Row],[Month]])</f>
        <v>2021Feb</v>
      </c>
      <c r="G6" s="46" t="s">
        <v>30</v>
      </c>
      <c r="H6" s="47">
        <v>500</v>
      </c>
      <c r="I6" s="48">
        <f>IFERROR(IF(adv[[#This Row],[Platform]]="","",SUMIFS('Leads Raw Data'!N:N,'Leads Raw Data'!F:F,adv[[#This Row],[Platform]],'Leads Raw Data'!E:E,adv[[#This Row],[Date Comb]])),"")</f>
        <v>300</v>
      </c>
      <c r="J6" s="48">
        <f>IF(OR(adv[[#This Row],[Revenue]]="",adv[[#This Row],[Cost Spend]]=""),"",adv[[#This Row],[Revenue]]-adv[[#This Row],[Cost Spend]])</f>
        <v>-200</v>
      </c>
      <c r="K6" s="49">
        <f>IF(OR(adv[[#This Row],[Profit]]="",adv[[#This Row],[Revenue]]=""),"",(adv[[#This Row],[Profit]]/adv[[#This Row],[Cost Spend]]))</f>
        <v>-0.4</v>
      </c>
    </row>
    <row r="7" spans="1:11" ht="30" customHeight="1" x14ac:dyDescent="0.2">
      <c r="A7" s="34" t="str">
        <f t="shared" si="0"/>
        <v/>
      </c>
      <c r="B7" s="44">
        <v>44198</v>
      </c>
      <c r="C7" s="28" t="s">
        <v>80</v>
      </c>
      <c r="D7" s="45">
        <f>IF(adv[[#This Row],[Date Of Ad]]="","",YEAR(adv[[#This Row],[Date Of Ad]]))</f>
        <v>2021</v>
      </c>
      <c r="E7" s="45" t="str">
        <f>IFERROR(VLOOKUP(IF(adv[[#This Row],[Date Of Ad]]="","",MONTH(adv[[#This Row],[Date Of Ad]])),Sheet3!D:E,2,0),"")</f>
        <v>Jan</v>
      </c>
      <c r="F7" s="45" t="str">
        <f>IF(OR(adv[[#This Row],[Year]]="",adv[[#This Row],[Month]]=""),"",adv[[#This Row],[Year]]&amp;adv[[#This Row],[Month]])</f>
        <v>2021Jan</v>
      </c>
      <c r="G7" s="46" t="s">
        <v>27</v>
      </c>
      <c r="H7" s="47">
        <v>500</v>
      </c>
      <c r="I7" s="48">
        <f>IFERROR(IF(adv[[#This Row],[Platform]]="","",SUMIFS('Leads Raw Data'!N:N,'Leads Raw Data'!F:F,adv[[#This Row],[Platform]],'Leads Raw Data'!E:E,adv[[#This Row],[Date Comb]])),"")</f>
        <v>700</v>
      </c>
      <c r="J7" s="48">
        <f>IF(OR(adv[[#This Row],[Revenue]]="",adv[[#This Row],[Cost Spend]]=""),"",adv[[#This Row],[Revenue]]-adv[[#This Row],[Cost Spend]])</f>
        <v>200</v>
      </c>
      <c r="K7" s="49">
        <f>IF(OR(adv[[#This Row],[Profit]]="",adv[[#This Row],[Revenue]]=""),"",(adv[[#This Row],[Profit]]/adv[[#This Row],[Cost Spend]]))</f>
        <v>0.4</v>
      </c>
    </row>
    <row r="8" spans="1:11" ht="30" customHeight="1" x14ac:dyDescent="0.2">
      <c r="A8" s="34" t="str">
        <f t="shared" si="0"/>
        <v/>
      </c>
      <c r="B8" s="44">
        <v>44166</v>
      </c>
      <c r="C8" s="28" t="s">
        <v>81</v>
      </c>
      <c r="D8" s="45">
        <f>IF(adv[[#This Row],[Date Of Ad]]="","",YEAR(adv[[#This Row],[Date Of Ad]]))</f>
        <v>2020</v>
      </c>
      <c r="E8" s="45" t="str">
        <f>IFERROR(VLOOKUP(IF(adv[[#This Row],[Date Of Ad]]="","",MONTH(adv[[#This Row],[Date Of Ad]])),Sheet3!D:E,2,0),"")</f>
        <v>Dec</v>
      </c>
      <c r="F8" s="45" t="str">
        <f>IF(OR(adv[[#This Row],[Year]]="",adv[[#This Row],[Month]]=""),"",adv[[#This Row],[Year]]&amp;adv[[#This Row],[Month]])</f>
        <v>2020Dec</v>
      </c>
      <c r="G8" s="46" t="s">
        <v>27</v>
      </c>
      <c r="H8" s="47">
        <v>900</v>
      </c>
      <c r="I8" s="48">
        <f>IFERROR(IF(adv[[#This Row],[Platform]]="","",SUMIFS('Leads Raw Data'!N:N,'Leads Raw Data'!F:F,adv[[#This Row],[Platform]],'Leads Raw Data'!E:E,adv[[#This Row],[Date Comb]])),"")</f>
        <v>760</v>
      </c>
      <c r="J8" s="48">
        <f>IF(OR(adv[[#This Row],[Revenue]]="",adv[[#This Row],[Cost Spend]]=""),"",adv[[#This Row],[Revenue]]-adv[[#This Row],[Cost Spend]])</f>
        <v>-140</v>
      </c>
      <c r="K8" s="49">
        <f>IF(OR(adv[[#This Row],[Profit]]="",adv[[#This Row],[Revenue]]=""),"",(adv[[#This Row],[Profit]]/adv[[#This Row],[Cost Spend]]))</f>
        <v>-0.15555555555555556</v>
      </c>
    </row>
    <row r="9" spans="1:11" ht="30" customHeight="1" x14ac:dyDescent="0.2">
      <c r="A9" s="34" t="str">
        <f t="shared" si="0"/>
        <v/>
      </c>
      <c r="B9" s="44">
        <v>44147</v>
      </c>
      <c r="C9" s="28" t="s">
        <v>82</v>
      </c>
      <c r="D9" s="45">
        <f>IF(adv[[#This Row],[Date Of Ad]]="","",YEAR(adv[[#This Row],[Date Of Ad]]))</f>
        <v>2020</v>
      </c>
      <c r="E9" s="45" t="str">
        <f>IFERROR(VLOOKUP(IF(adv[[#This Row],[Date Of Ad]]="","",MONTH(adv[[#This Row],[Date Of Ad]])),Sheet3!D:E,2,0),"")</f>
        <v>Nov</v>
      </c>
      <c r="F9" s="45" t="str">
        <f>IF(OR(adv[[#This Row],[Year]]="",adv[[#This Row],[Month]]=""),"",adv[[#This Row],[Year]]&amp;adv[[#This Row],[Month]])</f>
        <v>2020Nov</v>
      </c>
      <c r="G9" s="46" t="s">
        <v>30</v>
      </c>
      <c r="H9" s="47">
        <v>350</v>
      </c>
      <c r="I9" s="48">
        <f>IFERROR(IF(adv[[#This Row],[Platform]]="","",SUMIFS('Leads Raw Data'!N:N,'Leads Raw Data'!F:F,adv[[#This Row],[Platform]],'Leads Raw Data'!E:E,adv[[#This Row],[Date Comb]])),"")</f>
        <v>240</v>
      </c>
      <c r="J9" s="48">
        <f>IF(OR(adv[[#This Row],[Revenue]]="",adv[[#This Row],[Cost Spend]]=""),"",adv[[#This Row],[Revenue]]-adv[[#This Row],[Cost Spend]])</f>
        <v>-110</v>
      </c>
      <c r="K9" s="49">
        <f>IF(OR(adv[[#This Row],[Profit]]="",adv[[#This Row],[Revenue]]=""),"",(adv[[#This Row],[Profit]]/adv[[#This Row],[Cost Spend]]))</f>
        <v>-0.31428571428571428</v>
      </c>
    </row>
    <row r="10" spans="1:11" ht="30" customHeight="1" x14ac:dyDescent="0.2">
      <c r="A10" s="34" t="str">
        <f t="shared" si="0"/>
        <v/>
      </c>
      <c r="B10" s="44">
        <v>44106</v>
      </c>
      <c r="C10" s="28" t="s">
        <v>83</v>
      </c>
      <c r="D10" s="45">
        <f>IF(adv[[#This Row],[Date Of Ad]]="","",YEAR(adv[[#This Row],[Date Of Ad]]))</f>
        <v>2020</v>
      </c>
      <c r="E10" s="45" t="str">
        <f>IFERROR(VLOOKUP(IF(adv[[#This Row],[Date Of Ad]]="","",MONTH(adv[[#This Row],[Date Of Ad]])),Sheet3!D:E,2,0),"")</f>
        <v>Oct</v>
      </c>
      <c r="F10" s="45" t="str">
        <f>IF(OR(adv[[#This Row],[Year]]="",adv[[#This Row],[Month]]=""),"",adv[[#This Row],[Year]]&amp;adv[[#This Row],[Month]])</f>
        <v>2020Oct</v>
      </c>
      <c r="G10" s="46" t="s">
        <v>29</v>
      </c>
      <c r="H10" s="47">
        <v>700</v>
      </c>
      <c r="I10" s="48">
        <f>IFERROR(IF(adv[[#This Row],[Platform]]="","",SUMIFS('Leads Raw Data'!N:N,'Leads Raw Data'!F:F,adv[[#This Row],[Platform]],'Leads Raw Data'!E:E,adv[[#This Row],[Date Comb]])),"")</f>
        <v>800</v>
      </c>
      <c r="J10" s="48">
        <f>IF(OR(adv[[#This Row],[Revenue]]="",adv[[#This Row],[Cost Spend]]=""),"",adv[[#This Row],[Revenue]]-adv[[#This Row],[Cost Spend]])</f>
        <v>100</v>
      </c>
      <c r="K10" s="49">
        <f>IF(OR(adv[[#This Row],[Profit]]="",adv[[#This Row],[Revenue]]=""),"",(adv[[#This Row],[Profit]]/adv[[#This Row],[Cost Spend]]))</f>
        <v>0.14285714285714285</v>
      </c>
    </row>
    <row r="11" spans="1:11" ht="30" customHeight="1" x14ac:dyDescent="0.2">
      <c r="A11" s="34" t="str">
        <f t="shared" si="0"/>
        <v/>
      </c>
      <c r="B11" s="44">
        <v>44106</v>
      </c>
      <c r="C11" s="28" t="s">
        <v>84</v>
      </c>
      <c r="D11" s="45">
        <f>IF(adv[[#This Row],[Date Of Ad]]="","",YEAR(adv[[#This Row],[Date Of Ad]]))</f>
        <v>2020</v>
      </c>
      <c r="E11" s="45" t="str">
        <f>IFERROR(VLOOKUP(IF(adv[[#This Row],[Date Of Ad]]="","",MONTH(adv[[#This Row],[Date Of Ad]])),Sheet3!D:E,2,0),"")</f>
        <v>Oct</v>
      </c>
      <c r="F11" s="45" t="str">
        <f>IF(OR(adv[[#This Row],[Year]]="",adv[[#This Row],[Month]]=""),"",adv[[#This Row],[Year]]&amp;adv[[#This Row],[Month]])</f>
        <v>2020Oct</v>
      </c>
      <c r="G11" s="46" t="s">
        <v>27</v>
      </c>
      <c r="H11" s="47">
        <v>500</v>
      </c>
      <c r="I11" s="48">
        <f>IFERROR(IF(adv[[#This Row],[Platform]]="","",SUMIFS('Leads Raw Data'!N:N,'Leads Raw Data'!F:F,adv[[#This Row],[Platform]],'Leads Raw Data'!E:E,adv[[#This Row],[Date Comb]])),"")</f>
        <v>550</v>
      </c>
      <c r="J11" s="48">
        <f>IF(OR(adv[[#This Row],[Revenue]]="",adv[[#This Row],[Cost Spend]]=""),"",adv[[#This Row],[Revenue]]-adv[[#This Row],[Cost Spend]])</f>
        <v>50</v>
      </c>
      <c r="K11" s="49">
        <f>IF(OR(adv[[#This Row],[Profit]]="",adv[[#This Row],[Revenue]]=""),"",(adv[[#This Row],[Profit]]/adv[[#This Row],[Cost Spend]]))</f>
        <v>0.1</v>
      </c>
    </row>
    <row r="12" spans="1:11" ht="30" customHeight="1" x14ac:dyDescent="0.2">
      <c r="A12" s="34" t="str">
        <f t="shared" si="0"/>
        <v>Add New Ad Spend---&gt;</v>
      </c>
    </row>
    <row r="13" spans="1:11" ht="30" customHeight="1" x14ac:dyDescent="0.2">
      <c r="A13" s="34" t="str">
        <f t="shared" si="0"/>
        <v/>
      </c>
    </row>
    <row r="14" spans="1:11" ht="30" customHeight="1" x14ac:dyDescent="0.2">
      <c r="A14" s="34" t="str">
        <f t="shared" si="0"/>
        <v/>
      </c>
    </row>
    <row r="15" spans="1:11" ht="30" customHeight="1" x14ac:dyDescent="0.2">
      <c r="A15" s="34" t="str">
        <f t="shared" si="0"/>
        <v/>
      </c>
    </row>
    <row r="16" spans="1:11" ht="30" customHeight="1" x14ac:dyDescent="0.2">
      <c r="A16" s="34" t="str">
        <f t="shared" si="0"/>
        <v/>
      </c>
    </row>
    <row r="17" spans="1:1" ht="30" customHeight="1" x14ac:dyDescent="0.2">
      <c r="A17" s="34" t="str">
        <f t="shared" si="0"/>
        <v/>
      </c>
    </row>
    <row r="18" spans="1:1" ht="30" customHeight="1" x14ac:dyDescent="0.2">
      <c r="A18" s="34" t="str">
        <f t="shared" si="0"/>
        <v/>
      </c>
    </row>
    <row r="19" spans="1:1" ht="30" customHeight="1" x14ac:dyDescent="0.2">
      <c r="A19" s="34" t="str">
        <f t="shared" si="0"/>
        <v/>
      </c>
    </row>
    <row r="20" spans="1:1" ht="30" customHeight="1" x14ac:dyDescent="0.2">
      <c r="A20" s="34" t="str">
        <f t="shared" si="0"/>
        <v/>
      </c>
    </row>
    <row r="21" spans="1:1" ht="30" customHeight="1" x14ac:dyDescent="0.2">
      <c r="A21" s="34" t="str">
        <f t="shared" si="0"/>
        <v/>
      </c>
    </row>
    <row r="22" spans="1:1" ht="30" customHeight="1" x14ac:dyDescent="0.2">
      <c r="A22" s="34" t="str">
        <f t="shared" si="0"/>
        <v/>
      </c>
    </row>
    <row r="23" spans="1:1" ht="30" customHeight="1" x14ac:dyDescent="0.2">
      <c r="A23" s="34" t="str">
        <f t="shared" si="0"/>
        <v/>
      </c>
    </row>
    <row r="24" spans="1:1" ht="30" customHeight="1" x14ac:dyDescent="0.2">
      <c r="A24" s="34" t="str">
        <f t="shared" si="0"/>
        <v/>
      </c>
    </row>
    <row r="25" spans="1:1" ht="30" customHeight="1" x14ac:dyDescent="0.2">
      <c r="A25" s="34" t="str">
        <f t="shared" si="0"/>
        <v/>
      </c>
    </row>
    <row r="26" spans="1:1" ht="30" customHeight="1" x14ac:dyDescent="0.2">
      <c r="A26" s="34" t="str">
        <f t="shared" si="0"/>
        <v/>
      </c>
    </row>
    <row r="27" spans="1:1" ht="30" customHeight="1" x14ac:dyDescent="0.2">
      <c r="A27" s="34" t="str">
        <f t="shared" si="0"/>
        <v/>
      </c>
    </row>
    <row r="28" spans="1:1" ht="30" customHeight="1" x14ac:dyDescent="0.2">
      <c r="A28" s="34" t="str">
        <f t="shared" si="0"/>
        <v/>
      </c>
    </row>
    <row r="29" spans="1:1" ht="30" customHeight="1" x14ac:dyDescent="0.2">
      <c r="A29" s="34" t="str">
        <f t="shared" si="0"/>
        <v/>
      </c>
    </row>
    <row r="30" spans="1:1" ht="30" customHeight="1" x14ac:dyDescent="0.2">
      <c r="A30" s="34" t="str">
        <f t="shared" si="0"/>
        <v/>
      </c>
    </row>
    <row r="31" spans="1:1" ht="30" customHeight="1" x14ac:dyDescent="0.2">
      <c r="A31" s="34" t="str">
        <f t="shared" si="0"/>
        <v/>
      </c>
    </row>
    <row r="32" spans="1:1" ht="30" customHeight="1" x14ac:dyDescent="0.2">
      <c r="A32" s="34" t="str">
        <f t="shared" si="0"/>
        <v/>
      </c>
    </row>
    <row r="33" spans="1:1" ht="30" customHeight="1" x14ac:dyDescent="0.2">
      <c r="A33" s="34" t="str">
        <f t="shared" si="0"/>
        <v/>
      </c>
    </row>
    <row r="34" spans="1:1" ht="30" customHeight="1" x14ac:dyDescent="0.2">
      <c r="A34" s="34" t="str">
        <f t="shared" si="0"/>
        <v/>
      </c>
    </row>
    <row r="35" spans="1:1" ht="30" customHeight="1" x14ac:dyDescent="0.2">
      <c r="A35" s="34" t="str">
        <f t="shared" si="0"/>
        <v/>
      </c>
    </row>
    <row r="36" spans="1:1" ht="30" customHeight="1" x14ac:dyDescent="0.2">
      <c r="A36" s="34" t="str">
        <f t="shared" si="0"/>
        <v/>
      </c>
    </row>
    <row r="37" spans="1:1" ht="30" customHeight="1" x14ac:dyDescent="0.2">
      <c r="A37" s="34" t="str">
        <f t="shared" si="0"/>
        <v/>
      </c>
    </row>
    <row r="38" spans="1:1" ht="30" customHeight="1" x14ac:dyDescent="0.2">
      <c r="A38" s="34" t="str">
        <f t="shared" si="0"/>
        <v/>
      </c>
    </row>
    <row r="39" spans="1:1" ht="30" customHeight="1" x14ac:dyDescent="0.2">
      <c r="A39" s="34" t="str">
        <f t="shared" si="0"/>
        <v/>
      </c>
    </row>
    <row r="40" spans="1:1" ht="30" customHeight="1" x14ac:dyDescent="0.2">
      <c r="A40" s="34" t="str">
        <f t="shared" si="0"/>
        <v/>
      </c>
    </row>
    <row r="41" spans="1:1" ht="30" customHeight="1" x14ac:dyDescent="0.2">
      <c r="A41" s="34" t="str">
        <f t="shared" si="0"/>
        <v/>
      </c>
    </row>
    <row r="42" spans="1:1" ht="30" customHeight="1" x14ac:dyDescent="0.2">
      <c r="A42" s="34" t="str">
        <f t="shared" si="0"/>
        <v/>
      </c>
    </row>
    <row r="43" spans="1:1" ht="30" customHeight="1" x14ac:dyDescent="0.2">
      <c r="A43" s="34" t="str">
        <f t="shared" si="0"/>
        <v/>
      </c>
    </row>
    <row r="44" spans="1:1" ht="30" customHeight="1" x14ac:dyDescent="0.2">
      <c r="A44" s="34" t="str">
        <f t="shared" si="0"/>
        <v/>
      </c>
    </row>
    <row r="45" spans="1:1" ht="30" customHeight="1" x14ac:dyDescent="0.2">
      <c r="A45" s="34" t="str">
        <f t="shared" si="0"/>
        <v/>
      </c>
    </row>
    <row r="46" spans="1:1" ht="30" customHeight="1" x14ac:dyDescent="0.2">
      <c r="A46" s="34" t="str">
        <f t="shared" si="0"/>
        <v/>
      </c>
    </row>
    <row r="47" spans="1:1" ht="30" customHeight="1" x14ac:dyDescent="0.2">
      <c r="A47" s="34" t="str">
        <f t="shared" si="0"/>
        <v/>
      </c>
    </row>
    <row r="48" spans="1:1" ht="30" customHeight="1" x14ac:dyDescent="0.2">
      <c r="A48" s="34" t="str">
        <f t="shared" si="0"/>
        <v/>
      </c>
    </row>
    <row r="49" spans="1:1" ht="30" customHeight="1" x14ac:dyDescent="0.2">
      <c r="A49" s="34" t="str">
        <f t="shared" si="0"/>
        <v/>
      </c>
    </row>
    <row r="50" spans="1:1" ht="30" customHeight="1" x14ac:dyDescent="0.2">
      <c r="A50" s="34" t="str">
        <f t="shared" si="0"/>
        <v/>
      </c>
    </row>
    <row r="51" spans="1:1" ht="30" customHeight="1" x14ac:dyDescent="0.2">
      <c r="A51" s="34" t="str">
        <f t="shared" si="0"/>
        <v/>
      </c>
    </row>
    <row r="52" spans="1:1" ht="30" customHeight="1" x14ac:dyDescent="0.2">
      <c r="A52" s="34" t="str">
        <f t="shared" si="0"/>
        <v/>
      </c>
    </row>
    <row r="53" spans="1:1" ht="30" customHeight="1" x14ac:dyDescent="0.2">
      <c r="A53" s="34" t="str">
        <f t="shared" si="0"/>
        <v/>
      </c>
    </row>
    <row r="54" spans="1:1" ht="30" customHeight="1" x14ac:dyDescent="0.2">
      <c r="A54" s="34" t="str">
        <f t="shared" si="0"/>
        <v/>
      </c>
    </row>
    <row r="55" spans="1:1" ht="30" customHeight="1" x14ac:dyDescent="0.2">
      <c r="A55" s="34" t="str">
        <f t="shared" si="0"/>
        <v/>
      </c>
    </row>
    <row r="56" spans="1:1" ht="30" customHeight="1" x14ac:dyDescent="0.2">
      <c r="A56" s="34" t="str">
        <f t="shared" si="0"/>
        <v/>
      </c>
    </row>
    <row r="57" spans="1:1" ht="30" customHeight="1" x14ac:dyDescent="0.2">
      <c r="A57" s="34" t="str">
        <f t="shared" si="0"/>
        <v/>
      </c>
    </row>
    <row r="58" spans="1:1" ht="30" customHeight="1" x14ac:dyDescent="0.2">
      <c r="A58" s="34" t="str">
        <f t="shared" si="0"/>
        <v/>
      </c>
    </row>
    <row r="59" spans="1:1" ht="30" customHeight="1" x14ac:dyDescent="0.2">
      <c r="A59" s="34" t="str">
        <f t="shared" si="0"/>
        <v/>
      </c>
    </row>
    <row r="60" spans="1:1" ht="30" customHeight="1" x14ac:dyDescent="0.2">
      <c r="A60" s="34" t="str">
        <f t="shared" si="0"/>
        <v/>
      </c>
    </row>
    <row r="61" spans="1:1" ht="30" customHeight="1" x14ac:dyDescent="0.2">
      <c r="A61" s="34" t="str">
        <f t="shared" si="0"/>
        <v/>
      </c>
    </row>
    <row r="62" spans="1:1" ht="30" customHeight="1" x14ac:dyDescent="0.2">
      <c r="A62" s="34" t="str">
        <f t="shared" si="0"/>
        <v/>
      </c>
    </row>
    <row r="63" spans="1:1" ht="30" customHeight="1" x14ac:dyDescent="0.2">
      <c r="A63" s="34" t="str">
        <f t="shared" si="0"/>
        <v/>
      </c>
    </row>
    <row r="64" spans="1:1" ht="30" customHeight="1" x14ac:dyDescent="0.2">
      <c r="A64" s="34" t="str">
        <f t="shared" si="0"/>
        <v/>
      </c>
    </row>
    <row r="65" spans="1:1" ht="30" customHeight="1" x14ac:dyDescent="0.2">
      <c r="A65" s="34" t="str">
        <f t="shared" si="0"/>
        <v/>
      </c>
    </row>
    <row r="66" spans="1:1" ht="30" customHeight="1" x14ac:dyDescent="0.2">
      <c r="A66" s="34" t="str">
        <f t="shared" si="0"/>
        <v/>
      </c>
    </row>
    <row r="67" spans="1:1" ht="30" customHeight="1" x14ac:dyDescent="0.2">
      <c r="A67" s="34" t="str">
        <f t="shared" ref="A67:A130" si="1">IF(AND(B66&lt;&gt;"",B67=""),$A$1&amp;"---&gt;","")</f>
        <v/>
      </c>
    </row>
    <row r="68" spans="1:1" ht="30" customHeight="1" x14ac:dyDescent="0.2">
      <c r="A68" s="34" t="str">
        <f t="shared" si="1"/>
        <v/>
      </c>
    </row>
    <row r="69" spans="1:1" ht="30" customHeight="1" x14ac:dyDescent="0.2">
      <c r="A69" s="34" t="str">
        <f t="shared" si="1"/>
        <v/>
      </c>
    </row>
    <row r="70" spans="1:1" ht="30" customHeight="1" x14ac:dyDescent="0.2">
      <c r="A70" s="34" t="str">
        <f t="shared" si="1"/>
        <v/>
      </c>
    </row>
    <row r="71" spans="1:1" ht="30" customHeight="1" x14ac:dyDescent="0.2">
      <c r="A71" s="34" t="str">
        <f t="shared" si="1"/>
        <v/>
      </c>
    </row>
    <row r="72" spans="1:1" ht="30" customHeight="1" x14ac:dyDescent="0.2">
      <c r="A72" s="34" t="str">
        <f t="shared" si="1"/>
        <v/>
      </c>
    </row>
    <row r="73" spans="1:1" ht="30" customHeight="1" x14ac:dyDescent="0.2">
      <c r="A73" s="34" t="str">
        <f t="shared" si="1"/>
        <v/>
      </c>
    </row>
    <row r="74" spans="1:1" ht="30" customHeight="1" x14ac:dyDescent="0.2">
      <c r="A74" s="34" t="str">
        <f t="shared" si="1"/>
        <v/>
      </c>
    </row>
    <row r="75" spans="1:1" ht="30" customHeight="1" x14ac:dyDescent="0.2">
      <c r="A75" s="34" t="str">
        <f t="shared" si="1"/>
        <v/>
      </c>
    </row>
    <row r="76" spans="1:1" ht="30" customHeight="1" x14ac:dyDescent="0.2">
      <c r="A76" s="34" t="str">
        <f t="shared" si="1"/>
        <v/>
      </c>
    </row>
    <row r="77" spans="1:1" ht="30" customHeight="1" x14ac:dyDescent="0.2">
      <c r="A77" s="34" t="str">
        <f t="shared" si="1"/>
        <v/>
      </c>
    </row>
    <row r="78" spans="1:1" ht="30" customHeight="1" x14ac:dyDescent="0.2">
      <c r="A78" s="34" t="str">
        <f t="shared" si="1"/>
        <v/>
      </c>
    </row>
    <row r="79" spans="1:1" ht="30" customHeight="1" x14ac:dyDescent="0.2">
      <c r="A79" s="34" t="str">
        <f t="shared" si="1"/>
        <v/>
      </c>
    </row>
    <row r="80" spans="1:1" ht="30" customHeight="1" x14ac:dyDescent="0.2">
      <c r="A80" s="34" t="str">
        <f t="shared" si="1"/>
        <v/>
      </c>
    </row>
    <row r="81" spans="1:1" ht="30" customHeight="1" x14ac:dyDescent="0.2">
      <c r="A81" s="34" t="str">
        <f t="shared" si="1"/>
        <v/>
      </c>
    </row>
    <row r="82" spans="1:1" ht="30" customHeight="1" x14ac:dyDescent="0.2">
      <c r="A82" s="34" t="str">
        <f t="shared" si="1"/>
        <v/>
      </c>
    </row>
    <row r="83" spans="1:1" ht="30" customHeight="1" x14ac:dyDescent="0.2">
      <c r="A83" s="34" t="str">
        <f t="shared" si="1"/>
        <v/>
      </c>
    </row>
    <row r="84" spans="1:1" ht="30" customHeight="1" x14ac:dyDescent="0.2">
      <c r="A84" s="34" t="str">
        <f t="shared" si="1"/>
        <v/>
      </c>
    </row>
    <row r="85" spans="1:1" ht="30" customHeight="1" x14ac:dyDescent="0.2">
      <c r="A85" s="34" t="str">
        <f t="shared" si="1"/>
        <v/>
      </c>
    </row>
    <row r="86" spans="1:1" ht="30" customHeight="1" x14ac:dyDescent="0.2">
      <c r="A86" s="34" t="str">
        <f t="shared" si="1"/>
        <v/>
      </c>
    </row>
    <row r="87" spans="1:1" ht="30" customHeight="1" x14ac:dyDescent="0.2">
      <c r="A87" s="34" t="str">
        <f t="shared" si="1"/>
        <v/>
      </c>
    </row>
    <row r="88" spans="1:1" ht="30" customHeight="1" x14ac:dyDescent="0.2">
      <c r="A88" s="34" t="str">
        <f t="shared" si="1"/>
        <v/>
      </c>
    </row>
    <row r="89" spans="1:1" ht="30" customHeight="1" x14ac:dyDescent="0.2">
      <c r="A89" s="34" t="str">
        <f t="shared" si="1"/>
        <v/>
      </c>
    </row>
    <row r="90" spans="1:1" ht="30" customHeight="1" x14ac:dyDescent="0.2">
      <c r="A90" s="34" t="str">
        <f t="shared" si="1"/>
        <v/>
      </c>
    </row>
    <row r="91" spans="1:1" ht="30" customHeight="1" x14ac:dyDescent="0.2">
      <c r="A91" s="34" t="str">
        <f t="shared" si="1"/>
        <v/>
      </c>
    </row>
    <row r="92" spans="1:1" ht="30" customHeight="1" x14ac:dyDescent="0.2">
      <c r="A92" s="34" t="str">
        <f t="shared" si="1"/>
        <v/>
      </c>
    </row>
    <row r="93" spans="1:1" ht="30" customHeight="1" x14ac:dyDescent="0.2">
      <c r="A93" s="34" t="str">
        <f t="shared" si="1"/>
        <v/>
      </c>
    </row>
    <row r="94" spans="1:1" ht="30" customHeight="1" x14ac:dyDescent="0.2">
      <c r="A94" s="34" t="str">
        <f t="shared" si="1"/>
        <v/>
      </c>
    </row>
    <row r="95" spans="1:1" ht="30" customHeight="1" x14ac:dyDescent="0.2">
      <c r="A95" s="34" t="str">
        <f t="shared" si="1"/>
        <v/>
      </c>
    </row>
    <row r="96" spans="1:1" ht="30" customHeight="1" x14ac:dyDescent="0.2">
      <c r="A96" s="34" t="str">
        <f t="shared" si="1"/>
        <v/>
      </c>
    </row>
    <row r="97" spans="1:1" ht="30" customHeight="1" x14ac:dyDescent="0.2">
      <c r="A97" s="34" t="str">
        <f t="shared" si="1"/>
        <v/>
      </c>
    </row>
    <row r="98" spans="1:1" ht="30" customHeight="1" x14ac:dyDescent="0.2">
      <c r="A98" s="34" t="str">
        <f t="shared" si="1"/>
        <v/>
      </c>
    </row>
    <row r="99" spans="1:1" ht="30" customHeight="1" x14ac:dyDescent="0.2">
      <c r="A99" s="34" t="str">
        <f t="shared" si="1"/>
        <v/>
      </c>
    </row>
    <row r="100" spans="1:1" ht="30" customHeight="1" x14ac:dyDescent="0.2">
      <c r="A100" s="34" t="str">
        <f t="shared" si="1"/>
        <v/>
      </c>
    </row>
    <row r="101" spans="1:1" ht="30" customHeight="1" x14ac:dyDescent="0.2">
      <c r="A101" s="34" t="str">
        <f t="shared" si="1"/>
        <v/>
      </c>
    </row>
    <row r="102" spans="1:1" ht="30" customHeight="1" x14ac:dyDescent="0.2">
      <c r="A102" s="34" t="str">
        <f t="shared" si="1"/>
        <v/>
      </c>
    </row>
    <row r="103" spans="1:1" ht="30" customHeight="1" x14ac:dyDescent="0.2">
      <c r="A103" s="34" t="str">
        <f t="shared" si="1"/>
        <v/>
      </c>
    </row>
    <row r="104" spans="1:1" ht="30" customHeight="1" x14ac:dyDescent="0.2">
      <c r="A104" s="34" t="str">
        <f t="shared" si="1"/>
        <v/>
      </c>
    </row>
    <row r="105" spans="1:1" ht="30" customHeight="1" x14ac:dyDescent="0.2">
      <c r="A105" s="34" t="str">
        <f t="shared" si="1"/>
        <v/>
      </c>
    </row>
    <row r="106" spans="1:1" ht="30" customHeight="1" x14ac:dyDescent="0.2">
      <c r="A106" s="34" t="str">
        <f t="shared" si="1"/>
        <v/>
      </c>
    </row>
    <row r="107" spans="1:1" ht="30" customHeight="1" x14ac:dyDescent="0.2">
      <c r="A107" s="34" t="str">
        <f t="shared" si="1"/>
        <v/>
      </c>
    </row>
    <row r="108" spans="1:1" ht="30" customHeight="1" x14ac:dyDescent="0.2">
      <c r="A108" s="34" t="str">
        <f t="shared" si="1"/>
        <v/>
      </c>
    </row>
    <row r="109" spans="1:1" ht="30" customHeight="1" x14ac:dyDescent="0.2">
      <c r="A109" s="34" t="str">
        <f t="shared" si="1"/>
        <v/>
      </c>
    </row>
    <row r="110" spans="1:1" ht="30" customHeight="1" x14ac:dyDescent="0.2">
      <c r="A110" s="34" t="str">
        <f t="shared" si="1"/>
        <v/>
      </c>
    </row>
    <row r="111" spans="1:1" ht="30" customHeight="1" x14ac:dyDescent="0.2">
      <c r="A111" s="34" t="str">
        <f t="shared" si="1"/>
        <v/>
      </c>
    </row>
    <row r="112" spans="1:1" ht="30" customHeight="1" x14ac:dyDescent="0.2">
      <c r="A112" s="34" t="str">
        <f t="shared" si="1"/>
        <v/>
      </c>
    </row>
    <row r="113" spans="1:1" ht="30" customHeight="1" x14ac:dyDescent="0.2">
      <c r="A113" s="34" t="str">
        <f t="shared" si="1"/>
        <v/>
      </c>
    </row>
    <row r="114" spans="1:1" ht="30" customHeight="1" x14ac:dyDescent="0.2">
      <c r="A114" s="34" t="str">
        <f t="shared" si="1"/>
        <v/>
      </c>
    </row>
    <row r="115" spans="1:1" ht="30" customHeight="1" x14ac:dyDescent="0.2">
      <c r="A115" s="34" t="str">
        <f t="shared" si="1"/>
        <v/>
      </c>
    </row>
    <row r="116" spans="1:1" ht="30" customHeight="1" x14ac:dyDescent="0.2">
      <c r="A116" s="34" t="str">
        <f t="shared" si="1"/>
        <v/>
      </c>
    </row>
    <row r="117" spans="1:1" ht="30" customHeight="1" x14ac:dyDescent="0.2">
      <c r="A117" s="34" t="str">
        <f t="shared" si="1"/>
        <v/>
      </c>
    </row>
    <row r="118" spans="1:1" ht="30" customHeight="1" x14ac:dyDescent="0.2">
      <c r="A118" s="34" t="str">
        <f t="shared" si="1"/>
        <v/>
      </c>
    </row>
    <row r="119" spans="1:1" ht="30" customHeight="1" x14ac:dyDescent="0.2">
      <c r="A119" s="34" t="str">
        <f t="shared" si="1"/>
        <v/>
      </c>
    </row>
    <row r="120" spans="1:1" ht="30" customHeight="1" x14ac:dyDescent="0.2">
      <c r="A120" s="34" t="str">
        <f t="shared" si="1"/>
        <v/>
      </c>
    </row>
    <row r="121" spans="1:1" ht="30" customHeight="1" x14ac:dyDescent="0.2">
      <c r="A121" s="34" t="str">
        <f t="shared" si="1"/>
        <v/>
      </c>
    </row>
    <row r="122" spans="1:1" ht="30" customHeight="1" x14ac:dyDescent="0.2">
      <c r="A122" s="34" t="str">
        <f t="shared" si="1"/>
        <v/>
      </c>
    </row>
    <row r="123" spans="1:1" ht="30" customHeight="1" x14ac:dyDescent="0.2">
      <c r="A123" s="34" t="str">
        <f t="shared" si="1"/>
        <v/>
      </c>
    </row>
    <row r="124" spans="1:1" ht="30" customHeight="1" x14ac:dyDescent="0.2">
      <c r="A124" s="34" t="str">
        <f t="shared" si="1"/>
        <v/>
      </c>
    </row>
    <row r="125" spans="1:1" ht="30" customHeight="1" x14ac:dyDescent="0.2">
      <c r="A125" s="34" t="str">
        <f t="shared" si="1"/>
        <v/>
      </c>
    </row>
    <row r="126" spans="1:1" ht="30" customHeight="1" x14ac:dyDescent="0.2">
      <c r="A126" s="34" t="str">
        <f t="shared" si="1"/>
        <v/>
      </c>
    </row>
    <row r="127" spans="1:1" ht="30" customHeight="1" x14ac:dyDescent="0.2">
      <c r="A127" s="34" t="str">
        <f t="shared" si="1"/>
        <v/>
      </c>
    </row>
    <row r="128" spans="1:1" ht="30" customHeight="1" x14ac:dyDescent="0.2">
      <c r="A128" s="34" t="str">
        <f t="shared" si="1"/>
        <v/>
      </c>
    </row>
    <row r="129" spans="1:1" ht="30" customHeight="1" x14ac:dyDescent="0.2">
      <c r="A129" s="34" t="str">
        <f t="shared" si="1"/>
        <v/>
      </c>
    </row>
    <row r="130" spans="1:1" ht="30" customHeight="1" x14ac:dyDescent="0.2">
      <c r="A130" s="34" t="str">
        <f t="shared" si="1"/>
        <v/>
      </c>
    </row>
    <row r="131" spans="1:1" ht="30" customHeight="1" x14ac:dyDescent="0.2">
      <c r="A131" s="34" t="str">
        <f t="shared" ref="A131:A194" si="2">IF(AND(B130&lt;&gt;"",B131=""),$A$1&amp;"---&gt;","")</f>
        <v/>
      </c>
    </row>
    <row r="132" spans="1:1" ht="30" customHeight="1" x14ac:dyDescent="0.2">
      <c r="A132" s="34" t="str">
        <f t="shared" si="2"/>
        <v/>
      </c>
    </row>
    <row r="133" spans="1:1" ht="30" customHeight="1" x14ac:dyDescent="0.2">
      <c r="A133" s="34" t="str">
        <f t="shared" si="2"/>
        <v/>
      </c>
    </row>
    <row r="134" spans="1:1" ht="30" customHeight="1" x14ac:dyDescent="0.2">
      <c r="A134" s="34" t="str">
        <f t="shared" si="2"/>
        <v/>
      </c>
    </row>
    <row r="135" spans="1:1" ht="30" customHeight="1" x14ac:dyDescent="0.2">
      <c r="A135" s="34" t="str">
        <f t="shared" si="2"/>
        <v/>
      </c>
    </row>
    <row r="136" spans="1:1" ht="30" customHeight="1" x14ac:dyDescent="0.2">
      <c r="A136" s="34" t="str">
        <f t="shared" si="2"/>
        <v/>
      </c>
    </row>
    <row r="137" spans="1:1" ht="30" customHeight="1" x14ac:dyDescent="0.2">
      <c r="A137" s="34" t="str">
        <f t="shared" si="2"/>
        <v/>
      </c>
    </row>
    <row r="138" spans="1:1" ht="30" customHeight="1" x14ac:dyDescent="0.2">
      <c r="A138" s="34" t="str">
        <f t="shared" si="2"/>
        <v/>
      </c>
    </row>
    <row r="139" spans="1:1" ht="30" customHeight="1" x14ac:dyDescent="0.2">
      <c r="A139" s="34" t="str">
        <f t="shared" si="2"/>
        <v/>
      </c>
    </row>
    <row r="140" spans="1:1" ht="30" customHeight="1" x14ac:dyDescent="0.2">
      <c r="A140" s="34" t="str">
        <f t="shared" si="2"/>
        <v/>
      </c>
    </row>
    <row r="141" spans="1:1" ht="30" customHeight="1" x14ac:dyDescent="0.2">
      <c r="A141" s="34" t="str">
        <f t="shared" si="2"/>
        <v/>
      </c>
    </row>
    <row r="142" spans="1:1" ht="30" customHeight="1" x14ac:dyDescent="0.2">
      <c r="A142" s="34" t="str">
        <f t="shared" si="2"/>
        <v/>
      </c>
    </row>
    <row r="143" spans="1:1" ht="30" customHeight="1" x14ac:dyDescent="0.2">
      <c r="A143" s="34" t="str">
        <f t="shared" si="2"/>
        <v/>
      </c>
    </row>
    <row r="144" spans="1:1" ht="30" customHeight="1" x14ac:dyDescent="0.2">
      <c r="A144" s="34" t="str">
        <f t="shared" si="2"/>
        <v/>
      </c>
    </row>
    <row r="145" spans="1:1" ht="30" customHeight="1" x14ac:dyDescent="0.2">
      <c r="A145" s="34" t="str">
        <f t="shared" si="2"/>
        <v/>
      </c>
    </row>
    <row r="146" spans="1:1" ht="30" customHeight="1" x14ac:dyDescent="0.2">
      <c r="A146" s="34" t="str">
        <f t="shared" si="2"/>
        <v/>
      </c>
    </row>
    <row r="147" spans="1:1" ht="30" customHeight="1" x14ac:dyDescent="0.2">
      <c r="A147" s="34" t="str">
        <f t="shared" si="2"/>
        <v/>
      </c>
    </row>
    <row r="148" spans="1:1" ht="30" customHeight="1" x14ac:dyDescent="0.2">
      <c r="A148" s="34" t="str">
        <f t="shared" si="2"/>
        <v/>
      </c>
    </row>
    <row r="149" spans="1:1" ht="30" customHeight="1" x14ac:dyDescent="0.2">
      <c r="A149" s="34" t="str">
        <f t="shared" si="2"/>
        <v/>
      </c>
    </row>
    <row r="150" spans="1:1" ht="30" customHeight="1" x14ac:dyDescent="0.2">
      <c r="A150" s="34" t="str">
        <f t="shared" si="2"/>
        <v/>
      </c>
    </row>
    <row r="151" spans="1:1" ht="30" customHeight="1" x14ac:dyDescent="0.2">
      <c r="A151" s="34" t="str">
        <f t="shared" si="2"/>
        <v/>
      </c>
    </row>
    <row r="152" spans="1:1" ht="30" customHeight="1" x14ac:dyDescent="0.2">
      <c r="A152" s="34" t="str">
        <f t="shared" si="2"/>
        <v/>
      </c>
    </row>
    <row r="153" spans="1:1" ht="30" customHeight="1" x14ac:dyDescent="0.2">
      <c r="A153" s="34" t="str">
        <f t="shared" si="2"/>
        <v/>
      </c>
    </row>
    <row r="154" spans="1:1" ht="30" customHeight="1" x14ac:dyDescent="0.2">
      <c r="A154" s="34" t="str">
        <f t="shared" si="2"/>
        <v/>
      </c>
    </row>
    <row r="155" spans="1:1" ht="30" customHeight="1" x14ac:dyDescent="0.2">
      <c r="A155" s="34" t="str">
        <f t="shared" si="2"/>
        <v/>
      </c>
    </row>
    <row r="156" spans="1:1" ht="30" customHeight="1" x14ac:dyDescent="0.2">
      <c r="A156" s="34" t="str">
        <f t="shared" si="2"/>
        <v/>
      </c>
    </row>
    <row r="157" spans="1:1" ht="30" customHeight="1" x14ac:dyDescent="0.2">
      <c r="A157" s="34" t="str">
        <f t="shared" si="2"/>
        <v/>
      </c>
    </row>
    <row r="158" spans="1:1" ht="30" customHeight="1" x14ac:dyDescent="0.2">
      <c r="A158" s="34" t="str">
        <f t="shared" si="2"/>
        <v/>
      </c>
    </row>
    <row r="159" spans="1:1" ht="30" customHeight="1" x14ac:dyDescent="0.2">
      <c r="A159" s="34" t="str">
        <f t="shared" si="2"/>
        <v/>
      </c>
    </row>
    <row r="160" spans="1:1" ht="30" customHeight="1" x14ac:dyDescent="0.2">
      <c r="A160" s="34" t="str">
        <f t="shared" si="2"/>
        <v/>
      </c>
    </row>
    <row r="161" spans="1:1" ht="30" customHeight="1" x14ac:dyDescent="0.2">
      <c r="A161" s="34" t="str">
        <f t="shared" si="2"/>
        <v/>
      </c>
    </row>
    <row r="162" spans="1:1" ht="30" customHeight="1" x14ac:dyDescent="0.2">
      <c r="A162" s="34" t="str">
        <f t="shared" si="2"/>
        <v/>
      </c>
    </row>
    <row r="163" spans="1:1" ht="30" customHeight="1" x14ac:dyDescent="0.2">
      <c r="A163" s="34" t="str">
        <f t="shared" si="2"/>
        <v/>
      </c>
    </row>
    <row r="164" spans="1:1" ht="30" customHeight="1" x14ac:dyDescent="0.2">
      <c r="A164" s="34" t="str">
        <f t="shared" si="2"/>
        <v/>
      </c>
    </row>
    <row r="165" spans="1:1" ht="30" customHeight="1" x14ac:dyDescent="0.2">
      <c r="A165" s="34" t="str">
        <f t="shared" si="2"/>
        <v/>
      </c>
    </row>
    <row r="166" spans="1:1" ht="30" customHeight="1" x14ac:dyDescent="0.2">
      <c r="A166" s="34" t="str">
        <f t="shared" si="2"/>
        <v/>
      </c>
    </row>
    <row r="167" spans="1:1" ht="30" customHeight="1" x14ac:dyDescent="0.2">
      <c r="A167" s="34" t="str">
        <f t="shared" si="2"/>
        <v/>
      </c>
    </row>
    <row r="168" spans="1:1" ht="30" customHeight="1" x14ac:dyDescent="0.2">
      <c r="A168" s="34" t="str">
        <f t="shared" si="2"/>
        <v/>
      </c>
    </row>
    <row r="169" spans="1:1" ht="30" customHeight="1" x14ac:dyDescent="0.2">
      <c r="A169" s="34" t="str">
        <f t="shared" si="2"/>
        <v/>
      </c>
    </row>
    <row r="170" spans="1:1" ht="30" customHeight="1" x14ac:dyDescent="0.2">
      <c r="A170" s="34" t="str">
        <f t="shared" si="2"/>
        <v/>
      </c>
    </row>
    <row r="171" spans="1:1" ht="30" customHeight="1" x14ac:dyDescent="0.2">
      <c r="A171" s="34" t="str">
        <f t="shared" si="2"/>
        <v/>
      </c>
    </row>
    <row r="172" spans="1:1" ht="30" customHeight="1" x14ac:dyDescent="0.2">
      <c r="A172" s="34" t="str">
        <f t="shared" si="2"/>
        <v/>
      </c>
    </row>
    <row r="173" spans="1:1" ht="30" customHeight="1" x14ac:dyDescent="0.2">
      <c r="A173" s="34" t="str">
        <f t="shared" si="2"/>
        <v/>
      </c>
    </row>
    <row r="174" spans="1:1" ht="30" customHeight="1" x14ac:dyDescent="0.2">
      <c r="A174" s="34" t="str">
        <f t="shared" si="2"/>
        <v/>
      </c>
    </row>
    <row r="175" spans="1:1" ht="30" customHeight="1" x14ac:dyDescent="0.2">
      <c r="A175" s="34" t="str">
        <f t="shared" si="2"/>
        <v/>
      </c>
    </row>
    <row r="176" spans="1:1" ht="30" customHeight="1" x14ac:dyDescent="0.2">
      <c r="A176" s="34" t="str">
        <f t="shared" si="2"/>
        <v/>
      </c>
    </row>
    <row r="177" spans="1:1" ht="30" customHeight="1" x14ac:dyDescent="0.2">
      <c r="A177" s="34" t="str">
        <f t="shared" si="2"/>
        <v/>
      </c>
    </row>
    <row r="178" spans="1:1" ht="30" customHeight="1" x14ac:dyDescent="0.2">
      <c r="A178" s="34" t="str">
        <f t="shared" si="2"/>
        <v/>
      </c>
    </row>
    <row r="179" spans="1:1" ht="30" customHeight="1" x14ac:dyDescent="0.2">
      <c r="A179" s="34" t="str">
        <f t="shared" si="2"/>
        <v/>
      </c>
    </row>
    <row r="180" spans="1:1" ht="30" customHeight="1" x14ac:dyDescent="0.2">
      <c r="A180" s="34" t="str">
        <f t="shared" si="2"/>
        <v/>
      </c>
    </row>
    <row r="181" spans="1:1" ht="30" customHeight="1" x14ac:dyDescent="0.2">
      <c r="A181" s="34" t="str">
        <f t="shared" si="2"/>
        <v/>
      </c>
    </row>
    <row r="182" spans="1:1" ht="30" customHeight="1" x14ac:dyDescent="0.2">
      <c r="A182" s="34" t="str">
        <f t="shared" si="2"/>
        <v/>
      </c>
    </row>
    <row r="183" spans="1:1" ht="30" customHeight="1" x14ac:dyDescent="0.2">
      <c r="A183" s="34" t="str">
        <f t="shared" si="2"/>
        <v/>
      </c>
    </row>
    <row r="184" spans="1:1" ht="30" customHeight="1" x14ac:dyDescent="0.2">
      <c r="A184" s="34" t="str">
        <f t="shared" si="2"/>
        <v/>
      </c>
    </row>
    <row r="185" spans="1:1" ht="30" customHeight="1" x14ac:dyDescent="0.2">
      <c r="A185" s="34" t="str">
        <f t="shared" si="2"/>
        <v/>
      </c>
    </row>
    <row r="186" spans="1:1" ht="30" customHeight="1" x14ac:dyDescent="0.2">
      <c r="A186" s="34" t="str">
        <f t="shared" si="2"/>
        <v/>
      </c>
    </row>
    <row r="187" spans="1:1" ht="30" customHeight="1" x14ac:dyDescent="0.2">
      <c r="A187" s="34" t="str">
        <f t="shared" si="2"/>
        <v/>
      </c>
    </row>
    <row r="188" spans="1:1" ht="30" customHeight="1" x14ac:dyDescent="0.2">
      <c r="A188" s="34" t="str">
        <f t="shared" si="2"/>
        <v/>
      </c>
    </row>
    <row r="189" spans="1:1" ht="30" customHeight="1" x14ac:dyDescent="0.2">
      <c r="A189" s="34" t="str">
        <f t="shared" si="2"/>
        <v/>
      </c>
    </row>
    <row r="190" spans="1:1" ht="30" customHeight="1" x14ac:dyDescent="0.2">
      <c r="A190" s="34" t="str">
        <f t="shared" si="2"/>
        <v/>
      </c>
    </row>
    <row r="191" spans="1:1" ht="30" customHeight="1" x14ac:dyDescent="0.2">
      <c r="A191" s="34" t="str">
        <f t="shared" si="2"/>
        <v/>
      </c>
    </row>
    <row r="192" spans="1:1" ht="30" customHeight="1" x14ac:dyDescent="0.2">
      <c r="A192" s="34" t="str">
        <f t="shared" si="2"/>
        <v/>
      </c>
    </row>
    <row r="193" spans="1:1" ht="30" customHeight="1" x14ac:dyDescent="0.2">
      <c r="A193" s="34" t="str">
        <f t="shared" si="2"/>
        <v/>
      </c>
    </row>
    <row r="194" spans="1:1" ht="30" customHeight="1" x14ac:dyDescent="0.2">
      <c r="A194" s="34" t="str">
        <f t="shared" si="2"/>
        <v/>
      </c>
    </row>
    <row r="195" spans="1:1" ht="30" customHeight="1" x14ac:dyDescent="0.2">
      <c r="A195" s="34" t="str">
        <f t="shared" ref="A195:A258" si="3">IF(AND(B194&lt;&gt;"",B195=""),$A$1&amp;"---&gt;","")</f>
        <v/>
      </c>
    </row>
    <row r="196" spans="1:1" ht="30" customHeight="1" x14ac:dyDescent="0.2">
      <c r="A196" s="34" t="str">
        <f t="shared" si="3"/>
        <v/>
      </c>
    </row>
    <row r="197" spans="1:1" ht="30" customHeight="1" x14ac:dyDescent="0.2">
      <c r="A197" s="34" t="str">
        <f t="shared" si="3"/>
        <v/>
      </c>
    </row>
    <row r="198" spans="1:1" ht="30" customHeight="1" x14ac:dyDescent="0.2">
      <c r="A198" s="34" t="str">
        <f t="shared" si="3"/>
        <v/>
      </c>
    </row>
    <row r="199" spans="1:1" ht="30" customHeight="1" x14ac:dyDescent="0.2">
      <c r="A199" s="34" t="str">
        <f t="shared" si="3"/>
        <v/>
      </c>
    </row>
    <row r="200" spans="1:1" ht="30" customHeight="1" x14ac:dyDescent="0.2">
      <c r="A200" s="34" t="str">
        <f t="shared" si="3"/>
        <v/>
      </c>
    </row>
    <row r="201" spans="1:1" ht="30" customHeight="1" x14ac:dyDescent="0.2">
      <c r="A201" s="34" t="str">
        <f t="shared" si="3"/>
        <v/>
      </c>
    </row>
    <row r="202" spans="1:1" ht="30" customHeight="1" x14ac:dyDescent="0.2">
      <c r="A202" s="34" t="str">
        <f t="shared" si="3"/>
        <v/>
      </c>
    </row>
    <row r="203" spans="1:1" ht="30" customHeight="1" x14ac:dyDescent="0.2">
      <c r="A203" s="34" t="str">
        <f t="shared" si="3"/>
        <v/>
      </c>
    </row>
    <row r="204" spans="1:1" ht="30" customHeight="1" x14ac:dyDescent="0.2">
      <c r="A204" s="34" t="str">
        <f t="shared" si="3"/>
        <v/>
      </c>
    </row>
    <row r="205" spans="1:1" ht="30" customHeight="1" x14ac:dyDescent="0.2">
      <c r="A205" s="34" t="str">
        <f t="shared" si="3"/>
        <v/>
      </c>
    </row>
    <row r="206" spans="1:1" ht="30" customHeight="1" x14ac:dyDescent="0.2">
      <c r="A206" s="34" t="str">
        <f t="shared" si="3"/>
        <v/>
      </c>
    </row>
    <row r="207" spans="1:1" ht="30" customHeight="1" x14ac:dyDescent="0.2">
      <c r="A207" s="34" t="str">
        <f t="shared" si="3"/>
        <v/>
      </c>
    </row>
    <row r="208" spans="1:1" ht="30" customHeight="1" x14ac:dyDescent="0.2">
      <c r="A208" s="34" t="str">
        <f t="shared" si="3"/>
        <v/>
      </c>
    </row>
    <row r="209" spans="1:1" ht="30" customHeight="1" x14ac:dyDescent="0.2">
      <c r="A209" s="34" t="str">
        <f t="shared" si="3"/>
        <v/>
      </c>
    </row>
    <row r="210" spans="1:1" ht="30" customHeight="1" x14ac:dyDescent="0.2">
      <c r="A210" s="34" t="str">
        <f t="shared" si="3"/>
        <v/>
      </c>
    </row>
    <row r="211" spans="1:1" ht="30" customHeight="1" x14ac:dyDescent="0.2">
      <c r="A211" s="34" t="str">
        <f t="shared" si="3"/>
        <v/>
      </c>
    </row>
    <row r="212" spans="1:1" ht="30" customHeight="1" x14ac:dyDescent="0.2">
      <c r="A212" s="34" t="str">
        <f t="shared" si="3"/>
        <v/>
      </c>
    </row>
    <row r="213" spans="1:1" ht="30" customHeight="1" x14ac:dyDescent="0.2">
      <c r="A213" s="34" t="str">
        <f t="shared" si="3"/>
        <v/>
      </c>
    </row>
    <row r="214" spans="1:1" ht="30" customHeight="1" x14ac:dyDescent="0.2">
      <c r="A214" s="34" t="str">
        <f t="shared" si="3"/>
        <v/>
      </c>
    </row>
    <row r="215" spans="1:1" ht="30" customHeight="1" x14ac:dyDescent="0.2">
      <c r="A215" s="34" t="str">
        <f t="shared" si="3"/>
        <v/>
      </c>
    </row>
    <row r="216" spans="1:1" ht="30" customHeight="1" x14ac:dyDescent="0.2">
      <c r="A216" s="34" t="str">
        <f t="shared" si="3"/>
        <v/>
      </c>
    </row>
    <row r="217" spans="1:1" ht="30" customHeight="1" x14ac:dyDescent="0.2">
      <c r="A217" s="34" t="str">
        <f t="shared" si="3"/>
        <v/>
      </c>
    </row>
    <row r="218" spans="1:1" ht="30" customHeight="1" x14ac:dyDescent="0.2">
      <c r="A218" s="34" t="str">
        <f t="shared" si="3"/>
        <v/>
      </c>
    </row>
    <row r="219" spans="1:1" ht="30" customHeight="1" x14ac:dyDescent="0.2">
      <c r="A219" s="34" t="str">
        <f t="shared" si="3"/>
        <v/>
      </c>
    </row>
    <row r="220" spans="1:1" ht="30" customHeight="1" x14ac:dyDescent="0.2">
      <c r="A220" s="34" t="str">
        <f t="shared" si="3"/>
        <v/>
      </c>
    </row>
    <row r="221" spans="1:1" ht="30" customHeight="1" x14ac:dyDescent="0.2">
      <c r="A221" s="34" t="str">
        <f t="shared" si="3"/>
        <v/>
      </c>
    </row>
    <row r="222" spans="1:1" ht="30" customHeight="1" x14ac:dyDescent="0.2">
      <c r="A222" s="34" t="str">
        <f t="shared" si="3"/>
        <v/>
      </c>
    </row>
    <row r="223" spans="1:1" ht="30" customHeight="1" x14ac:dyDescent="0.2">
      <c r="A223" s="34" t="str">
        <f t="shared" si="3"/>
        <v/>
      </c>
    </row>
    <row r="224" spans="1:1" ht="30" customHeight="1" x14ac:dyDescent="0.2">
      <c r="A224" s="34" t="str">
        <f t="shared" si="3"/>
        <v/>
      </c>
    </row>
    <row r="225" spans="1:1" ht="30" customHeight="1" x14ac:dyDescent="0.2">
      <c r="A225" s="34" t="str">
        <f t="shared" si="3"/>
        <v/>
      </c>
    </row>
    <row r="226" spans="1:1" ht="30" customHeight="1" x14ac:dyDescent="0.2">
      <c r="A226" s="34" t="str">
        <f t="shared" si="3"/>
        <v/>
      </c>
    </row>
    <row r="227" spans="1:1" ht="30" customHeight="1" x14ac:dyDescent="0.2">
      <c r="A227" s="34" t="str">
        <f t="shared" si="3"/>
        <v/>
      </c>
    </row>
    <row r="228" spans="1:1" ht="30" customHeight="1" x14ac:dyDescent="0.2">
      <c r="A228" s="34" t="str">
        <f t="shared" si="3"/>
        <v/>
      </c>
    </row>
    <row r="229" spans="1:1" ht="30" customHeight="1" x14ac:dyDescent="0.2">
      <c r="A229" s="34" t="str">
        <f t="shared" si="3"/>
        <v/>
      </c>
    </row>
    <row r="230" spans="1:1" ht="30" customHeight="1" x14ac:dyDescent="0.2">
      <c r="A230" s="34" t="str">
        <f t="shared" si="3"/>
        <v/>
      </c>
    </row>
    <row r="231" spans="1:1" ht="30" customHeight="1" x14ac:dyDescent="0.2">
      <c r="A231" s="34" t="str">
        <f t="shared" si="3"/>
        <v/>
      </c>
    </row>
    <row r="232" spans="1:1" ht="30" customHeight="1" x14ac:dyDescent="0.2">
      <c r="A232" s="34" t="str">
        <f t="shared" si="3"/>
        <v/>
      </c>
    </row>
    <row r="233" spans="1:1" ht="30" customHeight="1" x14ac:dyDescent="0.2">
      <c r="A233" s="34" t="str">
        <f t="shared" si="3"/>
        <v/>
      </c>
    </row>
    <row r="234" spans="1:1" ht="30" customHeight="1" x14ac:dyDescent="0.2">
      <c r="A234" s="34" t="str">
        <f t="shared" si="3"/>
        <v/>
      </c>
    </row>
    <row r="235" spans="1:1" ht="30" customHeight="1" x14ac:dyDescent="0.2">
      <c r="A235" s="34" t="str">
        <f t="shared" si="3"/>
        <v/>
      </c>
    </row>
    <row r="236" spans="1:1" ht="30" customHeight="1" x14ac:dyDescent="0.2">
      <c r="A236" s="34" t="str">
        <f t="shared" si="3"/>
        <v/>
      </c>
    </row>
    <row r="237" spans="1:1" ht="30" customHeight="1" x14ac:dyDescent="0.2">
      <c r="A237" s="34" t="str">
        <f t="shared" si="3"/>
        <v/>
      </c>
    </row>
    <row r="238" spans="1:1" ht="30" customHeight="1" x14ac:dyDescent="0.2">
      <c r="A238" s="34" t="str">
        <f t="shared" si="3"/>
        <v/>
      </c>
    </row>
    <row r="239" spans="1:1" ht="30" customHeight="1" x14ac:dyDescent="0.2">
      <c r="A239" s="34" t="str">
        <f t="shared" si="3"/>
        <v/>
      </c>
    </row>
    <row r="240" spans="1:1" ht="30" customHeight="1" x14ac:dyDescent="0.2">
      <c r="A240" s="34" t="str">
        <f t="shared" si="3"/>
        <v/>
      </c>
    </row>
    <row r="241" spans="1:1" ht="30" customHeight="1" x14ac:dyDescent="0.2">
      <c r="A241" s="34" t="str">
        <f t="shared" si="3"/>
        <v/>
      </c>
    </row>
    <row r="242" spans="1:1" ht="30" customHeight="1" x14ac:dyDescent="0.2">
      <c r="A242" s="34" t="str">
        <f t="shared" si="3"/>
        <v/>
      </c>
    </row>
    <row r="243" spans="1:1" ht="30" customHeight="1" x14ac:dyDescent="0.2">
      <c r="A243" s="34" t="str">
        <f t="shared" si="3"/>
        <v/>
      </c>
    </row>
    <row r="244" spans="1:1" ht="30" customHeight="1" x14ac:dyDescent="0.2">
      <c r="A244" s="34" t="str">
        <f t="shared" si="3"/>
        <v/>
      </c>
    </row>
    <row r="245" spans="1:1" ht="30" customHeight="1" x14ac:dyDescent="0.2">
      <c r="A245" s="34" t="str">
        <f t="shared" si="3"/>
        <v/>
      </c>
    </row>
    <row r="246" spans="1:1" ht="30" customHeight="1" x14ac:dyDescent="0.2">
      <c r="A246" s="34" t="str">
        <f t="shared" si="3"/>
        <v/>
      </c>
    </row>
    <row r="247" spans="1:1" ht="30" customHeight="1" x14ac:dyDescent="0.2">
      <c r="A247" s="34" t="str">
        <f t="shared" si="3"/>
        <v/>
      </c>
    </row>
    <row r="248" spans="1:1" ht="30" customHeight="1" x14ac:dyDescent="0.2">
      <c r="A248" s="34" t="str">
        <f t="shared" si="3"/>
        <v/>
      </c>
    </row>
    <row r="249" spans="1:1" ht="30" customHeight="1" x14ac:dyDescent="0.2">
      <c r="A249" s="34" t="str">
        <f t="shared" si="3"/>
        <v/>
      </c>
    </row>
    <row r="250" spans="1:1" ht="30" customHeight="1" x14ac:dyDescent="0.2">
      <c r="A250" s="34" t="str">
        <f t="shared" si="3"/>
        <v/>
      </c>
    </row>
    <row r="251" spans="1:1" ht="30" customHeight="1" x14ac:dyDescent="0.2">
      <c r="A251" s="34" t="str">
        <f t="shared" si="3"/>
        <v/>
      </c>
    </row>
    <row r="252" spans="1:1" ht="30" customHeight="1" x14ac:dyDescent="0.2">
      <c r="A252" s="34" t="str">
        <f t="shared" si="3"/>
        <v/>
      </c>
    </row>
    <row r="253" spans="1:1" ht="30" customHeight="1" x14ac:dyDescent="0.2">
      <c r="A253" s="34" t="str">
        <f t="shared" si="3"/>
        <v/>
      </c>
    </row>
    <row r="254" spans="1:1" ht="30" customHeight="1" x14ac:dyDescent="0.2">
      <c r="A254" s="34" t="str">
        <f t="shared" si="3"/>
        <v/>
      </c>
    </row>
    <row r="255" spans="1:1" ht="30" customHeight="1" x14ac:dyDescent="0.2">
      <c r="A255" s="34" t="str">
        <f t="shared" si="3"/>
        <v/>
      </c>
    </row>
    <row r="256" spans="1:1" ht="30" customHeight="1" x14ac:dyDescent="0.2">
      <c r="A256" s="34" t="str">
        <f t="shared" si="3"/>
        <v/>
      </c>
    </row>
    <row r="257" spans="1:1" ht="30" customHeight="1" x14ac:dyDescent="0.2">
      <c r="A257" s="34" t="str">
        <f t="shared" si="3"/>
        <v/>
      </c>
    </row>
    <row r="258" spans="1:1" ht="30" customHeight="1" x14ac:dyDescent="0.2">
      <c r="A258" s="34" t="str">
        <f t="shared" si="3"/>
        <v/>
      </c>
    </row>
    <row r="259" spans="1:1" ht="30" customHeight="1" x14ac:dyDescent="0.2">
      <c r="A259" s="34" t="str">
        <f t="shared" ref="A259:A322" si="4">IF(AND(B258&lt;&gt;"",B259=""),$A$1&amp;"---&gt;","")</f>
        <v/>
      </c>
    </row>
    <row r="260" spans="1:1" ht="30" customHeight="1" x14ac:dyDescent="0.2">
      <c r="A260" s="34" t="str">
        <f t="shared" si="4"/>
        <v/>
      </c>
    </row>
    <row r="261" spans="1:1" ht="30" customHeight="1" x14ac:dyDescent="0.2">
      <c r="A261" s="34" t="str">
        <f t="shared" si="4"/>
        <v/>
      </c>
    </row>
    <row r="262" spans="1:1" ht="30" customHeight="1" x14ac:dyDescent="0.2">
      <c r="A262" s="34" t="str">
        <f t="shared" si="4"/>
        <v/>
      </c>
    </row>
    <row r="263" spans="1:1" ht="30" customHeight="1" x14ac:dyDescent="0.2">
      <c r="A263" s="34" t="str">
        <f t="shared" si="4"/>
        <v/>
      </c>
    </row>
    <row r="264" spans="1:1" ht="30" customHeight="1" x14ac:dyDescent="0.2">
      <c r="A264" s="34" t="str">
        <f t="shared" si="4"/>
        <v/>
      </c>
    </row>
    <row r="265" spans="1:1" ht="30" customHeight="1" x14ac:dyDescent="0.2">
      <c r="A265" s="34" t="str">
        <f t="shared" si="4"/>
        <v/>
      </c>
    </row>
    <row r="266" spans="1:1" ht="30" customHeight="1" x14ac:dyDescent="0.2">
      <c r="A266" s="34" t="str">
        <f t="shared" si="4"/>
        <v/>
      </c>
    </row>
    <row r="267" spans="1:1" ht="30" customHeight="1" x14ac:dyDescent="0.2">
      <c r="A267" s="34" t="str">
        <f t="shared" si="4"/>
        <v/>
      </c>
    </row>
    <row r="268" spans="1:1" ht="30" customHeight="1" x14ac:dyDescent="0.2">
      <c r="A268" s="34" t="str">
        <f t="shared" si="4"/>
        <v/>
      </c>
    </row>
    <row r="269" spans="1:1" ht="30" customHeight="1" x14ac:dyDescent="0.2">
      <c r="A269" s="34" t="str">
        <f t="shared" si="4"/>
        <v/>
      </c>
    </row>
    <row r="270" spans="1:1" ht="30" customHeight="1" x14ac:dyDescent="0.2">
      <c r="A270" s="34" t="str">
        <f t="shared" si="4"/>
        <v/>
      </c>
    </row>
    <row r="271" spans="1:1" ht="30" customHeight="1" x14ac:dyDescent="0.2">
      <c r="A271" s="34" t="str">
        <f t="shared" si="4"/>
        <v/>
      </c>
    </row>
    <row r="272" spans="1:1" ht="30" customHeight="1" x14ac:dyDescent="0.2">
      <c r="A272" s="34" t="str">
        <f t="shared" si="4"/>
        <v/>
      </c>
    </row>
    <row r="273" spans="1:1" ht="30" customHeight="1" x14ac:dyDescent="0.2">
      <c r="A273" s="34" t="str">
        <f t="shared" si="4"/>
        <v/>
      </c>
    </row>
    <row r="274" spans="1:1" ht="30" customHeight="1" x14ac:dyDescent="0.2">
      <c r="A274" s="34" t="str">
        <f t="shared" si="4"/>
        <v/>
      </c>
    </row>
    <row r="275" spans="1:1" ht="30" customHeight="1" x14ac:dyDescent="0.2">
      <c r="A275" s="34" t="str">
        <f t="shared" si="4"/>
        <v/>
      </c>
    </row>
    <row r="276" spans="1:1" ht="30" customHeight="1" x14ac:dyDescent="0.2">
      <c r="A276" s="34" t="str">
        <f t="shared" si="4"/>
        <v/>
      </c>
    </row>
    <row r="277" spans="1:1" ht="30" customHeight="1" x14ac:dyDescent="0.2">
      <c r="A277" s="34" t="str">
        <f t="shared" si="4"/>
        <v/>
      </c>
    </row>
    <row r="278" spans="1:1" ht="30" customHeight="1" x14ac:dyDescent="0.2">
      <c r="A278" s="34" t="str">
        <f t="shared" si="4"/>
        <v/>
      </c>
    </row>
    <row r="279" spans="1:1" ht="30" customHeight="1" x14ac:dyDescent="0.2">
      <c r="A279" s="34" t="str">
        <f t="shared" si="4"/>
        <v/>
      </c>
    </row>
    <row r="280" spans="1:1" ht="30" customHeight="1" x14ac:dyDescent="0.2">
      <c r="A280" s="34" t="str">
        <f t="shared" si="4"/>
        <v/>
      </c>
    </row>
    <row r="281" spans="1:1" ht="30" customHeight="1" x14ac:dyDescent="0.2">
      <c r="A281" s="34" t="str">
        <f t="shared" si="4"/>
        <v/>
      </c>
    </row>
    <row r="282" spans="1:1" ht="30" customHeight="1" x14ac:dyDescent="0.2">
      <c r="A282" s="34" t="str">
        <f t="shared" si="4"/>
        <v/>
      </c>
    </row>
    <row r="283" spans="1:1" ht="30" customHeight="1" x14ac:dyDescent="0.2">
      <c r="A283" s="34" t="str">
        <f t="shared" si="4"/>
        <v/>
      </c>
    </row>
    <row r="284" spans="1:1" ht="30" customHeight="1" x14ac:dyDescent="0.2">
      <c r="A284" s="34" t="str">
        <f t="shared" si="4"/>
        <v/>
      </c>
    </row>
    <row r="285" spans="1:1" ht="30" customHeight="1" x14ac:dyDescent="0.2">
      <c r="A285" s="34" t="str">
        <f t="shared" si="4"/>
        <v/>
      </c>
    </row>
    <row r="286" spans="1:1" ht="30" customHeight="1" x14ac:dyDescent="0.2">
      <c r="A286" s="34" t="str">
        <f t="shared" si="4"/>
        <v/>
      </c>
    </row>
    <row r="287" spans="1:1" ht="30" customHeight="1" x14ac:dyDescent="0.2">
      <c r="A287" s="34" t="str">
        <f t="shared" si="4"/>
        <v/>
      </c>
    </row>
    <row r="288" spans="1:1" ht="30" customHeight="1" x14ac:dyDescent="0.2">
      <c r="A288" s="34" t="str">
        <f t="shared" si="4"/>
        <v/>
      </c>
    </row>
    <row r="289" spans="1:1" ht="30" customHeight="1" x14ac:dyDescent="0.2">
      <c r="A289" s="34" t="str">
        <f t="shared" si="4"/>
        <v/>
      </c>
    </row>
    <row r="290" spans="1:1" ht="30" customHeight="1" x14ac:dyDescent="0.2">
      <c r="A290" s="34" t="str">
        <f t="shared" si="4"/>
        <v/>
      </c>
    </row>
    <row r="291" spans="1:1" ht="30" customHeight="1" x14ac:dyDescent="0.2">
      <c r="A291" s="34" t="str">
        <f t="shared" si="4"/>
        <v/>
      </c>
    </row>
    <row r="292" spans="1:1" ht="30" customHeight="1" x14ac:dyDescent="0.2">
      <c r="A292" s="34" t="str">
        <f t="shared" si="4"/>
        <v/>
      </c>
    </row>
    <row r="293" spans="1:1" ht="30" customHeight="1" x14ac:dyDescent="0.2">
      <c r="A293" s="34" t="str">
        <f t="shared" si="4"/>
        <v/>
      </c>
    </row>
    <row r="294" spans="1:1" ht="30" customHeight="1" x14ac:dyDescent="0.2">
      <c r="A294" s="34" t="str">
        <f t="shared" si="4"/>
        <v/>
      </c>
    </row>
    <row r="295" spans="1:1" ht="30" customHeight="1" x14ac:dyDescent="0.2">
      <c r="A295" s="34" t="str">
        <f t="shared" si="4"/>
        <v/>
      </c>
    </row>
    <row r="296" spans="1:1" ht="30" customHeight="1" x14ac:dyDescent="0.2">
      <c r="A296" s="34" t="str">
        <f t="shared" si="4"/>
        <v/>
      </c>
    </row>
    <row r="297" spans="1:1" ht="30" customHeight="1" x14ac:dyDescent="0.2">
      <c r="A297" s="34" t="str">
        <f t="shared" si="4"/>
        <v/>
      </c>
    </row>
    <row r="298" spans="1:1" ht="30" customHeight="1" x14ac:dyDescent="0.2">
      <c r="A298" s="34" t="str">
        <f t="shared" si="4"/>
        <v/>
      </c>
    </row>
    <row r="299" spans="1:1" ht="30" customHeight="1" x14ac:dyDescent="0.2">
      <c r="A299" s="34" t="str">
        <f t="shared" si="4"/>
        <v/>
      </c>
    </row>
    <row r="300" spans="1:1" ht="30" customHeight="1" x14ac:dyDescent="0.2">
      <c r="A300" s="34" t="str">
        <f t="shared" si="4"/>
        <v/>
      </c>
    </row>
    <row r="301" spans="1:1" ht="30" customHeight="1" x14ac:dyDescent="0.2">
      <c r="A301" s="34" t="str">
        <f t="shared" si="4"/>
        <v/>
      </c>
    </row>
    <row r="302" spans="1:1" ht="30" customHeight="1" x14ac:dyDescent="0.2">
      <c r="A302" s="34" t="str">
        <f t="shared" si="4"/>
        <v/>
      </c>
    </row>
    <row r="303" spans="1:1" ht="30" customHeight="1" x14ac:dyDescent="0.2">
      <c r="A303" s="34" t="str">
        <f t="shared" si="4"/>
        <v/>
      </c>
    </row>
    <row r="304" spans="1:1" ht="30" customHeight="1" x14ac:dyDescent="0.2">
      <c r="A304" s="34" t="str">
        <f t="shared" si="4"/>
        <v/>
      </c>
    </row>
    <row r="305" spans="1:1" ht="30" customHeight="1" x14ac:dyDescent="0.2">
      <c r="A305" s="34" t="str">
        <f t="shared" si="4"/>
        <v/>
      </c>
    </row>
    <row r="306" spans="1:1" ht="30" customHeight="1" x14ac:dyDescent="0.2">
      <c r="A306" s="34" t="str">
        <f t="shared" si="4"/>
        <v/>
      </c>
    </row>
    <row r="307" spans="1:1" ht="30" customHeight="1" x14ac:dyDescent="0.2">
      <c r="A307" s="34" t="str">
        <f t="shared" si="4"/>
        <v/>
      </c>
    </row>
    <row r="308" spans="1:1" ht="30" customHeight="1" x14ac:dyDescent="0.2">
      <c r="A308" s="34" t="str">
        <f t="shared" si="4"/>
        <v/>
      </c>
    </row>
    <row r="309" spans="1:1" ht="30" customHeight="1" x14ac:dyDescent="0.2">
      <c r="A309" s="34" t="str">
        <f t="shared" si="4"/>
        <v/>
      </c>
    </row>
    <row r="310" spans="1:1" ht="30" customHeight="1" x14ac:dyDescent="0.2">
      <c r="A310" s="34" t="str">
        <f t="shared" si="4"/>
        <v/>
      </c>
    </row>
    <row r="311" spans="1:1" ht="30" customHeight="1" x14ac:dyDescent="0.2">
      <c r="A311" s="34" t="str">
        <f t="shared" si="4"/>
        <v/>
      </c>
    </row>
    <row r="312" spans="1:1" ht="30" customHeight="1" x14ac:dyDescent="0.2">
      <c r="A312" s="34" t="str">
        <f t="shared" si="4"/>
        <v/>
      </c>
    </row>
    <row r="313" spans="1:1" ht="30" customHeight="1" x14ac:dyDescent="0.2">
      <c r="A313" s="34" t="str">
        <f t="shared" si="4"/>
        <v/>
      </c>
    </row>
    <row r="314" spans="1:1" ht="30" customHeight="1" x14ac:dyDescent="0.2">
      <c r="A314" s="34" t="str">
        <f t="shared" si="4"/>
        <v/>
      </c>
    </row>
    <row r="315" spans="1:1" ht="30" customHeight="1" x14ac:dyDescent="0.2">
      <c r="A315" s="34" t="str">
        <f t="shared" si="4"/>
        <v/>
      </c>
    </row>
    <row r="316" spans="1:1" ht="30" customHeight="1" x14ac:dyDescent="0.2">
      <c r="A316" s="34" t="str">
        <f t="shared" si="4"/>
        <v/>
      </c>
    </row>
    <row r="317" spans="1:1" ht="30" customHeight="1" x14ac:dyDescent="0.2">
      <c r="A317" s="34" t="str">
        <f t="shared" si="4"/>
        <v/>
      </c>
    </row>
    <row r="318" spans="1:1" ht="30" customHeight="1" x14ac:dyDescent="0.2">
      <c r="A318" s="34" t="str">
        <f t="shared" si="4"/>
        <v/>
      </c>
    </row>
    <row r="319" spans="1:1" ht="30" customHeight="1" x14ac:dyDescent="0.2">
      <c r="A319" s="34" t="str">
        <f t="shared" si="4"/>
        <v/>
      </c>
    </row>
    <row r="320" spans="1:1" ht="30" customHeight="1" x14ac:dyDescent="0.2">
      <c r="A320" s="34" t="str">
        <f t="shared" si="4"/>
        <v/>
      </c>
    </row>
    <row r="321" spans="1:1" ht="30" customHeight="1" x14ac:dyDescent="0.2">
      <c r="A321" s="34" t="str">
        <f t="shared" si="4"/>
        <v/>
      </c>
    </row>
    <row r="322" spans="1:1" ht="30" customHeight="1" x14ac:dyDescent="0.2">
      <c r="A322" s="34" t="str">
        <f t="shared" si="4"/>
        <v/>
      </c>
    </row>
    <row r="323" spans="1:1" ht="30" customHeight="1" x14ac:dyDescent="0.2">
      <c r="A323" s="34" t="str">
        <f t="shared" ref="A323:A386" si="5">IF(AND(B322&lt;&gt;"",B323=""),$A$1&amp;"---&gt;","")</f>
        <v/>
      </c>
    </row>
    <row r="324" spans="1:1" ht="30" customHeight="1" x14ac:dyDescent="0.2">
      <c r="A324" s="34" t="str">
        <f t="shared" si="5"/>
        <v/>
      </c>
    </row>
    <row r="325" spans="1:1" ht="30" customHeight="1" x14ac:dyDescent="0.2">
      <c r="A325" s="34" t="str">
        <f t="shared" si="5"/>
        <v/>
      </c>
    </row>
    <row r="326" spans="1:1" ht="30" customHeight="1" x14ac:dyDescent="0.2">
      <c r="A326" s="34" t="str">
        <f t="shared" si="5"/>
        <v/>
      </c>
    </row>
    <row r="327" spans="1:1" ht="30" customHeight="1" x14ac:dyDescent="0.2">
      <c r="A327" s="34" t="str">
        <f t="shared" si="5"/>
        <v/>
      </c>
    </row>
    <row r="328" spans="1:1" ht="30" customHeight="1" x14ac:dyDescent="0.2">
      <c r="A328" s="34" t="str">
        <f t="shared" si="5"/>
        <v/>
      </c>
    </row>
    <row r="329" spans="1:1" ht="30" customHeight="1" x14ac:dyDescent="0.2">
      <c r="A329" s="34" t="str">
        <f t="shared" si="5"/>
        <v/>
      </c>
    </row>
    <row r="330" spans="1:1" ht="30" customHeight="1" x14ac:dyDescent="0.2">
      <c r="A330" s="34" t="str">
        <f t="shared" si="5"/>
        <v/>
      </c>
    </row>
    <row r="331" spans="1:1" ht="30" customHeight="1" x14ac:dyDescent="0.2">
      <c r="A331" s="34" t="str">
        <f t="shared" si="5"/>
        <v/>
      </c>
    </row>
    <row r="332" spans="1:1" ht="30" customHeight="1" x14ac:dyDescent="0.2">
      <c r="A332" s="34" t="str">
        <f t="shared" si="5"/>
        <v/>
      </c>
    </row>
    <row r="333" spans="1:1" ht="30" customHeight="1" x14ac:dyDescent="0.2">
      <c r="A333" s="34" t="str">
        <f t="shared" si="5"/>
        <v/>
      </c>
    </row>
    <row r="334" spans="1:1" ht="30" customHeight="1" x14ac:dyDescent="0.2">
      <c r="A334" s="34" t="str">
        <f t="shared" si="5"/>
        <v/>
      </c>
    </row>
    <row r="335" spans="1:1" ht="30" customHeight="1" x14ac:dyDescent="0.2">
      <c r="A335" s="34" t="str">
        <f t="shared" si="5"/>
        <v/>
      </c>
    </row>
    <row r="336" spans="1:1" ht="30" customHeight="1" x14ac:dyDescent="0.2">
      <c r="A336" s="34" t="str">
        <f t="shared" si="5"/>
        <v/>
      </c>
    </row>
    <row r="337" spans="1:1" ht="30" customHeight="1" x14ac:dyDescent="0.2">
      <c r="A337" s="34" t="str">
        <f t="shared" si="5"/>
        <v/>
      </c>
    </row>
    <row r="338" spans="1:1" ht="30" customHeight="1" x14ac:dyDescent="0.2">
      <c r="A338" s="34" t="str">
        <f t="shared" si="5"/>
        <v/>
      </c>
    </row>
    <row r="339" spans="1:1" ht="30" customHeight="1" x14ac:dyDescent="0.2">
      <c r="A339" s="34" t="str">
        <f t="shared" si="5"/>
        <v/>
      </c>
    </row>
    <row r="340" spans="1:1" ht="30" customHeight="1" x14ac:dyDescent="0.2">
      <c r="A340" s="34" t="str">
        <f t="shared" si="5"/>
        <v/>
      </c>
    </row>
    <row r="341" spans="1:1" ht="30" customHeight="1" x14ac:dyDescent="0.2">
      <c r="A341" s="34" t="str">
        <f t="shared" si="5"/>
        <v/>
      </c>
    </row>
    <row r="342" spans="1:1" ht="30" customHeight="1" x14ac:dyDescent="0.2">
      <c r="A342" s="34" t="str">
        <f t="shared" si="5"/>
        <v/>
      </c>
    </row>
    <row r="343" spans="1:1" ht="30" customHeight="1" x14ac:dyDescent="0.2">
      <c r="A343" s="34" t="str">
        <f t="shared" si="5"/>
        <v/>
      </c>
    </row>
    <row r="344" spans="1:1" ht="30" customHeight="1" x14ac:dyDescent="0.2">
      <c r="A344" s="34" t="str">
        <f t="shared" si="5"/>
        <v/>
      </c>
    </row>
    <row r="345" spans="1:1" ht="30" customHeight="1" x14ac:dyDescent="0.2">
      <c r="A345" s="34" t="str">
        <f t="shared" si="5"/>
        <v/>
      </c>
    </row>
    <row r="346" spans="1:1" ht="30" customHeight="1" x14ac:dyDescent="0.2">
      <c r="A346" s="34" t="str">
        <f t="shared" si="5"/>
        <v/>
      </c>
    </row>
    <row r="347" spans="1:1" ht="30" customHeight="1" x14ac:dyDescent="0.2">
      <c r="A347" s="34" t="str">
        <f t="shared" si="5"/>
        <v/>
      </c>
    </row>
    <row r="348" spans="1:1" ht="30" customHeight="1" x14ac:dyDescent="0.2">
      <c r="A348" s="34" t="str">
        <f t="shared" si="5"/>
        <v/>
      </c>
    </row>
    <row r="349" spans="1:1" ht="30" customHeight="1" x14ac:dyDescent="0.2">
      <c r="A349" s="34" t="str">
        <f t="shared" si="5"/>
        <v/>
      </c>
    </row>
    <row r="350" spans="1:1" ht="30" customHeight="1" x14ac:dyDescent="0.2">
      <c r="A350" s="34" t="str">
        <f t="shared" si="5"/>
        <v/>
      </c>
    </row>
    <row r="351" spans="1:1" ht="30" customHeight="1" x14ac:dyDescent="0.2">
      <c r="A351" s="34" t="str">
        <f t="shared" si="5"/>
        <v/>
      </c>
    </row>
    <row r="352" spans="1:1" ht="30" customHeight="1" x14ac:dyDescent="0.2">
      <c r="A352" s="34" t="str">
        <f t="shared" si="5"/>
        <v/>
      </c>
    </row>
    <row r="353" spans="1:1" ht="30" customHeight="1" x14ac:dyDescent="0.2">
      <c r="A353" s="34" t="str">
        <f t="shared" si="5"/>
        <v/>
      </c>
    </row>
    <row r="354" spans="1:1" ht="30" customHeight="1" x14ac:dyDescent="0.2">
      <c r="A354" s="34" t="str">
        <f t="shared" si="5"/>
        <v/>
      </c>
    </row>
    <row r="355" spans="1:1" ht="30" customHeight="1" x14ac:dyDescent="0.2">
      <c r="A355" s="34" t="str">
        <f t="shared" si="5"/>
        <v/>
      </c>
    </row>
    <row r="356" spans="1:1" ht="30" customHeight="1" x14ac:dyDescent="0.2">
      <c r="A356" s="34" t="str">
        <f t="shared" si="5"/>
        <v/>
      </c>
    </row>
    <row r="357" spans="1:1" ht="30" customHeight="1" x14ac:dyDescent="0.2">
      <c r="A357" s="34" t="str">
        <f t="shared" si="5"/>
        <v/>
      </c>
    </row>
    <row r="358" spans="1:1" ht="30" customHeight="1" x14ac:dyDescent="0.2">
      <c r="A358" s="34" t="str">
        <f t="shared" si="5"/>
        <v/>
      </c>
    </row>
    <row r="359" spans="1:1" ht="30" customHeight="1" x14ac:dyDescent="0.2">
      <c r="A359" s="34" t="str">
        <f t="shared" si="5"/>
        <v/>
      </c>
    </row>
    <row r="360" spans="1:1" ht="30" customHeight="1" x14ac:dyDescent="0.2">
      <c r="A360" s="34" t="str">
        <f t="shared" si="5"/>
        <v/>
      </c>
    </row>
    <row r="361" spans="1:1" ht="30" customHeight="1" x14ac:dyDescent="0.2">
      <c r="A361" s="34" t="str">
        <f t="shared" si="5"/>
        <v/>
      </c>
    </row>
    <row r="362" spans="1:1" ht="30" customHeight="1" x14ac:dyDescent="0.2">
      <c r="A362" s="34" t="str">
        <f t="shared" si="5"/>
        <v/>
      </c>
    </row>
    <row r="363" spans="1:1" ht="30" customHeight="1" x14ac:dyDescent="0.2">
      <c r="A363" s="34" t="str">
        <f t="shared" si="5"/>
        <v/>
      </c>
    </row>
    <row r="364" spans="1:1" ht="30" customHeight="1" x14ac:dyDescent="0.2">
      <c r="A364" s="34" t="str">
        <f t="shared" si="5"/>
        <v/>
      </c>
    </row>
    <row r="365" spans="1:1" ht="30" customHeight="1" x14ac:dyDescent="0.2">
      <c r="A365" s="34" t="str">
        <f t="shared" si="5"/>
        <v/>
      </c>
    </row>
    <row r="366" spans="1:1" ht="30" customHeight="1" x14ac:dyDescent="0.2">
      <c r="A366" s="34" t="str">
        <f t="shared" si="5"/>
        <v/>
      </c>
    </row>
    <row r="367" spans="1:1" ht="30" customHeight="1" x14ac:dyDescent="0.2">
      <c r="A367" s="34" t="str">
        <f t="shared" si="5"/>
        <v/>
      </c>
    </row>
    <row r="368" spans="1:1" ht="30" customHeight="1" x14ac:dyDescent="0.2">
      <c r="A368" s="34" t="str">
        <f t="shared" si="5"/>
        <v/>
      </c>
    </row>
    <row r="369" spans="1:1" ht="30" customHeight="1" x14ac:dyDescent="0.2">
      <c r="A369" s="34" t="str">
        <f t="shared" si="5"/>
        <v/>
      </c>
    </row>
    <row r="370" spans="1:1" ht="30" customHeight="1" x14ac:dyDescent="0.2">
      <c r="A370" s="34" t="str">
        <f t="shared" si="5"/>
        <v/>
      </c>
    </row>
    <row r="371" spans="1:1" ht="30" customHeight="1" x14ac:dyDescent="0.2">
      <c r="A371" s="34" t="str">
        <f t="shared" si="5"/>
        <v/>
      </c>
    </row>
    <row r="372" spans="1:1" ht="30" customHeight="1" x14ac:dyDescent="0.2">
      <c r="A372" s="34" t="str">
        <f t="shared" si="5"/>
        <v/>
      </c>
    </row>
    <row r="373" spans="1:1" ht="30" customHeight="1" x14ac:dyDescent="0.2">
      <c r="A373" s="34" t="str">
        <f t="shared" si="5"/>
        <v/>
      </c>
    </row>
    <row r="374" spans="1:1" ht="30" customHeight="1" x14ac:dyDescent="0.2">
      <c r="A374" s="34" t="str">
        <f t="shared" si="5"/>
        <v/>
      </c>
    </row>
    <row r="375" spans="1:1" ht="30" customHeight="1" x14ac:dyDescent="0.2">
      <c r="A375" s="34" t="str">
        <f t="shared" si="5"/>
        <v/>
      </c>
    </row>
    <row r="376" spans="1:1" ht="30" customHeight="1" x14ac:dyDescent="0.2">
      <c r="A376" s="34" t="str">
        <f t="shared" si="5"/>
        <v/>
      </c>
    </row>
    <row r="377" spans="1:1" ht="30" customHeight="1" x14ac:dyDescent="0.2">
      <c r="A377" s="34" t="str">
        <f t="shared" si="5"/>
        <v/>
      </c>
    </row>
    <row r="378" spans="1:1" ht="30" customHeight="1" x14ac:dyDescent="0.2">
      <c r="A378" s="34" t="str">
        <f t="shared" si="5"/>
        <v/>
      </c>
    </row>
    <row r="379" spans="1:1" ht="30" customHeight="1" x14ac:dyDescent="0.2">
      <c r="A379" s="34" t="str">
        <f t="shared" si="5"/>
        <v/>
      </c>
    </row>
    <row r="380" spans="1:1" ht="30" customHeight="1" x14ac:dyDescent="0.2">
      <c r="A380" s="34" t="str">
        <f t="shared" si="5"/>
        <v/>
      </c>
    </row>
    <row r="381" spans="1:1" ht="30" customHeight="1" x14ac:dyDescent="0.2">
      <c r="A381" s="34" t="str">
        <f t="shared" si="5"/>
        <v/>
      </c>
    </row>
    <row r="382" spans="1:1" ht="30" customHeight="1" x14ac:dyDescent="0.2">
      <c r="A382" s="34" t="str">
        <f t="shared" si="5"/>
        <v/>
      </c>
    </row>
    <row r="383" spans="1:1" ht="30" customHeight="1" x14ac:dyDescent="0.2">
      <c r="A383" s="34" t="str">
        <f t="shared" si="5"/>
        <v/>
      </c>
    </row>
    <row r="384" spans="1:1" ht="30" customHeight="1" x14ac:dyDescent="0.2">
      <c r="A384" s="34" t="str">
        <f t="shared" si="5"/>
        <v/>
      </c>
    </row>
    <row r="385" spans="1:1" ht="30" customHeight="1" x14ac:dyDescent="0.2">
      <c r="A385" s="34" t="str">
        <f t="shared" si="5"/>
        <v/>
      </c>
    </row>
    <row r="386" spans="1:1" ht="30" customHeight="1" x14ac:dyDescent="0.2">
      <c r="A386" s="34" t="str">
        <f t="shared" si="5"/>
        <v/>
      </c>
    </row>
    <row r="387" spans="1:1" ht="30" customHeight="1" x14ac:dyDescent="0.2">
      <c r="A387" s="34" t="str">
        <f t="shared" ref="A387:A450" si="6">IF(AND(B386&lt;&gt;"",B387=""),$A$1&amp;"---&gt;","")</f>
        <v/>
      </c>
    </row>
    <row r="388" spans="1:1" ht="30" customHeight="1" x14ac:dyDescent="0.2">
      <c r="A388" s="34" t="str">
        <f t="shared" si="6"/>
        <v/>
      </c>
    </row>
    <row r="389" spans="1:1" ht="30" customHeight="1" x14ac:dyDescent="0.2">
      <c r="A389" s="34" t="str">
        <f t="shared" si="6"/>
        <v/>
      </c>
    </row>
    <row r="390" spans="1:1" ht="30" customHeight="1" x14ac:dyDescent="0.2">
      <c r="A390" s="34" t="str">
        <f t="shared" si="6"/>
        <v/>
      </c>
    </row>
    <row r="391" spans="1:1" ht="30" customHeight="1" x14ac:dyDescent="0.2">
      <c r="A391" s="34" t="str">
        <f t="shared" si="6"/>
        <v/>
      </c>
    </row>
    <row r="392" spans="1:1" ht="30" customHeight="1" x14ac:dyDescent="0.2">
      <c r="A392" s="34" t="str">
        <f t="shared" si="6"/>
        <v/>
      </c>
    </row>
    <row r="393" spans="1:1" ht="30" customHeight="1" x14ac:dyDescent="0.2">
      <c r="A393" s="34" t="str">
        <f t="shared" si="6"/>
        <v/>
      </c>
    </row>
    <row r="394" spans="1:1" ht="30" customHeight="1" x14ac:dyDescent="0.2">
      <c r="A394" s="34" t="str">
        <f t="shared" si="6"/>
        <v/>
      </c>
    </row>
    <row r="395" spans="1:1" ht="30" customHeight="1" x14ac:dyDescent="0.2">
      <c r="A395" s="34" t="str">
        <f t="shared" si="6"/>
        <v/>
      </c>
    </row>
    <row r="396" spans="1:1" ht="30" customHeight="1" x14ac:dyDescent="0.2">
      <c r="A396" s="34" t="str">
        <f t="shared" si="6"/>
        <v/>
      </c>
    </row>
    <row r="397" spans="1:1" ht="30" customHeight="1" x14ac:dyDescent="0.2">
      <c r="A397" s="34" t="str">
        <f t="shared" si="6"/>
        <v/>
      </c>
    </row>
    <row r="398" spans="1:1" ht="30" customHeight="1" x14ac:dyDescent="0.2">
      <c r="A398" s="34" t="str">
        <f t="shared" si="6"/>
        <v/>
      </c>
    </row>
    <row r="399" spans="1:1" ht="30" customHeight="1" x14ac:dyDescent="0.2">
      <c r="A399" s="34" t="str">
        <f t="shared" si="6"/>
        <v/>
      </c>
    </row>
    <row r="400" spans="1:1" ht="30" customHeight="1" x14ac:dyDescent="0.2">
      <c r="A400" s="34" t="str">
        <f t="shared" si="6"/>
        <v/>
      </c>
    </row>
    <row r="401" spans="1:1" ht="30" customHeight="1" x14ac:dyDescent="0.2">
      <c r="A401" s="34" t="str">
        <f t="shared" si="6"/>
        <v/>
      </c>
    </row>
    <row r="402" spans="1:1" ht="30" customHeight="1" x14ac:dyDescent="0.2">
      <c r="A402" s="34" t="str">
        <f t="shared" si="6"/>
        <v/>
      </c>
    </row>
    <row r="403" spans="1:1" ht="30" customHeight="1" x14ac:dyDescent="0.2">
      <c r="A403" s="34" t="str">
        <f t="shared" si="6"/>
        <v/>
      </c>
    </row>
    <row r="404" spans="1:1" ht="30" customHeight="1" x14ac:dyDescent="0.2">
      <c r="A404" s="34" t="str">
        <f t="shared" si="6"/>
        <v/>
      </c>
    </row>
    <row r="405" spans="1:1" ht="30" customHeight="1" x14ac:dyDescent="0.2">
      <c r="A405" s="34" t="str">
        <f t="shared" si="6"/>
        <v/>
      </c>
    </row>
    <row r="406" spans="1:1" ht="30" customHeight="1" x14ac:dyDescent="0.2">
      <c r="A406" s="34" t="str">
        <f t="shared" si="6"/>
        <v/>
      </c>
    </row>
    <row r="407" spans="1:1" ht="30" customHeight="1" x14ac:dyDescent="0.2">
      <c r="A407" s="34" t="str">
        <f t="shared" si="6"/>
        <v/>
      </c>
    </row>
    <row r="408" spans="1:1" ht="30" customHeight="1" x14ac:dyDescent="0.2">
      <c r="A408" s="34" t="str">
        <f t="shared" si="6"/>
        <v/>
      </c>
    </row>
    <row r="409" spans="1:1" ht="30" customHeight="1" x14ac:dyDescent="0.2">
      <c r="A409" s="34" t="str">
        <f t="shared" si="6"/>
        <v/>
      </c>
    </row>
    <row r="410" spans="1:1" ht="30" customHeight="1" x14ac:dyDescent="0.2">
      <c r="A410" s="34" t="str">
        <f t="shared" si="6"/>
        <v/>
      </c>
    </row>
    <row r="411" spans="1:1" ht="30" customHeight="1" x14ac:dyDescent="0.2">
      <c r="A411" s="34" t="str">
        <f t="shared" si="6"/>
        <v/>
      </c>
    </row>
    <row r="412" spans="1:1" ht="30" customHeight="1" x14ac:dyDescent="0.2">
      <c r="A412" s="34" t="str">
        <f t="shared" si="6"/>
        <v/>
      </c>
    </row>
    <row r="413" spans="1:1" ht="30" customHeight="1" x14ac:dyDescent="0.2">
      <c r="A413" s="34" t="str">
        <f t="shared" si="6"/>
        <v/>
      </c>
    </row>
    <row r="414" spans="1:1" ht="30" customHeight="1" x14ac:dyDescent="0.2">
      <c r="A414" s="34" t="str">
        <f t="shared" si="6"/>
        <v/>
      </c>
    </row>
    <row r="415" spans="1:1" ht="30" customHeight="1" x14ac:dyDescent="0.2">
      <c r="A415" s="34" t="str">
        <f t="shared" si="6"/>
        <v/>
      </c>
    </row>
    <row r="416" spans="1:1" ht="30" customHeight="1" x14ac:dyDescent="0.2">
      <c r="A416" s="34" t="str">
        <f t="shared" si="6"/>
        <v/>
      </c>
    </row>
    <row r="417" spans="1:1" ht="30" customHeight="1" x14ac:dyDescent="0.2">
      <c r="A417" s="34" t="str">
        <f t="shared" si="6"/>
        <v/>
      </c>
    </row>
    <row r="418" spans="1:1" ht="30" customHeight="1" x14ac:dyDescent="0.2">
      <c r="A418" s="34" t="str">
        <f t="shared" si="6"/>
        <v/>
      </c>
    </row>
    <row r="419" spans="1:1" ht="30" customHeight="1" x14ac:dyDescent="0.2">
      <c r="A419" s="34" t="str">
        <f t="shared" si="6"/>
        <v/>
      </c>
    </row>
    <row r="420" spans="1:1" ht="30" customHeight="1" x14ac:dyDescent="0.2">
      <c r="A420" s="34" t="str">
        <f t="shared" si="6"/>
        <v/>
      </c>
    </row>
    <row r="421" spans="1:1" ht="30" customHeight="1" x14ac:dyDescent="0.2">
      <c r="A421" s="34" t="str">
        <f t="shared" si="6"/>
        <v/>
      </c>
    </row>
    <row r="422" spans="1:1" ht="30" customHeight="1" x14ac:dyDescent="0.2">
      <c r="A422" s="34" t="str">
        <f t="shared" si="6"/>
        <v/>
      </c>
    </row>
    <row r="423" spans="1:1" ht="30" customHeight="1" x14ac:dyDescent="0.2">
      <c r="A423" s="34" t="str">
        <f t="shared" si="6"/>
        <v/>
      </c>
    </row>
    <row r="424" spans="1:1" ht="30" customHeight="1" x14ac:dyDescent="0.2">
      <c r="A424" s="34" t="str">
        <f t="shared" si="6"/>
        <v/>
      </c>
    </row>
    <row r="425" spans="1:1" ht="30" customHeight="1" x14ac:dyDescent="0.2">
      <c r="A425" s="34" t="str">
        <f t="shared" si="6"/>
        <v/>
      </c>
    </row>
    <row r="426" spans="1:1" ht="30" customHeight="1" x14ac:dyDescent="0.2">
      <c r="A426" s="34" t="str">
        <f t="shared" si="6"/>
        <v/>
      </c>
    </row>
    <row r="427" spans="1:1" ht="30" customHeight="1" x14ac:dyDescent="0.2">
      <c r="A427" s="34" t="str">
        <f t="shared" si="6"/>
        <v/>
      </c>
    </row>
    <row r="428" spans="1:1" ht="30" customHeight="1" x14ac:dyDescent="0.2">
      <c r="A428" s="34" t="str">
        <f t="shared" si="6"/>
        <v/>
      </c>
    </row>
    <row r="429" spans="1:1" ht="30" customHeight="1" x14ac:dyDescent="0.2">
      <c r="A429" s="34" t="str">
        <f t="shared" si="6"/>
        <v/>
      </c>
    </row>
    <row r="430" spans="1:1" ht="30" customHeight="1" x14ac:dyDescent="0.2">
      <c r="A430" s="34" t="str">
        <f t="shared" si="6"/>
        <v/>
      </c>
    </row>
    <row r="431" spans="1:1" ht="30" customHeight="1" x14ac:dyDescent="0.2">
      <c r="A431" s="34" t="str">
        <f t="shared" si="6"/>
        <v/>
      </c>
    </row>
    <row r="432" spans="1:1" ht="30" customHeight="1" x14ac:dyDescent="0.2">
      <c r="A432" s="34" t="str">
        <f t="shared" si="6"/>
        <v/>
      </c>
    </row>
    <row r="433" spans="1:1" ht="30" customHeight="1" x14ac:dyDescent="0.2">
      <c r="A433" s="34" t="str">
        <f t="shared" si="6"/>
        <v/>
      </c>
    </row>
    <row r="434" spans="1:1" ht="30" customHeight="1" x14ac:dyDescent="0.2">
      <c r="A434" s="34" t="str">
        <f t="shared" si="6"/>
        <v/>
      </c>
    </row>
    <row r="435" spans="1:1" ht="30" customHeight="1" x14ac:dyDescent="0.2">
      <c r="A435" s="34" t="str">
        <f t="shared" si="6"/>
        <v/>
      </c>
    </row>
    <row r="436" spans="1:1" ht="30" customHeight="1" x14ac:dyDescent="0.2">
      <c r="A436" s="34" t="str">
        <f t="shared" si="6"/>
        <v/>
      </c>
    </row>
    <row r="437" spans="1:1" ht="30" customHeight="1" x14ac:dyDescent="0.2">
      <c r="A437" s="34" t="str">
        <f t="shared" si="6"/>
        <v/>
      </c>
    </row>
    <row r="438" spans="1:1" ht="30" customHeight="1" x14ac:dyDescent="0.2">
      <c r="A438" s="34" t="str">
        <f t="shared" si="6"/>
        <v/>
      </c>
    </row>
    <row r="439" spans="1:1" ht="30" customHeight="1" x14ac:dyDescent="0.2">
      <c r="A439" s="34" t="str">
        <f t="shared" si="6"/>
        <v/>
      </c>
    </row>
    <row r="440" spans="1:1" ht="30" customHeight="1" x14ac:dyDescent="0.2">
      <c r="A440" s="34" t="str">
        <f t="shared" si="6"/>
        <v/>
      </c>
    </row>
    <row r="441" spans="1:1" ht="30" customHeight="1" x14ac:dyDescent="0.2">
      <c r="A441" s="34" t="str">
        <f t="shared" si="6"/>
        <v/>
      </c>
    </row>
    <row r="442" spans="1:1" ht="30" customHeight="1" x14ac:dyDescent="0.2">
      <c r="A442" s="34" t="str">
        <f t="shared" si="6"/>
        <v/>
      </c>
    </row>
    <row r="443" spans="1:1" ht="30" customHeight="1" x14ac:dyDescent="0.2">
      <c r="A443" s="34" t="str">
        <f t="shared" si="6"/>
        <v/>
      </c>
    </row>
    <row r="444" spans="1:1" ht="30" customHeight="1" x14ac:dyDescent="0.2">
      <c r="A444" s="34" t="str">
        <f t="shared" si="6"/>
        <v/>
      </c>
    </row>
    <row r="445" spans="1:1" ht="30" customHeight="1" x14ac:dyDescent="0.2">
      <c r="A445" s="34" t="str">
        <f t="shared" si="6"/>
        <v/>
      </c>
    </row>
    <row r="446" spans="1:1" ht="30" customHeight="1" x14ac:dyDescent="0.2">
      <c r="A446" s="34" t="str">
        <f t="shared" si="6"/>
        <v/>
      </c>
    </row>
    <row r="447" spans="1:1" ht="30" customHeight="1" x14ac:dyDescent="0.2">
      <c r="A447" s="34" t="str">
        <f t="shared" si="6"/>
        <v/>
      </c>
    </row>
    <row r="448" spans="1:1" ht="30" customHeight="1" x14ac:dyDescent="0.2">
      <c r="A448" s="34" t="str">
        <f t="shared" si="6"/>
        <v/>
      </c>
    </row>
    <row r="449" spans="1:1" ht="30" customHeight="1" x14ac:dyDescent="0.2">
      <c r="A449" s="34" t="str">
        <f t="shared" si="6"/>
        <v/>
      </c>
    </row>
    <row r="450" spans="1:1" ht="30" customHeight="1" x14ac:dyDescent="0.2">
      <c r="A450" s="34" t="str">
        <f t="shared" si="6"/>
        <v/>
      </c>
    </row>
    <row r="451" spans="1:1" ht="30" customHeight="1" x14ac:dyDescent="0.2">
      <c r="A451" s="34" t="str">
        <f t="shared" ref="A451:A514" si="7">IF(AND(B450&lt;&gt;"",B451=""),$A$1&amp;"---&gt;","")</f>
        <v/>
      </c>
    </row>
    <row r="452" spans="1:1" ht="30" customHeight="1" x14ac:dyDescent="0.2">
      <c r="A452" s="34" t="str">
        <f t="shared" si="7"/>
        <v/>
      </c>
    </row>
    <row r="453" spans="1:1" ht="30" customHeight="1" x14ac:dyDescent="0.2">
      <c r="A453" s="34" t="str">
        <f t="shared" si="7"/>
        <v/>
      </c>
    </row>
    <row r="454" spans="1:1" ht="30" customHeight="1" x14ac:dyDescent="0.2">
      <c r="A454" s="34" t="str">
        <f t="shared" si="7"/>
        <v/>
      </c>
    </row>
    <row r="455" spans="1:1" ht="30" customHeight="1" x14ac:dyDescent="0.2">
      <c r="A455" s="34" t="str">
        <f t="shared" si="7"/>
        <v/>
      </c>
    </row>
    <row r="456" spans="1:1" ht="30" customHeight="1" x14ac:dyDescent="0.2">
      <c r="A456" s="34" t="str">
        <f t="shared" si="7"/>
        <v/>
      </c>
    </row>
    <row r="457" spans="1:1" ht="30" customHeight="1" x14ac:dyDescent="0.2">
      <c r="A457" s="34" t="str">
        <f t="shared" si="7"/>
        <v/>
      </c>
    </row>
    <row r="458" spans="1:1" ht="30" customHeight="1" x14ac:dyDescent="0.2">
      <c r="A458" s="34" t="str">
        <f t="shared" si="7"/>
        <v/>
      </c>
    </row>
    <row r="459" spans="1:1" ht="30" customHeight="1" x14ac:dyDescent="0.2">
      <c r="A459" s="34" t="str">
        <f t="shared" si="7"/>
        <v/>
      </c>
    </row>
    <row r="460" spans="1:1" ht="30" customHeight="1" x14ac:dyDescent="0.2">
      <c r="A460" s="34" t="str">
        <f t="shared" si="7"/>
        <v/>
      </c>
    </row>
    <row r="461" spans="1:1" ht="30" customHeight="1" x14ac:dyDescent="0.2">
      <c r="A461" s="34" t="str">
        <f t="shared" si="7"/>
        <v/>
      </c>
    </row>
    <row r="462" spans="1:1" ht="30" customHeight="1" x14ac:dyDescent="0.2">
      <c r="A462" s="34" t="str">
        <f t="shared" si="7"/>
        <v/>
      </c>
    </row>
    <row r="463" spans="1:1" ht="30" customHeight="1" x14ac:dyDescent="0.2">
      <c r="A463" s="34" t="str">
        <f t="shared" si="7"/>
        <v/>
      </c>
    </row>
    <row r="464" spans="1:1" ht="30" customHeight="1" x14ac:dyDescent="0.2">
      <c r="A464" s="34" t="str">
        <f t="shared" si="7"/>
        <v/>
      </c>
    </row>
    <row r="465" spans="1:1" ht="30" customHeight="1" x14ac:dyDescent="0.2">
      <c r="A465" s="34" t="str">
        <f t="shared" si="7"/>
        <v/>
      </c>
    </row>
    <row r="466" spans="1:1" ht="30" customHeight="1" x14ac:dyDescent="0.2">
      <c r="A466" s="34" t="str">
        <f t="shared" si="7"/>
        <v/>
      </c>
    </row>
    <row r="467" spans="1:1" ht="30" customHeight="1" x14ac:dyDescent="0.2">
      <c r="A467" s="34" t="str">
        <f t="shared" si="7"/>
        <v/>
      </c>
    </row>
    <row r="468" spans="1:1" ht="30" customHeight="1" x14ac:dyDescent="0.2">
      <c r="A468" s="34" t="str">
        <f t="shared" si="7"/>
        <v/>
      </c>
    </row>
    <row r="469" spans="1:1" ht="30" customHeight="1" x14ac:dyDescent="0.2">
      <c r="A469" s="34" t="str">
        <f t="shared" si="7"/>
        <v/>
      </c>
    </row>
    <row r="470" spans="1:1" ht="30" customHeight="1" x14ac:dyDescent="0.2">
      <c r="A470" s="34" t="str">
        <f t="shared" si="7"/>
        <v/>
      </c>
    </row>
    <row r="471" spans="1:1" ht="30" customHeight="1" x14ac:dyDescent="0.2">
      <c r="A471" s="34" t="str">
        <f t="shared" si="7"/>
        <v/>
      </c>
    </row>
    <row r="472" spans="1:1" ht="30" customHeight="1" x14ac:dyDescent="0.2">
      <c r="A472" s="34" t="str">
        <f t="shared" si="7"/>
        <v/>
      </c>
    </row>
    <row r="473" spans="1:1" ht="30" customHeight="1" x14ac:dyDescent="0.2">
      <c r="A473" s="34" t="str">
        <f t="shared" si="7"/>
        <v/>
      </c>
    </row>
    <row r="474" spans="1:1" ht="30" customHeight="1" x14ac:dyDescent="0.2">
      <c r="A474" s="34" t="str">
        <f t="shared" si="7"/>
        <v/>
      </c>
    </row>
    <row r="475" spans="1:1" ht="30" customHeight="1" x14ac:dyDescent="0.2">
      <c r="A475" s="34" t="str">
        <f t="shared" si="7"/>
        <v/>
      </c>
    </row>
    <row r="476" spans="1:1" ht="30" customHeight="1" x14ac:dyDescent="0.2">
      <c r="A476" s="34" t="str">
        <f t="shared" si="7"/>
        <v/>
      </c>
    </row>
    <row r="477" spans="1:1" ht="30" customHeight="1" x14ac:dyDescent="0.2">
      <c r="A477" s="34" t="str">
        <f t="shared" si="7"/>
        <v/>
      </c>
    </row>
    <row r="478" spans="1:1" ht="30" customHeight="1" x14ac:dyDescent="0.2">
      <c r="A478" s="34" t="str">
        <f t="shared" si="7"/>
        <v/>
      </c>
    </row>
    <row r="479" spans="1:1" ht="30" customHeight="1" x14ac:dyDescent="0.2">
      <c r="A479" s="34" t="str">
        <f t="shared" si="7"/>
        <v/>
      </c>
    </row>
    <row r="480" spans="1:1" ht="30" customHeight="1" x14ac:dyDescent="0.2">
      <c r="A480" s="34" t="str">
        <f t="shared" si="7"/>
        <v/>
      </c>
    </row>
    <row r="481" spans="1:1" ht="30" customHeight="1" x14ac:dyDescent="0.2">
      <c r="A481" s="34" t="str">
        <f t="shared" si="7"/>
        <v/>
      </c>
    </row>
    <row r="482" spans="1:1" ht="30" customHeight="1" x14ac:dyDescent="0.2">
      <c r="A482" s="34" t="str">
        <f t="shared" si="7"/>
        <v/>
      </c>
    </row>
    <row r="483" spans="1:1" ht="30" customHeight="1" x14ac:dyDescent="0.2">
      <c r="A483" s="34" t="str">
        <f t="shared" si="7"/>
        <v/>
      </c>
    </row>
    <row r="484" spans="1:1" ht="30" customHeight="1" x14ac:dyDescent="0.2">
      <c r="A484" s="34" t="str">
        <f t="shared" si="7"/>
        <v/>
      </c>
    </row>
    <row r="485" spans="1:1" ht="30" customHeight="1" x14ac:dyDescent="0.2">
      <c r="A485" s="34" t="str">
        <f t="shared" si="7"/>
        <v/>
      </c>
    </row>
    <row r="486" spans="1:1" ht="30" customHeight="1" x14ac:dyDescent="0.2">
      <c r="A486" s="34" t="str">
        <f t="shared" si="7"/>
        <v/>
      </c>
    </row>
    <row r="487" spans="1:1" ht="30" customHeight="1" x14ac:dyDescent="0.2">
      <c r="A487" s="34" t="str">
        <f t="shared" si="7"/>
        <v/>
      </c>
    </row>
    <row r="488" spans="1:1" ht="30" customHeight="1" x14ac:dyDescent="0.2">
      <c r="A488" s="34" t="str">
        <f t="shared" si="7"/>
        <v/>
      </c>
    </row>
    <row r="489" spans="1:1" ht="30" customHeight="1" x14ac:dyDescent="0.2">
      <c r="A489" s="34" t="str">
        <f t="shared" si="7"/>
        <v/>
      </c>
    </row>
    <row r="490" spans="1:1" ht="30" customHeight="1" x14ac:dyDescent="0.2">
      <c r="A490" s="34" t="str">
        <f t="shared" si="7"/>
        <v/>
      </c>
    </row>
    <row r="491" spans="1:1" ht="30" customHeight="1" x14ac:dyDescent="0.2">
      <c r="A491" s="34" t="str">
        <f t="shared" si="7"/>
        <v/>
      </c>
    </row>
    <row r="492" spans="1:1" ht="30" customHeight="1" x14ac:dyDescent="0.2">
      <c r="A492" s="34" t="str">
        <f t="shared" si="7"/>
        <v/>
      </c>
    </row>
    <row r="493" spans="1:1" ht="30" customHeight="1" x14ac:dyDescent="0.2">
      <c r="A493" s="34" t="str">
        <f t="shared" si="7"/>
        <v/>
      </c>
    </row>
    <row r="494" spans="1:1" ht="30" customHeight="1" x14ac:dyDescent="0.2">
      <c r="A494" s="34" t="str">
        <f t="shared" si="7"/>
        <v/>
      </c>
    </row>
    <row r="495" spans="1:1" ht="30" customHeight="1" x14ac:dyDescent="0.2">
      <c r="A495" s="34" t="str">
        <f t="shared" si="7"/>
        <v/>
      </c>
    </row>
    <row r="496" spans="1:1" ht="30" customHeight="1" x14ac:dyDescent="0.2">
      <c r="A496" s="34" t="str">
        <f t="shared" si="7"/>
        <v/>
      </c>
    </row>
    <row r="497" spans="1:1" ht="30" customHeight="1" x14ac:dyDescent="0.2">
      <c r="A497" s="34" t="str">
        <f t="shared" si="7"/>
        <v/>
      </c>
    </row>
    <row r="498" spans="1:1" ht="30" customHeight="1" x14ac:dyDescent="0.2">
      <c r="A498" s="34" t="str">
        <f t="shared" si="7"/>
        <v/>
      </c>
    </row>
    <row r="499" spans="1:1" ht="30" customHeight="1" x14ac:dyDescent="0.2">
      <c r="A499" s="34" t="str">
        <f t="shared" si="7"/>
        <v/>
      </c>
    </row>
    <row r="500" spans="1:1" ht="30" customHeight="1" x14ac:dyDescent="0.2">
      <c r="A500" s="34" t="str">
        <f t="shared" si="7"/>
        <v/>
      </c>
    </row>
    <row r="501" spans="1:1" ht="30" customHeight="1" x14ac:dyDescent="0.2">
      <c r="A501" s="34" t="str">
        <f t="shared" si="7"/>
        <v/>
      </c>
    </row>
    <row r="502" spans="1:1" ht="30" customHeight="1" x14ac:dyDescent="0.2">
      <c r="A502" s="34" t="str">
        <f t="shared" si="7"/>
        <v/>
      </c>
    </row>
    <row r="503" spans="1:1" ht="30" customHeight="1" x14ac:dyDescent="0.2">
      <c r="A503" s="34" t="str">
        <f t="shared" si="7"/>
        <v/>
      </c>
    </row>
    <row r="504" spans="1:1" ht="30" customHeight="1" x14ac:dyDescent="0.2">
      <c r="A504" s="34" t="str">
        <f t="shared" si="7"/>
        <v/>
      </c>
    </row>
    <row r="505" spans="1:1" ht="30" customHeight="1" x14ac:dyDescent="0.2">
      <c r="A505" s="34" t="str">
        <f t="shared" si="7"/>
        <v/>
      </c>
    </row>
    <row r="506" spans="1:1" ht="30" customHeight="1" x14ac:dyDescent="0.2">
      <c r="A506" s="34" t="str">
        <f t="shared" si="7"/>
        <v/>
      </c>
    </row>
    <row r="507" spans="1:1" ht="30" customHeight="1" x14ac:dyDescent="0.2">
      <c r="A507" s="34" t="str">
        <f t="shared" si="7"/>
        <v/>
      </c>
    </row>
    <row r="508" spans="1:1" ht="30" customHeight="1" x14ac:dyDescent="0.2">
      <c r="A508" s="34" t="str">
        <f t="shared" si="7"/>
        <v/>
      </c>
    </row>
    <row r="509" spans="1:1" ht="30" customHeight="1" x14ac:dyDescent="0.2">
      <c r="A509" s="34" t="str">
        <f t="shared" si="7"/>
        <v/>
      </c>
    </row>
    <row r="510" spans="1:1" ht="30" customHeight="1" x14ac:dyDescent="0.2">
      <c r="A510" s="34" t="str">
        <f t="shared" si="7"/>
        <v/>
      </c>
    </row>
    <row r="511" spans="1:1" ht="30" customHeight="1" x14ac:dyDescent="0.2">
      <c r="A511" s="34" t="str">
        <f t="shared" si="7"/>
        <v/>
      </c>
    </row>
    <row r="512" spans="1:1" ht="30" customHeight="1" x14ac:dyDescent="0.2">
      <c r="A512" s="34" t="str">
        <f t="shared" si="7"/>
        <v/>
      </c>
    </row>
    <row r="513" spans="1:1" ht="30" customHeight="1" x14ac:dyDescent="0.2">
      <c r="A513" s="34" t="str">
        <f t="shared" si="7"/>
        <v/>
      </c>
    </row>
    <row r="514" spans="1:1" ht="30" customHeight="1" x14ac:dyDescent="0.2">
      <c r="A514" s="34" t="str">
        <f t="shared" si="7"/>
        <v/>
      </c>
    </row>
    <row r="515" spans="1:1" ht="30" customHeight="1" x14ac:dyDescent="0.2">
      <c r="A515" s="34" t="str">
        <f t="shared" ref="A515:A578" si="8">IF(AND(B514&lt;&gt;"",B515=""),$A$1&amp;"---&gt;","")</f>
        <v/>
      </c>
    </row>
    <row r="516" spans="1:1" ht="30" customHeight="1" x14ac:dyDescent="0.2">
      <c r="A516" s="34" t="str">
        <f t="shared" si="8"/>
        <v/>
      </c>
    </row>
    <row r="517" spans="1:1" ht="30" customHeight="1" x14ac:dyDescent="0.2">
      <c r="A517" s="34" t="str">
        <f t="shared" si="8"/>
        <v/>
      </c>
    </row>
    <row r="518" spans="1:1" ht="30" customHeight="1" x14ac:dyDescent="0.2">
      <c r="A518" s="34" t="str">
        <f t="shared" si="8"/>
        <v/>
      </c>
    </row>
    <row r="519" spans="1:1" ht="30" customHeight="1" x14ac:dyDescent="0.2">
      <c r="A519" s="34" t="str">
        <f t="shared" si="8"/>
        <v/>
      </c>
    </row>
    <row r="520" spans="1:1" ht="30" customHeight="1" x14ac:dyDescent="0.2">
      <c r="A520" s="34" t="str">
        <f t="shared" si="8"/>
        <v/>
      </c>
    </row>
    <row r="521" spans="1:1" ht="30" customHeight="1" x14ac:dyDescent="0.2">
      <c r="A521" s="34" t="str">
        <f t="shared" si="8"/>
        <v/>
      </c>
    </row>
    <row r="522" spans="1:1" ht="30" customHeight="1" x14ac:dyDescent="0.2">
      <c r="A522" s="34" t="str">
        <f t="shared" si="8"/>
        <v/>
      </c>
    </row>
    <row r="523" spans="1:1" ht="30" customHeight="1" x14ac:dyDescent="0.2">
      <c r="A523" s="34" t="str">
        <f t="shared" si="8"/>
        <v/>
      </c>
    </row>
    <row r="524" spans="1:1" ht="30" customHeight="1" x14ac:dyDescent="0.2">
      <c r="A524" s="34" t="str">
        <f t="shared" si="8"/>
        <v/>
      </c>
    </row>
    <row r="525" spans="1:1" ht="30" customHeight="1" x14ac:dyDescent="0.2">
      <c r="A525" s="34" t="str">
        <f t="shared" si="8"/>
        <v/>
      </c>
    </row>
    <row r="526" spans="1:1" ht="30" customHeight="1" x14ac:dyDescent="0.2">
      <c r="A526" s="34" t="str">
        <f t="shared" si="8"/>
        <v/>
      </c>
    </row>
    <row r="527" spans="1:1" ht="30" customHeight="1" x14ac:dyDescent="0.2">
      <c r="A527" s="34" t="str">
        <f t="shared" si="8"/>
        <v/>
      </c>
    </row>
    <row r="528" spans="1:1" ht="30" customHeight="1" x14ac:dyDescent="0.2">
      <c r="A528" s="34" t="str">
        <f t="shared" si="8"/>
        <v/>
      </c>
    </row>
    <row r="529" spans="1:1" ht="30" customHeight="1" x14ac:dyDescent="0.2">
      <c r="A529" s="34" t="str">
        <f t="shared" si="8"/>
        <v/>
      </c>
    </row>
    <row r="530" spans="1:1" ht="30" customHeight="1" x14ac:dyDescent="0.2">
      <c r="A530" s="34" t="str">
        <f t="shared" si="8"/>
        <v/>
      </c>
    </row>
    <row r="531" spans="1:1" ht="30" customHeight="1" x14ac:dyDescent="0.2">
      <c r="A531" s="34" t="str">
        <f t="shared" si="8"/>
        <v/>
      </c>
    </row>
    <row r="532" spans="1:1" ht="30" customHeight="1" x14ac:dyDescent="0.2">
      <c r="A532" s="34" t="str">
        <f t="shared" si="8"/>
        <v/>
      </c>
    </row>
    <row r="533" spans="1:1" ht="30" customHeight="1" x14ac:dyDescent="0.2">
      <c r="A533" s="34" t="str">
        <f t="shared" si="8"/>
        <v/>
      </c>
    </row>
    <row r="534" spans="1:1" ht="30" customHeight="1" x14ac:dyDescent="0.2">
      <c r="A534" s="34" t="str">
        <f t="shared" si="8"/>
        <v/>
      </c>
    </row>
    <row r="535" spans="1:1" ht="30" customHeight="1" x14ac:dyDescent="0.2">
      <c r="A535" s="34" t="str">
        <f t="shared" si="8"/>
        <v/>
      </c>
    </row>
    <row r="536" spans="1:1" ht="30" customHeight="1" x14ac:dyDescent="0.2">
      <c r="A536" s="34" t="str">
        <f t="shared" si="8"/>
        <v/>
      </c>
    </row>
    <row r="537" spans="1:1" ht="30" customHeight="1" x14ac:dyDescent="0.2">
      <c r="A537" s="34" t="str">
        <f t="shared" si="8"/>
        <v/>
      </c>
    </row>
    <row r="538" spans="1:1" ht="30" customHeight="1" x14ac:dyDescent="0.2">
      <c r="A538" s="34" t="str">
        <f t="shared" si="8"/>
        <v/>
      </c>
    </row>
    <row r="539" spans="1:1" ht="30" customHeight="1" x14ac:dyDescent="0.2">
      <c r="A539" s="34" t="str">
        <f t="shared" si="8"/>
        <v/>
      </c>
    </row>
    <row r="540" spans="1:1" ht="30" customHeight="1" x14ac:dyDescent="0.2">
      <c r="A540" s="34" t="str">
        <f t="shared" si="8"/>
        <v/>
      </c>
    </row>
    <row r="541" spans="1:1" ht="30" customHeight="1" x14ac:dyDescent="0.2">
      <c r="A541" s="34" t="str">
        <f t="shared" si="8"/>
        <v/>
      </c>
    </row>
    <row r="542" spans="1:1" ht="30" customHeight="1" x14ac:dyDescent="0.2">
      <c r="A542" s="34" t="str">
        <f t="shared" si="8"/>
        <v/>
      </c>
    </row>
    <row r="543" spans="1:1" ht="30" customHeight="1" x14ac:dyDescent="0.2">
      <c r="A543" s="34" t="str">
        <f t="shared" si="8"/>
        <v/>
      </c>
    </row>
    <row r="544" spans="1:1" ht="30" customHeight="1" x14ac:dyDescent="0.2">
      <c r="A544" s="34" t="str">
        <f t="shared" si="8"/>
        <v/>
      </c>
    </row>
    <row r="545" spans="1:1" ht="30" customHeight="1" x14ac:dyDescent="0.2">
      <c r="A545" s="34" t="str">
        <f t="shared" si="8"/>
        <v/>
      </c>
    </row>
    <row r="546" spans="1:1" ht="30" customHeight="1" x14ac:dyDescent="0.2">
      <c r="A546" s="34" t="str">
        <f t="shared" si="8"/>
        <v/>
      </c>
    </row>
    <row r="547" spans="1:1" ht="30" customHeight="1" x14ac:dyDescent="0.2">
      <c r="A547" s="34" t="str">
        <f t="shared" si="8"/>
        <v/>
      </c>
    </row>
    <row r="548" spans="1:1" ht="30" customHeight="1" x14ac:dyDescent="0.2">
      <c r="A548" s="34" t="str">
        <f t="shared" si="8"/>
        <v/>
      </c>
    </row>
    <row r="549" spans="1:1" ht="30" customHeight="1" x14ac:dyDescent="0.2">
      <c r="A549" s="34" t="str">
        <f t="shared" si="8"/>
        <v/>
      </c>
    </row>
    <row r="550" spans="1:1" ht="30" customHeight="1" x14ac:dyDescent="0.2">
      <c r="A550" s="34" t="str">
        <f t="shared" si="8"/>
        <v/>
      </c>
    </row>
    <row r="551" spans="1:1" ht="30" customHeight="1" x14ac:dyDescent="0.2">
      <c r="A551" s="34" t="str">
        <f t="shared" si="8"/>
        <v/>
      </c>
    </row>
    <row r="552" spans="1:1" ht="30" customHeight="1" x14ac:dyDescent="0.2">
      <c r="A552" s="34" t="str">
        <f t="shared" si="8"/>
        <v/>
      </c>
    </row>
    <row r="553" spans="1:1" ht="30" customHeight="1" x14ac:dyDescent="0.2">
      <c r="A553" s="34" t="str">
        <f t="shared" si="8"/>
        <v/>
      </c>
    </row>
    <row r="554" spans="1:1" ht="30" customHeight="1" x14ac:dyDescent="0.2">
      <c r="A554" s="34" t="str">
        <f t="shared" si="8"/>
        <v/>
      </c>
    </row>
    <row r="555" spans="1:1" ht="30" customHeight="1" x14ac:dyDescent="0.2">
      <c r="A555" s="34" t="str">
        <f t="shared" si="8"/>
        <v/>
      </c>
    </row>
    <row r="556" spans="1:1" ht="30" customHeight="1" x14ac:dyDescent="0.2">
      <c r="A556" s="34" t="str">
        <f t="shared" si="8"/>
        <v/>
      </c>
    </row>
    <row r="557" spans="1:1" ht="30" customHeight="1" x14ac:dyDescent="0.2">
      <c r="A557" s="34" t="str">
        <f t="shared" si="8"/>
        <v/>
      </c>
    </row>
    <row r="558" spans="1:1" ht="30" customHeight="1" x14ac:dyDescent="0.2">
      <c r="A558" s="34" t="str">
        <f t="shared" si="8"/>
        <v/>
      </c>
    </row>
    <row r="559" spans="1:1" ht="30" customHeight="1" x14ac:dyDescent="0.2">
      <c r="A559" s="34" t="str">
        <f t="shared" si="8"/>
        <v/>
      </c>
    </row>
    <row r="560" spans="1:1" ht="30" customHeight="1" x14ac:dyDescent="0.2">
      <c r="A560" s="34" t="str">
        <f t="shared" si="8"/>
        <v/>
      </c>
    </row>
    <row r="561" spans="1:1" ht="30" customHeight="1" x14ac:dyDescent="0.2">
      <c r="A561" s="34" t="str">
        <f t="shared" si="8"/>
        <v/>
      </c>
    </row>
    <row r="562" spans="1:1" ht="30" customHeight="1" x14ac:dyDescent="0.2">
      <c r="A562" s="34" t="str">
        <f t="shared" si="8"/>
        <v/>
      </c>
    </row>
    <row r="563" spans="1:1" ht="30" customHeight="1" x14ac:dyDescent="0.2">
      <c r="A563" s="34" t="str">
        <f t="shared" si="8"/>
        <v/>
      </c>
    </row>
    <row r="564" spans="1:1" ht="30" customHeight="1" x14ac:dyDescent="0.2">
      <c r="A564" s="34" t="str">
        <f t="shared" si="8"/>
        <v/>
      </c>
    </row>
    <row r="565" spans="1:1" ht="30" customHeight="1" x14ac:dyDescent="0.2">
      <c r="A565" s="34" t="str">
        <f t="shared" si="8"/>
        <v/>
      </c>
    </row>
    <row r="566" spans="1:1" ht="30" customHeight="1" x14ac:dyDescent="0.2">
      <c r="A566" s="34" t="str">
        <f t="shared" si="8"/>
        <v/>
      </c>
    </row>
    <row r="567" spans="1:1" ht="30" customHeight="1" x14ac:dyDescent="0.2">
      <c r="A567" s="34" t="str">
        <f t="shared" si="8"/>
        <v/>
      </c>
    </row>
    <row r="568" spans="1:1" ht="30" customHeight="1" x14ac:dyDescent="0.2">
      <c r="A568" s="34" t="str">
        <f t="shared" si="8"/>
        <v/>
      </c>
    </row>
    <row r="569" spans="1:1" ht="30" customHeight="1" x14ac:dyDescent="0.2">
      <c r="A569" s="34" t="str">
        <f t="shared" si="8"/>
        <v/>
      </c>
    </row>
    <row r="570" spans="1:1" ht="30" customHeight="1" x14ac:dyDescent="0.2">
      <c r="A570" s="34" t="str">
        <f t="shared" si="8"/>
        <v/>
      </c>
    </row>
    <row r="571" spans="1:1" ht="30" customHeight="1" x14ac:dyDescent="0.2">
      <c r="A571" s="34" t="str">
        <f t="shared" si="8"/>
        <v/>
      </c>
    </row>
    <row r="572" spans="1:1" ht="30" customHeight="1" x14ac:dyDescent="0.2">
      <c r="A572" s="34" t="str">
        <f t="shared" si="8"/>
        <v/>
      </c>
    </row>
    <row r="573" spans="1:1" ht="30" customHeight="1" x14ac:dyDescent="0.2">
      <c r="A573" s="34" t="str">
        <f t="shared" si="8"/>
        <v/>
      </c>
    </row>
    <row r="574" spans="1:1" ht="30" customHeight="1" x14ac:dyDescent="0.2">
      <c r="A574" s="34" t="str">
        <f t="shared" si="8"/>
        <v/>
      </c>
    </row>
    <row r="575" spans="1:1" ht="30" customHeight="1" x14ac:dyDescent="0.2">
      <c r="A575" s="34" t="str">
        <f t="shared" si="8"/>
        <v/>
      </c>
    </row>
    <row r="576" spans="1:1" ht="30" customHeight="1" x14ac:dyDescent="0.2">
      <c r="A576" s="34" t="str">
        <f t="shared" si="8"/>
        <v/>
      </c>
    </row>
    <row r="577" spans="1:1" ht="30" customHeight="1" x14ac:dyDescent="0.2">
      <c r="A577" s="34" t="str">
        <f t="shared" si="8"/>
        <v/>
      </c>
    </row>
    <row r="578" spans="1:1" ht="30" customHeight="1" x14ac:dyDescent="0.2">
      <c r="A578" s="34" t="str">
        <f t="shared" si="8"/>
        <v/>
      </c>
    </row>
    <row r="579" spans="1:1" ht="30" customHeight="1" x14ac:dyDescent="0.2">
      <c r="A579" s="34" t="str">
        <f t="shared" ref="A579:A642" si="9">IF(AND(B578&lt;&gt;"",B579=""),$A$1&amp;"---&gt;","")</f>
        <v/>
      </c>
    </row>
    <row r="580" spans="1:1" ht="30" customHeight="1" x14ac:dyDescent="0.2">
      <c r="A580" s="34" t="str">
        <f t="shared" si="9"/>
        <v/>
      </c>
    </row>
    <row r="581" spans="1:1" ht="30" customHeight="1" x14ac:dyDescent="0.2">
      <c r="A581" s="34" t="str">
        <f t="shared" si="9"/>
        <v/>
      </c>
    </row>
    <row r="582" spans="1:1" ht="30" customHeight="1" x14ac:dyDescent="0.2">
      <c r="A582" s="34" t="str">
        <f t="shared" si="9"/>
        <v/>
      </c>
    </row>
    <row r="583" spans="1:1" ht="30" customHeight="1" x14ac:dyDescent="0.2">
      <c r="A583" s="34" t="str">
        <f t="shared" si="9"/>
        <v/>
      </c>
    </row>
    <row r="584" spans="1:1" ht="30" customHeight="1" x14ac:dyDescent="0.2">
      <c r="A584" s="34" t="str">
        <f t="shared" si="9"/>
        <v/>
      </c>
    </row>
    <row r="585" spans="1:1" ht="30" customHeight="1" x14ac:dyDescent="0.2">
      <c r="A585" s="34" t="str">
        <f t="shared" si="9"/>
        <v/>
      </c>
    </row>
    <row r="586" spans="1:1" ht="30" customHeight="1" x14ac:dyDescent="0.2">
      <c r="A586" s="34" t="str">
        <f t="shared" si="9"/>
        <v/>
      </c>
    </row>
    <row r="587" spans="1:1" ht="30" customHeight="1" x14ac:dyDescent="0.2">
      <c r="A587" s="34" t="str">
        <f t="shared" si="9"/>
        <v/>
      </c>
    </row>
    <row r="588" spans="1:1" ht="30" customHeight="1" x14ac:dyDescent="0.2">
      <c r="A588" s="34" t="str">
        <f t="shared" si="9"/>
        <v/>
      </c>
    </row>
    <row r="589" spans="1:1" ht="30" customHeight="1" x14ac:dyDescent="0.2">
      <c r="A589" s="34" t="str">
        <f t="shared" si="9"/>
        <v/>
      </c>
    </row>
    <row r="590" spans="1:1" ht="30" customHeight="1" x14ac:dyDescent="0.2">
      <c r="A590" s="34" t="str">
        <f t="shared" si="9"/>
        <v/>
      </c>
    </row>
    <row r="591" spans="1:1" ht="30" customHeight="1" x14ac:dyDescent="0.2">
      <c r="A591" s="34" t="str">
        <f t="shared" si="9"/>
        <v/>
      </c>
    </row>
    <row r="592" spans="1:1" ht="30" customHeight="1" x14ac:dyDescent="0.2">
      <c r="A592" s="34" t="str">
        <f t="shared" si="9"/>
        <v/>
      </c>
    </row>
    <row r="593" spans="1:1" ht="30" customHeight="1" x14ac:dyDescent="0.2">
      <c r="A593" s="34" t="str">
        <f t="shared" si="9"/>
        <v/>
      </c>
    </row>
    <row r="594" spans="1:1" ht="30" customHeight="1" x14ac:dyDescent="0.2">
      <c r="A594" s="34" t="str">
        <f t="shared" si="9"/>
        <v/>
      </c>
    </row>
    <row r="595" spans="1:1" ht="30" customHeight="1" x14ac:dyDescent="0.2">
      <c r="A595" s="34" t="str">
        <f t="shared" si="9"/>
        <v/>
      </c>
    </row>
    <row r="596" spans="1:1" ht="30" customHeight="1" x14ac:dyDescent="0.2">
      <c r="A596" s="34" t="str">
        <f t="shared" si="9"/>
        <v/>
      </c>
    </row>
    <row r="597" spans="1:1" ht="30" customHeight="1" x14ac:dyDescent="0.2">
      <c r="A597" s="34" t="str">
        <f t="shared" si="9"/>
        <v/>
      </c>
    </row>
    <row r="598" spans="1:1" ht="30" customHeight="1" x14ac:dyDescent="0.2">
      <c r="A598" s="34" t="str">
        <f t="shared" si="9"/>
        <v/>
      </c>
    </row>
    <row r="599" spans="1:1" ht="30" customHeight="1" x14ac:dyDescent="0.2">
      <c r="A599" s="34" t="str">
        <f t="shared" si="9"/>
        <v/>
      </c>
    </row>
    <row r="600" spans="1:1" ht="30" customHeight="1" x14ac:dyDescent="0.2">
      <c r="A600" s="34" t="str">
        <f t="shared" si="9"/>
        <v/>
      </c>
    </row>
    <row r="601" spans="1:1" ht="30" customHeight="1" x14ac:dyDescent="0.2">
      <c r="A601" s="34" t="str">
        <f t="shared" si="9"/>
        <v/>
      </c>
    </row>
    <row r="602" spans="1:1" ht="30" customHeight="1" x14ac:dyDescent="0.2">
      <c r="A602" s="34" t="str">
        <f t="shared" si="9"/>
        <v/>
      </c>
    </row>
    <row r="603" spans="1:1" ht="30" customHeight="1" x14ac:dyDescent="0.2">
      <c r="A603" s="34" t="str">
        <f t="shared" si="9"/>
        <v/>
      </c>
    </row>
    <row r="604" spans="1:1" ht="30" customHeight="1" x14ac:dyDescent="0.2">
      <c r="A604" s="34" t="str">
        <f t="shared" si="9"/>
        <v/>
      </c>
    </row>
    <row r="605" spans="1:1" ht="30" customHeight="1" x14ac:dyDescent="0.2">
      <c r="A605" s="34" t="str">
        <f t="shared" si="9"/>
        <v/>
      </c>
    </row>
    <row r="606" spans="1:1" ht="30" customHeight="1" x14ac:dyDescent="0.2">
      <c r="A606" s="34" t="str">
        <f t="shared" si="9"/>
        <v/>
      </c>
    </row>
    <row r="607" spans="1:1" ht="30" customHeight="1" x14ac:dyDescent="0.2">
      <c r="A607" s="34" t="str">
        <f t="shared" si="9"/>
        <v/>
      </c>
    </row>
    <row r="608" spans="1:1" ht="30" customHeight="1" x14ac:dyDescent="0.2">
      <c r="A608" s="34" t="str">
        <f t="shared" si="9"/>
        <v/>
      </c>
    </row>
    <row r="609" spans="1:1" ht="30" customHeight="1" x14ac:dyDescent="0.2">
      <c r="A609" s="34" t="str">
        <f t="shared" si="9"/>
        <v/>
      </c>
    </row>
    <row r="610" spans="1:1" ht="30" customHeight="1" x14ac:dyDescent="0.2">
      <c r="A610" s="34" t="str">
        <f t="shared" si="9"/>
        <v/>
      </c>
    </row>
    <row r="611" spans="1:1" ht="30" customHeight="1" x14ac:dyDescent="0.2">
      <c r="A611" s="34" t="str">
        <f t="shared" si="9"/>
        <v/>
      </c>
    </row>
    <row r="612" spans="1:1" ht="30" customHeight="1" x14ac:dyDescent="0.2">
      <c r="A612" s="34" t="str">
        <f t="shared" si="9"/>
        <v/>
      </c>
    </row>
    <row r="613" spans="1:1" ht="30" customHeight="1" x14ac:dyDescent="0.2">
      <c r="A613" s="34" t="str">
        <f t="shared" si="9"/>
        <v/>
      </c>
    </row>
    <row r="614" spans="1:1" ht="30" customHeight="1" x14ac:dyDescent="0.2">
      <c r="A614" s="34" t="str">
        <f t="shared" si="9"/>
        <v/>
      </c>
    </row>
    <row r="615" spans="1:1" ht="30" customHeight="1" x14ac:dyDescent="0.2">
      <c r="A615" s="34" t="str">
        <f t="shared" si="9"/>
        <v/>
      </c>
    </row>
    <row r="616" spans="1:1" ht="30" customHeight="1" x14ac:dyDescent="0.2">
      <c r="A616" s="34" t="str">
        <f t="shared" si="9"/>
        <v/>
      </c>
    </row>
    <row r="617" spans="1:1" ht="30" customHeight="1" x14ac:dyDescent="0.2">
      <c r="A617" s="34" t="str">
        <f t="shared" si="9"/>
        <v/>
      </c>
    </row>
    <row r="618" spans="1:1" ht="30" customHeight="1" x14ac:dyDescent="0.2">
      <c r="A618" s="34" t="str">
        <f t="shared" si="9"/>
        <v/>
      </c>
    </row>
    <row r="619" spans="1:1" ht="30" customHeight="1" x14ac:dyDescent="0.2">
      <c r="A619" s="34" t="str">
        <f t="shared" si="9"/>
        <v/>
      </c>
    </row>
    <row r="620" spans="1:1" ht="30" customHeight="1" x14ac:dyDescent="0.2">
      <c r="A620" s="34" t="str">
        <f t="shared" si="9"/>
        <v/>
      </c>
    </row>
    <row r="621" spans="1:1" ht="30" customHeight="1" x14ac:dyDescent="0.2">
      <c r="A621" s="34" t="str">
        <f t="shared" si="9"/>
        <v/>
      </c>
    </row>
    <row r="622" spans="1:1" ht="30" customHeight="1" x14ac:dyDescent="0.2">
      <c r="A622" s="34" t="str">
        <f t="shared" si="9"/>
        <v/>
      </c>
    </row>
    <row r="623" spans="1:1" ht="30" customHeight="1" x14ac:dyDescent="0.2">
      <c r="A623" s="34" t="str">
        <f t="shared" si="9"/>
        <v/>
      </c>
    </row>
    <row r="624" spans="1:1" ht="30" customHeight="1" x14ac:dyDescent="0.2">
      <c r="A624" s="34" t="str">
        <f t="shared" si="9"/>
        <v/>
      </c>
    </row>
    <row r="625" spans="1:1" ht="30" customHeight="1" x14ac:dyDescent="0.2">
      <c r="A625" s="34" t="str">
        <f t="shared" si="9"/>
        <v/>
      </c>
    </row>
    <row r="626" spans="1:1" ht="30" customHeight="1" x14ac:dyDescent="0.2">
      <c r="A626" s="34" t="str">
        <f t="shared" si="9"/>
        <v/>
      </c>
    </row>
    <row r="627" spans="1:1" ht="30" customHeight="1" x14ac:dyDescent="0.2">
      <c r="A627" s="34" t="str">
        <f t="shared" si="9"/>
        <v/>
      </c>
    </row>
    <row r="628" spans="1:1" ht="30" customHeight="1" x14ac:dyDescent="0.2">
      <c r="A628" s="34" t="str">
        <f t="shared" si="9"/>
        <v/>
      </c>
    </row>
    <row r="629" spans="1:1" ht="30" customHeight="1" x14ac:dyDescent="0.2">
      <c r="A629" s="34" t="str">
        <f t="shared" si="9"/>
        <v/>
      </c>
    </row>
    <row r="630" spans="1:1" ht="30" customHeight="1" x14ac:dyDescent="0.2">
      <c r="A630" s="34" t="str">
        <f t="shared" si="9"/>
        <v/>
      </c>
    </row>
    <row r="631" spans="1:1" ht="30" customHeight="1" x14ac:dyDescent="0.2">
      <c r="A631" s="34" t="str">
        <f t="shared" si="9"/>
        <v/>
      </c>
    </row>
    <row r="632" spans="1:1" ht="30" customHeight="1" x14ac:dyDescent="0.2">
      <c r="A632" s="34" t="str">
        <f t="shared" si="9"/>
        <v/>
      </c>
    </row>
    <row r="633" spans="1:1" ht="30" customHeight="1" x14ac:dyDescent="0.2">
      <c r="A633" s="34" t="str">
        <f t="shared" si="9"/>
        <v/>
      </c>
    </row>
    <row r="634" spans="1:1" ht="30" customHeight="1" x14ac:dyDescent="0.2">
      <c r="A634" s="34" t="str">
        <f t="shared" si="9"/>
        <v/>
      </c>
    </row>
    <row r="635" spans="1:1" ht="30" customHeight="1" x14ac:dyDescent="0.2">
      <c r="A635" s="34" t="str">
        <f t="shared" si="9"/>
        <v/>
      </c>
    </row>
    <row r="636" spans="1:1" ht="30" customHeight="1" x14ac:dyDescent="0.2">
      <c r="A636" s="34" t="str">
        <f t="shared" si="9"/>
        <v/>
      </c>
    </row>
    <row r="637" spans="1:1" ht="30" customHeight="1" x14ac:dyDescent="0.2">
      <c r="A637" s="34" t="str">
        <f t="shared" si="9"/>
        <v/>
      </c>
    </row>
    <row r="638" spans="1:1" ht="30" customHeight="1" x14ac:dyDescent="0.2">
      <c r="A638" s="34" t="str">
        <f t="shared" si="9"/>
        <v/>
      </c>
    </row>
    <row r="639" spans="1:1" ht="30" customHeight="1" x14ac:dyDescent="0.2">
      <c r="A639" s="34" t="str">
        <f t="shared" si="9"/>
        <v/>
      </c>
    </row>
    <row r="640" spans="1:1" ht="30" customHeight="1" x14ac:dyDescent="0.2">
      <c r="A640" s="34" t="str">
        <f t="shared" si="9"/>
        <v/>
      </c>
    </row>
    <row r="641" spans="1:1" ht="30" customHeight="1" x14ac:dyDescent="0.2">
      <c r="A641" s="34" t="str">
        <f t="shared" si="9"/>
        <v/>
      </c>
    </row>
    <row r="642" spans="1:1" ht="30" customHeight="1" x14ac:dyDescent="0.2">
      <c r="A642" s="34" t="str">
        <f t="shared" si="9"/>
        <v/>
      </c>
    </row>
    <row r="643" spans="1:1" ht="30" customHeight="1" x14ac:dyDescent="0.2">
      <c r="A643" s="34" t="str">
        <f t="shared" ref="A643:A706" si="10">IF(AND(B642&lt;&gt;"",B643=""),$A$1&amp;"---&gt;","")</f>
        <v/>
      </c>
    </row>
    <row r="644" spans="1:1" ht="30" customHeight="1" x14ac:dyDescent="0.2">
      <c r="A644" s="34" t="str">
        <f t="shared" si="10"/>
        <v/>
      </c>
    </row>
    <row r="645" spans="1:1" ht="30" customHeight="1" x14ac:dyDescent="0.2">
      <c r="A645" s="34" t="str">
        <f t="shared" si="10"/>
        <v/>
      </c>
    </row>
    <row r="646" spans="1:1" ht="30" customHeight="1" x14ac:dyDescent="0.2">
      <c r="A646" s="34" t="str">
        <f t="shared" si="10"/>
        <v/>
      </c>
    </row>
    <row r="647" spans="1:1" ht="30" customHeight="1" x14ac:dyDescent="0.2">
      <c r="A647" s="34" t="str">
        <f t="shared" si="10"/>
        <v/>
      </c>
    </row>
    <row r="648" spans="1:1" ht="30" customHeight="1" x14ac:dyDescent="0.2">
      <c r="A648" s="34" t="str">
        <f t="shared" si="10"/>
        <v/>
      </c>
    </row>
    <row r="649" spans="1:1" ht="30" customHeight="1" x14ac:dyDescent="0.2">
      <c r="A649" s="34" t="str">
        <f t="shared" si="10"/>
        <v/>
      </c>
    </row>
    <row r="650" spans="1:1" ht="30" customHeight="1" x14ac:dyDescent="0.2">
      <c r="A650" s="34" t="str">
        <f t="shared" si="10"/>
        <v/>
      </c>
    </row>
    <row r="651" spans="1:1" ht="30" customHeight="1" x14ac:dyDescent="0.2">
      <c r="A651" s="34" t="str">
        <f t="shared" si="10"/>
        <v/>
      </c>
    </row>
    <row r="652" spans="1:1" ht="30" customHeight="1" x14ac:dyDescent="0.2">
      <c r="A652" s="34" t="str">
        <f t="shared" si="10"/>
        <v/>
      </c>
    </row>
    <row r="653" spans="1:1" ht="30" customHeight="1" x14ac:dyDescent="0.2">
      <c r="A653" s="34" t="str">
        <f t="shared" si="10"/>
        <v/>
      </c>
    </row>
    <row r="654" spans="1:1" ht="30" customHeight="1" x14ac:dyDescent="0.2">
      <c r="A654" s="34" t="str">
        <f t="shared" si="10"/>
        <v/>
      </c>
    </row>
    <row r="655" spans="1:1" ht="30" customHeight="1" x14ac:dyDescent="0.2">
      <c r="A655" s="34" t="str">
        <f t="shared" si="10"/>
        <v/>
      </c>
    </row>
    <row r="656" spans="1:1" ht="30" customHeight="1" x14ac:dyDescent="0.2">
      <c r="A656" s="34" t="str">
        <f t="shared" si="10"/>
        <v/>
      </c>
    </row>
    <row r="657" spans="1:1" ht="30" customHeight="1" x14ac:dyDescent="0.2">
      <c r="A657" s="34" t="str">
        <f t="shared" si="10"/>
        <v/>
      </c>
    </row>
    <row r="658" spans="1:1" ht="30" customHeight="1" x14ac:dyDescent="0.2">
      <c r="A658" s="34" t="str">
        <f t="shared" si="10"/>
        <v/>
      </c>
    </row>
    <row r="659" spans="1:1" ht="30" customHeight="1" x14ac:dyDescent="0.2">
      <c r="A659" s="34" t="str">
        <f t="shared" si="10"/>
        <v/>
      </c>
    </row>
    <row r="660" spans="1:1" ht="30" customHeight="1" x14ac:dyDescent="0.2">
      <c r="A660" s="34" t="str">
        <f t="shared" si="10"/>
        <v/>
      </c>
    </row>
    <row r="661" spans="1:1" ht="30" customHeight="1" x14ac:dyDescent="0.2">
      <c r="A661" s="34" t="str">
        <f t="shared" si="10"/>
        <v/>
      </c>
    </row>
    <row r="662" spans="1:1" ht="30" customHeight="1" x14ac:dyDescent="0.2">
      <c r="A662" s="34" t="str">
        <f t="shared" si="10"/>
        <v/>
      </c>
    </row>
    <row r="663" spans="1:1" ht="30" customHeight="1" x14ac:dyDescent="0.2">
      <c r="A663" s="34" t="str">
        <f t="shared" si="10"/>
        <v/>
      </c>
    </row>
    <row r="664" spans="1:1" ht="30" customHeight="1" x14ac:dyDescent="0.2">
      <c r="A664" s="34" t="str">
        <f t="shared" si="10"/>
        <v/>
      </c>
    </row>
    <row r="665" spans="1:1" ht="30" customHeight="1" x14ac:dyDescent="0.2">
      <c r="A665" s="34" t="str">
        <f t="shared" si="10"/>
        <v/>
      </c>
    </row>
    <row r="666" spans="1:1" ht="30" customHeight="1" x14ac:dyDescent="0.2">
      <c r="A666" s="34" t="str">
        <f t="shared" si="10"/>
        <v/>
      </c>
    </row>
    <row r="667" spans="1:1" ht="30" customHeight="1" x14ac:dyDescent="0.2">
      <c r="A667" s="34" t="str">
        <f t="shared" si="10"/>
        <v/>
      </c>
    </row>
    <row r="668" spans="1:1" ht="30" customHeight="1" x14ac:dyDescent="0.2">
      <c r="A668" s="34" t="str">
        <f t="shared" si="10"/>
        <v/>
      </c>
    </row>
    <row r="669" spans="1:1" ht="30" customHeight="1" x14ac:dyDescent="0.2">
      <c r="A669" s="34" t="str">
        <f t="shared" si="10"/>
        <v/>
      </c>
    </row>
    <row r="670" spans="1:1" ht="30" customHeight="1" x14ac:dyDescent="0.2">
      <c r="A670" s="34" t="str">
        <f t="shared" si="10"/>
        <v/>
      </c>
    </row>
    <row r="671" spans="1:1" ht="30" customHeight="1" x14ac:dyDescent="0.2">
      <c r="A671" s="34" t="str">
        <f t="shared" si="10"/>
        <v/>
      </c>
    </row>
    <row r="672" spans="1:1" ht="30" customHeight="1" x14ac:dyDescent="0.2">
      <c r="A672" s="34" t="str">
        <f t="shared" si="10"/>
        <v/>
      </c>
    </row>
    <row r="673" spans="1:1" ht="30" customHeight="1" x14ac:dyDescent="0.2">
      <c r="A673" s="34" t="str">
        <f t="shared" si="10"/>
        <v/>
      </c>
    </row>
    <row r="674" spans="1:1" ht="30" customHeight="1" x14ac:dyDescent="0.2">
      <c r="A674" s="34" t="str">
        <f t="shared" si="10"/>
        <v/>
      </c>
    </row>
    <row r="675" spans="1:1" ht="30" customHeight="1" x14ac:dyDescent="0.2">
      <c r="A675" s="34" t="str">
        <f t="shared" si="10"/>
        <v/>
      </c>
    </row>
    <row r="676" spans="1:1" ht="30" customHeight="1" x14ac:dyDescent="0.2">
      <c r="A676" s="34" t="str">
        <f t="shared" si="10"/>
        <v/>
      </c>
    </row>
    <row r="677" spans="1:1" ht="30" customHeight="1" x14ac:dyDescent="0.2">
      <c r="A677" s="34" t="str">
        <f t="shared" si="10"/>
        <v/>
      </c>
    </row>
    <row r="678" spans="1:1" ht="30" customHeight="1" x14ac:dyDescent="0.2">
      <c r="A678" s="34" t="str">
        <f t="shared" si="10"/>
        <v/>
      </c>
    </row>
    <row r="679" spans="1:1" ht="30" customHeight="1" x14ac:dyDescent="0.2">
      <c r="A679" s="34" t="str">
        <f t="shared" si="10"/>
        <v/>
      </c>
    </row>
    <row r="680" spans="1:1" ht="30" customHeight="1" x14ac:dyDescent="0.2">
      <c r="A680" s="34" t="str">
        <f t="shared" si="10"/>
        <v/>
      </c>
    </row>
    <row r="681" spans="1:1" ht="30" customHeight="1" x14ac:dyDescent="0.2">
      <c r="A681" s="34" t="str">
        <f t="shared" si="10"/>
        <v/>
      </c>
    </row>
    <row r="682" spans="1:1" ht="30" customHeight="1" x14ac:dyDescent="0.2">
      <c r="A682" s="34" t="str">
        <f t="shared" si="10"/>
        <v/>
      </c>
    </row>
    <row r="683" spans="1:1" ht="30" customHeight="1" x14ac:dyDescent="0.2">
      <c r="A683" s="34" t="str">
        <f t="shared" si="10"/>
        <v/>
      </c>
    </row>
    <row r="684" spans="1:1" ht="30" customHeight="1" x14ac:dyDescent="0.2">
      <c r="A684" s="34" t="str">
        <f t="shared" si="10"/>
        <v/>
      </c>
    </row>
    <row r="685" spans="1:1" ht="30" customHeight="1" x14ac:dyDescent="0.2">
      <c r="A685" s="34" t="str">
        <f t="shared" si="10"/>
        <v/>
      </c>
    </row>
    <row r="686" spans="1:1" ht="30" customHeight="1" x14ac:dyDescent="0.2">
      <c r="A686" s="34" t="str">
        <f t="shared" si="10"/>
        <v/>
      </c>
    </row>
    <row r="687" spans="1:1" ht="30" customHeight="1" x14ac:dyDescent="0.2">
      <c r="A687" s="34" t="str">
        <f t="shared" si="10"/>
        <v/>
      </c>
    </row>
    <row r="688" spans="1:1" ht="30" customHeight="1" x14ac:dyDescent="0.2">
      <c r="A688" s="34" t="str">
        <f t="shared" si="10"/>
        <v/>
      </c>
    </row>
    <row r="689" spans="1:1" ht="30" customHeight="1" x14ac:dyDescent="0.2">
      <c r="A689" s="34" t="str">
        <f t="shared" si="10"/>
        <v/>
      </c>
    </row>
    <row r="690" spans="1:1" ht="30" customHeight="1" x14ac:dyDescent="0.2">
      <c r="A690" s="34" t="str">
        <f t="shared" si="10"/>
        <v/>
      </c>
    </row>
    <row r="691" spans="1:1" ht="30" customHeight="1" x14ac:dyDescent="0.2">
      <c r="A691" s="34" t="str">
        <f t="shared" si="10"/>
        <v/>
      </c>
    </row>
    <row r="692" spans="1:1" ht="30" customHeight="1" x14ac:dyDescent="0.2">
      <c r="A692" s="34" t="str">
        <f t="shared" si="10"/>
        <v/>
      </c>
    </row>
    <row r="693" spans="1:1" ht="30" customHeight="1" x14ac:dyDescent="0.2">
      <c r="A693" s="34" t="str">
        <f t="shared" si="10"/>
        <v/>
      </c>
    </row>
    <row r="694" spans="1:1" ht="30" customHeight="1" x14ac:dyDescent="0.2">
      <c r="A694" s="34" t="str">
        <f t="shared" si="10"/>
        <v/>
      </c>
    </row>
    <row r="695" spans="1:1" ht="30" customHeight="1" x14ac:dyDescent="0.2">
      <c r="A695" s="34" t="str">
        <f t="shared" si="10"/>
        <v/>
      </c>
    </row>
    <row r="696" spans="1:1" ht="30" customHeight="1" x14ac:dyDescent="0.2">
      <c r="A696" s="34" t="str">
        <f t="shared" si="10"/>
        <v/>
      </c>
    </row>
    <row r="697" spans="1:1" ht="30" customHeight="1" x14ac:dyDescent="0.2">
      <c r="A697" s="34" t="str">
        <f t="shared" si="10"/>
        <v/>
      </c>
    </row>
    <row r="698" spans="1:1" ht="30" customHeight="1" x14ac:dyDescent="0.2">
      <c r="A698" s="34" t="str">
        <f t="shared" si="10"/>
        <v/>
      </c>
    </row>
    <row r="699" spans="1:1" ht="30" customHeight="1" x14ac:dyDescent="0.2">
      <c r="A699" s="34" t="str">
        <f t="shared" si="10"/>
        <v/>
      </c>
    </row>
    <row r="700" spans="1:1" ht="30" customHeight="1" x14ac:dyDescent="0.2">
      <c r="A700" s="34" t="str">
        <f t="shared" si="10"/>
        <v/>
      </c>
    </row>
    <row r="701" spans="1:1" ht="30" customHeight="1" x14ac:dyDescent="0.2">
      <c r="A701" s="34" t="str">
        <f t="shared" si="10"/>
        <v/>
      </c>
    </row>
    <row r="702" spans="1:1" ht="30" customHeight="1" x14ac:dyDescent="0.2">
      <c r="A702" s="34" t="str">
        <f t="shared" si="10"/>
        <v/>
      </c>
    </row>
    <row r="703" spans="1:1" ht="30" customHeight="1" x14ac:dyDescent="0.2">
      <c r="A703" s="34" t="str">
        <f t="shared" si="10"/>
        <v/>
      </c>
    </row>
    <row r="704" spans="1:1" ht="30" customHeight="1" x14ac:dyDescent="0.2">
      <c r="A704" s="34" t="str">
        <f t="shared" si="10"/>
        <v/>
      </c>
    </row>
    <row r="705" spans="1:1" ht="30" customHeight="1" x14ac:dyDescent="0.2">
      <c r="A705" s="34" t="str">
        <f t="shared" si="10"/>
        <v/>
      </c>
    </row>
    <row r="706" spans="1:1" ht="30" customHeight="1" x14ac:dyDescent="0.2">
      <c r="A706" s="34" t="str">
        <f t="shared" si="10"/>
        <v/>
      </c>
    </row>
    <row r="707" spans="1:1" ht="30" customHeight="1" x14ac:dyDescent="0.2">
      <c r="A707" s="34" t="str">
        <f t="shared" ref="A707:A770" si="11">IF(AND(B706&lt;&gt;"",B707=""),$A$1&amp;"---&gt;","")</f>
        <v/>
      </c>
    </row>
    <row r="708" spans="1:1" ht="30" customHeight="1" x14ac:dyDescent="0.2">
      <c r="A708" s="34" t="str">
        <f t="shared" si="11"/>
        <v/>
      </c>
    </row>
    <row r="709" spans="1:1" ht="30" customHeight="1" x14ac:dyDescent="0.2">
      <c r="A709" s="34" t="str">
        <f t="shared" si="11"/>
        <v/>
      </c>
    </row>
    <row r="710" spans="1:1" ht="30" customHeight="1" x14ac:dyDescent="0.2">
      <c r="A710" s="34" t="str">
        <f t="shared" si="11"/>
        <v/>
      </c>
    </row>
    <row r="711" spans="1:1" ht="30" customHeight="1" x14ac:dyDescent="0.2">
      <c r="A711" s="34" t="str">
        <f t="shared" si="11"/>
        <v/>
      </c>
    </row>
    <row r="712" spans="1:1" ht="30" customHeight="1" x14ac:dyDescent="0.2">
      <c r="A712" s="34" t="str">
        <f t="shared" si="11"/>
        <v/>
      </c>
    </row>
    <row r="713" spans="1:1" ht="30" customHeight="1" x14ac:dyDescent="0.2">
      <c r="A713" s="34" t="str">
        <f t="shared" si="11"/>
        <v/>
      </c>
    </row>
    <row r="714" spans="1:1" ht="30" customHeight="1" x14ac:dyDescent="0.2">
      <c r="A714" s="34" t="str">
        <f t="shared" si="11"/>
        <v/>
      </c>
    </row>
    <row r="715" spans="1:1" ht="30" customHeight="1" x14ac:dyDescent="0.2">
      <c r="A715" s="34" t="str">
        <f t="shared" si="11"/>
        <v/>
      </c>
    </row>
    <row r="716" spans="1:1" ht="30" customHeight="1" x14ac:dyDescent="0.2">
      <c r="A716" s="34" t="str">
        <f t="shared" si="11"/>
        <v/>
      </c>
    </row>
    <row r="717" spans="1:1" ht="30" customHeight="1" x14ac:dyDescent="0.2">
      <c r="A717" s="34" t="str">
        <f t="shared" si="11"/>
        <v/>
      </c>
    </row>
    <row r="718" spans="1:1" ht="30" customHeight="1" x14ac:dyDescent="0.2">
      <c r="A718" s="34" t="str">
        <f t="shared" si="11"/>
        <v/>
      </c>
    </row>
    <row r="719" spans="1:1" ht="30" customHeight="1" x14ac:dyDescent="0.2">
      <c r="A719" s="34" t="str">
        <f t="shared" si="11"/>
        <v/>
      </c>
    </row>
    <row r="720" spans="1:1" ht="30" customHeight="1" x14ac:dyDescent="0.2">
      <c r="A720" s="34" t="str">
        <f t="shared" si="11"/>
        <v/>
      </c>
    </row>
    <row r="721" spans="1:1" ht="30" customHeight="1" x14ac:dyDescent="0.2">
      <c r="A721" s="34" t="str">
        <f t="shared" si="11"/>
        <v/>
      </c>
    </row>
    <row r="722" spans="1:1" ht="30" customHeight="1" x14ac:dyDescent="0.2">
      <c r="A722" s="34" t="str">
        <f t="shared" si="11"/>
        <v/>
      </c>
    </row>
    <row r="723" spans="1:1" ht="30" customHeight="1" x14ac:dyDescent="0.2">
      <c r="A723" s="34" t="str">
        <f t="shared" si="11"/>
        <v/>
      </c>
    </row>
    <row r="724" spans="1:1" ht="30" customHeight="1" x14ac:dyDescent="0.2">
      <c r="A724" s="34" t="str">
        <f t="shared" si="11"/>
        <v/>
      </c>
    </row>
    <row r="725" spans="1:1" ht="30" customHeight="1" x14ac:dyDescent="0.2">
      <c r="A725" s="34" t="str">
        <f t="shared" si="11"/>
        <v/>
      </c>
    </row>
    <row r="726" spans="1:1" ht="30" customHeight="1" x14ac:dyDescent="0.2">
      <c r="A726" s="34" t="str">
        <f t="shared" si="11"/>
        <v/>
      </c>
    </row>
    <row r="727" spans="1:1" ht="30" customHeight="1" x14ac:dyDescent="0.2">
      <c r="A727" s="34" t="str">
        <f t="shared" si="11"/>
        <v/>
      </c>
    </row>
    <row r="728" spans="1:1" ht="30" customHeight="1" x14ac:dyDescent="0.2">
      <c r="A728" s="34" t="str">
        <f t="shared" si="11"/>
        <v/>
      </c>
    </row>
    <row r="729" spans="1:1" ht="30" customHeight="1" x14ac:dyDescent="0.2">
      <c r="A729" s="34" t="str">
        <f t="shared" si="11"/>
        <v/>
      </c>
    </row>
    <row r="730" spans="1:1" ht="30" customHeight="1" x14ac:dyDescent="0.2">
      <c r="A730" s="34" t="str">
        <f t="shared" si="11"/>
        <v/>
      </c>
    </row>
    <row r="731" spans="1:1" ht="30" customHeight="1" x14ac:dyDescent="0.2">
      <c r="A731" s="34" t="str">
        <f t="shared" si="11"/>
        <v/>
      </c>
    </row>
    <row r="732" spans="1:1" ht="30" customHeight="1" x14ac:dyDescent="0.2">
      <c r="A732" s="34" t="str">
        <f t="shared" si="11"/>
        <v/>
      </c>
    </row>
    <row r="733" spans="1:1" ht="30" customHeight="1" x14ac:dyDescent="0.2">
      <c r="A733" s="34" t="str">
        <f t="shared" si="11"/>
        <v/>
      </c>
    </row>
    <row r="734" spans="1:1" ht="30" customHeight="1" x14ac:dyDescent="0.2">
      <c r="A734" s="34" t="str">
        <f t="shared" si="11"/>
        <v/>
      </c>
    </row>
    <row r="735" spans="1:1" ht="30" customHeight="1" x14ac:dyDescent="0.2">
      <c r="A735" s="34" t="str">
        <f t="shared" si="11"/>
        <v/>
      </c>
    </row>
    <row r="736" spans="1:1" ht="30" customHeight="1" x14ac:dyDescent="0.2">
      <c r="A736" s="34" t="str">
        <f t="shared" si="11"/>
        <v/>
      </c>
    </row>
    <row r="737" spans="1:1" ht="30" customHeight="1" x14ac:dyDescent="0.2">
      <c r="A737" s="34" t="str">
        <f t="shared" si="11"/>
        <v/>
      </c>
    </row>
    <row r="738" spans="1:1" ht="30" customHeight="1" x14ac:dyDescent="0.2">
      <c r="A738" s="34" t="str">
        <f t="shared" si="11"/>
        <v/>
      </c>
    </row>
    <row r="739" spans="1:1" ht="30" customHeight="1" x14ac:dyDescent="0.2">
      <c r="A739" s="34" t="str">
        <f t="shared" si="11"/>
        <v/>
      </c>
    </row>
    <row r="740" spans="1:1" ht="30" customHeight="1" x14ac:dyDescent="0.2">
      <c r="A740" s="34" t="str">
        <f t="shared" si="11"/>
        <v/>
      </c>
    </row>
    <row r="741" spans="1:1" ht="30" customHeight="1" x14ac:dyDescent="0.2">
      <c r="A741" s="34" t="str">
        <f t="shared" si="11"/>
        <v/>
      </c>
    </row>
    <row r="742" spans="1:1" ht="30" customHeight="1" x14ac:dyDescent="0.2">
      <c r="A742" s="34" t="str">
        <f t="shared" si="11"/>
        <v/>
      </c>
    </row>
    <row r="743" spans="1:1" ht="30" customHeight="1" x14ac:dyDescent="0.2">
      <c r="A743" s="34" t="str">
        <f t="shared" si="11"/>
        <v/>
      </c>
    </row>
    <row r="744" spans="1:1" ht="30" customHeight="1" x14ac:dyDescent="0.2">
      <c r="A744" s="34" t="str">
        <f t="shared" si="11"/>
        <v/>
      </c>
    </row>
    <row r="745" spans="1:1" ht="30" customHeight="1" x14ac:dyDescent="0.2">
      <c r="A745" s="34" t="str">
        <f t="shared" si="11"/>
        <v/>
      </c>
    </row>
    <row r="746" spans="1:1" ht="30" customHeight="1" x14ac:dyDescent="0.2">
      <c r="A746" s="34" t="str">
        <f t="shared" si="11"/>
        <v/>
      </c>
    </row>
    <row r="747" spans="1:1" ht="30" customHeight="1" x14ac:dyDescent="0.2">
      <c r="A747" s="34" t="str">
        <f t="shared" si="11"/>
        <v/>
      </c>
    </row>
    <row r="748" spans="1:1" ht="30" customHeight="1" x14ac:dyDescent="0.2">
      <c r="A748" s="34" t="str">
        <f t="shared" si="11"/>
        <v/>
      </c>
    </row>
    <row r="749" spans="1:1" ht="30" customHeight="1" x14ac:dyDescent="0.2">
      <c r="A749" s="34" t="str">
        <f t="shared" si="11"/>
        <v/>
      </c>
    </row>
    <row r="750" spans="1:1" ht="30" customHeight="1" x14ac:dyDescent="0.2">
      <c r="A750" s="34" t="str">
        <f t="shared" si="11"/>
        <v/>
      </c>
    </row>
    <row r="751" spans="1:1" ht="30" customHeight="1" x14ac:dyDescent="0.2">
      <c r="A751" s="34" t="str">
        <f t="shared" si="11"/>
        <v/>
      </c>
    </row>
    <row r="752" spans="1:1" ht="30" customHeight="1" x14ac:dyDescent="0.2">
      <c r="A752" s="34" t="str">
        <f t="shared" si="11"/>
        <v/>
      </c>
    </row>
    <row r="753" spans="1:1" ht="30" customHeight="1" x14ac:dyDescent="0.2">
      <c r="A753" s="34" t="str">
        <f t="shared" si="11"/>
        <v/>
      </c>
    </row>
    <row r="754" spans="1:1" ht="30" customHeight="1" x14ac:dyDescent="0.2">
      <c r="A754" s="34" t="str">
        <f t="shared" si="11"/>
        <v/>
      </c>
    </row>
    <row r="755" spans="1:1" ht="30" customHeight="1" x14ac:dyDescent="0.2">
      <c r="A755" s="34" t="str">
        <f t="shared" si="11"/>
        <v/>
      </c>
    </row>
    <row r="756" spans="1:1" ht="30" customHeight="1" x14ac:dyDescent="0.2">
      <c r="A756" s="34" t="str">
        <f t="shared" si="11"/>
        <v/>
      </c>
    </row>
    <row r="757" spans="1:1" ht="30" customHeight="1" x14ac:dyDescent="0.2">
      <c r="A757" s="34" t="str">
        <f t="shared" si="11"/>
        <v/>
      </c>
    </row>
    <row r="758" spans="1:1" ht="30" customHeight="1" x14ac:dyDescent="0.2">
      <c r="A758" s="34" t="str">
        <f t="shared" si="11"/>
        <v/>
      </c>
    </row>
    <row r="759" spans="1:1" ht="30" customHeight="1" x14ac:dyDescent="0.2">
      <c r="A759" s="34" t="str">
        <f t="shared" si="11"/>
        <v/>
      </c>
    </row>
    <row r="760" spans="1:1" ht="30" customHeight="1" x14ac:dyDescent="0.2">
      <c r="A760" s="34" t="str">
        <f t="shared" si="11"/>
        <v/>
      </c>
    </row>
    <row r="761" spans="1:1" ht="30" customHeight="1" x14ac:dyDescent="0.2">
      <c r="A761" s="34" t="str">
        <f t="shared" si="11"/>
        <v/>
      </c>
    </row>
    <row r="762" spans="1:1" ht="30" customHeight="1" x14ac:dyDescent="0.2">
      <c r="A762" s="34" t="str">
        <f t="shared" si="11"/>
        <v/>
      </c>
    </row>
    <row r="763" spans="1:1" ht="30" customHeight="1" x14ac:dyDescent="0.2">
      <c r="A763" s="34" t="str">
        <f t="shared" si="11"/>
        <v/>
      </c>
    </row>
    <row r="764" spans="1:1" ht="30" customHeight="1" x14ac:dyDescent="0.2">
      <c r="A764" s="34" t="str">
        <f t="shared" si="11"/>
        <v/>
      </c>
    </row>
    <row r="765" spans="1:1" ht="30" customHeight="1" x14ac:dyDescent="0.2">
      <c r="A765" s="34" t="str">
        <f t="shared" si="11"/>
        <v/>
      </c>
    </row>
    <row r="766" spans="1:1" ht="30" customHeight="1" x14ac:dyDescent="0.2">
      <c r="A766" s="34" t="str">
        <f t="shared" si="11"/>
        <v/>
      </c>
    </row>
    <row r="767" spans="1:1" ht="30" customHeight="1" x14ac:dyDescent="0.2">
      <c r="A767" s="34" t="str">
        <f t="shared" si="11"/>
        <v/>
      </c>
    </row>
    <row r="768" spans="1:1" ht="30" customHeight="1" x14ac:dyDescent="0.2">
      <c r="A768" s="34" t="str">
        <f t="shared" si="11"/>
        <v/>
      </c>
    </row>
    <row r="769" spans="1:1" ht="30" customHeight="1" x14ac:dyDescent="0.2">
      <c r="A769" s="34" t="str">
        <f t="shared" si="11"/>
        <v/>
      </c>
    </row>
    <row r="770" spans="1:1" ht="30" customHeight="1" x14ac:dyDescent="0.2">
      <c r="A770" s="34" t="str">
        <f t="shared" si="11"/>
        <v/>
      </c>
    </row>
    <row r="771" spans="1:1" ht="30" customHeight="1" x14ac:dyDescent="0.2">
      <c r="A771" s="34" t="str">
        <f t="shared" ref="A771:A834" si="12">IF(AND(B770&lt;&gt;"",B771=""),$A$1&amp;"---&gt;","")</f>
        <v/>
      </c>
    </row>
    <row r="772" spans="1:1" ht="30" customHeight="1" x14ac:dyDescent="0.2">
      <c r="A772" s="34" t="str">
        <f t="shared" si="12"/>
        <v/>
      </c>
    </row>
    <row r="773" spans="1:1" ht="30" customHeight="1" x14ac:dyDescent="0.2">
      <c r="A773" s="34" t="str">
        <f t="shared" si="12"/>
        <v/>
      </c>
    </row>
    <row r="774" spans="1:1" ht="30" customHeight="1" x14ac:dyDescent="0.2">
      <c r="A774" s="34" t="str">
        <f t="shared" si="12"/>
        <v/>
      </c>
    </row>
    <row r="775" spans="1:1" ht="30" customHeight="1" x14ac:dyDescent="0.2">
      <c r="A775" s="34" t="str">
        <f t="shared" si="12"/>
        <v/>
      </c>
    </row>
    <row r="776" spans="1:1" ht="30" customHeight="1" x14ac:dyDescent="0.2">
      <c r="A776" s="34" t="str">
        <f t="shared" si="12"/>
        <v/>
      </c>
    </row>
    <row r="777" spans="1:1" ht="30" customHeight="1" x14ac:dyDescent="0.2">
      <c r="A777" s="34" t="str">
        <f t="shared" si="12"/>
        <v/>
      </c>
    </row>
    <row r="778" spans="1:1" ht="30" customHeight="1" x14ac:dyDescent="0.2">
      <c r="A778" s="34" t="str">
        <f t="shared" si="12"/>
        <v/>
      </c>
    </row>
    <row r="779" spans="1:1" ht="30" customHeight="1" x14ac:dyDescent="0.2">
      <c r="A779" s="34" t="str">
        <f t="shared" si="12"/>
        <v/>
      </c>
    </row>
    <row r="780" spans="1:1" ht="30" customHeight="1" x14ac:dyDescent="0.2">
      <c r="A780" s="34" t="str">
        <f t="shared" si="12"/>
        <v/>
      </c>
    </row>
    <row r="781" spans="1:1" ht="30" customHeight="1" x14ac:dyDescent="0.2">
      <c r="A781" s="34" t="str">
        <f t="shared" si="12"/>
        <v/>
      </c>
    </row>
    <row r="782" spans="1:1" ht="30" customHeight="1" x14ac:dyDescent="0.2">
      <c r="A782" s="34" t="str">
        <f t="shared" si="12"/>
        <v/>
      </c>
    </row>
    <row r="783" spans="1:1" ht="30" customHeight="1" x14ac:dyDescent="0.2">
      <c r="A783" s="34" t="str">
        <f t="shared" si="12"/>
        <v/>
      </c>
    </row>
    <row r="784" spans="1:1" ht="30" customHeight="1" x14ac:dyDescent="0.2">
      <c r="A784" s="34" t="str">
        <f t="shared" si="12"/>
        <v/>
      </c>
    </row>
    <row r="785" spans="1:1" ht="30" customHeight="1" x14ac:dyDescent="0.2">
      <c r="A785" s="34" t="str">
        <f t="shared" si="12"/>
        <v/>
      </c>
    </row>
    <row r="786" spans="1:1" ht="30" customHeight="1" x14ac:dyDescent="0.2">
      <c r="A786" s="34" t="str">
        <f t="shared" si="12"/>
        <v/>
      </c>
    </row>
    <row r="787" spans="1:1" ht="30" customHeight="1" x14ac:dyDescent="0.2">
      <c r="A787" s="34" t="str">
        <f t="shared" si="12"/>
        <v/>
      </c>
    </row>
    <row r="788" spans="1:1" ht="30" customHeight="1" x14ac:dyDescent="0.2">
      <c r="A788" s="34" t="str">
        <f t="shared" si="12"/>
        <v/>
      </c>
    </row>
    <row r="789" spans="1:1" ht="30" customHeight="1" x14ac:dyDescent="0.2">
      <c r="A789" s="34" t="str">
        <f t="shared" si="12"/>
        <v/>
      </c>
    </row>
    <row r="790" spans="1:1" ht="30" customHeight="1" x14ac:dyDescent="0.2">
      <c r="A790" s="34" t="str">
        <f t="shared" si="12"/>
        <v/>
      </c>
    </row>
    <row r="791" spans="1:1" ht="30" customHeight="1" x14ac:dyDescent="0.2">
      <c r="A791" s="34" t="str">
        <f t="shared" si="12"/>
        <v/>
      </c>
    </row>
    <row r="792" spans="1:1" ht="30" customHeight="1" x14ac:dyDescent="0.2">
      <c r="A792" s="34" t="str">
        <f t="shared" si="12"/>
        <v/>
      </c>
    </row>
    <row r="793" spans="1:1" ht="30" customHeight="1" x14ac:dyDescent="0.2">
      <c r="A793" s="34" t="str">
        <f t="shared" si="12"/>
        <v/>
      </c>
    </row>
    <row r="794" spans="1:1" ht="30" customHeight="1" x14ac:dyDescent="0.2">
      <c r="A794" s="34" t="str">
        <f t="shared" si="12"/>
        <v/>
      </c>
    </row>
    <row r="795" spans="1:1" ht="30" customHeight="1" x14ac:dyDescent="0.2">
      <c r="A795" s="34" t="str">
        <f t="shared" si="12"/>
        <v/>
      </c>
    </row>
    <row r="796" spans="1:1" ht="30" customHeight="1" x14ac:dyDescent="0.2">
      <c r="A796" s="34" t="str">
        <f t="shared" si="12"/>
        <v/>
      </c>
    </row>
    <row r="797" spans="1:1" ht="30" customHeight="1" x14ac:dyDescent="0.2">
      <c r="A797" s="34" t="str">
        <f t="shared" si="12"/>
        <v/>
      </c>
    </row>
    <row r="798" spans="1:1" ht="30" customHeight="1" x14ac:dyDescent="0.2">
      <c r="A798" s="34" t="str">
        <f t="shared" si="12"/>
        <v/>
      </c>
    </row>
    <row r="799" spans="1:1" ht="30" customHeight="1" x14ac:dyDescent="0.2">
      <c r="A799" s="34" t="str">
        <f t="shared" si="12"/>
        <v/>
      </c>
    </row>
    <row r="800" spans="1:1" ht="30" customHeight="1" x14ac:dyDescent="0.2">
      <c r="A800" s="34" t="str">
        <f t="shared" si="12"/>
        <v/>
      </c>
    </row>
    <row r="801" spans="1:1" ht="30" customHeight="1" x14ac:dyDescent="0.2">
      <c r="A801" s="34" t="str">
        <f t="shared" si="12"/>
        <v/>
      </c>
    </row>
    <row r="802" spans="1:1" ht="30" customHeight="1" x14ac:dyDescent="0.2">
      <c r="A802" s="34" t="str">
        <f t="shared" si="12"/>
        <v/>
      </c>
    </row>
    <row r="803" spans="1:1" ht="30" customHeight="1" x14ac:dyDescent="0.2">
      <c r="A803" s="34" t="str">
        <f t="shared" si="12"/>
        <v/>
      </c>
    </row>
    <row r="804" spans="1:1" ht="30" customHeight="1" x14ac:dyDescent="0.2">
      <c r="A804" s="34" t="str">
        <f t="shared" si="12"/>
        <v/>
      </c>
    </row>
    <row r="805" spans="1:1" ht="30" customHeight="1" x14ac:dyDescent="0.2">
      <c r="A805" s="34" t="str">
        <f t="shared" si="12"/>
        <v/>
      </c>
    </row>
    <row r="806" spans="1:1" ht="30" customHeight="1" x14ac:dyDescent="0.2">
      <c r="A806" s="34" t="str">
        <f t="shared" si="12"/>
        <v/>
      </c>
    </row>
    <row r="807" spans="1:1" ht="30" customHeight="1" x14ac:dyDescent="0.2">
      <c r="A807" s="34" t="str">
        <f t="shared" si="12"/>
        <v/>
      </c>
    </row>
    <row r="808" spans="1:1" ht="30" customHeight="1" x14ac:dyDescent="0.2">
      <c r="A808" s="34" t="str">
        <f t="shared" si="12"/>
        <v/>
      </c>
    </row>
    <row r="809" spans="1:1" ht="30" customHeight="1" x14ac:dyDescent="0.2">
      <c r="A809" s="34" t="str">
        <f t="shared" si="12"/>
        <v/>
      </c>
    </row>
    <row r="810" spans="1:1" ht="30" customHeight="1" x14ac:dyDescent="0.2">
      <c r="A810" s="34" t="str">
        <f t="shared" si="12"/>
        <v/>
      </c>
    </row>
    <row r="811" spans="1:1" ht="30" customHeight="1" x14ac:dyDescent="0.2">
      <c r="A811" s="34" t="str">
        <f t="shared" si="12"/>
        <v/>
      </c>
    </row>
    <row r="812" spans="1:1" ht="30" customHeight="1" x14ac:dyDescent="0.2">
      <c r="A812" s="34" t="str">
        <f t="shared" si="12"/>
        <v/>
      </c>
    </row>
    <row r="813" spans="1:1" ht="30" customHeight="1" x14ac:dyDescent="0.2">
      <c r="A813" s="34" t="str">
        <f t="shared" si="12"/>
        <v/>
      </c>
    </row>
    <row r="814" spans="1:1" ht="30" customHeight="1" x14ac:dyDescent="0.2">
      <c r="A814" s="34" t="str">
        <f t="shared" si="12"/>
        <v/>
      </c>
    </row>
    <row r="815" spans="1:1" ht="30" customHeight="1" x14ac:dyDescent="0.2">
      <c r="A815" s="34" t="str">
        <f t="shared" si="12"/>
        <v/>
      </c>
    </row>
    <row r="816" spans="1:1" ht="30" customHeight="1" x14ac:dyDescent="0.2">
      <c r="A816" s="34" t="str">
        <f t="shared" si="12"/>
        <v/>
      </c>
    </row>
    <row r="817" spans="1:1" ht="30" customHeight="1" x14ac:dyDescent="0.2">
      <c r="A817" s="34" t="str">
        <f t="shared" si="12"/>
        <v/>
      </c>
    </row>
    <row r="818" spans="1:1" ht="30" customHeight="1" x14ac:dyDescent="0.2">
      <c r="A818" s="34" t="str">
        <f t="shared" si="12"/>
        <v/>
      </c>
    </row>
    <row r="819" spans="1:1" ht="30" customHeight="1" x14ac:dyDescent="0.2">
      <c r="A819" s="34" t="str">
        <f t="shared" si="12"/>
        <v/>
      </c>
    </row>
    <row r="820" spans="1:1" ht="30" customHeight="1" x14ac:dyDescent="0.2">
      <c r="A820" s="34" t="str">
        <f t="shared" si="12"/>
        <v/>
      </c>
    </row>
    <row r="821" spans="1:1" ht="30" customHeight="1" x14ac:dyDescent="0.2">
      <c r="A821" s="34" t="str">
        <f t="shared" si="12"/>
        <v/>
      </c>
    </row>
    <row r="822" spans="1:1" ht="30" customHeight="1" x14ac:dyDescent="0.2">
      <c r="A822" s="34" t="str">
        <f t="shared" si="12"/>
        <v/>
      </c>
    </row>
    <row r="823" spans="1:1" ht="30" customHeight="1" x14ac:dyDescent="0.2">
      <c r="A823" s="34" t="str">
        <f t="shared" si="12"/>
        <v/>
      </c>
    </row>
    <row r="824" spans="1:1" ht="30" customHeight="1" x14ac:dyDescent="0.2">
      <c r="A824" s="34" t="str">
        <f t="shared" si="12"/>
        <v/>
      </c>
    </row>
    <row r="825" spans="1:1" ht="30" customHeight="1" x14ac:dyDescent="0.2">
      <c r="A825" s="34" t="str">
        <f t="shared" si="12"/>
        <v/>
      </c>
    </row>
    <row r="826" spans="1:1" ht="30" customHeight="1" x14ac:dyDescent="0.2">
      <c r="A826" s="34" t="str">
        <f t="shared" si="12"/>
        <v/>
      </c>
    </row>
    <row r="827" spans="1:1" ht="30" customHeight="1" x14ac:dyDescent="0.2">
      <c r="A827" s="34" t="str">
        <f t="shared" si="12"/>
        <v/>
      </c>
    </row>
    <row r="828" spans="1:1" ht="30" customHeight="1" x14ac:dyDescent="0.2">
      <c r="A828" s="34" t="str">
        <f t="shared" si="12"/>
        <v/>
      </c>
    </row>
    <row r="829" spans="1:1" ht="30" customHeight="1" x14ac:dyDescent="0.2">
      <c r="A829" s="34" t="str">
        <f t="shared" si="12"/>
        <v/>
      </c>
    </row>
    <row r="830" spans="1:1" ht="30" customHeight="1" x14ac:dyDescent="0.2">
      <c r="A830" s="34" t="str">
        <f t="shared" si="12"/>
        <v/>
      </c>
    </row>
    <row r="831" spans="1:1" ht="30" customHeight="1" x14ac:dyDescent="0.2">
      <c r="A831" s="34" t="str">
        <f t="shared" si="12"/>
        <v/>
      </c>
    </row>
    <row r="832" spans="1:1" ht="30" customHeight="1" x14ac:dyDescent="0.2">
      <c r="A832" s="34" t="str">
        <f t="shared" si="12"/>
        <v/>
      </c>
    </row>
    <row r="833" spans="1:1" ht="30" customHeight="1" x14ac:dyDescent="0.2">
      <c r="A833" s="34" t="str">
        <f t="shared" si="12"/>
        <v/>
      </c>
    </row>
    <row r="834" spans="1:1" ht="30" customHeight="1" x14ac:dyDescent="0.2">
      <c r="A834" s="34" t="str">
        <f t="shared" si="12"/>
        <v/>
      </c>
    </row>
    <row r="835" spans="1:1" ht="30" customHeight="1" x14ac:dyDescent="0.2">
      <c r="A835" s="34" t="str">
        <f t="shared" ref="A835:A898" si="13">IF(AND(B834&lt;&gt;"",B835=""),$A$1&amp;"---&gt;","")</f>
        <v/>
      </c>
    </row>
    <row r="836" spans="1:1" ht="30" customHeight="1" x14ac:dyDescent="0.2">
      <c r="A836" s="34" t="str">
        <f t="shared" si="13"/>
        <v/>
      </c>
    </row>
    <row r="837" spans="1:1" ht="30" customHeight="1" x14ac:dyDescent="0.2">
      <c r="A837" s="34" t="str">
        <f t="shared" si="13"/>
        <v/>
      </c>
    </row>
    <row r="838" spans="1:1" ht="30" customHeight="1" x14ac:dyDescent="0.2">
      <c r="A838" s="34" t="str">
        <f t="shared" si="13"/>
        <v/>
      </c>
    </row>
    <row r="839" spans="1:1" ht="30" customHeight="1" x14ac:dyDescent="0.2">
      <c r="A839" s="34" t="str">
        <f t="shared" si="13"/>
        <v/>
      </c>
    </row>
    <row r="840" spans="1:1" ht="30" customHeight="1" x14ac:dyDescent="0.2">
      <c r="A840" s="34" t="str">
        <f t="shared" si="13"/>
        <v/>
      </c>
    </row>
    <row r="841" spans="1:1" ht="30" customHeight="1" x14ac:dyDescent="0.2">
      <c r="A841" s="34" t="str">
        <f t="shared" si="13"/>
        <v/>
      </c>
    </row>
    <row r="842" spans="1:1" ht="30" customHeight="1" x14ac:dyDescent="0.2">
      <c r="A842" s="34" t="str">
        <f t="shared" si="13"/>
        <v/>
      </c>
    </row>
    <row r="843" spans="1:1" ht="30" customHeight="1" x14ac:dyDescent="0.2">
      <c r="A843" s="34" t="str">
        <f t="shared" si="13"/>
        <v/>
      </c>
    </row>
    <row r="844" spans="1:1" ht="30" customHeight="1" x14ac:dyDescent="0.2">
      <c r="A844" s="34" t="str">
        <f t="shared" si="13"/>
        <v/>
      </c>
    </row>
    <row r="845" spans="1:1" ht="30" customHeight="1" x14ac:dyDescent="0.2">
      <c r="A845" s="34" t="str">
        <f t="shared" si="13"/>
        <v/>
      </c>
    </row>
    <row r="846" spans="1:1" ht="30" customHeight="1" x14ac:dyDescent="0.2">
      <c r="A846" s="34" t="str">
        <f t="shared" si="13"/>
        <v/>
      </c>
    </row>
    <row r="847" spans="1:1" ht="30" customHeight="1" x14ac:dyDescent="0.2">
      <c r="A847" s="34" t="str">
        <f t="shared" si="13"/>
        <v/>
      </c>
    </row>
    <row r="848" spans="1:1" ht="30" customHeight="1" x14ac:dyDescent="0.2">
      <c r="A848" s="34" t="str">
        <f t="shared" si="13"/>
        <v/>
      </c>
    </row>
    <row r="849" spans="1:1" ht="30" customHeight="1" x14ac:dyDescent="0.2">
      <c r="A849" s="34" t="str">
        <f t="shared" si="13"/>
        <v/>
      </c>
    </row>
    <row r="850" spans="1:1" ht="30" customHeight="1" x14ac:dyDescent="0.2">
      <c r="A850" s="34" t="str">
        <f t="shared" si="13"/>
        <v/>
      </c>
    </row>
    <row r="851" spans="1:1" ht="30" customHeight="1" x14ac:dyDescent="0.2">
      <c r="A851" s="34" t="str">
        <f t="shared" si="13"/>
        <v/>
      </c>
    </row>
    <row r="852" spans="1:1" ht="30" customHeight="1" x14ac:dyDescent="0.2">
      <c r="A852" s="34" t="str">
        <f t="shared" si="13"/>
        <v/>
      </c>
    </row>
    <row r="853" spans="1:1" ht="30" customHeight="1" x14ac:dyDescent="0.2">
      <c r="A853" s="34" t="str">
        <f t="shared" si="13"/>
        <v/>
      </c>
    </row>
    <row r="854" spans="1:1" ht="30" customHeight="1" x14ac:dyDescent="0.2">
      <c r="A854" s="34" t="str">
        <f t="shared" si="13"/>
        <v/>
      </c>
    </row>
    <row r="855" spans="1:1" ht="30" customHeight="1" x14ac:dyDescent="0.2">
      <c r="A855" s="34" t="str">
        <f t="shared" si="13"/>
        <v/>
      </c>
    </row>
    <row r="856" spans="1:1" ht="30" customHeight="1" x14ac:dyDescent="0.2">
      <c r="A856" s="34" t="str">
        <f t="shared" si="13"/>
        <v/>
      </c>
    </row>
    <row r="857" spans="1:1" ht="30" customHeight="1" x14ac:dyDescent="0.2">
      <c r="A857" s="34" t="str">
        <f t="shared" si="13"/>
        <v/>
      </c>
    </row>
    <row r="858" spans="1:1" ht="30" customHeight="1" x14ac:dyDescent="0.2">
      <c r="A858" s="34" t="str">
        <f t="shared" si="13"/>
        <v/>
      </c>
    </row>
    <row r="859" spans="1:1" ht="30" customHeight="1" x14ac:dyDescent="0.2">
      <c r="A859" s="34" t="str">
        <f t="shared" si="13"/>
        <v/>
      </c>
    </row>
    <row r="860" spans="1:1" ht="30" customHeight="1" x14ac:dyDescent="0.2">
      <c r="A860" s="34" t="str">
        <f t="shared" si="13"/>
        <v/>
      </c>
    </row>
    <row r="861" spans="1:1" ht="30" customHeight="1" x14ac:dyDescent="0.2">
      <c r="A861" s="34" t="str">
        <f t="shared" si="13"/>
        <v/>
      </c>
    </row>
    <row r="862" spans="1:1" ht="30" customHeight="1" x14ac:dyDescent="0.2">
      <c r="A862" s="34" t="str">
        <f t="shared" si="13"/>
        <v/>
      </c>
    </row>
    <row r="863" spans="1:1" ht="30" customHeight="1" x14ac:dyDescent="0.2">
      <c r="A863" s="34" t="str">
        <f t="shared" si="13"/>
        <v/>
      </c>
    </row>
    <row r="864" spans="1:1" ht="30" customHeight="1" x14ac:dyDescent="0.2">
      <c r="A864" s="34" t="str">
        <f t="shared" si="13"/>
        <v/>
      </c>
    </row>
    <row r="865" spans="1:1" ht="30" customHeight="1" x14ac:dyDescent="0.2">
      <c r="A865" s="34" t="str">
        <f t="shared" si="13"/>
        <v/>
      </c>
    </row>
    <row r="866" spans="1:1" ht="30" customHeight="1" x14ac:dyDescent="0.2">
      <c r="A866" s="34" t="str">
        <f t="shared" si="13"/>
        <v/>
      </c>
    </row>
    <row r="867" spans="1:1" ht="30" customHeight="1" x14ac:dyDescent="0.2">
      <c r="A867" s="34" t="str">
        <f t="shared" si="13"/>
        <v/>
      </c>
    </row>
    <row r="868" spans="1:1" ht="30" customHeight="1" x14ac:dyDescent="0.2">
      <c r="A868" s="34" t="str">
        <f t="shared" si="13"/>
        <v/>
      </c>
    </row>
    <row r="869" spans="1:1" ht="30" customHeight="1" x14ac:dyDescent="0.2">
      <c r="A869" s="34" t="str">
        <f t="shared" si="13"/>
        <v/>
      </c>
    </row>
    <row r="870" spans="1:1" ht="30" customHeight="1" x14ac:dyDescent="0.2">
      <c r="A870" s="34" t="str">
        <f t="shared" si="13"/>
        <v/>
      </c>
    </row>
    <row r="871" spans="1:1" ht="30" customHeight="1" x14ac:dyDescent="0.2">
      <c r="A871" s="34" t="str">
        <f t="shared" si="13"/>
        <v/>
      </c>
    </row>
    <row r="872" spans="1:1" ht="30" customHeight="1" x14ac:dyDescent="0.2">
      <c r="A872" s="34" t="str">
        <f t="shared" si="13"/>
        <v/>
      </c>
    </row>
    <row r="873" spans="1:1" ht="30" customHeight="1" x14ac:dyDescent="0.2">
      <c r="A873" s="34" t="str">
        <f t="shared" si="13"/>
        <v/>
      </c>
    </row>
    <row r="874" spans="1:1" ht="30" customHeight="1" x14ac:dyDescent="0.2">
      <c r="A874" s="34" t="str">
        <f t="shared" si="13"/>
        <v/>
      </c>
    </row>
    <row r="875" spans="1:1" ht="30" customHeight="1" x14ac:dyDescent="0.2">
      <c r="A875" s="34" t="str">
        <f t="shared" si="13"/>
        <v/>
      </c>
    </row>
    <row r="876" spans="1:1" ht="30" customHeight="1" x14ac:dyDescent="0.2">
      <c r="A876" s="34" t="str">
        <f t="shared" si="13"/>
        <v/>
      </c>
    </row>
    <row r="877" spans="1:1" ht="30" customHeight="1" x14ac:dyDescent="0.2">
      <c r="A877" s="34" t="str">
        <f t="shared" si="13"/>
        <v/>
      </c>
    </row>
    <row r="878" spans="1:1" ht="30" customHeight="1" x14ac:dyDescent="0.2">
      <c r="A878" s="34" t="str">
        <f t="shared" si="13"/>
        <v/>
      </c>
    </row>
    <row r="879" spans="1:1" ht="30" customHeight="1" x14ac:dyDescent="0.2">
      <c r="A879" s="34" t="str">
        <f t="shared" si="13"/>
        <v/>
      </c>
    </row>
    <row r="880" spans="1:1" ht="30" customHeight="1" x14ac:dyDescent="0.2">
      <c r="A880" s="34" t="str">
        <f t="shared" si="13"/>
        <v/>
      </c>
    </row>
    <row r="881" spans="1:1" ht="30" customHeight="1" x14ac:dyDescent="0.2">
      <c r="A881" s="34" t="str">
        <f t="shared" si="13"/>
        <v/>
      </c>
    </row>
    <row r="882" spans="1:1" ht="30" customHeight="1" x14ac:dyDescent="0.2">
      <c r="A882" s="34" t="str">
        <f t="shared" si="13"/>
        <v/>
      </c>
    </row>
    <row r="883" spans="1:1" ht="30" customHeight="1" x14ac:dyDescent="0.2">
      <c r="A883" s="34" t="str">
        <f t="shared" si="13"/>
        <v/>
      </c>
    </row>
    <row r="884" spans="1:1" ht="30" customHeight="1" x14ac:dyDescent="0.2">
      <c r="A884" s="34" t="str">
        <f t="shared" si="13"/>
        <v/>
      </c>
    </row>
    <row r="885" spans="1:1" ht="30" customHeight="1" x14ac:dyDescent="0.2">
      <c r="A885" s="34" t="str">
        <f t="shared" si="13"/>
        <v/>
      </c>
    </row>
    <row r="886" spans="1:1" ht="30" customHeight="1" x14ac:dyDescent="0.2">
      <c r="A886" s="34" t="str">
        <f t="shared" si="13"/>
        <v/>
      </c>
    </row>
    <row r="887" spans="1:1" ht="30" customHeight="1" x14ac:dyDescent="0.2">
      <c r="A887" s="34" t="str">
        <f t="shared" si="13"/>
        <v/>
      </c>
    </row>
    <row r="888" spans="1:1" ht="30" customHeight="1" x14ac:dyDescent="0.2">
      <c r="A888" s="34" t="str">
        <f t="shared" si="13"/>
        <v/>
      </c>
    </row>
    <row r="889" spans="1:1" ht="30" customHeight="1" x14ac:dyDescent="0.2">
      <c r="A889" s="34" t="str">
        <f t="shared" si="13"/>
        <v/>
      </c>
    </row>
    <row r="890" spans="1:1" ht="30" customHeight="1" x14ac:dyDescent="0.2">
      <c r="A890" s="34" t="str">
        <f t="shared" si="13"/>
        <v/>
      </c>
    </row>
    <row r="891" spans="1:1" ht="30" customHeight="1" x14ac:dyDescent="0.2">
      <c r="A891" s="34" t="str">
        <f t="shared" si="13"/>
        <v/>
      </c>
    </row>
    <row r="892" spans="1:1" ht="30" customHeight="1" x14ac:dyDescent="0.2">
      <c r="A892" s="34" t="str">
        <f t="shared" si="13"/>
        <v/>
      </c>
    </row>
    <row r="893" spans="1:1" ht="30" customHeight="1" x14ac:dyDescent="0.2">
      <c r="A893" s="34" t="str">
        <f t="shared" si="13"/>
        <v/>
      </c>
    </row>
    <row r="894" spans="1:1" ht="30" customHeight="1" x14ac:dyDescent="0.2">
      <c r="A894" s="34" t="str">
        <f t="shared" si="13"/>
        <v/>
      </c>
    </row>
    <row r="895" spans="1:1" ht="30" customHeight="1" x14ac:dyDescent="0.2">
      <c r="A895" s="34" t="str">
        <f t="shared" si="13"/>
        <v/>
      </c>
    </row>
    <row r="896" spans="1:1" ht="30" customHeight="1" x14ac:dyDescent="0.2">
      <c r="A896" s="34" t="str">
        <f t="shared" si="13"/>
        <v/>
      </c>
    </row>
    <row r="897" spans="1:1" ht="30" customHeight="1" x14ac:dyDescent="0.2">
      <c r="A897" s="34" t="str">
        <f t="shared" si="13"/>
        <v/>
      </c>
    </row>
    <row r="898" spans="1:1" ht="30" customHeight="1" x14ac:dyDescent="0.2">
      <c r="A898" s="34" t="str">
        <f t="shared" si="13"/>
        <v/>
      </c>
    </row>
    <row r="899" spans="1:1" ht="30" customHeight="1" x14ac:dyDescent="0.2">
      <c r="A899" s="34" t="str">
        <f t="shared" ref="A899:A962" si="14">IF(AND(B898&lt;&gt;"",B899=""),$A$1&amp;"---&gt;","")</f>
        <v/>
      </c>
    </row>
    <row r="900" spans="1:1" ht="30" customHeight="1" x14ac:dyDescent="0.2">
      <c r="A900" s="34" t="str">
        <f t="shared" si="14"/>
        <v/>
      </c>
    </row>
    <row r="901" spans="1:1" ht="30" customHeight="1" x14ac:dyDescent="0.2">
      <c r="A901" s="34" t="str">
        <f t="shared" si="14"/>
        <v/>
      </c>
    </row>
    <row r="902" spans="1:1" ht="30" customHeight="1" x14ac:dyDescent="0.2">
      <c r="A902" s="34" t="str">
        <f t="shared" si="14"/>
        <v/>
      </c>
    </row>
    <row r="903" spans="1:1" ht="30" customHeight="1" x14ac:dyDescent="0.2">
      <c r="A903" s="34" t="str">
        <f t="shared" si="14"/>
        <v/>
      </c>
    </row>
    <row r="904" spans="1:1" ht="30" customHeight="1" x14ac:dyDescent="0.2">
      <c r="A904" s="34" t="str">
        <f t="shared" si="14"/>
        <v/>
      </c>
    </row>
    <row r="905" spans="1:1" ht="30" customHeight="1" x14ac:dyDescent="0.2">
      <c r="A905" s="34" t="str">
        <f t="shared" si="14"/>
        <v/>
      </c>
    </row>
    <row r="906" spans="1:1" ht="30" customHeight="1" x14ac:dyDescent="0.2">
      <c r="A906" s="34" t="str">
        <f t="shared" si="14"/>
        <v/>
      </c>
    </row>
    <row r="907" spans="1:1" ht="30" customHeight="1" x14ac:dyDescent="0.2">
      <c r="A907" s="34" t="str">
        <f t="shared" si="14"/>
        <v/>
      </c>
    </row>
    <row r="908" spans="1:1" ht="30" customHeight="1" x14ac:dyDescent="0.2">
      <c r="A908" s="34" t="str">
        <f t="shared" si="14"/>
        <v/>
      </c>
    </row>
    <row r="909" spans="1:1" ht="30" customHeight="1" x14ac:dyDescent="0.2">
      <c r="A909" s="34" t="str">
        <f t="shared" si="14"/>
        <v/>
      </c>
    </row>
    <row r="910" spans="1:1" ht="30" customHeight="1" x14ac:dyDescent="0.2">
      <c r="A910" s="34" t="str">
        <f t="shared" si="14"/>
        <v/>
      </c>
    </row>
    <row r="911" spans="1:1" ht="30" customHeight="1" x14ac:dyDescent="0.2">
      <c r="A911" s="34" t="str">
        <f t="shared" si="14"/>
        <v/>
      </c>
    </row>
    <row r="912" spans="1:1" ht="30" customHeight="1" x14ac:dyDescent="0.2">
      <c r="A912" s="34" t="str">
        <f t="shared" si="14"/>
        <v/>
      </c>
    </row>
    <row r="913" spans="1:1" ht="30" customHeight="1" x14ac:dyDescent="0.2">
      <c r="A913" s="34" t="str">
        <f t="shared" si="14"/>
        <v/>
      </c>
    </row>
    <row r="914" spans="1:1" ht="30" customHeight="1" x14ac:dyDescent="0.2">
      <c r="A914" s="34" t="str">
        <f t="shared" si="14"/>
        <v/>
      </c>
    </row>
    <row r="915" spans="1:1" ht="30" customHeight="1" x14ac:dyDescent="0.2">
      <c r="A915" s="34" t="str">
        <f t="shared" si="14"/>
        <v/>
      </c>
    </row>
    <row r="916" spans="1:1" ht="30" customHeight="1" x14ac:dyDescent="0.2">
      <c r="A916" s="34" t="str">
        <f t="shared" si="14"/>
        <v/>
      </c>
    </row>
    <row r="917" spans="1:1" ht="30" customHeight="1" x14ac:dyDescent="0.2">
      <c r="A917" s="34" t="str">
        <f t="shared" si="14"/>
        <v/>
      </c>
    </row>
    <row r="918" spans="1:1" ht="30" customHeight="1" x14ac:dyDescent="0.2">
      <c r="A918" s="34" t="str">
        <f t="shared" si="14"/>
        <v/>
      </c>
    </row>
    <row r="919" spans="1:1" ht="30" customHeight="1" x14ac:dyDescent="0.2">
      <c r="A919" s="34" t="str">
        <f t="shared" si="14"/>
        <v/>
      </c>
    </row>
    <row r="920" spans="1:1" ht="30" customHeight="1" x14ac:dyDescent="0.2">
      <c r="A920" s="34" t="str">
        <f t="shared" si="14"/>
        <v/>
      </c>
    </row>
    <row r="921" spans="1:1" ht="30" customHeight="1" x14ac:dyDescent="0.2">
      <c r="A921" s="34" t="str">
        <f t="shared" si="14"/>
        <v/>
      </c>
    </row>
    <row r="922" spans="1:1" ht="30" customHeight="1" x14ac:dyDescent="0.2">
      <c r="A922" s="34" t="str">
        <f t="shared" si="14"/>
        <v/>
      </c>
    </row>
    <row r="923" spans="1:1" ht="30" customHeight="1" x14ac:dyDescent="0.2">
      <c r="A923" s="34" t="str">
        <f t="shared" si="14"/>
        <v/>
      </c>
    </row>
    <row r="924" spans="1:1" ht="30" customHeight="1" x14ac:dyDescent="0.2">
      <c r="A924" s="34" t="str">
        <f t="shared" si="14"/>
        <v/>
      </c>
    </row>
    <row r="925" spans="1:1" ht="30" customHeight="1" x14ac:dyDescent="0.2">
      <c r="A925" s="34" t="str">
        <f t="shared" si="14"/>
        <v/>
      </c>
    </row>
    <row r="926" spans="1:1" ht="30" customHeight="1" x14ac:dyDescent="0.2">
      <c r="A926" s="34" t="str">
        <f t="shared" si="14"/>
        <v/>
      </c>
    </row>
    <row r="927" spans="1:1" ht="30" customHeight="1" x14ac:dyDescent="0.2">
      <c r="A927" s="34" t="str">
        <f t="shared" si="14"/>
        <v/>
      </c>
    </row>
    <row r="928" spans="1:1" ht="30" customHeight="1" x14ac:dyDescent="0.2">
      <c r="A928" s="34" t="str">
        <f t="shared" si="14"/>
        <v/>
      </c>
    </row>
    <row r="929" spans="1:1" ht="30" customHeight="1" x14ac:dyDescent="0.2">
      <c r="A929" s="34" t="str">
        <f t="shared" si="14"/>
        <v/>
      </c>
    </row>
    <row r="930" spans="1:1" ht="30" customHeight="1" x14ac:dyDescent="0.2">
      <c r="A930" s="34" t="str">
        <f t="shared" si="14"/>
        <v/>
      </c>
    </row>
    <row r="931" spans="1:1" ht="30" customHeight="1" x14ac:dyDescent="0.2">
      <c r="A931" s="34" t="str">
        <f t="shared" si="14"/>
        <v/>
      </c>
    </row>
    <row r="932" spans="1:1" ht="30" customHeight="1" x14ac:dyDescent="0.2">
      <c r="A932" s="34" t="str">
        <f t="shared" si="14"/>
        <v/>
      </c>
    </row>
    <row r="933" spans="1:1" ht="30" customHeight="1" x14ac:dyDescent="0.2">
      <c r="A933" s="34" t="str">
        <f t="shared" si="14"/>
        <v/>
      </c>
    </row>
    <row r="934" spans="1:1" ht="30" customHeight="1" x14ac:dyDescent="0.2">
      <c r="A934" s="34" t="str">
        <f t="shared" si="14"/>
        <v/>
      </c>
    </row>
    <row r="935" spans="1:1" ht="30" customHeight="1" x14ac:dyDescent="0.2">
      <c r="A935" s="34" t="str">
        <f t="shared" si="14"/>
        <v/>
      </c>
    </row>
    <row r="936" spans="1:1" ht="30" customHeight="1" x14ac:dyDescent="0.2">
      <c r="A936" s="34" t="str">
        <f t="shared" si="14"/>
        <v/>
      </c>
    </row>
    <row r="937" spans="1:1" ht="30" customHeight="1" x14ac:dyDescent="0.2">
      <c r="A937" s="34" t="str">
        <f t="shared" si="14"/>
        <v/>
      </c>
    </row>
    <row r="938" spans="1:1" ht="30" customHeight="1" x14ac:dyDescent="0.2">
      <c r="A938" s="34" t="str">
        <f t="shared" si="14"/>
        <v/>
      </c>
    </row>
    <row r="939" spans="1:1" ht="30" customHeight="1" x14ac:dyDescent="0.2">
      <c r="A939" s="34" t="str">
        <f t="shared" si="14"/>
        <v/>
      </c>
    </row>
    <row r="940" spans="1:1" ht="30" customHeight="1" x14ac:dyDescent="0.2">
      <c r="A940" s="34" t="str">
        <f t="shared" si="14"/>
        <v/>
      </c>
    </row>
    <row r="941" spans="1:1" ht="30" customHeight="1" x14ac:dyDescent="0.2">
      <c r="A941" s="34" t="str">
        <f t="shared" si="14"/>
        <v/>
      </c>
    </row>
    <row r="942" spans="1:1" ht="30" customHeight="1" x14ac:dyDescent="0.2">
      <c r="A942" s="34" t="str">
        <f t="shared" si="14"/>
        <v/>
      </c>
    </row>
    <row r="943" spans="1:1" ht="30" customHeight="1" x14ac:dyDescent="0.2">
      <c r="A943" s="34" t="str">
        <f t="shared" si="14"/>
        <v/>
      </c>
    </row>
    <row r="944" spans="1:1" ht="30" customHeight="1" x14ac:dyDescent="0.2">
      <c r="A944" s="34" t="str">
        <f t="shared" si="14"/>
        <v/>
      </c>
    </row>
    <row r="945" spans="1:1" ht="30" customHeight="1" x14ac:dyDescent="0.2">
      <c r="A945" s="34" t="str">
        <f t="shared" si="14"/>
        <v/>
      </c>
    </row>
    <row r="946" spans="1:1" ht="30" customHeight="1" x14ac:dyDescent="0.2">
      <c r="A946" s="34" t="str">
        <f t="shared" si="14"/>
        <v/>
      </c>
    </row>
    <row r="947" spans="1:1" ht="30" customHeight="1" x14ac:dyDescent="0.2">
      <c r="A947" s="34" t="str">
        <f t="shared" si="14"/>
        <v/>
      </c>
    </row>
    <row r="948" spans="1:1" ht="30" customHeight="1" x14ac:dyDescent="0.2">
      <c r="A948" s="34" t="str">
        <f t="shared" si="14"/>
        <v/>
      </c>
    </row>
    <row r="949" spans="1:1" ht="30" customHeight="1" x14ac:dyDescent="0.2">
      <c r="A949" s="34" t="str">
        <f t="shared" si="14"/>
        <v/>
      </c>
    </row>
    <row r="950" spans="1:1" ht="30" customHeight="1" x14ac:dyDescent="0.2">
      <c r="A950" s="34" t="str">
        <f t="shared" si="14"/>
        <v/>
      </c>
    </row>
    <row r="951" spans="1:1" ht="30" customHeight="1" x14ac:dyDescent="0.2">
      <c r="A951" s="34" t="str">
        <f t="shared" si="14"/>
        <v/>
      </c>
    </row>
    <row r="952" spans="1:1" ht="30" customHeight="1" x14ac:dyDescent="0.2">
      <c r="A952" s="34" t="str">
        <f t="shared" si="14"/>
        <v/>
      </c>
    </row>
    <row r="953" spans="1:1" ht="30" customHeight="1" x14ac:dyDescent="0.2">
      <c r="A953" s="34" t="str">
        <f t="shared" si="14"/>
        <v/>
      </c>
    </row>
    <row r="954" spans="1:1" ht="30" customHeight="1" x14ac:dyDescent="0.2">
      <c r="A954" s="34" t="str">
        <f t="shared" si="14"/>
        <v/>
      </c>
    </row>
    <row r="955" spans="1:1" ht="30" customHeight="1" x14ac:dyDescent="0.2">
      <c r="A955" s="34" t="str">
        <f t="shared" si="14"/>
        <v/>
      </c>
    </row>
    <row r="956" spans="1:1" ht="30" customHeight="1" x14ac:dyDescent="0.2">
      <c r="A956" s="34" t="str">
        <f t="shared" si="14"/>
        <v/>
      </c>
    </row>
    <row r="957" spans="1:1" ht="30" customHeight="1" x14ac:dyDescent="0.2">
      <c r="A957" s="34" t="str">
        <f t="shared" si="14"/>
        <v/>
      </c>
    </row>
    <row r="958" spans="1:1" ht="30" customHeight="1" x14ac:dyDescent="0.2">
      <c r="A958" s="34" t="str">
        <f t="shared" si="14"/>
        <v/>
      </c>
    </row>
    <row r="959" spans="1:1" ht="30" customHeight="1" x14ac:dyDescent="0.2">
      <c r="A959" s="34" t="str">
        <f t="shared" si="14"/>
        <v/>
      </c>
    </row>
    <row r="960" spans="1:1" ht="30" customHeight="1" x14ac:dyDescent="0.2">
      <c r="A960" s="34" t="str">
        <f t="shared" si="14"/>
        <v/>
      </c>
    </row>
    <row r="961" spans="1:1" ht="30" customHeight="1" x14ac:dyDescent="0.2">
      <c r="A961" s="34" t="str">
        <f t="shared" si="14"/>
        <v/>
      </c>
    </row>
    <row r="962" spans="1:1" ht="30" customHeight="1" x14ac:dyDescent="0.2">
      <c r="A962" s="34" t="str">
        <f t="shared" si="14"/>
        <v/>
      </c>
    </row>
    <row r="963" spans="1:1" ht="30" customHeight="1" x14ac:dyDescent="0.2">
      <c r="A963" s="34" t="str">
        <f t="shared" ref="A963:A1026" si="15">IF(AND(B962&lt;&gt;"",B963=""),$A$1&amp;"---&gt;","")</f>
        <v/>
      </c>
    </row>
    <row r="964" spans="1:1" ht="30" customHeight="1" x14ac:dyDescent="0.2">
      <c r="A964" s="34" t="str">
        <f t="shared" si="15"/>
        <v/>
      </c>
    </row>
    <row r="965" spans="1:1" ht="30" customHeight="1" x14ac:dyDescent="0.2">
      <c r="A965" s="34" t="str">
        <f t="shared" si="15"/>
        <v/>
      </c>
    </row>
    <row r="966" spans="1:1" ht="30" customHeight="1" x14ac:dyDescent="0.2">
      <c r="A966" s="34" t="str">
        <f t="shared" si="15"/>
        <v/>
      </c>
    </row>
    <row r="967" spans="1:1" ht="30" customHeight="1" x14ac:dyDescent="0.2">
      <c r="A967" s="34" t="str">
        <f t="shared" si="15"/>
        <v/>
      </c>
    </row>
    <row r="968" spans="1:1" ht="30" customHeight="1" x14ac:dyDescent="0.2">
      <c r="A968" s="34" t="str">
        <f t="shared" si="15"/>
        <v/>
      </c>
    </row>
    <row r="969" spans="1:1" ht="30" customHeight="1" x14ac:dyDescent="0.2">
      <c r="A969" s="34" t="str">
        <f t="shared" si="15"/>
        <v/>
      </c>
    </row>
    <row r="970" spans="1:1" ht="30" customHeight="1" x14ac:dyDescent="0.2">
      <c r="A970" s="34" t="str">
        <f t="shared" si="15"/>
        <v/>
      </c>
    </row>
    <row r="971" spans="1:1" ht="30" customHeight="1" x14ac:dyDescent="0.2">
      <c r="A971" s="34" t="str">
        <f t="shared" si="15"/>
        <v/>
      </c>
    </row>
    <row r="972" spans="1:1" ht="30" customHeight="1" x14ac:dyDescent="0.2">
      <c r="A972" s="34" t="str">
        <f t="shared" si="15"/>
        <v/>
      </c>
    </row>
    <row r="973" spans="1:1" ht="30" customHeight="1" x14ac:dyDescent="0.2">
      <c r="A973" s="34" t="str">
        <f t="shared" si="15"/>
        <v/>
      </c>
    </row>
    <row r="974" spans="1:1" ht="30" customHeight="1" x14ac:dyDescent="0.2">
      <c r="A974" s="34" t="str">
        <f t="shared" si="15"/>
        <v/>
      </c>
    </row>
    <row r="975" spans="1:1" ht="30" customHeight="1" x14ac:dyDescent="0.2">
      <c r="A975" s="34" t="str">
        <f t="shared" si="15"/>
        <v/>
      </c>
    </row>
    <row r="976" spans="1:1" ht="30" customHeight="1" x14ac:dyDescent="0.2">
      <c r="A976" s="34" t="str">
        <f t="shared" si="15"/>
        <v/>
      </c>
    </row>
    <row r="977" spans="1:1" ht="30" customHeight="1" x14ac:dyDescent="0.2">
      <c r="A977" s="34" t="str">
        <f t="shared" si="15"/>
        <v/>
      </c>
    </row>
    <row r="978" spans="1:1" ht="30" customHeight="1" x14ac:dyDescent="0.2">
      <c r="A978" s="34" t="str">
        <f t="shared" si="15"/>
        <v/>
      </c>
    </row>
    <row r="979" spans="1:1" ht="30" customHeight="1" x14ac:dyDescent="0.2">
      <c r="A979" s="34" t="str">
        <f t="shared" si="15"/>
        <v/>
      </c>
    </row>
    <row r="980" spans="1:1" ht="30" customHeight="1" x14ac:dyDescent="0.2">
      <c r="A980" s="34" t="str">
        <f t="shared" si="15"/>
        <v/>
      </c>
    </row>
    <row r="981" spans="1:1" ht="30" customHeight="1" x14ac:dyDescent="0.2">
      <c r="A981" s="34" t="str">
        <f t="shared" si="15"/>
        <v/>
      </c>
    </row>
    <row r="982" spans="1:1" ht="30" customHeight="1" x14ac:dyDescent="0.2">
      <c r="A982" s="34" t="str">
        <f t="shared" si="15"/>
        <v/>
      </c>
    </row>
    <row r="983" spans="1:1" ht="30" customHeight="1" x14ac:dyDescent="0.2">
      <c r="A983" s="34" t="str">
        <f t="shared" si="15"/>
        <v/>
      </c>
    </row>
    <row r="984" spans="1:1" ht="30" customHeight="1" x14ac:dyDescent="0.2">
      <c r="A984" s="34" t="str">
        <f t="shared" si="15"/>
        <v/>
      </c>
    </row>
    <row r="985" spans="1:1" ht="30" customHeight="1" x14ac:dyDescent="0.2">
      <c r="A985" s="34" t="str">
        <f t="shared" si="15"/>
        <v/>
      </c>
    </row>
    <row r="986" spans="1:1" ht="30" customHeight="1" x14ac:dyDescent="0.2">
      <c r="A986" s="34" t="str">
        <f t="shared" si="15"/>
        <v/>
      </c>
    </row>
    <row r="987" spans="1:1" ht="30" customHeight="1" x14ac:dyDescent="0.2">
      <c r="A987" s="34" t="str">
        <f t="shared" si="15"/>
        <v/>
      </c>
    </row>
    <row r="988" spans="1:1" ht="30" customHeight="1" x14ac:dyDescent="0.2">
      <c r="A988" s="34" t="str">
        <f t="shared" si="15"/>
        <v/>
      </c>
    </row>
    <row r="989" spans="1:1" ht="30" customHeight="1" x14ac:dyDescent="0.2">
      <c r="A989" s="34" t="str">
        <f t="shared" si="15"/>
        <v/>
      </c>
    </row>
    <row r="990" spans="1:1" ht="30" customHeight="1" x14ac:dyDescent="0.2">
      <c r="A990" s="34" t="str">
        <f t="shared" si="15"/>
        <v/>
      </c>
    </row>
    <row r="991" spans="1:1" ht="30" customHeight="1" x14ac:dyDescent="0.2">
      <c r="A991" s="34" t="str">
        <f t="shared" si="15"/>
        <v/>
      </c>
    </row>
    <row r="992" spans="1:1" ht="30" customHeight="1" x14ac:dyDescent="0.2">
      <c r="A992" s="34" t="str">
        <f t="shared" si="15"/>
        <v/>
      </c>
    </row>
    <row r="993" spans="1:1" ht="30" customHeight="1" x14ac:dyDescent="0.2">
      <c r="A993" s="34" t="str">
        <f t="shared" si="15"/>
        <v/>
      </c>
    </row>
    <row r="994" spans="1:1" ht="30" customHeight="1" x14ac:dyDescent="0.2">
      <c r="A994" s="34" t="str">
        <f t="shared" si="15"/>
        <v/>
      </c>
    </row>
    <row r="995" spans="1:1" ht="30" customHeight="1" x14ac:dyDescent="0.2">
      <c r="A995" s="34" t="str">
        <f t="shared" si="15"/>
        <v/>
      </c>
    </row>
    <row r="996" spans="1:1" ht="30" customHeight="1" x14ac:dyDescent="0.2">
      <c r="A996" s="34" t="str">
        <f t="shared" si="15"/>
        <v/>
      </c>
    </row>
    <row r="997" spans="1:1" ht="30" customHeight="1" x14ac:dyDescent="0.2">
      <c r="A997" s="34" t="str">
        <f t="shared" si="15"/>
        <v/>
      </c>
    </row>
    <row r="998" spans="1:1" ht="30" customHeight="1" x14ac:dyDescent="0.2">
      <c r="A998" s="34" t="str">
        <f t="shared" si="15"/>
        <v/>
      </c>
    </row>
    <row r="999" spans="1:1" ht="30" customHeight="1" x14ac:dyDescent="0.2">
      <c r="A999" s="34" t="str">
        <f t="shared" si="15"/>
        <v/>
      </c>
    </row>
    <row r="1000" spans="1:1" ht="30" customHeight="1" x14ac:dyDescent="0.2">
      <c r="A1000" s="34" t="str">
        <f t="shared" si="15"/>
        <v/>
      </c>
    </row>
    <row r="1001" spans="1:1" ht="30" customHeight="1" x14ac:dyDescent="0.2">
      <c r="A1001" s="34" t="str">
        <f t="shared" si="15"/>
        <v/>
      </c>
    </row>
    <row r="1002" spans="1:1" ht="30" customHeight="1" x14ac:dyDescent="0.2">
      <c r="A1002" s="34" t="str">
        <f t="shared" si="15"/>
        <v/>
      </c>
    </row>
    <row r="1003" spans="1:1" ht="30" customHeight="1" x14ac:dyDescent="0.2">
      <c r="A1003" s="34" t="str">
        <f t="shared" si="15"/>
        <v/>
      </c>
    </row>
    <row r="1004" spans="1:1" ht="30" customHeight="1" x14ac:dyDescent="0.2">
      <c r="A1004" s="34" t="str">
        <f t="shared" si="15"/>
        <v/>
      </c>
    </row>
    <row r="1005" spans="1:1" ht="30" customHeight="1" x14ac:dyDescent="0.2">
      <c r="A1005" s="34" t="str">
        <f t="shared" si="15"/>
        <v/>
      </c>
    </row>
    <row r="1006" spans="1:1" ht="30" customHeight="1" x14ac:dyDescent="0.2">
      <c r="A1006" s="34" t="str">
        <f t="shared" si="15"/>
        <v/>
      </c>
    </row>
    <row r="1007" spans="1:1" ht="30" customHeight="1" x14ac:dyDescent="0.2">
      <c r="A1007" s="34" t="str">
        <f t="shared" si="15"/>
        <v/>
      </c>
    </row>
    <row r="1008" spans="1:1" ht="30" customHeight="1" x14ac:dyDescent="0.2">
      <c r="A1008" s="34" t="str">
        <f t="shared" si="15"/>
        <v/>
      </c>
    </row>
    <row r="1009" spans="1:1" ht="30" customHeight="1" x14ac:dyDescent="0.2">
      <c r="A1009" s="34" t="str">
        <f t="shared" si="15"/>
        <v/>
      </c>
    </row>
    <row r="1010" spans="1:1" ht="30" customHeight="1" x14ac:dyDescent="0.2">
      <c r="A1010" s="34" t="str">
        <f t="shared" si="15"/>
        <v/>
      </c>
    </row>
    <row r="1011" spans="1:1" ht="30" customHeight="1" x14ac:dyDescent="0.2">
      <c r="A1011" s="34" t="str">
        <f t="shared" si="15"/>
        <v/>
      </c>
    </row>
    <row r="1012" spans="1:1" ht="30" customHeight="1" x14ac:dyDescent="0.2">
      <c r="A1012" s="34" t="str">
        <f t="shared" si="15"/>
        <v/>
      </c>
    </row>
    <row r="1013" spans="1:1" ht="30" customHeight="1" x14ac:dyDescent="0.2">
      <c r="A1013" s="34" t="str">
        <f t="shared" si="15"/>
        <v/>
      </c>
    </row>
    <row r="1014" spans="1:1" ht="30" customHeight="1" x14ac:dyDescent="0.2">
      <c r="A1014" s="34" t="str">
        <f t="shared" si="15"/>
        <v/>
      </c>
    </row>
    <row r="1015" spans="1:1" ht="30" customHeight="1" x14ac:dyDescent="0.2">
      <c r="A1015" s="34" t="str">
        <f t="shared" si="15"/>
        <v/>
      </c>
    </row>
    <row r="1016" spans="1:1" ht="30" customHeight="1" x14ac:dyDescent="0.2">
      <c r="A1016" s="34" t="str">
        <f t="shared" si="15"/>
        <v/>
      </c>
    </row>
    <row r="1017" spans="1:1" ht="30" customHeight="1" x14ac:dyDescent="0.2">
      <c r="A1017" s="34" t="str">
        <f t="shared" si="15"/>
        <v/>
      </c>
    </row>
    <row r="1018" spans="1:1" ht="30" customHeight="1" x14ac:dyDescent="0.2">
      <c r="A1018" s="34" t="str">
        <f t="shared" si="15"/>
        <v/>
      </c>
    </row>
    <row r="1019" spans="1:1" ht="30" customHeight="1" x14ac:dyDescent="0.2">
      <c r="A1019" s="34" t="str">
        <f t="shared" si="15"/>
        <v/>
      </c>
    </row>
    <row r="1020" spans="1:1" ht="30" customHeight="1" x14ac:dyDescent="0.2">
      <c r="A1020" s="34" t="str">
        <f t="shared" si="15"/>
        <v/>
      </c>
    </row>
    <row r="1021" spans="1:1" ht="30" customHeight="1" x14ac:dyDescent="0.2">
      <c r="A1021" s="34" t="str">
        <f t="shared" si="15"/>
        <v/>
      </c>
    </row>
    <row r="1022" spans="1:1" ht="30" customHeight="1" x14ac:dyDescent="0.2">
      <c r="A1022" s="34" t="str">
        <f t="shared" si="15"/>
        <v/>
      </c>
    </row>
    <row r="1023" spans="1:1" ht="30" customHeight="1" x14ac:dyDescent="0.2">
      <c r="A1023" s="34" t="str">
        <f t="shared" si="15"/>
        <v/>
      </c>
    </row>
    <row r="1024" spans="1:1" ht="30" customHeight="1" x14ac:dyDescent="0.2">
      <c r="A1024" s="34" t="str">
        <f t="shared" si="15"/>
        <v/>
      </c>
    </row>
    <row r="1025" spans="1:1" ht="30" customHeight="1" x14ac:dyDescent="0.2">
      <c r="A1025" s="34" t="str">
        <f t="shared" si="15"/>
        <v/>
      </c>
    </row>
    <row r="1026" spans="1:1" ht="30" customHeight="1" x14ac:dyDescent="0.2">
      <c r="A1026" s="34" t="str">
        <f t="shared" si="15"/>
        <v/>
      </c>
    </row>
    <row r="1027" spans="1:1" ht="30" customHeight="1" x14ac:dyDescent="0.2">
      <c r="A1027" s="34" t="str">
        <f t="shared" ref="A1027:A1070" si="16">IF(AND(B1026&lt;&gt;"",B1027=""),$A$1&amp;"---&gt;","")</f>
        <v/>
      </c>
    </row>
    <row r="1028" spans="1:1" ht="30" customHeight="1" x14ac:dyDescent="0.2">
      <c r="A1028" s="34" t="str">
        <f t="shared" si="16"/>
        <v/>
      </c>
    </row>
    <row r="1029" spans="1:1" ht="30" customHeight="1" x14ac:dyDescent="0.2">
      <c r="A1029" s="34" t="str">
        <f t="shared" si="16"/>
        <v/>
      </c>
    </row>
    <row r="1030" spans="1:1" ht="30" customHeight="1" x14ac:dyDescent="0.2">
      <c r="A1030" s="34" t="str">
        <f t="shared" si="16"/>
        <v/>
      </c>
    </row>
    <row r="1031" spans="1:1" ht="30" customHeight="1" x14ac:dyDescent="0.2">
      <c r="A1031" s="34" t="str">
        <f t="shared" si="16"/>
        <v/>
      </c>
    </row>
    <row r="1032" spans="1:1" ht="30" customHeight="1" x14ac:dyDescent="0.2">
      <c r="A1032" s="34" t="str">
        <f t="shared" si="16"/>
        <v/>
      </c>
    </row>
    <row r="1033" spans="1:1" ht="30" customHeight="1" x14ac:dyDescent="0.2">
      <c r="A1033" s="34" t="str">
        <f t="shared" si="16"/>
        <v/>
      </c>
    </row>
    <row r="1034" spans="1:1" ht="30" customHeight="1" x14ac:dyDescent="0.2">
      <c r="A1034" s="34" t="str">
        <f t="shared" si="16"/>
        <v/>
      </c>
    </row>
    <row r="1035" spans="1:1" ht="30" customHeight="1" x14ac:dyDescent="0.2">
      <c r="A1035" s="34" t="str">
        <f t="shared" si="16"/>
        <v/>
      </c>
    </row>
    <row r="1036" spans="1:1" ht="30" customHeight="1" x14ac:dyDescent="0.2">
      <c r="A1036" s="34" t="str">
        <f t="shared" si="16"/>
        <v/>
      </c>
    </row>
    <row r="1037" spans="1:1" ht="30" customHeight="1" x14ac:dyDescent="0.2">
      <c r="A1037" s="34" t="str">
        <f t="shared" si="16"/>
        <v/>
      </c>
    </row>
    <row r="1038" spans="1:1" ht="30" customHeight="1" x14ac:dyDescent="0.2">
      <c r="A1038" s="34" t="str">
        <f t="shared" si="16"/>
        <v/>
      </c>
    </row>
    <row r="1039" spans="1:1" ht="30" customHeight="1" x14ac:dyDescent="0.2">
      <c r="A1039" s="34" t="str">
        <f t="shared" si="16"/>
        <v/>
      </c>
    </row>
    <row r="1040" spans="1:1" ht="30" customHeight="1" x14ac:dyDescent="0.2">
      <c r="A1040" s="34" t="str">
        <f t="shared" si="16"/>
        <v/>
      </c>
    </row>
    <row r="1041" spans="1:1" ht="30" customHeight="1" x14ac:dyDescent="0.2">
      <c r="A1041" s="34" t="str">
        <f t="shared" si="16"/>
        <v/>
      </c>
    </row>
    <row r="1042" spans="1:1" ht="30" customHeight="1" x14ac:dyDescent="0.2">
      <c r="A1042" s="34" t="str">
        <f t="shared" si="16"/>
        <v/>
      </c>
    </row>
    <row r="1043" spans="1:1" ht="30" customHeight="1" x14ac:dyDescent="0.2">
      <c r="A1043" s="34" t="str">
        <f t="shared" si="16"/>
        <v/>
      </c>
    </row>
    <row r="1044" spans="1:1" ht="30" customHeight="1" x14ac:dyDescent="0.2">
      <c r="A1044" s="34" t="str">
        <f t="shared" si="16"/>
        <v/>
      </c>
    </row>
    <row r="1045" spans="1:1" ht="30" customHeight="1" x14ac:dyDescent="0.2">
      <c r="A1045" s="34" t="str">
        <f t="shared" si="16"/>
        <v/>
      </c>
    </row>
    <row r="1046" spans="1:1" ht="30" customHeight="1" x14ac:dyDescent="0.2">
      <c r="A1046" s="34" t="str">
        <f t="shared" si="16"/>
        <v/>
      </c>
    </row>
    <row r="1047" spans="1:1" ht="30" customHeight="1" x14ac:dyDescent="0.2">
      <c r="A1047" s="34" t="str">
        <f t="shared" si="16"/>
        <v/>
      </c>
    </row>
    <row r="1048" spans="1:1" ht="30" customHeight="1" x14ac:dyDescent="0.2">
      <c r="A1048" s="34" t="str">
        <f t="shared" si="16"/>
        <v/>
      </c>
    </row>
    <row r="1049" spans="1:1" ht="30" customHeight="1" x14ac:dyDescent="0.2">
      <c r="A1049" s="34" t="str">
        <f t="shared" si="16"/>
        <v/>
      </c>
    </row>
    <row r="1050" spans="1:1" ht="30" customHeight="1" x14ac:dyDescent="0.2">
      <c r="A1050" s="34" t="str">
        <f t="shared" si="16"/>
        <v/>
      </c>
    </row>
    <row r="1051" spans="1:1" ht="30" customHeight="1" x14ac:dyDescent="0.2">
      <c r="A1051" s="34" t="str">
        <f t="shared" si="16"/>
        <v/>
      </c>
    </row>
    <row r="1052" spans="1:1" ht="30" customHeight="1" x14ac:dyDescent="0.2">
      <c r="A1052" s="34" t="str">
        <f t="shared" si="16"/>
        <v/>
      </c>
    </row>
    <row r="1053" spans="1:1" ht="30" customHeight="1" x14ac:dyDescent="0.2">
      <c r="A1053" s="34" t="str">
        <f t="shared" si="16"/>
        <v/>
      </c>
    </row>
    <row r="1054" spans="1:1" ht="30" customHeight="1" x14ac:dyDescent="0.2">
      <c r="A1054" s="34" t="str">
        <f t="shared" si="16"/>
        <v/>
      </c>
    </row>
    <row r="1055" spans="1:1" ht="30" customHeight="1" x14ac:dyDescent="0.2">
      <c r="A1055" s="34" t="str">
        <f t="shared" si="16"/>
        <v/>
      </c>
    </row>
    <row r="1056" spans="1:1" ht="30" customHeight="1" x14ac:dyDescent="0.2">
      <c r="A1056" s="34" t="str">
        <f t="shared" si="16"/>
        <v/>
      </c>
    </row>
    <row r="1057" spans="1:1" ht="30" customHeight="1" x14ac:dyDescent="0.2">
      <c r="A1057" s="34" t="str">
        <f t="shared" si="16"/>
        <v/>
      </c>
    </row>
    <row r="1058" spans="1:1" ht="30" customHeight="1" x14ac:dyDescent="0.2">
      <c r="A1058" s="34" t="str">
        <f t="shared" si="16"/>
        <v/>
      </c>
    </row>
    <row r="1059" spans="1:1" ht="30" customHeight="1" x14ac:dyDescent="0.2">
      <c r="A1059" s="34" t="str">
        <f t="shared" si="16"/>
        <v/>
      </c>
    </row>
    <row r="1060" spans="1:1" ht="30" customHeight="1" x14ac:dyDescent="0.2">
      <c r="A1060" s="34" t="str">
        <f t="shared" si="16"/>
        <v/>
      </c>
    </row>
    <row r="1061" spans="1:1" ht="30" customHeight="1" x14ac:dyDescent="0.2">
      <c r="A1061" s="34" t="str">
        <f t="shared" si="16"/>
        <v/>
      </c>
    </row>
    <row r="1062" spans="1:1" ht="30" customHeight="1" x14ac:dyDescent="0.2">
      <c r="A1062" s="34" t="str">
        <f t="shared" si="16"/>
        <v/>
      </c>
    </row>
    <row r="1063" spans="1:1" ht="30" customHeight="1" x14ac:dyDescent="0.2">
      <c r="A1063" s="34" t="str">
        <f t="shared" si="16"/>
        <v/>
      </c>
    </row>
    <row r="1064" spans="1:1" ht="30" customHeight="1" x14ac:dyDescent="0.2">
      <c r="A1064" s="34" t="str">
        <f t="shared" si="16"/>
        <v/>
      </c>
    </row>
    <row r="1065" spans="1:1" ht="30" customHeight="1" x14ac:dyDescent="0.2">
      <c r="A1065" s="34" t="str">
        <f t="shared" si="16"/>
        <v/>
      </c>
    </row>
    <row r="1066" spans="1:1" ht="30" customHeight="1" x14ac:dyDescent="0.2">
      <c r="A1066" s="34" t="str">
        <f t="shared" si="16"/>
        <v/>
      </c>
    </row>
    <row r="1067" spans="1:1" ht="30" customHeight="1" x14ac:dyDescent="0.2">
      <c r="A1067" s="34" t="str">
        <f t="shared" si="16"/>
        <v/>
      </c>
    </row>
    <row r="1068" spans="1:1" ht="30" customHeight="1" x14ac:dyDescent="0.2">
      <c r="A1068" s="34" t="str">
        <f t="shared" si="16"/>
        <v/>
      </c>
    </row>
    <row r="1069" spans="1:1" ht="30" customHeight="1" x14ac:dyDescent="0.2">
      <c r="A1069" s="34" t="str">
        <f t="shared" si="16"/>
        <v/>
      </c>
    </row>
    <row r="1070" spans="1:1" ht="30" customHeight="1" x14ac:dyDescent="0.2">
      <c r="A1070" s="34" t="str">
        <f t="shared" si="16"/>
        <v/>
      </c>
    </row>
  </sheetData>
  <phoneticPr fontId="5" type="noConversion"/>
  <conditionalFormatting sqref="K2:K11">
    <cfRule type="cellIs" dxfId="16" priority="2" operator="lessThan">
      <formula>0</formula>
    </cfRule>
  </conditionalFormatting>
  <conditionalFormatting sqref="J2:K11">
    <cfRule type="cellIs" dxfId="15" priority="1" operator="lessThan">
      <formula>0</formula>
    </cfRule>
  </conditionalFormatting>
  <dataValidations count="2">
    <dataValidation type="date" allowBlank="1" showInputMessage="1" showErrorMessage="1" sqref="B2:B11" xr:uid="{0DB875C2-7EF9-44A2-BF20-4A2DA03B0413}">
      <formula1>1</formula1>
      <formula2>109575</formula2>
    </dataValidation>
    <dataValidation type="list" allowBlank="1" showInputMessage="1" showErrorMessage="1" sqref="G2:G11" xr:uid="{E7AB9FAD-732D-4E54-9343-179C7074C473}">
      <formula1>Platform</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75D94-2DEC-49AC-969C-68F936307DA9}">
  <sheetPr>
    <tabColor rgb="FF8FCFAD"/>
  </sheetPr>
  <dimension ref="D3:E14"/>
  <sheetViews>
    <sheetView workbookViewId="0">
      <selection activeCell="E3" sqref="E3:E14"/>
    </sheetView>
  </sheetViews>
  <sheetFormatPr defaultRowHeight="12.75" x14ac:dyDescent="0.2"/>
  <sheetData>
    <row r="3" spans="4:5" x14ac:dyDescent="0.2">
      <c r="D3">
        <v>1</v>
      </c>
      <c r="E3" t="s">
        <v>57</v>
      </c>
    </row>
    <row r="4" spans="4:5" x14ac:dyDescent="0.2">
      <c r="D4">
        <v>2</v>
      </c>
      <c r="E4" t="s">
        <v>58</v>
      </c>
    </row>
    <row r="5" spans="4:5" x14ac:dyDescent="0.2">
      <c r="D5">
        <v>3</v>
      </c>
      <c r="E5" t="s">
        <v>59</v>
      </c>
    </row>
    <row r="6" spans="4:5" x14ac:dyDescent="0.2">
      <c r="D6">
        <v>4</v>
      </c>
      <c r="E6" t="s">
        <v>60</v>
      </c>
    </row>
    <row r="7" spans="4:5" x14ac:dyDescent="0.2">
      <c r="D7">
        <v>5</v>
      </c>
      <c r="E7" t="s">
        <v>61</v>
      </c>
    </row>
    <row r="8" spans="4:5" x14ac:dyDescent="0.2">
      <c r="D8">
        <v>6</v>
      </c>
      <c r="E8" t="s">
        <v>62</v>
      </c>
    </row>
    <row r="9" spans="4:5" x14ac:dyDescent="0.2">
      <c r="D9">
        <v>7</v>
      </c>
      <c r="E9" t="s">
        <v>63</v>
      </c>
    </row>
    <row r="10" spans="4:5" x14ac:dyDescent="0.2">
      <c r="D10">
        <v>8</v>
      </c>
      <c r="E10" t="s">
        <v>64</v>
      </c>
    </row>
    <row r="11" spans="4:5" x14ac:dyDescent="0.2">
      <c r="D11">
        <v>9</v>
      </c>
      <c r="E11" t="s">
        <v>65</v>
      </c>
    </row>
    <row r="12" spans="4:5" x14ac:dyDescent="0.2">
      <c r="D12">
        <v>10</v>
      </c>
      <c r="E12" t="s">
        <v>66</v>
      </c>
    </row>
    <row r="13" spans="4:5" x14ac:dyDescent="0.2">
      <c r="D13">
        <v>11</v>
      </c>
      <c r="E13" t="s">
        <v>67</v>
      </c>
    </row>
    <row r="14" spans="4:5" x14ac:dyDescent="0.2">
      <c r="D14">
        <v>12</v>
      </c>
      <c r="E14" t="s">
        <v>68</v>
      </c>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P24"/>
  <sheetViews>
    <sheetView showGridLines="0" showRowColHeaders="0" zoomScaleNormal="100" workbookViewId="0">
      <pane ySplit="4" topLeftCell="A5" activePane="bottomLeft" state="frozen"/>
      <selection pane="bottomLeft" activeCell="D8" sqref="D8"/>
    </sheetView>
  </sheetViews>
  <sheetFormatPr defaultColWidth="0" defaultRowHeight="30" customHeight="1" x14ac:dyDescent="0.2"/>
  <cols>
    <col min="1" max="1" width="0.7109375" style="15" customWidth="1"/>
    <col min="2" max="2" width="30.7109375" style="21" customWidth="1"/>
    <col min="3" max="3" width="1" style="15" customWidth="1"/>
    <col min="4" max="4" width="30.7109375" style="21" customWidth="1"/>
    <col min="5" max="5" width="1" style="15" customWidth="1"/>
    <col min="6" max="6" width="30.7109375" style="23" customWidth="1"/>
    <col min="7" max="7" width="0.7109375" style="15" customWidth="1"/>
    <col min="8" max="9" width="30.7109375" style="21" hidden="1" customWidth="1"/>
    <col min="10" max="10" width="0.7109375" style="15" hidden="1" customWidth="1"/>
    <col min="11" max="11" width="30.7109375" style="21" hidden="1" customWidth="1"/>
    <col min="12" max="12" width="0.7109375" style="15" hidden="1" customWidth="1"/>
    <col min="13" max="13" width="30.7109375" style="21" hidden="1" customWidth="1"/>
    <col min="14" max="14" width="0.7109375" style="15" hidden="1" customWidth="1"/>
    <col min="15" max="15" width="30.7109375" style="21" hidden="1" customWidth="1"/>
    <col min="16" max="16" width="0.7109375" style="15" hidden="1" customWidth="1"/>
    <col min="17" max="16384" width="9.140625" style="16" hidden="1"/>
  </cols>
  <sheetData>
    <row r="1" spans="1:16" customFormat="1" ht="12.75" x14ac:dyDescent="0.2">
      <c r="A1" s="13"/>
      <c r="B1" s="17"/>
      <c r="C1" s="17"/>
      <c r="D1" s="17"/>
      <c r="E1" s="17"/>
      <c r="F1" s="17"/>
      <c r="G1" s="17"/>
      <c r="H1" s="17"/>
      <c r="I1" s="17"/>
      <c r="J1" s="17"/>
      <c r="K1" s="17"/>
      <c r="L1" s="17"/>
      <c r="M1" s="17"/>
      <c r="N1" s="17"/>
      <c r="O1" s="17"/>
      <c r="P1" s="17"/>
    </row>
    <row r="2" spans="1:16" customFormat="1" ht="15" x14ac:dyDescent="0.25">
      <c r="A2" s="80"/>
      <c r="B2" s="80"/>
      <c r="C2" s="80"/>
      <c r="D2" s="80"/>
      <c r="E2" s="80"/>
      <c r="F2" s="80"/>
      <c r="G2" s="26"/>
      <c r="H2" s="26"/>
      <c r="I2" s="26"/>
      <c r="J2" s="80"/>
      <c r="K2" s="80"/>
      <c r="L2" s="80" t="s">
        <v>17</v>
      </c>
      <c r="M2" s="80"/>
      <c r="N2" s="80" t="s">
        <v>16</v>
      </c>
      <c r="O2" s="80"/>
      <c r="P2" s="26"/>
    </row>
    <row r="3" spans="1:16" customFormat="1" ht="12.75" x14ac:dyDescent="0.2">
      <c r="A3" s="13"/>
      <c r="B3" s="17"/>
      <c r="C3" s="17"/>
      <c r="D3" s="17"/>
      <c r="E3" s="17"/>
      <c r="F3" s="17"/>
      <c r="G3" s="17"/>
      <c r="H3" s="17"/>
      <c r="I3" s="17"/>
      <c r="J3" s="17"/>
      <c r="K3" s="17"/>
      <c r="L3" s="17"/>
      <c r="M3" s="17"/>
      <c r="N3" s="17"/>
      <c r="O3" s="17"/>
      <c r="P3" s="17"/>
    </row>
    <row r="4" spans="1:16" ht="27" customHeight="1" thickBot="1" x14ac:dyDescent="0.25">
      <c r="B4" s="18" t="s">
        <v>24</v>
      </c>
      <c r="D4" s="18" t="s">
        <v>26</v>
      </c>
      <c r="F4" s="19" t="s">
        <v>25</v>
      </c>
      <c r="H4" s="18" t="s">
        <v>18</v>
      </c>
      <c r="I4" s="18" t="s">
        <v>19</v>
      </c>
      <c r="K4" s="18" t="s">
        <v>20</v>
      </c>
      <c r="M4" s="18" t="s">
        <v>21</v>
      </c>
      <c r="O4" s="18" t="s">
        <v>22</v>
      </c>
    </row>
    <row r="5" spans="1:16" ht="30" customHeight="1" thickTop="1" x14ac:dyDescent="0.2">
      <c r="B5" s="21" t="s">
        <v>27</v>
      </c>
      <c r="D5" s="21" t="s">
        <v>31</v>
      </c>
      <c r="F5" s="22" t="s">
        <v>34</v>
      </c>
      <c r="K5" s="31"/>
    </row>
    <row r="6" spans="1:16" ht="30" customHeight="1" x14ac:dyDescent="0.2">
      <c r="B6" s="21" t="s">
        <v>28</v>
      </c>
      <c r="D6" s="21" t="s">
        <v>32</v>
      </c>
      <c r="F6" s="22" t="s">
        <v>35</v>
      </c>
      <c r="K6" s="32"/>
    </row>
    <row r="7" spans="1:16" ht="30" customHeight="1" x14ac:dyDescent="0.2">
      <c r="B7" s="21" t="s">
        <v>29</v>
      </c>
      <c r="D7" s="21" t="s">
        <v>33</v>
      </c>
      <c r="F7" s="22" t="s">
        <v>36</v>
      </c>
      <c r="K7" s="33"/>
    </row>
    <row r="8" spans="1:16" ht="30" customHeight="1" x14ac:dyDescent="0.2">
      <c r="B8" s="21" t="s">
        <v>30</v>
      </c>
      <c r="F8" s="22" t="s">
        <v>37</v>
      </c>
      <c r="K8" s="23"/>
    </row>
    <row r="9" spans="1:16" ht="30" customHeight="1" x14ac:dyDescent="0.2">
      <c r="B9" s="21" t="s">
        <v>74</v>
      </c>
      <c r="F9" s="22"/>
      <c r="K9" s="23"/>
    </row>
    <row r="10" spans="1:16" ht="30" customHeight="1" x14ac:dyDescent="0.2">
      <c r="F10" s="22"/>
      <c r="K10" s="23"/>
    </row>
    <row r="11" spans="1:16" ht="30" customHeight="1" x14ac:dyDescent="0.2">
      <c r="F11" s="22"/>
      <c r="K11" s="23"/>
    </row>
    <row r="12" spans="1:16" ht="30" customHeight="1" x14ac:dyDescent="0.2">
      <c r="F12" s="22"/>
    </row>
    <row r="13" spans="1:16" ht="30" customHeight="1" x14ac:dyDescent="0.2">
      <c r="F13" s="22"/>
    </row>
    <row r="14" spans="1:16" ht="30" customHeight="1" x14ac:dyDescent="0.2">
      <c r="F14" s="22"/>
    </row>
    <row r="15" spans="1:16" ht="30" customHeight="1" x14ac:dyDescent="0.2">
      <c r="F15" s="22"/>
    </row>
    <row r="16" spans="1:16" ht="30" customHeight="1" x14ac:dyDescent="0.2">
      <c r="F16" s="22"/>
    </row>
    <row r="17" spans="6:6" ht="30" customHeight="1" x14ac:dyDescent="0.2">
      <c r="F17" s="22"/>
    </row>
    <row r="18" spans="6:6" ht="30" customHeight="1" x14ac:dyDescent="0.2">
      <c r="F18" s="22"/>
    </row>
    <row r="19" spans="6:6" ht="30" customHeight="1" x14ac:dyDescent="0.2">
      <c r="F19" s="22"/>
    </row>
    <row r="20" spans="6:6" ht="30" customHeight="1" x14ac:dyDescent="0.2">
      <c r="F20" s="22"/>
    </row>
    <row r="21" spans="6:6" ht="30" customHeight="1" x14ac:dyDescent="0.2">
      <c r="F21" s="22"/>
    </row>
    <row r="22" spans="6:6" ht="30" customHeight="1" x14ac:dyDescent="0.2">
      <c r="F22" s="22"/>
    </row>
    <row r="23" spans="6:6" ht="30" customHeight="1" x14ac:dyDescent="0.2">
      <c r="F23" s="22"/>
    </row>
    <row r="24" spans="6:6" ht="30" customHeight="1" x14ac:dyDescent="0.2">
      <c r="F24" s="22"/>
    </row>
  </sheetData>
  <sheetProtection selectLockedCells="1"/>
  <mergeCells count="6">
    <mergeCell ref="N2:O2"/>
    <mergeCell ref="A2:B2"/>
    <mergeCell ref="E2:F2"/>
    <mergeCell ref="C2:D2"/>
    <mergeCell ref="J2:K2"/>
    <mergeCell ref="L2:M2"/>
  </mergeCells>
  <phoneticPr fontId="5"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 
</file>

<file path=customXml/itemProps1.xml><?xml version="1.0" encoding="utf-8"?>
<ds:datastoreItem xmlns:ds="http://schemas.openxmlformats.org/officeDocument/2006/customXml" ds:itemID="{38B610C4-62D0-4954-8C0A-213B8F90885F}">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37FE3B26-84E6-43D3-BCCD-5B5EE3DBE3BC}">
  <ds:schemaRefs/>
</ds:datastoreItem>
</file>

<file path=customXml/itemProps4.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6.xml><?xml version="1.0" encoding="utf-8"?>
<ds:datastoreItem xmlns:ds="http://schemas.openxmlformats.org/officeDocument/2006/customXml" ds:itemID="{C67B1C36-39B2-4DB4-96A4-CA08510B0B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Leads Raw Data</vt:lpstr>
      <vt:lpstr>Sheet1</vt:lpstr>
      <vt:lpstr>Advertising Spend</vt:lpstr>
      <vt:lpstr>Sheet3</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