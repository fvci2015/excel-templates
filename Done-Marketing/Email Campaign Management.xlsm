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4470D2CD-2249-CD33-4A35-6F278624656F}"/>
  <workbookPr codeName="ThisWorkbook" hidePivotFieldList="1" defaultThemeVersion="166925"/>
  <mc:AlternateContent xmlns:mc="http://schemas.openxmlformats.org/markup-compatibility/2006">
    <mc:Choice Requires="x15">
      <x15ac:absPath xmlns:x15ac="http://schemas.microsoft.com/office/spreadsheetml/2010/11/ac" url="D:\yash_jain_vesu\Future_Vision\books\advance_excel\NEW-FILES-PROJECTS\100+ Premium Excel Templates\Marketing\"/>
    </mc:Choice>
  </mc:AlternateContent>
  <xr:revisionPtr revIDLastSave="0" documentId="13_ncr:1_{97B64072-0D14-46CE-9E81-6CA789228D80}" xr6:coauthVersionLast="47" xr6:coauthVersionMax="47" xr10:uidLastSave="{00000000-0000-0000-0000-000000000000}"/>
  <bookViews>
    <workbookView xWindow="-120" yWindow="-120" windowWidth="29040" windowHeight="15840" xr2:uid="{73097E03-4C65-4EA6-ABDF-EA362E770085}"/>
  </bookViews>
  <sheets>
    <sheet name="Introduction" sheetId="6" r:id="rId1"/>
    <sheet name="Dashboard" sheetId="16" r:id="rId2"/>
    <sheet name="Email Campaigns Management" sheetId="11" r:id="rId3"/>
    <sheet name="Sheet2" sheetId="14" state="hidden" r:id="rId4"/>
    <sheet name="Sheet3" sheetId="15" state="hidden" r:id="rId5"/>
    <sheet name="Database" sheetId="7" r:id="rId6"/>
  </sheets>
  <definedNames>
    <definedName name="_aaa1" localSheetId="1" hidden="1">{#N/A,#N/A,FALSE,"Antony Financials";#N/A,#N/A,FALSE,"Cowboy Financials";#N/A,#N/A,FALSE,"Combined";#N/A,#N/A,FALSE,"Valuematrix";#N/A,#N/A,FALSE,"DCFAntony";#N/A,#N/A,FALSE,"DCFCowboy";#N/A,#N/A,FALSE,"DCFCombined"}</definedName>
    <definedName name="_aaa1" hidden="1">{#N/A,#N/A,FALSE,"Antony Financials";#N/A,#N/A,FALSE,"Cowboy Financials";#N/A,#N/A,FALSE,"Combined";#N/A,#N/A,FALSE,"Valuematrix";#N/A,#N/A,FALSE,"DCFAntony";#N/A,#N/A,FALSE,"DCFCowboy";#N/A,#N/A,FALSE,"DCFCombined"}</definedName>
    <definedName name="_xlnm._FilterDatabase" localSheetId="2" hidden="1">'Email Campaigns Management'!$B$3:$S$32</definedName>
    <definedName name="_GSRATES_1" hidden="1">"H2002123120021231CADUSD1000001"</definedName>
    <definedName name="_GSRATES_10" hidden="1">"CF3000012002093020020101"</definedName>
    <definedName name="_GSRATES_11" hidden="1">"CF300001Invalid 20030930"</definedName>
    <definedName name="_GSRATES_12" hidden="1">"CT30000120030930        "</definedName>
    <definedName name="_GSRATES_13" hidden="1">"CT30000120030930        "</definedName>
    <definedName name="_GSRATES_2" hidden="1">"CT30000120030630        "</definedName>
    <definedName name="_GSRATES_3" hidden="1">"CF3000012003063020030101"</definedName>
    <definedName name="_GSRATES_4" hidden="1">"CT3000012003063020030101"</definedName>
    <definedName name="_GSRATES_5" hidden="1">"CF3000012002123120020101"</definedName>
    <definedName name="_GSRATES_6" hidden="1">"CF3000012002063020020101"</definedName>
    <definedName name="_GSRATES_7" hidden="1">"CF3000012003063020030101"</definedName>
    <definedName name="_GSRATES_8" hidden="1">"CF3000012003093020030101"</definedName>
    <definedName name="_GSRATES_9" hidden="1">"CF3000012002123120020101"</definedName>
    <definedName name="_GSRATES_COUNT" hidden="1">7</definedName>
    <definedName name="_GSRATES_COUNT1" hidden="1">13</definedName>
    <definedName name="_GSRATESR_1" hidden="1">#REF!</definedName>
    <definedName name="_GSRATESR_10" hidden="1">#REF!</definedName>
    <definedName name="_GSRATESR_11" hidden="1">#REF!</definedName>
    <definedName name="_GSRATESR_12" hidden="1">#REF!</definedName>
    <definedName name="_GSRATESR_13" hidden="1">#REF!</definedName>
    <definedName name="_GSRATESR_3" localSheetId="1" hidden="1">#REF!</definedName>
    <definedName name="_GSRATESR_3" hidden="1">#REF!</definedName>
    <definedName name="_GSRATESR_4" localSheetId="1" hidden="1">#REF!</definedName>
    <definedName name="_GSRATESR_4" hidden="1">#REF!</definedName>
    <definedName name="_GSRATESR_5" localSheetId="1" hidden="1">#REF!</definedName>
    <definedName name="_GSRATESR_5" hidden="1">#REF!</definedName>
    <definedName name="_GSRATESR_6" hidden="1">#REF!</definedName>
    <definedName name="_GSRATESR_7" hidden="1">#REF!</definedName>
    <definedName name="_GSRATESR_8" hidden="1">#REF!</definedName>
    <definedName name="_GSRATESR_9" hidden="1">#REF!</definedName>
    <definedName name="a" localSheetId="1"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a"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AAA_DOCTOPS" hidden="1">"AAA_SET"</definedName>
    <definedName name="AAA_duser" hidden="1">"OFF"</definedName>
    <definedName name="AAA_u999998" hidden="1">"nlfoote@970721231427"</definedName>
    <definedName name="AAA_u999999" hidden="1">"nlfoote@970721231348"</definedName>
    <definedName name="AAB_Addin5" hidden="1">"AAB_Description for addin 5,Description for addin 5,Description for addin 5,Description for addin 5,Description for addin 5,Description for addin 5"</definedName>
    <definedName name="AAB_GSPPG" hidden="1">"AAB_Goldman Sachs PPG Chart Utilities 1.0g"</definedName>
    <definedName name="adf" localSheetId="1" hidden="1">{#N/A,#N/A,FALSE,"CreditStat";#N/A,#N/A,FALSE,"SPbrkup";#N/A,#N/A,FALSE,"MerSPsyn";#N/A,#N/A,FALSE,"MerSPwKCsyn";#N/A,#N/A,FALSE,"MerSPwKCsyn (2)";#N/A,#N/A,FALSE,"CreditStat (2)"}</definedName>
    <definedName name="adf" hidden="1">{#N/A,#N/A,FALSE,"CreditStat";#N/A,#N/A,FALSE,"SPbrkup";#N/A,#N/A,FALSE,"MerSPsyn";#N/A,#N/A,FALSE,"MerSPwKCsyn";#N/A,#N/A,FALSE,"MerSPwKCsyn (2)";#N/A,#N/A,FALSE,"CreditStat (2)"}</definedName>
    <definedName name="adfdaf" localSheetId="1" hidden="1">{"standalone1",#N/A,FALSE,"DCFBase";"standalone2",#N/A,FALSE,"DCFBase"}</definedName>
    <definedName name="adfdaf" hidden="1">{"standalone1",#N/A,FALSE,"DCFBase";"standalone2",#N/A,FALSE,"DCFBase"}</definedName>
    <definedName name="asdf" localSheetId="1" hidden="1">{"mgmt forecast",#N/A,FALSE,"Mgmt Forecast";"dcf table",#N/A,FALSE,"Mgmt Forecast";"sensitivity",#N/A,FALSE,"Mgmt Forecast";"table inputs",#N/A,FALSE,"Mgmt Forecast";"calculations",#N/A,FALSE,"Mgmt Forecast"}</definedName>
    <definedName name="asdf" hidden="1">{"mgmt forecast",#N/A,FALSE,"Mgmt Forecast";"dcf table",#N/A,FALSE,"Mgmt Forecast";"sensitivity",#N/A,FALSE,"Mgmt Forecast";"table inputs",#N/A,FALSE,"Mgmt Forecast";"calculations",#N/A,FALSE,"Mgmt Forecast"}</definedName>
    <definedName name="asdfa" localSheetId="1" hidden="1">{#N/A,#N/A,FALSE,"Antony Financials";#N/A,#N/A,FALSE,"Cowboy Financials";#N/A,#N/A,FALSE,"Combined";#N/A,#N/A,FALSE,"Valuematrix";#N/A,#N/A,FALSE,"DCFAntony";#N/A,#N/A,FALSE,"DCFCowboy";#N/A,#N/A,FALSE,"DCFCombined"}</definedName>
    <definedName name="asdfa" hidden="1">{#N/A,#N/A,FALSE,"Antony Financials";#N/A,#N/A,FALSE,"Cowboy Financials";#N/A,#N/A,FALSE,"Combined";#N/A,#N/A,FALSE,"Valuematrix";#N/A,#N/A,FALSE,"DCFAntony";#N/A,#N/A,FALSE,"DCFCowboy";#N/A,#N/A,FALSE,"DCFCombined"}</definedName>
    <definedName name="asdfaa" localSheetId="1" hidden="1">{#N/A,#N/A,FALSE,"Antony Financials";#N/A,#N/A,FALSE,"Cowboy Financials";#N/A,#N/A,FALSE,"Combined";#N/A,#N/A,FALSE,"Valuematrix";#N/A,#N/A,FALSE,"DCFAntony";#N/A,#N/A,FALSE,"DCFCowboy";#N/A,#N/A,FALSE,"DCFCombined"}</definedName>
    <definedName name="asdfaa" hidden="1">{#N/A,#N/A,FALSE,"Antony Financials";#N/A,#N/A,FALSE,"Cowboy Financials";#N/A,#N/A,FALSE,"Combined";#N/A,#N/A,FALSE,"Valuematrix";#N/A,#N/A,FALSE,"DCFAntony";#N/A,#N/A,FALSE,"DCFCowboy";#N/A,#N/A,FALSE,"DCFCombined"}</definedName>
    <definedName name="asdfasdf" localSheetId="1" hidden="1">{#N/A,#N/A,FALSE,"CreditStat";#N/A,#N/A,FALSE,"SPbrkup";#N/A,#N/A,FALSE,"MerSPsyn";#N/A,#N/A,FALSE,"MerSPwKCsyn";#N/A,#N/A,FALSE,"MerSPwKCsyn (2)";#N/A,#N/A,FALSE,"CreditStat (2)"}</definedName>
    <definedName name="asdfasdf" hidden="1">{#N/A,#N/A,FALSE,"CreditStat";#N/A,#N/A,FALSE,"SPbrkup";#N/A,#N/A,FALSE,"MerSPsyn";#N/A,#N/A,FALSE,"MerSPwKCsyn";#N/A,#N/A,FALSE,"MerSPwKCsyn (2)";#N/A,#N/A,FALSE,"CreditStat (2)"}</definedName>
    <definedName name="asdff" localSheetId="1" hidden="1">{"standalone1",#N/A,FALSE,"DCFBase";"standalone2",#N/A,FALSE,"DCFBase"}</definedName>
    <definedName name="asdff" hidden="1">{"standalone1",#N/A,FALSE,"DCFBase";"standalone2",#N/A,FALSE,"DCFBase"}</definedName>
    <definedName name="asdfsad" localSheetId="1" hidden="1">{#N/A,#N/A,FALSE,"Antony Financials";#N/A,#N/A,FALSE,"Cowboy Financials";#N/A,#N/A,FALSE,"Combined";#N/A,#N/A,FALSE,"Valuematrix";#N/A,#N/A,FALSE,"DCFAntony";#N/A,#N/A,FALSE,"DCFCowboy";#N/A,#N/A,FALSE,"DCFCombined"}</definedName>
    <definedName name="asdfsad" hidden="1">{#N/A,#N/A,FALSE,"Antony Financials";#N/A,#N/A,FALSE,"Cowboy Financials";#N/A,#N/A,FALSE,"Combined";#N/A,#N/A,FALSE,"Valuematrix";#N/A,#N/A,FALSE,"DCFAntony";#N/A,#N/A,FALSE,"DCFCowboy";#N/A,#N/A,FALSE,"DCFCombined"}</definedName>
    <definedName name="b" localSheetId="1" hidden="1">{#N/A,#N/A,FALSE,"Antony Financials";#N/A,#N/A,FALSE,"Cowboy Financials";#N/A,#N/A,FALSE,"Combined";#N/A,#N/A,FALSE,"Valuematrix";#N/A,#N/A,FALSE,"DCFAntony";#N/A,#N/A,FALSE,"DCFCowboy";#N/A,#N/A,FALSE,"DCFCombined"}</definedName>
    <definedName name="b" hidden="1">{#N/A,#N/A,FALSE,"Antony Financials";#N/A,#N/A,FALSE,"Cowboy Financials";#N/A,#N/A,FALSE,"Combined";#N/A,#N/A,FALSE,"Valuematrix";#N/A,#N/A,FALSE,"DCFAntony";#N/A,#N/A,FALSE,"DCFCowboy";#N/A,#N/A,FALSE,"DCFCombined"}</definedName>
    <definedName name="CampNAme">OFFSET(Database!$B$5,0,0,COUNTA(Database!$B:$B)-1,1)</definedName>
    <definedName name="d" localSheetId="1"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d"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da" localSheetId="1" hidden="1">{#N/A,#N/A,FALSE,"A&amp;E";#N/A,#N/A,FALSE,"HighTop";#N/A,#N/A,FALSE,"JG";#N/A,#N/A,FALSE,"RI";#N/A,#N/A,FALSE,"woHT";#N/A,#N/A,FALSE,"woHT&amp;JG"}</definedName>
    <definedName name="da" hidden="1">{#N/A,#N/A,FALSE,"A&amp;E";#N/A,#N/A,FALSE,"HighTop";#N/A,#N/A,FALSE,"JG";#N/A,#N/A,FALSE,"RI";#N/A,#N/A,FALSE,"woHT";#N/A,#N/A,FALSE,"woHT&amp;JG"}</definedName>
    <definedName name="df" localSheetId="1" hidden="1">{"'Summary P&amp;L'!$A$1:$M$70","'Summary P&amp;L'!$A$1:$M$70"}</definedName>
    <definedName name="df" hidden="1">{"'Summary P&amp;L'!$A$1:$M$70","'Summary P&amp;L'!$A$1:$M$70"}</definedName>
    <definedName name="EPMWorkbookOptions_2" hidden="1">"m3FeIocTK7T00g7i155YYzII5xVFTgxBon8IEeL4xiLwgoT687neHX/pG70aRh7dJEB5hTBgSYS4S/wFRhkORAJNCFEijYCzdDW/7jaFj3jStoSLzX9El/54gL4Q7XVoWsi6rEQQeHqMNCnOXt8qRzrJhTnpdjyrYajjmak1fQXrR1cKuC|QKz4CEUZkvQ9clhikMR9lTf/Gcw/A9n9YZnYMuZTheC416kRG507skkOuBwSO7Rg8|xYzXFd2HOH"</definedName>
    <definedName name="EPMWorkbookOptions_3" hidden="1">"jHlyP|GtOQbRSQ7d9K9FzlywTlRW3iBgT/mkPU84ZhmIOeo0tZztdyxIzzUV2WFbWmbCTIuhdRrEldoHVZl|KLzOxh4KGnPvUDoOyprpQr5QmMJsVyxdWKWmnyqVgrAxRlBCXNHVW16khdtpyOykjcQSGzweMDHNwuzEZ8nsqApUWZCeCQOH6DptuExDuRD2Gr2XNaCr9sdDrDxGHz4bsT9UL2FgaK6Hj6tIYW|OR4QbB3KSzlI2yNo9dvcL5YX"</definedName>
    <definedName name="EPMWorkbookOptions_4" hidden="1">"Xq937qUh8ANDfwzvX5pOEZrf7XKslaT5fxiVU5PrBGDaanK8aemHLtOD86JWpLPnKQ4UZVq7czJtk5K1eqZk|2xo6jHzsn7WfeMhtP8alo/9l76VLVc1jQt/9JXOr2lb0Uil|hyg2Y4Z31mlrmHPq2|YwwsPgMY|0u0UlXkWq2aX6Lq6Ul0g8dYpR3j2EV6MCqM1vWxc/F|BqztmFbja3PYMfms2DZ7f/NMVamo6h88VGmnN2y32Uzvh3rmcAdw"</definedName>
    <definedName name="EPMWorkbookOptions_5" hidden="1">"FnJWmXsI2Wl3m2/4|qp8euJdMpgWbElWNNE8/v3RgRmxm/0zIylG/hsc/Ux2cEY6Z0bWjMifRMd0GkfPyftZ7wa99lv|XVM5vfVuyeDOBi0ynkWaVeYeIu02G/bAatpvKNTq6Ql1xWL8|NtvWm3zqn307wMOqNIcoFQ12SBdyjoHkbKu4Dzb7jmRTePu2RLdggmFcGoSMwCSnABI2yKY4QGiy5wmsdEDrM4bbJsj7OoMDZcmi1hcoXcdafzCTW6"</definedName>
    <definedName name="EPMWorkbookOptions_6" hidden="1">"a3g6/IYrRyIMu0Pt1hh37xw/rtMmZnfr/tQEq6O4jAAA="</definedName>
    <definedName name="EPMWorkbookOptions_7" hidden="1">"VkElWzGe4dbysDmw3e4bw0nqBxi31scdUfvlZHPVuLY3NJBpjCzYg+hpH+Go/fu3fdjNPrXaf+7pIr7iNgAA"</definedName>
    <definedName name="f" localSheetId="1" hidden="1">{"mgmt forecast",#N/A,FALSE,"Mgmt Forecast";"dcf table",#N/A,FALSE,"Mgmt Forecast";"sensitivity",#N/A,FALSE,"Mgmt Forecast";"table inputs",#N/A,FALSE,"Mgmt Forecast";"calculations",#N/A,FALSE,"Mgmt Forecast"}</definedName>
    <definedName name="f" hidden="1">{"mgmt forecast",#N/A,FALSE,"Mgmt Forecast";"dcf table",#N/A,FALSE,"Mgmt Forecast";"sensitivity",#N/A,FALSE,"Mgmt Forecast";"table inputs",#N/A,FALSE,"Mgmt Forecast";"calculations",#N/A,FALSE,"Mgmt Forecast"}</definedName>
    <definedName name="fafate" localSheetId="1" hidden="1">{"mgmt forecast",#N/A,FALSE,"Mgmt Forecast";"dcf table",#N/A,FALSE,"Mgmt Forecast";"sensitivity",#N/A,FALSE,"Mgmt Forecast";"table inputs",#N/A,FALSE,"Mgmt Forecast";"calculations",#N/A,FALSE,"Mgmt Forecast"}</definedName>
    <definedName name="fafate" hidden="1">{"mgmt forecast",#N/A,FALSE,"Mgmt Forecast";"dcf table",#N/A,FALSE,"Mgmt Forecast";"sensitivity",#N/A,FALSE,"Mgmt Forecast";"table inputs",#N/A,FALSE,"Mgmt Forecast";"calculations",#N/A,FALSE,"Mgmt Forecast"}</definedName>
    <definedName name="fff" localSheetId="1" hidden="1">{"standalone1",#N/A,FALSE,"DCFBase";"standalone2",#N/A,FALSE,"DCFBase"}</definedName>
    <definedName name="fff" hidden="1">{"standalone1",#N/A,FALSE,"DCFBase";"standalone2",#N/A,FALSE,"DCFBase"}</definedName>
    <definedName name="g" localSheetId="1" hidden="1">{#N/A,#N/A,FALSE,"Antony Financials";#N/A,#N/A,FALSE,"Cowboy Financials";#N/A,#N/A,FALSE,"Combined";#N/A,#N/A,FALSE,"Valuematrix";#N/A,#N/A,FALSE,"DCFAntony";#N/A,#N/A,FALSE,"DCFCowboy";#N/A,#N/A,FALSE,"DCFCombined"}</definedName>
    <definedName name="g" hidden="1">{#N/A,#N/A,FALSE,"Antony Financials";#N/A,#N/A,FALSE,"Cowboy Financials";#N/A,#N/A,FALSE,"Combined";#N/A,#N/A,FALSE,"Valuematrix";#N/A,#N/A,FALSE,"DCFAntony";#N/A,#N/A,FALSE,"DCFCowboy";#N/A,#N/A,FALSE,"DCFCombined"}</definedName>
    <definedName name="h" localSheetId="1" hidden="1">{#N/A,#N/A,FALSE,"CreditStat";#N/A,#N/A,FALSE,"SPbrkup";#N/A,#N/A,FALSE,"MerSPsyn";#N/A,#N/A,FALSE,"MerSPwKCsyn";#N/A,#N/A,FALSE,"MerSPwKCsyn (2)";#N/A,#N/A,FALSE,"CreditStat (2)"}</definedName>
    <definedName name="h" hidden="1">{#N/A,#N/A,FALSE,"CreditStat";#N/A,#N/A,FALSE,"SPbrkup";#N/A,#N/A,FALSE,"MerSPsyn";#N/A,#N/A,FALSE,"MerSPwKCsyn";#N/A,#N/A,FALSE,"MerSPwKCsyn (2)";#N/A,#N/A,FALSE,"CreditStat (2)"}</definedName>
    <definedName name="HTML_CodePage" hidden="1">1252</definedName>
    <definedName name="HTML_Control" localSheetId="1" hidden="1">{"'Summary P&amp;L'!$A$1:$M$70","'Summary P&amp;L'!$A$1:$M$70"}</definedName>
    <definedName name="HTML_Control" hidden="1">{"'Summary P&amp;L'!$A$1:$M$70","'Summary P&amp;L'!$A$1:$M$70"}</definedName>
    <definedName name="HTML_Description" hidden="1">""</definedName>
    <definedName name="HTML_Email" hidden="1">""</definedName>
    <definedName name="HTML_Header" hidden="1">"Summary P&amp;L"</definedName>
    <definedName name="HTML_LastUpdate" hidden="1">"9/03/01"</definedName>
    <definedName name="HTML_LineAfter" hidden="1">FALSE</definedName>
    <definedName name="HTML_LineBefore" hidden="1">FALSE</definedName>
    <definedName name="HTML_Name" hidden="1">"Hans Verheul"</definedName>
    <definedName name="HTML_OBDlg2" hidden="1">TRUE</definedName>
    <definedName name="HTML_OBDlg4" hidden="1">TRUE</definedName>
    <definedName name="HTML_OS" hidden="1">0</definedName>
    <definedName name="HTML_PathFile" hidden="1">"G:\Finlog\html\FINANCE.htm"</definedName>
    <definedName name="HTML_Title" hidden="1">"INCOME STATEMENT FEBRUARY 2001"</definedName>
    <definedName name="iui" localSheetId="1" hidden="1">{#N/A,#N/A,FALSE,"A&amp;E";#N/A,#N/A,FALSE,"HighTop";#N/A,#N/A,FALSE,"JG";#N/A,#N/A,FALSE,"RI";#N/A,#N/A,FALSE,"woHT";#N/A,#N/A,FALSE,"woHT&amp;JG"}</definedName>
    <definedName name="iui" hidden="1">{#N/A,#N/A,FALSE,"A&amp;E";#N/A,#N/A,FALSE,"HighTop";#N/A,#N/A,FALSE,"JG";#N/A,#N/A,FALSE,"RI";#N/A,#N/A,FALSE,"woHT";#N/A,#N/A,FALSE,"woHT&amp;JG"}</definedName>
    <definedName name="j" localSheetId="1" hidden="1">{"standalone1",#N/A,FALSE,"DCFBase";"standalone2",#N/A,FALSE,"DCFBase"}</definedName>
    <definedName name="j" hidden="1">{"standalone1",#N/A,FALSE,"DCFBase";"standalone2",#N/A,FALSE,"DCFBase"}</definedName>
    <definedName name="k" localSheetId="1" hidden="1">{#N/A,#N/A,FALSE,"Antony Financials";#N/A,#N/A,FALSE,"Cowboy Financials";#N/A,#N/A,FALSE,"Combined";#N/A,#N/A,FALSE,"Valuematrix";#N/A,#N/A,FALSE,"DCFAntony";#N/A,#N/A,FALSE,"DCFCowboy";#N/A,#N/A,FALSE,"DCFCombined"}</definedName>
    <definedName name="k" hidden="1">{#N/A,#N/A,FALSE,"Antony Financials";#N/A,#N/A,FALSE,"Cowboy Financials";#N/A,#N/A,FALSE,"Combined";#N/A,#N/A,FALSE,"Valuematrix";#N/A,#N/A,FALSE,"DCFAntony";#N/A,#N/A,FALSE,"DCFCowboy";#N/A,#N/A,FALSE,"DCFCombined"}</definedName>
    <definedName name="kyd.Dim.01." hidden="1">"currency"</definedName>
    <definedName name="kyd.Dim.02." hidden="1">"currency"</definedName>
    <definedName name="kyd.ElementType.01." hidden="1">3</definedName>
    <definedName name="kyd.ElementType.02." hidden="1">3</definedName>
    <definedName name="kyd.MemoSortHide." hidden="1">FALSE</definedName>
    <definedName name="kyd.NumLevels.01." hidden="1">999</definedName>
    <definedName name="kyd.NumLevels.02." hidden="1">999</definedName>
    <definedName name="kyd.ParentName.01." hidden="1">"AUD"</definedName>
    <definedName name="kyd.ParentName.02." hidden="1">"AUD"</definedName>
    <definedName name="kyd.PreScreenData." hidden="1">FALSE</definedName>
    <definedName name="kyd.PrintMemo." hidden="1">FALSE</definedName>
    <definedName name="kyd.PrintParent.01." hidden="1">TRUE</definedName>
    <definedName name="kyd.PrintParent.02." hidden="1">TRUE</definedName>
    <definedName name="kyd.PrintStdWhen." hidden="1">3</definedName>
    <definedName name="kyd.SaveAsFile." hidden="1">FALSE</definedName>
    <definedName name="kyd.SaveMemo." hidden="1">FALSE</definedName>
    <definedName name="kyd.SelectString.01." hidden="1">"*"</definedName>
    <definedName name="kyd.SelectString.02." hidden="1">"*"</definedName>
    <definedName name="kyd.StdSortHide." hidden="1">FALSE</definedName>
    <definedName name="kyd.StopRow." hidden="1">16384</definedName>
    <definedName name="kyd.WriteMemWhenOptn." hidden="1">3</definedName>
    <definedName name="l" localSheetId="1" hidden="1">{"mgmt forecast",#N/A,FALSE,"Mgmt Forecast";"dcf table",#N/A,FALSE,"Mgmt Forecast";"sensitivity",#N/A,FALSE,"Mgmt Forecast";"table inputs",#N/A,FALSE,"Mgmt Forecast";"calculations",#N/A,FALSE,"Mgmt Forecast"}</definedName>
    <definedName name="l" hidden="1">{"mgmt forecast",#N/A,FALSE,"Mgmt Forecast";"dcf table",#N/A,FALSE,"Mgmt Forecast";"sensitivity",#N/A,FALSE,"Mgmt Forecast";"table inputs",#N/A,FALSE,"Mgmt Forecast";"calculations",#N/A,FALSE,"Mgmt Forecast"}</definedName>
    <definedName name="List">OFFSET(Database!$G$5,0,0,COUNTA(Database!$G:$G)-1,1)</definedName>
    <definedName name="m" localSheetId="1" hidden="1">{"standalone1",#N/A,FALSE,"DCFBase";"standalone2",#N/A,FALSE,"DCFBase"}</definedName>
    <definedName name="m" hidden="1">{"standalone1",#N/A,FALSE,"DCFBase";"standalone2",#N/A,FALSE,"DCFBase"}</definedName>
    <definedName name="MR" localSheetId="1" hidden="1">{#N/A,#N/A,FALSE,"sales ytd";#N/A,#N/A,FALSE,"investments";#N/A,#N/A,FALSE,"bus. synergies 1997";#N/A,#N/A,FALSE,"synergies outlook"}</definedName>
    <definedName name="MR" hidden="1">{#N/A,#N/A,FALSE,"sales ytd";#N/A,#N/A,FALSE,"investments";#N/A,#N/A,FALSE,"bus. synergies 1997";#N/A,#N/A,FALSE,"synergies outlook"}</definedName>
    <definedName name="n" localSheetId="1"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n"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Platform">OFFSET(Database!$I$5,0,0,COUNTA(Database!$I:$I)-1,1)</definedName>
    <definedName name="q" localSheetId="1" hidden="1">{#N/A,#N/A,FALSE,"Antony Financials";#N/A,#N/A,FALSE,"Cowboy Financials";#N/A,#N/A,FALSE,"Combined";#N/A,#N/A,FALSE,"Valuematrix";#N/A,#N/A,FALSE,"DCFAntony";#N/A,#N/A,FALSE,"DCFCowboy";#N/A,#N/A,FALSE,"DCFCombined"}</definedName>
    <definedName name="q" hidden="1">{#N/A,#N/A,FALSE,"Antony Financials";#N/A,#N/A,FALSE,"Cowboy Financials";#N/A,#N/A,FALSE,"Combined";#N/A,#N/A,FALSE,"Valuematrix";#N/A,#N/A,FALSE,"DCFAntony";#N/A,#N/A,FALSE,"DCFCowboy";#N/A,#N/A,FALSE,"DCFCombined"}</definedName>
    <definedName name="rr" localSheetId="1" hidden="1">{#N/A,#N/A,FALSE,"Antony Financials";#N/A,#N/A,FALSE,"Cowboy Financials";#N/A,#N/A,FALSE,"Combined";#N/A,#N/A,FALSE,"Valuematrix";#N/A,#N/A,FALSE,"DCFAntony";#N/A,#N/A,FALSE,"DCFCowboy";#N/A,#N/A,FALSE,"DCFCombined"}</definedName>
    <definedName name="rr" hidden="1">{#N/A,#N/A,FALSE,"Antony Financials";#N/A,#N/A,FALSE,"Cowboy Financials";#N/A,#N/A,FALSE,"Combined";#N/A,#N/A,FALSE,"Valuematrix";#N/A,#N/A,FALSE,"DCFAntony";#N/A,#N/A,FALSE,"DCFCowboy";#N/A,#N/A,FALSE,"DCFCombined"}</definedName>
    <definedName name="SAPBEXhrIndnt" hidden="1">"Wide"</definedName>
    <definedName name="SAPsysID" hidden="1">"708C5W7SBKP804JT78WJ0JNKI"</definedName>
    <definedName name="SAPwbID" hidden="1">"ARS"</definedName>
    <definedName name="sd" localSheetId="1"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sd"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sdfasefr" localSheetId="1" hidden="1">{#N/A,#N/A,FALSE,"Antony Financials";#N/A,#N/A,FALSE,"Cowboy Financials";#N/A,#N/A,FALSE,"Combined";#N/A,#N/A,FALSE,"Valuematrix";#N/A,#N/A,FALSE,"DCFAntony";#N/A,#N/A,FALSE,"DCFCowboy";#N/A,#N/A,FALSE,"DCFCombined"}</definedName>
    <definedName name="sdfasefr" hidden="1">{#N/A,#N/A,FALSE,"Antony Financials";#N/A,#N/A,FALSE,"Cowboy Financials";#N/A,#N/A,FALSE,"Combined";#N/A,#N/A,FALSE,"Valuematrix";#N/A,#N/A,FALSE,"DCFAntony";#N/A,#N/A,FALSE,"DCFCowboy";#N/A,#N/A,FALSE,"DCFCombined"}</definedName>
    <definedName name="Slicer_Campaign_Code">#N/A</definedName>
    <definedName name="Slicer_Campaign_Name">#N/A</definedName>
    <definedName name="Slicer_Email_Platform">#N/A</definedName>
    <definedName name="Slicer_List">#N/A</definedName>
    <definedName name="Slicer_Month_Text">#N/A</definedName>
    <definedName name="Slicer_Week_Number">#N/A</definedName>
    <definedName name="Slicer_Year">#N/A</definedName>
    <definedName name="Subject_line">OFFSET(Database!$E$5,0,0,COUNTA(Database!$E:$E)-1,1)</definedName>
    <definedName name="t" localSheetId="1" hidden="1">{#N/A,#N/A,FALSE,"A&amp;E";#N/A,#N/A,FALSE,"HighTop";#N/A,#N/A,FALSE,"JG";#N/A,#N/A,FALSE,"RI";#N/A,#N/A,FALSE,"woHT";#N/A,#N/A,FALSE,"woHT&amp;JG"}</definedName>
    <definedName name="t" hidden="1">{#N/A,#N/A,FALSE,"A&amp;E";#N/A,#N/A,FALSE,"HighTop";#N/A,#N/A,FALSE,"JG";#N/A,#N/A,FALSE,"RI";#N/A,#N/A,FALSE,"woHT";#N/A,#N/A,FALSE,"woHT&amp;JG"}</definedName>
    <definedName name="ttt" localSheetId="1" hidden="1">{#N/A,#N/A,FALSE,"CreditStat";#N/A,#N/A,FALSE,"SPbrkup";#N/A,#N/A,FALSE,"MerSPsyn";#N/A,#N/A,FALSE,"MerSPwKCsyn";#N/A,#N/A,FALSE,"MerSPwKCsyn (2)";#N/A,#N/A,FALSE,"CreditStat (2)"}</definedName>
    <definedName name="ttt" hidden="1">{#N/A,#N/A,FALSE,"CreditStat";#N/A,#N/A,FALSE,"SPbrkup";#N/A,#N/A,FALSE,"MerSPsyn";#N/A,#N/A,FALSE,"MerSPwKCsyn";#N/A,#N/A,FALSE,"MerSPwKCsyn (2)";#N/A,#N/A,FALSE,"CreditStat (2)"}</definedName>
    <definedName name="v" localSheetId="1" hidden="1">{"standalone1",#N/A,FALSE,"DCFBase";"standalone2",#N/A,FALSE,"DCFBase"}</definedName>
    <definedName name="v" hidden="1">{"standalone1",#N/A,FALSE,"DCFBase";"standalone2",#N/A,FALSE,"DCFBase"}</definedName>
    <definedName name="vv" localSheetId="1" hidden="1">{#N/A,#N/A,FALSE,"CreditStat";#N/A,#N/A,FALSE,"SPbrkup";#N/A,#N/A,FALSE,"MerSPsyn";#N/A,#N/A,FALSE,"MerSPwKCsyn";#N/A,#N/A,FALSE,"MerSPwKCsyn (2)";#N/A,#N/A,FALSE,"CreditStat (2)"}</definedName>
    <definedName name="vv" hidden="1">{#N/A,#N/A,FALSE,"CreditStat";#N/A,#N/A,FALSE,"SPbrkup";#N/A,#N/A,FALSE,"MerSPsyn";#N/A,#N/A,FALSE,"MerSPwKCsyn";#N/A,#N/A,FALSE,"MerSPwKCsyn (2)";#N/A,#N/A,FALSE,"CreditStat (2)"}</definedName>
    <definedName name="vvv" localSheetId="1" hidden="1">{#N/A,#N/A,FALSE,"Antony Financials";#N/A,#N/A,FALSE,"Cowboy Financials";#N/A,#N/A,FALSE,"Combined";#N/A,#N/A,FALSE,"Valuematrix";#N/A,#N/A,FALSE,"DCFAntony";#N/A,#N/A,FALSE,"DCFCowboy";#N/A,#N/A,FALSE,"DCFCombined"}</definedName>
    <definedName name="vvv" hidden="1">{#N/A,#N/A,FALSE,"Antony Financials";#N/A,#N/A,FALSE,"Cowboy Financials";#N/A,#N/A,FALSE,"Combined";#N/A,#N/A,FALSE,"Valuematrix";#N/A,#N/A,FALSE,"DCFAntony";#N/A,#N/A,FALSE,"DCFCowboy";#N/A,#N/A,FALSE,"DCFCombined"}</definedName>
    <definedName name="w" localSheetId="1" hidden="1">{#N/A,#N/A,FALSE,"CreditStat";#N/A,#N/A,FALSE,"SPbrkup";#N/A,#N/A,FALSE,"MerSPsyn";#N/A,#N/A,FALSE,"MerSPwKCsyn";#N/A,#N/A,FALSE,"MerSPwKCsyn (2)";#N/A,#N/A,FALSE,"CreditStat (2)"}</definedName>
    <definedName name="w" hidden="1">{#N/A,#N/A,FALSE,"CreditStat";#N/A,#N/A,FALSE,"SPbrkup";#N/A,#N/A,FALSE,"MerSPsyn";#N/A,#N/A,FALSE,"MerSPwKCsyn";#N/A,#N/A,FALSE,"MerSPwKCsyn (2)";#N/A,#N/A,FALSE,"CreditStat (2)"}</definedName>
    <definedName name="wrn.dcf." localSheetId="1" hidden="1">{"mgmt forecast",#N/A,FALSE,"Mgmt Forecast";"dcf table",#N/A,FALSE,"Mgmt Forecast";"sensitivity",#N/A,FALSE,"Mgmt Forecast";"table inputs",#N/A,FALSE,"Mgmt Forecast";"calculations",#N/A,FALSE,"Mgmt Forecast"}</definedName>
    <definedName name="wrn.dcf." hidden="1">{"mgmt forecast",#N/A,FALSE,"Mgmt Forecast";"dcf table",#N/A,FALSE,"Mgmt Forecast";"sensitivity",#N/A,FALSE,"Mgmt Forecast";"table inputs",#N/A,FALSE,"Mgmt Forecast";"calculations",#N/A,FALSE,"Mgmt Forecast"}</definedName>
    <definedName name="wrn.Everything." localSheetId="1"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verything."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print._.standalone." localSheetId="1" hidden="1">{"standalone1",#N/A,FALSE,"DCFBase";"standalone2",#N/A,FALSE,"DCFBase"}</definedName>
    <definedName name="wrn.print._.standalone." hidden="1">{"standalone1",#N/A,FALSE,"DCFBase";"standalone2",#N/A,FALSE,"DCFBase"}</definedName>
    <definedName name="wrn.SKSCS1." localSheetId="1" hidden="1">{#N/A,#N/A,FALSE,"Antony Financials";#N/A,#N/A,FALSE,"Cowboy Financials";#N/A,#N/A,FALSE,"Combined";#N/A,#N/A,FALSE,"Valuematrix";#N/A,#N/A,FALSE,"DCFAntony";#N/A,#N/A,FALSE,"DCFCowboy";#N/A,#N/A,FALSE,"DCFCombined"}</definedName>
    <definedName name="wrn.SKSCS1." hidden="1">{#N/A,#N/A,FALSE,"Antony Financials";#N/A,#N/A,FALSE,"Cowboy Financials";#N/A,#N/A,FALSE,"Combined";#N/A,#N/A,FALSE,"Valuematrix";#N/A,#N/A,FALSE,"DCFAntony";#N/A,#N/A,FALSE,"DCFCowboy";#N/A,#N/A,FALSE,"DCFCombined"}</definedName>
    <definedName name="wrn.SummaryPgs." localSheetId="1" hidden="1">{#N/A,#N/A,FALSE,"CreditStat";#N/A,#N/A,FALSE,"SPbrkup";#N/A,#N/A,FALSE,"MerSPsyn";#N/A,#N/A,FALSE,"MerSPwKCsyn";#N/A,#N/A,FALSE,"MerSPwKCsyn (2)";#N/A,#N/A,FALSE,"CreditStat (2)"}</definedName>
    <definedName name="wrn.SummaryPgs." hidden="1">{#N/A,#N/A,FALSE,"CreditStat";#N/A,#N/A,FALSE,"SPbrkup";#N/A,#N/A,FALSE,"MerSPsyn";#N/A,#N/A,FALSE,"MerSPwKCsyn";#N/A,#N/A,FALSE,"MerSPwKCsyn (2)";#N/A,#N/A,FALSE,"CreditStat (2)"}</definedName>
    <definedName name="wrn.Top._.Level._.Summaries." localSheetId="1"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wrn.Top._.Level._.Summaries."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wrn.Tweety." localSheetId="1" hidden="1">{#N/A,#N/A,FALSE,"A&amp;E";#N/A,#N/A,FALSE,"HighTop";#N/A,#N/A,FALSE,"JG";#N/A,#N/A,FALSE,"RI";#N/A,#N/A,FALSE,"woHT";#N/A,#N/A,FALSE,"woHT&amp;JG"}</definedName>
    <definedName name="wrn.Tweety." hidden="1">{#N/A,#N/A,FALSE,"A&amp;E";#N/A,#N/A,FALSE,"HighTop";#N/A,#N/A,FALSE,"JG";#N/A,#N/A,FALSE,"RI";#N/A,#N/A,FALSE,"woHT";#N/A,#N/A,FALSE,"woHT&amp;JG"}</definedName>
    <definedName name="wrn.vortrag." localSheetId="1" hidden="1">{#N/A,#N/A,FALSE,"sales ytd";#N/A,#N/A,FALSE,"investments";#N/A,#N/A,FALSE,"bus. synergies 1997";#N/A,#N/A,FALSE,"synergies outlook"}</definedName>
    <definedName name="wrn.vortrag." hidden="1">{#N/A,#N/A,FALSE,"sales ytd";#N/A,#N/A,FALSE,"investments";#N/A,#N/A,FALSE,"bus. synergies 1997";#N/A,#N/A,FALSE,"synergies outlook"}</definedName>
    <definedName name="zzz" localSheetId="1"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zzz"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s>
  <calcPr calcId="191029"/>
  <pivotCaches>
    <pivotCache cacheId="0" r:id="rId7"/>
  </pivotCaches>
  <extLst>
    <ext xmlns:x14="http://schemas.microsoft.com/office/spreadsheetml/2009/9/main" uri="{BBE1A952-AA13-448e-AADC-164F8A28A991}">
      <x14:slicerCaches>
        <x14:slicerCache r:id="rId8"/>
        <x14:slicerCache r:id="rId9"/>
        <x14:slicerCache r:id="rId10"/>
        <x14:slicerCache r:id="rId11"/>
        <x14:slicerCache r:id="rId12"/>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3" i="11" l="1"/>
  <c r="V4" i="11"/>
  <c r="V5" i="11"/>
  <c r="V6" i="11"/>
  <c r="V7" i="11"/>
  <c r="V8" i="11"/>
  <c r="V9" i="11"/>
  <c r="V10" i="11"/>
  <c r="V11" i="11"/>
  <c r="V12" i="11"/>
  <c r="V13" i="11"/>
  <c r="V14" i="11"/>
  <c r="V15" i="11"/>
  <c r="V16" i="11"/>
  <c r="V17" i="11"/>
  <c r="V18" i="11"/>
  <c r="V19" i="11"/>
  <c r="V20" i="11"/>
  <c r="V21" i="11"/>
  <c r="V22" i="11"/>
  <c r="V23" i="11"/>
  <c r="V24" i="11"/>
  <c r="V25" i="11"/>
  <c r="V26" i="11"/>
  <c r="V27" i="11"/>
  <c r="V28" i="11"/>
  <c r="V29" i="11"/>
  <c r="V30" i="11"/>
  <c r="V31" i="11"/>
  <c r="V32" i="11"/>
  <c r="F3" i="16"/>
  <c r="J3" i="16"/>
  <c r="G3" i="16"/>
  <c r="L3" i="16"/>
  <c r="H3" i="16"/>
  <c r="D3" i="16"/>
  <c r="N3" i="16" l="1"/>
  <c r="N7" i="7"/>
  <c r="K7" i="7"/>
  <c r="U4" i="11" l="1"/>
  <c r="U5" i="11"/>
  <c r="U6" i="11"/>
  <c r="U7" i="11"/>
  <c r="U8" i="11"/>
  <c r="U9" i="11"/>
  <c r="U10" i="11"/>
  <c r="U11" i="11"/>
  <c r="U12" i="11"/>
  <c r="U13" i="11"/>
  <c r="U14" i="11"/>
  <c r="U15" i="11"/>
  <c r="U16" i="11"/>
  <c r="U17" i="11"/>
  <c r="U18" i="11"/>
  <c r="U19" i="11"/>
  <c r="U20" i="11"/>
  <c r="U21" i="11"/>
  <c r="U22" i="11"/>
  <c r="U23" i="11"/>
  <c r="U24" i="11"/>
  <c r="U25" i="11"/>
  <c r="U26" i="11"/>
  <c r="U27" i="11"/>
  <c r="U28" i="11"/>
  <c r="U29" i="11"/>
  <c r="U30" i="11"/>
  <c r="U31" i="11"/>
  <c r="U32" i="11"/>
  <c r="S6" i="11"/>
  <c r="S11" i="11"/>
  <c r="S14" i="11"/>
  <c r="S19" i="11"/>
  <c r="S22" i="11"/>
  <c r="S27" i="11"/>
  <c r="S30" i="11"/>
  <c r="P32" i="11"/>
  <c r="K5" i="11"/>
  <c r="K11" i="11"/>
  <c r="K13" i="11"/>
  <c r="K19" i="11"/>
  <c r="K21" i="11"/>
  <c r="K27" i="11"/>
  <c r="K29" i="11"/>
  <c r="K4" i="11"/>
  <c r="K6" i="11"/>
  <c r="K7" i="11"/>
  <c r="K8" i="11"/>
  <c r="K9" i="11"/>
  <c r="K10" i="11"/>
  <c r="K12" i="11"/>
  <c r="K14" i="11"/>
  <c r="K15" i="11"/>
  <c r="K16" i="11"/>
  <c r="K17" i="11"/>
  <c r="K18" i="11"/>
  <c r="K20" i="11"/>
  <c r="K22" i="11"/>
  <c r="K23" i="11"/>
  <c r="K24" i="11"/>
  <c r="K25" i="11"/>
  <c r="K26" i="11"/>
  <c r="K28" i="11"/>
  <c r="K30" i="11"/>
  <c r="K31" i="11"/>
  <c r="K32" i="11"/>
  <c r="M4" i="11"/>
  <c r="M5" i="11"/>
  <c r="M6" i="11"/>
  <c r="M7" i="11"/>
  <c r="M8" i="11"/>
  <c r="M9" i="11"/>
  <c r="M10" i="11"/>
  <c r="M11" i="11"/>
  <c r="M12" i="11"/>
  <c r="M13" i="11"/>
  <c r="M14" i="11"/>
  <c r="M15" i="11"/>
  <c r="M16" i="11"/>
  <c r="M17" i="11"/>
  <c r="M18" i="11"/>
  <c r="M19" i="11"/>
  <c r="M20" i="11"/>
  <c r="M21" i="11"/>
  <c r="M22" i="11"/>
  <c r="M23" i="11"/>
  <c r="M24" i="11"/>
  <c r="M25" i="11"/>
  <c r="M26" i="11"/>
  <c r="M27" i="11"/>
  <c r="M28" i="11"/>
  <c r="M29" i="11"/>
  <c r="M30" i="11"/>
  <c r="M31" i="11"/>
  <c r="M32" i="11"/>
  <c r="P4" i="11"/>
  <c r="P5" i="11"/>
  <c r="P6" i="11"/>
  <c r="P7" i="11"/>
  <c r="P8" i="11"/>
  <c r="P9" i="11"/>
  <c r="P10" i="11"/>
  <c r="P11" i="11"/>
  <c r="P12" i="11"/>
  <c r="P13" i="11"/>
  <c r="P14" i="11"/>
  <c r="P15" i="11"/>
  <c r="P16" i="11"/>
  <c r="P17" i="11"/>
  <c r="P18" i="11"/>
  <c r="P19" i="11"/>
  <c r="P20" i="11"/>
  <c r="P21" i="11"/>
  <c r="P22" i="11"/>
  <c r="P23" i="11"/>
  <c r="P24" i="11"/>
  <c r="P25" i="11"/>
  <c r="P26" i="11"/>
  <c r="P27" i="11"/>
  <c r="P28" i="11"/>
  <c r="P29" i="11"/>
  <c r="P30" i="11"/>
  <c r="P31" i="11"/>
  <c r="S4" i="11"/>
  <c r="S5" i="11"/>
  <c r="S7" i="11"/>
  <c r="S8" i="11"/>
  <c r="S9" i="11"/>
  <c r="S10" i="11"/>
  <c r="S12" i="11"/>
  <c r="S13" i="11"/>
  <c r="S15" i="11"/>
  <c r="S16" i="11"/>
  <c r="S17" i="11"/>
  <c r="S18" i="11"/>
  <c r="S20" i="11"/>
  <c r="S21" i="11"/>
  <c r="S23" i="11"/>
  <c r="S24" i="11"/>
  <c r="S25" i="11"/>
  <c r="S26" i="11"/>
  <c r="S28" i="11"/>
  <c r="S29" i="11"/>
  <c r="S31" i="11"/>
  <c r="S32" i="11"/>
  <c r="W4" i="11"/>
  <c r="X4" i="11" s="1"/>
  <c r="W5" i="11"/>
  <c r="W6" i="11"/>
  <c r="W7" i="11"/>
  <c r="X7" i="11" s="1"/>
  <c r="W8" i="11"/>
  <c r="X8" i="11" s="1"/>
  <c r="W9" i="11"/>
  <c r="X9" i="11" s="1"/>
  <c r="W10" i="11"/>
  <c r="X10" i="11" s="1"/>
  <c r="W11" i="11"/>
  <c r="W12" i="11"/>
  <c r="X12" i="11" s="1"/>
  <c r="W13" i="11"/>
  <c r="X13" i="11" s="1"/>
  <c r="W14" i="11"/>
  <c r="X14" i="11" s="1"/>
  <c r="W15" i="11"/>
  <c r="X15" i="11" s="1"/>
  <c r="W16" i="11"/>
  <c r="X16" i="11" s="1"/>
  <c r="W17" i="11"/>
  <c r="X17" i="11" s="1"/>
  <c r="W18" i="11"/>
  <c r="X18" i="11" s="1"/>
  <c r="W19" i="11"/>
  <c r="X19" i="11" s="1"/>
  <c r="W20" i="11"/>
  <c r="X20" i="11" s="1"/>
  <c r="W21" i="11"/>
  <c r="W22" i="11"/>
  <c r="X22" i="11" s="1"/>
  <c r="W23" i="11"/>
  <c r="X23" i="11" s="1"/>
  <c r="W24" i="11"/>
  <c r="X24" i="11" s="1"/>
  <c r="W25" i="11"/>
  <c r="X25" i="11" s="1"/>
  <c r="W26" i="11"/>
  <c r="X26" i="11" s="1"/>
  <c r="W27" i="11"/>
  <c r="W28" i="11"/>
  <c r="X28" i="11" s="1"/>
  <c r="W29" i="11"/>
  <c r="W30" i="11"/>
  <c r="X30" i="11" s="1"/>
  <c r="W31" i="11"/>
  <c r="X31" i="11" s="1"/>
  <c r="W32" i="11"/>
  <c r="X32" i="11" s="1"/>
  <c r="X5" i="11"/>
  <c r="X6" i="11"/>
  <c r="X11" i="11"/>
  <c r="X21" i="11"/>
  <c r="X27" i="11"/>
  <c r="X29" i="11"/>
  <c r="Y4" i="11"/>
  <c r="Y5" i="11"/>
  <c r="Y6" i="11"/>
  <c r="Y7" i="11"/>
  <c r="Y8" i="11"/>
  <c r="Y9" i="11"/>
  <c r="Y10" i="11"/>
  <c r="Y11" i="11"/>
  <c r="Y12" i="11"/>
  <c r="Y13" i="11"/>
  <c r="Y14" i="11"/>
  <c r="Y15" i="11"/>
  <c r="Y16" i="11"/>
  <c r="Y17" i="11"/>
  <c r="Y18" i="11"/>
  <c r="Y19" i="11"/>
  <c r="Y20" i="11"/>
  <c r="Y21" i="11"/>
  <c r="Y22" i="11"/>
  <c r="Y23" i="11"/>
  <c r="Y24" i="11"/>
  <c r="Y25" i="11"/>
  <c r="Y26" i="11"/>
  <c r="Y27" i="11"/>
  <c r="Y28" i="11"/>
  <c r="Y29" i="11"/>
  <c r="Y30" i="11"/>
  <c r="Y31" i="11"/>
  <c r="Y32" i="11"/>
  <c r="Z4" i="11"/>
  <c r="Z5" i="11"/>
  <c r="Z6" i="11"/>
  <c r="Z7" i="11"/>
  <c r="Z8" i="11"/>
  <c r="Z9" i="11"/>
  <c r="Z10" i="11"/>
  <c r="Z11" i="11"/>
  <c r="Z12" i="11"/>
  <c r="Z13" i="11"/>
  <c r="Z14" i="11"/>
  <c r="Z15" i="11"/>
  <c r="Z16" i="11"/>
  <c r="Z17" i="11"/>
  <c r="Z18" i="11"/>
  <c r="Z19" i="11"/>
  <c r="Z20" i="11"/>
  <c r="Z21" i="11"/>
  <c r="Z22" i="11"/>
  <c r="Z23" i="11"/>
  <c r="Z24" i="11"/>
  <c r="Z25" i="11"/>
  <c r="Z26" i="11"/>
  <c r="Z27" i="11"/>
  <c r="Z28" i="11"/>
  <c r="Z29" i="11"/>
  <c r="Z30" i="11"/>
  <c r="Z31" i="11"/>
  <c r="Z32" i="11"/>
  <c r="Z3" i="11" l="1"/>
  <c r="W3" i="11"/>
  <c r="X3" i="11" s="1"/>
  <c r="Y3" i="11"/>
  <c r="U3" i="11" l="1"/>
  <c r="S3" i="11"/>
  <c r="P3" i="11"/>
  <c r="M3" i="11"/>
  <c r="K3" i="11"/>
  <c r="A3" i="11"/>
  <c r="A4" i="11" l="1"/>
  <c r="A5" i="11"/>
  <c r="A6" i="11"/>
  <c r="A7" i="11"/>
  <c r="A8" i="11"/>
  <c r="A9" i="11"/>
  <c r="A10" i="11"/>
  <c r="A11" i="11"/>
  <c r="A12" i="11"/>
  <c r="A13" i="11"/>
  <c r="A14" i="11"/>
  <c r="A15" i="11"/>
  <c r="A16" i="11"/>
  <c r="A17" i="11"/>
  <c r="A18" i="11"/>
  <c r="A19" i="11"/>
  <c r="A20" i="11"/>
  <c r="A21" i="11"/>
  <c r="A22" i="11"/>
  <c r="A23" i="11"/>
  <c r="A24" i="11"/>
  <c r="A25" i="11"/>
  <c r="A26" i="11"/>
  <c r="A27" i="11"/>
  <c r="A28" i="11"/>
  <c r="A29" i="11"/>
  <c r="A30" i="11"/>
  <c r="A31" i="11"/>
  <c r="A32" i="11"/>
  <c r="A33" i="11"/>
  <c r="A34" i="11"/>
  <c r="A35" i="11"/>
  <c r="A36" i="11"/>
  <c r="A37" i="11"/>
  <c r="A38" i="11"/>
  <c r="A39" i="11"/>
  <c r="A40" i="11"/>
  <c r="A41" i="11"/>
  <c r="A42" i="11"/>
  <c r="A43" i="11"/>
  <c r="A44" i="11"/>
  <c r="A45"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A301" i="11"/>
  <c r="A302" i="11"/>
  <c r="A303" i="11"/>
  <c r="A304" i="11"/>
  <c r="A305" i="11"/>
  <c r="A306" i="11"/>
  <c r="A307" i="11"/>
  <c r="A308" i="11"/>
  <c r="A309" i="11"/>
  <c r="A310" i="11"/>
  <c r="A311" i="11"/>
  <c r="A312" i="11"/>
  <c r="A313" i="11"/>
  <c r="A314" i="11"/>
  <c r="A315" i="11"/>
  <c r="A316" i="11"/>
  <c r="A317" i="11"/>
  <c r="A318" i="11"/>
  <c r="A319" i="11"/>
  <c r="A320" i="11"/>
  <c r="A321" i="11"/>
  <c r="A322" i="11"/>
  <c r="A323" i="11"/>
  <c r="A324" i="11"/>
  <c r="A325" i="11"/>
  <c r="A326" i="11"/>
  <c r="A327" i="11"/>
  <c r="A328" i="11"/>
  <c r="A329" i="11"/>
  <c r="A330" i="11"/>
  <c r="A331" i="11"/>
  <c r="A332" i="11"/>
  <c r="A333" i="11"/>
  <c r="A334" i="11"/>
  <c r="A335" i="11"/>
  <c r="A336" i="11"/>
  <c r="A337" i="11"/>
  <c r="A338" i="11"/>
  <c r="A339" i="11"/>
  <c r="A340" i="11"/>
  <c r="A341" i="11"/>
  <c r="A342" i="11"/>
  <c r="A343" i="11"/>
  <c r="A344" i="11"/>
  <c r="A345" i="11"/>
  <c r="A346" i="11"/>
  <c r="A347" i="11"/>
  <c r="A348" i="11"/>
  <c r="A349" i="11"/>
  <c r="A350" i="11"/>
  <c r="A351" i="11"/>
  <c r="A352" i="11"/>
  <c r="A353" i="11"/>
  <c r="A354" i="11"/>
  <c r="A355" i="11"/>
  <c r="A356" i="11"/>
  <c r="A357" i="11"/>
  <c r="A358" i="11"/>
  <c r="A359" i="11"/>
  <c r="A360" i="11"/>
  <c r="A361" i="11"/>
  <c r="A362" i="11"/>
  <c r="A363" i="11"/>
  <c r="A364" i="11"/>
  <c r="A365" i="11"/>
  <c r="A366" i="11"/>
  <c r="A367" i="11"/>
  <c r="A368" i="11"/>
  <c r="A369" i="11"/>
  <c r="A370" i="11"/>
  <c r="A371" i="11"/>
  <c r="A372" i="11"/>
  <c r="A373" i="11"/>
  <c r="A374" i="11"/>
  <c r="A375" i="11"/>
  <c r="A376" i="11"/>
  <c r="A377" i="11"/>
  <c r="A378" i="11"/>
  <c r="A379" i="11"/>
  <c r="A380" i="11"/>
  <c r="A381" i="11"/>
  <c r="A382" i="11"/>
  <c r="A383" i="11"/>
  <c r="A384" i="11"/>
  <c r="A385" i="11"/>
  <c r="A386" i="11"/>
  <c r="A387" i="11"/>
  <c r="A388" i="11"/>
  <c r="A389" i="11"/>
  <c r="A390" i="11"/>
  <c r="A391" i="11"/>
  <c r="A392" i="11"/>
  <c r="A393" i="11"/>
  <c r="A394" i="11"/>
  <c r="A395" i="11"/>
  <c r="A396" i="11"/>
  <c r="A397" i="11"/>
  <c r="A398" i="11"/>
  <c r="A399" i="11"/>
  <c r="A400" i="11"/>
  <c r="A401" i="11"/>
  <c r="A402" i="11"/>
  <c r="A403" i="11"/>
  <c r="A404" i="11"/>
  <c r="A405" i="11"/>
  <c r="A406" i="11"/>
  <c r="A407" i="11"/>
  <c r="A408" i="11"/>
  <c r="A409" i="11"/>
  <c r="A410" i="11"/>
  <c r="A411" i="11"/>
  <c r="A412" i="11"/>
  <c r="A413" i="11"/>
  <c r="A414" i="11"/>
  <c r="A415" i="11"/>
  <c r="A416" i="11"/>
  <c r="A417" i="11"/>
  <c r="A418" i="11"/>
  <c r="A419" i="11"/>
  <c r="A420" i="11"/>
  <c r="A421" i="11"/>
  <c r="A422" i="11"/>
  <c r="A423" i="11"/>
  <c r="A424" i="11"/>
  <c r="A425" i="11"/>
  <c r="A426" i="11"/>
  <c r="A427" i="11"/>
  <c r="A428" i="11"/>
  <c r="A429" i="11"/>
  <c r="A430" i="11"/>
  <c r="A431" i="11"/>
  <c r="A432" i="11"/>
  <c r="A433" i="11"/>
  <c r="A434" i="11"/>
  <c r="A435" i="11"/>
  <c r="A436" i="11"/>
  <c r="A437" i="11"/>
  <c r="A438" i="11"/>
  <c r="A439" i="11"/>
  <c r="A440" i="11"/>
  <c r="A441" i="11"/>
  <c r="A442" i="11"/>
  <c r="A443" i="11"/>
  <c r="A444" i="11"/>
  <c r="A445" i="11"/>
  <c r="A446" i="11"/>
  <c r="A447" i="11"/>
  <c r="A448" i="11"/>
  <c r="A449" i="11"/>
  <c r="A450" i="11"/>
  <c r="A451" i="11"/>
  <c r="A452" i="11"/>
  <c r="A453" i="11"/>
  <c r="A454" i="11"/>
  <c r="A455" i="11"/>
  <c r="A456" i="11"/>
  <c r="A457" i="11"/>
  <c r="A458" i="11"/>
  <c r="A459" i="11"/>
  <c r="A460" i="11"/>
  <c r="A461" i="11"/>
  <c r="A462" i="11"/>
  <c r="A463" i="11"/>
  <c r="A464" i="11"/>
  <c r="A465" i="11"/>
  <c r="A466" i="11"/>
  <c r="A467" i="11"/>
  <c r="A468" i="11"/>
  <c r="A469" i="11"/>
  <c r="A470" i="11"/>
  <c r="A471" i="11"/>
  <c r="A472" i="11"/>
  <c r="A473" i="11"/>
  <c r="A474" i="11"/>
  <c r="A475" i="11"/>
  <c r="A476" i="11"/>
  <c r="A477" i="11"/>
  <c r="A478" i="11"/>
  <c r="A479" i="11"/>
  <c r="A480" i="11"/>
  <c r="A481" i="11"/>
  <c r="A482" i="11"/>
  <c r="A483" i="11"/>
  <c r="A484" i="11"/>
  <c r="A485" i="11"/>
  <c r="A486" i="11"/>
  <c r="A487" i="11"/>
  <c r="A488" i="11"/>
  <c r="A489" i="11"/>
  <c r="A490" i="11"/>
  <c r="A491" i="11"/>
  <c r="A492" i="11"/>
  <c r="A493" i="11"/>
  <c r="A494" i="11"/>
  <c r="A495" i="11"/>
  <c r="A496" i="11"/>
  <c r="A497" i="11"/>
  <c r="A498" i="11"/>
  <c r="A499" i="11"/>
  <c r="A500" i="11"/>
  <c r="A501" i="11"/>
  <c r="A502" i="11"/>
  <c r="A503" i="11"/>
  <c r="A504" i="11"/>
  <c r="A505" i="11"/>
  <c r="A506" i="11"/>
  <c r="A507" i="11"/>
  <c r="A508" i="11"/>
  <c r="A509" i="11"/>
  <c r="A510" i="11"/>
  <c r="A511" i="11"/>
  <c r="A512" i="11"/>
  <c r="A513" i="11"/>
  <c r="A514" i="11"/>
  <c r="A515" i="11"/>
  <c r="A516" i="11"/>
  <c r="A517" i="11"/>
  <c r="A518" i="11"/>
  <c r="A519" i="11"/>
  <c r="A520" i="11"/>
  <c r="A521" i="11"/>
  <c r="A522" i="11"/>
  <c r="A523" i="11"/>
  <c r="A524" i="11"/>
  <c r="A525" i="11"/>
  <c r="A526" i="11"/>
  <c r="A527" i="11"/>
  <c r="A528" i="11"/>
  <c r="A529" i="11"/>
  <c r="A530" i="11"/>
  <c r="A531" i="11"/>
  <c r="A532" i="11"/>
  <c r="A533" i="11"/>
  <c r="A534" i="11"/>
  <c r="A535" i="11"/>
  <c r="A536" i="11"/>
  <c r="A537" i="11"/>
  <c r="A538" i="11"/>
  <c r="A539" i="11"/>
  <c r="A540" i="11"/>
  <c r="A541" i="11"/>
  <c r="A542" i="11"/>
  <c r="A543" i="11"/>
  <c r="A544" i="11"/>
  <c r="A545" i="11"/>
  <c r="A546" i="11"/>
  <c r="A547" i="11"/>
  <c r="A548" i="11"/>
  <c r="A549" i="11"/>
  <c r="A550" i="11"/>
  <c r="A551" i="11"/>
  <c r="A552" i="11"/>
  <c r="A553" i="11"/>
  <c r="A554" i="11"/>
  <c r="A555" i="11"/>
  <c r="A556" i="11"/>
  <c r="A557" i="11"/>
  <c r="A558" i="11"/>
  <c r="A559" i="11"/>
  <c r="A560" i="11"/>
  <c r="A561" i="11"/>
  <c r="A562" i="11"/>
  <c r="A563" i="11"/>
  <c r="A564" i="11"/>
  <c r="A565" i="11"/>
  <c r="A566" i="11"/>
  <c r="A567" i="11"/>
  <c r="A568" i="11"/>
  <c r="A569" i="11"/>
  <c r="A570" i="11"/>
  <c r="A571" i="11"/>
  <c r="A572" i="11"/>
  <c r="A573" i="11"/>
  <c r="A574" i="11"/>
  <c r="A575" i="11"/>
  <c r="A576" i="11"/>
  <c r="A577" i="11"/>
  <c r="A578" i="11"/>
  <c r="A579" i="11"/>
  <c r="A580" i="11"/>
  <c r="A581" i="11"/>
  <c r="A582" i="11"/>
  <c r="A583" i="11"/>
  <c r="A584" i="11"/>
  <c r="A585" i="11"/>
  <c r="A586" i="11"/>
  <c r="A587" i="11"/>
  <c r="A588" i="11"/>
  <c r="A589" i="11"/>
  <c r="A590" i="11"/>
  <c r="A591" i="11"/>
  <c r="A592" i="11"/>
  <c r="A593" i="11"/>
  <c r="A594" i="11"/>
  <c r="A595" i="11"/>
  <c r="A596" i="11"/>
  <c r="A597" i="11"/>
  <c r="A598" i="11"/>
  <c r="A599" i="11"/>
  <c r="A600" i="11"/>
  <c r="A601" i="11"/>
  <c r="A602" i="11"/>
  <c r="A603" i="11"/>
  <c r="A604" i="11"/>
  <c r="A605" i="11"/>
  <c r="A606" i="11"/>
  <c r="A607" i="11"/>
  <c r="A608" i="11"/>
  <c r="A609" i="11"/>
  <c r="A610" i="11"/>
  <c r="A611" i="11"/>
  <c r="A612" i="11"/>
  <c r="A613" i="11"/>
  <c r="A614" i="11"/>
  <c r="A615" i="11"/>
  <c r="A616" i="11"/>
  <c r="A617" i="11"/>
  <c r="A618" i="11"/>
  <c r="A619" i="11"/>
  <c r="A620" i="11"/>
  <c r="A621" i="11"/>
  <c r="A622" i="11"/>
  <c r="A623" i="11"/>
  <c r="A624" i="11"/>
  <c r="A625" i="11"/>
  <c r="A626" i="11"/>
  <c r="A627" i="11"/>
  <c r="A628" i="11"/>
  <c r="A629" i="11"/>
  <c r="A630" i="11"/>
  <c r="A631" i="11"/>
  <c r="A632" i="11"/>
  <c r="A633" i="11"/>
  <c r="A634" i="11"/>
  <c r="A635" i="11"/>
  <c r="A636" i="11"/>
  <c r="A637" i="11"/>
  <c r="A638" i="11"/>
  <c r="A639" i="11"/>
  <c r="A640" i="11"/>
  <c r="A641" i="11"/>
  <c r="A642" i="11"/>
  <c r="A643" i="11"/>
  <c r="A644" i="11"/>
  <c r="A645" i="11"/>
  <c r="A646" i="11"/>
  <c r="A647" i="11"/>
  <c r="A648" i="11"/>
  <c r="A649" i="11"/>
  <c r="A650" i="11"/>
  <c r="A651" i="11"/>
  <c r="A652" i="11"/>
  <c r="A653" i="11"/>
  <c r="A654" i="11"/>
  <c r="A655" i="11"/>
  <c r="A656" i="11"/>
  <c r="A657" i="11"/>
  <c r="A658" i="11"/>
  <c r="A659" i="11"/>
  <c r="A660" i="11"/>
  <c r="A661" i="11"/>
  <c r="A662" i="11"/>
  <c r="A663" i="11"/>
  <c r="A664" i="11"/>
  <c r="A665" i="11"/>
  <c r="A666" i="11"/>
  <c r="A667" i="11"/>
  <c r="A668" i="11"/>
  <c r="A669" i="11"/>
  <c r="A670" i="11"/>
  <c r="A671" i="11"/>
  <c r="A672" i="11"/>
  <c r="A673" i="11"/>
  <c r="A674" i="11"/>
  <c r="A675" i="11"/>
  <c r="A676" i="11"/>
  <c r="A677" i="11"/>
  <c r="A678" i="11"/>
  <c r="A679" i="11"/>
  <c r="A680" i="11"/>
  <c r="A681" i="11"/>
  <c r="A682" i="11"/>
  <c r="A683" i="11"/>
  <c r="A684" i="11"/>
  <c r="A685" i="11"/>
  <c r="A686" i="11"/>
  <c r="A687" i="11"/>
  <c r="A688" i="11"/>
  <c r="A689" i="11"/>
  <c r="A690" i="11"/>
  <c r="A691" i="11"/>
  <c r="A692" i="11"/>
  <c r="A693" i="11"/>
  <c r="A694" i="11"/>
  <c r="A695" i="11"/>
  <c r="A696" i="11"/>
  <c r="A697" i="11"/>
  <c r="A698" i="11"/>
  <c r="A699" i="11"/>
  <c r="A700" i="11"/>
  <c r="A701" i="11"/>
  <c r="A702" i="11"/>
  <c r="A703" i="11"/>
  <c r="A704" i="11"/>
  <c r="A705" i="11"/>
  <c r="A706" i="11"/>
  <c r="A707" i="11"/>
  <c r="A708" i="11"/>
  <c r="A709" i="11"/>
  <c r="A710" i="11"/>
  <c r="A711" i="11"/>
  <c r="A712" i="11"/>
  <c r="A713" i="11"/>
  <c r="A714" i="11"/>
  <c r="A715" i="11"/>
  <c r="A716" i="11"/>
  <c r="A717" i="11"/>
  <c r="A718" i="11"/>
  <c r="A719" i="11"/>
  <c r="A720" i="11"/>
  <c r="A721" i="11"/>
  <c r="A722" i="11"/>
  <c r="A723" i="11"/>
  <c r="A724" i="11"/>
  <c r="A725" i="11"/>
  <c r="A726" i="11"/>
  <c r="A727" i="11"/>
  <c r="A728" i="11"/>
  <c r="A729" i="11"/>
  <c r="A730" i="11"/>
  <c r="A731" i="11"/>
  <c r="A732" i="11"/>
  <c r="A733" i="11"/>
  <c r="A734" i="11"/>
  <c r="A735" i="11"/>
  <c r="A736" i="11"/>
  <c r="A737" i="11"/>
  <c r="A738" i="11"/>
  <c r="A739" i="11"/>
  <c r="A740" i="11"/>
  <c r="A741" i="11"/>
  <c r="A742" i="11"/>
  <c r="A743" i="11"/>
  <c r="A744" i="11"/>
  <c r="A745" i="11"/>
  <c r="A746" i="11"/>
  <c r="A747" i="11"/>
  <c r="A748" i="11"/>
  <c r="A749" i="11"/>
  <c r="A750" i="11"/>
  <c r="A751" i="11"/>
  <c r="A752" i="11"/>
  <c r="A753" i="11"/>
  <c r="A754" i="11"/>
  <c r="A755" i="11"/>
  <c r="A756" i="11"/>
  <c r="A757" i="11"/>
  <c r="A758" i="11"/>
  <c r="A759" i="11"/>
  <c r="A760" i="11"/>
  <c r="A761" i="11"/>
  <c r="A762" i="11"/>
  <c r="A763" i="11"/>
  <c r="A764" i="11"/>
  <c r="A765" i="11"/>
  <c r="A766" i="11"/>
  <c r="A767" i="11"/>
  <c r="A768" i="11"/>
  <c r="A769" i="11"/>
  <c r="A770" i="11"/>
  <c r="A771" i="11"/>
  <c r="A772" i="11"/>
  <c r="A773" i="11"/>
  <c r="A774" i="11"/>
  <c r="A775" i="11"/>
  <c r="A776" i="11"/>
  <c r="A777" i="11"/>
  <c r="A778" i="11"/>
  <c r="A779" i="11"/>
  <c r="A780" i="11"/>
  <c r="A781" i="11"/>
  <c r="A782" i="11"/>
  <c r="A783" i="11"/>
  <c r="A784" i="11"/>
  <c r="A785" i="11"/>
  <c r="A786" i="11"/>
  <c r="A787" i="11"/>
  <c r="A788" i="11"/>
  <c r="A789" i="11"/>
  <c r="A790" i="11"/>
  <c r="A791" i="11"/>
  <c r="A792" i="11"/>
  <c r="A793" i="11"/>
  <c r="A794" i="11"/>
  <c r="A795" i="11"/>
  <c r="A796" i="11"/>
  <c r="A797" i="11"/>
  <c r="A798" i="11"/>
  <c r="A799" i="11"/>
  <c r="A800" i="11"/>
  <c r="A801" i="11"/>
  <c r="A802" i="11"/>
  <c r="A803" i="11"/>
  <c r="A804" i="11"/>
  <c r="A805" i="11"/>
  <c r="A806" i="11"/>
  <c r="A807" i="11"/>
  <c r="A808" i="11"/>
  <c r="A809" i="11"/>
  <c r="A810" i="11"/>
  <c r="A811" i="11"/>
  <c r="A812" i="11"/>
  <c r="A813" i="11"/>
  <c r="A814" i="11"/>
  <c r="A815" i="11"/>
  <c r="A816" i="11"/>
  <c r="A817" i="11"/>
  <c r="A818" i="11"/>
  <c r="A819" i="11"/>
  <c r="A820" i="11"/>
  <c r="A821" i="11"/>
  <c r="A822" i="11"/>
  <c r="A823" i="11"/>
  <c r="A824" i="11"/>
  <c r="A825" i="11"/>
  <c r="A826" i="11"/>
  <c r="A827" i="11"/>
  <c r="A828" i="11"/>
  <c r="A829" i="11"/>
  <c r="A830" i="11"/>
  <c r="A831" i="11"/>
  <c r="A832" i="11"/>
  <c r="A833" i="11"/>
  <c r="A834" i="11"/>
  <c r="A835" i="11"/>
  <c r="A836" i="11"/>
  <c r="A837" i="11"/>
  <c r="A838" i="11"/>
  <c r="A839" i="11"/>
  <c r="A840" i="11"/>
  <c r="A841" i="11"/>
  <c r="A842" i="11"/>
  <c r="A843" i="11"/>
  <c r="A844" i="11"/>
  <c r="A845" i="11"/>
  <c r="A846" i="11"/>
  <c r="A847" i="11"/>
  <c r="A848" i="11"/>
  <c r="A849" i="11"/>
  <c r="A850" i="11"/>
  <c r="A851" i="11"/>
  <c r="A852" i="11"/>
  <c r="A853" i="11"/>
  <c r="A854" i="11"/>
  <c r="A855" i="11"/>
  <c r="A856" i="11"/>
  <c r="A857" i="11"/>
  <c r="A858" i="11"/>
  <c r="A859" i="11"/>
  <c r="A860" i="11"/>
  <c r="A861" i="11"/>
  <c r="A862" i="11"/>
  <c r="A863" i="11"/>
  <c r="A864" i="11"/>
  <c r="A865" i="11"/>
  <c r="A866" i="11"/>
  <c r="A867" i="11"/>
  <c r="A868" i="11"/>
  <c r="A869" i="11"/>
  <c r="A870" i="11"/>
  <c r="A871" i="11"/>
  <c r="A872" i="11"/>
  <c r="A873" i="11"/>
  <c r="A874" i="11"/>
  <c r="A875" i="11"/>
  <c r="A876" i="11"/>
  <c r="A877" i="11"/>
  <c r="A878" i="11"/>
  <c r="A879" i="11"/>
  <c r="A880" i="11"/>
  <c r="A881" i="11"/>
  <c r="A882" i="11"/>
  <c r="A883" i="11"/>
  <c r="A884" i="11"/>
  <c r="A885" i="11"/>
  <c r="A886" i="11"/>
  <c r="A887" i="11"/>
  <c r="A888" i="11"/>
  <c r="A889" i="11"/>
  <c r="A890" i="11"/>
  <c r="A891" i="11"/>
  <c r="A892" i="11"/>
  <c r="A893" i="11"/>
  <c r="A894" i="11"/>
  <c r="A895" i="11"/>
  <c r="A896" i="11"/>
  <c r="A897" i="11"/>
  <c r="A898" i="11"/>
  <c r="A899" i="11"/>
  <c r="A900" i="11"/>
  <c r="A901" i="11"/>
  <c r="A902" i="11"/>
  <c r="A903" i="11"/>
  <c r="A904" i="11"/>
  <c r="A905" i="11"/>
  <c r="A906" i="11"/>
  <c r="A907" i="11"/>
  <c r="A908" i="11"/>
  <c r="A909" i="11"/>
  <c r="A910" i="11"/>
  <c r="A911" i="11"/>
  <c r="A912" i="11"/>
  <c r="A913" i="11"/>
  <c r="A914" i="11"/>
  <c r="A915" i="11"/>
  <c r="A916" i="11"/>
  <c r="A917" i="11"/>
  <c r="A918" i="11"/>
  <c r="A919" i="11"/>
  <c r="A920" i="11"/>
  <c r="A921" i="11"/>
  <c r="A922" i="11"/>
  <c r="A923" i="11"/>
  <c r="A924" i="11"/>
  <c r="A925" i="11"/>
  <c r="A926" i="11"/>
  <c r="A927" i="11"/>
  <c r="A928" i="11"/>
  <c r="A929" i="11"/>
  <c r="A930" i="11"/>
  <c r="A931" i="11"/>
  <c r="A932" i="11"/>
  <c r="A933" i="11"/>
  <c r="A934" i="11"/>
  <c r="A935" i="11"/>
  <c r="A936" i="11"/>
  <c r="A937" i="11"/>
  <c r="A938" i="11"/>
  <c r="A939" i="11"/>
  <c r="A940" i="11"/>
  <c r="A941" i="11"/>
  <c r="A942" i="11"/>
  <c r="A943" i="11"/>
  <c r="A944" i="11"/>
  <c r="A945" i="11"/>
  <c r="A946" i="11"/>
  <c r="A947" i="11"/>
  <c r="A948" i="11"/>
  <c r="A949" i="11"/>
  <c r="A950" i="11"/>
  <c r="A951" i="11"/>
  <c r="A952" i="11"/>
  <c r="A953" i="11"/>
  <c r="A954" i="11"/>
  <c r="A955" i="11"/>
  <c r="A956" i="11"/>
  <c r="A957" i="11"/>
  <c r="A958" i="11"/>
  <c r="A959" i="11"/>
  <c r="A960" i="11"/>
  <c r="A961" i="11"/>
  <c r="A962" i="11"/>
  <c r="A963" i="11"/>
  <c r="A964" i="11"/>
  <c r="A965" i="11"/>
  <c r="A966" i="11"/>
  <c r="A967" i="11"/>
  <c r="A968" i="11"/>
  <c r="A969" i="11"/>
  <c r="A970" i="11"/>
  <c r="A971" i="11"/>
  <c r="A972" i="11"/>
  <c r="A973" i="11"/>
  <c r="A974" i="11"/>
  <c r="A975" i="11"/>
  <c r="A976" i="11"/>
  <c r="A977" i="11"/>
  <c r="A978" i="11"/>
  <c r="A979" i="11"/>
  <c r="A980" i="11"/>
  <c r="A981" i="11"/>
  <c r="A982" i="11"/>
  <c r="A983" i="11"/>
  <c r="A984" i="11"/>
  <c r="A985" i="11"/>
  <c r="A986" i="11"/>
  <c r="A987" i="11"/>
  <c r="A988" i="11"/>
  <c r="A989" i="11"/>
  <c r="A990" i="11"/>
  <c r="A991" i="11"/>
  <c r="A992" i="11"/>
  <c r="A993" i="11"/>
  <c r="A994" i="11"/>
  <c r="A995" i="11"/>
  <c r="A996" i="11"/>
  <c r="A997" i="11"/>
  <c r="A998" i="11"/>
  <c r="A999" i="11"/>
  <c r="A1000" i="11"/>
  <c r="A1001" i="11"/>
  <c r="A1002" i="11"/>
  <c r="A1003" i="11"/>
  <c r="A1004" i="11"/>
  <c r="A1005" i="11"/>
  <c r="A1006" i="11"/>
  <c r="A1007" i="11"/>
  <c r="A1008" i="11"/>
  <c r="A1009" i="11"/>
  <c r="A1010" i="11"/>
  <c r="A1011" i="11"/>
  <c r="A1012" i="11"/>
  <c r="A1013" i="11"/>
  <c r="A1014" i="11"/>
  <c r="A1015" i="11"/>
  <c r="A1016" i="11"/>
</calcChain>
</file>

<file path=xl/sharedStrings.xml><?xml version="1.0" encoding="utf-8"?>
<sst xmlns="http://schemas.openxmlformats.org/spreadsheetml/2006/main" count="386" uniqueCount="195">
  <si>
    <t>Title</t>
  </si>
  <si>
    <t>Navigation</t>
  </si>
  <si>
    <t>Content</t>
  </si>
  <si>
    <t>Customization difficulty (1-3)</t>
  </si>
  <si>
    <t>Explanation of sheets</t>
  </si>
  <si>
    <t>How to customize</t>
  </si>
  <si>
    <t>1)</t>
  </si>
  <si>
    <t>2)</t>
  </si>
  <si>
    <t>3)</t>
  </si>
  <si>
    <t>4)</t>
  </si>
  <si>
    <t>5)</t>
  </si>
  <si>
    <t>6)</t>
  </si>
  <si>
    <t>7)</t>
  </si>
  <si>
    <t>8)</t>
  </si>
  <si>
    <t>Database</t>
  </si>
  <si>
    <t>Email Campaign Management</t>
  </si>
  <si>
    <t>Add Email Campaign</t>
  </si>
  <si>
    <t>Date Sent</t>
  </si>
  <si>
    <t>Time</t>
  </si>
  <si>
    <t>Campaign Name</t>
  </si>
  <si>
    <t>Subject Line</t>
  </si>
  <si>
    <t>List</t>
  </si>
  <si>
    <t>Email Platform</t>
  </si>
  <si>
    <t xml:space="preserve">Recipients </t>
  </si>
  <si>
    <t>Successful Deliveries</t>
  </si>
  <si>
    <t>Opens</t>
  </si>
  <si>
    <t>Delivery Rate%</t>
  </si>
  <si>
    <t>Open Rate%</t>
  </si>
  <si>
    <t>Unique Clicks</t>
  </si>
  <si>
    <t>Total Clicks</t>
  </si>
  <si>
    <t>Click Rate%</t>
  </si>
  <si>
    <t>Placed Order</t>
  </si>
  <si>
    <t>Revenue</t>
  </si>
  <si>
    <t>Revenue Per Recipient</t>
  </si>
  <si>
    <t>Unsubscribes</t>
  </si>
  <si>
    <t>Unsubscribes%</t>
  </si>
  <si>
    <t>Campaigns List</t>
  </si>
  <si>
    <t>Email Content</t>
  </si>
  <si>
    <t>Limits</t>
  </si>
  <si>
    <t>Click Rate% Visualization Limits</t>
  </si>
  <si>
    <t>Open Rate% Visualization Limits</t>
  </si>
  <si>
    <t>Month Number</t>
  </si>
  <si>
    <t>Week Number</t>
  </si>
  <si>
    <t>Month Text</t>
  </si>
  <si>
    <t>Year</t>
  </si>
  <si>
    <t>Jan</t>
  </si>
  <si>
    <t>Feb</t>
  </si>
  <si>
    <t>Mar</t>
  </si>
  <si>
    <t>Apr</t>
  </si>
  <si>
    <t>May</t>
  </si>
  <si>
    <t>Jun</t>
  </si>
  <si>
    <t>Jul</t>
  </si>
  <si>
    <t>Aug</t>
  </si>
  <si>
    <t>Sep</t>
  </si>
  <si>
    <t>Oct</t>
  </si>
  <si>
    <t>Nov</t>
  </si>
  <si>
    <t>Dec</t>
  </si>
  <si>
    <t>Campaign Remarks</t>
  </si>
  <si>
    <t>Excel template for small business</t>
  </si>
  <si>
    <t>Content 1</t>
  </si>
  <si>
    <t>Content 2</t>
  </si>
  <si>
    <t>Content 3</t>
  </si>
  <si>
    <t>Content 4</t>
  </si>
  <si>
    <t>Content 5</t>
  </si>
  <si>
    <t>Content 6</t>
  </si>
  <si>
    <t>5-Tips for making spreadsheet</t>
  </si>
  <si>
    <t>The Power of Excel Dashboards</t>
  </si>
  <si>
    <t>Campaign 4</t>
  </si>
  <si>
    <t>Campaign 5</t>
  </si>
  <si>
    <t>Campaign 6</t>
  </si>
  <si>
    <t>Purchasers</t>
  </si>
  <si>
    <t>Newsletter</t>
  </si>
  <si>
    <t>Daily Email</t>
  </si>
  <si>
    <t>List 4</t>
  </si>
  <si>
    <t>Klaviyo</t>
  </si>
  <si>
    <t>MailChimp</t>
  </si>
  <si>
    <t>Constant Contact</t>
  </si>
  <si>
    <t>Platform 4</t>
  </si>
  <si>
    <t>Min Open Rate%</t>
  </si>
  <si>
    <t>Good</t>
  </si>
  <si>
    <t>Normal</t>
  </si>
  <si>
    <t>Low</t>
  </si>
  <si>
    <t>Target Revenue</t>
  </si>
  <si>
    <t>Total Recipients</t>
  </si>
  <si>
    <t>Delivery Rate %</t>
  </si>
  <si>
    <t>Open Rate %</t>
  </si>
  <si>
    <t>Click Rate %</t>
  </si>
  <si>
    <t>Total Revenue</t>
  </si>
  <si>
    <t>Row Labels</t>
  </si>
  <si>
    <t>Grand Total</t>
  </si>
  <si>
    <t xml:space="preserve">Sum of Recipients </t>
  </si>
  <si>
    <t>Sum of Revenue</t>
  </si>
  <si>
    <t>Average of Delivery Rate%</t>
  </si>
  <si>
    <t>Average of Open Rate%</t>
  </si>
  <si>
    <t>Average of Click Rate%</t>
  </si>
  <si>
    <t>Campaign Code</t>
  </si>
  <si>
    <t>CAMP_CODE#1</t>
  </si>
  <si>
    <t>CAMP_CODE#9</t>
  </si>
  <si>
    <t>CAMP_CODE#8</t>
  </si>
  <si>
    <t>CAMP_CODE#2</t>
  </si>
  <si>
    <t>CAMP_CODE#3</t>
  </si>
  <si>
    <t>CAMP_CODE#4</t>
  </si>
  <si>
    <t>CAMP_CODE#5</t>
  </si>
  <si>
    <t>CAMP_CODE#6</t>
  </si>
  <si>
    <t>CAMP_CODE#7</t>
  </si>
  <si>
    <t>CAMP_CODE#10</t>
  </si>
  <si>
    <t>CAMP_CODE#11</t>
  </si>
  <si>
    <t>CAMP_CODE#12</t>
  </si>
  <si>
    <t>CAMP_CODE#13</t>
  </si>
  <si>
    <t>CAMP_CODE#14</t>
  </si>
  <si>
    <t>CAMP_CODE#15</t>
  </si>
  <si>
    <t>CAMP_CODE#16</t>
  </si>
  <si>
    <t>CAMP_CODE#17</t>
  </si>
  <si>
    <t>CAMP_CODE#18</t>
  </si>
  <si>
    <t>CAMP_CODE#19</t>
  </si>
  <si>
    <t>CAMP_CODE#20</t>
  </si>
  <si>
    <t>CAMP_CODE#21</t>
  </si>
  <si>
    <t>CAMP_CODE#22</t>
  </si>
  <si>
    <t>CAMP_CODE#23</t>
  </si>
  <si>
    <t>CAMP_CODE#24</t>
  </si>
  <si>
    <t>CAMP_CODE#25</t>
  </si>
  <si>
    <t>CAMP_CODE#26</t>
  </si>
  <si>
    <t>CAMP_CODE#27</t>
  </si>
  <si>
    <t>CAMP_CODE#28</t>
  </si>
  <si>
    <t>CAMP_CODE#29</t>
  </si>
  <si>
    <t>CAMP_CODE#30</t>
  </si>
  <si>
    <t>Total Orders Placed</t>
  </si>
  <si>
    <t>Sum of Placed Order</t>
  </si>
  <si>
    <t>Average of Unsubscribes%</t>
  </si>
  <si>
    <t>Email Campaigns Management</t>
  </si>
  <si>
    <t>2020</t>
  </si>
  <si>
    <t>Qtr4</t>
  </si>
  <si>
    <t>2021</t>
  </si>
  <si>
    <t>Qtr1</t>
  </si>
  <si>
    <t>Email Campaign Dashboard</t>
  </si>
  <si>
    <t>08-Jan</t>
  </si>
  <si>
    <t>09-Jan</t>
  </si>
  <si>
    <t>10-Jan</t>
  </si>
  <si>
    <t>11-Jan</t>
  </si>
  <si>
    <t>18-Jan</t>
  </si>
  <si>
    <t>19-Jan</t>
  </si>
  <si>
    <t>20-Jan</t>
  </si>
  <si>
    <t>24-Jan</t>
  </si>
  <si>
    <t>28-Jan</t>
  </si>
  <si>
    <t>30-Jan</t>
  </si>
  <si>
    <t>02-Feb</t>
  </si>
  <si>
    <t>15-Feb</t>
  </si>
  <si>
    <t>20-Feb</t>
  </si>
  <si>
    <t>22-Feb</t>
  </si>
  <si>
    <t>23-Feb</t>
  </si>
  <si>
    <t>07-Oct</t>
  </si>
  <si>
    <t>19-Oct</t>
  </si>
  <si>
    <t>25-Oct</t>
  </si>
  <si>
    <t>28-Oct</t>
  </si>
  <si>
    <t>02-Nov</t>
  </si>
  <si>
    <t>09-Nov</t>
  </si>
  <si>
    <t>12-Nov</t>
  </si>
  <si>
    <t>17-Nov</t>
  </si>
  <si>
    <t>26-Nov</t>
  </si>
  <si>
    <t>29-Nov</t>
  </si>
  <si>
    <t>02-Dec</t>
  </si>
  <si>
    <t>21-Dec</t>
  </si>
  <si>
    <t>29-Dec</t>
  </si>
  <si>
    <t>30-Dec</t>
  </si>
  <si>
    <t>Accumulated Revenue</t>
  </si>
  <si>
    <t>Dashboard</t>
  </si>
  <si>
    <t>Excel Templates</t>
  </si>
  <si>
    <t>Excel Tips</t>
  </si>
  <si>
    <t>Dashboards</t>
  </si>
  <si>
    <t>Subject Line 4</t>
  </si>
  <si>
    <t>Subject Line 5</t>
  </si>
  <si>
    <t>Subject Line 6</t>
  </si>
  <si>
    <t xml:space="preserve">Manage and analyze the success of your Email campaigns. Generate insights into revenue, clicks, open rates and unsubscribes with the Dashboard. </t>
  </si>
  <si>
    <t>Summary of email campaigns, built with dynamic slicers for chating and evaluating key metrics in the aggregate or for specific campaigns</t>
  </si>
  <si>
    <t>Record your email campaign data.</t>
  </si>
  <si>
    <t>Record Campaign Names, Subject Lines, Content, List, Email Platform and Open Rate and Click Rate Visualization</t>
  </si>
  <si>
    <t>Starting the in the Database sheet, record Campaign Names, Subject Lines, Content, Lists and Email Platform</t>
  </si>
  <si>
    <t>For Visualization Limits, set your limits for Open Rate % and Click Rate %. This will make it easy to visualize when emails perform better than average, average or worse than average.</t>
  </si>
  <si>
    <t>Go to the Email Campaign Management sheet and record all available data related to specific email campaigns.</t>
  </si>
  <si>
    <t>Some fields will automatically calculated. *Fields in gray cell include functions and cannot be unedited unless you Unprotect the Sheet*</t>
  </si>
  <si>
    <t>Some data is input manually and others use uses drop-down lists to minimize manual inputs.</t>
  </si>
  <si>
    <t>Go to the Dashboard sheet to see your data in the form of charts and trends for high-level analysis.</t>
  </si>
  <si>
    <t>To update emails campaigns charts and dashboard data, click the Refresh button</t>
  </si>
  <si>
    <t>To maximize screen view, click on the Full screen button</t>
  </si>
  <si>
    <t>Related To Online Templates</t>
  </si>
  <si>
    <t>Our templates is compatible with online service but some templates that including macros feature is still not supported with Excel Online</t>
  </si>
  <si>
    <t>Here is some hints that replace our macros in case of using Online Template</t>
  </si>
  <si>
    <t>Referesh / Update Data</t>
  </si>
  <si>
    <r>
      <t xml:space="preserve">Some of our templates include </t>
    </r>
    <r>
      <rPr>
        <b/>
        <sz val="10"/>
        <color theme="1"/>
        <rFont val="Arial"/>
        <family val="2"/>
      </rPr>
      <t xml:space="preserve">Referesh/Update data </t>
    </r>
    <r>
      <rPr>
        <sz val="10"/>
        <color theme="1"/>
        <rFont val="Arial"/>
        <family val="2"/>
      </rPr>
      <t>macro button that can be replaced with Referesh All tool in Excel Online ribbon</t>
    </r>
  </si>
  <si>
    <t>Full Screen</t>
  </si>
  <si>
    <r>
      <t xml:space="preserve">Some of our templates have </t>
    </r>
    <r>
      <rPr>
        <b/>
        <sz val="10"/>
        <color theme="1"/>
        <rFont val="Arial"/>
        <family val="2"/>
      </rPr>
      <t xml:space="preserve">Full Screen </t>
    </r>
    <r>
      <rPr>
        <sz val="10"/>
        <color theme="1"/>
        <rFont val="Arial"/>
        <family val="2"/>
      </rPr>
      <t xml:space="preserve">macro button that can be replaced with the itself web browser full screen tool </t>
    </r>
  </si>
  <si>
    <t>Other Macros / Buttons</t>
  </si>
  <si>
    <r>
      <t xml:space="preserve">Other macros is applied on less than ~15% of our templats can be overcome by transferring to Desktop App </t>
    </r>
    <r>
      <rPr>
        <b/>
        <sz val="10"/>
        <color theme="1"/>
        <rFont val="Arial"/>
        <family val="2"/>
      </rPr>
      <t>"Open in Desktop App"</t>
    </r>
    <r>
      <rPr>
        <sz val="10"/>
        <color theme="1"/>
        <rFont val="Arial"/>
        <family val="2"/>
      </rPr>
      <t xml:space="preserve"> button</t>
    </r>
  </si>
  <si>
    <t>Open in Desktop App</t>
  </si>
  <si>
    <t>To open online template using Desktop App be sure that you signed in to your Microsoft account / Onedrive account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</si>
</sst>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_);_(* \(#,##0.00\);_(* &quot;-&quot;??_);_(@_)"/>
    <numFmt numFmtId="165" formatCode="[$-409]d\-mmm\-yy;@"/>
    <numFmt numFmtId="166" formatCode="[$-409]h:mm\ AM/PM;@"/>
    <numFmt numFmtId="167" formatCode="&quot;$&quot;#,##0.00"/>
    <numFmt numFmtId="168" formatCode="&quot;$&quot;#,##0"/>
    <numFmt numFmtId="169" formatCode="_(* #,##0_);_(* \(#,##0\);_(* &quot;-&quot;??_);_(@_)"/>
    <numFmt numFmtId="170" formatCode="[$$-409]#,##0_);\([$$-409]#,##0\)"/>
  </numFmts>
  <fonts count="38" x14ac:knownFonts="1">
    <font>
      <sz val="10"/>
      <color theme="1"/>
      <name val="Arial"/>
      <family val="2"/>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b/>
      <sz val="10"/>
      <color theme="0"/>
      <name val="Arial"/>
      <family val="2"/>
    </font>
    <font>
      <sz val="8"/>
      <name val="Arial"/>
      <family val="2"/>
    </font>
    <font>
      <b/>
      <sz val="10"/>
      <color theme="1"/>
      <name val="Arial"/>
      <family val="2"/>
    </font>
    <font>
      <u/>
      <sz val="10"/>
      <color theme="10"/>
      <name val="Arial"/>
      <family val="2"/>
    </font>
    <font>
      <sz val="12"/>
      <color theme="1"/>
      <name val="Calibri"/>
      <family val="2"/>
      <scheme val="minor"/>
    </font>
    <font>
      <sz val="12"/>
      <color theme="1"/>
      <name val="Arial"/>
      <family val="2"/>
    </font>
    <font>
      <sz val="12"/>
      <color theme="0"/>
      <name val="Arial"/>
      <family val="2"/>
    </font>
    <font>
      <u/>
      <sz val="10"/>
      <color theme="0"/>
      <name val="Arial"/>
      <family val="2"/>
    </font>
    <font>
      <b/>
      <sz val="10"/>
      <color theme="0" tint="-0.34998626667073579"/>
      <name val="Arial"/>
      <family val="2"/>
    </font>
    <font>
      <sz val="10"/>
      <color theme="0" tint="-0.34998626667073579"/>
      <name val="Arial"/>
      <family val="2"/>
    </font>
    <font>
      <sz val="10"/>
      <name val="Arial"/>
      <family val="2"/>
    </font>
    <font>
      <i/>
      <u/>
      <sz val="10"/>
      <color theme="1"/>
      <name val="Arial"/>
      <family val="2"/>
    </font>
    <font>
      <b/>
      <u/>
      <sz val="10"/>
      <color theme="1"/>
      <name val="Arial"/>
      <family val="2"/>
    </font>
    <font>
      <sz val="10"/>
      <color theme="1" tint="0.499984740745262"/>
      <name val="Arial"/>
      <family val="2"/>
    </font>
    <font>
      <sz val="10"/>
      <color theme="0"/>
      <name val="Arial"/>
      <family val="2"/>
    </font>
    <font>
      <b/>
      <u/>
      <sz val="11"/>
      <color theme="1" tint="0.499984740745262"/>
      <name val="Arial"/>
      <family val="2"/>
    </font>
    <font>
      <sz val="11"/>
      <color rgb="FF006100"/>
      <name val="Calibri"/>
      <family val="2"/>
      <scheme val="minor"/>
    </font>
    <font>
      <sz val="11"/>
      <color rgb="FF9C0006"/>
      <name val="Calibri"/>
      <family val="2"/>
      <scheme val="minor"/>
    </font>
    <font>
      <sz val="11"/>
      <color rgb="FF9C5700"/>
      <name val="Calibri"/>
      <family val="2"/>
      <scheme val="minor"/>
    </font>
    <font>
      <b/>
      <sz val="14"/>
      <color theme="0"/>
      <name val="Arial"/>
      <family val="2"/>
    </font>
    <font>
      <b/>
      <sz val="36"/>
      <color theme="1" tint="0.499984740745262"/>
      <name val="Arial"/>
      <family val="2"/>
    </font>
    <font>
      <b/>
      <sz val="36"/>
      <color theme="1" tint="0.34998626667073579"/>
      <name val="Arial"/>
      <family val="2"/>
    </font>
    <font>
      <b/>
      <sz val="28"/>
      <color theme="1" tint="0.34998626667073579"/>
      <name val="Arial"/>
      <family val="2"/>
    </font>
    <font>
      <sz val="10"/>
      <color rgb="FFC00000"/>
      <name val="Arial"/>
      <family val="2"/>
    </font>
    <font>
      <sz val="18"/>
      <color theme="0"/>
      <name val="Arial"/>
      <family val="2"/>
    </font>
    <font>
      <b/>
      <u/>
      <sz val="10"/>
      <color rgb="FF50B47F"/>
      <name val="Arial"/>
      <family val="2"/>
    </font>
    <font>
      <u val="singleAccounting"/>
      <sz val="10"/>
      <color rgb="FF50B47F"/>
      <name val="Arial"/>
      <family val="2"/>
    </font>
    <font>
      <sz val="10"/>
      <color rgb="FFA32319"/>
      <name val="Arial"/>
      <family val="2"/>
    </font>
    <font>
      <sz val="10"/>
      <color rgb="FF8FCFAD"/>
      <name val="Arial"/>
      <family val="2"/>
    </font>
    <font>
      <b/>
      <sz val="10"/>
      <color theme="1" tint="0.499984740745262"/>
      <name val="Arial"/>
      <family val="2"/>
    </font>
    <font>
      <sz val="10"/>
      <color rgb="FF50B47F"/>
      <name val="Arial"/>
      <family val="2"/>
    </font>
    <font>
      <b/>
      <sz val="10"/>
      <color theme="0" tint="-0.499984740745262"/>
      <name val="Arial"/>
      <family val="2"/>
    </font>
    <font>
      <u/>
      <sz val="10"/>
      <color theme="0" tint="-0.499984740745262"/>
      <name val="Arial"/>
      <family val="2"/>
    </font>
  </fonts>
  <fills count="10">
    <fill>
      <patternFill patternType="none"/>
    </fill>
    <fill>
      <patternFill patternType="gray125"/>
    </fill>
    <fill>
      <patternFill patternType="solid">
        <fgColor rgb="FF50B47F"/>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0"/>
        <bgColor indexed="64"/>
      </patternFill>
    </fill>
    <fill>
      <patternFill patternType="solid">
        <fgColor rgb="FF8FCFAD"/>
        <bgColor indexed="64"/>
      </patternFill>
    </fill>
  </fills>
  <borders count="25">
    <border>
      <left/>
      <right/>
      <top/>
      <bottom/>
      <diagonal/>
    </border>
    <border>
      <left/>
      <right/>
      <top/>
      <bottom style="thick">
        <color theme="0" tint="-0.14993743705557422"/>
      </bottom>
      <diagonal/>
    </border>
    <border>
      <left style="thin">
        <color theme="0" tint="-0.14996795556505021"/>
      </left>
      <right style="thin">
        <color theme="0" tint="-0.14996795556505021"/>
      </right>
      <top/>
      <bottom style="thick">
        <color theme="0" tint="-0.14993743705557422"/>
      </bottom>
      <diagonal/>
    </border>
    <border>
      <left style="thick">
        <color theme="0"/>
      </left>
      <right/>
      <top style="thick">
        <color theme="0"/>
      </top>
      <bottom/>
      <diagonal/>
    </border>
    <border>
      <left/>
      <right style="thick">
        <color theme="0"/>
      </right>
      <top style="thick">
        <color theme="0"/>
      </top>
      <bottom/>
      <diagonal/>
    </border>
    <border>
      <left style="thick">
        <color theme="0"/>
      </left>
      <right/>
      <top/>
      <bottom style="thick">
        <color theme="0"/>
      </bottom>
      <diagonal/>
    </border>
    <border>
      <left/>
      <right style="thick">
        <color theme="0"/>
      </right>
      <top/>
      <bottom style="thick">
        <color theme="0"/>
      </bottom>
      <diagonal/>
    </border>
    <border>
      <left style="thick">
        <color theme="0"/>
      </left>
      <right style="thick">
        <color theme="0"/>
      </right>
      <top style="thick">
        <color theme="0"/>
      </top>
      <bottom/>
      <diagonal/>
    </border>
    <border>
      <left style="thick">
        <color theme="0"/>
      </left>
      <right style="thick">
        <color theme="0"/>
      </right>
      <top/>
      <bottom style="thick">
        <color theme="0"/>
      </bottom>
      <diagonal/>
    </border>
    <border>
      <left style="thick">
        <color theme="0"/>
      </left>
      <right/>
      <top/>
      <bottom/>
      <diagonal/>
    </border>
    <border>
      <left/>
      <right style="thick">
        <color theme="0"/>
      </right>
      <top/>
      <bottom/>
      <diagonal/>
    </border>
    <border>
      <left style="thick">
        <color theme="0"/>
      </left>
      <right style="thick">
        <color theme="0"/>
      </right>
      <top/>
      <bottom/>
      <diagonal/>
    </border>
    <border>
      <left style="thin">
        <color theme="0" tint="-0.1498458815271462"/>
      </left>
      <right style="thin">
        <color theme="0" tint="-0.1498458815271462"/>
      </right>
      <top style="thin">
        <color theme="0" tint="-0.1498458815271462"/>
      </top>
      <bottom style="thin">
        <color theme="0" tint="-0.1498458815271462"/>
      </bottom>
      <diagonal/>
    </border>
    <border>
      <left/>
      <right style="thin">
        <color theme="0" tint="-0.1498458815271462"/>
      </right>
      <top/>
      <bottom style="thin">
        <color theme="0" tint="-0.1498458815271462"/>
      </bottom>
      <diagonal/>
    </border>
    <border>
      <left style="thin">
        <color theme="0" tint="-0.1498458815271462"/>
      </left>
      <right style="thin">
        <color theme="0" tint="-0.1498458815271462"/>
      </right>
      <top/>
      <bottom style="thin">
        <color theme="0" tint="-0.1498458815271462"/>
      </bottom>
      <diagonal/>
    </border>
    <border>
      <left style="thin">
        <color theme="0" tint="-0.1498458815271462"/>
      </left>
      <right/>
      <top/>
      <bottom style="thin">
        <color theme="0" tint="-0.1498458815271462"/>
      </bottom>
      <diagonal/>
    </border>
    <border>
      <left/>
      <right style="thin">
        <color theme="0" tint="-0.1498458815271462"/>
      </right>
      <top style="thin">
        <color theme="0" tint="-0.1498458815271462"/>
      </top>
      <bottom style="thin">
        <color theme="0" tint="-0.1498458815271462"/>
      </bottom>
      <diagonal/>
    </border>
    <border>
      <left style="thin">
        <color theme="0" tint="-0.1498458815271462"/>
      </left>
      <right/>
      <top style="thin">
        <color theme="0" tint="-0.1498458815271462"/>
      </top>
      <bottom style="thin">
        <color theme="0" tint="-0.1498458815271462"/>
      </bottom>
      <diagonal/>
    </border>
    <border>
      <left/>
      <right style="thin">
        <color theme="0" tint="-0.1498458815271462"/>
      </right>
      <top style="thin">
        <color theme="0" tint="-0.1498458815271462"/>
      </top>
      <bottom/>
      <diagonal/>
    </border>
    <border>
      <left style="thin">
        <color theme="0" tint="-0.1498458815271462"/>
      </left>
      <right style="thin">
        <color theme="0" tint="-0.1498458815271462"/>
      </right>
      <top style="thin">
        <color theme="0" tint="-0.1498458815271462"/>
      </top>
      <bottom/>
      <diagonal/>
    </border>
    <border>
      <left style="thin">
        <color theme="0" tint="-0.1498458815271462"/>
      </left>
      <right/>
      <top style="thin">
        <color theme="0" tint="-0.1498458815271462"/>
      </top>
      <bottom/>
      <diagonal/>
    </border>
    <border>
      <left/>
      <right/>
      <top/>
      <bottom style="medium">
        <color theme="0" tint="-0.14996795556505021"/>
      </bottom>
      <diagonal/>
    </border>
    <border>
      <left style="thick">
        <color theme="0"/>
      </left>
      <right/>
      <top/>
      <bottom style="medium">
        <color theme="0" tint="-0.14996795556505021"/>
      </bottom>
      <diagonal/>
    </border>
    <border>
      <left/>
      <right style="thick">
        <color theme="0"/>
      </right>
      <top/>
      <bottom style="medium">
        <color theme="0" tint="-0.14996795556505021"/>
      </bottom>
      <diagonal/>
    </border>
    <border>
      <left style="thick">
        <color theme="0"/>
      </left>
      <right style="thick">
        <color theme="0"/>
      </right>
      <top/>
      <bottom style="medium">
        <color theme="0" tint="-0.14996795556505021"/>
      </bottom>
      <diagonal/>
    </border>
  </borders>
  <cellStyleXfs count="18">
    <xf numFmtId="0" fontId="0" fillId="0" borderId="0"/>
    <xf numFmtId="0" fontId="8" fillId="0" borderId="0" applyNumberFormat="0" applyFill="0" applyBorder="0" applyAlignment="0" applyProtection="0"/>
    <xf numFmtId="0" fontId="9" fillId="0" borderId="0"/>
    <xf numFmtId="0" fontId="4" fillId="0" borderId="0"/>
    <xf numFmtId="0" fontId="3" fillId="0" borderId="0"/>
    <xf numFmtId="9" fontId="3" fillId="0" borderId="0" applyFont="0" applyFill="0" applyBorder="0" applyAlignment="0" applyProtection="0"/>
    <xf numFmtId="164" fontId="3" fillId="0" borderId="0" applyFont="0" applyFill="0" applyBorder="0" applyAlignment="0" applyProtection="0"/>
    <xf numFmtId="0" fontId="2" fillId="0" borderId="0"/>
    <xf numFmtId="9" fontId="2" fillId="0" borderId="0" applyFont="0" applyFill="0" applyBorder="0" applyAlignment="0" applyProtection="0"/>
    <xf numFmtId="164" fontId="2" fillId="0" borderId="0" applyFont="0" applyFill="0" applyBorder="0" applyAlignment="0" applyProtection="0"/>
    <xf numFmtId="9" fontId="4" fillId="0" borderId="0" applyFont="0" applyFill="0" applyBorder="0" applyAlignment="0" applyProtection="0"/>
    <xf numFmtId="0" fontId="21" fillId="5" borderId="0" applyNumberFormat="0" applyBorder="0" applyAlignment="0" applyProtection="0"/>
    <xf numFmtId="0" fontId="22" fillId="6" borderId="0" applyNumberFormat="0" applyBorder="0" applyAlignment="0" applyProtection="0"/>
    <xf numFmtId="0" fontId="23" fillId="7" borderId="0" applyNumberFormat="0" applyBorder="0" applyAlignment="0" applyProtection="0"/>
    <xf numFmtId="164" fontId="4" fillId="0" borderId="0" applyFont="0" applyFill="0" applyBorder="0" applyAlignment="0" applyProtection="0"/>
    <xf numFmtId="0" fontId="1" fillId="0" borderId="0"/>
    <xf numFmtId="9" fontId="1" fillId="0" borderId="0" applyFont="0" applyFill="0" applyBorder="0" applyAlignment="0" applyProtection="0"/>
    <xf numFmtId="164" fontId="1" fillId="0" borderId="0" applyFont="0" applyFill="0" applyBorder="0" applyAlignment="0" applyProtection="0"/>
  </cellStyleXfs>
  <cellXfs count="134">
    <xf numFmtId="0" fontId="0" fillId="0" borderId="0" xfId="0"/>
    <xf numFmtId="0" fontId="10" fillId="0" borderId="0" xfId="2" applyFont="1"/>
    <xf numFmtId="0" fontId="4" fillId="0" borderId="0" xfId="3"/>
    <xf numFmtId="0" fontId="7" fillId="0" borderId="0" xfId="3" applyFont="1"/>
    <xf numFmtId="0" fontId="7" fillId="0" borderId="0" xfId="3" quotePrefix="1" applyFont="1" applyAlignment="1">
      <alignment horizontal="right"/>
    </xf>
    <xf numFmtId="0" fontId="11" fillId="2" borderId="0" xfId="2" applyFont="1" applyFill="1"/>
    <xf numFmtId="0" fontId="5" fillId="2" borderId="0" xfId="2" applyFont="1" applyFill="1"/>
    <xf numFmtId="0" fontId="12" fillId="2" borderId="0" xfId="1" applyFont="1" applyFill="1"/>
    <xf numFmtId="0" fontId="13" fillId="0" borderId="0" xfId="3" quotePrefix="1" applyFont="1" applyAlignment="1">
      <alignment horizontal="right"/>
    </xf>
    <xf numFmtId="0" fontId="14" fillId="0" borderId="0" xfId="3" applyFont="1"/>
    <xf numFmtId="0" fontId="16" fillId="0" borderId="0" xfId="0" applyFont="1" applyAlignment="1">
      <alignment horizontal="right"/>
    </xf>
    <xf numFmtId="0" fontId="7" fillId="0" borderId="0" xfId="0" applyFont="1"/>
    <xf numFmtId="0" fontId="17" fillId="0" borderId="0" xfId="3" quotePrefix="1" applyFont="1" applyAlignment="1">
      <alignment horizontal="right"/>
    </xf>
    <xf numFmtId="0" fontId="0" fillId="3" borderId="0" xfId="0" applyFill="1"/>
    <xf numFmtId="0" fontId="8" fillId="0" borderId="0" xfId="1"/>
    <xf numFmtId="0" fontId="0" fillId="3" borderId="0" xfId="0" applyFill="1" applyAlignment="1">
      <alignment horizontal="center" vertical="center" wrapText="1"/>
    </xf>
    <xf numFmtId="0" fontId="0" fillId="0" borderId="0" xfId="0" applyAlignment="1">
      <alignment horizontal="center" vertical="center" wrapText="1"/>
    </xf>
    <xf numFmtId="0" fontId="18" fillId="3" borderId="0" xfId="0" applyFont="1" applyFill="1"/>
    <xf numFmtId="0" fontId="19" fillId="4" borderId="1" xfId="0" applyFont="1" applyFill="1" applyBorder="1" applyAlignment="1">
      <alignment horizontal="center" vertical="center" wrapText="1"/>
    </xf>
    <xf numFmtId="0" fontId="19" fillId="4" borderId="2" xfId="0" applyFont="1" applyFill="1" applyBorder="1" applyAlignment="1">
      <alignment horizontal="center" vertical="center" wrapText="1"/>
    </xf>
    <xf numFmtId="0" fontId="0" fillId="0" borderId="0" xfId="0" applyAlignment="1" applyProtection="1">
      <alignment horizontal="center" vertical="center" wrapText="1"/>
      <protection locked="0"/>
    </xf>
    <xf numFmtId="0" fontId="15" fillId="0" borderId="0" xfId="1" applyNumberFormat="1" applyFont="1" applyFill="1" applyAlignment="1" applyProtection="1">
      <alignment horizontal="center" vertical="center" wrapText="1"/>
      <protection locked="0"/>
    </xf>
    <xf numFmtId="0" fontId="15" fillId="0" borderId="0" xfId="0" applyFont="1" applyAlignment="1" applyProtection="1">
      <alignment horizontal="center" vertical="center" wrapText="1"/>
      <protection locked="0"/>
    </xf>
    <xf numFmtId="0" fontId="19" fillId="0" borderId="0" xfId="0" applyFont="1" applyAlignment="1">
      <alignment horizontal="center" vertical="center" wrapText="1"/>
    </xf>
    <xf numFmtId="0" fontId="20" fillId="3" borderId="0" xfId="0" applyFont="1" applyFill="1"/>
    <xf numFmtId="0" fontId="18" fillId="0" borderId="0" xfId="0" applyFont="1" applyAlignment="1">
      <alignment vertical="center"/>
    </xf>
    <xf numFmtId="0" fontId="21" fillId="5" borderId="0" xfId="11" applyAlignment="1" applyProtection="1">
      <alignment horizontal="center" vertical="center" wrapText="1"/>
      <protection locked="0"/>
    </xf>
    <xf numFmtId="0" fontId="23" fillId="7" borderId="0" xfId="13" applyAlignment="1" applyProtection="1">
      <alignment horizontal="center" vertical="center" wrapText="1"/>
      <protection locked="0"/>
    </xf>
    <xf numFmtId="0" fontId="22" fillId="6" borderId="0" xfId="12" applyAlignment="1" applyProtection="1">
      <alignment horizontal="center" vertical="center" wrapText="1"/>
      <protection locked="0"/>
    </xf>
    <xf numFmtId="0" fontId="0" fillId="3" borderId="0" xfId="0" applyFill="1" applyAlignment="1" applyProtection="1">
      <alignment horizontal="center" vertical="center" wrapText="1"/>
      <protection locked="0"/>
    </xf>
    <xf numFmtId="9" fontId="0" fillId="3" borderId="0" xfId="10" applyFont="1" applyFill="1" applyAlignment="1" applyProtection="1">
      <alignment horizontal="center" vertical="center" wrapText="1"/>
      <protection locked="0"/>
    </xf>
    <xf numFmtId="168" fontId="0" fillId="0" borderId="0" xfId="0" applyNumberFormat="1" applyAlignment="1" applyProtection="1">
      <alignment horizontal="center" vertical="center" wrapText="1"/>
      <protection locked="0"/>
    </xf>
    <xf numFmtId="0" fontId="0" fillId="0" borderId="0" xfId="0" pivotButton="1"/>
    <xf numFmtId="0" fontId="0" fillId="0" borderId="0" xfId="0" applyAlignment="1">
      <alignment horizontal="left"/>
    </xf>
    <xf numFmtId="9" fontId="0" fillId="0" borderId="0" xfId="10" applyFont="1"/>
    <xf numFmtId="9" fontId="0" fillId="0" borderId="0" xfId="10" applyFont="1" applyAlignment="1" applyProtection="1">
      <alignment horizontal="center" vertical="center" wrapText="1"/>
      <protection locked="0"/>
    </xf>
    <xf numFmtId="9" fontId="0" fillId="0" borderId="0" xfId="0" applyNumberFormat="1"/>
    <xf numFmtId="0" fontId="11" fillId="2" borderId="13" xfId="0" applyFont="1" applyFill="1" applyBorder="1" applyAlignment="1">
      <alignment horizontal="center" vertical="center" wrapText="1"/>
    </xf>
    <xf numFmtId="0" fontId="11" fillId="2" borderId="14" xfId="0" applyFont="1" applyFill="1" applyBorder="1" applyAlignment="1">
      <alignment horizontal="center" vertical="center" wrapText="1"/>
    </xf>
    <xf numFmtId="0" fontId="11" fillId="2" borderId="15" xfId="0" applyFont="1" applyFill="1" applyBorder="1" applyAlignment="1">
      <alignment horizontal="center" vertical="center" wrapText="1"/>
    </xf>
    <xf numFmtId="165" fontId="0" fillId="0" borderId="16" xfId="0" applyNumberFormat="1" applyBorder="1" applyAlignment="1">
      <alignment horizontal="center" vertical="center" wrapText="1"/>
    </xf>
    <xf numFmtId="166" fontId="0" fillId="0" borderId="12" xfId="0" applyNumberFormat="1" applyBorder="1" applyAlignment="1">
      <alignment horizontal="center" vertical="center" wrapText="1"/>
    </xf>
    <xf numFmtId="0" fontId="0" fillId="0" borderId="12" xfId="0" applyBorder="1" applyAlignment="1">
      <alignment horizontal="center" vertical="center" wrapText="1"/>
    </xf>
    <xf numFmtId="1" fontId="0" fillId="0" borderId="12" xfId="0" applyNumberFormat="1" applyBorder="1" applyAlignment="1">
      <alignment horizontal="center" vertical="center" wrapText="1"/>
    </xf>
    <xf numFmtId="1" fontId="0" fillId="0" borderId="12" xfId="10" applyNumberFormat="1" applyFont="1" applyFill="1" applyBorder="1" applyAlignment="1">
      <alignment horizontal="center" vertical="center" wrapText="1"/>
    </xf>
    <xf numFmtId="9" fontId="0" fillId="3" borderId="12" xfId="10" applyFont="1" applyFill="1" applyBorder="1" applyAlignment="1">
      <alignment horizontal="center" vertical="center" wrapText="1"/>
    </xf>
    <xf numFmtId="9" fontId="15" fillId="3" borderId="12" xfId="10" applyFont="1" applyFill="1" applyBorder="1" applyAlignment="1">
      <alignment horizontal="center" vertical="center" wrapText="1"/>
    </xf>
    <xf numFmtId="168" fontId="15" fillId="0" borderId="12" xfId="0" applyNumberFormat="1" applyFont="1" applyBorder="1" applyAlignment="1">
      <alignment horizontal="center" vertical="center" wrapText="1"/>
    </xf>
    <xf numFmtId="167" fontId="0" fillId="3" borderId="12" xfId="10" applyNumberFormat="1" applyFont="1" applyFill="1" applyBorder="1" applyAlignment="1">
      <alignment horizontal="center" vertical="center" wrapText="1"/>
    </xf>
    <xf numFmtId="169" fontId="0" fillId="3" borderId="12" xfId="14" applyNumberFormat="1" applyFont="1" applyFill="1" applyBorder="1" applyAlignment="1">
      <alignment horizontal="center" vertical="center" wrapText="1"/>
    </xf>
    <xf numFmtId="0" fontId="0" fillId="3" borderId="12" xfId="10" applyNumberFormat="1" applyFont="1" applyFill="1" applyBorder="1" applyAlignment="1">
      <alignment horizontal="center" vertical="center" wrapText="1"/>
    </xf>
    <xf numFmtId="0" fontId="0" fillId="0" borderId="17" xfId="0" applyBorder="1" applyAlignment="1">
      <alignment vertical="center" wrapText="1"/>
    </xf>
    <xf numFmtId="165" fontId="0" fillId="0" borderId="18" xfId="0" applyNumberFormat="1" applyBorder="1" applyAlignment="1">
      <alignment horizontal="center" vertical="center" wrapText="1"/>
    </xf>
    <xf numFmtId="166" fontId="0" fillId="0" borderId="19" xfId="0" applyNumberFormat="1" applyBorder="1" applyAlignment="1">
      <alignment horizontal="center" vertical="center" wrapText="1"/>
    </xf>
    <xf numFmtId="0" fontId="0" fillId="0" borderId="19" xfId="0" applyBorder="1" applyAlignment="1">
      <alignment horizontal="center" vertical="center" wrapText="1"/>
    </xf>
    <xf numFmtId="1" fontId="0" fillId="0" borderId="19" xfId="0" applyNumberFormat="1" applyBorder="1" applyAlignment="1">
      <alignment horizontal="center" vertical="center" wrapText="1"/>
    </xf>
    <xf numFmtId="9" fontId="0" fillId="3" borderId="19" xfId="10" applyFont="1" applyFill="1" applyBorder="1" applyAlignment="1">
      <alignment horizontal="center" vertical="center" wrapText="1"/>
    </xf>
    <xf numFmtId="9" fontId="15" fillId="3" borderId="19" xfId="10" applyFont="1" applyFill="1" applyBorder="1" applyAlignment="1">
      <alignment horizontal="center" vertical="center" wrapText="1"/>
    </xf>
    <xf numFmtId="168" fontId="15" fillId="0" borderId="19" xfId="0" applyNumberFormat="1" applyFont="1" applyBorder="1" applyAlignment="1">
      <alignment horizontal="center" vertical="center" wrapText="1"/>
    </xf>
    <xf numFmtId="167" fontId="0" fillId="3" borderId="19" xfId="10" applyNumberFormat="1" applyFont="1" applyFill="1" applyBorder="1" applyAlignment="1">
      <alignment horizontal="center" vertical="center" wrapText="1"/>
    </xf>
    <xf numFmtId="169" fontId="0" fillId="3" borderId="19" xfId="14" applyNumberFormat="1" applyFont="1" applyFill="1" applyBorder="1" applyAlignment="1">
      <alignment horizontal="center" vertical="center" wrapText="1"/>
    </xf>
    <xf numFmtId="0" fontId="0" fillId="3" borderId="19" xfId="10" applyNumberFormat="1" applyFont="1" applyFill="1" applyBorder="1" applyAlignment="1">
      <alignment horizontal="center" vertical="center" wrapText="1"/>
    </xf>
    <xf numFmtId="0" fontId="0" fillId="0" borderId="20" xfId="0" applyBorder="1" applyAlignment="1">
      <alignment vertical="center" wrapText="1"/>
    </xf>
    <xf numFmtId="168" fontId="0" fillId="0" borderId="0" xfId="0" applyNumberFormat="1"/>
    <xf numFmtId="0" fontId="0" fillId="0" borderId="0" xfId="0" applyAlignment="1">
      <alignment horizontal="left" indent="1"/>
    </xf>
    <xf numFmtId="0" fontId="0" fillId="0" borderId="0" xfId="0" applyAlignment="1">
      <alignment horizontal="left" indent="2"/>
    </xf>
    <xf numFmtId="0" fontId="30" fillId="3" borderId="0" xfId="15" applyFont="1" applyFill="1"/>
    <xf numFmtId="0" fontId="4" fillId="0" borderId="0" xfId="15" applyFont="1"/>
    <xf numFmtId="170" fontId="31" fillId="3" borderId="0" xfId="17" applyNumberFormat="1" applyFont="1" applyFill="1" applyBorder="1" applyAlignment="1">
      <alignment vertical="center"/>
    </xf>
    <xf numFmtId="169" fontId="32" fillId="3" borderId="0" xfId="17" applyNumberFormat="1" applyFont="1" applyFill="1" applyBorder="1" applyAlignment="1">
      <alignment vertical="center"/>
    </xf>
    <xf numFmtId="9" fontId="33" fillId="3" borderId="0" xfId="16" applyFont="1" applyFill="1" applyBorder="1" applyAlignment="1">
      <alignment vertical="center"/>
    </xf>
    <xf numFmtId="169" fontId="34" fillId="3" borderId="0" xfId="17" applyNumberFormat="1" applyFont="1" applyFill="1" applyBorder="1" applyAlignment="1">
      <alignment vertical="center"/>
    </xf>
    <xf numFmtId="9" fontId="35" fillId="3" borderId="0" xfId="16" applyFont="1" applyFill="1" applyBorder="1" applyAlignment="1">
      <alignment horizontal="center" vertical="center"/>
    </xf>
    <xf numFmtId="170" fontId="31" fillId="3" borderId="21" xfId="17" applyNumberFormat="1" applyFont="1" applyFill="1" applyBorder="1" applyAlignment="1">
      <alignment vertical="center"/>
    </xf>
    <xf numFmtId="169" fontId="32" fillId="3" borderId="21" xfId="17" applyNumberFormat="1" applyFont="1" applyFill="1" applyBorder="1" applyAlignment="1">
      <alignment vertical="center"/>
    </xf>
    <xf numFmtId="9" fontId="33" fillId="3" borderId="21" xfId="16" applyFont="1" applyFill="1" applyBorder="1" applyAlignment="1">
      <alignment vertical="center"/>
    </xf>
    <xf numFmtId="0" fontId="4" fillId="0" borderId="21" xfId="15" applyFont="1" applyBorder="1"/>
    <xf numFmtId="169" fontId="4" fillId="0" borderId="0" xfId="15" applyNumberFormat="1" applyFont="1"/>
    <xf numFmtId="0" fontId="5" fillId="0" borderId="0" xfId="15" applyFont="1"/>
    <xf numFmtId="0" fontId="36" fillId="0" borderId="0" xfId="15" applyFont="1"/>
    <xf numFmtId="0" fontId="37" fillId="0" borderId="0" xfId="15" applyFont="1"/>
    <xf numFmtId="0" fontId="28" fillId="0" borderId="0" xfId="15" applyFont="1"/>
    <xf numFmtId="9" fontId="28" fillId="0" borderId="0" xfId="16" applyFont="1" applyFill="1" applyBorder="1"/>
    <xf numFmtId="0" fontId="35" fillId="0" borderId="0" xfId="15" applyFont="1"/>
    <xf numFmtId="9" fontId="35" fillId="0" borderId="0" xfId="16" applyFont="1" applyFill="1" applyBorder="1"/>
    <xf numFmtId="165" fontId="0" fillId="0" borderId="0" xfId="0" applyNumberFormat="1" applyAlignment="1">
      <alignment horizontal="left"/>
    </xf>
    <xf numFmtId="0" fontId="20" fillId="3" borderId="0" xfId="0" applyFont="1" applyFill="1" applyAlignment="1">
      <alignment horizontal="center"/>
    </xf>
    <xf numFmtId="0" fontId="0" fillId="8" borderId="12" xfId="0" applyFill="1" applyBorder="1" applyAlignment="1">
      <alignment horizontal="center" vertical="center" wrapText="1"/>
    </xf>
    <xf numFmtId="0" fontId="0" fillId="8" borderId="19" xfId="0" applyFill="1" applyBorder="1" applyAlignment="1">
      <alignment horizontal="center" vertical="center" wrapText="1"/>
    </xf>
    <xf numFmtId="0" fontId="4" fillId="0" borderId="0" xfId="0" applyFont="1" applyAlignment="1">
      <alignment horizontal="right"/>
    </xf>
    <xf numFmtId="0" fontId="4" fillId="0" borderId="0" xfId="0" applyFont="1" applyAlignment="1">
      <alignment horizontal="left"/>
    </xf>
    <xf numFmtId="0" fontId="4" fillId="0" borderId="0" xfId="0" applyFont="1"/>
    <xf numFmtId="0" fontId="7" fillId="0" borderId="0" xfId="0" applyFont="1" applyAlignment="1">
      <alignment horizontal="right"/>
    </xf>
    <xf numFmtId="0" fontId="29" fillId="9" borderId="0" xfId="15" applyFont="1" applyFill="1" applyAlignment="1">
      <alignment horizontal="center" vertical="center" wrapText="1"/>
    </xf>
    <xf numFmtId="0" fontId="29" fillId="9" borderId="10" xfId="15" applyFont="1" applyFill="1" applyBorder="1" applyAlignment="1">
      <alignment horizontal="center" vertical="center" wrapText="1"/>
    </xf>
    <xf numFmtId="0" fontId="29" fillId="9" borderId="21" xfId="15" applyFont="1" applyFill="1" applyBorder="1" applyAlignment="1">
      <alignment horizontal="center" vertical="center" wrapText="1"/>
    </xf>
    <xf numFmtId="0" fontId="29" fillId="9" borderId="23" xfId="15" applyFont="1" applyFill="1" applyBorder="1" applyAlignment="1">
      <alignment horizontal="center" vertical="center" wrapText="1"/>
    </xf>
    <xf numFmtId="0" fontId="24" fillId="9" borderId="3" xfId="0" applyFont="1" applyFill="1" applyBorder="1" applyAlignment="1">
      <alignment horizontal="center" vertical="center"/>
    </xf>
    <xf numFmtId="0" fontId="24" fillId="9" borderId="4" xfId="0" applyFont="1" applyFill="1" applyBorder="1" applyAlignment="1">
      <alignment horizontal="center" vertical="center"/>
    </xf>
    <xf numFmtId="0" fontId="24" fillId="9" borderId="5" xfId="0" applyFont="1" applyFill="1" applyBorder="1" applyAlignment="1">
      <alignment horizontal="center" vertical="center"/>
    </xf>
    <xf numFmtId="0" fontId="24" fillId="9" borderId="6" xfId="0" applyFont="1" applyFill="1" applyBorder="1" applyAlignment="1">
      <alignment horizontal="center" vertical="center"/>
    </xf>
    <xf numFmtId="1" fontId="27" fillId="3" borderId="3" xfId="0" applyNumberFormat="1" applyFont="1" applyFill="1" applyBorder="1" applyAlignment="1">
      <alignment horizontal="right" vertical="center"/>
    </xf>
    <xf numFmtId="1" fontId="27" fillId="3" borderId="4" xfId="0" applyNumberFormat="1" applyFont="1" applyFill="1" applyBorder="1" applyAlignment="1">
      <alignment horizontal="right" vertical="center"/>
    </xf>
    <xf numFmtId="1" fontId="27" fillId="3" borderId="9" xfId="0" applyNumberFormat="1" applyFont="1" applyFill="1" applyBorder="1" applyAlignment="1">
      <alignment horizontal="right" vertical="center"/>
    </xf>
    <xf numFmtId="1" fontId="27" fillId="3" borderId="10" xfId="0" applyNumberFormat="1" applyFont="1" applyFill="1" applyBorder="1" applyAlignment="1">
      <alignment horizontal="right" vertical="center"/>
    </xf>
    <xf numFmtId="1" fontId="27" fillId="3" borderId="22" xfId="0" applyNumberFormat="1" applyFont="1" applyFill="1" applyBorder="1" applyAlignment="1">
      <alignment horizontal="right" vertical="center"/>
    </xf>
    <xf numFmtId="1" fontId="27" fillId="3" borderId="23" xfId="0" applyNumberFormat="1" applyFont="1" applyFill="1" applyBorder="1" applyAlignment="1">
      <alignment horizontal="right" vertical="center"/>
    </xf>
    <xf numFmtId="9" fontId="26" fillId="3" borderId="7" xfId="10" applyFont="1" applyFill="1" applyBorder="1" applyAlignment="1">
      <alignment horizontal="right" vertical="center"/>
    </xf>
    <xf numFmtId="9" fontId="26" fillId="3" borderId="11" xfId="10" applyFont="1" applyFill="1" applyBorder="1" applyAlignment="1">
      <alignment horizontal="right" vertical="center"/>
    </xf>
    <xf numFmtId="9" fontId="26" fillId="3" borderId="24" xfId="10" applyFont="1" applyFill="1" applyBorder="1" applyAlignment="1">
      <alignment horizontal="right" vertical="center"/>
    </xf>
    <xf numFmtId="9" fontId="25" fillId="3" borderId="7" xfId="10" applyFont="1" applyFill="1" applyBorder="1" applyAlignment="1">
      <alignment horizontal="right" vertical="center"/>
    </xf>
    <xf numFmtId="9" fontId="25" fillId="3" borderId="11" xfId="10" applyFont="1" applyFill="1" applyBorder="1" applyAlignment="1">
      <alignment horizontal="right" vertical="center"/>
    </xf>
    <xf numFmtId="9" fontId="25" fillId="3" borderId="24" xfId="10" applyFont="1" applyFill="1" applyBorder="1" applyAlignment="1">
      <alignment horizontal="right" vertical="center"/>
    </xf>
    <xf numFmtId="9" fontId="25" fillId="3" borderId="3" xfId="10" applyFont="1" applyFill="1" applyBorder="1" applyAlignment="1">
      <alignment horizontal="right" vertical="center"/>
    </xf>
    <xf numFmtId="9" fontId="25" fillId="3" borderId="4" xfId="10" applyFont="1" applyFill="1" applyBorder="1" applyAlignment="1">
      <alignment horizontal="right" vertical="center"/>
    </xf>
    <xf numFmtId="9" fontId="25" fillId="3" borderId="9" xfId="10" applyFont="1" applyFill="1" applyBorder="1" applyAlignment="1">
      <alignment horizontal="right" vertical="center"/>
    </xf>
    <xf numFmtId="9" fontId="25" fillId="3" borderId="10" xfId="10" applyFont="1" applyFill="1" applyBorder="1" applyAlignment="1">
      <alignment horizontal="right" vertical="center"/>
    </xf>
    <xf numFmtId="9" fontId="25" fillId="3" borderId="22" xfId="10" applyFont="1" applyFill="1" applyBorder="1" applyAlignment="1">
      <alignment horizontal="right" vertical="center"/>
    </xf>
    <xf numFmtId="9" fontId="25" fillId="3" borderId="23" xfId="10" applyFont="1" applyFill="1" applyBorder="1" applyAlignment="1">
      <alignment horizontal="right" vertical="center"/>
    </xf>
    <xf numFmtId="168" fontId="27" fillId="3" borderId="3" xfId="0" applyNumberFormat="1" applyFont="1" applyFill="1" applyBorder="1" applyAlignment="1">
      <alignment horizontal="right" vertical="center"/>
    </xf>
    <xf numFmtId="168" fontId="27" fillId="3" borderId="4" xfId="0" applyNumberFormat="1" applyFont="1" applyFill="1" applyBorder="1" applyAlignment="1">
      <alignment horizontal="right" vertical="center"/>
    </xf>
    <xf numFmtId="168" fontId="27" fillId="3" borderId="9" xfId="0" applyNumberFormat="1" applyFont="1" applyFill="1" applyBorder="1" applyAlignment="1">
      <alignment horizontal="right" vertical="center"/>
    </xf>
    <xf numFmtId="168" fontId="27" fillId="3" borderId="10" xfId="0" applyNumberFormat="1" applyFont="1" applyFill="1" applyBorder="1" applyAlignment="1">
      <alignment horizontal="right" vertical="center"/>
    </xf>
    <xf numFmtId="168" fontId="27" fillId="3" borderId="22" xfId="0" applyNumberFormat="1" applyFont="1" applyFill="1" applyBorder="1" applyAlignment="1">
      <alignment horizontal="right" vertical="center"/>
    </xf>
    <xf numFmtId="168" fontId="27" fillId="3" borderId="23" xfId="0" applyNumberFormat="1" applyFont="1" applyFill="1" applyBorder="1" applyAlignment="1">
      <alignment horizontal="right" vertical="center"/>
    </xf>
    <xf numFmtId="0" fontId="24" fillId="9" borderId="3" xfId="0" applyFont="1" applyFill="1" applyBorder="1" applyAlignment="1">
      <alignment horizontal="center" vertical="center" wrapText="1"/>
    </xf>
    <xf numFmtId="0" fontId="24" fillId="9" borderId="4" xfId="0" applyFont="1" applyFill="1" applyBorder="1" applyAlignment="1">
      <alignment horizontal="center" vertical="center" wrapText="1"/>
    </xf>
    <xf numFmtId="0" fontId="24" fillId="9" borderId="5" xfId="0" applyFont="1" applyFill="1" applyBorder="1" applyAlignment="1">
      <alignment horizontal="center" vertical="center" wrapText="1"/>
    </xf>
    <xf numFmtId="0" fontId="24" fillId="9" borderId="6" xfId="0" applyFont="1" applyFill="1" applyBorder="1" applyAlignment="1">
      <alignment horizontal="center" vertical="center" wrapText="1"/>
    </xf>
    <xf numFmtId="0" fontId="24" fillId="9" borderId="7" xfId="0" applyFont="1" applyFill="1" applyBorder="1" applyAlignment="1">
      <alignment horizontal="center" vertical="center" wrapText="1"/>
    </xf>
    <xf numFmtId="0" fontId="24" fillId="9" borderId="8" xfId="0" applyFont="1" applyFill="1" applyBorder="1" applyAlignment="1">
      <alignment horizontal="center" vertical="center" wrapText="1"/>
    </xf>
    <xf numFmtId="0" fontId="24" fillId="9" borderId="7" xfId="0" applyFont="1" applyFill="1" applyBorder="1" applyAlignment="1">
      <alignment horizontal="center" vertical="center"/>
    </xf>
    <xf numFmtId="0" fontId="24" fillId="9" borderId="8" xfId="0" applyFont="1" applyFill="1" applyBorder="1" applyAlignment="1">
      <alignment horizontal="center" vertical="center"/>
    </xf>
    <xf numFmtId="0" fontId="20" fillId="3" borderId="0" xfId="0" applyFont="1" applyFill="1" applyAlignment="1">
      <alignment horizontal="center"/>
    </xf>
  </cellXfs>
  <cellStyles count="18">
    <cellStyle name="Bad" xfId="12" builtinId="27"/>
    <cellStyle name="Comma" xfId="14" builtinId="3"/>
    <cellStyle name="Comma 2" xfId="6" xr:uid="{70B95B68-42E5-4134-B60C-D53D63EA8C64}"/>
    <cellStyle name="Comma 3" xfId="9" xr:uid="{E6060E65-816D-42A3-BC2B-BC7AE08DF09F}"/>
    <cellStyle name="Comma 5" xfId="17" xr:uid="{A503A598-6281-4A60-9FAE-49E7D8A9B0D0}"/>
    <cellStyle name="Good" xfId="11" builtinId="26"/>
    <cellStyle name="Hyperlink" xfId="1" builtinId="8"/>
    <cellStyle name="Neutral" xfId="13" builtinId="28"/>
    <cellStyle name="Normal" xfId="0" builtinId="0"/>
    <cellStyle name="Normal 2" xfId="2" xr:uid="{630AB955-5629-4F25-81F3-D0850CCA2D8B}"/>
    <cellStyle name="Normal 2 2" xfId="3" xr:uid="{BBC0A887-27F1-430C-A62B-8FDD810F3453}"/>
    <cellStyle name="Normal 3" xfId="4" xr:uid="{19553023-A532-4B21-B780-2F68384C80B9}"/>
    <cellStyle name="Normal 4" xfId="7" xr:uid="{9C62A56D-8BFB-43DA-B794-93EBCA984803}"/>
    <cellStyle name="Normal 6" xfId="15" xr:uid="{E536D987-ACD6-4E32-92B3-BF4B0FD54355}"/>
    <cellStyle name="Percent" xfId="10" builtinId="5"/>
    <cellStyle name="Percent 2" xfId="5" xr:uid="{1D541CDC-ACE8-4B54-AB6D-F143BBC82663}"/>
    <cellStyle name="Percent 3" xfId="8" xr:uid="{C04F5020-2218-4635-A7A5-19093E1C865B}"/>
    <cellStyle name="Percent 5" xfId="16" xr:uid="{0E20895A-4797-4F3E-A4A8-ABD1F46E0570}"/>
  </cellStyles>
  <dxfs count="69">
    <dxf>
      <numFmt numFmtId="168" formatCode="&quot;$&quot;#,##0"/>
    </dxf>
    <dxf>
      <numFmt numFmtId="168" formatCode="&quot;$&quot;#,##0"/>
    </dxf>
    <dxf>
      <numFmt numFmtId="13" formatCode="0%"/>
    </dxf>
    <dxf>
      <numFmt numFmtId="13" formatCode="0%"/>
    </dxf>
    <dxf>
      <numFmt numFmtId="13" formatCode="0%"/>
    </dxf>
    <dxf>
      <numFmt numFmtId="13" formatCode="0%"/>
    </dxf>
    <dxf>
      <numFmt numFmtId="168" formatCode="&quot;$&quot;#,##0"/>
    </dxf>
    <dxf>
      <numFmt numFmtId="13" formatCode="0%"/>
    </dxf>
    <dxf>
      <numFmt numFmtId="168" formatCode="&quot;$&quot;#,##0"/>
    </dxf>
    <dxf>
      <numFmt numFmtId="0" formatCode="General"/>
      <fill>
        <patternFill patternType="none">
          <fgColor indexed="64"/>
          <bgColor auto="1"/>
        </patternFill>
      </fill>
      <alignment horizontal="general" vertical="center" textRotation="0" wrapText="1" indent="0" justifyLastLine="0" shrinkToFit="0" readingOrder="0"/>
      <border diagonalUp="0" diagonalDown="0">
        <left style="thin">
          <color theme="0" tint="-0.1498458815271462"/>
        </left>
        <right/>
        <top style="thin">
          <color theme="0" tint="-0.1498458815271462"/>
        </top>
        <bottom style="thin">
          <color theme="0" tint="-0.1498458815271462"/>
        </bottom>
        <vertical style="thin">
          <color theme="0" tint="-0.1498458815271462"/>
        </vertical>
        <horizontal style="thin">
          <color theme="0" tint="-0.1498458815271462"/>
        </horizontal>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theme="0" tint="-0.1498458815271462"/>
        </left>
        <right style="thin">
          <color theme="0" tint="-0.1498458815271462"/>
        </right>
        <top style="thin">
          <color theme="0" tint="-0.1498458815271462"/>
        </top>
        <bottom style="thin">
          <color theme="0" tint="-0.1498458815271462"/>
        </bottom>
        <vertical style="thin">
          <color theme="0" tint="-0.1498458815271462"/>
        </vertical>
        <horizontal style="thin">
          <color theme="0" tint="-0.1498458815271462"/>
        </horizontal>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theme="0" tint="-0.1498458815271462"/>
        </left>
        <right style="thin">
          <color theme="0" tint="-0.1498458815271462"/>
        </right>
        <top style="thin">
          <color theme="0" tint="-0.1498458815271462"/>
        </top>
        <bottom style="thin">
          <color theme="0" tint="-0.1498458815271462"/>
        </bottom>
        <vertical style="thin">
          <color theme="0" tint="-0.1498458815271462"/>
        </vertical>
        <horizontal style="thin">
          <color theme="0" tint="-0.1498458815271462"/>
        </horizontal>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theme="0" tint="-0.1498458815271462"/>
        </left>
        <right style="thin">
          <color theme="0" tint="-0.1498458815271462"/>
        </right>
        <top style="thin">
          <color theme="0" tint="-0.1498458815271462"/>
        </top>
        <bottom style="thin">
          <color theme="0" tint="-0.1498458815271462"/>
        </bottom>
        <vertical style="thin">
          <color theme="0" tint="-0.1498458815271462"/>
        </vertical>
        <horizontal style="thin">
          <color theme="0" tint="-0.1498458815271462"/>
        </horizontal>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theme="0" tint="-0.1498458815271462"/>
        </left>
        <right style="thin">
          <color theme="0" tint="-0.1498458815271462"/>
        </right>
        <top style="thin">
          <color theme="0" tint="-0.1498458815271462"/>
        </top>
        <bottom style="thin">
          <color theme="0" tint="-0.1498458815271462"/>
        </bottom>
        <vertical style="thin">
          <color theme="0" tint="-0.1498458815271462"/>
        </vertical>
        <horizontal style="thin">
          <color theme="0" tint="-0.1498458815271462"/>
        </horizontal>
      </border>
    </dxf>
    <dxf>
      <font>
        <b val="0"/>
        <i val="0"/>
        <strike val="0"/>
        <condense val="0"/>
        <extend val="0"/>
        <outline val="0"/>
        <shadow val="0"/>
        <u val="none"/>
        <vertAlign val="baseline"/>
        <sz val="10"/>
        <color theme="1"/>
        <name val="Arial"/>
        <family val="2"/>
        <scheme val="none"/>
      </font>
      <numFmt numFmtId="169" formatCode="_(* #,##0_);_(* \(#,##0\);_(* &quot;-&quot;??_);_(@_)"/>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theme="0" tint="-0.1498458815271462"/>
        </left>
        <right style="thin">
          <color theme="0" tint="-0.1498458815271462"/>
        </right>
        <top style="thin">
          <color theme="0" tint="-0.1498458815271462"/>
        </top>
        <bottom style="thin">
          <color theme="0" tint="-0.1498458815271462"/>
        </bottom>
        <vertical style="thin">
          <color theme="0" tint="-0.1498458815271462"/>
        </vertical>
        <horizontal style="thin">
          <color theme="0" tint="-0.1498458815271462"/>
        </horizontal>
      </border>
    </dxf>
    <dxf>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theme="0" tint="-0.1498458815271462"/>
        </left>
        <right style="thin">
          <color theme="0" tint="-0.1498458815271462"/>
        </right>
        <top style="thin">
          <color theme="0" tint="-0.1498458815271462"/>
        </top>
        <bottom style="thin">
          <color theme="0" tint="-0.1498458815271462"/>
        </bottom>
        <vertical style="thin">
          <color theme="0" tint="-0.1498458815271462"/>
        </vertical>
        <horizontal style="thin">
          <color theme="0" tint="-0.1498458815271462"/>
        </horizontal>
      </border>
    </dxf>
    <dxf>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theme="0" tint="-0.1498458815271462"/>
        </left>
        <right style="thin">
          <color theme="0" tint="-0.1498458815271462"/>
        </right>
        <top style="thin">
          <color theme="0" tint="-0.1498458815271462"/>
        </top>
        <bottom style="thin">
          <color theme="0" tint="-0.1498458815271462"/>
        </bottom>
        <vertical style="thin">
          <color theme="0" tint="-0.1498458815271462"/>
        </vertical>
        <horizontal style="thin">
          <color theme="0" tint="-0.1498458815271462"/>
        </horizontal>
      </border>
    </dxf>
    <dxf>
      <numFmt numFmtId="167" formatCode="&quot;$&quot;#,##0.00"/>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theme="0" tint="-0.1498458815271462"/>
        </left>
        <right style="thin">
          <color theme="0" tint="-0.1498458815271462"/>
        </right>
        <top style="thin">
          <color theme="0" tint="-0.1498458815271462"/>
        </top>
        <bottom style="thin">
          <color theme="0" tint="-0.1498458815271462"/>
        </bottom>
        <vertical style="thin">
          <color theme="0" tint="-0.1498458815271462"/>
        </vertical>
        <horizontal style="thin">
          <color theme="0" tint="-0.1498458815271462"/>
        </horizontal>
      </border>
    </dxf>
    <dxf>
      <font>
        <strike val="0"/>
        <outline val="0"/>
        <shadow val="0"/>
        <u val="none"/>
        <vertAlign val="baseline"/>
        <sz val="10"/>
        <color auto="1"/>
        <name val="Arial"/>
        <family val="2"/>
        <scheme val="none"/>
      </font>
      <numFmt numFmtId="168" formatCode="&quot;$&quot;#,##0"/>
      <fill>
        <patternFill patternType="none">
          <fgColor indexed="64"/>
          <bgColor auto="1"/>
        </patternFill>
      </fill>
      <alignment horizontal="center" vertical="center" textRotation="0" wrapText="1" indent="0" justifyLastLine="0" shrinkToFit="0" readingOrder="0"/>
      <border diagonalUp="0" diagonalDown="0">
        <left style="thin">
          <color theme="0" tint="-0.1498458815271462"/>
        </left>
        <right style="thin">
          <color theme="0" tint="-0.1498458815271462"/>
        </right>
        <top style="thin">
          <color theme="0" tint="-0.1498458815271462"/>
        </top>
        <bottom style="thin">
          <color theme="0" tint="-0.1498458815271462"/>
        </bottom>
        <vertical style="thin">
          <color theme="0" tint="-0.1498458815271462"/>
        </vertical>
        <horizontal style="thin">
          <color theme="0" tint="-0.1498458815271462"/>
        </horizontal>
      </border>
    </dxf>
    <dxf>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theme="0" tint="-0.1498458815271462"/>
        </left>
        <right style="thin">
          <color theme="0" tint="-0.1498458815271462"/>
        </right>
        <top style="thin">
          <color theme="0" tint="-0.1498458815271462"/>
        </top>
        <bottom style="thin">
          <color theme="0" tint="-0.1498458815271462"/>
        </bottom>
        <vertical style="thin">
          <color theme="0" tint="-0.1498458815271462"/>
        </vertical>
        <horizontal style="thin">
          <color theme="0" tint="-0.1498458815271462"/>
        </horizontal>
      </border>
    </dxf>
    <dxf>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theme="0" tint="-0.1498458815271462"/>
        </left>
        <right style="thin">
          <color theme="0" tint="-0.1498458815271462"/>
        </right>
        <top style="thin">
          <color theme="0" tint="-0.1498458815271462"/>
        </top>
        <bottom style="thin">
          <color theme="0" tint="-0.1498458815271462"/>
        </bottom>
        <vertical style="thin">
          <color theme="0" tint="-0.1498458815271462"/>
        </vertical>
        <horizontal style="thin">
          <color theme="0" tint="-0.1498458815271462"/>
        </horizontal>
      </border>
    </dxf>
    <dxf>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theme="0" tint="-0.1498458815271462"/>
        </left>
        <right style="thin">
          <color theme="0" tint="-0.1498458815271462"/>
        </right>
        <top style="thin">
          <color theme="0" tint="-0.1498458815271462"/>
        </top>
        <bottom style="thin">
          <color theme="0" tint="-0.1498458815271462"/>
        </bottom>
        <vertical style="thin">
          <color theme="0" tint="-0.1498458815271462"/>
        </vertical>
        <horizontal style="thin">
          <color theme="0" tint="-0.1498458815271462"/>
        </horizontal>
      </border>
    </dxf>
    <dxf>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theme="0" tint="-0.1498458815271462"/>
        </left>
        <right style="thin">
          <color theme="0" tint="-0.1498458815271462"/>
        </right>
        <top style="thin">
          <color theme="0" tint="-0.1498458815271462"/>
        </top>
        <bottom style="thin">
          <color theme="0" tint="-0.1498458815271462"/>
        </bottom>
        <vertical style="thin">
          <color theme="0" tint="-0.1498458815271462"/>
        </vertical>
        <horizontal style="thin">
          <color theme="0" tint="-0.1498458815271462"/>
        </horizontal>
      </border>
    </dxf>
    <dxf>
      <font>
        <strike val="0"/>
        <outline val="0"/>
        <shadow val="0"/>
        <u val="none"/>
        <vertAlign val="baseline"/>
        <sz val="10"/>
        <color auto="1"/>
        <name val="Arial"/>
        <family val="2"/>
        <scheme val="none"/>
      </font>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theme="0" tint="-0.1498458815271462"/>
        </left>
        <right style="thin">
          <color theme="0" tint="-0.1498458815271462"/>
        </right>
        <top style="thin">
          <color theme="0" tint="-0.1498458815271462"/>
        </top>
        <bottom style="thin">
          <color theme="0" tint="-0.1498458815271462"/>
        </bottom>
        <vertical style="thin">
          <color theme="0" tint="-0.1498458815271462"/>
        </vertical>
        <horizontal style="thin">
          <color theme="0" tint="-0.1498458815271462"/>
        </horizontal>
      </border>
    </dxf>
    <dxf>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theme="0" tint="-0.1498458815271462"/>
        </left>
        <right style="thin">
          <color theme="0" tint="-0.1498458815271462"/>
        </right>
        <top style="thin">
          <color theme="0" tint="-0.1498458815271462"/>
        </top>
        <bottom style="thin">
          <color theme="0" tint="-0.1498458815271462"/>
        </bottom>
        <vertical style="thin">
          <color theme="0" tint="-0.1498458815271462"/>
        </vertical>
        <horizontal style="thin">
          <color theme="0" tint="-0.1498458815271462"/>
        </horizontal>
      </border>
    </dxf>
    <dxf>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theme="0" tint="-0.1498458815271462"/>
        </left>
        <right style="thin">
          <color theme="0" tint="-0.1498458815271462"/>
        </right>
        <top style="thin">
          <color theme="0" tint="-0.1498458815271462"/>
        </top>
        <bottom style="thin">
          <color theme="0" tint="-0.1498458815271462"/>
        </bottom>
        <vertical style="thin">
          <color theme="0" tint="-0.1498458815271462"/>
        </vertical>
        <horizontal style="thin">
          <color theme="0" tint="-0.1498458815271462"/>
        </horizontal>
      </border>
    </dxf>
    <dxf>
      <numFmt numFmtId="1" formatCode="0"/>
      <fill>
        <patternFill patternType="none">
          <fgColor indexed="64"/>
          <bgColor auto="1"/>
        </patternFill>
      </fill>
      <alignment horizontal="center" vertical="center" textRotation="0" wrapText="1" indent="0" justifyLastLine="0" shrinkToFit="0" readingOrder="0"/>
      <border diagonalUp="0" diagonalDown="0">
        <left style="thin">
          <color theme="0" tint="-0.1498458815271462"/>
        </left>
        <right style="thin">
          <color theme="0" tint="-0.1498458815271462"/>
        </right>
        <top style="thin">
          <color theme="0" tint="-0.1498458815271462"/>
        </top>
        <bottom style="thin">
          <color theme="0" tint="-0.1498458815271462"/>
        </bottom>
        <vertical style="thin">
          <color theme="0" tint="-0.1498458815271462"/>
        </vertical>
        <horizontal style="thin">
          <color theme="0" tint="-0.1498458815271462"/>
        </horizontal>
      </border>
    </dxf>
    <dxf>
      <numFmt numFmtId="1" formatCode="0"/>
      <fill>
        <patternFill patternType="none">
          <fgColor indexed="64"/>
          <bgColor auto="1"/>
        </patternFill>
      </fill>
      <alignment horizontal="center" vertical="center" textRotation="0" wrapText="1" indent="0" justifyLastLine="0" shrinkToFit="0" readingOrder="0"/>
      <border diagonalUp="0" diagonalDown="0">
        <left style="thin">
          <color theme="0" tint="-0.1498458815271462"/>
        </left>
        <right style="thin">
          <color theme="0" tint="-0.1498458815271462"/>
        </right>
        <top style="thin">
          <color theme="0" tint="-0.1498458815271462"/>
        </top>
        <bottom style="thin">
          <color theme="0" tint="-0.1498458815271462"/>
        </bottom>
        <vertical style="thin">
          <color theme="0" tint="-0.1498458815271462"/>
        </vertical>
        <horizontal style="thin">
          <color theme="0" tint="-0.1498458815271462"/>
        </horizontal>
      </border>
    </dxf>
    <dxf>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theme="0" tint="-0.1498458815271462"/>
        </left>
        <right style="thin">
          <color theme="0" tint="-0.1498458815271462"/>
        </right>
        <top style="thin">
          <color theme="0" tint="-0.1498458815271462"/>
        </top>
        <bottom style="thin">
          <color theme="0" tint="-0.1498458815271462"/>
        </bottom>
        <vertical style="thin">
          <color theme="0" tint="-0.1498458815271462"/>
        </vertical>
        <horizontal style="thin">
          <color theme="0" tint="-0.1498458815271462"/>
        </horizontal>
      </border>
    </dxf>
    <dxf>
      <font>
        <strike val="0"/>
        <outline val="0"/>
        <shadow val="0"/>
        <u val="none"/>
        <vertAlign val="baseline"/>
        <sz val="10"/>
        <color theme="1"/>
        <name val="Arial"/>
        <family val="2"/>
        <scheme val="none"/>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theme="0" tint="-0.1498458815271462"/>
        </left>
        <right style="thin">
          <color theme="0" tint="-0.1498458815271462"/>
        </right>
        <top style="thin">
          <color theme="0" tint="-0.1498458815271462"/>
        </top>
        <bottom style="thin">
          <color theme="0" tint="-0.1498458815271462"/>
        </bottom>
        <vertical style="thin">
          <color theme="0" tint="-0.1498458815271462"/>
        </vertical>
        <horizontal style="thin">
          <color theme="0" tint="-0.1498458815271462"/>
        </horizontal>
      </border>
    </dxf>
    <dxf>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theme="0" tint="-0.1498458815271462"/>
        </left>
        <right style="thin">
          <color theme="0" tint="-0.1498458815271462"/>
        </right>
        <top style="thin">
          <color theme="0" tint="-0.1498458815271462"/>
        </top>
        <bottom style="thin">
          <color theme="0" tint="-0.1498458815271462"/>
        </bottom>
      </border>
    </dxf>
    <dxf>
      <numFmt numFmtId="0" formatCode="General"/>
      <fill>
        <patternFill patternType="solid">
          <fgColor indexed="64"/>
          <bgColor theme="0"/>
        </patternFill>
      </fill>
      <alignment horizontal="center" vertical="center" textRotation="0" wrapText="1" indent="0" justifyLastLine="0" shrinkToFit="0" readingOrder="0"/>
      <border diagonalUp="0" diagonalDown="0" outline="0">
        <left style="thin">
          <color theme="0" tint="-0.1498458815271462"/>
        </left>
        <right style="thin">
          <color theme="0" tint="-0.1498458815271462"/>
        </right>
        <top style="thin">
          <color theme="0" tint="-0.1498458815271462"/>
        </top>
        <bottom style="thin">
          <color theme="0" tint="-0.1498458815271462"/>
        </bottom>
      </border>
    </dxf>
    <dxf>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theme="0" tint="-0.1498458815271462"/>
        </left>
        <right style="thin">
          <color theme="0" tint="-0.1498458815271462"/>
        </right>
        <top style="thin">
          <color theme="0" tint="-0.1498458815271462"/>
        </top>
        <bottom style="thin">
          <color theme="0" tint="-0.1498458815271462"/>
        </bottom>
      </border>
    </dxf>
    <dxf>
      <numFmt numFmtId="166" formatCode="[$-409]h:mm\ AM/PM;@"/>
      <fill>
        <patternFill patternType="none">
          <fgColor indexed="64"/>
          <bgColor auto="1"/>
        </patternFill>
      </fill>
      <alignment horizontal="center" vertical="center" textRotation="0" wrapText="1" indent="0" justifyLastLine="0" shrinkToFit="0" readingOrder="0"/>
      <border diagonalUp="0" diagonalDown="0">
        <left style="thin">
          <color theme="0" tint="-0.1498458815271462"/>
        </left>
        <right style="thin">
          <color theme="0" tint="-0.1498458815271462"/>
        </right>
        <top style="thin">
          <color theme="0" tint="-0.1498458815271462"/>
        </top>
        <bottom style="thin">
          <color theme="0" tint="-0.1498458815271462"/>
        </bottom>
        <vertical style="thin">
          <color theme="0" tint="-0.1498458815271462"/>
        </vertical>
        <horizontal style="thin">
          <color theme="0" tint="-0.1498458815271462"/>
        </horizontal>
      </border>
    </dxf>
    <dxf>
      <numFmt numFmtId="165" formatCode="[$-409]d\-mmm\-yy;@"/>
      <fill>
        <patternFill patternType="none">
          <fgColor indexed="64"/>
          <bgColor auto="1"/>
        </patternFill>
      </fill>
      <alignment horizontal="center" vertical="center" textRotation="0" wrapText="1" indent="0" justifyLastLine="0" shrinkToFit="0" readingOrder="0"/>
      <border diagonalUp="0" diagonalDown="0">
        <left/>
        <right style="thin">
          <color theme="0" tint="-0.1498458815271462"/>
        </right>
        <top style="thin">
          <color theme="0" tint="-0.1498458815271462"/>
        </top>
        <bottom style="thin">
          <color theme="0" tint="-0.1498458815271462"/>
        </bottom>
        <vertical style="thin">
          <color theme="0" tint="-0.1498458815271462"/>
        </vertical>
        <horizontal style="thin">
          <color theme="0" tint="-0.1498458815271462"/>
        </horizontal>
      </border>
    </dxf>
    <dxf>
      <border>
        <top style="thin">
          <color theme="0" tint="-0.1498458815271462"/>
        </top>
      </border>
    </dxf>
    <dxf>
      <border diagonalUp="0" diagonalDown="0">
        <left style="thin">
          <color theme="0" tint="-0.1498458815271462"/>
        </left>
        <right style="thin">
          <color theme="0" tint="-0.1498458815271462"/>
        </right>
        <top style="thin">
          <color theme="0" tint="-0.1498458815271462"/>
        </top>
        <bottom style="thin">
          <color theme="0" tint="-0.1498458815271462"/>
        </bottom>
      </border>
    </dxf>
    <dxf>
      <numFmt numFmtId="0" formatCode="General"/>
      <fill>
        <patternFill patternType="none">
          <fgColor indexed="64"/>
          <bgColor auto="1"/>
        </patternFill>
      </fill>
      <alignment horizontal="general" vertical="center" textRotation="0" wrapText="1" indent="0" justifyLastLine="0" shrinkToFit="0" readingOrder="0"/>
    </dxf>
    <dxf>
      <border>
        <bottom style="thin">
          <color theme="0" tint="-0.1498458815271462"/>
        </bottom>
      </border>
    </dxf>
    <dxf>
      <font>
        <b val="0"/>
        <i val="0"/>
        <strike val="0"/>
        <condense val="0"/>
        <extend val="0"/>
        <outline val="0"/>
        <shadow val="0"/>
        <u val="none"/>
        <vertAlign val="baseline"/>
        <sz val="12"/>
        <color theme="0"/>
        <name val="Arial"/>
        <family val="2"/>
        <scheme val="none"/>
      </font>
      <fill>
        <patternFill patternType="solid">
          <fgColor indexed="64"/>
          <bgColor rgb="FF50B47F"/>
        </patternFill>
      </fill>
      <alignment horizontal="center" vertical="center" textRotation="0" wrapText="1" indent="0" justifyLastLine="0" shrinkToFit="0" readingOrder="0"/>
      <border diagonalUp="0" diagonalDown="0">
        <left style="thin">
          <color theme="0" tint="-0.1498458815271462"/>
        </left>
        <right style="thin">
          <color theme="0" tint="-0.1498458815271462"/>
        </right>
        <top/>
        <bottom/>
        <vertical style="thin">
          <color theme="0" tint="-0.1498458815271462"/>
        </vertical>
        <horizontal style="thin">
          <color theme="0" tint="-0.1498458815271462"/>
        </horizontal>
      </border>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C00000"/>
      </font>
      <fill>
        <patternFill patternType="solid">
          <bgColor theme="0" tint="-4.9989318521683403E-2"/>
        </patternFill>
      </fill>
    </dxf>
    <dxf>
      <font>
        <color theme="7" tint="-0.24994659260841701"/>
      </font>
      <fill>
        <patternFill>
          <bgColor theme="0" tint="-4.9989318521683403E-2"/>
        </patternFill>
      </fill>
    </dxf>
    <dxf>
      <font>
        <color rgb="FF50B47F"/>
      </font>
      <fill>
        <patternFill>
          <bgColor theme="0" tint="-4.9989318521683403E-2"/>
        </patternFill>
      </fill>
    </dxf>
    <dxf>
      <font>
        <color rgb="FFC00000"/>
      </font>
      <fill>
        <patternFill>
          <bgColor theme="0" tint="-4.9989318521683403E-2"/>
        </patternFill>
      </fill>
    </dxf>
    <dxf>
      <font>
        <color theme="7" tint="-0.24994659260841701"/>
      </font>
      <fill>
        <patternFill>
          <bgColor theme="0" tint="-4.9989318521683403E-2"/>
        </patternFill>
      </fill>
    </dxf>
    <dxf>
      <font>
        <color rgb="FF50B47F"/>
      </font>
      <fill>
        <patternFill>
          <bgColor theme="0" tint="-4.9989318521683403E-2"/>
        </patternFill>
      </fill>
    </dxf>
    <dxf>
      <font>
        <b/>
        <sz val="11"/>
        <color theme="1"/>
      </font>
    </dxf>
    <dxf>
      <fill>
        <patternFill patternType="solid">
          <fgColor theme="0"/>
          <bgColor theme="0"/>
        </patternFill>
      </fill>
      <border diagonalUp="0" diagonalDown="0">
        <left/>
        <right/>
        <top/>
        <bottom/>
        <vertical/>
        <horizontal/>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diagonalUp="0" diagonalDown="0">
        <left/>
        <right/>
        <top/>
        <bottom/>
        <vertical/>
        <horizontal/>
      </border>
    </dxf>
    <dxf>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border diagonalUp="0" diagonalDown="0">
        <left/>
        <right/>
        <top/>
        <bottom/>
        <vertical/>
        <horizontal/>
      </border>
    </dxf>
    <dxf>
      <fill>
        <patternFill>
          <bgColor rgb="FF8FCFAD"/>
        </patternFill>
      </fill>
    </dxf>
    <dxf>
      <fill>
        <patternFill>
          <bgColor rgb="FF8FCFAD"/>
        </patternFill>
      </fill>
    </dxf>
    <dxf>
      <font>
        <color auto="1"/>
      </font>
      <fill>
        <patternFill patternType="none">
          <bgColor auto="1"/>
        </patternFill>
      </fill>
    </dxf>
    <dxf>
      <fill>
        <patternFill>
          <bgColor rgb="FF8FCFAD"/>
        </patternFill>
      </fill>
    </dxf>
    <dxf>
      <fill>
        <patternFill>
          <bgColor rgb="FF8FCFAD"/>
        </patternFill>
      </fill>
    </dxf>
    <dxf>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s>
  <tableStyles count="12" defaultTableStyle="TableStyleMedium2" defaultPivotStyle="PivotStyleLight16">
    <tableStyle name="Invisible" pivot="0" table="0" count="0" xr9:uid="{29670AC9-CC8C-40E6-85BA-3E91B2DB0A81}"/>
    <tableStyle name="PivotTable Style 1" table="0" count="6" xr9:uid="{3831004B-067D-418F-BD50-A3986E0D4865}">
      <tableStyleElement type="wholeTable" dxfId="68"/>
      <tableStyleElement type="headerRow" dxfId="67"/>
      <tableStyleElement type="totalRow" dxfId="66"/>
      <tableStyleElement type="lastColumn" dxfId="65"/>
      <tableStyleElement type="pageFieldLabels" dxfId="64"/>
      <tableStyleElement type="pageFieldValues" dxfId="63"/>
    </tableStyle>
    <tableStyle name="Slicer Style 1" pivot="0" table="0" count="8" xr9:uid="{6B0103B1-AE5E-4E9B-A35E-CDD51150C899}">
      <tableStyleElement type="wholeTable" dxfId="62"/>
    </tableStyle>
    <tableStyle name="Slicer Style 1 2" pivot="0" table="0" count="8" xr9:uid="{121112F6-CD7D-4975-B100-08E955851BB0}">
      <tableStyleElement type="wholeTable" dxfId="61"/>
    </tableStyle>
    <tableStyle name="Slicer Style 1 2 2" pivot="0" table="0" count="8" xr9:uid="{C4D05116-914B-4C6A-B03D-8FB7CE97E8B5}">
      <tableStyleElement type="wholeTable" dxfId="60"/>
    </tableStyle>
    <tableStyle name="Slicer Style 1 3" pivot="0" table="0" count="8" xr9:uid="{213F9ECD-90A2-4F03-BF07-3709F421D44D}">
      <tableStyleElement type="wholeTable" dxfId="59"/>
    </tableStyle>
    <tableStyle name="Slicer Style 1 4" pivot="0" table="0" count="8" xr9:uid="{87F19671-5C08-4E0D-98B0-24740D1A225C}">
      <tableStyleElement type="wholeTable" dxfId="58"/>
    </tableStyle>
    <tableStyle name="Slicer Style 1 5" pivot="0" table="0" count="8" xr9:uid="{58AB4554-31F2-44DA-8AA6-B0488B2BEB59}">
      <tableStyleElement type="wholeTable" dxfId="57"/>
    </tableStyle>
    <tableStyle name="Slicer Style 1 6" pivot="0" table="0" count="8" xr9:uid="{BA563691-3EB3-4B8C-BDE2-E1718ADEE013}">
      <tableStyleElement type="wholeTable" dxfId="56"/>
    </tableStyle>
    <tableStyle name="Slicer Style 1 7" pivot="0" table="0" count="8" xr9:uid="{AE116325-7114-46AC-AEFE-7B740710A7CB}">
      <tableStyleElement type="wholeTable" dxfId="55"/>
    </tableStyle>
    <tableStyle name="Slicer Style 1 8" pivot="0" table="0" count="8" xr9:uid="{11E87EE1-2FD4-4672-A2A1-5A707FBFD38C}">
      <tableStyleElement type="wholeTable" dxfId="54"/>
    </tableStyle>
    <tableStyle name="Timeline Style 1" pivot="0" table="0" count="8" xr9:uid="{E7FBEFCC-9E91-45D6-9FD4-D3137AAC2CB6}">
      <tableStyleElement type="wholeTable" dxfId="53"/>
      <tableStyleElement type="headerRow" dxfId="52"/>
    </tableStyle>
  </tableStyles>
  <colors>
    <mruColors>
      <color rgb="FF50B47F"/>
      <color rgb="FF8FCFAD"/>
      <color rgb="FFA20000"/>
      <color rgb="FFFCEEE4"/>
      <color rgb="FFFF9797"/>
      <color rgb="FFF74F4F"/>
      <color rgb="FFFF6565"/>
      <color rgb="FFFF6161"/>
      <color rgb="FF8A0000"/>
      <color rgb="FFFF5353"/>
    </mruColors>
  </colors>
  <extLst>
    <ext xmlns:x14="http://schemas.microsoft.com/office/spreadsheetml/2009/9/main" uri="{46F421CA-312F-682f-3DD2-61675219B42D}">
      <x14:dxfs count="63">
        <dxf>
          <fill>
            <patternFill patternType="none">
              <bgColor auto="1"/>
            </patternFill>
          </fill>
        </dxf>
        <dxf>
          <font>
            <color theme="0"/>
          </font>
          <fill>
            <patternFill>
              <bgColor rgb="FF50B47F"/>
            </patternFill>
          </fill>
        </dxf>
        <dxf>
          <fill>
            <patternFill>
              <bgColor rgb="FF50B47F"/>
            </patternFill>
          </fill>
        </dxf>
        <dxf>
          <fill>
            <patternFill>
              <bgColor theme="0" tint="-0.24994659260841701"/>
            </patternFill>
          </fill>
        </dxf>
        <dxf>
          <fill>
            <patternFill>
              <bgColor rgb="FF8FCFAD"/>
            </patternFill>
          </fill>
        </dxf>
        <dxf>
          <fill>
            <patternFill>
              <bgColor theme="0" tint="-0.24994659260841701"/>
            </patternFill>
          </fill>
        </dxf>
        <dxf>
          <fill>
            <patternFill>
              <bgColor theme="0" tint="-0.14996795556505021"/>
            </patternFill>
          </fill>
        </dxf>
        <dxf>
          <fill>
            <patternFill patternType="none">
              <bgColor auto="1"/>
            </patternFill>
          </fill>
        </dxf>
        <dxf>
          <font>
            <color theme="0"/>
          </font>
          <fill>
            <patternFill>
              <bgColor rgb="FF50B47F"/>
            </patternFill>
          </fill>
        </dxf>
        <dxf>
          <fill>
            <patternFill>
              <bgColor rgb="FF50B47F"/>
            </patternFill>
          </fill>
        </dxf>
        <dxf>
          <fill>
            <patternFill>
              <bgColor theme="0" tint="-0.24994659260841701"/>
            </patternFill>
          </fill>
        </dxf>
        <dxf>
          <fill>
            <patternFill>
              <bgColor rgb="FF8FCFAD"/>
            </patternFill>
          </fill>
        </dxf>
        <dxf>
          <fill>
            <patternFill>
              <bgColor theme="0" tint="-0.24994659260841701"/>
            </patternFill>
          </fill>
        </dxf>
        <dxf>
          <fill>
            <patternFill>
              <bgColor theme="0" tint="-0.14996795556505021"/>
            </patternFill>
          </fill>
        </dxf>
        <dxf>
          <fill>
            <patternFill patternType="none">
              <bgColor auto="1"/>
            </patternFill>
          </fill>
        </dxf>
        <dxf>
          <font>
            <color theme="0"/>
          </font>
          <fill>
            <patternFill>
              <bgColor rgb="FF50B47F"/>
            </patternFill>
          </fill>
        </dxf>
        <dxf>
          <fill>
            <patternFill>
              <bgColor rgb="FF50B47F"/>
            </patternFill>
          </fill>
        </dxf>
        <dxf>
          <fill>
            <patternFill>
              <bgColor theme="0" tint="-0.24994659260841701"/>
            </patternFill>
          </fill>
        </dxf>
        <dxf>
          <fill>
            <patternFill>
              <bgColor rgb="FF8FCFAD"/>
            </patternFill>
          </fill>
        </dxf>
        <dxf>
          <fill>
            <patternFill>
              <bgColor theme="0" tint="-0.24994659260841701"/>
            </patternFill>
          </fill>
        </dxf>
        <dxf>
          <fill>
            <patternFill>
              <bgColor theme="0" tint="-0.14996795556505021"/>
            </patternFill>
          </fill>
        </dxf>
        <dxf>
          <fill>
            <patternFill patternType="none">
              <bgColor auto="1"/>
            </patternFill>
          </fill>
        </dxf>
        <dxf>
          <font>
            <color theme="0"/>
          </font>
          <fill>
            <patternFill>
              <bgColor rgb="FF50B47F"/>
            </patternFill>
          </fill>
        </dxf>
        <dxf>
          <fill>
            <patternFill>
              <bgColor rgb="FF50B47F"/>
            </patternFill>
          </fill>
        </dxf>
        <dxf>
          <fill>
            <patternFill>
              <bgColor theme="0" tint="-0.24994659260841701"/>
            </patternFill>
          </fill>
        </dxf>
        <dxf>
          <fill>
            <patternFill>
              <bgColor rgb="FF8FCFAD"/>
            </patternFill>
          </fill>
        </dxf>
        <dxf>
          <fill>
            <patternFill>
              <bgColor theme="0" tint="-0.24994659260841701"/>
            </patternFill>
          </fill>
        </dxf>
        <dxf>
          <fill>
            <patternFill>
              <bgColor theme="0" tint="-0.14996795556505021"/>
            </patternFill>
          </fill>
        </dxf>
        <dxf>
          <fill>
            <patternFill patternType="none">
              <bgColor auto="1"/>
            </patternFill>
          </fill>
        </dxf>
        <dxf>
          <font>
            <color theme="0"/>
          </font>
          <fill>
            <patternFill>
              <bgColor rgb="FF50B47F"/>
            </patternFill>
          </fill>
        </dxf>
        <dxf>
          <fill>
            <patternFill>
              <bgColor rgb="FF50B47F"/>
            </patternFill>
          </fill>
        </dxf>
        <dxf>
          <fill>
            <patternFill>
              <bgColor theme="0" tint="-0.24994659260841701"/>
            </patternFill>
          </fill>
        </dxf>
        <dxf>
          <fill>
            <patternFill>
              <bgColor rgb="FF8FCFAD"/>
            </patternFill>
          </fill>
        </dxf>
        <dxf>
          <fill>
            <patternFill>
              <bgColor theme="0" tint="-0.24994659260841701"/>
            </patternFill>
          </fill>
        </dxf>
        <dxf>
          <fill>
            <patternFill>
              <bgColor theme="0" tint="-0.14996795556505021"/>
            </patternFill>
          </fill>
        </dxf>
        <dxf>
          <fill>
            <patternFill patternType="none">
              <bgColor auto="1"/>
            </patternFill>
          </fill>
        </dxf>
        <dxf>
          <font>
            <color theme="0"/>
          </font>
          <fill>
            <patternFill>
              <bgColor rgb="FF50B47F"/>
            </patternFill>
          </fill>
        </dxf>
        <dxf>
          <fill>
            <patternFill>
              <bgColor rgb="FF50B47F"/>
            </patternFill>
          </fill>
        </dxf>
        <dxf>
          <fill>
            <patternFill>
              <bgColor theme="0" tint="-0.24994659260841701"/>
            </patternFill>
          </fill>
        </dxf>
        <dxf>
          <fill>
            <patternFill>
              <bgColor rgb="FF8FCFAD"/>
            </patternFill>
          </fill>
        </dxf>
        <dxf>
          <fill>
            <patternFill>
              <bgColor theme="0" tint="-0.24994659260841701"/>
            </patternFill>
          </fill>
        </dxf>
        <dxf>
          <fill>
            <patternFill>
              <bgColor theme="0" tint="-0.14996795556505021"/>
            </patternFill>
          </fill>
        </dxf>
        <dxf>
          <fill>
            <patternFill patternType="none">
              <bgColor auto="1"/>
            </patternFill>
          </fill>
        </dxf>
        <dxf>
          <font>
            <color theme="0"/>
          </font>
          <fill>
            <patternFill>
              <bgColor rgb="FF50B47F"/>
            </patternFill>
          </fill>
        </dxf>
        <dxf>
          <fill>
            <patternFill>
              <bgColor rgb="FF50B47F"/>
            </patternFill>
          </fill>
        </dxf>
        <dxf>
          <fill>
            <patternFill>
              <bgColor theme="0" tint="-0.24994659260841701"/>
            </patternFill>
          </fill>
        </dxf>
        <dxf>
          <fill>
            <patternFill>
              <bgColor rgb="FF8FCFAD"/>
            </patternFill>
          </fill>
        </dxf>
        <dxf>
          <fill>
            <patternFill>
              <bgColor theme="0" tint="-0.24994659260841701"/>
            </patternFill>
          </fill>
        </dxf>
        <dxf>
          <fill>
            <patternFill>
              <bgColor theme="0" tint="-0.14996795556505021"/>
            </patternFill>
          </fill>
        </dxf>
        <dxf>
          <fill>
            <patternFill patternType="none">
              <bgColor auto="1"/>
            </patternFill>
          </fill>
        </dxf>
        <dxf>
          <font>
            <color theme="0"/>
          </font>
          <fill>
            <patternFill>
              <bgColor rgb="FF50B47F"/>
            </patternFill>
          </fill>
        </dxf>
        <dxf>
          <fill>
            <patternFill>
              <bgColor rgb="FF50B47F"/>
            </patternFill>
          </fill>
        </dxf>
        <dxf>
          <fill>
            <patternFill>
              <bgColor theme="0" tint="-0.24994659260841701"/>
            </patternFill>
          </fill>
        </dxf>
        <dxf>
          <fill>
            <patternFill>
              <bgColor rgb="FF8FCFAD"/>
            </patternFill>
          </fill>
        </dxf>
        <dxf>
          <fill>
            <patternFill>
              <bgColor theme="0" tint="-0.24994659260841701"/>
            </patternFill>
          </fill>
        </dxf>
        <dxf>
          <fill>
            <patternFill>
              <bgColor theme="0" tint="-0.14996795556505021"/>
            </patternFill>
          </fill>
        </dxf>
        <dxf>
          <fill>
            <patternFill patternType="none">
              <bgColor auto="1"/>
            </patternFill>
          </fill>
        </dxf>
        <dxf>
          <font>
            <color theme="0"/>
          </font>
          <fill>
            <patternFill>
              <bgColor rgb="FF50B47F"/>
            </patternFill>
          </fill>
        </dxf>
        <dxf>
          <fill>
            <patternFill>
              <bgColor rgb="FF50B47F"/>
            </patternFill>
          </fill>
        </dxf>
        <dxf>
          <fill>
            <patternFill>
              <bgColor theme="0" tint="-0.24994659260841701"/>
            </patternFill>
          </fill>
        </dxf>
        <dxf>
          <fill>
            <patternFill>
              <bgColor rgb="FF8FCFAD"/>
            </patternFill>
          </fill>
        </dxf>
        <dxf>
          <fill>
            <patternFill>
              <bgColor theme="0" tint="-0.24994659260841701"/>
            </patternFill>
          </fill>
        </dxf>
        <dxf>
          <fill>
            <patternFill>
              <bgColor theme="0" tint="-0.1499679555650502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62"/>
            <x14:slicerStyleElement type="unselectedItemWithNoData" dxfId="61"/>
            <x14:slicerStyleElement type="selectedItemWithData" dxfId="60"/>
            <x14:slicerStyleElement type="selectedItemWithNoData" dxfId="59"/>
            <x14:slicerStyleElement type="hoveredUnselectedItemWithData" dxfId="58"/>
            <x14:slicerStyleElement type="hoveredSelectedItemWithData" dxfId="57"/>
            <x14:slicerStyleElement type="hoveredSelectedItemWithNoData" dxfId="56"/>
          </x14:slicerStyleElements>
        </x14:slicerStyle>
        <x14:slicerStyle name="Slicer Style 1 2">
          <x14:slicerStyleElements>
            <x14:slicerStyleElement type="unselectedItemWithData" dxfId="55"/>
            <x14:slicerStyleElement type="unselectedItemWithNoData" dxfId="54"/>
            <x14:slicerStyleElement type="selectedItemWithData" dxfId="53"/>
            <x14:slicerStyleElement type="selectedItemWithNoData" dxfId="52"/>
            <x14:slicerStyleElement type="hoveredUnselectedItemWithData" dxfId="51"/>
            <x14:slicerStyleElement type="hoveredSelectedItemWithData" dxfId="50"/>
            <x14:slicerStyleElement type="hoveredSelectedItemWithNoData" dxfId="49"/>
          </x14:slicerStyleElements>
        </x14:slicerStyle>
        <x14:slicerStyle name="Slicer Style 1 2 2">
          <x14:slicerStyleElements>
            <x14:slicerStyleElement type="unselectedItemWithData" dxfId="48"/>
            <x14:slicerStyleElement type="unselectedItemWithNoData" dxfId="47"/>
            <x14:slicerStyleElement type="selectedItemWithData" dxfId="46"/>
            <x14:slicerStyleElement type="selectedItemWithNoData" dxfId="45"/>
            <x14:slicerStyleElement type="hoveredUnselectedItemWithData" dxfId="44"/>
            <x14:slicerStyleElement type="hoveredSelectedItemWithData" dxfId="43"/>
            <x14:slicerStyleElement type="hoveredSelectedItemWithNoData" dxfId="42"/>
          </x14:slicerStyleElements>
        </x14:slicerStyle>
        <x14:slicerStyle name="Slicer Style 1 3">
          <x14:slicerStyleElements>
            <x14:slicerStyleElement type="unselectedItemWithData" dxfId="41"/>
            <x14:slicerStyleElement type="unselectedItemWithNoData" dxfId="40"/>
            <x14:slicerStyleElement type="selectedItemWithData" dxfId="39"/>
            <x14:slicerStyleElement type="selectedItemWithNoData" dxfId="38"/>
            <x14:slicerStyleElement type="hoveredUnselectedItemWithData" dxfId="37"/>
            <x14:slicerStyleElement type="hoveredSelectedItemWithData" dxfId="36"/>
            <x14:slicerStyleElement type="hoveredSelectedItemWithNoData" dxfId="35"/>
          </x14:slicerStyleElements>
        </x14:slicerStyle>
        <x14:slicerStyle name="Slicer Style 1 4">
          <x14:slicerStyleElements>
            <x14:slicerStyleElement type="unselectedItemWithData" dxfId="34"/>
            <x14:slicerStyleElement type="unselectedItemWithNoData" dxfId="33"/>
            <x14:slicerStyleElement type="selectedItemWithData" dxfId="32"/>
            <x14:slicerStyleElement type="selectedItemWithNoData" dxfId="31"/>
            <x14:slicerStyleElement type="hoveredUnselectedItemWithData" dxfId="30"/>
            <x14:slicerStyleElement type="hoveredSelectedItemWithData" dxfId="29"/>
            <x14:slicerStyleElement type="hoveredSelectedItemWithNoData" dxfId="28"/>
          </x14:slicerStyleElements>
        </x14:slicerStyle>
        <x14:slicerStyle name="Slicer Style 1 5">
          <x14:slicerStyleElements>
            <x14:slicerStyleElement type="unselectedItemWithData" dxfId="27"/>
            <x14:slicerStyleElement type="unselectedItemWithNoData" dxfId="26"/>
            <x14:slicerStyleElement type="selectedItemWithData" dxfId="25"/>
            <x14:slicerStyleElement type="selectedItemWithNoData" dxfId="24"/>
            <x14:slicerStyleElement type="hoveredUnselectedItemWithData" dxfId="23"/>
            <x14:slicerStyleElement type="hoveredSelectedItemWithData" dxfId="22"/>
            <x14:slicerStyleElement type="hoveredSelectedItemWithNoData" dxfId="21"/>
          </x14:slicerStyleElements>
        </x14:slicerStyle>
        <x14:slicerStyle name="Slicer Style 1 6">
          <x14:slicerStyleElements>
            <x14:slicerStyleElement type="unselectedItemWithData" dxfId="20"/>
            <x14:slicerStyleElement type="unselectedItemWithNoData" dxfId="19"/>
            <x14:slicerStyleElement type="selectedItemWithData" dxfId="18"/>
            <x14:slicerStyleElement type="selectedItemWithNoData" dxfId="17"/>
            <x14:slicerStyleElement type="hoveredUnselectedItemWithData" dxfId="16"/>
            <x14:slicerStyleElement type="hoveredSelectedItemWithData" dxfId="15"/>
            <x14:slicerStyleElement type="hoveredSelectedItemWithNoData" dxfId="14"/>
          </x14:slicerStyleElements>
        </x14:slicerStyle>
        <x14:slicerStyle name="Slicer Style 1 7">
          <x14:slicerStyleElements>
            <x14:slicerStyleElement type="unselectedItemWithData" dxfId="13"/>
            <x14:slicerStyleElement type="unselectedItemWithNoData" dxfId="12"/>
            <x14:slicerStyleElement type="selectedItemWithData" dxfId="11"/>
            <x14:slicerStyleElement type="selectedItemWithNoData" dxfId="10"/>
            <x14:slicerStyleElement type="hoveredUnselectedItemWithData" dxfId="9"/>
            <x14:slicerStyleElement type="hoveredSelectedItemWithData" dxfId="8"/>
            <x14:slicerStyleElement type="hoveredSelectedItemWithNoData" dxfId="7"/>
          </x14:slicerStyleElements>
        </x14:slicerStyle>
        <x14:slicerStyle name="Slicer Style 1 8">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A0A4C193-F2C1-4fcb-8827-314CF55A85BB}">
      <x15:dxfs count="6">
        <dxf>
          <fill>
            <patternFill patternType="solid">
              <fgColor theme="0" tint="-0.14999847407452621"/>
              <bgColor theme="0" tint="-0.14999847407452621"/>
            </patternFill>
          </fill>
        </dxf>
        <dxf>
          <fill>
            <patternFill patternType="solid">
              <fgColor theme="0"/>
              <bgColor rgb="FF8FCFAD"/>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7/relationships/slicerCache" Target="slicerCaches/slicerCache6.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pivotCacheDefinition" Target="pivotCache/pivotCacheDefinition1.xml"/><Relationship Id="rId12" Type="http://schemas.microsoft.com/office/2007/relationships/slicerCache" Target="slicerCaches/slicerCache5.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microsoft.com/office/2007/relationships/slicerCache" Target="slicerCaches/slicerCache3.xml"/><Relationship Id="rId19" Type="http://schemas.openxmlformats.org/officeDocument/2006/relationships/customXml" Target="../customXml/item1.xml"/><Relationship Id="rId4" Type="http://schemas.openxmlformats.org/officeDocument/2006/relationships/worksheet" Target="worksheets/sheet4.xml"/><Relationship Id="rId9" Type="http://schemas.microsoft.com/office/2007/relationships/slicerCache" Target="slicerCaches/slicerCache2.xml"/><Relationship Id="rId14" Type="http://schemas.microsoft.com/office/2007/relationships/slicerCache" Target="slicerCaches/slicerCache7.xml"/><Relationship Id="rId22"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Total</c:v>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1125331</c:v>
              </c:pt>
              <c:pt idx="1">
                <c:v>491962</c:v>
              </c:pt>
              <c:pt idx="2">
                <c:v>412408</c:v>
              </c:pt>
              <c:pt idx="3">
                <c:v>727148</c:v>
              </c:pt>
              <c:pt idx="4">
                <c:v>565222</c:v>
              </c:pt>
              <c:pt idx="5">
                <c:v>498223</c:v>
              </c:pt>
              <c:pt idx="6">
                <c:v>318931</c:v>
              </c:pt>
              <c:pt idx="7">
                <c:v>290799</c:v>
              </c:pt>
              <c:pt idx="8">
                <c:v>773692</c:v>
              </c:pt>
              <c:pt idx="9">
                <c:v>262908</c:v>
              </c:pt>
              <c:pt idx="10">
                <c:v>486411</c:v>
              </c:pt>
              <c:pt idx="11">
                <c:v>317646</c:v>
              </c:pt>
            </c:numLit>
          </c:val>
          <c:smooth val="0"/>
          <c:extLst>
            <c:ext xmlns:c16="http://schemas.microsoft.com/office/drawing/2014/chart" uri="{C3380CC4-5D6E-409C-BE32-E72D297353CC}">
              <c16:uniqueId val="{00000000-237D-4213-BF73-B0A96865C76A}"/>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518984464"/>
        <c:axId val="1507761312"/>
      </c:lineChart>
      <c:catAx>
        <c:axId val="1518984464"/>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507761312"/>
        <c:crosses val="autoZero"/>
        <c:auto val="1"/>
        <c:lblAlgn val="ctr"/>
        <c:lblOffset val="100"/>
        <c:noMultiLvlLbl val="0"/>
      </c:catAx>
      <c:valAx>
        <c:axId val="150776131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518984464"/>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[Email Campaign Management.xlsm]Sheet3!revenue list</c:name>
    <c:fmtId val="4"/>
  </c:pivotSource>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200" b="1">
                <a:latin typeface="Arial" panose="020B0604020202020204" pitchFamily="34" charset="0"/>
                <a:cs typeface="Arial" panose="020B0604020202020204" pitchFamily="34" charset="0"/>
              </a:rPr>
              <a:t>Revenue Per List</a:t>
            </a:r>
          </a:p>
        </c:rich>
      </c:tx>
      <c:layout>
        <c:manualLayout>
          <c:xMode val="edge"/>
          <c:yMode val="edge"/>
          <c:x val="0.40527415024574948"/>
          <c:y val="1.5318039435803654E-2"/>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lumMod val="40000"/>
              <a:lumOff val="60000"/>
            </a:schemeClr>
          </a:solidFill>
          <a:ln>
            <a:solidFill>
              <a:schemeClr val="bg1">
                <a:lumMod val="6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4">
              <a:lumMod val="40000"/>
              <a:lumOff val="60000"/>
            </a:schemeClr>
          </a:solidFill>
          <a:ln>
            <a:solidFill>
              <a:schemeClr val="bg1">
                <a:lumMod val="6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rgbClr val="50B47F"/>
              </a:gs>
              <a:gs pos="35000">
                <a:srgbClr val="8FCFAD"/>
              </a:gs>
              <a:gs pos="100000">
                <a:schemeClr val="accent4">
                  <a:lumMod val="20000"/>
                  <a:lumOff val="80000"/>
                </a:schemeClr>
              </a:gs>
            </a:gsLst>
            <a:path path="circle">
              <a:fillToRect l="100000" b="100000"/>
            </a:path>
            <a:tileRect t="-100000" r="-100000"/>
          </a:gradFill>
          <a:ln>
            <a:solidFill>
              <a:schemeClr val="bg1">
                <a:lumMod val="6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081246686132357E-2"/>
          <c:y val="0.13033352905521511"/>
          <c:w val="0.95837506627735292"/>
          <c:h val="0.69056844704602238"/>
        </c:manualLayout>
      </c:layout>
      <c:barChart>
        <c:barDir val="col"/>
        <c:grouping val="clustered"/>
        <c:varyColors val="0"/>
        <c:ser>
          <c:idx val="0"/>
          <c:order val="0"/>
          <c:tx>
            <c:strRef>
              <c:f>Sheet3!$N$4</c:f>
              <c:strCache>
                <c:ptCount val="1"/>
                <c:pt idx="0">
                  <c:v>Total</c:v>
                </c:pt>
              </c:strCache>
            </c:strRef>
          </c:tx>
          <c:spPr>
            <a:gradFill flip="none" rotWithShape="1">
              <a:gsLst>
                <a:gs pos="0">
                  <a:srgbClr val="50B47F"/>
                </a:gs>
                <a:gs pos="35000">
                  <a:srgbClr val="8FCFAD"/>
                </a:gs>
                <a:gs pos="100000">
                  <a:schemeClr val="accent4">
                    <a:lumMod val="20000"/>
                    <a:lumOff val="80000"/>
                  </a:schemeClr>
                </a:gs>
              </a:gsLst>
              <a:path path="circle">
                <a:fillToRect l="100000" b="100000"/>
              </a:path>
              <a:tileRect t="-100000" r="-100000"/>
            </a:gradFill>
            <a:ln>
              <a:solidFill>
                <a:schemeClr val="bg1">
                  <a:lumMod val="65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Sheet3!$M$5:$M$9</c:f>
              <c:strCache>
                <c:ptCount val="4"/>
                <c:pt idx="0">
                  <c:v>Daily Email</c:v>
                </c:pt>
                <c:pt idx="1">
                  <c:v>List 4</c:v>
                </c:pt>
                <c:pt idx="2">
                  <c:v>Newsletter</c:v>
                </c:pt>
                <c:pt idx="3">
                  <c:v>Purchasers</c:v>
                </c:pt>
              </c:strCache>
            </c:strRef>
          </c:cat>
          <c:val>
            <c:numRef>
              <c:f>Sheet3!$N$5:$N$9</c:f>
              <c:numCache>
                <c:formatCode>"$"#,##0</c:formatCode>
                <c:ptCount val="4"/>
                <c:pt idx="0">
                  <c:v>1134</c:v>
                </c:pt>
                <c:pt idx="1">
                  <c:v>731</c:v>
                </c:pt>
                <c:pt idx="2">
                  <c:v>735</c:v>
                </c:pt>
                <c:pt idx="3">
                  <c:v>345</c:v>
                </c:pt>
              </c:numCache>
            </c:numRef>
          </c:val>
          <c:extLst>
            <c:ext xmlns:c16="http://schemas.microsoft.com/office/drawing/2014/chart" uri="{C3380CC4-5D6E-409C-BE32-E72D297353CC}">
              <c16:uniqueId val="{00000000-4CD4-4121-B23F-069BEC81D7AF}"/>
            </c:ext>
          </c:extLst>
        </c:ser>
        <c:dLbls>
          <c:dLblPos val="outEnd"/>
          <c:showLegendKey val="0"/>
          <c:showVal val="1"/>
          <c:showCatName val="0"/>
          <c:showSerName val="0"/>
          <c:showPercent val="0"/>
          <c:showBubbleSize val="0"/>
        </c:dLbls>
        <c:gapWidth val="182"/>
        <c:axId val="1956325375"/>
        <c:axId val="1856171791"/>
      </c:barChart>
      <c:catAx>
        <c:axId val="19563253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856171791"/>
        <c:crosses val="autoZero"/>
        <c:auto val="1"/>
        <c:lblAlgn val="ctr"/>
        <c:lblOffset val="100"/>
        <c:noMultiLvlLbl val="0"/>
      </c:catAx>
      <c:valAx>
        <c:axId val="1856171791"/>
        <c:scaling>
          <c:orientation val="minMax"/>
        </c:scaling>
        <c:delete val="1"/>
        <c:axPos val="l"/>
        <c:numFmt formatCode="&quot;$&quot;#,##0" sourceLinked="1"/>
        <c:majorTickMark val="none"/>
        <c:minorTickMark val="none"/>
        <c:tickLblPos val="nextTo"/>
        <c:crossAx val="19563253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bg1">
          <a:lumMod val="6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[Email Campaign Management.xlsm]Sheet3!camp revenue</c:name>
    <c:fmtId val="4"/>
  </c:pivotSource>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200" b="1">
                <a:latin typeface="Arial" panose="020B0604020202020204" pitchFamily="34" charset="0"/>
                <a:cs typeface="Arial" panose="020B0604020202020204" pitchFamily="34" charset="0"/>
              </a:rPr>
              <a:t>Revenue Per Campaign</a:t>
            </a:r>
          </a:p>
        </c:rich>
      </c:tx>
      <c:layout>
        <c:manualLayout>
          <c:xMode val="edge"/>
          <c:yMode val="edge"/>
          <c:x val="0.24877454351563058"/>
          <c:y val="6.19010042097557E-3"/>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8FCFAD"/>
          </a:solidFill>
          <a:ln>
            <a:solidFill>
              <a:schemeClr val="bg1">
                <a:lumMod val="6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8FCFAD"/>
          </a:solidFill>
          <a:ln>
            <a:solidFill>
              <a:schemeClr val="bg1">
                <a:lumMod val="6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rgbClr val="50B47F"/>
              </a:gs>
              <a:gs pos="35000">
                <a:srgbClr val="8FCFAD"/>
              </a:gs>
              <a:gs pos="100000">
                <a:schemeClr val="accent4">
                  <a:lumMod val="20000"/>
                  <a:lumOff val="80000"/>
                </a:schemeClr>
              </a:gs>
            </a:gsLst>
            <a:path path="circle">
              <a:fillToRect l="100000" t="100000"/>
            </a:path>
            <a:tileRect r="-100000" b="-100000"/>
          </a:gradFill>
          <a:ln>
            <a:solidFill>
              <a:schemeClr val="bg1">
                <a:lumMod val="6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3204020726383296"/>
          <c:y val="8.3204739235659964E-2"/>
          <c:w val="0.51166897954811896"/>
          <c:h val="0.89586339850156516"/>
        </c:manualLayout>
      </c:layout>
      <c:barChart>
        <c:barDir val="bar"/>
        <c:grouping val="clustered"/>
        <c:varyColors val="0"/>
        <c:ser>
          <c:idx val="0"/>
          <c:order val="0"/>
          <c:tx>
            <c:strRef>
              <c:f>Sheet3!$K$4</c:f>
              <c:strCache>
                <c:ptCount val="1"/>
                <c:pt idx="0">
                  <c:v>Total</c:v>
                </c:pt>
              </c:strCache>
            </c:strRef>
          </c:tx>
          <c:spPr>
            <a:gradFill flip="none" rotWithShape="1">
              <a:gsLst>
                <a:gs pos="0">
                  <a:srgbClr val="50B47F"/>
                </a:gs>
                <a:gs pos="35000">
                  <a:srgbClr val="8FCFAD"/>
                </a:gs>
                <a:gs pos="100000">
                  <a:schemeClr val="accent4">
                    <a:lumMod val="20000"/>
                    <a:lumOff val="80000"/>
                  </a:schemeClr>
                </a:gs>
              </a:gsLst>
              <a:path path="circle">
                <a:fillToRect l="100000" t="100000"/>
              </a:path>
              <a:tileRect r="-100000" b="-100000"/>
            </a:gradFill>
            <a:ln>
              <a:solidFill>
                <a:schemeClr val="bg1">
                  <a:lumMod val="65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Sheet3!$J$5:$J$11</c:f>
              <c:strCache>
                <c:ptCount val="6"/>
                <c:pt idx="0">
                  <c:v>5-Tips for making spreadsheet</c:v>
                </c:pt>
                <c:pt idx="1">
                  <c:v>Campaign 4</c:v>
                </c:pt>
                <c:pt idx="2">
                  <c:v>Campaign 5</c:v>
                </c:pt>
                <c:pt idx="3">
                  <c:v>Campaign 6</c:v>
                </c:pt>
                <c:pt idx="4">
                  <c:v>Excel template for small business</c:v>
                </c:pt>
                <c:pt idx="5">
                  <c:v>The Power of Excel Dashboards</c:v>
                </c:pt>
              </c:strCache>
            </c:strRef>
          </c:cat>
          <c:val>
            <c:numRef>
              <c:f>Sheet3!$K$5:$K$11</c:f>
              <c:numCache>
                <c:formatCode>"$"#,##0</c:formatCode>
                <c:ptCount val="6"/>
                <c:pt idx="0">
                  <c:v>393</c:v>
                </c:pt>
                <c:pt idx="1">
                  <c:v>365</c:v>
                </c:pt>
                <c:pt idx="2">
                  <c:v>899</c:v>
                </c:pt>
                <c:pt idx="3">
                  <c:v>355</c:v>
                </c:pt>
                <c:pt idx="4">
                  <c:v>355</c:v>
                </c:pt>
                <c:pt idx="5">
                  <c:v>578</c:v>
                </c:pt>
              </c:numCache>
            </c:numRef>
          </c:val>
          <c:extLst>
            <c:ext xmlns:c16="http://schemas.microsoft.com/office/drawing/2014/chart" uri="{C3380CC4-5D6E-409C-BE32-E72D297353CC}">
              <c16:uniqueId val="{00000000-66C8-44CB-A631-5A38C7DD2D54}"/>
            </c:ext>
          </c:extLst>
        </c:ser>
        <c:dLbls>
          <c:dLblPos val="outEnd"/>
          <c:showLegendKey val="0"/>
          <c:showVal val="1"/>
          <c:showCatName val="0"/>
          <c:showSerName val="0"/>
          <c:showPercent val="0"/>
          <c:showBubbleSize val="0"/>
        </c:dLbls>
        <c:gapWidth val="182"/>
        <c:axId val="1876438815"/>
        <c:axId val="732291183"/>
      </c:barChart>
      <c:catAx>
        <c:axId val="1876438815"/>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732291183"/>
        <c:crosses val="autoZero"/>
        <c:auto val="1"/>
        <c:lblAlgn val="ctr"/>
        <c:lblOffset val="100"/>
        <c:noMultiLvlLbl val="0"/>
      </c:catAx>
      <c:valAx>
        <c:axId val="732291183"/>
        <c:scaling>
          <c:orientation val="minMax"/>
        </c:scaling>
        <c:delete val="1"/>
        <c:axPos val="b"/>
        <c:numFmt formatCode="&quot;$&quot;#,##0" sourceLinked="1"/>
        <c:majorTickMark val="none"/>
        <c:minorTickMark val="none"/>
        <c:tickLblPos val="nextTo"/>
        <c:crossAx val="18764388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bg1">
          <a:lumMod val="6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[Email Campaign Management.xlsm]Sheet3!delivery rate</c:name>
    <c:fmtId val="7"/>
  </c:pivotSource>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200" b="1">
                <a:latin typeface="Arial" panose="020B0604020202020204" pitchFamily="34" charset="0"/>
                <a:cs typeface="Arial" panose="020B0604020202020204" pitchFamily="34" charset="0"/>
              </a:rPr>
              <a:t>Delivery Rate% Per Platform</a:t>
            </a:r>
          </a:p>
        </c:rich>
      </c:tx>
      <c:layout>
        <c:manualLayout>
          <c:xMode val="edge"/>
          <c:yMode val="edge"/>
          <c:x val="0.16479171318815858"/>
          <c:y val="0"/>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8FCF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8FCF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lumMod val="40000"/>
              <a:lumOff val="60000"/>
            </a:schemeClr>
          </a:solidFill>
          <a:ln>
            <a:solidFill>
              <a:schemeClr val="bg1">
                <a:lumMod val="6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1077436319184204"/>
          <c:y val="0.10951112133087164"/>
          <c:w val="0.63906870829010831"/>
          <c:h val="0.79662075400937693"/>
        </c:manualLayout>
      </c:layout>
      <c:barChart>
        <c:barDir val="bar"/>
        <c:grouping val="clustered"/>
        <c:varyColors val="0"/>
        <c:ser>
          <c:idx val="0"/>
          <c:order val="0"/>
          <c:tx>
            <c:strRef>
              <c:f>Sheet3!$Y$4</c:f>
              <c:strCache>
                <c:ptCount val="1"/>
                <c:pt idx="0">
                  <c:v>Total</c:v>
                </c:pt>
              </c:strCache>
            </c:strRef>
          </c:tx>
          <c:spPr>
            <a:solidFill>
              <a:schemeClr val="accent4">
                <a:lumMod val="40000"/>
                <a:lumOff val="60000"/>
              </a:schemeClr>
            </a:solidFill>
            <a:ln>
              <a:solidFill>
                <a:schemeClr val="bg1">
                  <a:lumMod val="65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Sheet3!$X$5:$X$9</c:f>
              <c:strCache>
                <c:ptCount val="4"/>
                <c:pt idx="0">
                  <c:v>Constant Contact</c:v>
                </c:pt>
                <c:pt idx="1">
                  <c:v>Klaviyo</c:v>
                </c:pt>
                <c:pt idx="2">
                  <c:v>MailChimp</c:v>
                </c:pt>
                <c:pt idx="3">
                  <c:v>Platform 4</c:v>
                </c:pt>
              </c:strCache>
            </c:strRef>
          </c:cat>
          <c:val>
            <c:numRef>
              <c:f>Sheet3!$Y$5:$Y$9</c:f>
              <c:numCache>
                <c:formatCode>0%</c:formatCode>
                <c:ptCount val="4"/>
                <c:pt idx="0">
                  <c:v>0.81971339361363138</c:v>
                </c:pt>
                <c:pt idx="1">
                  <c:v>0.8969658514434069</c:v>
                </c:pt>
                <c:pt idx="2">
                  <c:v>0.77875629140793912</c:v>
                </c:pt>
                <c:pt idx="3">
                  <c:v>0.79771038022684837</c:v>
                </c:pt>
              </c:numCache>
            </c:numRef>
          </c:val>
          <c:extLst>
            <c:ext xmlns:c16="http://schemas.microsoft.com/office/drawing/2014/chart" uri="{C3380CC4-5D6E-409C-BE32-E72D297353CC}">
              <c16:uniqueId val="{00000000-90C2-4EBB-9263-A768F65A1C45}"/>
            </c:ext>
          </c:extLst>
        </c:ser>
        <c:dLbls>
          <c:dLblPos val="outEnd"/>
          <c:showLegendKey val="0"/>
          <c:showVal val="1"/>
          <c:showCatName val="0"/>
          <c:showSerName val="0"/>
          <c:showPercent val="0"/>
          <c:showBubbleSize val="0"/>
        </c:dLbls>
        <c:gapWidth val="219"/>
        <c:axId val="1851909167"/>
        <c:axId val="1856224623"/>
      </c:barChart>
      <c:catAx>
        <c:axId val="18519091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856224623"/>
        <c:crosses val="autoZero"/>
        <c:auto val="1"/>
        <c:lblAlgn val="ctr"/>
        <c:lblOffset val="100"/>
        <c:noMultiLvlLbl val="0"/>
      </c:catAx>
      <c:valAx>
        <c:axId val="1856224623"/>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8519091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bg1">
          <a:lumMod val="6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[Email Campaign Management.xlsm]Sheet3!timeline</c:name>
    <c:fmtId val="4"/>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bg1">
              <a:lumMod val="8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8FCF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rgbClr val="C00000"/>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bg1">
              <a:lumMod val="8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8FCF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C00000"/>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bg1">
              <a:lumMod val="85000"/>
            </a:schemeClr>
          </a:solidFill>
          <a:ln>
            <a:solidFill>
              <a:schemeClr val="bg1">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8FCFAD"/>
          </a:solidFill>
          <a:ln>
            <a:solidFill>
              <a:schemeClr val="bg1">
                <a:lumMod val="6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rgbClr val="C00000"/>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9198596228898309E-2"/>
          <c:y val="0.13453550565922912"/>
          <c:w val="0.87325571815151648"/>
          <c:h val="0.52128780468178304"/>
        </c:manualLayout>
      </c:layout>
      <c:barChart>
        <c:barDir val="col"/>
        <c:grouping val="clustered"/>
        <c:varyColors val="0"/>
        <c:ser>
          <c:idx val="1"/>
          <c:order val="1"/>
          <c:tx>
            <c:strRef>
              <c:f>Sheet3!$U$4</c:f>
              <c:strCache>
                <c:ptCount val="1"/>
                <c:pt idx="0">
                  <c:v>Average of Click Rate%</c:v>
                </c:pt>
              </c:strCache>
            </c:strRef>
          </c:tx>
          <c:spPr>
            <a:solidFill>
              <a:srgbClr val="8FCFAD"/>
            </a:solidFill>
            <a:ln>
              <a:solidFill>
                <a:schemeClr val="bg1">
                  <a:lumMod val="65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Sheet3!$S$5:$S$14</c:f>
              <c:multiLvlStrCache>
                <c:ptCount val="5"/>
                <c:lvl>
                  <c:pt idx="0">
                    <c:v>Oct</c:v>
                  </c:pt>
                  <c:pt idx="1">
                    <c:v>Nov</c:v>
                  </c:pt>
                  <c:pt idx="2">
                    <c:v>Dec</c:v>
                  </c:pt>
                  <c:pt idx="3">
                    <c:v>Jan</c:v>
                  </c:pt>
                  <c:pt idx="4">
                    <c:v>Feb</c:v>
                  </c:pt>
                </c:lvl>
                <c:lvl>
                  <c:pt idx="0">
                    <c:v>Qtr4</c:v>
                  </c:pt>
                  <c:pt idx="3">
                    <c:v>Qtr1</c:v>
                  </c:pt>
                </c:lvl>
                <c:lvl>
                  <c:pt idx="0">
                    <c:v>2020</c:v>
                  </c:pt>
                  <c:pt idx="3">
                    <c:v>2021</c:v>
                  </c:pt>
                </c:lvl>
              </c:multiLvlStrCache>
            </c:multiLvlStrRef>
          </c:cat>
          <c:val>
            <c:numRef>
              <c:f>Sheet3!$U$5:$U$14</c:f>
              <c:numCache>
                <c:formatCode>0%</c:formatCode>
                <c:ptCount val="5"/>
                <c:pt idx="0">
                  <c:v>0.41800000000000004</c:v>
                </c:pt>
                <c:pt idx="1">
                  <c:v>0.57208095997569675</c:v>
                </c:pt>
                <c:pt idx="2">
                  <c:v>0.51854166666666668</c:v>
                </c:pt>
                <c:pt idx="3">
                  <c:v>0.37738477698771816</c:v>
                </c:pt>
                <c:pt idx="4">
                  <c:v>0.50819327731092434</c:v>
                </c:pt>
              </c:numCache>
            </c:numRef>
          </c:val>
          <c:extLst>
            <c:ext xmlns:c16="http://schemas.microsoft.com/office/drawing/2014/chart" uri="{C3380CC4-5D6E-409C-BE32-E72D297353CC}">
              <c16:uniqueId val="{00000000-81FC-4860-9015-D69C3AECB38E}"/>
            </c:ext>
          </c:extLst>
        </c:ser>
        <c:ser>
          <c:idx val="0"/>
          <c:order val="0"/>
          <c:tx>
            <c:strRef>
              <c:f>Sheet3!$T$4</c:f>
              <c:strCache>
                <c:ptCount val="1"/>
                <c:pt idx="0">
                  <c:v>Average of Open Rate%</c:v>
                </c:pt>
              </c:strCache>
            </c:strRef>
          </c:tx>
          <c:spPr>
            <a:solidFill>
              <a:schemeClr val="bg1">
                <a:lumMod val="85000"/>
              </a:schemeClr>
            </a:solidFill>
            <a:ln>
              <a:solidFill>
                <a:schemeClr val="bg1">
                  <a:lumMod val="5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Sheet3!$S$5:$S$14</c:f>
              <c:multiLvlStrCache>
                <c:ptCount val="5"/>
                <c:lvl>
                  <c:pt idx="0">
                    <c:v>Oct</c:v>
                  </c:pt>
                  <c:pt idx="1">
                    <c:v>Nov</c:v>
                  </c:pt>
                  <c:pt idx="2">
                    <c:v>Dec</c:v>
                  </c:pt>
                  <c:pt idx="3">
                    <c:v>Jan</c:v>
                  </c:pt>
                  <c:pt idx="4">
                    <c:v>Feb</c:v>
                  </c:pt>
                </c:lvl>
                <c:lvl>
                  <c:pt idx="0">
                    <c:v>Qtr4</c:v>
                  </c:pt>
                  <c:pt idx="3">
                    <c:v>Qtr1</c:v>
                  </c:pt>
                </c:lvl>
                <c:lvl>
                  <c:pt idx="0">
                    <c:v>2020</c:v>
                  </c:pt>
                  <c:pt idx="3">
                    <c:v>2021</c:v>
                  </c:pt>
                </c:lvl>
              </c:multiLvlStrCache>
            </c:multiLvlStrRef>
          </c:cat>
          <c:val>
            <c:numRef>
              <c:f>Sheet3!$T$5:$T$14</c:f>
              <c:numCache>
                <c:formatCode>0%</c:formatCode>
                <c:ptCount val="5"/>
                <c:pt idx="0">
                  <c:v>0.84111427617151713</c:v>
                </c:pt>
                <c:pt idx="1">
                  <c:v>0.60192898658018523</c:v>
                </c:pt>
                <c:pt idx="2">
                  <c:v>0.55306186341649599</c:v>
                </c:pt>
                <c:pt idx="3">
                  <c:v>0.69924168611423576</c:v>
                </c:pt>
                <c:pt idx="4">
                  <c:v>0.57920299815147358</c:v>
                </c:pt>
              </c:numCache>
            </c:numRef>
          </c:val>
          <c:extLst>
            <c:ext xmlns:c16="http://schemas.microsoft.com/office/drawing/2014/chart" uri="{C3380CC4-5D6E-409C-BE32-E72D297353CC}">
              <c16:uniqueId val="{00000002-81FC-4860-9015-D69C3AECB38E}"/>
            </c:ext>
          </c:extLst>
        </c:ser>
        <c:dLbls>
          <c:dLblPos val="outEnd"/>
          <c:showLegendKey val="0"/>
          <c:showVal val="1"/>
          <c:showCatName val="0"/>
          <c:showSerName val="0"/>
          <c:showPercent val="0"/>
          <c:showBubbleSize val="0"/>
        </c:dLbls>
        <c:gapWidth val="271"/>
        <c:overlap val="-13"/>
        <c:axId val="1964113951"/>
        <c:axId val="1856195503"/>
      </c:barChart>
      <c:catAx>
        <c:axId val="19641139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856195503"/>
        <c:crosses val="autoZero"/>
        <c:auto val="1"/>
        <c:lblAlgn val="ctr"/>
        <c:lblOffset val="100"/>
        <c:noMultiLvlLbl val="0"/>
      </c:catAx>
      <c:valAx>
        <c:axId val="185619550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4113951"/>
        <c:crosses val="autoZero"/>
        <c:crossBetween val="between"/>
      </c:valAx>
      <c:spPr>
        <a:noFill/>
        <a:ln>
          <a:noFill/>
        </a:ln>
        <a:effectLst/>
      </c:spPr>
    </c:plotArea>
    <c:legend>
      <c:legendPos val="t"/>
      <c:layout>
        <c:manualLayout>
          <c:xMode val="edge"/>
          <c:yMode val="edge"/>
          <c:x val="0.26218920886961072"/>
          <c:y val="0"/>
          <c:w val="0.47562144894411873"/>
          <c:h val="0.123814720435145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bg1">
          <a:lumMod val="6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[Email Campaign Management.xlsm]Sheet3!unsubscribe</c:name>
    <c:fmtId val="7"/>
  </c:pivotSource>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200" b="1">
                <a:latin typeface="Arial" panose="020B0604020202020204" pitchFamily="34" charset="0"/>
                <a:cs typeface="Arial" panose="020B0604020202020204" pitchFamily="34" charset="0"/>
              </a:rPr>
              <a:t>Unsubscribe % Per Campaign</a:t>
            </a:r>
          </a:p>
        </c:rich>
      </c:tx>
      <c:layout>
        <c:manualLayout>
          <c:xMode val="edge"/>
          <c:yMode val="edge"/>
          <c:x val="0.21985057526429888"/>
          <c:y val="1.8241649410998567E-2"/>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A2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3898553462887273E-2"/>
          <c:y val="0.2446870112566813"/>
          <c:w val="0.9814592797327677"/>
          <c:h val="0.4008323830172163"/>
        </c:manualLayout>
      </c:layout>
      <c:barChart>
        <c:barDir val="col"/>
        <c:grouping val="clustered"/>
        <c:varyColors val="0"/>
        <c:ser>
          <c:idx val="0"/>
          <c:order val="0"/>
          <c:tx>
            <c:strRef>
              <c:f>Sheet3!$AB$4</c:f>
              <c:strCache>
                <c:ptCount val="1"/>
                <c:pt idx="0">
                  <c:v>Total</c:v>
                </c:pt>
              </c:strCache>
            </c:strRef>
          </c:tx>
          <c:spPr>
            <a:solidFill>
              <a:srgbClr val="A2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Sheet3!$AA$5:$AA$11</c:f>
              <c:strCache>
                <c:ptCount val="6"/>
                <c:pt idx="0">
                  <c:v>5-Tips for making spreadsheet</c:v>
                </c:pt>
                <c:pt idx="1">
                  <c:v>Campaign 4</c:v>
                </c:pt>
                <c:pt idx="2">
                  <c:v>Campaign 5</c:v>
                </c:pt>
                <c:pt idx="3">
                  <c:v>Campaign 6</c:v>
                </c:pt>
                <c:pt idx="4">
                  <c:v>Excel template for small business</c:v>
                </c:pt>
                <c:pt idx="5">
                  <c:v>The Power of Excel Dashboards</c:v>
                </c:pt>
              </c:strCache>
            </c:strRef>
          </c:cat>
          <c:val>
            <c:numRef>
              <c:f>Sheet3!$AB$5:$AB$11</c:f>
              <c:numCache>
                <c:formatCode>0%</c:formatCode>
                <c:ptCount val="6"/>
                <c:pt idx="0">
                  <c:v>1.0555582966817658E-2</c:v>
                </c:pt>
                <c:pt idx="1">
                  <c:v>3.2649006392339544E-2</c:v>
                </c:pt>
                <c:pt idx="2">
                  <c:v>2.4936546792980765E-2</c:v>
                </c:pt>
                <c:pt idx="3">
                  <c:v>3.1676831479958985E-2</c:v>
                </c:pt>
                <c:pt idx="4">
                  <c:v>3.2019374684641971E-2</c:v>
                </c:pt>
                <c:pt idx="5">
                  <c:v>2.5089798274088266E-2</c:v>
                </c:pt>
              </c:numCache>
            </c:numRef>
          </c:val>
          <c:extLst>
            <c:ext xmlns:c16="http://schemas.microsoft.com/office/drawing/2014/chart" uri="{C3380CC4-5D6E-409C-BE32-E72D297353CC}">
              <c16:uniqueId val="{00000000-3D74-4455-B73D-B92DE8473F8F}"/>
            </c:ext>
          </c:extLst>
        </c:ser>
        <c:dLbls>
          <c:dLblPos val="outEnd"/>
          <c:showLegendKey val="0"/>
          <c:showVal val="1"/>
          <c:showCatName val="0"/>
          <c:showSerName val="0"/>
          <c:showPercent val="0"/>
          <c:showBubbleSize val="0"/>
        </c:dLbls>
        <c:gapWidth val="182"/>
        <c:axId val="2070544927"/>
        <c:axId val="1856173039"/>
      </c:barChart>
      <c:catAx>
        <c:axId val="20705449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856173039"/>
        <c:crosses val="autoZero"/>
        <c:auto val="1"/>
        <c:lblAlgn val="ctr"/>
        <c:lblOffset val="100"/>
        <c:noMultiLvlLbl val="0"/>
      </c:catAx>
      <c:valAx>
        <c:axId val="1856173039"/>
        <c:scaling>
          <c:orientation val="minMax"/>
        </c:scaling>
        <c:delete val="1"/>
        <c:axPos val="l"/>
        <c:numFmt formatCode="0%" sourceLinked="1"/>
        <c:majorTickMark val="none"/>
        <c:minorTickMark val="none"/>
        <c:tickLblPos val="nextTo"/>
        <c:crossAx val="20705449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bg1">
          <a:lumMod val="6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[Email Campaign Management.xlsm]Sheet3!accumulated</c:name>
    <c:fmtId val="2"/>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0">
                <a:srgbClr val="50B47F"/>
              </a:gs>
              <a:gs pos="83000">
                <a:srgbClr val="8FCFAD"/>
              </a:gs>
              <a:gs pos="100000">
                <a:schemeClr val="accent4">
                  <a:lumMod val="40000"/>
                  <a:lumOff val="60000"/>
                </a:schemeClr>
              </a:gs>
            </a:gsLst>
            <a:lin ang="5400000" scaled="1"/>
          </a:gradFill>
          <a:ln>
            <a:solidFill>
              <a:schemeClr val="bg1">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rgbClr val="C00000"/>
            </a:solidFill>
            <a:prstDash val="sys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8303305080859241E-2"/>
          <c:y val="0.16868782311301997"/>
          <c:w val="0.89567275337371233"/>
          <c:h val="0.51845828362363799"/>
        </c:manualLayout>
      </c:layout>
      <c:areaChart>
        <c:grouping val="standard"/>
        <c:varyColors val="0"/>
        <c:ser>
          <c:idx val="1"/>
          <c:order val="1"/>
          <c:tx>
            <c:strRef>
              <c:f>Sheet3!$AF$4</c:f>
              <c:strCache>
                <c:ptCount val="1"/>
                <c:pt idx="0">
                  <c:v>Accumulated Revenue</c:v>
                </c:pt>
              </c:strCache>
            </c:strRef>
          </c:tx>
          <c:spPr>
            <a:gradFill>
              <a:gsLst>
                <a:gs pos="0">
                  <a:srgbClr val="50B47F"/>
                </a:gs>
                <a:gs pos="83000">
                  <a:srgbClr val="8FCFAD"/>
                </a:gs>
                <a:gs pos="100000">
                  <a:schemeClr val="accent4">
                    <a:lumMod val="40000"/>
                    <a:lumOff val="60000"/>
                  </a:schemeClr>
                </a:gs>
              </a:gsLst>
              <a:lin ang="5400000" scaled="1"/>
            </a:gradFill>
            <a:ln>
              <a:solidFill>
                <a:schemeClr val="bg1">
                  <a:lumMod val="75000"/>
                </a:schemeClr>
              </a:solidFill>
            </a:ln>
            <a:effectLst/>
          </c:spPr>
          <c:cat>
            <c:strRef>
              <c:f>Sheet3!$AD$5:$AD$34</c:f>
              <c:strCache>
                <c:ptCount val="29"/>
                <c:pt idx="0">
                  <c:v>08-Jan</c:v>
                </c:pt>
                <c:pt idx="1">
                  <c:v>09-Jan</c:v>
                </c:pt>
                <c:pt idx="2">
                  <c:v>10-Jan</c:v>
                </c:pt>
                <c:pt idx="3">
                  <c:v>11-Jan</c:v>
                </c:pt>
                <c:pt idx="4">
                  <c:v>18-Jan</c:v>
                </c:pt>
                <c:pt idx="5">
                  <c:v>19-Jan</c:v>
                </c:pt>
                <c:pt idx="6">
                  <c:v>20-Jan</c:v>
                </c:pt>
                <c:pt idx="7">
                  <c:v>24-Jan</c:v>
                </c:pt>
                <c:pt idx="8">
                  <c:v>28-Jan</c:v>
                </c:pt>
                <c:pt idx="9">
                  <c:v>30-Jan</c:v>
                </c:pt>
                <c:pt idx="10">
                  <c:v>02-Feb</c:v>
                </c:pt>
                <c:pt idx="11">
                  <c:v>15-Feb</c:v>
                </c:pt>
                <c:pt idx="12">
                  <c:v>20-Feb</c:v>
                </c:pt>
                <c:pt idx="13">
                  <c:v>22-Feb</c:v>
                </c:pt>
                <c:pt idx="14">
                  <c:v>23-Feb</c:v>
                </c:pt>
                <c:pt idx="15">
                  <c:v>07-Oct</c:v>
                </c:pt>
                <c:pt idx="16">
                  <c:v>19-Oct</c:v>
                </c:pt>
                <c:pt idx="17">
                  <c:v>25-Oct</c:v>
                </c:pt>
                <c:pt idx="18">
                  <c:v>28-Oct</c:v>
                </c:pt>
                <c:pt idx="19">
                  <c:v>02-Nov</c:v>
                </c:pt>
                <c:pt idx="20">
                  <c:v>09-Nov</c:v>
                </c:pt>
                <c:pt idx="21">
                  <c:v>12-Nov</c:v>
                </c:pt>
                <c:pt idx="22">
                  <c:v>17-Nov</c:v>
                </c:pt>
                <c:pt idx="23">
                  <c:v>26-Nov</c:v>
                </c:pt>
                <c:pt idx="24">
                  <c:v>29-Nov</c:v>
                </c:pt>
                <c:pt idx="25">
                  <c:v>02-Dec</c:v>
                </c:pt>
                <c:pt idx="26">
                  <c:v>21-Dec</c:v>
                </c:pt>
                <c:pt idx="27">
                  <c:v>29-Dec</c:v>
                </c:pt>
                <c:pt idx="28">
                  <c:v>30-Dec</c:v>
                </c:pt>
              </c:strCache>
            </c:strRef>
          </c:cat>
          <c:val>
            <c:numRef>
              <c:f>Sheet3!$AF$5:$AF$34</c:f>
              <c:numCache>
                <c:formatCode>"$"#,##0</c:formatCode>
                <c:ptCount val="29"/>
                <c:pt idx="0">
                  <c:v>143</c:v>
                </c:pt>
                <c:pt idx="1">
                  <c:v>277</c:v>
                </c:pt>
                <c:pt idx="2">
                  <c:v>365</c:v>
                </c:pt>
                <c:pt idx="3">
                  <c:v>451</c:v>
                </c:pt>
                <c:pt idx="4">
                  <c:v>521</c:v>
                </c:pt>
                <c:pt idx="5">
                  <c:v>626</c:v>
                </c:pt>
                <c:pt idx="6">
                  <c:v>689</c:v>
                </c:pt>
                <c:pt idx="7">
                  <c:v>826</c:v>
                </c:pt>
                <c:pt idx="8">
                  <c:v>898</c:v>
                </c:pt>
                <c:pt idx="9">
                  <c:v>985</c:v>
                </c:pt>
                <c:pt idx="10">
                  <c:v>1095</c:v>
                </c:pt>
                <c:pt idx="11">
                  <c:v>1228</c:v>
                </c:pt>
                <c:pt idx="12">
                  <c:v>1357</c:v>
                </c:pt>
                <c:pt idx="13">
                  <c:v>1435</c:v>
                </c:pt>
                <c:pt idx="14">
                  <c:v>1557</c:v>
                </c:pt>
                <c:pt idx="15">
                  <c:v>1616</c:v>
                </c:pt>
                <c:pt idx="16">
                  <c:v>1809</c:v>
                </c:pt>
                <c:pt idx="17">
                  <c:v>1875</c:v>
                </c:pt>
                <c:pt idx="18">
                  <c:v>1933</c:v>
                </c:pt>
                <c:pt idx="19">
                  <c:v>2020</c:v>
                </c:pt>
                <c:pt idx="20">
                  <c:v>2128</c:v>
                </c:pt>
                <c:pt idx="21">
                  <c:v>2243</c:v>
                </c:pt>
                <c:pt idx="22">
                  <c:v>2375</c:v>
                </c:pt>
                <c:pt idx="23">
                  <c:v>2474</c:v>
                </c:pt>
                <c:pt idx="24">
                  <c:v>2562</c:v>
                </c:pt>
                <c:pt idx="25">
                  <c:v>2616</c:v>
                </c:pt>
                <c:pt idx="26">
                  <c:v>2752</c:v>
                </c:pt>
                <c:pt idx="27">
                  <c:v>2864</c:v>
                </c:pt>
                <c:pt idx="28">
                  <c:v>2945</c:v>
                </c:pt>
              </c:numCache>
            </c:numRef>
          </c:val>
          <c:extLst>
            <c:ext xmlns:c16="http://schemas.microsoft.com/office/drawing/2014/chart" uri="{C3380CC4-5D6E-409C-BE32-E72D297353CC}">
              <c16:uniqueId val="{00000000-47C4-499C-96C1-EC7E629664F9}"/>
            </c:ext>
          </c:extLst>
        </c:ser>
        <c:dLbls>
          <c:showLegendKey val="0"/>
          <c:showVal val="0"/>
          <c:showCatName val="0"/>
          <c:showSerName val="0"/>
          <c:showPercent val="0"/>
          <c:showBubbleSize val="0"/>
        </c:dLbls>
        <c:axId val="1612647968"/>
        <c:axId val="246170624"/>
      </c:areaChart>
      <c:lineChart>
        <c:grouping val="standard"/>
        <c:varyColors val="0"/>
        <c:ser>
          <c:idx val="0"/>
          <c:order val="0"/>
          <c:tx>
            <c:strRef>
              <c:f>Sheet3!$AE$4</c:f>
              <c:strCache>
                <c:ptCount val="1"/>
                <c:pt idx="0">
                  <c:v>Sum of Revenue</c:v>
                </c:pt>
              </c:strCache>
            </c:strRef>
          </c:tx>
          <c:spPr>
            <a:ln w="28575" cap="rnd">
              <a:solidFill>
                <a:srgbClr val="C00000"/>
              </a:solidFill>
              <a:prstDash val="sysDash"/>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Sheet3!$AD$5:$AD$34</c:f>
              <c:strCache>
                <c:ptCount val="29"/>
                <c:pt idx="0">
                  <c:v>08-Jan</c:v>
                </c:pt>
                <c:pt idx="1">
                  <c:v>09-Jan</c:v>
                </c:pt>
                <c:pt idx="2">
                  <c:v>10-Jan</c:v>
                </c:pt>
                <c:pt idx="3">
                  <c:v>11-Jan</c:v>
                </c:pt>
                <c:pt idx="4">
                  <c:v>18-Jan</c:v>
                </c:pt>
                <c:pt idx="5">
                  <c:v>19-Jan</c:v>
                </c:pt>
                <c:pt idx="6">
                  <c:v>20-Jan</c:v>
                </c:pt>
                <c:pt idx="7">
                  <c:v>24-Jan</c:v>
                </c:pt>
                <c:pt idx="8">
                  <c:v>28-Jan</c:v>
                </c:pt>
                <c:pt idx="9">
                  <c:v>30-Jan</c:v>
                </c:pt>
                <c:pt idx="10">
                  <c:v>02-Feb</c:v>
                </c:pt>
                <c:pt idx="11">
                  <c:v>15-Feb</c:v>
                </c:pt>
                <c:pt idx="12">
                  <c:v>20-Feb</c:v>
                </c:pt>
                <c:pt idx="13">
                  <c:v>22-Feb</c:v>
                </c:pt>
                <c:pt idx="14">
                  <c:v>23-Feb</c:v>
                </c:pt>
                <c:pt idx="15">
                  <c:v>07-Oct</c:v>
                </c:pt>
                <c:pt idx="16">
                  <c:v>19-Oct</c:v>
                </c:pt>
                <c:pt idx="17">
                  <c:v>25-Oct</c:v>
                </c:pt>
                <c:pt idx="18">
                  <c:v>28-Oct</c:v>
                </c:pt>
                <c:pt idx="19">
                  <c:v>02-Nov</c:v>
                </c:pt>
                <c:pt idx="20">
                  <c:v>09-Nov</c:v>
                </c:pt>
                <c:pt idx="21">
                  <c:v>12-Nov</c:v>
                </c:pt>
                <c:pt idx="22">
                  <c:v>17-Nov</c:v>
                </c:pt>
                <c:pt idx="23">
                  <c:v>26-Nov</c:v>
                </c:pt>
                <c:pt idx="24">
                  <c:v>29-Nov</c:v>
                </c:pt>
                <c:pt idx="25">
                  <c:v>02-Dec</c:v>
                </c:pt>
                <c:pt idx="26">
                  <c:v>21-Dec</c:v>
                </c:pt>
                <c:pt idx="27">
                  <c:v>29-Dec</c:v>
                </c:pt>
                <c:pt idx="28">
                  <c:v>30-Dec</c:v>
                </c:pt>
              </c:strCache>
            </c:strRef>
          </c:cat>
          <c:val>
            <c:numRef>
              <c:f>Sheet3!$AE$5:$AE$34</c:f>
              <c:numCache>
                <c:formatCode>"$"#,##0</c:formatCode>
                <c:ptCount val="29"/>
                <c:pt idx="0">
                  <c:v>143</c:v>
                </c:pt>
                <c:pt idx="1">
                  <c:v>134</c:v>
                </c:pt>
                <c:pt idx="2">
                  <c:v>88</c:v>
                </c:pt>
                <c:pt idx="3">
                  <c:v>86</c:v>
                </c:pt>
                <c:pt idx="4">
                  <c:v>70</c:v>
                </c:pt>
                <c:pt idx="5">
                  <c:v>105</c:v>
                </c:pt>
                <c:pt idx="6">
                  <c:v>63</c:v>
                </c:pt>
                <c:pt idx="7">
                  <c:v>137</c:v>
                </c:pt>
                <c:pt idx="8">
                  <c:v>72</c:v>
                </c:pt>
                <c:pt idx="9">
                  <c:v>87</c:v>
                </c:pt>
                <c:pt idx="10">
                  <c:v>110</c:v>
                </c:pt>
                <c:pt idx="11">
                  <c:v>133</c:v>
                </c:pt>
                <c:pt idx="12">
                  <c:v>129</c:v>
                </c:pt>
                <c:pt idx="13">
                  <c:v>78</c:v>
                </c:pt>
                <c:pt idx="14">
                  <c:v>122</c:v>
                </c:pt>
                <c:pt idx="15">
                  <c:v>59</c:v>
                </c:pt>
                <c:pt idx="16">
                  <c:v>193</c:v>
                </c:pt>
                <c:pt idx="17">
                  <c:v>66</c:v>
                </c:pt>
                <c:pt idx="18">
                  <c:v>58</c:v>
                </c:pt>
                <c:pt idx="19">
                  <c:v>87</c:v>
                </c:pt>
                <c:pt idx="20">
                  <c:v>108</c:v>
                </c:pt>
                <c:pt idx="21">
                  <c:v>115</c:v>
                </c:pt>
                <c:pt idx="22">
                  <c:v>132</c:v>
                </c:pt>
                <c:pt idx="23">
                  <c:v>99</c:v>
                </c:pt>
                <c:pt idx="24">
                  <c:v>88</c:v>
                </c:pt>
                <c:pt idx="25">
                  <c:v>54</c:v>
                </c:pt>
                <c:pt idx="26">
                  <c:v>136</c:v>
                </c:pt>
                <c:pt idx="27">
                  <c:v>112</c:v>
                </c:pt>
                <c:pt idx="28">
                  <c:v>81</c:v>
                </c:pt>
              </c:numCache>
            </c:numRef>
          </c:val>
          <c:smooth val="0"/>
          <c:extLst>
            <c:ext xmlns:c16="http://schemas.microsoft.com/office/drawing/2014/chart" uri="{C3380CC4-5D6E-409C-BE32-E72D297353CC}">
              <c16:uniqueId val="{00000001-47C4-499C-96C1-EC7E629664F9}"/>
            </c:ext>
          </c:extLst>
        </c:ser>
        <c:dLbls>
          <c:showLegendKey val="0"/>
          <c:showVal val="0"/>
          <c:showCatName val="0"/>
          <c:showSerName val="0"/>
          <c:showPercent val="0"/>
          <c:showBubbleSize val="0"/>
        </c:dLbls>
        <c:marker val="1"/>
        <c:smooth val="0"/>
        <c:axId val="1225530224"/>
        <c:axId val="1234177984"/>
      </c:lineChart>
      <c:catAx>
        <c:axId val="1225530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234177984"/>
        <c:crosses val="autoZero"/>
        <c:auto val="1"/>
        <c:lblAlgn val="ctr"/>
        <c:lblOffset val="100"/>
        <c:noMultiLvlLbl val="0"/>
      </c:catAx>
      <c:valAx>
        <c:axId val="123417798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225530224"/>
        <c:crosses val="autoZero"/>
        <c:crossBetween val="between"/>
      </c:valAx>
      <c:valAx>
        <c:axId val="246170624"/>
        <c:scaling>
          <c:orientation val="minMax"/>
        </c:scaling>
        <c:delete val="0"/>
        <c:axPos val="r"/>
        <c:numFmt formatCode="&quot;$&quot;#,##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612647968"/>
        <c:crosses val="max"/>
        <c:crossBetween val="between"/>
      </c:valAx>
      <c:catAx>
        <c:axId val="1612647968"/>
        <c:scaling>
          <c:orientation val="minMax"/>
        </c:scaling>
        <c:delete val="1"/>
        <c:axPos val="b"/>
        <c:numFmt formatCode="General" sourceLinked="1"/>
        <c:majorTickMark val="out"/>
        <c:minorTickMark val="none"/>
        <c:tickLblPos val="nextTo"/>
        <c:crossAx val="246170624"/>
        <c:crosses val="autoZero"/>
        <c:auto val="1"/>
        <c:lblAlgn val="ctr"/>
        <c:lblOffset val="100"/>
        <c:noMultiLvlLbl val="0"/>
      </c:catAx>
      <c:spPr>
        <a:noFill/>
        <a:ln>
          <a:noFill/>
        </a:ln>
        <a:effectLst/>
      </c:spPr>
    </c:plotArea>
    <c:legend>
      <c:legendPos val="t"/>
      <c:layout>
        <c:manualLayout>
          <c:xMode val="edge"/>
          <c:yMode val="edge"/>
          <c:x val="0.24704479973543692"/>
          <c:y val="6.9211204803584598E-3"/>
          <c:w val="0.4822771723440149"/>
          <c:h val="0.118096659169694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bg1">
          <a:lumMod val="6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[Email Campaign Management.xlsm]Sheet3!subject line</c:name>
    <c:fmtId val="2"/>
  </c:pivotSource>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200" b="1">
                <a:latin typeface="Arial" panose="020B0604020202020204" pitchFamily="34" charset="0"/>
                <a:cs typeface="Arial" panose="020B0604020202020204" pitchFamily="34" charset="0"/>
              </a:rPr>
              <a:t>Revenue Per Subject Line</a:t>
            </a:r>
          </a:p>
        </c:rich>
      </c:tx>
      <c:layout>
        <c:manualLayout>
          <c:xMode val="edge"/>
          <c:yMode val="edge"/>
          <c:x val="0.23511090646405353"/>
          <c:y val="2.2962776064431234E-3"/>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rgbClr val="50B47F"/>
              </a:gs>
              <a:gs pos="35000">
                <a:srgbClr val="8FCFAD"/>
              </a:gs>
              <a:gs pos="100000">
                <a:schemeClr val="accent4">
                  <a:lumMod val="20000"/>
                  <a:lumOff val="80000"/>
                </a:schemeClr>
              </a:gs>
            </a:gsLst>
            <a:path path="circle">
              <a:fillToRect l="100000" t="100000"/>
            </a:path>
            <a:tileRect r="-100000" b="-10000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0099909823466803"/>
          <c:y val="8.8923916804428904E-2"/>
          <c:w val="0.67819061869011443"/>
          <c:h val="0.89841409429174246"/>
        </c:manualLayout>
      </c:layout>
      <c:barChart>
        <c:barDir val="bar"/>
        <c:grouping val="clustered"/>
        <c:varyColors val="0"/>
        <c:ser>
          <c:idx val="0"/>
          <c:order val="0"/>
          <c:tx>
            <c:strRef>
              <c:f>Sheet3!$AI$4</c:f>
              <c:strCache>
                <c:ptCount val="1"/>
                <c:pt idx="0">
                  <c:v>Total</c:v>
                </c:pt>
              </c:strCache>
            </c:strRef>
          </c:tx>
          <c:spPr>
            <a:gradFill flip="none" rotWithShape="1">
              <a:gsLst>
                <a:gs pos="0">
                  <a:srgbClr val="50B47F"/>
                </a:gs>
                <a:gs pos="35000">
                  <a:srgbClr val="8FCFAD"/>
                </a:gs>
                <a:gs pos="100000">
                  <a:schemeClr val="accent4">
                    <a:lumMod val="20000"/>
                    <a:lumOff val="80000"/>
                  </a:schemeClr>
                </a:gs>
              </a:gsLst>
              <a:path path="circle">
                <a:fillToRect l="100000" t="100000"/>
              </a:path>
              <a:tileRect r="-100000" b="-10000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Sheet3!$AH$5:$AH$11</c:f>
              <c:strCache>
                <c:ptCount val="6"/>
                <c:pt idx="0">
                  <c:v>Dashboards</c:v>
                </c:pt>
                <c:pt idx="1">
                  <c:v>Excel Templates</c:v>
                </c:pt>
                <c:pt idx="2">
                  <c:v>Excel Tips</c:v>
                </c:pt>
                <c:pt idx="3">
                  <c:v>Subject Line 4</c:v>
                </c:pt>
                <c:pt idx="4">
                  <c:v>Subject Line 5</c:v>
                </c:pt>
                <c:pt idx="5">
                  <c:v>Subject Line 6</c:v>
                </c:pt>
              </c:strCache>
            </c:strRef>
          </c:cat>
          <c:val>
            <c:numRef>
              <c:f>Sheet3!$AI$5:$AI$11</c:f>
              <c:numCache>
                <c:formatCode>"$"#,##0</c:formatCode>
                <c:ptCount val="6"/>
                <c:pt idx="0">
                  <c:v>373</c:v>
                </c:pt>
                <c:pt idx="1">
                  <c:v>339</c:v>
                </c:pt>
                <c:pt idx="2">
                  <c:v>566</c:v>
                </c:pt>
                <c:pt idx="3">
                  <c:v>663</c:v>
                </c:pt>
                <c:pt idx="4">
                  <c:v>346</c:v>
                </c:pt>
                <c:pt idx="5">
                  <c:v>658</c:v>
                </c:pt>
              </c:numCache>
            </c:numRef>
          </c:val>
          <c:extLst>
            <c:ext xmlns:c16="http://schemas.microsoft.com/office/drawing/2014/chart" uri="{C3380CC4-5D6E-409C-BE32-E72D297353CC}">
              <c16:uniqueId val="{00000000-1DF1-4BF3-A74F-FBBBB7FF25CD}"/>
            </c:ext>
          </c:extLst>
        </c:ser>
        <c:dLbls>
          <c:dLblPos val="outEnd"/>
          <c:showLegendKey val="0"/>
          <c:showVal val="1"/>
          <c:showCatName val="0"/>
          <c:showSerName val="0"/>
          <c:showPercent val="0"/>
          <c:showBubbleSize val="0"/>
        </c:dLbls>
        <c:gapWidth val="219"/>
        <c:axId val="1296386159"/>
        <c:axId val="383261007"/>
      </c:barChart>
      <c:catAx>
        <c:axId val="129638615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383261007"/>
        <c:crosses val="autoZero"/>
        <c:auto val="1"/>
        <c:lblAlgn val="ctr"/>
        <c:lblOffset val="100"/>
        <c:noMultiLvlLbl val="0"/>
      </c:catAx>
      <c:valAx>
        <c:axId val="383261007"/>
        <c:scaling>
          <c:orientation val="minMax"/>
        </c:scaling>
        <c:delete val="1"/>
        <c:axPos val="b"/>
        <c:numFmt formatCode="&quot;$&quot;#,##0" sourceLinked="1"/>
        <c:majorTickMark val="none"/>
        <c:minorTickMark val="none"/>
        <c:tickLblPos val="nextTo"/>
        <c:crossAx val="12963861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bg1">
          <a:lumMod val="7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_rels/drawing2.xml.rels><?xml version="1.0" encoding="UTF-8" standalone="yes"?>
<Relationships xmlns="http://schemas.openxmlformats.org/package/2006/relationships"><Relationship Id="rId8" Type="http://schemas.openxmlformats.org/officeDocument/2006/relationships/image" Target="../media/image7.png"/><Relationship Id="rId13" Type="http://schemas.microsoft.com/office/2007/relationships/hdphoto" Target="../media/hdphoto3.wdp"/><Relationship Id="rId18" Type="http://schemas.openxmlformats.org/officeDocument/2006/relationships/chart" Target="../charts/chart6.xml"/><Relationship Id="rId3" Type="http://schemas.microsoft.com/office/2007/relationships/hdphoto" Target="../media/hdphoto1.wdp"/><Relationship Id="rId7" Type="http://schemas.microsoft.com/office/2007/relationships/hdphoto" Target="../media/hdphoto2.wdp"/><Relationship Id="rId12" Type="http://schemas.openxmlformats.org/officeDocument/2006/relationships/image" Target="../media/image11.png"/><Relationship Id="rId17" Type="http://schemas.openxmlformats.org/officeDocument/2006/relationships/chart" Target="../charts/chart5.xml"/><Relationship Id="rId2" Type="http://schemas.openxmlformats.org/officeDocument/2006/relationships/image" Target="../media/image3.png"/><Relationship Id="rId16" Type="http://schemas.openxmlformats.org/officeDocument/2006/relationships/chart" Target="../charts/chart4.xml"/><Relationship Id="rId20" Type="http://schemas.openxmlformats.org/officeDocument/2006/relationships/chart" Target="../charts/chart8.xml"/><Relationship Id="rId1" Type="http://schemas.openxmlformats.org/officeDocument/2006/relationships/chart" Target="../charts/chart1.xml"/><Relationship Id="rId6" Type="http://schemas.openxmlformats.org/officeDocument/2006/relationships/image" Target="../media/image6.png"/><Relationship Id="rId11" Type="http://schemas.openxmlformats.org/officeDocument/2006/relationships/image" Target="../media/image10.png"/><Relationship Id="rId5" Type="http://schemas.openxmlformats.org/officeDocument/2006/relationships/image" Target="../media/image5.png"/><Relationship Id="rId15" Type="http://schemas.openxmlformats.org/officeDocument/2006/relationships/chart" Target="../charts/chart3.xml"/><Relationship Id="rId10" Type="http://schemas.openxmlformats.org/officeDocument/2006/relationships/image" Target="../media/image9.png"/><Relationship Id="rId19" Type="http://schemas.openxmlformats.org/officeDocument/2006/relationships/chart" Target="../charts/chart7.xml"/><Relationship Id="rId4" Type="http://schemas.openxmlformats.org/officeDocument/2006/relationships/image" Target="../media/image4.png"/><Relationship Id="rId9" Type="http://schemas.openxmlformats.org/officeDocument/2006/relationships/image" Target="../media/image8.png"/><Relationship Id="rId14"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47624</xdr:colOff>
      <xdr:row>33</xdr:row>
      <xdr:rowOff>19050</xdr:rowOff>
    </xdr:from>
    <xdr:to>
      <xdr:col>12</xdr:col>
      <xdr:colOff>437029</xdr:colOff>
      <xdr:row>37</xdr:row>
      <xdr:rowOff>38100</xdr:rowOff>
    </xdr:to>
    <xdr:grpSp>
      <xdr:nvGrpSpPr>
        <xdr:cNvPr id="3" name="Group 2">
          <a:extLst>
            <a:ext uri="{FF2B5EF4-FFF2-40B4-BE49-F238E27FC236}">
              <a16:creationId xmlns:a16="http://schemas.microsoft.com/office/drawing/2014/main" id="{BE24F9BE-1726-48DA-9269-2C142E026090}"/>
            </a:ext>
          </a:extLst>
        </xdr:cNvPr>
        <xdr:cNvGrpSpPr/>
      </xdr:nvGrpSpPr>
      <xdr:grpSpPr>
        <a:xfrm>
          <a:off x="5090271" y="5308226"/>
          <a:ext cx="6440582" cy="713815"/>
          <a:chOff x="4257674" y="8324850"/>
          <a:chExt cx="7353301" cy="666750"/>
        </a:xfrm>
      </xdr:grpSpPr>
      <xdr:pic>
        <xdr:nvPicPr>
          <xdr:cNvPr id="4" name="Picture 3">
            <a:extLst>
              <a:ext uri="{FF2B5EF4-FFF2-40B4-BE49-F238E27FC236}">
                <a16:creationId xmlns:a16="http://schemas.microsoft.com/office/drawing/2014/main" id="{A47E5795-20E8-4DD6-A6D4-F9C2E332DB1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57674" y="8324850"/>
            <a:ext cx="7353301" cy="666750"/>
          </a:xfrm>
          <a:prstGeom prst="rect">
            <a:avLst/>
          </a:prstGeom>
        </xdr:spPr>
      </xdr:pic>
      <xdr:sp macro="" textlink="">
        <xdr:nvSpPr>
          <xdr:cNvPr id="5" name="Rectangle 4">
            <a:extLst>
              <a:ext uri="{FF2B5EF4-FFF2-40B4-BE49-F238E27FC236}">
                <a16:creationId xmlns:a16="http://schemas.microsoft.com/office/drawing/2014/main" id="{C53CE47D-AA07-4550-9DCD-F5E50D308397}"/>
              </a:ext>
            </a:extLst>
          </xdr:cNvPr>
          <xdr:cNvSpPr/>
        </xdr:nvSpPr>
        <xdr:spPr>
          <a:xfrm>
            <a:off x="4333875" y="8572500"/>
            <a:ext cx="819150" cy="2095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ectangle 5">
            <a:extLst>
              <a:ext uri="{FF2B5EF4-FFF2-40B4-BE49-F238E27FC236}">
                <a16:creationId xmlns:a16="http://schemas.microsoft.com/office/drawing/2014/main" id="{BF3DA0C7-32E7-49CC-B2E1-30F1534A508A}"/>
              </a:ext>
            </a:extLst>
          </xdr:cNvPr>
          <xdr:cNvSpPr/>
        </xdr:nvSpPr>
        <xdr:spPr>
          <a:xfrm>
            <a:off x="7248525" y="8429625"/>
            <a:ext cx="361950" cy="1714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66674</xdr:colOff>
      <xdr:row>41</xdr:row>
      <xdr:rowOff>95250</xdr:rowOff>
    </xdr:from>
    <xdr:to>
      <xdr:col>12</xdr:col>
      <xdr:colOff>456079</xdr:colOff>
      <xdr:row>45</xdr:row>
      <xdr:rowOff>114300</xdr:rowOff>
    </xdr:to>
    <xdr:grpSp>
      <xdr:nvGrpSpPr>
        <xdr:cNvPr id="7" name="Group 6">
          <a:extLst>
            <a:ext uri="{FF2B5EF4-FFF2-40B4-BE49-F238E27FC236}">
              <a16:creationId xmlns:a16="http://schemas.microsoft.com/office/drawing/2014/main" id="{AE9D9281-03EA-4D1C-B04D-B1E2090C32C4}"/>
            </a:ext>
          </a:extLst>
        </xdr:cNvPr>
        <xdr:cNvGrpSpPr/>
      </xdr:nvGrpSpPr>
      <xdr:grpSpPr>
        <a:xfrm>
          <a:off x="5109321" y="6841191"/>
          <a:ext cx="6440582" cy="781050"/>
          <a:chOff x="4276724" y="9696450"/>
          <a:chExt cx="7353301" cy="666750"/>
        </a:xfrm>
      </xdr:grpSpPr>
      <xdr:pic>
        <xdr:nvPicPr>
          <xdr:cNvPr id="8" name="Picture 7">
            <a:extLst>
              <a:ext uri="{FF2B5EF4-FFF2-40B4-BE49-F238E27FC236}">
                <a16:creationId xmlns:a16="http://schemas.microsoft.com/office/drawing/2014/main" id="{94C080E2-434E-4393-9197-48EBF17CB3C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76724" y="9696450"/>
            <a:ext cx="7353301" cy="666750"/>
          </a:xfrm>
          <a:prstGeom prst="rect">
            <a:avLst/>
          </a:prstGeom>
        </xdr:spPr>
      </xdr:pic>
      <xdr:sp macro="" textlink="">
        <xdr:nvSpPr>
          <xdr:cNvPr id="9" name="Rectangle 8">
            <a:extLst>
              <a:ext uri="{FF2B5EF4-FFF2-40B4-BE49-F238E27FC236}">
                <a16:creationId xmlns:a16="http://schemas.microsoft.com/office/drawing/2014/main" id="{C75BF515-62E3-4723-831D-BA946E85D6B8}"/>
              </a:ext>
            </a:extLst>
          </xdr:cNvPr>
          <xdr:cNvSpPr/>
        </xdr:nvSpPr>
        <xdr:spPr>
          <a:xfrm>
            <a:off x="9782174" y="9791700"/>
            <a:ext cx="923926" cy="1809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85725</xdr:colOff>
      <xdr:row>47</xdr:row>
      <xdr:rowOff>47625</xdr:rowOff>
    </xdr:from>
    <xdr:to>
      <xdr:col>12</xdr:col>
      <xdr:colOff>420024</xdr:colOff>
      <xdr:row>51</xdr:row>
      <xdr:rowOff>133350</xdr:rowOff>
    </xdr:to>
    <xdr:grpSp>
      <xdr:nvGrpSpPr>
        <xdr:cNvPr id="10" name="Group 9">
          <a:extLst>
            <a:ext uri="{FF2B5EF4-FFF2-40B4-BE49-F238E27FC236}">
              <a16:creationId xmlns:a16="http://schemas.microsoft.com/office/drawing/2014/main" id="{2486885C-408D-44DE-B7DA-8260B120118A}"/>
            </a:ext>
          </a:extLst>
        </xdr:cNvPr>
        <xdr:cNvGrpSpPr/>
      </xdr:nvGrpSpPr>
      <xdr:grpSpPr>
        <a:xfrm>
          <a:off x="5128372" y="7936566"/>
          <a:ext cx="6385476" cy="847725"/>
          <a:chOff x="4295775" y="10620375"/>
          <a:chExt cx="7334250" cy="733425"/>
        </a:xfrm>
      </xdr:grpSpPr>
      <xdr:pic>
        <xdr:nvPicPr>
          <xdr:cNvPr id="11" name="Picture 10">
            <a:extLst>
              <a:ext uri="{FF2B5EF4-FFF2-40B4-BE49-F238E27FC236}">
                <a16:creationId xmlns:a16="http://schemas.microsoft.com/office/drawing/2014/main" id="{B1028DFD-E9F0-4211-BF38-0DF0AEF278AF}"/>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8333"/>
          <a:stretch/>
        </xdr:blipFill>
        <xdr:spPr>
          <a:xfrm>
            <a:off x="4295775" y="10620375"/>
            <a:ext cx="7334250" cy="733425"/>
          </a:xfrm>
          <a:prstGeom prst="rect">
            <a:avLst/>
          </a:prstGeom>
        </xdr:spPr>
      </xdr:pic>
      <xdr:sp macro="" textlink="">
        <xdr:nvSpPr>
          <xdr:cNvPr id="12" name="Rectangle 11">
            <a:extLst>
              <a:ext uri="{FF2B5EF4-FFF2-40B4-BE49-F238E27FC236}">
                <a16:creationId xmlns:a16="http://schemas.microsoft.com/office/drawing/2014/main" id="{872E0D3E-F3B6-4151-AFFB-DC6B532BA16B}"/>
              </a:ext>
            </a:extLst>
          </xdr:cNvPr>
          <xdr:cNvSpPr/>
        </xdr:nvSpPr>
        <xdr:spPr>
          <a:xfrm>
            <a:off x="10848975" y="10648949"/>
            <a:ext cx="762000" cy="238125"/>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16383</xdr:col>
      <xdr:colOff>6381750</xdr:colOff>
      <xdr:row>5</xdr:row>
      <xdr:rowOff>4762</xdr:rowOff>
    </xdr:from>
    <xdr:to>
      <xdr:col>16383</xdr:col>
      <xdr:colOff>10953750</xdr:colOff>
      <xdr:row>20</xdr:row>
      <xdr:rowOff>157162</xdr:rowOff>
    </xdr:to>
    <xdr:graphicFrame macro="">
      <xdr:nvGraphicFramePr>
        <xdr:cNvPr id="2" name="Chart 2">
          <a:extLst>
            <a:ext uri="{FF2B5EF4-FFF2-40B4-BE49-F238E27FC236}">
              <a16:creationId xmlns:a16="http://schemas.microsoft.com/office/drawing/2014/main" id="{6FF80C89-06A1-499E-A028-188036F0E9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71437</xdr:colOff>
      <xdr:row>2</xdr:row>
      <xdr:rowOff>110938</xdr:rowOff>
    </xdr:from>
    <xdr:to>
      <xdr:col>5</xdr:col>
      <xdr:colOff>892969</xdr:colOff>
      <xdr:row>5</xdr:row>
      <xdr:rowOff>122844</xdr:rowOff>
    </xdr:to>
    <xdr:pic>
      <xdr:nvPicPr>
        <xdr:cNvPr id="54" name="Picture 53">
          <a:extLst>
            <a:ext uri="{FF2B5EF4-FFF2-40B4-BE49-F238E27FC236}">
              <a16:creationId xmlns:a16="http://schemas.microsoft.com/office/drawing/2014/main" id="{24BEDE9A-E785-4B95-B0F2-85F028B2449D}"/>
            </a:ext>
          </a:extLst>
        </xdr:cNvPr>
        <xdr:cNvPicPr>
          <a:picLocks/>
        </xdr:cNvPicPr>
      </xdr:nvPicPr>
      <xdr:blipFill rotWithShape="1">
        <a:blip xmlns:r="http://schemas.openxmlformats.org/officeDocument/2006/relationships" r:embed="rId2" cstate="print">
          <a:duotone>
            <a:schemeClr val="accent3">
              <a:shade val="45000"/>
              <a:satMod val="135000"/>
            </a:schemeClr>
            <a:prstClr val="white"/>
          </a:duotone>
          <a:extLst>
            <a:ext uri="{BEBA8EAE-BF5A-486C-A8C5-ECC9F3942E4B}">
              <a14:imgProps xmlns:a14="http://schemas.microsoft.com/office/drawing/2010/main">
                <a14:imgLayer r:embed="rId3">
                  <a14:imgEffect>
                    <a14:backgroundRemoval t="0" b="100000" l="0" r="100000"/>
                  </a14:imgEffect>
                </a14:imgLayer>
              </a14:imgProps>
            </a:ext>
            <a:ext uri="{28A0092B-C50C-407E-A947-70E740481C1C}">
              <a14:useLocalDpi xmlns:a14="http://schemas.microsoft.com/office/drawing/2010/main" val="0"/>
            </a:ext>
          </a:extLst>
        </a:blip>
        <a:srcRect t="18300" b="16977"/>
        <a:stretch/>
      </xdr:blipFill>
      <xdr:spPr>
        <a:xfrm>
          <a:off x="4060731" y="435909"/>
          <a:ext cx="821532" cy="684259"/>
        </a:xfrm>
        <a:prstGeom prst="rect">
          <a:avLst/>
        </a:prstGeom>
      </xdr:spPr>
    </xdr:pic>
    <xdr:clientData/>
  </xdr:twoCellAnchor>
  <xdr:twoCellAnchor>
    <xdr:from>
      <xdr:col>3</xdr:col>
      <xdr:colOff>130573</xdr:colOff>
      <xdr:row>2</xdr:row>
      <xdr:rowOff>69183</xdr:rowOff>
    </xdr:from>
    <xdr:to>
      <xdr:col>3</xdr:col>
      <xdr:colOff>757220</xdr:colOff>
      <xdr:row>5</xdr:row>
      <xdr:rowOff>52619</xdr:rowOff>
    </xdr:to>
    <xdr:pic>
      <xdr:nvPicPr>
        <xdr:cNvPr id="55" name="Picture 54">
          <a:extLst>
            <a:ext uri="{FF2B5EF4-FFF2-40B4-BE49-F238E27FC236}">
              <a16:creationId xmlns:a16="http://schemas.microsoft.com/office/drawing/2014/main" id="{08902F3F-C18B-4A67-843A-D769A1D16E44}"/>
            </a:ext>
          </a:extLst>
        </xdr:cNvPr>
        <xdr:cNvPicPr>
          <a:picLocks noChangeAspect="1"/>
        </xdr:cNvPicPr>
      </xdr:nvPicPr>
      <xdr:blipFill>
        <a:blip xmlns:r="http://schemas.openxmlformats.org/officeDocument/2006/relationships" r:embed="rId4" cstate="print">
          <a:duotone>
            <a:schemeClr val="accent3">
              <a:shade val="45000"/>
              <a:satMod val="135000"/>
            </a:schemeClr>
            <a:prstClr val="white"/>
          </a:duotone>
          <a:extLst>
            <a:ext uri="{28A0092B-C50C-407E-A947-70E740481C1C}">
              <a14:useLocalDpi xmlns:a14="http://schemas.microsoft.com/office/drawing/2010/main" val="0"/>
            </a:ext>
          </a:extLst>
        </a:blip>
        <a:stretch>
          <a:fillRect/>
        </a:stretch>
      </xdr:blipFill>
      <xdr:spPr>
        <a:xfrm>
          <a:off x="2013161" y="394154"/>
          <a:ext cx="626647" cy="655789"/>
        </a:xfrm>
        <a:prstGeom prst="rect">
          <a:avLst/>
        </a:prstGeom>
      </xdr:spPr>
    </xdr:pic>
    <xdr:clientData/>
  </xdr:twoCellAnchor>
  <xdr:twoCellAnchor>
    <xdr:from>
      <xdr:col>6</xdr:col>
      <xdr:colOff>123265</xdr:colOff>
      <xdr:row>2</xdr:row>
      <xdr:rowOff>67234</xdr:rowOff>
    </xdr:from>
    <xdr:to>
      <xdr:col>6</xdr:col>
      <xdr:colOff>806824</xdr:colOff>
      <xdr:row>5</xdr:row>
      <xdr:rowOff>95249</xdr:rowOff>
    </xdr:to>
    <xdr:pic>
      <xdr:nvPicPr>
        <xdr:cNvPr id="56" name="Picture 55">
          <a:extLst>
            <a:ext uri="{FF2B5EF4-FFF2-40B4-BE49-F238E27FC236}">
              <a16:creationId xmlns:a16="http://schemas.microsoft.com/office/drawing/2014/main" id="{36236067-6C16-407E-AB24-8E6EE560D1C4}"/>
            </a:ext>
          </a:extLst>
        </xdr:cNvPr>
        <xdr:cNvPicPr>
          <a:picLocks noChangeAspect="1"/>
        </xdr:cNvPicPr>
      </xdr:nvPicPr>
      <xdr:blipFill>
        <a:blip xmlns:r="http://schemas.openxmlformats.org/officeDocument/2006/relationships" r:embed="rId5" cstate="print">
          <a:duotone>
            <a:schemeClr val="accent3">
              <a:shade val="45000"/>
              <a:satMod val="135000"/>
            </a:schemeClr>
            <a:prstClr val="white"/>
          </a:duotone>
          <a:extLst>
            <a:ext uri="{28A0092B-C50C-407E-A947-70E740481C1C}">
              <a14:useLocalDpi xmlns:a14="http://schemas.microsoft.com/office/drawing/2010/main" val="0"/>
            </a:ext>
          </a:extLst>
        </a:blip>
        <a:stretch>
          <a:fillRect/>
        </a:stretch>
      </xdr:blipFill>
      <xdr:spPr>
        <a:xfrm>
          <a:off x="6143065" y="400609"/>
          <a:ext cx="683559" cy="599515"/>
        </a:xfrm>
        <a:prstGeom prst="rect">
          <a:avLst/>
        </a:prstGeom>
      </xdr:spPr>
    </xdr:pic>
    <xdr:clientData/>
  </xdr:twoCellAnchor>
  <xdr:twoCellAnchor>
    <xdr:from>
      <xdr:col>7</xdr:col>
      <xdr:colOff>76200</xdr:colOff>
      <xdr:row>2</xdr:row>
      <xdr:rowOff>43756</xdr:rowOff>
    </xdr:from>
    <xdr:to>
      <xdr:col>7</xdr:col>
      <xdr:colOff>819149</xdr:colOff>
      <xdr:row>5</xdr:row>
      <xdr:rowOff>156883</xdr:rowOff>
    </xdr:to>
    <xdr:pic>
      <xdr:nvPicPr>
        <xdr:cNvPr id="57" name="Picture 56">
          <a:extLst>
            <a:ext uri="{FF2B5EF4-FFF2-40B4-BE49-F238E27FC236}">
              <a16:creationId xmlns:a16="http://schemas.microsoft.com/office/drawing/2014/main" id="{ED20A23A-50CC-4837-A2BE-31B7CF0E6A22}"/>
            </a:ext>
          </a:extLst>
        </xdr:cNvPr>
        <xdr:cNvPicPr>
          <a:picLocks noChangeAspect="1"/>
        </xdr:cNvPicPr>
      </xdr:nvPicPr>
      <xdr:blipFill>
        <a:blip xmlns:r="http://schemas.openxmlformats.org/officeDocument/2006/relationships" r:embed="rId6" cstate="print">
          <a:duotone>
            <a:schemeClr val="accent3">
              <a:shade val="45000"/>
              <a:satMod val="135000"/>
            </a:schemeClr>
            <a:prstClr val="white"/>
          </a:duotone>
          <a:extLst>
            <a:ext uri="{BEBA8EAE-BF5A-486C-A8C5-ECC9F3942E4B}">
              <a14:imgProps xmlns:a14="http://schemas.microsoft.com/office/drawing/2010/main">
                <a14:imgLayer r:embed="rId7">
                  <a14:imgEffect>
                    <a14:backgroundRemoval t="849" b="99434" l="0" r="96667">
                      <a14:foregroundMark x1="20238" y1="11698" x2="20238" y2="11698"/>
                      <a14:foregroundMark x1="41548" y1="16887" x2="41548" y2="16887"/>
                    </a14:backgroundRemoval>
                  </a14:imgEffect>
                </a14:imgLayer>
              </a14:imgProps>
            </a:ext>
            <a:ext uri="{28A0092B-C50C-407E-A947-70E740481C1C}">
              <a14:useLocalDpi xmlns:a14="http://schemas.microsoft.com/office/drawing/2010/main" val="0"/>
            </a:ext>
          </a:extLst>
        </a:blip>
        <a:stretch>
          <a:fillRect/>
        </a:stretch>
      </xdr:blipFill>
      <xdr:spPr>
        <a:xfrm>
          <a:off x="8166847" y="368727"/>
          <a:ext cx="742949" cy="785480"/>
        </a:xfrm>
        <a:prstGeom prst="rect">
          <a:avLst/>
        </a:prstGeom>
      </xdr:spPr>
    </xdr:pic>
    <xdr:clientData/>
  </xdr:twoCellAnchor>
  <xdr:twoCellAnchor>
    <xdr:from>
      <xdr:col>9</xdr:col>
      <xdr:colOff>33618</xdr:colOff>
      <xdr:row>2</xdr:row>
      <xdr:rowOff>44824</xdr:rowOff>
    </xdr:from>
    <xdr:to>
      <xdr:col>9</xdr:col>
      <xdr:colOff>781050</xdr:colOff>
      <xdr:row>5</xdr:row>
      <xdr:rowOff>145676</xdr:rowOff>
    </xdr:to>
    <xdr:pic>
      <xdr:nvPicPr>
        <xdr:cNvPr id="58" name="Picture 57">
          <a:extLst>
            <a:ext uri="{FF2B5EF4-FFF2-40B4-BE49-F238E27FC236}">
              <a16:creationId xmlns:a16="http://schemas.microsoft.com/office/drawing/2014/main" id="{3D3321DB-98CF-421E-8FD6-9EFBC1D323D9}"/>
            </a:ext>
          </a:extLst>
        </xdr:cNvPr>
        <xdr:cNvPicPr>
          <a:picLocks noChangeAspect="1"/>
        </xdr:cNvPicPr>
      </xdr:nvPicPr>
      <xdr:blipFill>
        <a:blip xmlns:r="http://schemas.openxmlformats.org/officeDocument/2006/relationships" r:embed="rId8" cstate="print">
          <a:duotone>
            <a:schemeClr val="accent3">
              <a:shade val="45000"/>
              <a:satMod val="135000"/>
            </a:schemeClr>
            <a:prstClr val="white"/>
          </a:duotone>
          <a:extLst>
            <a:ext uri="{28A0092B-C50C-407E-A947-70E740481C1C}">
              <a14:useLocalDpi xmlns:a14="http://schemas.microsoft.com/office/drawing/2010/main" val="0"/>
            </a:ext>
          </a:extLst>
        </a:blip>
        <a:stretch>
          <a:fillRect/>
        </a:stretch>
      </xdr:blipFill>
      <xdr:spPr>
        <a:xfrm>
          <a:off x="10230971" y="369795"/>
          <a:ext cx="747432" cy="773205"/>
        </a:xfrm>
        <a:prstGeom prst="rect">
          <a:avLst/>
        </a:prstGeom>
      </xdr:spPr>
    </xdr:pic>
    <xdr:clientData/>
  </xdr:twoCellAnchor>
  <xdr:twoCellAnchor>
    <xdr:from>
      <xdr:col>13</xdr:col>
      <xdr:colOff>107156</xdr:colOff>
      <xdr:row>2</xdr:row>
      <xdr:rowOff>93148</xdr:rowOff>
    </xdr:from>
    <xdr:to>
      <xdr:col>13</xdr:col>
      <xdr:colOff>876299</xdr:colOff>
      <xdr:row>5</xdr:row>
      <xdr:rowOff>140772</xdr:rowOff>
    </xdr:to>
    <xdr:pic>
      <xdr:nvPicPr>
        <xdr:cNvPr id="59" name="Picture 58">
          <a:extLst>
            <a:ext uri="{FF2B5EF4-FFF2-40B4-BE49-F238E27FC236}">
              <a16:creationId xmlns:a16="http://schemas.microsoft.com/office/drawing/2014/main" id="{04636831-D814-4E60-BF4F-13708D716AA3}"/>
            </a:ext>
          </a:extLst>
        </xdr:cNvPr>
        <xdr:cNvPicPr>
          <a:picLocks noChangeAspect="1"/>
        </xdr:cNvPicPr>
      </xdr:nvPicPr>
      <xdr:blipFill>
        <a:blip xmlns:r="http://schemas.openxmlformats.org/officeDocument/2006/relationships" r:embed="rId9" cstate="print">
          <a:duotone>
            <a:schemeClr val="accent3">
              <a:shade val="45000"/>
              <a:satMod val="135000"/>
            </a:schemeClr>
            <a:prstClr val="white"/>
          </a:duotone>
          <a:extLst>
            <a:ext uri="{28A0092B-C50C-407E-A947-70E740481C1C}">
              <a14:useLocalDpi xmlns:a14="http://schemas.microsoft.com/office/drawing/2010/main" val="0"/>
            </a:ext>
          </a:extLst>
        </a:blip>
        <a:stretch>
          <a:fillRect/>
        </a:stretch>
      </xdr:blipFill>
      <xdr:spPr>
        <a:xfrm>
          <a:off x="14517921" y="418119"/>
          <a:ext cx="769143" cy="719977"/>
        </a:xfrm>
        <a:prstGeom prst="rect">
          <a:avLst/>
        </a:prstGeom>
      </xdr:spPr>
    </xdr:pic>
    <xdr:clientData/>
  </xdr:twoCellAnchor>
  <xdr:twoCellAnchor>
    <xdr:from>
      <xdr:col>11</xdr:col>
      <xdr:colOff>83343</xdr:colOff>
      <xdr:row>2</xdr:row>
      <xdr:rowOff>106455</xdr:rowOff>
    </xdr:from>
    <xdr:to>
      <xdr:col>11</xdr:col>
      <xdr:colOff>809624</xdr:colOff>
      <xdr:row>5</xdr:row>
      <xdr:rowOff>106455</xdr:rowOff>
    </xdr:to>
    <xdr:pic>
      <xdr:nvPicPr>
        <xdr:cNvPr id="60" name="Picture 59">
          <a:extLst>
            <a:ext uri="{FF2B5EF4-FFF2-40B4-BE49-F238E27FC236}">
              <a16:creationId xmlns:a16="http://schemas.microsoft.com/office/drawing/2014/main" id="{42032A59-FD38-4CC5-892D-0490843F9C32}"/>
            </a:ext>
          </a:extLst>
        </xdr:cNvPr>
        <xdr:cNvPicPr>
          <a:picLocks noChangeAspect="1"/>
        </xdr:cNvPicPr>
      </xdr:nvPicPr>
      <xdr:blipFill>
        <a:blip xmlns:r="http://schemas.openxmlformats.org/officeDocument/2006/relationships" r:embed="rId10">
          <a:duotone>
            <a:schemeClr val="accent3">
              <a:shade val="45000"/>
              <a:satMod val="135000"/>
            </a:schemeClr>
            <a:prstClr val="white"/>
          </a:duotone>
          <a:extLst>
            <a:ext uri="{28A0092B-C50C-407E-A947-70E740481C1C}">
              <a14:useLocalDpi xmlns:a14="http://schemas.microsoft.com/office/drawing/2010/main" val="0"/>
            </a:ext>
          </a:extLst>
        </a:blip>
        <a:stretch>
          <a:fillRect/>
        </a:stretch>
      </xdr:blipFill>
      <xdr:spPr>
        <a:xfrm>
          <a:off x="12387402" y="431426"/>
          <a:ext cx="726281" cy="672353"/>
        </a:xfrm>
        <a:prstGeom prst="rect">
          <a:avLst/>
        </a:prstGeom>
      </xdr:spPr>
    </xdr:pic>
    <xdr:clientData/>
  </xdr:twoCellAnchor>
  <xdr:twoCellAnchor>
    <xdr:from>
      <xdr:col>1</xdr:col>
      <xdr:colOff>333374</xdr:colOff>
      <xdr:row>6</xdr:row>
      <xdr:rowOff>45244</xdr:rowOff>
    </xdr:from>
    <xdr:to>
      <xdr:col>2</xdr:col>
      <xdr:colOff>557213</xdr:colOff>
      <xdr:row>8</xdr:row>
      <xdr:rowOff>54769</xdr:rowOff>
    </xdr:to>
    <xdr:grpSp>
      <xdr:nvGrpSpPr>
        <xdr:cNvPr id="61" name="Group 60">
          <a:extLst>
            <a:ext uri="{FF2B5EF4-FFF2-40B4-BE49-F238E27FC236}">
              <a16:creationId xmlns:a16="http://schemas.microsoft.com/office/drawing/2014/main" id="{EDA7F026-AD58-4C23-B468-5AF3C0B9AA0F}"/>
            </a:ext>
          </a:extLst>
        </xdr:cNvPr>
        <xdr:cNvGrpSpPr/>
      </xdr:nvGrpSpPr>
      <xdr:grpSpPr>
        <a:xfrm>
          <a:off x="916080" y="1266685"/>
          <a:ext cx="873780" cy="323290"/>
          <a:chOff x="595311" y="404812"/>
          <a:chExt cx="881064" cy="333375"/>
        </a:xfrm>
      </xdr:grpSpPr>
      <xdr:pic macro="[0]!Refresh">
        <xdr:nvPicPr>
          <xdr:cNvPr id="62" name="Picture 61">
            <a:extLst>
              <a:ext uri="{FF2B5EF4-FFF2-40B4-BE49-F238E27FC236}">
                <a16:creationId xmlns:a16="http://schemas.microsoft.com/office/drawing/2014/main" id="{691CCDF5-26B3-4B11-922F-3137EC03A640}"/>
              </a:ext>
            </a:extLst>
          </xdr:cNvPr>
          <xdr:cNvPicPr>
            <a:picLocks noChangeAspect="1"/>
          </xdr:cNvPicPr>
        </xdr:nvPicPr>
        <xdr:blipFill>
          <a:blip xmlns:r="http://schemas.openxmlformats.org/officeDocument/2006/relationships" r:embed="rId11"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1143000" y="404812"/>
            <a:ext cx="333375" cy="333375"/>
          </a:xfrm>
          <a:prstGeom prst="rect">
            <a:avLst/>
          </a:prstGeom>
        </xdr:spPr>
      </xdr:pic>
      <xdr:sp macro="[0]!Refresh" textlink="">
        <xdr:nvSpPr>
          <xdr:cNvPr id="63" name="Rectangle 62">
            <a:extLst>
              <a:ext uri="{FF2B5EF4-FFF2-40B4-BE49-F238E27FC236}">
                <a16:creationId xmlns:a16="http://schemas.microsoft.com/office/drawing/2014/main" id="{C7F81232-0551-4CE6-B189-A076D108BB6B}"/>
              </a:ext>
            </a:extLst>
          </xdr:cNvPr>
          <xdr:cNvSpPr/>
        </xdr:nvSpPr>
        <xdr:spPr>
          <a:xfrm>
            <a:off x="595311" y="452438"/>
            <a:ext cx="726282" cy="25003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900">
                <a:solidFill>
                  <a:schemeClr val="tx1">
                    <a:lumMod val="50000"/>
                    <a:lumOff val="50000"/>
                  </a:schemeClr>
                </a:solidFill>
                <a:latin typeface="Arial" panose="020B0604020202020204" pitchFamily="34" charset="0"/>
                <a:cs typeface="Arial" panose="020B0604020202020204" pitchFamily="34" charset="0"/>
              </a:rPr>
              <a:t>Refresh</a:t>
            </a:r>
          </a:p>
        </xdr:txBody>
      </xdr:sp>
    </xdr:grpSp>
    <xdr:clientData/>
  </xdr:twoCellAnchor>
  <xdr:twoCellAnchor>
    <xdr:from>
      <xdr:col>0</xdr:col>
      <xdr:colOff>0</xdr:colOff>
      <xdr:row>6</xdr:row>
      <xdr:rowOff>33338</xdr:rowOff>
    </xdr:from>
    <xdr:to>
      <xdr:col>1</xdr:col>
      <xdr:colOff>335756</xdr:colOff>
      <xdr:row>8</xdr:row>
      <xdr:rowOff>90489</xdr:rowOff>
    </xdr:to>
    <xdr:grpSp>
      <xdr:nvGrpSpPr>
        <xdr:cNvPr id="64" name="Group 63">
          <a:extLst>
            <a:ext uri="{FF2B5EF4-FFF2-40B4-BE49-F238E27FC236}">
              <a16:creationId xmlns:a16="http://schemas.microsoft.com/office/drawing/2014/main" id="{0ED78B18-5C5D-40FD-9100-BFA76F1C7689}"/>
            </a:ext>
          </a:extLst>
        </xdr:cNvPr>
        <xdr:cNvGrpSpPr/>
      </xdr:nvGrpSpPr>
      <xdr:grpSpPr>
        <a:xfrm>
          <a:off x="0" y="1254779"/>
          <a:ext cx="918462" cy="370916"/>
          <a:chOff x="69367" y="404812"/>
          <a:chExt cx="895039" cy="381001"/>
        </a:xfrm>
      </xdr:grpSpPr>
      <xdr:pic macro="[0]!Full_screen">
        <xdr:nvPicPr>
          <xdr:cNvPr id="65" name="Picture 64">
            <a:extLst>
              <a:ext uri="{FF2B5EF4-FFF2-40B4-BE49-F238E27FC236}">
                <a16:creationId xmlns:a16="http://schemas.microsoft.com/office/drawing/2014/main" id="{AAE0F785-2649-4340-8A17-FD2D04D56B8A}"/>
              </a:ext>
            </a:extLst>
          </xdr:cNvPr>
          <xdr:cNvPicPr>
            <a:picLocks noChangeAspect="1"/>
          </xdr:cNvPicPr>
        </xdr:nvPicPr>
        <xdr:blipFill>
          <a:blip xmlns:r="http://schemas.openxmlformats.org/officeDocument/2006/relationships" r:embed="rId12" cstate="print">
            <a:duotone>
              <a:schemeClr val="bg2">
                <a:shade val="45000"/>
                <a:satMod val="135000"/>
              </a:schemeClr>
              <a:prstClr val="white"/>
            </a:duotone>
            <a:extLst>
              <a:ext uri="{BEBA8EAE-BF5A-486C-A8C5-ECC9F3942E4B}">
                <a14:imgProps xmlns:a14="http://schemas.microsoft.com/office/drawing/2010/main">
                  <a14:imgLayer r:embed="rId13">
                    <a14:imgEffect>
                      <a14:backgroundRemoval t="10000" b="93906" l="10000" r="93750">
                        <a14:foregroundMark x1="35938" y1="34063" x2="35938" y2="34063"/>
                        <a14:foregroundMark x1="71094" y1="33594" x2="71094" y2="33594"/>
                        <a14:foregroundMark x1="69688" y1="75156" x2="69688" y2="75156"/>
                        <a14:foregroundMark x1="32927" y1="70787" x2="32927" y2="70787"/>
                      </a14:backgroundRemoval>
                    </a14:imgEffect>
                  </a14:imgLayer>
                </a14:imgProps>
              </a:ext>
              <a:ext uri="{28A0092B-C50C-407E-A947-70E740481C1C}">
                <a14:useLocalDpi xmlns:a14="http://schemas.microsoft.com/office/drawing/2010/main" val="0"/>
              </a:ext>
            </a:extLst>
          </a:blip>
          <a:stretch>
            <a:fillRect/>
          </a:stretch>
        </xdr:blipFill>
        <xdr:spPr>
          <a:xfrm>
            <a:off x="608494" y="404812"/>
            <a:ext cx="355912" cy="369093"/>
          </a:xfrm>
          <a:prstGeom prst="rect">
            <a:avLst/>
          </a:prstGeom>
        </xdr:spPr>
      </xdr:pic>
      <xdr:sp macro="[0]!Full_screen" textlink="">
        <xdr:nvSpPr>
          <xdr:cNvPr id="66" name="Rectangle 65">
            <a:extLst>
              <a:ext uri="{FF2B5EF4-FFF2-40B4-BE49-F238E27FC236}">
                <a16:creationId xmlns:a16="http://schemas.microsoft.com/office/drawing/2014/main" id="{7A3E17F5-63D7-4FC1-9537-C8D54F96CD43}"/>
              </a:ext>
            </a:extLst>
          </xdr:cNvPr>
          <xdr:cNvSpPr/>
        </xdr:nvSpPr>
        <xdr:spPr>
          <a:xfrm>
            <a:off x="69367" y="404813"/>
            <a:ext cx="706732" cy="381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900">
                <a:solidFill>
                  <a:schemeClr val="tx1">
                    <a:lumMod val="50000"/>
                    <a:lumOff val="50000"/>
                  </a:schemeClr>
                </a:solidFill>
                <a:latin typeface="Arial" panose="020B0604020202020204" pitchFamily="34" charset="0"/>
                <a:cs typeface="Arial" panose="020B0604020202020204" pitchFamily="34" charset="0"/>
              </a:rPr>
              <a:t>Full Screen</a:t>
            </a:r>
          </a:p>
        </xdr:txBody>
      </xdr:sp>
    </xdr:grpSp>
    <xdr:clientData/>
  </xdr:twoCellAnchor>
  <xdr:twoCellAnchor>
    <xdr:from>
      <xdr:col>0</xdr:col>
      <xdr:colOff>0</xdr:colOff>
      <xdr:row>42</xdr:row>
      <xdr:rowOff>119062</xdr:rowOff>
    </xdr:from>
    <xdr:to>
      <xdr:col>2</xdr:col>
      <xdr:colOff>628649</xdr:colOff>
      <xdr:row>51</xdr:row>
      <xdr:rowOff>0</xdr:rowOff>
    </xdr:to>
    <mc:AlternateContent xmlns:mc="http://schemas.openxmlformats.org/markup-compatibility/2006" xmlns:a14="http://schemas.microsoft.com/office/drawing/2010/main">
      <mc:Choice Requires="a14">
        <xdr:graphicFrame macro="">
          <xdr:nvGraphicFramePr>
            <xdr:cNvPr id="67" name="List">
              <a:extLst>
                <a:ext uri="{FF2B5EF4-FFF2-40B4-BE49-F238E27FC236}">
                  <a16:creationId xmlns:a16="http://schemas.microsoft.com/office/drawing/2014/main" id="{E5BB6CEE-FEE9-40A5-B63A-37159D6566CA}"/>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List"/>
            </a:graphicData>
          </a:graphic>
        </xdr:graphicFrame>
      </mc:Choice>
      <mc:Fallback xmlns="">
        <xdr:sp macro="" textlink="">
          <xdr:nvSpPr>
            <xdr:cNvPr id="0" name=""/>
            <xdr:cNvSpPr>
              <a:spLocks noTextEdit="1"/>
            </xdr:cNvSpPr>
          </xdr:nvSpPr>
          <xdr:spPr>
            <a:xfrm>
              <a:off x="0" y="6524625"/>
              <a:ext cx="1854993" cy="1381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8</xdr:row>
      <xdr:rowOff>123824</xdr:rowOff>
    </xdr:from>
    <xdr:to>
      <xdr:col>2</xdr:col>
      <xdr:colOff>628649</xdr:colOff>
      <xdr:row>17</xdr:row>
      <xdr:rowOff>104774</xdr:rowOff>
    </xdr:to>
    <mc:AlternateContent xmlns:mc="http://schemas.openxmlformats.org/markup-compatibility/2006" xmlns:a14="http://schemas.microsoft.com/office/drawing/2010/main">
      <mc:Choice Requires="a14">
        <xdr:graphicFrame macro="">
          <xdr:nvGraphicFramePr>
            <xdr:cNvPr id="68" name="Campaign Name 1">
              <a:extLst>
                <a:ext uri="{FF2B5EF4-FFF2-40B4-BE49-F238E27FC236}">
                  <a16:creationId xmlns:a16="http://schemas.microsoft.com/office/drawing/2014/main" id="{34E4A18F-D1B8-4B3D-8512-00F825A01F65}"/>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ampaign Name 1"/>
            </a:graphicData>
          </a:graphic>
        </xdr:graphicFrame>
      </mc:Choice>
      <mc:Fallback xmlns="">
        <xdr:sp macro="" textlink="">
          <xdr:nvSpPr>
            <xdr:cNvPr id="0" name=""/>
            <xdr:cNvSpPr>
              <a:spLocks noTextEdit="1"/>
            </xdr:cNvSpPr>
          </xdr:nvSpPr>
          <xdr:spPr>
            <a:xfrm>
              <a:off x="0" y="1695449"/>
              <a:ext cx="1854993" cy="14811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34</xdr:row>
      <xdr:rowOff>35718</xdr:rowOff>
    </xdr:from>
    <xdr:to>
      <xdr:col>2</xdr:col>
      <xdr:colOff>628649</xdr:colOff>
      <xdr:row>42</xdr:row>
      <xdr:rowOff>130968</xdr:rowOff>
    </xdr:to>
    <mc:AlternateContent xmlns:mc="http://schemas.openxmlformats.org/markup-compatibility/2006" xmlns:a14="http://schemas.microsoft.com/office/drawing/2010/main">
      <mc:Choice Requires="a14">
        <xdr:graphicFrame macro="">
          <xdr:nvGraphicFramePr>
            <xdr:cNvPr id="69" name="Email Platform 1">
              <a:extLst>
                <a:ext uri="{FF2B5EF4-FFF2-40B4-BE49-F238E27FC236}">
                  <a16:creationId xmlns:a16="http://schemas.microsoft.com/office/drawing/2014/main" id="{5FD28A48-3C03-427F-ABCE-5846AB039DE5}"/>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Email Platform 1"/>
            </a:graphicData>
          </a:graphic>
        </xdr:graphicFrame>
      </mc:Choice>
      <mc:Fallback xmlns="">
        <xdr:sp macro="" textlink="">
          <xdr:nvSpPr>
            <xdr:cNvPr id="0" name=""/>
            <xdr:cNvSpPr>
              <a:spLocks noTextEdit="1"/>
            </xdr:cNvSpPr>
          </xdr:nvSpPr>
          <xdr:spPr>
            <a:xfrm>
              <a:off x="0" y="5107781"/>
              <a:ext cx="1854993" cy="1428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17</xdr:row>
      <xdr:rowOff>114300</xdr:rowOff>
    </xdr:from>
    <xdr:to>
      <xdr:col>2</xdr:col>
      <xdr:colOff>622249</xdr:colOff>
      <xdr:row>34</xdr:row>
      <xdr:rowOff>23811</xdr:rowOff>
    </xdr:to>
    <mc:AlternateContent xmlns:mc="http://schemas.openxmlformats.org/markup-compatibility/2006" xmlns:a14="http://schemas.microsoft.com/office/drawing/2010/main">
      <mc:Choice Requires="a14">
        <xdr:graphicFrame macro="">
          <xdr:nvGraphicFramePr>
            <xdr:cNvPr id="70" name="Campaign Code">
              <a:extLst>
                <a:ext uri="{FF2B5EF4-FFF2-40B4-BE49-F238E27FC236}">
                  <a16:creationId xmlns:a16="http://schemas.microsoft.com/office/drawing/2014/main" id="{80805D62-00DE-416E-860B-78FD94E823C9}"/>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ampaign Code"/>
            </a:graphicData>
          </a:graphic>
        </xdr:graphicFrame>
      </mc:Choice>
      <mc:Fallback xmlns="">
        <xdr:sp macro="" textlink="">
          <xdr:nvSpPr>
            <xdr:cNvPr id="0" name=""/>
            <xdr:cNvSpPr>
              <a:spLocks noTextEdit="1"/>
            </xdr:cNvSpPr>
          </xdr:nvSpPr>
          <xdr:spPr>
            <a:xfrm>
              <a:off x="0" y="3186113"/>
              <a:ext cx="1848593" cy="190976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23812</xdr:colOff>
      <xdr:row>6</xdr:row>
      <xdr:rowOff>19050</xdr:rowOff>
    </xdr:from>
    <xdr:to>
      <xdr:col>5</xdr:col>
      <xdr:colOff>607209</xdr:colOff>
      <xdr:row>9</xdr:row>
      <xdr:rowOff>147498</xdr:rowOff>
    </xdr:to>
    <mc:AlternateContent xmlns:mc="http://schemas.openxmlformats.org/markup-compatibility/2006" xmlns:a14="http://schemas.microsoft.com/office/drawing/2010/main">
      <mc:Choice Requires="a14">
        <xdr:graphicFrame macro="">
          <xdr:nvGraphicFramePr>
            <xdr:cNvPr id="71" name="Year">
              <a:extLst>
                <a:ext uri="{FF2B5EF4-FFF2-40B4-BE49-F238E27FC236}">
                  <a16:creationId xmlns:a16="http://schemas.microsoft.com/office/drawing/2014/main" id="{D5C14829-2EF6-44F0-9F7F-D4A8B2D8A978}"/>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893093" y="1257300"/>
              <a:ext cx="2678897" cy="6285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619116</xdr:colOff>
      <xdr:row>6</xdr:row>
      <xdr:rowOff>11907</xdr:rowOff>
    </xdr:from>
    <xdr:to>
      <xdr:col>8</xdr:col>
      <xdr:colOff>595313</xdr:colOff>
      <xdr:row>9</xdr:row>
      <xdr:rowOff>140355</xdr:rowOff>
    </xdr:to>
    <mc:AlternateContent xmlns:mc="http://schemas.openxmlformats.org/markup-compatibility/2006" xmlns:a14="http://schemas.microsoft.com/office/drawing/2010/main">
      <mc:Choice Requires="a14">
        <xdr:graphicFrame macro="">
          <xdr:nvGraphicFramePr>
            <xdr:cNvPr id="72" name="Month Text">
              <a:extLst>
                <a:ext uri="{FF2B5EF4-FFF2-40B4-BE49-F238E27FC236}">
                  <a16:creationId xmlns:a16="http://schemas.microsoft.com/office/drawing/2014/main" id="{57448281-84DE-4D26-BECD-A5502353F058}"/>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onth Text"/>
            </a:graphicData>
          </a:graphic>
        </xdr:graphicFrame>
      </mc:Choice>
      <mc:Fallback xmlns="">
        <xdr:sp macro="" textlink="">
          <xdr:nvSpPr>
            <xdr:cNvPr id="0" name=""/>
            <xdr:cNvSpPr>
              <a:spLocks noTextEdit="1"/>
            </xdr:cNvSpPr>
          </xdr:nvSpPr>
          <xdr:spPr>
            <a:xfrm>
              <a:off x="4583897" y="1250157"/>
              <a:ext cx="5119697" cy="6285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619125</xdr:colOff>
      <xdr:row>6</xdr:row>
      <xdr:rowOff>17230</xdr:rowOff>
    </xdr:from>
    <xdr:to>
      <xdr:col>14</xdr:col>
      <xdr:colOff>1012031</xdr:colOff>
      <xdr:row>9</xdr:row>
      <xdr:rowOff>130968</xdr:rowOff>
    </xdr:to>
    <mc:AlternateContent xmlns:mc="http://schemas.openxmlformats.org/markup-compatibility/2006" xmlns:a14="http://schemas.microsoft.com/office/drawing/2010/main">
      <mc:Choice Requires="a14">
        <xdr:graphicFrame macro="">
          <xdr:nvGraphicFramePr>
            <xdr:cNvPr id="73" name="Week Number">
              <a:extLst>
                <a:ext uri="{FF2B5EF4-FFF2-40B4-BE49-F238E27FC236}">
                  <a16:creationId xmlns:a16="http://schemas.microsoft.com/office/drawing/2014/main" id="{03D73915-ED21-4724-8618-98BB6A24D42A}"/>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Week Number"/>
            </a:graphicData>
          </a:graphic>
        </xdr:graphicFrame>
      </mc:Choice>
      <mc:Fallback xmlns="">
        <xdr:sp macro="" textlink="">
          <xdr:nvSpPr>
            <xdr:cNvPr id="0" name=""/>
            <xdr:cNvSpPr>
              <a:spLocks noTextEdit="1"/>
            </xdr:cNvSpPr>
          </xdr:nvSpPr>
          <xdr:spPr>
            <a:xfrm>
              <a:off x="9727406" y="1255480"/>
              <a:ext cx="6679406" cy="6138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515471</xdr:colOff>
      <xdr:row>35</xdr:row>
      <xdr:rowOff>81643</xdr:rowOff>
    </xdr:from>
    <xdr:to>
      <xdr:col>14</xdr:col>
      <xdr:colOff>930088</xdr:colOff>
      <xdr:row>50</xdr:row>
      <xdr:rowOff>78441</xdr:rowOff>
    </xdr:to>
    <xdr:graphicFrame macro="">
      <xdr:nvGraphicFramePr>
        <xdr:cNvPr id="74" name="Chart 73">
          <a:extLst>
            <a:ext uri="{FF2B5EF4-FFF2-40B4-BE49-F238E27FC236}">
              <a16:creationId xmlns:a16="http://schemas.microsoft.com/office/drawing/2014/main" id="{C265BF84-3F1A-4A61-A530-1F4795B5ED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500063</xdr:colOff>
      <xdr:row>10</xdr:row>
      <xdr:rowOff>0</xdr:rowOff>
    </xdr:from>
    <xdr:to>
      <xdr:col>11</xdr:col>
      <xdr:colOff>773907</xdr:colOff>
      <xdr:row>34</xdr:row>
      <xdr:rowOff>154781</xdr:rowOff>
    </xdr:to>
    <xdr:graphicFrame macro="">
      <xdr:nvGraphicFramePr>
        <xdr:cNvPr id="75" name="Chart 74">
          <a:extLst>
            <a:ext uri="{FF2B5EF4-FFF2-40B4-BE49-F238E27FC236}">
              <a16:creationId xmlns:a16="http://schemas.microsoft.com/office/drawing/2014/main" id="{AE024A63-F070-454D-8E1D-05672E544B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xdr:col>
      <xdr:colOff>95250</xdr:colOff>
      <xdr:row>35</xdr:row>
      <xdr:rowOff>83343</xdr:rowOff>
    </xdr:from>
    <xdr:to>
      <xdr:col>5</xdr:col>
      <xdr:colOff>1488281</xdr:colOff>
      <xdr:row>50</xdr:row>
      <xdr:rowOff>95250</xdr:rowOff>
    </xdr:to>
    <xdr:graphicFrame macro="">
      <xdr:nvGraphicFramePr>
        <xdr:cNvPr id="76" name="Chart 75">
          <a:extLst>
            <a:ext uri="{FF2B5EF4-FFF2-40B4-BE49-F238E27FC236}">
              <a16:creationId xmlns:a16="http://schemas.microsoft.com/office/drawing/2014/main" id="{E15B6D89-1065-4AE5-AC1E-59FB006933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3</xdr:col>
      <xdr:colOff>83344</xdr:colOff>
      <xdr:row>22</xdr:row>
      <xdr:rowOff>23812</xdr:rowOff>
    </xdr:from>
    <xdr:to>
      <xdr:col>8</xdr:col>
      <xdr:colOff>345282</xdr:colOff>
      <xdr:row>34</xdr:row>
      <xdr:rowOff>166686</xdr:rowOff>
    </xdr:to>
    <xdr:graphicFrame macro="">
      <xdr:nvGraphicFramePr>
        <xdr:cNvPr id="78" name="Chart 77">
          <a:extLst>
            <a:ext uri="{FF2B5EF4-FFF2-40B4-BE49-F238E27FC236}">
              <a16:creationId xmlns:a16="http://schemas.microsoft.com/office/drawing/2014/main" id="{CFB22E40-6EED-4196-96BF-286C14D97F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1559720</xdr:colOff>
      <xdr:row>35</xdr:row>
      <xdr:rowOff>83344</xdr:rowOff>
    </xdr:from>
    <xdr:to>
      <xdr:col>8</xdr:col>
      <xdr:colOff>333376</xdr:colOff>
      <xdr:row>50</xdr:row>
      <xdr:rowOff>95250</xdr:rowOff>
    </xdr:to>
    <xdr:graphicFrame macro="">
      <xdr:nvGraphicFramePr>
        <xdr:cNvPr id="79" name="Chart 78">
          <a:extLst>
            <a:ext uri="{FF2B5EF4-FFF2-40B4-BE49-F238E27FC236}">
              <a16:creationId xmlns:a16="http://schemas.microsoft.com/office/drawing/2014/main" id="{FCC9AD23-8A82-4A23-A298-E69621863E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3</xdr:col>
      <xdr:colOff>83345</xdr:colOff>
      <xdr:row>9</xdr:row>
      <xdr:rowOff>154780</xdr:rowOff>
    </xdr:from>
    <xdr:to>
      <xdr:col>8</xdr:col>
      <xdr:colOff>345281</xdr:colOff>
      <xdr:row>21</xdr:row>
      <xdr:rowOff>107155</xdr:rowOff>
    </xdr:to>
    <xdr:graphicFrame macro="">
      <xdr:nvGraphicFramePr>
        <xdr:cNvPr id="29" name="Chart 28">
          <a:extLst>
            <a:ext uri="{FF2B5EF4-FFF2-40B4-BE49-F238E27FC236}">
              <a16:creationId xmlns:a16="http://schemas.microsoft.com/office/drawing/2014/main" id="{5D625B37-57C0-4E4C-959F-136A66AAAB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11</xdr:col>
      <xdr:colOff>904174</xdr:colOff>
      <xdr:row>9</xdr:row>
      <xdr:rowOff>151280</xdr:rowOff>
    </xdr:from>
    <xdr:to>
      <xdr:col>14</xdr:col>
      <xdr:colOff>930088</xdr:colOff>
      <xdr:row>35</xdr:row>
      <xdr:rowOff>0</xdr:rowOff>
    </xdr:to>
    <xdr:graphicFrame macro="">
      <xdr:nvGraphicFramePr>
        <xdr:cNvPr id="30" name="Chart 29">
          <a:extLst>
            <a:ext uri="{FF2B5EF4-FFF2-40B4-BE49-F238E27FC236}">
              <a16:creationId xmlns:a16="http://schemas.microsoft.com/office/drawing/2014/main" id="{6DB6A6C7-F29C-4806-8DA8-2D74DC4779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eem mostafa" refreshedDate="44289.450782060187" createdVersion="6" refreshedVersion="6" minRefreshableVersion="3" recordCount="30" xr:uid="{D917E5CE-CA24-493C-B95B-19D41AA154C2}">
  <cacheSource type="worksheet">
    <worksheetSource name="camp"/>
  </cacheSource>
  <cacheFields count="29">
    <cacheField name="Date Sent" numFmtId="165">
      <sharedItems containsSemiMixedTypes="0" containsNonDate="0" containsDate="1" containsString="0" minDate="2020-10-07T00:00:00" maxDate="2021-02-24T00:00:00" count="29">
        <d v="2021-02-22T00:00:00"/>
        <d v="2021-01-09T00:00:00"/>
        <d v="2020-11-12T00:00:00"/>
        <d v="2021-02-15T00:00:00"/>
        <d v="2020-12-02T00:00:00"/>
        <d v="2021-02-20T00:00:00"/>
        <d v="2021-01-30T00:00:00"/>
        <d v="2020-11-09T00:00:00"/>
        <d v="2020-12-30T00:00:00"/>
        <d v="2020-11-02T00:00:00"/>
        <d v="2021-02-23T00:00:00"/>
        <d v="2021-01-18T00:00:00"/>
        <d v="2020-11-29T00:00:00"/>
        <d v="2021-01-19T00:00:00"/>
        <d v="2021-01-11T00:00:00"/>
        <d v="2020-11-26T00:00:00"/>
        <d v="2021-01-20T00:00:00"/>
        <d v="2020-10-25T00:00:00"/>
        <d v="2021-01-10T00:00:00"/>
        <d v="2020-10-19T00:00:00"/>
        <d v="2021-01-24T00:00:00"/>
        <d v="2021-01-28T00:00:00"/>
        <d v="2020-12-21T00:00:00"/>
        <d v="2021-02-02T00:00:00"/>
        <d v="2020-12-29T00:00:00"/>
        <d v="2020-10-07T00:00:00"/>
        <d v="2020-10-28T00:00:00"/>
        <d v="2021-01-08T00:00:00"/>
        <d v="2020-11-17T00:00:00"/>
      </sharedItems>
      <fieldGroup par="28" base="0">
        <rangePr groupBy="days" startDate="2020-10-07T00:00:00" endDate="2021-02-24T00:00:00"/>
        <groupItems count="368">
          <s v="&lt;10/07/2020"/>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2/24/2021"/>
        </groupItems>
      </fieldGroup>
    </cacheField>
    <cacheField name="Time" numFmtId="166">
      <sharedItems containsSemiMixedTypes="0" containsNonDate="0" containsDate="1" containsString="0" minDate="1899-12-30T04:00:00" maxDate="1899-12-30T23:00:00"/>
    </cacheField>
    <cacheField name="Campaign Name" numFmtId="0">
      <sharedItems count="6">
        <s v="Campaign 5"/>
        <s v="The Power of Excel Dashboards"/>
        <s v="5-Tips for making spreadsheet"/>
        <s v="Campaign 6"/>
        <s v="Campaign 4"/>
        <s v="Excel template for small business"/>
      </sharedItems>
    </cacheField>
    <cacheField name="Subject Line" numFmtId="0">
      <sharedItems count="6">
        <s v="Excel Tips"/>
        <s v="Excel Templates"/>
        <s v="Subject Line 4"/>
        <s v="Subject Line 6"/>
        <s v="Subject Line 5"/>
        <s v="Dashboards"/>
      </sharedItems>
    </cacheField>
    <cacheField name="Campaign Code" numFmtId="0">
      <sharedItems count="30">
        <s v="CAMP_CODE#1"/>
        <s v="CAMP_CODE#2"/>
        <s v="CAMP_CODE#3"/>
        <s v="CAMP_CODE#4"/>
        <s v="CAMP_CODE#5"/>
        <s v="CAMP_CODE#6"/>
        <s v="CAMP_CODE#7"/>
        <s v="CAMP_CODE#8"/>
        <s v="CAMP_CODE#9"/>
        <s v="CAMP_CODE#10"/>
        <s v="CAMP_CODE#11"/>
        <s v="CAMP_CODE#12"/>
        <s v="CAMP_CODE#13"/>
        <s v="CAMP_CODE#14"/>
        <s v="CAMP_CODE#15"/>
        <s v="CAMP_CODE#16"/>
        <s v="CAMP_CODE#17"/>
        <s v="CAMP_CODE#18"/>
        <s v="CAMP_CODE#19"/>
        <s v="CAMP_CODE#20"/>
        <s v="CAMP_CODE#21"/>
        <s v="CAMP_CODE#22"/>
        <s v="CAMP_CODE#23"/>
        <s v="CAMP_CODE#24"/>
        <s v="CAMP_CODE#25"/>
        <s v="CAMP_CODE#26"/>
        <s v="CAMP_CODE#27"/>
        <s v="CAMP_CODE#28"/>
        <s v="CAMP_CODE#29"/>
        <s v="CAMP_CODE#30"/>
      </sharedItems>
    </cacheField>
    <cacheField name="List" numFmtId="0">
      <sharedItems count="4">
        <s v="List 4"/>
        <s v="Purchasers"/>
        <s v="Daily Email"/>
        <s v="Newsletter"/>
      </sharedItems>
    </cacheField>
    <cacheField name="Email Platform" numFmtId="0">
      <sharedItems count="4">
        <s v="Platform 4"/>
        <s v="Constant Contact"/>
        <s v="MailChimp"/>
        <s v="Klaviyo"/>
      </sharedItems>
    </cacheField>
    <cacheField name="Recipients " numFmtId="1">
      <sharedItems containsSemiMixedTypes="0" containsString="0" containsNumber="1" containsInteger="1" minValue="805" maxValue="1293"/>
    </cacheField>
    <cacheField name="Successful Deliveries" numFmtId="1">
      <sharedItems containsSemiMixedTypes="0" containsString="0" containsNumber="1" containsInteger="1" minValue="530" maxValue="1100"/>
    </cacheField>
    <cacheField name="Delivery Rate%" numFmtId="9">
      <sharedItems containsSemiMixedTypes="0" containsString="0" containsNumber="1" minValue="0.57726465364120783" maxValue="0.96805421103581801"/>
    </cacheField>
    <cacheField name="Opens" numFmtId="0">
      <sharedItems containsSemiMixedTypes="0" containsString="0" containsNumber="1" containsInteger="1" minValue="300" maxValue="1050"/>
    </cacheField>
    <cacheField name="Open Rate%" numFmtId="9">
      <sharedItems containsSemiMixedTypes="0" containsString="0" containsNumber="1" minValue="0.28169014084507044" maxValue="0.9003601440576231"/>
    </cacheField>
    <cacheField name="Unique Clicks" numFmtId="0">
      <sharedItems containsSemiMixedTypes="0" containsString="0" containsNumber="1" containsInteger="1" minValue="128" maxValue="500"/>
    </cacheField>
    <cacheField name="Total Clicks" numFmtId="0">
      <sharedItems containsSemiMixedTypes="0" containsString="0" containsNumber="1" containsInteger="1" minValue="102" maxValue="194"/>
    </cacheField>
    <cacheField name="Click Rate%" numFmtId="9">
      <sharedItems containsSemiMixedTypes="0" containsString="0" containsNumber="1" minValue="0.13473684210526315" maxValue="1"/>
    </cacheField>
    <cacheField name="Placed Order" numFmtId="0">
      <sharedItems containsSemiMixedTypes="0" containsString="0" containsNumber="1" containsInteger="1" minValue="10" maxValue="79"/>
    </cacheField>
    <cacheField name="Revenue" numFmtId="168">
      <sharedItems containsSemiMixedTypes="0" containsString="0" containsNumber="1" containsInteger="1" minValue="53" maxValue="143"/>
    </cacheField>
    <cacheField name="Revenue Per Recipient" numFmtId="167">
      <sharedItems containsSemiMixedTypes="0" containsString="0" containsNumber="1" minValue="4.472573839662447E-2" maxValue="0.17391304347826086"/>
    </cacheField>
    <cacheField name="Unsubscribes" numFmtId="0">
      <sharedItems containsSemiMixedTypes="0" containsString="0" containsNumber="1" containsInteger="1" minValue="5" maxValue="45"/>
    </cacheField>
    <cacheField name="Unsubscribes%" numFmtId="9">
      <sharedItems containsSemiMixedTypes="0" containsString="0" containsNumber="1" minValue="4.578754578754579E-3" maxValue="4.584882280049566E-2"/>
    </cacheField>
    <cacheField name="Target Revenue" numFmtId="169">
      <sharedItems/>
    </cacheField>
    <cacheField name="Month Number" numFmtId="0">
      <sharedItems containsSemiMixedTypes="0" containsString="0" containsNumber="1" containsInteger="1" minValue="1" maxValue="12"/>
    </cacheField>
    <cacheField name="Month Text" numFmtId="0">
      <sharedItems count="5">
        <s v="Feb"/>
        <s v="Jan"/>
        <s v="Nov"/>
        <s v="Dec"/>
        <s v="Oct"/>
      </sharedItems>
    </cacheField>
    <cacheField name="Week Number" numFmtId="0">
      <sharedItems count="17">
        <s v="W9"/>
        <s v="W2"/>
        <s v="W46"/>
        <s v="W8"/>
        <s v="W49"/>
        <s v="W5"/>
        <s v="W53"/>
        <s v="W45"/>
        <s v="W4"/>
        <s v="W3"/>
        <s v="W48"/>
        <s v="W44"/>
        <s v="W43"/>
        <s v="W52"/>
        <s v="W6"/>
        <s v="W41"/>
        <s v="W47"/>
      </sharedItems>
    </cacheField>
    <cacheField name="Year" numFmtId="0">
      <sharedItems containsSemiMixedTypes="0" containsString="0" containsNumber="1" containsInteger="1" minValue="2020" maxValue="2021" count="2">
        <n v="2021"/>
        <n v="2020"/>
      </sharedItems>
    </cacheField>
    <cacheField name="Campaign Remarks" numFmtId="0">
      <sharedItems containsNonDate="0" containsString="0" containsBlank="1"/>
    </cacheField>
    <cacheField name="Months" numFmtId="0" databaseField="0">
      <fieldGroup base="0">
        <rangePr groupBy="months" startDate="2020-10-07T00:00:00" endDate="2021-02-24T00:00:00"/>
        <groupItems count="14">
          <s v="&lt;10/07/2020"/>
          <s v="Jan"/>
          <s v="Feb"/>
          <s v="Mar"/>
          <s v="Apr"/>
          <s v="May"/>
          <s v="Jun"/>
          <s v="Jul"/>
          <s v="Aug"/>
          <s v="Sep"/>
          <s v="Oct"/>
          <s v="Nov"/>
          <s v="Dec"/>
          <s v="&gt;02/24/2021"/>
        </groupItems>
      </fieldGroup>
    </cacheField>
    <cacheField name="Quarters" numFmtId="0" databaseField="0">
      <fieldGroup base="0">
        <rangePr groupBy="quarters" startDate="2020-10-07T00:00:00" endDate="2021-02-24T00:00:00"/>
        <groupItems count="6">
          <s v="&lt;10/07/2020"/>
          <s v="Qtr1"/>
          <s v="Qtr2"/>
          <s v="Qtr3"/>
          <s v="Qtr4"/>
          <s v="&gt;02/24/2021"/>
        </groupItems>
      </fieldGroup>
    </cacheField>
    <cacheField name="Years" numFmtId="0" databaseField="0">
      <fieldGroup base="0">
        <rangePr groupBy="years" startDate="2020-10-07T00:00:00" endDate="2021-02-24T00:00:00"/>
        <groupItems count="4">
          <s v="&lt;10/07/2020"/>
          <s v="2020"/>
          <s v="2021"/>
          <s v="&gt;02/24/2021"/>
        </groupItems>
      </fieldGroup>
    </cacheField>
  </cacheFields>
  <extLst>
    <ext xmlns:x14="http://schemas.microsoft.com/office/spreadsheetml/2009/9/main" uri="{725AE2AE-9491-48be-B2B4-4EB974FC3084}">
      <x14:pivotCacheDefinition pivotCacheId="175278904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d v="1899-12-30T08:00:00"/>
    <x v="0"/>
    <x v="0"/>
    <x v="0"/>
    <x v="0"/>
    <x v="0"/>
    <n v="1181"/>
    <n v="990"/>
    <n v="0.838272650296359"/>
    <n v="350"/>
    <n v="0.29635901778154106"/>
    <n v="300"/>
    <n v="190"/>
    <n v="0.8571428571428571"/>
    <n v="52"/>
    <n v="78"/>
    <n v="6.6045723962743441E-2"/>
    <n v="9"/>
    <n v="7.6206604572396277E-3"/>
    <s v=""/>
    <n v="2"/>
    <x v="0"/>
    <x v="0"/>
    <x v="0"/>
    <m/>
  </r>
  <r>
    <x v="1"/>
    <d v="1899-12-30T11:00:00"/>
    <x v="1"/>
    <x v="1"/>
    <x v="1"/>
    <x v="1"/>
    <x v="1"/>
    <n v="1200"/>
    <n v="1000"/>
    <n v="0.83333333333333337"/>
    <n v="700"/>
    <n v="0.58333333333333337"/>
    <n v="440"/>
    <n v="132"/>
    <n v="0.62857142857142856"/>
    <n v="63"/>
    <n v="134"/>
    <n v="0.11166666666666666"/>
    <n v="12"/>
    <n v="0.01"/>
    <s v=""/>
    <n v="1"/>
    <x v="1"/>
    <x v="1"/>
    <x v="0"/>
    <m/>
  </r>
  <r>
    <x v="2"/>
    <d v="1899-12-30T13:00:00"/>
    <x v="2"/>
    <x v="0"/>
    <x v="2"/>
    <x v="0"/>
    <x v="1"/>
    <n v="1277"/>
    <n v="1020"/>
    <n v="0.79874706342991386"/>
    <n v="950"/>
    <n v="0.74393108848864531"/>
    <n v="128"/>
    <n v="140"/>
    <n v="0.13473684210526315"/>
    <n v="51"/>
    <n v="115"/>
    <n v="9.0054815974941263E-2"/>
    <n v="13"/>
    <n v="1.0180109631949883E-2"/>
    <s v=""/>
    <n v="11"/>
    <x v="2"/>
    <x v="2"/>
    <x v="1"/>
    <m/>
  </r>
  <r>
    <x v="3"/>
    <d v="1899-12-30T04:00:00"/>
    <x v="2"/>
    <x v="1"/>
    <x v="3"/>
    <x v="2"/>
    <x v="2"/>
    <n v="1092"/>
    <n v="1000"/>
    <n v="0.91575091575091572"/>
    <n v="850"/>
    <n v="0.7783882783882784"/>
    <n v="237"/>
    <n v="177"/>
    <n v="0.27882352941176469"/>
    <n v="10"/>
    <n v="133"/>
    <n v="0.12179487179487179"/>
    <n v="5"/>
    <n v="4.578754578754579E-3"/>
    <s v=""/>
    <n v="2"/>
    <x v="0"/>
    <x v="3"/>
    <x v="0"/>
    <m/>
  </r>
  <r>
    <x v="4"/>
    <d v="1899-12-30T09:00:00"/>
    <x v="0"/>
    <x v="2"/>
    <x v="4"/>
    <x v="1"/>
    <x v="3"/>
    <n v="1066"/>
    <n v="930"/>
    <n v="0.87242026266416506"/>
    <n v="400"/>
    <n v="0.37523452157598497"/>
    <n v="219"/>
    <n v="122"/>
    <n v="0.54749999999999999"/>
    <n v="24"/>
    <n v="54"/>
    <n v="5.0656660412757973E-2"/>
    <n v="26"/>
    <n v="2.4390243902439025E-2"/>
    <s v=""/>
    <n v="12"/>
    <x v="3"/>
    <x v="4"/>
    <x v="1"/>
    <m/>
  </r>
  <r>
    <x v="5"/>
    <d v="1899-12-30T15:00:00"/>
    <x v="3"/>
    <x v="3"/>
    <x v="5"/>
    <x v="2"/>
    <x v="3"/>
    <n v="956"/>
    <n v="870"/>
    <n v="0.91004184100418406"/>
    <n v="600"/>
    <n v="0.62761506276150625"/>
    <n v="229"/>
    <n v="185"/>
    <n v="0.38166666666666665"/>
    <n v="69"/>
    <n v="129"/>
    <n v="0.13493723849372385"/>
    <n v="42"/>
    <n v="4.3933054393305436E-2"/>
    <s v=""/>
    <n v="2"/>
    <x v="0"/>
    <x v="3"/>
    <x v="0"/>
    <m/>
  </r>
  <r>
    <x v="6"/>
    <d v="1899-12-30T17:00:00"/>
    <x v="0"/>
    <x v="4"/>
    <x v="6"/>
    <x v="0"/>
    <x v="3"/>
    <n v="989"/>
    <n v="900"/>
    <n v="0.91001011122345798"/>
    <n v="800"/>
    <n v="0.80889787664307378"/>
    <n v="290"/>
    <n v="161"/>
    <n v="0.36249999999999999"/>
    <n v="75"/>
    <n v="87"/>
    <n v="8.7967644084934279E-2"/>
    <n v="22"/>
    <n v="2.2244691607684528E-2"/>
    <s v=""/>
    <n v="1"/>
    <x v="1"/>
    <x v="5"/>
    <x v="0"/>
    <m/>
  </r>
  <r>
    <x v="7"/>
    <d v="1899-12-30T19:00:00"/>
    <x v="4"/>
    <x v="3"/>
    <x v="7"/>
    <x v="0"/>
    <x v="3"/>
    <n v="1065"/>
    <n v="760"/>
    <n v="0.71361502347417838"/>
    <n v="300"/>
    <n v="0.28169014084507044"/>
    <n v="200"/>
    <n v="138"/>
    <n v="0.66666666666666663"/>
    <n v="66"/>
    <n v="108"/>
    <n v="0.10140845070422536"/>
    <n v="43"/>
    <n v="4.0375586854460091E-2"/>
    <s v=""/>
    <n v="11"/>
    <x v="2"/>
    <x v="2"/>
    <x v="1"/>
    <m/>
  </r>
  <r>
    <x v="8"/>
    <d v="1899-12-30T09:00:00"/>
    <x v="4"/>
    <x v="2"/>
    <x v="8"/>
    <x v="2"/>
    <x v="1"/>
    <n v="1263"/>
    <n v="820"/>
    <n v="0.64924782264449721"/>
    <n v="450"/>
    <n v="0.35629453681710216"/>
    <n v="300"/>
    <n v="121"/>
    <n v="0.66666666666666663"/>
    <n v="52"/>
    <n v="81"/>
    <n v="6.413301662707839E-2"/>
    <n v="37"/>
    <n v="2.9295328582739508E-2"/>
    <s v=""/>
    <n v="12"/>
    <x v="3"/>
    <x v="6"/>
    <x v="1"/>
    <m/>
  </r>
  <r>
    <x v="9"/>
    <d v="1899-12-30T10:00:00"/>
    <x v="2"/>
    <x v="0"/>
    <x v="9"/>
    <x v="3"/>
    <x v="0"/>
    <n v="846"/>
    <n v="800"/>
    <n v="0.94562647754137119"/>
    <n v="550"/>
    <n v="0.65011820330969272"/>
    <n v="400"/>
    <n v="104"/>
    <n v="0.72727272727272729"/>
    <n v="55"/>
    <n v="87"/>
    <n v="0.10283687943262411"/>
    <n v="8"/>
    <n v="9.4562647754137114E-3"/>
    <s v=""/>
    <n v="11"/>
    <x v="2"/>
    <x v="7"/>
    <x v="1"/>
    <m/>
  </r>
  <r>
    <x v="10"/>
    <d v="1899-12-30T22:00:00"/>
    <x v="0"/>
    <x v="4"/>
    <x v="10"/>
    <x v="3"/>
    <x v="1"/>
    <n v="1126"/>
    <n v="650"/>
    <n v="0.57726465364120783"/>
    <n v="600"/>
    <n v="0.53285968028419184"/>
    <n v="142"/>
    <n v="189"/>
    <n v="0.23666666666666666"/>
    <n v="71"/>
    <n v="122"/>
    <n v="0.10834813499111901"/>
    <n v="45"/>
    <n v="3.9964476021314387E-2"/>
    <s v=""/>
    <n v="2"/>
    <x v="0"/>
    <x v="0"/>
    <x v="0"/>
    <m/>
  </r>
  <r>
    <x v="11"/>
    <d v="1899-12-30T21:00:00"/>
    <x v="0"/>
    <x v="5"/>
    <x v="11"/>
    <x v="2"/>
    <x v="2"/>
    <n v="819"/>
    <n v="530"/>
    <n v="0.64713064713064716"/>
    <n v="500"/>
    <n v="0.61050061050061055"/>
    <n v="500"/>
    <n v="144"/>
    <n v="1"/>
    <n v="11"/>
    <n v="70"/>
    <n v="8.5470085470085472E-2"/>
    <n v="31"/>
    <n v="3.7851037851037848E-2"/>
    <s v=""/>
    <n v="1"/>
    <x v="1"/>
    <x v="8"/>
    <x v="0"/>
    <m/>
  </r>
  <r>
    <x v="12"/>
    <d v="1899-12-30T09:00:00"/>
    <x v="5"/>
    <x v="2"/>
    <x v="12"/>
    <x v="3"/>
    <x v="0"/>
    <n v="1105"/>
    <n v="800"/>
    <n v="0.72398190045248867"/>
    <n v="750"/>
    <n v="0.67873303167420818"/>
    <n v="497"/>
    <n v="163"/>
    <n v="0.66266666666666663"/>
    <n v="11"/>
    <n v="88"/>
    <n v="7.963800904977375E-2"/>
    <n v="18"/>
    <n v="1.6289592760180997E-2"/>
    <s v=""/>
    <n v="11"/>
    <x v="2"/>
    <x v="4"/>
    <x v="1"/>
    <m/>
  </r>
  <r>
    <x v="13"/>
    <d v="1899-12-30T22:00:00"/>
    <x v="0"/>
    <x v="5"/>
    <x v="13"/>
    <x v="2"/>
    <x v="3"/>
    <n v="1036"/>
    <n v="1000"/>
    <n v="0.96525096525096521"/>
    <n v="800"/>
    <n v="0.77220077220077221"/>
    <n v="172"/>
    <n v="155"/>
    <n v="0.215"/>
    <n v="77"/>
    <n v="105"/>
    <n v="0.10135135135135136"/>
    <n v="11"/>
    <n v="1.0617760617760617E-2"/>
    <s v=""/>
    <n v="1"/>
    <x v="1"/>
    <x v="8"/>
    <x v="0"/>
    <m/>
  </r>
  <r>
    <x v="14"/>
    <d v="1899-12-30T15:00:00"/>
    <x v="3"/>
    <x v="3"/>
    <x v="14"/>
    <x v="2"/>
    <x v="2"/>
    <n v="1259"/>
    <n v="770"/>
    <n v="0.6115965051628276"/>
    <n v="700"/>
    <n v="0.55599682287529784"/>
    <n v="185"/>
    <n v="166"/>
    <n v="0.26428571428571429"/>
    <n v="47"/>
    <n v="86"/>
    <n v="6.830818109610802E-2"/>
    <n v="44"/>
    <n v="3.4948371723590152E-2"/>
    <s v=""/>
    <n v="1"/>
    <x v="1"/>
    <x v="9"/>
    <x v="0"/>
    <m/>
  </r>
  <r>
    <x v="15"/>
    <d v="1899-12-30T18:00:00"/>
    <x v="0"/>
    <x v="0"/>
    <x v="15"/>
    <x v="1"/>
    <x v="2"/>
    <n v="807"/>
    <n v="700"/>
    <n v="0.86741016109045854"/>
    <n v="500"/>
    <n v="0.61957868649318459"/>
    <n v="407"/>
    <n v="194"/>
    <n v="0.81399999999999995"/>
    <n v="35"/>
    <n v="99"/>
    <n v="0.12267657992565056"/>
    <n v="37"/>
    <n v="4.584882280049566E-2"/>
    <s v=""/>
    <n v="11"/>
    <x v="2"/>
    <x v="10"/>
    <x v="1"/>
    <m/>
  </r>
  <r>
    <x v="16"/>
    <d v="1899-12-30T15:00:00"/>
    <x v="5"/>
    <x v="0"/>
    <x v="16"/>
    <x v="2"/>
    <x v="3"/>
    <n v="1036"/>
    <n v="1000"/>
    <n v="0.96525096525096521"/>
    <n v="700"/>
    <n v="0.67567567567567566"/>
    <n v="157"/>
    <n v="157"/>
    <n v="0.22428571428571428"/>
    <n v="49"/>
    <n v="63"/>
    <n v="6.0810810810810814E-2"/>
    <n v="42"/>
    <n v="4.0540540540540543E-2"/>
    <s v=""/>
    <n v="1"/>
    <x v="1"/>
    <x v="8"/>
    <x v="0"/>
    <m/>
  </r>
  <r>
    <x v="17"/>
    <d v="1899-12-30T15:00:00"/>
    <x v="4"/>
    <x v="0"/>
    <x v="17"/>
    <x v="3"/>
    <x v="3"/>
    <n v="850"/>
    <n v="800"/>
    <n v="0.94117647058823528"/>
    <n v="700"/>
    <n v="0.82352941176470584"/>
    <n v="344"/>
    <n v="135"/>
    <n v="0.49142857142857144"/>
    <n v="12"/>
    <n v="66"/>
    <n v="7.7647058823529416E-2"/>
    <n v="34"/>
    <n v="0.04"/>
    <s v=""/>
    <n v="10"/>
    <x v="4"/>
    <x v="11"/>
    <x v="1"/>
    <m/>
  </r>
  <r>
    <x v="18"/>
    <d v="1899-12-30T14:00:00"/>
    <x v="0"/>
    <x v="5"/>
    <x v="18"/>
    <x v="0"/>
    <x v="0"/>
    <n v="944"/>
    <n v="670"/>
    <n v="0.7097457627118644"/>
    <n v="650"/>
    <n v="0.68855932203389836"/>
    <n v="330"/>
    <n v="172"/>
    <n v="0.50769230769230766"/>
    <n v="10"/>
    <n v="88"/>
    <n v="9.3220338983050849E-2"/>
    <n v="37"/>
    <n v="3.9194915254237288E-2"/>
    <s v=""/>
    <n v="1"/>
    <x v="1"/>
    <x v="9"/>
    <x v="0"/>
    <m/>
  </r>
  <r>
    <x v="19"/>
    <d v="1899-12-30T13:00:00"/>
    <x v="3"/>
    <x v="3"/>
    <x v="19"/>
    <x v="2"/>
    <x v="1"/>
    <n v="805"/>
    <n v="750"/>
    <n v="0.93167701863354035"/>
    <n v="700"/>
    <n v="0.86956521739130432"/>
    <n v="347"/>
    <n v="178"/>
    <n v="0.49571428571428572"/>
    <n v="52"/>
    <n v="140"/>
    <n v="0.17391304347826086"/>
    <n v="13"/>
    <n v="1.6149068322981366E-2"/>
    <s v=""/>
    <n v="10"/>
    <x v="4"/>
    <x v="12"/>
    <x v="1"/>
    <m/>
  </r>
  <r>
    <x v="20"/>
    <d v="1899-12-30T09:00:00"/>
    <x v="1"/>
    <x v="4"/>
    <x v="20"/>
    <x v="3"/>
    <x v="1"/>
    <n v="1293"/>
    <n v="1000"/>
    <n v="0.77339520494972935"/>
    <n v="850"/>
    <n v="0.65738592420726993"/>
    <n v="180"/>
    <n v="131"/>
    <n v="0.21176470588235294"/>
    <n v="22"/>
    <n v="137"/>
    <n v="0.10595514307811292"/>
    <n v="44"/>
    <n v="3.4029389017788091E-2"/>
    <s v=""/>
    <n v="1"/>
    <x v="1"/>
    <x v="5"/>
    <x v="0"/>
    <m/>
  </r>
  <r>
    <x v="19"/>
    <d v="1899-12-30T07:00:00"/>
    <x v="0"/>
    <x v="2"/>
    <x v="21"/>
    <x v="3"/>
    <x v="1"/>
    <n v="1185"/>
    <n v="1100"/>
    <n v="0.92827004219409281"/>
    <n v="1050"/>
    <n v="0.88607594936708856"/>
    <n v="178"/>
    <n v="162"/>
    <n v="0.16952380952380952"/>
    <n v="39"/>
    <n v="53"/>
    <n v="4.472573839662447E-2"/>
    <n v="19"/>
    <n v="1.6033755274261603E-2"/>
    <s v=""/>
    <n v="10"/>
    <x v="4"/>
    <x v="12"/>
    <x v="1"/>
    <m/>
  </r>
  <r>
    <x v="21"/>
    <d v="1899-12-30T08:00:00"/>
    <x v="5"/>
    <x v="1"/>
    <x v="22"/>
    <x v="3"/>
    <x v="2"/>
    <n v="993"/>
    <n v="950"/>
    <n v="0.95669687814702919"/>
    <n v="850"/>
    <n v="0.85599194360523667"/>
    <n v="137"/>
    <n v="155"/>
    <n v="0.16117647058823528"/>
    <n v="73"/>
    <n v="72"/>
    <n v="7.2507552870090641E-2"/>
    <n v="40"/>
    <n v="4.0281973816717019E-2"/>
    <s v=""/>
    <n v="1"/>
    <x v="1"/>
    <x v="5"/>
    <x v="0"/>
    <m/>
  </r>
  <r>
    <x v="22"/>
    <d v="1899-12-30T21:00:00"/>
    <x v="1"/>
    <x v="3"/>
    <x v="23"/>
    <x v="2"/>
    <x v="1"/>
    <n v="872"/>
    <n v="800"/>
    <n v="0.91743119266055051"/>
    <n v="700"/>
    <n v="0.80275229357798161"/>
    <n v="168"/>
    <n v="177"/>
    <n v="0.24"/>
    <n v="65"/>
    <n v="136"/>
    <n v="0.15596330275229359"/>
    <n v="33"/>
    <n v="3.7844036697247709E-2"/>
    <s v=""/>
    <n v="12"/>
    <x v="3"/>
    <x v="13"/>
    <x v="1"/>
    <m/>
  </r>
  <r>
    <x v="23"/>
    <d v="1899-12-30T23:00:00"/>
    <x v="4"/>
    <x v="5"/>
    <x v="24"/>
    <x v="3"/>
    <x v="0"/>
    <n v="908"/>
    <n v="700"/>
    <n v="0.77092511013215859"/>
    <n v="600"/>
    <n v="0.66079295154185025"/>
    <n v="472"/>
    <n v="132"/>
    <n v="0.78666666666666663"/>
    <n v="16"/>
    <n v="110"/>
    <n v="0.1211453744493392"/>
    <n v="19"/>
    <n v="2.092511013215859E-2"/>
    <s v=""/>
    <n v="2"/>
    <x v="0"/>
    <x v="14"/>
    <x v="0"/>
    <m/>
  </r>
  <r>
    <x v="24"/>
    <d v="1899-12-30T12:00:00"/>
    <x v="1"/>
    <x v="2"/>
    <x v="25"/>
    <x v="0"/>
    <x v="3"/>
    <n v="885"/>
    <n v="690"/>
    <n v="0.77966101694915257"/>
    <n v="600"/>
    <n v="0.67796610169491522"/>
    <n v="372"/>
    <n v="191"/>
    <n v="0.62"/>
    <n v="22"/>
    <n v="112"/>
    <n v="0.12655367231638417"/>
    <n v="24"/>
    <n v="2.7118644067796609E-2"/>
    <s v=""/>
    <n v="12"/>
    <x v="3"/>
    <x v="6"/>
    <x v="1"/>
    <m/>
  </r>
  <r>
    <x v="25"/>
    <d v="1899-12-30T05:00:00"/>
    <x v="1"/>
    <x v="3"/>
    <x v="26"/>
    <x v="2"/>
    <x v="1"/>
    <n v="1033"/>
    <n v="1000"/>
    <n v="0.96805421103581801"/>
    <n v="750"/>
    <n v="0.72604065827686348"/>
    <n v="353"/>
    <n v="151"/>
    <n v="0.47066666666666668"/>
    <n v="10"/>
    <n v="59"/>
    <n v="5.7115198451113264E-2"/>
    <n v="17"/>
    <n v="1.6456921587608905E-2"/>
    <s v=""/>
    <n v="10"/>
    <x v="4"/>
    <x v="15"/>
    <x v="1"/>
    <m/>
  </r>
  <r>
    <x v="26"/>
    <d v="1899-12-30T12:00:00"/>
    <x v="2"/>
    <x v="0"/>
    <x v="27"/>
    <x v="1"/>
    <x v="3"/>
    <n v="833"/>
    <n v="800"/>
    <n v="0.96038415366146457"/>
    <n v="750"/>
    <n v="0.9003601440576231"/>
    <n v="347"/>
    <n v="102"/>
    <n v="0.46266666666666667"/>
    <n v="17"/>
    <n v="58"/>
    <n v="6.9627851140456179E-2"/>
    <n v="15"/>
    <n v="1.800720288115246E-2"/>
    <s v=""/>
    <n v="10"/>
    <x v="4"/>
    <x v="11"/>
    <x v="1"/>
    <m/>
  </r>
  <r>
    <x v="27"/>
    <d v="1899-12-30T16:00:00"/>
    <x v="0"/>
    <x v="2"/>
    <x v="28"/>
    <x v="0"/>
    <x v="3"/>
    <n v="893"/>
    <n v="850"/>
    <n v="0.95184770436730126"/>
    <n v="700"/>
    <n v="0.78387458006718924"/>
    <n v="139"/>
    <n v="167"/>
    <n v="0.19857142857142857"/>
    <n v="79"/>
    <n v="143"/>
    <n v="0.16013437849944009"/>
    <n v="5"/>
    <n v="5.5991041433370659E-3"/>
    <s v=""/>
    <n v="1"/>
    <x v="1"/>
    <x v="1"/>
    <x v="0"/>
    <m/>
  </r>
  <r>
    <x v="28"/>
    <d v="1899-12-30T22:00:00"/>
    <x v="5"/>
    <x v="2"/>
    <x v="29"/>
    <x v="2"/>
    <x v="2"/>
    <n v="1098"/>
    <n v="740"/>
    <n v="0.67395264116575593"/>
    <n v="700"/>
    <n v="0.63752276867030966"/>
    <n v="299"/>
    <n v="191"/>
    <n v="0.42714285714285716"/>
    <n v="40"/>
    <n v="132"/>
    <n v="0.12021857923497267"/>
    <n v="34"/>
    <n v="3.0965391621129327E-2"/>
    <s v=""/>
    <n v="11"/>
    <x v="2"/>
    <x v="16"/>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25B06D3-FD42-4CBE-BA98-6042E223C5D3}" name="subject line"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H4:AI11" firstHeaderRow="1" firstDataRow="1" firstDataCol="1"/>
  <pivotFields count="29">
    <pivotField numFmtId="165" showAll="0"/>
    <pivotField numFmtId="166" showAll="0"/>
    <pivotField showAll="0">
      <items count="7">
        <item x="2"/>
        <item x="4"/>
        <item x="0"/>
        <item x="3"/>
        <item x="5"/>
        <item x="1"/>
        <item t="default"/>
      </items>
    </pivotField>
    <pivotField axis="axisRow" showAll="0">
      <items count="7">
        <item x="5"/>
        <item x="1"/>
        <item x="0"/>
        <item x="2"/>
        <item x="4"/>
        <item x="3"/>
        <item t="default"/>
      </items>
    </pivotField>
    <pivotField showAll="0">
      <items count="31">
        <item x="0"/>
        <item x="9"/>
        <item x="10"/>
        <item x="11"/>
        <item x="12"/>
        <item x="13"/>
        <item x="14"/>
        <item x="15"/>
        <item x="16"/>
        <item x="17"/>
        <item x="18"/>
        <item x="1"/>
        <item x="19"/>
        <item x="20"/>
        <item x="21"/>
        <item x="22"/>
        <item x="23"/>
        <item x="24"/>
        <item x="25"/>
        <item x="26"/>
        <item x="27"/>
        <item x="28"/>
        <item x="2"/>
        <item x="29"/>
        <item x="3"/>
        <item x="4"/>
        <item x="5"/>
        <item x="6"/>
        <item x="7"/>
        <item x="8"/>
        <item t="default"/>
      </items>
    </pivotField>
    <pivotField showAll="0">
      <items count="5">
        <item x="2"/>
        <item x="0"/>
        <item x="3"/>
        <item x="1"/>
        <item t="default"/>
      </items>
    </pivotField>
    <pivotField showAll="0">
      <items count="5">
        <item x="1"/>
        <item x="3"/>
        <item x="2"/>
        <item x="0"/>
        <item t="default"/>
      </items>
    </pivotField>
    <pivotField numFmtId="1" showAll="0"/>
    <pivotField numFmtId="1" showAll="0"/>
    <pivotField numFmtId="9" showAll="0"/>
    <pivotField showAll="0"/>
    <pivotField numFmtId="9" showAll="0"/>
    <pivotField showAll="0"/>
    <pivotField showAll="0"/>
    <pivotField numFmtId="9" showAll="0"/>
    <pivotField showAll="0"/>
    <pivotField dataField="1" numFmtId="168" showAll="0"/>
    <pivotField numFmtId="167" showAll="0"/>
    <pivotField showAll="0"/>
    <pivotField numFmtId="9" showAll="0"/>
    <pivotField showAll="0"/>
    <pivotField showAll="0"/>
    <pivotField showAll="0">
      <items count="6">
        <item x="1"/>
        <item x="0"/>
        <item x="4"/>
        <item x="2"/>
        <item x="3"/>
        <item t="default"/>
      </items>
    </pivotField>
    <pivotField showAll="0">
      <items count="18">
        <item x="1"/>
        <item x="9"/>
        <item x="8"/>
        <item x="15"/>
        <item x="12"/>
        <item x="11"/>
        <item x="7"/>
        <item x="2"/>
        <item x="16"/>
        <item x="10"/>
        <item x="4"/>
        <item x="5"/>
        <item x="13"/>
        <item x="6"/>
        <item x="14"/>
        <item x="3"/>
        <item x="0"/>
        <item t="default"/>
      </items>
    </pivotField>
    <pivotField showAll="0">
      <items count="3">
        <item x="1"/>
        <item x="0"/>
        <item t="default"/>
      </items>
    </pivotField>
    <pivotField showAll="0"/>
    <pivotField showAll="0" defaultSubtotal="0"/>
    <pivotField showAll="0" defaultSubtotal="0"/>
    <pivotField showAll="0" defaultSubtotal="0"/>
  </pivotFields>
  <rowFields count="1">
    <field x="3"/>
  </rowFields>
  <rowItems count="7">
    <i>
      <x/>
    </i>
    <i>
      <x v="1"/>
    </i>
    <i>
      <x v="2"/>
    </i>
    <i>
      <x v="3"/>
    </i>
    <i>
      <x v="4"/>
    </i>
    <i>
      <x v="5"/>
    </i>
    <i t="grand">
      <x/>
    </i>
  </rowItems>
  <colItems count="1">
    <i/>
  </colItems>
  <dataFields count="1">
    <dataField name="Sum of Revenue" fld="16" baseField="0" baseItem="0" numFmtId="168"/>
  </dataFields>
  <formats count="1">
    <format dxfId="0">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F242841-3323-414C-84B2-1A1AE022E161}" name="camp revenue"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J4:K11" firstHeaderRow="1" firstDataRow="1" firstDataCol="1"/>
  <pivotFields count="29">
    <pivotField numFmtId="165"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numFmtId="166" showAll="0"/>
    <pivotField axis="axisRow" showAll="0">
      <items count="7">
        <item x="2"/>
        <item x="4"/>
        <item x="0"/>
        <item x="3"/>
        <item x="5"/>
        <item x="1"/>
        <item t="default"/>
      </items>
    </pivotField>
    <pivotField showAll="0"/>
    <pivotField showAll="0">
      <items count="31">
        <item x="0"/>
        <item x="9"/>
        <item x="10"/>
        <item x="11"/>
        <item x="12"/>
        <item x="13"/>
        <item x="14"/>
        <item x="15"/>
        <item x="16"/>
        <item x="17"/>
        <item x="18"/>
        <item x="1"/>
        <item x="19"/>
        <item x="20"/>
        <item x="21"/>
        <item x="22"/>
        <item x="23"/>
        <item x="24"/>
        <item x="25"/>
        <item x="26"/>
        <item x="27"/>
        <item x="28"/>
        <item x="2"/>
        <item x="29"/>
        <item x="3"/>
        <item x="4"/>
        <item x="5"/>
        <item x="6"/>
        <item x="7"/>
        <item x="8"/>
        <item t="default"/>
      </items>
    </pivotField>
    <pivotField showAll="0">
      <items count="5">
        <item x="2"/>
        <item x="0"/>
        <item x="3"/>
        <item x="1"/>
        <item t="default"/>
      </items>
    </pivotField>
    <pivotField showAll="0">
      <items count="5">
        <item x="1"/>
        <item x="3"/>
        <item x="2"/>
        <item x="0"/>
        <item t="default"/>
      </items>
    </pivotField>
    <pivotField numFmtId="1" showAll="0"/>
    <pivotField numFmtId="1" showAll="0"/>
    <pivotField numFmtId="9" showAll="0"/>
    <pivotField showAll="0"/>
    <pivotField numFmtId="9" showAll="0"/>
    <pivotField showAll="0"/>
    <pivotField showAll="0"/>
    <pivotField numFmtId="9" showAll="0"/>
    <pivotField showAll="0"/>
    <pivotField dataField="1" numFmtId="168" showAll="0"/>
    <pivotField numFmtId="167" showAll="0"/>
    <pivotField showAll="0"/>
    <pivotField numFmtId="9" showAll="0"/>
    <pivotField numFmtId="169" showAll="0"/>
    <pivotField showAll="0"/>
    <pivotField showAll="0">
      <items count="6">
        <item x="1"/>
        <item x="0"/>
        <item x="4"/>
        <item x="2"/>
        <item x="3"/>
        <item t="default"/>
      </items>
    </pivotField>
    <pivotField showAll="0">
      <items count="18">
        <item x="1"/>
        <item x="9"/>
        <item x="8"/>
        <item x="15"/>
        <item x="12"/>
        <item x="11"/>
        <item x="7"/>
        <item x="2"/>
        <item x="16"/>
        <item x="10"/>
        <item x="4"/>
        <item x="5"/>
        <item x="13"/>
        <item x="6"/>
        <item x="14"/>
        <item x="3"/>
        <item x="0"/>
        <item t="default"/>
      </items>
    </pivotField>
    <pivotField showAll="0">
      <items count="3">
        <item x="1"/>
        <item x="0"/>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Fields count="1">
    <field x="2"/>
  </rowFields>
  <rowItems count="7">
    <i>
      <x/>
    </i>
    <i>
      <x v="1"/>
    </i>
    <i>
      <x v="2"/>
    </i>
    <i>
      <x v="3"/>
    </i>
    <i>
      <x v="4"/>
    </i>
    <i>
      <x v="5"/>
    </i>
    <i t="grand">
      <x/>
    </i>
  </rowItems>
  <colItems count="1">
    <i/>
  </colItems>
  <dataFields count="1">
    <dataField name="Sum of Revenue" fld="16" baseField="0" baseItem="0" numFmtId="168"/>
  </dataFields>
  <formats count="1">
    <format dxfId="1">
      <pivotArea outline="0" collapsedLevelsAreSubtotals="1" fieldPosition="0"/>
    </format>
  </formats>
  <chartFormats count="1">
    <chartFormat chart="4"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CBC0563-9FB0-4DA2-B432-F7C056DFD36E}" name="statistics"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B4:H11" firstHeaderRow="0" firstDataRow="1" firstDataCol="1"/>
  <pivotFields count="29">
    <pivotField numFmtId="165"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numFmtId="166" showAll="0"/>
    <pivotField axis="axisRow" showAll="0">
      <items count="7">
        <item x="2"/>
        <item x="4"/>
        <item x="0"/>
        <item x="3"/>
        <item x="5"/>
        <item x="1"/>
        <item t="default"/>
      </items>
    </pivotField>
    <pivotField showAll="0"/>
    <pivotField showAll="0">
      <items count="31">
        <item x="0"/>
        <item x="9"/>
        <item x="10"/>
        <item x="11"/>
        <item x="12"/>
        <item x="13"/>
        <item x="14"/>
        <item x="15"/>
        <item x="16"/>
        <item x="17"/>
        <item x="18"/>
        <item x="1"/>
        <item x="19"/>
        <item x="20"/>
        <item x="21"/>
        <item x="22"/>
        <item x="23"/>
        <item x="24"/>
        <item x="25"/>
        <item x="26"/>
        <item x="27"/>
        <item x="28"/>
        <item x="2"/>
        <item x="29"/>
        <item x="3"/>
        <item x="4"/>
        <item x="5"/>
        <item x="6"/>
        <item x="7"/>
        <item x="8"/>
        <item t="default"/>
      </items>
    </pivotField>
    <pivotField showAll="0">
      <items count="5">
        <item x="2"/>
        <item x="0"/>
        <item x="3"/>
        <item x="1"/>
        <item t="default"/>
      </items>
    </pivotField>
    <pivotField showAll="0">
      <items count="5">
        <item x="1"/>
        <item x="3"/>
        <item x="2"/>
        <item x="0"/>
        <item t="default"/>
      </items>
    </pivotField>
    <pivotField dataField="1" numFmtId="1" showAll="0"/>
    <pivotField numFmtId="1" showAll="0"/>
    <pivotField dataField="1" numFmtId="9" showAll="0"/>
    <pivotField showAll="0"/>
    <pivotField dataField="1" numFmtId="9" showAll="0"/>
    <pivotField showAll="0"/>
    <pivotField showAll="0"/>
    <pivotField dataField="1" numFmtId="9" showAll="0"/>
    <pivotField dataField="1" showAll="0"/>
    <pivotField dataField="1" numFmtId="168" showAll="0"/>
    <pivotField numFmtId="167" showAll="0"/>
    <pivotField showAll="0"/>
    <pivotField numFmtId="9" showAll="0"/>
    <pivotField numFmtId="169" showAll="0"/>
    <pivotField showAll="0"/>
    <pivotField showAll="0">
      <items count="6">
        <item x="1"/>
        <item x="0"/>
        <item x="4"/>
        <item x="2"/>
        <item x="3"/>
        <item t="default"/>
      </items>
    </pivotField>
    <pivotField showAll="0">
      <items count="18">
        <item x="1"/>
        <item x="9"/>
        <item x="8"/>
        <item x="15"/>
        <item x="12"/>
        <item x="11"/>
        <item x="7"/>
        <item x="2"/>
        <item x="16"/>
        <item x="10"/>
        <item x="4"/>
        <item x="5"/>
        <item x="13"/>
        <item x="6"/>
        <item x="14"/>
        <item x="3"/>
        <item x="0"/>
        <item t="default"/>
      </items>
    </pivotField>
    <pivotField showAll="0">
      <items count="3">
        <item x="1"/>
        <item x="0"/>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Fields count="1">
    <field x="2"/>
  </rowFields>
  <rowItems count="7">
    <i>
      <x/>
    </i>
    <i>
      <x v="1"/>
    </i>
    <i>
      <x v="2"/>
    </i>
    <i>
      <x v="3"/>
    </i>
    <i>
      <x v="4"/>
    </i>
    <i>
      <x v="5"/>
    </i>
    <i t="grand">
      <x/>
    </i>
  </rowItems>
  <colFields count="1">
    <field x="-2"/>
  </colFields>
  <colItems count="6">
    <i>
      <x/>
    </i>
    <i i="1">
      <x v="1"/>
    </i>
    <i i="2">
      <x v="2"/>
    </i>
    <i i="3">
      <x v="3"/>
    </i>
    <i i="4">
      <x v="4"/>
    </i>
    <i i="5">
      <x v="5"/>
    </i>
  </colItems>
  <dataFields count="6">
    <dataField name="Sum of Recipients " fld="7" baseField="0" baseItem="0"/>
    <dataField name="Average of Delivery Rate%" fld="9" subtotal="average" baseField="0" baseItem="0" numFmtId="9"/>
    <dataField name="Average of Open Rate%" fld="11" subtotal="average" baseField="0" baseItem="0" numFmtId="9"/>
    <dataField name="Average of Click Rate%" fld="14" subtotal="average" baseField="0" baseItem="0" numFmtId="9"/>
    <dataField name="Sum of Revenue" fld="16" baseField="0" baseItem="0"/>
    <dataField name="Sum of Placed Order" fld="15" baseField="0" baseItem="0"/>
  </dataFields>
  <formats count="2">
    <format dxfId="3">
      <pivotArea outline="0" collapsedLevelsAreSubtotals="1" fieldPosition="0">
        <references count="1">
          <reference field="4294967294" count="3" selected="0">
            <x v="1"/>
            <x v="2"/>
            <x v="3"/>
          </reference>
        </references>
      </pivotArea>
    </format>
    <format dxfId="2">
      <pivotArea dataOnly="0" labelOnly="1" outline="0" fieldPosition="0">
        <references count="1">
          <reference field="4294967294" count="3">
            <x v="1"/>
            <x v="2"/>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C623EE5-2755-46F0-912A-53B6572FF6F7}" name="unsubscribe"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
  <location ref="AA4:AB11" firstHeaderRow="1" firstDataRow="1" firstDataCol="1"/>
  <pivotFields count="29">
    <pivotField numFmtId="165"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numFmtId="166" showAll="0"/>
    <pivotField axis="axisRow" showAll="0">
      <items count="7">
        <item x="2"/>
        <item x="4"/>
        <item x="0"/>
        <item x="3"/>
        <item x="5"/>
        <item x="1"/>
        <item t="default"/>
      </items>
    </pivotField>
    <pivotField showAll="0"/>
    <pivotField showAll="0">
      <items count="31">
        <item x="0"/>
        <item x="9"/>
        <item x="10"/>
        <item x="11"/>
        <item x="12"/>
        <item x="13"/>
        <item x="14"/>
        <item x="15"/>
        <item x="16"/>
        <item x="17"/>
        <item x="18"/>
        <item x="1"/>
        <item x="19"/>
        <item x="20"/>
        <item x="21"/>
        <item x="22"/>
        <item x="23"/>
        <item x="24"/>
        <item x="25"/>
        <item x="26"/>
        <item x="27"/>
        <item x="28"/>
        <item x="2"/>
        <item x="29"/>
        <item x="3"/>
        <item x="4"/>
        <item x="5"/>
        <item x="6"/>
        <item x="7"/>
        <item x="8"/>
        <item t="default"/>
      </items>
    </pivotField>
    <pivotField showAll="0">
      <items count="5">
        <item x="2"/>
        <item x="0"/>
        <item x="3"/>
        <item x="1"/>
        <item t="default"/>
      </items>
    </pivotField>
    <pivotField showAll="0">
      <items count="5">
        <item x="1"/>
        <item x="3"/>
        <item x="2"/>
        <item x="0"/>
        <item t="default"/>
      </items>
    </pivotField>
    <pivotField numFmtId="1" showAll="0"/>
    <pivotField numFmtId="1" showAll="0"/>
    <pivotField numFmtId="9" showAll="0"/>
    <pivotField showAll="0"/>
    <pivotField numFmtId="9" showAll="0"/>
    <pivotField showAll="0"/>
    <pivotField showAll="0"/>
    <pivotField numFmtId="9" showAll="0"/>
    <pivotField showAll="0"/>
    <pivotField numFmtId="168" showAll="0"/>
    <pivotField numFmtId="167" showAll="0"/>
    <pivotField showAll="0"/>
    <pivotField dataField="1" numFmtId="9" showAll="0"/>
    <pivotField numFmtId="169" showAll="0"/>
    <pivotField showAll="0"/>
    <pivotField showAll="0">
      <items count="6">
        <item x="1"/>
        <item x="0"/>
        <item x="4"/>
        <item x="2"/>
        <item x="3"/>
        <item t="default"/>
      </items>
    </pivotField>
    <pivotField showAll="0">
      <items count="18">
        <item x="1"/>
        <item x="9"/>
        <item x="8"/>
        <item x="15"/>
        <item x="12"/>
        <item x="11"/>
        <item x="7"/>
        <item x="2"/>
        <item x="16"/>
        <item x="10"/>
        <item x="4"/>
        <item x="5"/>
        <item x="13"/>
        <item x="6"/>
        <item x="14"/>
        <item x="3"/>
        <item x="0"/>
        <item t="default"/>
      </items>
    </pivotField>
    <pivotField showAll="0">
      <items count="3">
        <item x="1"/>
        <item x="0"/>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Fields count="1">
    <field x="2"/>
  </rowFields>
  <rowItems count="7">
    <i>
      <x/>
    </i>
    <i>
      <x v="1"/>
    </i>
    <i>
      <x v="2"/>
    </i>
    <i>
      <x v="3"/>
    </i>
    <i>
      <x v="4"/>
    </i>
    <i>
      <x v="5"/>
    </i>
    <i t="grand">
      <x/>
    </i>
  </rowItems>
  <colItems count="1">
    <i/>
  </colItems>
  <dataFields count="1">
    <dataField name="Average of Unsubscribes%" fld="19" subtotal="average" baseField="0" baseItem="0" numFmtId="9"/>
  </dataFields>
  <formats count="1">
    <format dxfId="4">
      <pivotArea outline="0" collapsedLevelsAreSubtotals="1" fieldPosition="0"/>
    </format>
  </formats>
  <chartFormats count="2">
    <chartFormat chart="6" format="5" series="1">
      <pivotArea type="data" outline="0" fieldPosition="0">
        <references count="1">
          <reference field="4294967294" count="1" selected="0">
            <x v="0"/>
          </reference>
        </references>
      </pivotArea>
    </chartFormat>
    <chartFormat chart="7"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80550F9-3E96-4DE2-868B-44BE16A116B3}" name="timeline"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S4:U14" firstHeaderRow="0" firstDataRow="1" firstDataCol="1"/>
  <pivotFields count="29">
    <pivotField axis="axisRow" numFmtId="165"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numFmtId="166" showAll="0"/>
    <pivotField showAll="0">
      <items count="7">
        <item x="2"/>
        <item x="4"/>
        <item x="0"/>
        <item x="3"/>
        <item x="5"/>
        <item x="1"/>
        <item t="default"/>
      </items>
    </pivotField>
    <pivotField showAll="0"/>
    <pivotField showAll="0">
      <items count="31">
        <item x="0"/>
        <item x="9"/>
        <item x="10"/>
        <item x="11"/>
        <item x="12"/>
        <item x="13"/>
        <item x="14"/>
        <item x="15"/>
        <item x="16"/>
        <item x="17"/>
        <item x="18"/>
        <item x="1"/>
        <item x="19"/>
        <item x="20"/>
        <item x="21"/>
        <item x="22"/>
        <item x="23"/>
        <item x="24"/>
        <item x="25"/>
        <item x="26"/>
        <item x="27"/>
        <item x="28"/>
        <item x="2"/>
        <item x="29"/>
        <item x="3"/>
        <item x="4"/>
        <item x="5"/>
        <item x="6"/>
        <item x="7"/>
        <item x="8"/>
        <item t="default"/>
      </items>
    </pivotField>
    <pivotField showAll="0">
      <items count="5">
        <item x="2"/>
        <item x="0"/>
        <item x="3"/>
        <item x="1"/>
        <item t="default"/>
      </items>
    </pivotField>
    <pivotField showAll="0">
      <items count="5">
        <item x="1"/>
        <item x="3"/>
        <item x="2"/>
        <item x="0"/>
        <item t="default"/>
      </items>
    </pivotField>
    <pivotField numFmtId="1" showAll="0"/>
    <pivotField numFmtId="1" showAll="0"/>
    <pivotField numFmtId="9" showAll="0"/>
    <pivotField showAll="0"/>
    <pivotField dataField="1" numFmtId="9" showAll="0"/>
    <pivotField showAll="0"/>
    <pivotField showAll="0"/>
    <pivotField dataField="1" numFmtId="9" showAll="0"/>
    <pivotField showAll="0"/>
    <pivotField numFmtId="168" showAll="0"/>
    <pivotField numFmtId="167" showAll="0"/>
    <pivotField showAll="0"/>
    <pivotField numFmtId="9" showAll="0"/>
    <pivotField numFmtId="169" showAll="0"/>
    <pivotField showAll="0"/>
    <pivotField showAll="0">
      <items count="6">
        <item x="1"/>
        <item x="0"/>
        <item x="4"/>
        <item x="2"/>
        <item x="3"/>
        <item t="default"/>
      </items>
    </pivotField>
    <pivotField showAll="0">
      <items count="18">
        <item x="1"/>
        <item x="9"/>
        <item x="8"/>
        <item x="15"/>
        <item x="12"/>
        <item x="11"/>
        <item x="7"/>
        <item x="2"/>
        <item x="16"/>
        <item x="10"/>
        <item x="4"/>
        <item x="5"/>
        <item x="13"/>
        <item x="6"/>
        <item x="14"/>
        <item x="3"/>
        <item x="0"/>
        <item t="default"/>
      </items>
    </pivotField>
    <pivotField showAll="0">
      <items count="3">
        <item x="1"/>
        <item x="0"/>
        <item t="default"/>
      </items>
    </pivotField>
    <pivotField showAll="0"/>
    <pivotField axis="axisRow" showAll="0">
      <items count="15">
        <item sd="0" x="0"/>
        <item sd="0" x="1"/>
        <item sd="0" x="2"/>
        <item sd="0" x="3"/>
        <item sd="0" x="4"/>
        <item sd="0" x="5"/>
        <item sd="0" x="6"/>
        <item sd="0" x="7"/>
        <item sd="0" x="8"/>
        <item sd="0" x="9"/>
        <item sd="0" x="10"/>
        <item sd="0" x="11"/>
        <item sd="0" x="12"/>
        <item sd="0" x="13"/>
        <item t="default" sd="0"/>
      </items>
    </pivotField>
    <pivotField axis="axisRow" showAll="0">
      <items count="7">
        <item x="0"/>
        <item x="1"/>
        <item x="2"/>
        <item x="3"/>
        <item x="4"/>
        <item x="5"/>
        <item t="default"/>
      </items>
    </pivotField>
    <pivotField axis="axisRow" showAll="0">
      <items count="5">
        <item x="0"/>
        <item x="1"/>
        <item x="2"/>
        <item x="3"/>
        <item t="default"/>
      </items>
    </pivotField>
  </pivotFields>
  <rowFields count="4">
    <field x="28"/>
    <field x="27"/>
    <field x="26"/>
    <field x="0"/>
  </rowFields>
  <rowItems count="10">
    <i>
      <x v="1"/>
    </i>
    <i r="1">
      <x v="4"/>
    </i>
    <i r="2">
      <x v="10"/>
    </i>
    <i r="2">
      <x v="11"/>
    </i>
    <i r="2">
      <x v="12"/>
    </i>
    <i>
      <x v="2"/>
    </i>
    <i r="1">
      <x v="1"/>
    </i>
    <i r="2">
      <x v="1"/>
    </i>
    <i r="2">
      <x v="2"/>
    </i>
    <i t="grand">
      <x/>
    </i>
  </rowItems>
  <colFields count="1">
    <field x="-2"/>
  </colFields>
  <colItems count="2">
    <i>
      <x/>
    </i>
    <i i="1">
      <x v="1"/>
    </i>
  </colItems>
  <dataFields count="2">
    <dataField name="Average of Open Rate%" fld="11" subtotal="average" baseField="0" baseItem="0" numFmtId="9"/>
    <dataField name="Average of Click Rate%" fld="14" subtotal="average" baseField="0" baseItem="0" numFmtId="9"/>
  </dataFields>
  <formats count="1">
    <format dxfId="5">
      <pivotArea outline="0" collapsedLevelsAreSubtotals="1" fieldPosition="0">
        <references count="1">
          <reference field="4294967294" count="2" selected="0">
            <x v="0"/>
            <x v="1"/>
          </reference>
        </references>
      </pivotArea>
    </format>
  </formats>
  <chartFormats count="2">
    <chartFormat chart="4" format="12" series="1">
      <pivotArea type="data" outline="0" fieldPosition="0">
        <references count="1">
          <reference field="4294967294" count="1" selected="0">
            <x v="0"/>
          </reference>
        </references>
      </pivotArea>
    </chartFormat>
    <chartFormat chart="4" format="1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D57D293-16B7-4406-8C34-9E174D69189E}" name="accumulated"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D4:AF34" firstHeaderRow="0" firstDataRow="1" firstDataCol="1"/>
  <pivotFields count="29">
    <pivotField axis="axisRow" numFmtId="165"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numFmtId="166" showAll="0"/>
    <pivotField showAll="0">
      <items count="7">
        <item x="2"/>
        <item x="4"/>
        <item x="0"/>
        <item x="3"/>
        <item x="5"/>
        <item x="1"/>
        <item t="default"/>
      </items>
    </pivotField>
    <pivotField showAll="0"/>
    <pivotField showAll="0">
      <items count="31">
        <item x="0"/>
        <item x="9"/>
        <item x="10"/>
        <item x="11"/>
        <item x="12"/>
        <item x="13"/>
        <item x="14"/>
        <item x="15"/>
        <item x="16"/>
        <item x="17"/>
        <item x="18"/>
        <item x="1"/>
        <item x="19"/>
        <item x="20"/>
        <item x="21"/>
        <item x="22"/>
        <item x="23"/>
        <item x="24"/>
        <item x="25"/>
        <item x="26"/>
        <item x="27"/>
        <item x="28"/>
        <item x="2"/>
        <item x="29"/>
        <item x="3"/>
        <item x="4"/>
        <item x="5"/>
        <item x="6"/>
        <item x="7"/>
        <item x="8"/>
        <item t="default"/>
      </items>
    </pivotField>
    <pivotField showAll="0">
      <items count="5">
        <item x="2"/>
        <item x="0"/>
        <item x="3"/>
        <item x="1"/>
        <item t="default"/>
      </items>
    </pivotField>
    <pivotField showAll="0">
      <items count="5">
        <item x="1"/>
        <item x="3"/>
        <item x="2"/>
        <item x="0"/>
        <item t="default"/>
      </items>
    </pivotField>
    <pivotField numFmtId="1" showAll="0"/>
    <pivotField numFmtId="1" showAll="0"/>
    <pivotField numFmtId="9" showAll="0"/>
    <pivotField showAll="0"/>
    <pivotField numFmtId="9" showAll="0"/>
    <pivotField showAll="0"/>
    <pivotField showAll="0"/>
    <pivotField numFmtId="9" showAll="0"/>
    <pivotField showAll="0"/>
    <pivotField dataField="1" numFmtId="168" showAll="0"/>
    <pivotField numFmtId="167" showAll="0"/>
    <pivotField showAll="0"/>
    <pivotField numFmtId="9" showAll="0"/>
    <pivotField showAll="0"/>
    <pivotField showAll="0"/>
    <pivotField showAll="0">
      <items count="6">
        <item x="1"/>
        <item x="0"/>
        <item x="4"/>
        <item x="2"/>
        <item x="3"/>
        <item t="default"/>
      </items>
    </pivotField>
    <pivotField showAll="0">
      <items count="18">
        <item x="1"/>
        <item x="9"/>
        <item x="8"/>
        <item x="15"/>
        <item x="12"/>
        <item x="11"/>
        <item x="7"/>
        <item x="2"/>
        <item x="16"/>
        <item x="10"/>
        <item x="4"/>
        <item x="5"/>
        <item x="13"/>
        <item x="6"/>
        <item x="14"/>
        <item x="3"/>
        <item x="0"/>
        <item t="default"/>
      </items>
    </pivotField>
    <pivotField showAll="0">
      <items count="3">
        <item x="1"/>
        <item x="0"/>
        <item t="default"/>
      </items>
    </pivotField>
    <pivotField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4">
        <item sd="0" x="0"/>
        <item sd="0" x="1"/>
        <item sd="0" x="2"/>
        <item sd="0" x="3"/>
      </items>
    </pivotField>
  </pivotFields>
  <rowFields count="1">
    <field x="0"/>
  </rowFields>
  <rowItems count="30">
    <i>
      <x v="8"/>
    </i>
    <i>
      <x v="9"/>
    </i>
    <i>
      <x v="10"/>
    </i>
    <i>
      <x v="11"/>
    </i>
    <i>
      <x v="18"/>
    </i>
    <i>
      <x v="19"/>
    </i>
    <i>
      <x v="20"/>
    </i>
    <i>
      <x v="24"/>
    </i>
    <i>
      <x v="28"/>
    </i>
    <i>
      <x v="30"/>
    </i>
    <i>
      <x v="33"/>
    </i>
    <i>
      <x v="46"/>
    </i>
    <i>
      <x v="51"/>
    </i>
    <i>
      <x v="53"/>
    </i>
    <i>
      <x v="54"/>
    </i>
    <i>
      <x v="281"/>
    </i>
    <i>
      <x v="293"/>
    </i>
    <i>
      <x v="299"/>
    </i>
    <i>
      <x v="302"/>
    </i>
    <i>
      <x v="307"/>
    </i>
    <i>
      <x v="314"/>
    </i>
    <i>
      <x v="317"/>
    </i>
    <i>
      <x v="322"/>
    </i>
    <i>
      <x v="331"/>
    </i>
    <i>
      <x v="334"/>
    </i>
    <i>
      <x v="337"/>
    </i>
    <i>
      <x v="356"/>
    </i>
    <i>
      <x v="364"/>
    </i>
    <i>
      <x v="365"/>
    </i>
    <i t="grand">
      <x/>
    </i>
  </rowItems>
  <colFields count="1">
    <field x="-2"/>
  </colFields>
  <colItems count="2">
    <i>
      <x/>
    </i>
    <i i="1">
      <x v="1"/>
    </i>
  </colItems>
  <dataFields count="2">
    <dataField name="Sum of Revenue" fld="16" baseField="0" baseItem="0"/>
    <dataField name="Accumulated Revenue" fld="16" showDataAs="runTotal" baseField="0" baseItem="2"/>
  </dataFields>
  <formats count="1">
    <format dxfId="6">
      <pivotArea outline="0" collapsedLevelsAreSubtotals="1" fieldPosition="0"/>
    </format>
  </formats>
  <chartFormats count="4">
    <chartFormat chart="1" format="2" series="1">
      <pivotArea type="data" outline="0" fieldPosition="0">
        <references count="1">
          <reference field="4294967294" count="1" selected="0">
            <x v="1"/>
          </reference>
        </references>
      </pivotArea>
    </chartFormat>
    <chartFormat chart="1" format="3"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1"/>
          </reference>
        </references>
      </pivotArea>
    </chartFormat>
    <chartFormat chart="2"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C1FAC01-0D6F-4E0E-ABD8-3DB310145717}" name="delivery rate"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
  <location ref="X4:Y9" firstHeaderRow="1" firstDataRow="1" firstDataCol="1"/>
  <pivotFields count="29">
    <pivotField numFmtId="165"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numFmtId="166" showAll="0"/>
    <pivotField showAll="0">
      <items count="7">
        <item x="2"/>
        <item x="4"/>
        <item x="0"/>
        <item x="3"/>
        <item x="5"/>
        <item x="1"/>
        <item t="default"/>
      </items>
    </pivotField>
    <pivotField showAll="0"/>
    <pivotField showAll="0">
      <items count="31">
        <item x="0"/>
        <item x="9"/>
        <item x="10"/>
        <item x="11"/>
        <item x="12"/>
        <item x="13"/>
        <item x="14"/>
        <item x="15"/>
        <item x="16"/>
        <item x="17"/>
        <item x="18"/>
        <item x="1"/>
        <item x="19"/>
        <item x="20"/>
        <item x="21"/>
        <item x="22"/>
        <item x="23"/>
        <item x="24"/>
        <item x="25"/>
        <item x="26"/>
        <item x="27"/>
        <item x="28"/>
        <item x="2"/>
        <item x="29"/>
        <item x="3"/>
        <item x="4"/>
        <item x="5"/>
        <item x="6"/>
        <item x="7"/>
        <item x="8"/>
        <item t="default"/>
      </items>
    </pivotField>
    <pivotField showAll="0">
      <items count="5">
        <item x="2"/>
        <item x="0"/>
        <item x="3"/>
        <item x="1"/>
        <item t="default"/>
      </items>
    </pivotField>
    <pivotField axis="axisRow" showAll="0">
      <items count="5">
        <item x="1"/>
        <item x="3"/>
        <item x="2"/>
        <item x="0"/>
        <item t="default"/>
      </items>
    </pivotField>
    <pivotField numFmtId="1" showAll="0"/>
    <pivotField numFmtId="1" showAll="0"/>
    <pivotField dataField="1" numFmtId="9" showAll="0"/>
    <pivotField showAll="0"/>
    <pivotField numFmtId="9" showAll="0"/>
    <pivotField showAll="0"/>
    <pivotField showAll="0"/>
    <pivotField numFmtId="9" showAll="0"/>
    <pivotField showAll="0"/>
    <pivotField numFmtId="168" showAll="0"/>
    <pivotField numFmtId="167" showAll="0"/>
    <pivotField showAll="0"/>
    <pivotField numFmtId="9" showAll="0"/>
    <pivotField numFmtId="169" showAll="0"/>
    <pivotField showAll="0"/>
    <pivotField showAll="0">
      <items count="6">
        <item x="1"/>
        <item x="0"/>
        <item x="4"/>
        <item x="2"/>
        <item x="3"/>
        <item t="default"/>
      </items>
    </pivotField>
    <pivotField showAll="0">
      <items count="18">
        <item x="1"/>
        <item x="9"/>
        <item x="8"/>
        <item x="15"/>
        <item x="12"/>
        <item x="11"/>
        <item x="7"/>
        <item x="2"/>
        <item x="16"/>
        <item x="10"/>
        <item x="4"/>
        <item x="5"/>
        <item x="13"/>
        <item x="6"/>
        <item x="14"/>
        <item x="3"/>
        <item x="0"/>
        <item t="default"/>
      </items>
    </pivotField>
    <pivotField showAll="0">
      <items count="3">
        <item x="1"/>
        <item x="0"/>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Fields count="1">
    <field x="6"/>
  </rowFields>
  <rowItems count="5">
    <i>
      <x/>
    </i>
    <i>
      <x v="1"/>
    </i>
    <i>
      <x v="2"/>
    </i>
    <i>
      <x v="3"/>
    </i>
    <i t="grand">
      <x/>
    </i>
  </rowItems>
  <colItems count="1">
    <i/>
  </colItems>
  <dataFields count="1">
    <dataField name="Average of Delivery Rate%" fld="9" subtotal="average" baseField="0" baseItem="0" numFmtId="9"/>
  </dataFields>
  <formats count="1">
    <format dxfId="7">
      <pivotArea outline="0" collapsedLevelsAreSubtotals="1" fieldPosition="0">
        <references count="1">
          <reference field="4294967294" count="1" selected="0">
            <x v="0"/>
          </reference>
        </references>
      </pivotArea>
    </format>
  </formats>
  <chartFormats count="1">
    <chartFormat chart="7"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B6AA1D0-9F30-45D5-A2EC-9C14F21B414C}" name="revenue list"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M4:N9" firstHeaderRow="1" firstDataRow="1" firstDataCol="1"/>
  <pivotFields count="29">
    <pivotField numFmtId="165"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numFmtId="166" showAll="0"/>
    <pivotField showAll="0">
      <items count="7">
        <item x="2"/>
        <item x="4"/>
        <item x="0"/>
        <item x="3"/>
        <item x="5"/>
        <item x="1"/>
        <item t="default"/>
      </items>
    </pivotField>
    <pivotField showAll="0"/>
    <pivotField showAll="0">
      <items count="31">
        <item x="0"/>
        <item x="9"/>
        <item x="10"/>
        <item x="11"/>
        <item x="12"/>
        <item x="13"/>
        <item x="14"/>
        <item x="15"/>
        <item x="16"/>
        <item x="17"/>
        <item x="18"/>
        <item x="1"/>
        <item x="19"/>
        <item x="20"/>
        <item x="21"/>
        <item x="22"/>
        <item x="23"/>
        <item x="24"/>
        <item x="25"/>
        <item x="26"/>
        <item x="27"/>
        <item x="28"/>
        <item x="2"/>
        <item x="29"/>
        <item x="3"/>
        <item x="4"/>
        <item x="5"/>
        <item x="6"/>
        <item x="7"/>
        <item x="8"/>
        <item t="default"/>
      </items>
    </pivotField>
    <pivotField axis="axisRow" showAll="0">
      <items count="5">
        <item x="2"/>
        <item x="0"/>
        <item x="3"/>
        <item x="1"/>
        <item t="default"/>
      </items>
    </pivotField>
    <pivotField showAll="0">
      <items count="5">
        <item x="1"/>
        <item x="3"/>
        <item x="2"/>
        <item x="0"/>
        <item t="default"/>
      </items>
    </pivotField>
    <pivotField numFmtId="1" showAll="0"/>
    <pivotField numFmtId="1" showAll="0"/>
    <pivotField numFmtId="9" showAll="0"/>
    <pivotField showAll="0"/>
    <pivotField numFmtId="9" showAll="0"/>
    <pivotField showAll="0"/>
    <pivotField showAll="0"/>
    <pivotField numFmtId="9" showAll="0"/>
    <pivotField showAll="0"/>
    <pivotField dataField="1" numFmtId="168" showAll="0"/>
    <pivotField numFmtId="167" showAll="0"/>
    <pivotField showAll="0"/>
    <pivotField numFmtId="9" showAll="0"/>
    <pivotField numFmtId="169" showAll="0"/>
    <pivotField showAll="0"/>
    <pivotField showAll="0">
      <items count="6">
        <item x="1"/>
        <item x="0"/>
        <item x="4"/>
        <item x="2"/>
        <item x="3"/>
        <item t="default"/>
      </items>
    </pivotField>
    <pivotField showAll="0">
      <items count="18">
        <item x="1"/>
        <item x="9"/>
        <item x="8"/>
        <item x="15"/>
        <item x="12"/>
        <item x="11"/>
        <item x="7"/>
        <item x="2"/>
        <item x="16"/>
        <item x="10"/>
        <item x="4"/>
        <item x="5"/>
        <item x="13"/>
        <item x="6"/>
        <item x="14"/>
        <item x="3"/>
        <item x="0"/>
        <item t="default"/>
      </items>
    </pivotField>
    <pivotField showAll="0">
      <items count="3">
        <item x="1"/>
        <item x="0"/>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Fields count="1">
    <field x="5"/>
  </rowFields>
  <rowItems count="5">
    <i>
      <x/>
    </i>
    <i>
      <x v="1"/>
    </i>
    <i>
      <x v="2"/>
    </i>
    <i>
      <x v="3"/>
    </i>
    <i t="grand">
      <x/>
    </i>
  </rowItems>
  <colItems count="1">
    <i/>
  </colItems>
  <dataFields count="1">
    <dataField name="Sum of Revenue" fld="16" baseField="0" baseItem="0" numFmtId="168"/>
  </dataFields>
  <formats count="1">
    <format dxfId="8">
      <pivotArea outline="0" collapsedLevelsAreSubtotals="1" fieldPosition="0"/>
    </format>
  </formats>
  <chartFormats count="1">
    <chartFormat chart="4"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ist" xr10:uid="{AAC6F7C2-1D30-4DC3-B725-A499CF2DE1C4}" sourceName="List">
  <pivotTables>
    <pivotTable tabId="15" name="statistics"/>
    <pivotTable tabId="15" name="camp revenue"/>
    <pivotTable tabId="15" name="delivery rate"/>
    <pivotTable tabId="15" name="unsubscribe"/>
    <pivotTable tabId="15" name="timeline"/>
    <pivotTable tabId="15" name="accumulated"/>
    <pivotTable tabId="15" name="subject line"/>
  </pivotTables>
  <data>
    <tabular pivotCacheId="1752789043">
      <items count="4">
        <i x="2" s="1"/>
        <i x="0" s="1"/>
        <i x="3" s="1"/>
        <i x="1"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mpaign_Name" xr10:uid="{7BCC40D7-4AED-43BB-AC80-CD019C4D5D69}" sourceName="Campaign Name">
  <pivotTables>
    <pivotTable tabId="15" name="statistics"/>
    <pivotTable tabId="15" name="delivery rate"/>
    <pivotTable tabId="15" name="revenue list"/>
    <pivotTable tabId="15" name="timeline"/>
    <pivotTable tabId="15" name="accumulated"/>
    <pivotTable tabId="15" name="subject line"/>
    <pivotTable tabId="15" name="unsubscribe"/>
  </pivotTables>
  <data>
    <tabular pivotCacheId="1752789043">
      <items count="6">
        <i x="2" s="1"/>
        <i x="4" s="1"/>
        <i x="0" s="1"/>
        <i x="3" s="1"/>
        <i x="5" s="1"/>
        <i x="1"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ail_Platform" xr10:uid="{DA32C705-6059-45F2-B866-9C210163FD15}" sourceName="Email Platform">
  <pivotTables>
    <pivotTable tabId="15" name="statistics"/>
    <pivotTable tabId="15" name="camp revenue"/>
    <pivotTable tabId="15" name="unsubscribe"/>
    <pivotTable tabId="15" name="revenue list"/>
    <pivotTable tabId="15" name="timeline"/>
    <pivotTable tabId="15" name="accumulated"/>
    <pivotTable tabId="15" name="subject line"/>
  </pivotTables>
  <data>
    <tabular pivotCacheId="1752789043">
      <items count="4">
        <i x="1" s="1"/>
        <i x="3" s="1"/>
        <i x="2" s="1"/>
        <i x="0"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mpaign_Code" xr10:uid="{558E194A-D279-4173-AAE6-CEF04A89F06D}" sourceName="Campaign Code">
  <pivotTables>
    <pivotTable tabId="15" name="statistics"/>
    <pivotTable tabId="15" name="camp revenue"/>
    <pivotTable tabId="15" name="delivery rate"/>
    <pivotTable tabId="15" name="unsubscribe"/>
    <pivotTable tabId="15" name="revenue list"/>
    <pivotTable tabId="15" name="timeline"/>
    <pivotTable tabId="15" name="accumulated"/>
    <pivotTable tabId="15" name="subject line"/>
  </pivotTables>
  <data>
    <tabular pivotCacheId="1752789043">
      <items count="30">
        <i x="0" s="1"/>
        <i x="9" s="1"/>
        <i x="10" s="1"/>
        <i x="11" s="1"/>
        <i x="12" s="1"/>
        <i x="13" s="1"/>
        <i x="14" s="1"/>
        <i x="15" s="1"/>
        <i x="16" s="1"/>
        <i x="17" s="1"/>
        <i x="18" s="1"/>
        <i x="1" s="1"/>
        <i x="19" s="1"/>
        <i x="20" s="1"/>
        <i x="21" s="1"/>
        <i x="22" s="1"/>
        <i x="23" s="1"/>
        <i x="24" s="1"/>
        <i x="25" s="1"/>
        <i x="26" s="1"/>
        <i x="27" s="1"/>
        <i x="28" s="1"/>
        <i x="2" s="1"/>
        <i x="29" s="1"/>
        <i x="3" s="1"/>
        <i x="4" s="1"/>
        <i x="5" s="1"/>
        <i x="6" s="1"/>
        <i x="7" s="1"/>
        <i x="8" s="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06C1033E-8E00-41D3-AD5B-82D6AB220147}" sourceName="Year">
  <pivotTables>
    <pivotTable tabId="15" name="statistics"/>
    <pivotTable tabId="15" name="camp revenue"/>
    <pivotTable tabId="15" name="delivery rate"/>
    <pivotTable tabId="15" name="unsubscribe"/>
    <pivotTable tabId="15" name="revenue list"/>
    <pivotTable tabId="15" name="timeline"/>
    <pivotTable tabId="15" name="accumulated"/>
    <pivotTable tabId="15" name="subject line"/>
  </pivotTables>
  <data>
    <tabular pivotCacheId="1752789043">
      <items count="2">
        <i x="1" s="1"/>
        <i x="0" s="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Text" xr10:uid="{BA1BBC28-6F76-451D-BB85-462B37683C04}" sourceName="Month Text">
  <pivotTables>
    <pivotTable tabId="15" name="statistics"/>
    <pivotTable tabId="15" name="camp revenue"/>
    <pivotTable tabId="15" name="delivery rate"/>
    <pivotTable tabId="15" name="unsubscribe"/>
    <pivotTable tabId="15" name="revenue list"/>
    <pivotTable tabId="15" name="timeline"/>
    <pivotTable tabId="15" name="accumulated"/>
    <pivotTable tabId="15" name="subject line"/>
  </pivotTables>
  <data>
    <tabular pivotCacheId="1752789043">
      <items count="5">
        <i x="1" s="1"/>
        <i x="0" s="1"/>
        <i x="4" s="1"/>
        <i x="2" s="1"/>
        <i x="3" s="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_Number" xr10:uid="{4619D542-CF72-4CC1-9347-D74E05FE7C55}" sourceName="Week Number">
  <pivotTables>
    <pivotTable tabId="15" name="statistics"/>
    <pivotTable tabId="15" name="camp revenue"/>
    <pivotTable tabId="15" name="delivery rate"/>
    <pivotTable tabId="15" name="unsubscribe"/>
    <pivotTable tabId="15" name="revenue list"/>
    <pivotTable tabId="15" name="timeline"/>
    <pivotTable tabId="15" name="accumulated"/>
    <pivotTable tabId="15" name="subject line"/>
  </pivotTables>
  <data>
    <tabular pivotCacheId="1752789043">
      <items count="17">
        <i x="1" s="1"/>
        <i x="9" s="1"/>
        <i x="8" s="1"/>
        <i x="15" s="1"/>
        <i x="12" s="1"/>
        <i x="11" s="1"/>
        <i x="7" s="1"/>
        <i x="2" s="1"/>
        <i x="16" s="1"/>
        <i x="10" s="1"/>
        <i x="4" s="1"/>
        <i x="5" s="1"/>
        <i x="13" s="1"/>
        <i x="6" s="1"/>
        <i x="14" s="1"/>
        <i x="3" s="1"/>
        <i x="0"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ist" xr10:uid="{BE0EE9FF-D24E-40D9-BA75-CD38224F53CA}" cache="Slicer_List" caption="List" style="Slicer Style 1 2" lockedPosition="1" rowHeight="225425"/>
  <slicer name="Campaign Name 1" xr10:uid="{D41BF278-B2BD-4CE8-869D-8FFD7564BFF2}" cache="Slicer_Campaign_Name" caption="Campaign Name" style="Slicer Style 1 2" lockedPosition="1" rowHeight="225425"/>
  <slicer name="Email Platform 1" xr10:uid="{6A10E2B5-58BF-4E55-97B4-9949E1370A42}" cache="Slicer_Email_Platform" caption="Email Platform" style="Slicer Style 1 2" lockedPosition="1" rowHeight="225425"/>
  <slicer name="Campaign Code" xr10:uid="{340982E3-C1E4-4006-A5B9-1CEA80CD35DD}" cache="Slicer_Campaign_Code" caption="Campaign Code" style="Slicer Style 1 2" lockedPosition="1" rowHeight="225425"/>
  <slicer name="Year" xr10:uid="{1584964E-144C-42A1-A1DB-8425CD72889C}" cache="Slicer_Year" caption="Year" columnCount="3" style="Slicer Style 1" lockedPosition="1" rowHeight="225425"/>
  <slicer name="Month Text" xr10:uid="{36DDA9BA-32C8-43E9-8417-294FBF06ED5E}" cache="Slicer_Month_Text" caption="Month" columnCount="6" style="Slicer Style 1" lockedPosition="1" rowHeight="225425"/>
  <slicer name="Week Number" xr10:uid="{30473DA0-4DBA-42F0-95FD-EA51D01C0555}" cache="Slicer_Week_Number" caption="Week Number" columnCount="10" style="Slicer Style 1" lockedPosition="1"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DB1E88E-B14B-4A8C-95F0-23254B5F8A65}" name="camp" displayName="camp" ref="B2:AA32" totalsRowShown="0" headerRowDxfId="39" dataDxfId="37" headerRowBorderDxfId="38" tableBorderDxfId="36" totalsRowBorderDxfId="35">
  <tableColumns count="26">
    <tableColumn id="1" xr3:uid="{C1C023B3-B031-4668-B6AF-D42F2252A966}" name="Date Sent" dataDxfId="34"/>
    <tableColumn id="13" xr3:uid="{B814C527-0611-4BC0-AC85-B239A43AEDF2}" name="Time" dataDxfId="33"/>
    <tableColumn id="14" xr3:uid="{94BCA9B8-8798-491C-8455-D4DF6DF3417E}" name="Campaign Name" dataDxfId="32"/>
    <tableColumn id="26" xr3:uid="{BCB845AB-40A9-4E32-940E-9A60013E6A44}" name="Subject Line" dataDxfId="31"/>
    <tableColumn id="9" xr3:uid="{09988A16-AA51-493D-81F5-A96E1D049E14}" name="Campaign Code" dataDxfId="30"/>
    <tableColumn id="11" xr3:uid="{D2909BA1-A962-4AF3-BBE4-EA37095E560F}" name="List" dataDxfId="29"/>
    <tableColumn id="8" xr3:uid="{FCCAFFDA-4473-40C1-8949-46EFA8B9DCA8}" name="Email Platform" dataDxfId="28"/>
    <tableColumn id="15" xr3:uid="{AA314CDC-1B0D-4D18-B529-B7C35AEC8BF6}" name="Recipients " dataDxfId="27"/>
    <tableColumn id="16" xr3:uid="{A6083B39-7F3A-4ADD-BFC6-0D284CE4344C}" name="Successful Deliveries" dataDxfId="26"/>
    <tableColumn id="7" xr3:uid="{A9CAE794-581B-499A-981E-E52F69996A25}" name="Delivery Rate%" dataDxfId="25" dataCellStyle="Percent">
      <calculatedColumnFormula>IF(OR(camp[[#This Row],[Successful Deliveries]]="",camp[[#This Row],[Recipients ]]=""),"",camp[[#This Row],[Successful Deliveries]]/camp[[#This Row],[Recipients ]])</calculatedColumnFormula>
    </tableColumn>
    <tableColumn id="6" xr3:uid="{39D4C39F-DE05-4A9E-B5A6-AA921406F8B2}" name="Opens" dataDxfId="24"/>
    <tableColumn id="5" xr3:uid="{6045A146-6640-45D2-B32F-2D324E6909A8}" name="Open Rate%" dataDxfId="23" dataCellStyle="Percent">
      <calculatedColumnFormula>IF(OR(camp[[#This Row],[Opens]]="",camp[[#This Row],[Recipients ]]=""),"",camp[[#This Row],[Opens]]/camp[[#This Row],[Recipients ]])</calculatedColumnFormula>
    </tableColumn>
    <tableColumn id="10" xr3:uid="{36CE08CE-AFAA-44C2-AC0A-762715F0EAFA}" name="Unique Clicks" dataDxfId="22"/>
    <tableColumn id="18" xr3:uid="{76F8841B-2F0D-4E75-9733-8A210373A010}" name="Total Clicks" dataDxfId="21"/>
    <tableColumn id="4" xr3:uid="{29D6D385-58A3-42D0-AB56-F21E33080948}" name="Click Rate%" dataDxfId="20" dataCellStyle="Percent">
      <calculatedColumnFormula>IF(OR(camp[[#This Row],[Opens]]="",camp[[#This Row],[Unique Clicks]]=""),"",camp[[#This Row],[Unique Clicks]]/camp[[#This Row],[Opens]])</calculatedColumnFormula>
    </tableColumn>
    <tableColumn id="3" xr3:uid="{1E0C847F-29DE-4AC2-ABBB-F643908CE218}" name="Placed Order" dataDxfId="19"/>
    <tableColumn id="12" xr3:uid="{FF81C187-F8CF-4C2A-8688-B44AFA3A087D}" name="Revenue" dataDxfId="18"/>
    <tableColumn id="2" xr3:uid="{57C3785B-0630-4B21-9E58-2670D9AA6536}" name="Revenue Per Recipient" dataDxfId="17" dataCellStyle="Percent">
      <calculatedColumnFormula>IF(OR(camp[[#This Row],[Revenue]]="",camp[[#This Row],[Recipients ]]=""),"",camp[[#This Row],[Revenue]]/camp[[#This Row],[Recipients ]])</calculatedColumnFormula>
    </tableColumn>
    <tableColumn id="20" xr3:uid="{2E640D4A-8B34-48BE-ACC2-30ED2DC7C847}" name="Unsubscribes" dataDxfId="16"/>
    <tableColumn id="19" xr3:uid="{D7F0C19E-42FE-4808-AB4B-A28767A04559}" name="Unsubscribes%" dataDxfId="15" dataCellStyle="Percent">
      <calculatedColumnFormula>IF(OR(camp[[#This Row],[Unsubscribes]]="",camp[[#This Row],[Recipients ]]=""),"",camp[[#This Row],[Unsubscribes]]/camp[[#This Row],[Recipients ]])</calculatedColumnFormula>
    </tableColumn>
    <tableColumn id="25" xr3:uid="{F87DB101-157B-4A53-8FF5-92395F432F3F}" name="Target Revenue" dataDxfId="14" dataCellStyle="Comma">
      <calculatedColumnFormula>IFERROR(VLOOKUP(camp[[#This Row],[Campaign Name]],Database!B:C,3,0),"")</calculatedColumnFormula>
    </tableColumn>
    <tableColumn id="23" xr3:uid="{5981C9E6-9773-4860-A17D-5ADA0ED6061F}" name="Month Number" dataDxfId="13" dataCellStyle="Percent">
      <calculatedColumnFormula>IF(camp[[#This Row],[Date Sent]]="","",MONTH(camp[[#This Row],[Date Sent]]))</calculatedColumnFormula>
    </tableColumn>
    <tableColumn id="22" xr3:uid="{DD181A92-11C1-44DB-A6E0-76499973DEDF}" name="Month Text" dataDxfId="12" dataCellStyle="Percent">
      <calculatedColumnFormula>IFERROR(VLOOKUP(camp[[#This Row],[Month Number]],Sheet2!B:C,2,0),"")</calculatedColumnFormula>
    </tableColumn>
    <tableColumn id="21" xr3:uid="{7BA6BC9C-C905-48AD-8C12-877F920A30C9}" name="Week Number" dataDxfId="11" dataCellStyle="Percent">
      <calculatedColumnFormula>IF(camp[[#This Row],[Date Sent]]="","","W"&amp;WEEKNUM(camp[[#This Row],[Date Sent]],1))</calculatedColumnFormula>
    </tableColumn>
    <tableColumn id="24" xr3:uid="{3982EE77-3A58-4E61-9A33-D472A752C1AC}" name="Year" dataDxfId="10" dataCellStyle="Percent">
      <calculatedColumnFormula>IF(camp[[#This Row],[Date Sent]]="","",YEAR(camp[[#This Row],[Date Sent]]))</calculatedColumnFormula>
    </tableColumn>
    <tableColumn id="17" xr3:uid="{4881DD48-BA05-4183-98AC-B6BFFFE37CC9}" name="Campaign Remarks" dataDxfId="9"/>
  </tableColumns>
  <tableStyleInfo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647F2-CBE2-4E30-B5AE-E4E40867A560}">
  <sheetPr codeName="Sheet1">
    <tabColor rgb="FFC00000"/>
  </sheetPr>
  <dimension ref="A1:G58"/>
  <sheetViews>
    <sheetView showGridLines="0" showRowColHeaders="0" tabSelected="1" topLeftCell="A29" zoomScale="85" zoomScaleNormal="85" workbookViewId="0">
      <pane xSplit="3" topLeftCell="D1" activePane="topRight" state="frozen"/>
      <selection pane="topRight" activeCell="C54" sqref="C54:I61"/>
    </sheetView>
  </sheetViews>
  <sheetFormatPr defaultColWidth="10.140625" defaultRowHeight="15" x14ac:dyDescent="0.2"/>
  <cols>
    <col min="1" max="1" width="26" style="5" bestFit="1" customWidth="1"/>
    <col min="2" max="2" width="22.85546875" style="2" customWidth="1"/>
    <col min="3" max="3" width="26.7109375" style="2" customWidth="1"/>
    <col min="4" max="16384" width="10.140625" style="2"/>
  </cols>
  <sheetData>
    <row r="1" spans="1:4" x14ac:dyDescent="0.2">
      <c r="A1" s="1"/>
    </row>
    <row r="2" spans="1:4" x14ac:dyDescent="0.2">
      <c r="A2" s="1"/>
    </row>
    <row r="3" spans="1:4" x14ac:dyDescent="0.2">
      <c r="A3" s="1"/>
    </row>
    <row r="4" spans="1:4" ht="3.6" customHeight="1" x14ac:dyDescent="0.2">
      <c r="A4" s="1"/>
    </row>
    <row r="5" spans="1:4" ht="12.75" x14ac:dyDescent="0.2">
      <c r="A5" s="6" t="s">
        <v>1</v>
      </c>
      <c r="B5" s="3" t="s">
        <v>0</v>
      </c>
      <c r="D5" s="3" t="s">
        <v>15</v>
      </c>
    </row>
    <row r="7" spans="1:4" ht="12.75" x14ac:dyDescent="0.2">
      <c r="A7" s="7" t="s">
        <v>165</v>
      </c>
      <c r="B7" s="3" t="s">
        <v>2</v>
      </c>
      <c r="D7" s="2" t="s">
        <v>172</v>
      </c>
    </row>
    <row r="8" spans="1:4" ht="12.75" x14ac:dyDescent="0.2">
      <c r="A8" s="7" t="s">
        <v>129</v>
      </c>
    </row>
    <row r="9" spans="1:4" ht="12.75" x14ac:dyDescent="0.2">
      <c r="A9" s="7" t="s">
        <v>14</v>
      </c>
    </row>
    <row r="10" spans="1:4" ht="12.75" x14ac:dyDescent="0.2">
      <c r="A10" s="7"/>
    </row>
    <row r="11" spans="1:4" x14ac:dyDescent="0.2">
      <c r="B11" s="11"/>
      <c r="C11" s="10"/>
    </row>
    <row r="13" spans="1:4" ht="12.75" x14ac:dyDescent="0.2">
      <c r="A13" s="7"/>
    </row>
    <row r="14" spans="1:4" ht="12.75" x14ac:dyDescent="0.2">
      <c r="A14" s="7"/>
      <c r="B14" s="3" t="s">
        <v>3</v>
      </c>
      <c r="D14" s="3">
        <v>2</v>
      </c>
    </row>
    <row r="15" spans="1:4" ht="12.75" x14ac:dyDescent="0.2">
      <c r="A15" s="7"/>
    </row>
    <row r="16" spans="1:4" x14ac:dyDescent="0.2">
      <c r="B16" s="3" t="s">
        <v>4</v>
      </c>
      <c r="C16" s="8"/>
      <c r="D16" s="9"/>
    </row>
    <row r="17" spans="1:7" ht="12.75" x14ac:dyDescent="0.2">
      <c r="A17" s="7"/>
      <c r="B17" s="3"/>
      <c r="C17" s="12" t="s">
        <v>165</v>
      </c>
      <c r="D17" s="2" t="s">
        <v>173</v>
      </c>
    </row>
    <row r="18" spans="1:7" ht="12.75" x14ac:dyDescent="0.2">
      <c r="A18" s="7"/>
      <c r="B18" s="3"/>
      <c r="C18" s="12" t="s">
        <v>129</v>
      </c>
      <c r="D18" s="2" t="s">
        <v>174</v>
      </c>
    </row>
    <row r="19" spans="1:7" ht="12.75" x14ac:dyDescent="0.2">
      <c r="A19" s="7"/>
      <c r="B19" s="3"/>
      <c r="C19" s="12" t="s">
        <v>14</v>
      </c>
      <c r="D19" s="2" t="s">
        <v>175</v>
      </c>
    </row>
    <row r="20" spans="1:7" ht="12.75" customHeight="1" x14ac:dyDescent="0.2">
      <c r="C20" s="4"/>
    </row>
    <row r="21" spans="1:7" ht="12.75" customHeight="1" x14ac:dyDescent="0.2">
      <c r="B21" s="3" t="s">
        <v>5</v>
      </c>
      <c r="C21" s="4" t="s">
        <v>6</v>
      </c>
      <c r="D21" s="2" t="s">
        <v>176</v>
      </c>
    </row>
    <row r="22" spans="1:7" ht="12.75" customHeight="1" x14ac:dyDescent="0.2">
      <c r="C22" s="4" t="s">
        <v>7</v>
      </c>
      <c r="D22" s="2" t="s">
        <v>177</v>
      </c>
    </row>
    <row r="23" spans="1:7" ht="12.75" customHeight="1" x14ac:dyDescent="0.2">
      <c r="C23" s="4" t="s">
        <v>8</v>
      </c>
      <c r="D23" s="2" t="s">
        <v>178</v>
      </c>
    </row>
    <row r="24" spans="1:7" ht="12.75" customHeight="1" x14ac:dyDescent="0.2">
      <c r="C24" s="4" t="s">
        <v>9</v>
      </c>
      <c r="D24" s="2" t="s">
        <v>179</v>
      </c>
    </row>
    <row r="25" spans="1:7" ht="12.75" customHeight="1" x14ac:dyDescent="0.2">
      <c r="C25" s="4" t="s">
        <v>10</v>
      </c>
      <c r="D25" s="2" t="s">
        <v>180</v>
      </c>
    </row>
    <row r="26" spans="1:7" ht="12.75" customHeight="1" x14ac:dyDescent="0.2">
      <c r="C26" s="4" t="s">
        <v>11</v>
      </c>
      <c r="D26" s="2" t="s">
        <v>181</v>
      </c>
    </row>
    <row r="27" spans="1:7" ht="12.75" customHeight="1" x14ac:dyDescent="0.2">
      <c r="C27" s="4" t="s">
        <v>12</v>
      </c>
      <c r="D27" s="2" t="s">
        <v>182</v>
      </c>
    </row>
    <row r="28" spans="1:7" ht="12.75" customHeight="1" x14ac:dyDescent="0.2">
      <c r="C28" s="4" t="s">
        <v>13</v>
      </c>
      <c r="D28" s="2" t="s">
        <v>183</v>
      </c>
    </row>
    <row r="29" spans="1:7" ht="12.75" customHeight="1" x14ac:dyDescent="0.2">
      <c r="C29" s="4"/>
    </row>
    <row r="30" spans="1:7" ht="12.75" customHeight="1" x14ac:dyDescent="0.2">
      <c r="B30" s="11" t="s">
        <v>184</v>
      </c>
      <c r="C30" s="89"/>
      <c r="D30" s="90" t="s">
        <v>185</v>
      </c>
      <c r="E30" s="91"/>
      <c r="F30" s="91"/>
      <c r="G30" s="91"/>
    </row>
    <row r="31" spans="1:7" ht="12.75" customHeight="1" x14ac:dyDescent="0.2">
      <c r="B31" s="91"/>
      <c r="C31" s="91"/>
      <c r="D31" s="90" t="s">
        <v>186</v>
      </c>
      <c r="E31" s="91"/>
      <c r="F31" s="91"/>
      <c r="G31" s="91"/>
    </row>
    <row r="32" spans="1:7" ht="12.75" customHeight="1" x14ac:dyDescent="0.2">
      <c r="B32" s="91"/>
      <c r="C32" s="91"/>
      <c r="D32" s="91"/>
      <c r="E32" s="91"/>
      <c r="F32" s="91"/>
      <c r="G32" s="91"/>
    </row>
    <row r="33" spans="2:7" ht="12.75" customHeight="1" x14ac:dyDescent="0.2">
      <c r="B33" s="91"/>
      <c r="C33" s="92" t="s">
        <v>187</v>
      </c>
      <c r="D33" s="91" t="s">
        <v>188</v>
      </c>
      <c r="E33" s="91"/>
      <c r="F33" s="91"/>
      <c r="G33" s="91"/>
    </row>
    <row r="34" spans="2:7" ht="12.75" customHeight="1" x14ac:dyDescent="0.2">
      <c r="B34" s="91"/>
      <c r="C34" s="91"/>
      <c r="D34" s="89"/>
      <c r="E34" s="91"/>
      <c r="F34" s="91"/>
      <c r="G34" s="91"/>
    </row>
    <row r="35" spans="2:7" ht="12.75" customHeight="1" x14ac:dyDescent="0.2">
      <c r="B35" s="91"/>
      <c r="C35" s="91"/>
      <c r="D35" s="89"/>
      <c r="E35" s="91"/>
      <c r="F35" s="91"/>
      <c r="G35" s="91"/>
    </row>
    <row r="36" spans="2:7" x14ac:dyDescent="0.2">
      <c r="B36" s="91"/>
      <c r="C36" s="91"/>
      <c r="D36" s="89"/>
      <c r="E36" s="91"/>
      <c r="F36" s="91"/>
      <c r="G36" s="91"/>
    </row>
    <row r="37" spans="2:7" x14ac:dyDescent="0.2">
      <c r="B37" s="91"/>
      <c r="C37" s="91"/>
      <c r="D37" s="89"/>
      <c r="E37" s="91"/>
      <c r="F37" s="91"/>
      <c r="G37" s="91"/>
    </row>
    <row r="38" spans="2:7" x14ac:dyDescent="0.2">
      <c r="B38" s="91"/>
      <c r="C38" s="91"/>
      <c r="D38" s="89"/>
      <c r="E38" s="91"/>
      <c r="F38" s="91"/>
      <c r="G38" s="91"/>
    </row>
    <row r="39" spans="2:7" x14ac:dyDescent="0.2">
      <c r="B39" s="91"/>
      <c r="C39" s="92" t="s">
        <v>189</v>
      </c>
      <c r="D39" s="91" t="s">
        <v>190</v>
      </c>
      <c r="E39" s="91"/>
      <c r="F39" s="91"/>
      <c r="G39" s="91"/>
    </row>
    <row r="40" spans="2:7" x14ac:dyDescent="0.2">
      <c r="B40" s="91"/>
      <c r="C40" s="91"/>
      <c r="D40" s="91"/>
      <c r="E40" s="91"/>
      <c r="F40" s="91"/>
      <c r="G40" s="91"/>
    </row>
    <row r="41" spans="2:7" x14ac:dyDescent="0.2">
      <c r="B41" s="91"/>
      <c r="C41" s="92" t="s">
        <v>191</v>
      </c>
      <c r="D41" s="91" t="s">
        <v>192</v>
      </c>
      <c r="E41" s="91"/>
      <c r="F41" s="91"/>
      <c r="G41" s="91"/>
    </row>
    <row r="42" spans="2:7" x14ac:dyDescent="0.2">
      <c r="B42" s="91"/>
      <c r="C42" s="91"/>
      <c r="D42" s="91"/>
      <c r="E42" s="91"/>
      <c r="F42" s="91"/>
      <c r="G42" s="91"/>
    </row>
    <row r="43" spans="2:7" x14ac:dyDescent="0.2">
      <c r="B43" s="91"/>
      <c r="C43" s="91"/>
      <c r="D43" s="91"/>
      <c r="E43" s="91"/>
      <c r="F43" s="91"/>
      <c r="G43" s="91"/>
    </row>
    <row r="44" spans="2:7" x14ac:dyDescent="0.2">
      <c r="B44" s="91"/>
      <c r="C44" s="91"/>
      <c r="D44" s="91"/>
      <c r="E44" s="91"/>
      <c r="F44" s="91"/>
      <c r="G44" s="91"/>
    </row>
    <row r="45" spans="2:7" x14ac:dyDescent="0.2">
      <c r="B45" s="91"/>
      <c r="C45" s="91"/>
      <c r="D45" s="91"/>
      <c r="E45" s="91"/>
      <c r="F45" s="91"/>
      <c r="G45" s="91"/>
    </row>
    <row r="46" spans="2:7" x14ac:dyDescent="0.2">
      <c r="B46" s="91"/>
      <c r="C46" s="91"/>
      <c r="D46" s="91"/>
      <c r="E46" s="91"/>
      <c r="F46" s="91"/>
      <c r="G46" s="91"/>
    </row>
    <row r="47" spans="2:7" x14ac:dyDescent="0.2">
      <c r="B47" s="91"/>
      <c r="C47" s="92" t="s">
        <v>193</v>
      </c>
      <c r="D47" s="91" t="s">
        <v>194</v>
      </c>
      <c r="E47" s="91"/>
      <c r="F47" s="91"/>
      <c r="G47" s="91"/>
    </row>
    <row r="48" spans="2:7" x14ac:dyDescent="0.2">
      <c r="B48" s="91"/>
      <c r="C48" s="91"/>
      <c r="D48" s="91"/>
      <c r="E48" s="91"/>
      <c r="F48" s="91"/>
      <c r="G48" s="91"/>
    </row>
    <row r="49" spans="2:7" x14ac:dyDescent="0.2">
      <c r="B49" s="91"/>
      <c r="C49" s="91"/>
      <c r="D49" s="91"/>
      <c r="E49" s="91"/>
      <c r="F49" s="91"/>
      <c r="G49" s="91"/>
    </row>
    <row r="50" spans="2:7" x14ac:dyDescent="0.2">
      <c r="B50" s="91"/>
      <c r="C50" s="91"/>
      <c r="D50" s="91"/>
      <c r="E50" s="91"/>
      <c r="F50" s="91"/>
      <c r="G50" s="91"/>
    </row>
    <row r="51" spans="2:7" x14ac:dyDescent="0.2">
      <c r="B51" s="91"/>
      <c r="C51" s="91"/>
      <c r="D51" s="91"/>
      <c r="E51" s="91"/>
      <c r="F51" s="91"/>
      <c r="G51" s="91"/>
    </row>
    <row r="52" spans="2:7" x14ac:dyDescent="0.2">
      <c r="B52" s="91"/>
      <c r="C52" s="91"/>
      <c r="D52" s="91"/>
      <c r="E52" s="91"/>
      <c r="F52" s="91"/>
      <c r="G52" s="91"/>
    </row>
    <row r="53" spans="2:7" x14ac:dyDescent="0.2">
      <c r="B53" s="91"/>
      <c r="C53" s="91"/>
      <c r="D53" s="90"/>
      <c r="E53" s="91"/>
      <c r="F53" s="91"/>
      <c r="G53" s="91"/>
    </row>
    <row r="54" spans="2:7" x14ac:dyDescent="0.2">
      <c r="B54" s="91"/>
      <c r="C54" s="91"/>
      <c r="E54" s="91"/>
      <c r="F54" s="91"/>
      <c r="G54" s="91"/>
    </row>
    <row r="55" spans="2:7" x14ac:dyDescent="0.2">
      <c r="B55" s="91"/>
      <c r="C55" s="91"/>
      <c r="D55" s="14"/>
      <c r="E55" s="91"/>
      <c r="F55" s="91"/>
      <c r="G55" s="91"/>
    </row>
    <row r="56" spans="2:7" x14ac:dyDescent="0.2">
      <c r="B56" s="91"/>
      <c r="C56" s="91"/>
      <c r="E56" s="91"/>
      <c r="F56" s="91"/>
      <c r="G56" s="91"/>
    </row>
    <row r="57" spans="2:7" x14ac:dyDescent="0.2">
      <c r="B57" s="91"/>
      <c r="C57" s="91"/>
      <c r="E57" s="91"/>
      <c r="F57" s="91"/>
      <c r="G57" s="91"/>
    </row>
    <row r="58" spans="2:7" x14ac:dyDescent="0.2">
      <c r="B58" s="91"/>
      <c r="C58" s="91"/>
      <c r="E58" s="91"/>
      <c r="F58" s="91"/>
      <c r="G58" s="91"/>
    </row>
  </sheetData>
  <conditionalFormatting sqref="D14">
    <cfRule type="iconSet" priority="1">
      <iconSet reverse="1">
        <cfvo type="percent" val="0"/>
        <cfvo type="num" val="1" gte="0"/>
        <cfvo type="num" val="2" gte="0"/>
      </iconSet>
    </cfRule>
  </conditionalFormatting>
  <hyperlinks>
    <hyperlink ref="A8" location="'Email Campaigns Management'!A1" display="Email Campaigna Management" xr:uid="{20C6A001-D3DB-40DD-8345-6487FB7EC561}"/>
    <hyperlink ref="A9" location="Database!A1" display="Database" xr:uid="{33D51D0E-874B-4248-82ED-DE43BB69FDC9}"/>
    <hyperlink ref="A7" location="Dashboard!A1" display="Dashboard" xr:uid="{16925AC1-F533-44C2-AB8A-2DF7EA465929}"/>
  </hyperlinks>
  <pageMargins left="0.7" right="0.7" top="0.75" bottom="0.75" header="0.3" footer="0.3"/>
  <pageSetup paperSize="9" orientation="portrait" horizontalDpi="200" verticalDpi="200" r:id="rId1"/>
  <customProperties>
    <customPr name="EpmWorksheetKeyString_GUID" r:id="rId2"/>
  </customProperties>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7664BB-10C1-42D0-9683-B9F73E9E2DD3}">
  <sheetPr codeName="Sheet6">
    <tabColor rgb="FF50B47F"/>
  </sheetPr>
  <dimension ref="A1:V51"/>
  <sheetViews>
    <sheetView showGridLines="0" showRowColHeaders="0" zoomScale="85" zoomScaleNormal="85" workbookViewId="0">
      <selection activeCell="D3" sqref="D3:E6"/>
    </sheetView>
  </sheetViews>
  <sheetFormatPr defaultColWidth="0" defaultRowHeight="0" customHeight="1" zeroHeight="1" x14ac:dyDescent="0.2"/>
  <cols>
    <col min="1" max="1" width="8.7109375" style="67" customWidth="1"/>
    <col min="2" max="3" width="9.7109375" style="67" customWidth="1"/>
    <col min="4" max="5" width="15.7109375" style="67" customWidth="1"/>
    <col min="6" max="7" width="30.7109375" style="67" customWidth="1"/>
    <col min="8" max="15" width="15.7109375" style="67" customWidth="1"/>
    <col min="16" max="22" width="15.7109375" style="67" hidden="1" customWidth="1"/>
    <col min="23" max="16384" width="9.140625" style="67" hidden="1"/>
  </cols>
  <sheetData>
    <row r="1" spans="1:22" ht="13.5" customHeight="1" thickTop="1" x14ac:dyDescent="0.2">
      <c r="A1" s="93" t="s">
        <v>134</v>
      </c>
      <c r="B1" s="93"/>
      <c r="C1" s="94"/>
      <c r="D1" s="125" t="s">
        <v>83</v>
      </c>
      <c r="E1" s="126"/>
      <c r="F1" s="129" t="s">
        <v>84</v>
      </c>
      <c r="G1" s="131" t="s">
        <v>85</v>
      </c>
      <c r="H1" s="97" t="s">
        <v>86</v>
      </c>
      <c r="I1" s="98"/>
      <c r="J1" s="97" t="s">
        <v>87</v>
      </c>
      <c r="K1" s="98"/>
      <c r="L1" s="97" t="s">
        <v>126</v>
      </c>
      <c r="M1" s="98"/>
      <c r="N1" s="97" t="s">
        <v>33</v>
      </c>
      <c r="O1" s="98"/>
      <c r="P1" s="66"/>
      <c r="Q1" s="66"/>
      <c r="R1" s="66"/>
      <c r="S1" s="66"/>
      <c r="T1" s="66"/>
      <c r="U1" s="66"/>
      <c r="V1" s="66"/>
    </row>
    <row r="2" spans="1:22" ht="12.75" customHeight="1" thickBot="1" x14ac:dyDescent="0.25">
      <c r="A2" s="93"/>
      <c r="B2" s="93"/>
      <c r="C2" s="94"/>
      <c r="D2" s="127"/>
      <c r="E2" s="128"/>
      <c r="F2" s="130"/>
      <c r="G2" s="132"/>
      <c r="H2" s="99"/>
      <c r="I2" s="100"/>
      <c r="J2" s="99"/>
      <c r="K2" s="100"/>
      <c r="L2" s="99"/>
      <c r="M2" s="100"/>
      <c r="N2" s="99"/>
      <c r="O2" s="100"/>
      <c r="P2" s="68"/>
      <c r="Q2" s="68"/>
      <c r="R2" s="69"/>
      <c r="S2" s="69"/>
      <c r="T2" s="69"/>
      <c r="U2" s="70"/>
      <c r="V2" s="70"/>
    </row>
    <row r="3" spans="1:22" ht="18" customHeight="1" thickTop="1" x14ac:dyDescent="0.2">
      <c r="A3" s="93"/>
      <c r="B3" s="93"/>
      <c r="C3" s="94"/>
      <c r="D3" s="101">
        <f>IFERROR(GETPIVOTDATA("Sum of Recipients ",Sheet3!$B$4),"")</f>
        <v>30715</v>
      </c>
      <c r="E3" s="102"/>
      <c r="F3" s="107">
        <f>IFERROR(GETPIVOTDATA("Average of Delivery Rate%",Sheet3!$B$4),"")</f>
        <v>0.83360562355128742</v>
      </c>
      <c r="G3" s="110">
        <f>IFERROR(GETPIVOTDATA("Average of Open Rate%",Sheet3!$B$4),"")</f>
        <v>0.66392748686348002</v>
      </c>
      <c r="H3" s="113">
        <f>IFERROR(GETPIVOTDATA("Average of Click Rate%",Sheet3!$B$4),"")</f>
        <v>0.4637155527650883</v>
      </c>
      <c r="I3" s="114"/>
      <c r="J3" s="119">
        <f>IFERROR(GETPIVOTDATA("Sum of Revenue",Sheet3!$B$4),"")</f>
        <v>2945</v>
      </c>
      <c r="K3" s="120"/>
      <c r="L3" s="101">
        <f>IFERROR(GETPIVOTDATA("Sum of Placed Order",Sheet3!$B$4),"")</f>
        <v>1275</v>
      </c>
      <c r="M3" s="102"/>
      <c r="N3" s="119">
        <f>IFERROR(J3/L3,"")</f>
        <v>2.3098039215686272</v>
      </c>
      <c r="O3" s="120"/>
      <c r="P3" s="68"/>
      <c r="Q3" s="68"/>
      <c r="R3" s="71"/>
      <c r="S3" s="71"/>
      <c r="T3" s="72"/>
      <c r="U3" s="70"/>
      <c r="V3" s="70"/>
    </row>
    <row r="4" spans="1:22" ht="18" customHeight="1" x14ac:dyDescent="0.2">
      <c r="A4" s="93"/>
      <c r="B4" s="93"/>
      <c r="C4" s="94"/>
      <c r="D4" s="103"/>
      <c r="E4" s="104"/>
      <c r="F4" s="108"/>
      <c r="G4" s="111"/>
      <c r="H4" s="115"/>
      <c r="I4" s="116"/>
      <c r="J4" s="121"/>
      <c r="K4" s="122"/>
      <c r="L4" s="103"/>
      <c r="M4" s="104"/>
      <c r="N4" s="121"/>
      <c r="O4" s="122"/>
      <c r="P4" s="68"/>
      <c r="Q4" s="68"/>
      <c r="R4" s="71"/>
      <c r="S4" s="71"/>
      <c r="T4" s="72"/>
      <c r="U4" s="70"/>
      <c r="V4" s="70"/>
    </row>
    <row r="5" spans="1:22" ht="18" customHeight="1" x14ac:dyDescent="0.2">
      <c r="A5" s="93"/>
      <c r="B5" s="93"/>
      <c r="C5" s="94"/>
      <c r="D5" s="103"/>
      <c r="E5" s="104"/>
      <c r="F5" s="108"/>
      <c r="G5" s="111"/>
      <c r="H5" s="115"/>
      <c r="I5" s="116"/>
      <c r="J5" s="121"/>
      <c r="K5" s="122"/>
      <c r="L5" s="103"/>
      <c r="M5" s="104"/>
      <c r="N5" s="121"/>
      <c r="O5" s="122"/>
      <c r="P5" s="68"/>
      <c r="Q5" s="68"/>
      <c r="R5" s="71"/>
      <c r="S5" s="71"/>
      <c r="T5" s="72"/>
      <c r="U5" s="70"/>
      <c r="V5" s="70"/>
    </row>
    <row r="6" spans="1:22" s="76" customFormat="1" ht="18" customHeight="1" thickBot="1" x14ac:dyDescent="0.25">
      <c r="A6" s="95"/>
      <c r="B6" s="95"/>
      <c r="C6" s="96"/>
      <c r="D6" s="105"/>
      <c r="E6" s="106"/>
      <c r="F6" s="109"/>
      <c r="G6" s="112"/>
      <c r="H6" s="117"/>
      <c r="I6" s="118"/>
      <c r="J6" s="123"/>
      <c r="K6" s="124"/>
      <c r="L6" s="105"/>
      <c r="M6" s="106"/>
      <c r="N6" s="123"/>
      <c r="O6" s="124"/>
      <c r="P6" s="73"/>
      <c r="Q6" s="73"/>
      <c r="R6" s="74"/>
      <c r="S6" s="74"/>
      <c r="T6" s="74"/>
      <c r="U6" s="75"/>
      <c r="V6" s="75"/>
    </row>
    <row r="7" spans="1:22" ht="12.75" customHeight="1" x14ac:dyDescent="0.2"/>
    <row r="8" spans="1:22" ht="12.75" customHeight="1" x14ac:dyDescent="0.2"/>
    <row r="9" spans="1:22" ht="12.75" customHeight="1" x14ac:dyDescent="0.2"/>
    <row r="10" spans="1:22" ht="12.75" customHeight="1" x14ac:dyDescent="0.2"/>
    <row r="11" spans="1:22" ht="12.75" x14ac:dyDescent="0.2">
      <c r="Q11" s="77"/>
    </row>
    <row r="12" spans="1:22" ht="12.75" customHeight="1" x14ac:dyDescent="0.2"/>
    <row r="13" spans="1:22" ht="12.75" customHeight="1" x14ac:dyDescent="0.2"/>
    <row r="14" spans="1:22" ht="12.75" customHeight="1" x14ac:dyDescent="0.2"/>
    <row r="15" spans="1:22" ht="12.75" customHeight="1" x14ac:dyDescent="0.2">
      <c r="P15" s="78"/>
      <c r="Q15" s="78"/>
      <c r="R15" s="78"/>
      <c r="S15" s="78"/>
      <c r="T15" s="78"/>
      <c r="U15" s="78"/>
      <c r="V15" s="78"/>
    </row>
    <row r="16" spans="1:22" ht="12.75" customHeight="1" x14ac:dyDescent="0.2">
      <c r="P16" s="78"/>
      <c r="Q16" s="78"/>
      <c r="R16" s="78"/>
      <c r="S16" s="78"/>
      <c r="T16" s="78"/>
      <c r="U16" s="78"/>
      <c r="V16" s="78"/>
    </row>
    <row r="17" spans="14:22" ht="12.75" customHeight="1" x14ac:dyDescent="0.2">
      <c r="P17" s="79"/>
      <c r="Q17" s="80"/>
      <c r="R17" s="80"/>
      <c r="S17" s="80"/>
      <c r="T17" s="80"/>
      <c r="U17" s="80"/>
      <c r="V17" s="80"/>
    </row>
    <row r="18" spans="14:22" ht="12.75" customHeight="1" x14ac:dyDescent="0.2">
      <c r="P18" s="81"/>
      <c r="Q18" s="82"/>
      <c r="R18" s="82"/>
      <c r="S18" s="82"/>
      <c r="T18" s="82"/>
      <c r="U18" s="82"/>
      <c r="V18" s="82"/>
    </row>
    <row r="19" spans="14:22" ht="12.75" customHeight="1" x14ac:dyDescent="0.2">
      <c r="P19" s="83"/>
      <c r="Q19" s="84"/>
      <c r="R19" s="84"/>
      <c r="S19" s="84"/>
      <c r="T19" s="84"/>
      <c r="U19" s="84"/>
      <c r="V19" s="84"/>
    </row>
    <row r="20" spans="14:22" ht="12.75" customHeight="1" x14ac:dyDescent="0.2"/>
    <row r="21" spans="14:22" ht="12.75" customHeight="1" x14ac:dyDescent="0.2">
      <c r="P21" s="78"/>
      <c r="Q21" s="78"/>
      <c r="R21" s="78"/>
      <c r="S21" s="78"/>
    </row>
    <row r="22" spans="14:22" ht="12.75" x14ac:dyDescent="0.2">
      <c r="N22" s="78"/>
      <c r="O22" s="78"/>
    </row>
    <row r="23" spans="14:22" ht="12.75" customHeight="1" x14ac:dyDescent="0.2"/>
    <row r="24" spans="14:22" ht="12.75" customHeight="1" x14ac:dyDescent="0.2"/>
    <row r="25" spans="14:22" ht="12.75" customHeight="1" x14ac:dyDescent="0.2"/>
    <row r="26" spans="14:22" ht="12.75" customHeight="1" x14ac:dyDescent="0.2"/>
    <row r="27" spans="14:22" ht="12.75" customHeight="1" x14ac:dyDescent="0.2"/>
    <row r="28" spans="14:22" ht="12.75" customHeight="1" x14ac:dyDescent="0.2"/>
    <row r="29" spans="14:22" ht="12.75" customHeight="1" x14ac:dyDescent="0.2"/>
    <row r="30" spans="14:22" ht="12.75" customHeight="1" x14ac:dyDescent="0.2"/>
    <row r="31" spans="14:22" ht="12.75" customHeight="1" x14ac:dyDescent="0.2"/>
    <row r="32" spans="14:22" ht="12.75" customHeight="1" x14ac:dyDescent="0.2"/>
    <row r="33" ht="12.75" customHeight="1" x14ac:dyDescent="0.2"/>
    <row r="34" ht="12.75" customHeight="1" x14ac:dyDescent="0.2"/>
    <row r="35" ht="12.75" customHeight="1" x14ac:dyDescent="0.2"/>
    <row r="36" ht="12.75" customHeight="1" x14ac:dyDescent="0.2"/>
    <row r="37" ht="12.75" customHeight="1" x14ac:dyDescent="0.2"/>
    <row r="38" ht="12.75" customHeight="1" x14ac:dyDescent="0.2"/>
    <row r="39" ht="12.75" customHeight="1" x14ac:dyDescent="0.2"/>
    <row r="40" ht="12.75" customHeight="1" x14ac:dyDescent="0.2"/>
    <row r="41" ht="12.75" customHeight="1" x14ac:dyDescent="0.2"/>
    <row r="42" ht="12.75" customHeight="1" x14ac:dyDescent="0.2"/>
    <row r="43" ht="12.75" customHeight="1" x14ac:dyDescent="0.2"/>
    <row r="44" ht="12.75" customHeight="1" x14ac:dyDescent="0.2"/>
    <row r="45" ht="12.75" customHeight="1" x14ac:dyDescent="0.2"/>
    <row r="46" ht="12.75" customHeight="1" x14ac:dyDescent="0.2"/>
    <row r="47" ht="12.75" customHeight="1" x14ac:dyDescent="0.2"/>
    <row r="48" ht="12.75" customHeight="1" x14ac:dyDescent="0.2"/>
    <row r="49" ht="12.75" customHeight="1" x14ac:dyDescent="0.2"/>
    <row r="50" ht="12.75" customHeight="1" x14ac:dyDescent="0.2"/>
    <row r="51" ht="12.75" customHeight="1" x14ac:dyDescent="0.2"/>
  </sheetData>
  <sheetProtection selectLockedCells="1" selectUnlockedCells="1"/>
  <mergeCells count="15">
    <mergeCell ref="A1:C6"/>
    <mergeCell ref="L1:M2"/>
    <mergeCell ref="N1:O2"/>
    <mergeCell ref="D3:E6"/>
    <mergeCell ref="F3:F6"/>
    <mergeCell ref="G3:G6"/>
    <mergeCell ref="H3:I6"/>
    <mergeCell ref="J3:K6"/>
    <mergeCell ref="L3:M6"/>
    <mergeCell ref="N3:O6"/>
    <mergeCell ref="D1:E2"/>
    <mergeCell ref="F1:F2"/>
    <mergeCell ref="G1:G2"/>
    <mergeCell ref="H1:I2"/>
    <mergeCell ref="J1:K2"/>
  </mergeCell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ellIs" priority="1" operator="between" id="{53F787A7-97EC-43DE-B7A0-6A756506AAB1}">
            <xm:f>Database!$N$5</xm:f>
            <xm:f>300000</xm:f>
            <x14:dxf>
              <font>
                <color rgb="FF50B47F"/>
              </font>
              <fill>
                <patternFill>
                  <bgColor theme="0" tint="-4.9989318521683403E-2"/>
                </patternFill>
              </fill>
            </x14:dxf>
          </x14:cfRule>
          <x14:cfRule type="cellIs" priority="2" operator="between" id="{8D9E9491-740D-49C5-8BD7-BEEC421B6664}">
            <xm:f>Database!$N$6</xm:f>
            <xm:f>Database!$N$5</xm:f>
            <x14:dxf>
              <font>
                <color theme="7" tint="-0.24994659260841701"/>
              </font>
              <fill>
                <patternFill>
                  <bgColor theme="0" tint="-4.9989318521683403E-2"/>
                </patternFill>
              </fill>
            </x14:dxf>
          </x14:cfRule>
          <x14:cfRule type="cellIs" priority="3" operator="lessThan" id="{551414D5-2082-4C76-9337-2F450DA909FA}">
            <xm:f>Database!$N$6</xm:f>
            <x14:dxf>
              <font>
                <color rgb="FFC00000"/>
              </font>
              <fill>
                <patternFill>
                  <bgColor theme="0" tint="-4.9989318521683403E-2"/>
                </patternFill>
              </fill>
            </x14:dxf>
          </x14:cfRule>
          <xm:sqref>H3</xm:sqref>
        </x14:conditionalFormatting>
        <x14:conditionalFormatting xmlns:xm="http://schemas.microsoft.com/office/excel/2006/main">
          <x14:cfRule type="cellIs" priority="4" operator="between" id="{CE92718A-3AE9-453F-AE93-5F6457C459CE}">
            <xm:f>Database!$K$5</xm:f>
            <xm:f>30000</xm:f>
            <x14:dxf>
              <font>
                <color rgb="FF50B47F"/>
              </font>
              <fill>
                <patternFill>
                  <bgColor theme="0" tint="-4.9989318521683403E-2"/>
                </patternFill>
              </fill>
            </x14:dxf>
          </x14:cfRule>
          <x14:cfRule type="cellIs" priority="5" operator="between" id="{65DF5705-C66D-4BFE-985D-4098908521AE}">
            <xm:f>Database!$K$6</xm:f>
            <xm:f>Database!$K$5</xm:f>
            <x14:dxf>
              <font>
                <color theme="7" tint="-0.24994659260841701"/>
              </font>
              <fill>
                <patternFill>
                  <bgColor theme="0" tint="-4.9989318521683403E-2"/>
                </patternFill>
              </fill>
            </x14:dxf>
          </x14:cfRule>
          <x14:cfRule type="cellIs" priority="6" operator="lessThan" id="{64BDC3A2-00CE-45C6-BBD3-DEF15AC12911}">
            <xm:f>Database!$K$6</xm:f>
            <x14:dxf>
              <font>
                <color rgb="FFC00000"/>
              </font>
              <fill>
                <patternFill patternType="solid">
                  <bgColor theme="0" tint="-4.9989318521683403E-2"/>
                </patternFill>
              </fill>
            </x14:dxf>
          </x14:cfRule>
          <xm:sqref>G3</xm:sqref>
        </x14:conditionalFormatting>
      </x14:conditionalFormattings>
    </ex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F8ECFC-E1AE-44A5-9980-BA0C347C9CC4}">
  <sheetPr codeName="Sheet2">
    <tabColor rgb="FF8FCFAD"/>
  </sheetPr>
  <dimension ref="A1:AE1016"/>
  <sheetViews>
    <sheetView showGridLines="0" showRowColHeaders="0" zoomScale="80" zoomScaleNormal="80" workbookViewId="0">
      <pane xSplit="1" ySplit="2" topLeftCell="B3" activePane="bottomRight" state="frozen"/>
      <selection pane="topRight" activeCell="B1" sqref="B1"/>
      <selection pane="bottomLeft" activeCell="A23" sqref="A23"/>
      <selection pane="bottomRight" activeCell="D14" sqref="D14"/>
    </sheetView>
  </sheetViews>
  <sheetFormatPr defaultColWidth="0" defaultRowHeight="30" customHeight="1" x14ac:dyDescent="0.2"/>
  <cols>
    <col min="1" max="1" width="21.5703125" customWidth="1"/>
    <col min="2" max="3" width="15.7109375" customWidth="1"/>
    <col min="4" max="6" width="30.7109375" customWidth="1"/>
    <col min="7" max="8" width="20.7109375" customWidth="1"/>
    <col min="9" max="21" width="15.7109375" customWidth="1"/>
    <col min="22" max="26" width="15.7109375" hidden="1" customWidth="1"/>
    <col min="27" max="27" width="29.85546875" customWidth="1"/>
    <col min="28" max="28" width="0.85546875" customWidth="1"/>
    <col min="29" max="31" width="0" hidden="1" customWidth="1"/>
    <col min="32" max="16384" width="9.140625" hidden="1"/>
  </cols>
  <sheetData>
    <row r="1" spans="1:27" ht="18" customHeight="1" x14ac:dyDescent="0.2"/>
    <row r="2" spans="1:27" s="16" customFormat="1" ht="60" customHeight="1" x14ac:dyDescent="0.2">
      <c r="A2" s="23" t="s">
        <v>16</v>
      </c>
      <c r="B2" s="37" t="s">
        <v>17</v>
      </c>
      <c r="C2" s="38" t="s">
        <v>18</v>
      </c>
      <c r="D2" s="38" t="s">
        <v>19</v>
      </c>
      <c r="E2" s="38" t="s">
        <v>20</v>
      </c>
      <c r="F2" s="38" t="s">
        <v>95</v>
      </c>
      <c r="G2" s="38" t="s">
        <v>21</v>
      </c>
      <c r="H2" s="38" t="s">
        <v>22</v>
      </c>
      <c r="I2" s="38" t="s">
        <v>23</v>
      </c>
      <c r="J2" s="38" t="s">
        <v>24</v>
      </c>
      <c r="K2" s="38" t="s">
        <v>26</v>
      </c>
      <c r="L2" s="38" t="s">
        <v>25</v>
      </c>
      <c r="M2" s="38" t="s">
        <v>27</v>
      </c>
      <c r="N2" s="38" t="s">
        <v>28</v>
      </c>
      <c r="O2" s="38" t="s">
        <v>29</v>
      </c>
      <c r="P2" s="38" t="s">
        <v>30</v>
      </c>
      <c r="Q2" s="38" t="s">
        <v>31</v>
      </c>
      <c r="R2" s="38" t="s">
        <v>32</v>
      </c>
      <c r="S2" s="38" t="s">
        <v>33</v>
      </c>
      <c r="T2" s="38" t="s">
        <v>34</v>
      </c>
      <c r="U2" s="38" t="s">
        <v>35</v>
      </c>
      <c r="V2" s="38" t="s">
        <v>82</v>
      </c>
      <c r="W2" s="38" t="s">
        <v>41</v>
      </c>
      <c r="X2" s="38" t="s">
        <v>43</v>
      </c>
      <c r="Y2" s="38" t="s">
        <v>42</v>
      </c>
      <c r="Z2" s="38" t="s">
        <v>44</v>
      </c>
      <c r="AA2" s="39" t="s">
        <v>57</v>
      </c>
    </row>
    <row r="3" spans="1:27" ht="30" customHeight="1" x14ac:dyDescent="0.2">
      <c r="A3" s="25" t="str">
        <f t="shared" ref="A3:A5" si="0">IF(AND(B2&lt;&gt;"",B3=""),$A$2&amp;"---&gt;","")</f>
        <v/>
      </c>
      <c r="B3" s="40">
        <v>44249</v>
      </c>
      <c r="C3" s="41">
        <v>0.33333333333333331</v>
      </c>
      <c r="D3" s="42" t="s">
        <v>68</v>
      </c>
      <c r="E3" s="87" t="s">
        <v>167</v>
      </c>
      <c r="F3" s="42" t="s">
        <v>96</v>
      </c>
      <c r="G3" s="42" t="s">
        <v>73</v>
      </c>
      <c r="H3" s="42" t="s">
        <v>77</v>
      </c>
      <c r="I3" s="43">
        <v>1181</v>
      </c>
      <c r="J3" s="44">
        <v>990</v>
      </c>
      <c r="K3" s="45">
        <f>IF(OR(camp[[#This Row],[Successful Deliveries]]="",camp[[#This Row],[Recipients ]]=""),"",camp[[#This Row],[Successful Deliveries]]/camp[[#This Row],[Recipients ]])</f>
        <v>0.838272650296359</v>
      </c>
      <c r="L3" s="42">
        <v>350</v>
      </c>
      <c r="M3" s="46">
        <f>IF(OR(camp[[#This Row],[Opens]]="",camp[[#This Row],[Recipients ]]=""),"",camp[[#This Row],[Opens]]/camp[[#This Row],[Recipients ]])</f>
        <v>0.29635901778154106</v>
      </c>
      <c r="N3" s="42">
        <v>300</v>
      </c>
      <c r="O3" s="42">
        <v>190</v>
      </c>
      <c r="P3" s="45">
        <f>IF(OR(camp[[#This Row],[Opens]]="",camp[[#This Row],[Unique Clicks]]=""),"",camp[[#This Row],[Unique Clicks]]/camp[[#This Row],[Opens]])</f>
        <v>0.8571428571428571</v>
      </c>
      <c r="Q3" s="42">
        <v>52</v>
      </c>
      <c r="R3" s="47">
        <v>78</v>
      </c>
      <c r="S3" s="48">
        <f>IF(OR(camp[[#This Row],[Revenue]]="",camp[[#This Row],[Recipients ]]=""),"",camp[[#This Row],[Revenue]]/camp[[#This Row],[Recipients ]])</f>
        <v>6.6045723962743441E-2</v>
      </c>
      <c r="T3" s="42">
        <v>9</v>
      </c>
      <c r="U3" s="45">
        <f>IF(OR(camp[[#This Row],[Unsubscribes]]="",camp[[#This Row],[Recipients ]]=""),"",camp[[#This Row],[Unsubscribes]]/camp[[#This Row],[Recipients ]])</f>
        <v>7.6206604572396277E-3</v>
      </c>
      <c r="V3" s="49" t="str">
        <f>IFERROR(VLOOKUP(camp[[#This Row],[Campaign Name]],Database!B:C,3,0),"")</f>
        <v/>
      </c>
      <c r="W3" s="50">
        <f>IF(camp[[#This Row],[Date Sent]]="","",MONTH(camp[[#This Row],[Date Sent]]))</f>
        <v>2</v>
      </c>
      <c r="X3" s="50" t="str">
        <f>IFERROR(VLOOKUP(camp[[#This Row],[Month Number]],Sheet2!B:C,2,0),"")</f>
        <v>Feb</v>
      </c>
      <c r="Y3" s="50" t="str">
        <f>IF(camp[[#This Row],[Date Sent]]="","","W"&amp;WEEKNUM(camp[[#This Row],[Date Sent]],1))</f>
        <v>W9</v>
      </c>
      <c r="Z3" s="50">
        <f>IF(camp[[#This Row],[Date Sent]]="","",YEAR(camp[[#This Row],[Date Sent]]))</f>
        <v>2021</v>
      </c>
      <c r="AA3" s="51"/>
    </row>
    <row r="4" spans="1:27" ht="30" customHeight="1" x14ac:dyDescent="0.2">
      <c r="A4" s="25" t="str">
        <f t="shared" si="0"/>
        <v/>
      </c>
      <c r="B4" s="40">
        <v>44205</v>
      </c>
      <c r="C4" s="41">
        <v>0.45833333333333331</v>
      </c>
      <c r="D4" s="42" t="s">
        <v>66</v>
      </c>
      <c r="E4" s="87" t="s">
        <v>166</v>
      </c>
      <c r="F4" s="42" t="s">
        <v>99</v>
      </c>
      <c r="G4" s="42" t="s">
        <v>70</v>
      </c>
      <c r="H4" s="42" t="s">
        <v>76</v>
      </c>
      <c r="I4" s="43">
        <v>1200</v>
      </c>
      <c r="J4" s="43">
        <v>1000</v>
      </c>
      <c r="K4" s="45">
        <f>IF(OR(camp[[#This Row],[Successful Deliveries]]="",camp[[#This Row],[Recipients ]]=""),"",camp[[#This Row],[Successful Deliveries]]/camp[[#This Row],[Recipients ]])</f>
        <v>0.83333333333333337</v>
      </c>
      <c r="L4" s="42">
        <v>700</v>
      </c>
      <c r="M4" s="46">
        <f>IF(OR(camp[[#This Row],[Opens]]="",camp[[#This Row],[Recipients ]]=""),"",camp[[#This Row],[Opens]]/camp[[#This Row],[Recipients ]])</f>
        <v>0.58333333333333337</v>
      </c>
      <c r="N4" s="42">
        <v>440</v>
      </c>
      <c r="O4" s="42">
        <v>132</v>
      </c>
      <c r="P4" s="45">
        <f>IF(OR(camp[[#This Row],[Opens]]="",camp[[#This Row],[Unique Clicks]]=""),"",camp[[#This Row],[Unique Clicks]]/camp[[#This Row],[Opens]])</f>
        <v>0.62857142857142856</v>
      </c>
      <c r="Q4" s="42">
        <v>63</v>
      </c>
      <c r="R4" s="47">
        <v>134</v>
      </c>
      <c r="S4" s="48">
        <f>IF(OR(camp[[#This Row],[Revenue]]="",camp[[#This Row],[Recipients ]]=""),"",camp[[#This Row],[Revenue]]/camp[[#This Row],[Recipients ]])</f>
        <v>0.11166666666666666</v>
      </c>
      <c r="T4" s="42">
        <v>12</v>
      </c>
      <c r="U4" s="45">
        <f>IF(OR(camp[[#This Row],[Unsubscribes]]="",camp[[#This Row],[Recipients ]]=""),"",camp[[#This Row],[Unsubscribes]]/camp[[#This Row],[Recipients ]])</f>
        <v>0.01</v>
      </c>
      <c r="V4" s="49" t="str">
        <f>IFERROR(VLOOKUP(camp[[#This Row],[Campaign Name]],Database!B:C,3,0),"")</f>
        <v/>
      </c>
      <c r="W4" s="50">
        <f>IF(camp[[#This Row],[Date Sent]]="","",MONTH(camp[[#This Row],[Date Sent]]))</f>
        <v>1</v>
      </c>
      <c r="X4" s="50" t="str">
        <f>IFERROR(VLOOKUP(camp[[#This Row],[Month Number]],Sheet2!B:C,2,0),"")</f>
        <v>Jan</v>
      </c>
      <c r="Y4" s="50" t="str">
        <f>IF(camp[[#This Row],[Date Sent]]="","","W"&amp;WEEKNUM(camp[[#This Row],[Date Sent]],1))</f>
        <v>W2</v>
      </c>
      <c r="Z4" s="50">
        <f>IF(camp[[#This Row],[Date Sent]]="","",YEAR(camp[[#This Row],[Date Sent]]))</f>
        <v>2021</v>
      </c>
      <c r="AA4" s="51"/>
    </row>
    <row r="5" spans="1:27" ht="30" customHeight="1" x14ac:dyDescent="0.2">
      <c r="A5" s="25" t="str">
        <f t="shared" si="0"/>
        <v/>
      </c>
      <c r="B5" s="40">
        <v>44147</v>
      </c>
      <c r="C5" s="41">
        <v>0.54166666666666663</v>
      </c>
      <c r="D5" s="42" t="s">
        <v>65</v>
      </c>
      <c r="E5" s="87" t="s">
        <v>167</v>
      </c>
      <c r="F5" s="42" t="s">
        <v>100</v>
      </c>
      <c r="G5" s="42" t="s">
        <v>73</v>
      </c>
      <c r="H5" s="42" t="s">
        <v>76</v>
      </c>
      <c r="I5" s="43">
        <v>1277</v>
      </c>
      <c r="J5" s="43">
        <v>1020</v>
      </c>
      <c r="K5" s="45">
        <f>IF(OR(camp[[#This Row],[Successful Deliveries]]="",camp[[#This Row],[Recipients ]]=""),"",camp[[#This Row],[Successful Deliveries]]/camp[[#This Row],[Recipients ]])</f>
        <v>0.79874706342991386</v>
      </c>
      <c r="L5" s="42">
        <v>950</v>
      </c>
      <c r="M5" s="46">
        <f>IF(OR(camp[[#This Row],[Opens]]="",camp[[#This Row],[Recipients ]]=""),"",camp[[#This Row],[Opens]]/camp[[#This Row],[Recipients ]])</f>
        <v>0.74393108848864531</v>
      </c>
      <c r="N5" s="42">
        <v>128</v>
      </c>
      <c r="O5" s="42">
        <v>140</v>
      </c>
      <c r="P5" s="45">
        <f>IF(OR(camp[[#This Row],[Opens]]="",camp[[#This Row],[Unique Clicks]]=""),"",camp[[#This Row],[Unique Clicks]]/camp[[#This Row],[Opens]])</f>
        <v>0.13473684210526315</v>
      </c>
      <c r="Q5" s="42">
        <v>51</v>
      </c>
      <c r="R5" s="47">
        <v>115</v>
      </c>
      <c r="S5" s="48">
        <f>IF(OR(camp[[#This Row],[Revenue]]="",camp[[#This Row],[Recipients ]]=""),"",camp[[#This Row],[Revenue]]/camp[[#This Row],[Recipients ]])</f>
        <v>9.0054815974941263E-2</v>
      </c>
      <c r="T5" s="42">
        <v>13</v>
      </c>
      <c r="U5" s="45">
        <f>IF(OR(camp[[#This Row],[Unsubscribes]]="",camp[[#This Row],[Recipients ]]=""),"",camp[[#This Row],[Unsubscribes]]/camp[[#This Row],[Recipients ]])</f>
        <v>1.0180109631949883E-2</v>
      </c>
      <c r="V5" s="49" t="str">
        <f>IFERROR(VLOOKUP(camp[[#This Row],[Campaign Name]],Database!B:C,3,0),"")</f>
        <v/>
      </c>
      <c r="W5" s="50">
        <f>IF(camp[[#This Row],[Date Sent]]="","",MONTH(camp[[#This Row],[Date Sent]]))</f>
        <v>11</v>
      </c>
      <c r="X5" s="50" t="str">
        <f>IFERROR(VLOOKUP(camp[[#This Row],[Month Number]],Sheet2!B:C,2,0),"")</f>
        <v>Nov</v>
      </c>
      <c r="Y5" s="50" t="str">
        <f>IF(camp[[#This Row],[Date Sent]]="","","W"&amp;WEEKNUM(camp[[#This Row],[Date Sent]],1))</f>
        <v>W46</v>
      </c>
      <c r="Z5" s="50">
        <f>IF(camp[[#This Row],[Date Sent]]="","",YEAR(camp[[#This Row],[Date Sent]]))</f>
        <v>2020</v>
      </c>
      <c r="AA5" s="51"/>
    </row>
    <row r="6" spans="1:27" ht="30" customHeight="1" x14ac:dyDescent="0.2">
      <c r="A6" s="25" t="str">
        <f t="shared" ref="A6:A69" si="1">IF(AND(B5&lt;&gt;"",B6=""),$A$2&amp;"---&gt;","")</f>
        <v/>
      </c>
      <c r="B6" s="40">
        <v>44242</v>
      </c>
      <c r="C6" s="41">
        <v>0.16666666666666666</v>
      </c>
      <c r="D6" s="42" t="s">
        <v>65</v>
      </c>
      <c r="E6" s="87" t="s">
        <v>166</v>
      </c>
      <c r="F6" s="42" t="s">
        <v>101</v>
      </c>
      <c r="G6" s="42" t="s">
        <v>72</v>
      </c>
      <c r="H6" s="42" t="s">
        <v>75</v>
      </c>
      <c r="I6" s="43">
        <v>1092</v>
      </c>
      <c r="J6" s="43">
        <v>1000</v>
      </c>
      <c r="K6" s="45">
        <f>IF(OR(camp[[#This Row],[Successful Deliveries]]="",camp[[#This Row],[Recipients ]]=""),"",camp[[#This Row],[Successful Deliveries]]/camp[[#This Row],[Recipients ]])</f>
        <v>0.91575091575091572</v>
      </c>
      <c r="L6" s="42">
        <v>850</v>
      </c>
      <c r="M6" s="46">
        <f>IF(OR(camp[[#This Row],[Opens]]="",camp[[#This Row],[Recipients ]]=""),"",camp[[#This Row],[Opens]]/camp[[#This Row],[Recipients ]])</f>
        <v>0.7783882783882784</v>
      </c>
      <c r="N6" s="42">
        <v>237</v>
      </c>
      <c r="O6" s="42">
        <v>177</v>
      </c>
      <c r="P6" s="45">
        <f>IF(OR(camp[[#This Row],[Opens]]="",camp[[#This Row],[Unique Clicks]]=""),"",camp[[#This Row],[Unique Clicks]]/camp[[#This Row],[Opens]])</f>
        <v>0.27882352941176469</v>
      </c>
      <c r="Q6" s="42">
        <v>10</v>
      </c>
      <c r="R6" s="47">
        <v>133</v>
      </c>
      <c r="S6" s="48">
        <f>IF(OR(camp[[#This Row],[Revenue]]="",camp[[#This Row],[Recipients ]]=""),"",camp[[#This Row],[Revenue]]/camp[[#This Row],[Recipients ]])</f>
        <v>0.12179487179487179</v>
      </c>
      <c r="T6" s="42">
        <v>5</v>
      </c>
      <c r="U6" s="45">
        <f>IF(OR(camp[[#This Row],[Unsubscribes]]="",camp[[#This Row],[Recipients ]]=""),"",camp[[#This Row],[Unsubscribes]]/camp[[#This Row],[Recipients ]])</f>
        <v>4.578754578754579E-3</v>
      </c>
      <c r="V6" s="49" t="str">
        <f>IFERROR(VLOOKUP(camp[[#This Row],[Campaign Name]],Database!B:C,3,0),"")</f>
        <v/>
      </c>
      <c r="W6" s="50">
        <f>IF(camp[[#This Row],[Date Sent]]="","",MONTH(camp[[#This Row],[Date Sent]]))</f>
        <v>2</v>
      </c>
      <c r="X6" s="50" t="str">
        <f>IFERROR(VLOOKUP(camp[[#This Row],[Month Number]],Sheet2!B:C,2,0),"")</f>
        <v>Feb</v>
      </c>
      <c r="Y6" s="50" t="str">
        <f>IF(camp[[#This Row],[Date Sent]]="","","W"&amp;WEEKNUM(camp[[#This Row],[Date Sent]],1))</f>
        <v>W8</v>
      </c>
      <c r="Z6" s="50">
        <f>IF(camp[[#This Row],[Date Sent]]="","",YEAR(camp[[#This Row],[Date Sent]]))</f>
        <v>2021</v>
      </c>
      <c r="AA6" s="51"/>
    </row>
    <row r="7" spans="1:27" ht="30" customHeight="1" x14ac:dyDescent="0.2">
      <c r="A7" s="25" t="str">
        <f t="shared" si="1"/>
        <v/>
      </c>
      <c r="B7" s="40">
        <v>44167</v>
      </c>
      <c r="C7" s="41">
        <v>0.375</v>
      </c>
      <c r="D7" s="42" t="s">
        <v>68</v>
      </c>
      <c r="E7" s="87" t="s">
        <v>169</v>
      </c>
      <c r="F7" s="42" t="s">
        <v>102</v>
      </c>
      <c r="G7" s="42" t="s">
        <v>70</v>
      </c>
      <c r="H7" s="42" t="s">
        <v>74</v>
      </c>
      <c r="I7" s="43">
        <v>1066</v>
      </c>
      <c r="J7" s="43">
        <v>930</v>
      </c>
      <c r="K7" s="45">
        <f>IF(OR(camp[[#This Row],[Successful Deliveries]]="",camp[[#This Row],[Recipients ]]=""),"",camp[[#This Row],[Successful Deliveries]]/camp[[#This Row],[Recipients ]])</f>
        <v>0.87242026266416506</v>
      </c>
      <c r="L7" s="42">
        <v>400</v>
      </c>
      <c r="M7" s="46">
        <f>IF(OR(camp[[#This Row],[Opens]]="",camp[[#This Row],[Recipients ]]=""),"",camp[[#This Row],[Opens]]/camp[[#This Row],[Recipients ]])</f>
        <v>0.37523452157598497</v>
      </c>
      <c r="N7" s="42">
        <v>219</v>
      </c>
      <c r="O7" s="42">
        <v>122</v>
      </c>
      <c r="P7" s="45">
        <f>IF(OR(camp[[#This Row],[Opens]]="",camp[[#This Row],[Unique Clicks]]=""),"",camp[[#This Row],[Unique Clicks]]/camp[[#This Row],[Opens]])</f>
        <v>0.54749999999999999</v>
      </c>
      <c r="Q7" s="42">
        <v>24</v>
      </c>
      <c r="R7" s="47">
        <v>54</v>
      </c>
      <c r="S7" s="48">
        <f>IF(OR(camp[[#This Row],[Revenue]]="",camp[[#This Row],[Recipients ]]=""),"",camp[[#This Row],[Revenue]]/camp[[#This Row],[Recipients ]])</f>
        <v>5.0656660412757973E-2</v>
      </c>
      <c r="T7" s="42">
        <v>26</v>
      </c>
      <c r="U7" s="45">
        <f>IF(OR(camp[[#This Row],[Unsubscribes]]="",camp[[#This Row],[Recipients ]]=""),"",camp[[#This Row],[Unsubscribes]]/camp[[#This Row],[Recipients ]])</f>
        <v>2.4390243902439025E-2</v>
      </c>
      <c r="V7" s="49" t="str">
        <f>IFERROR(VLOOKUP(camp[[#This Row],[Campaign Name]],Database!B:C,3,0),"")</f>
        <v/>
      </c>
      <c r="W7" s="50">
        <f>IF(camp[[#This Row],[Date Sent]]="","",MONTH(camp[[#This Row],[Date Sent]]))</f>
        <v>12</v>
      </c>
      <c r="X7" s="50" t="str">
        <f>IFERROR(VLOOKUP(camp[[#This Row],[Month Number]],Sheet2!B:C,2,0),"")</f>
        <v>Dec</v>
      </c>
      <c r="Y7" s="50" t="str">
        <f>IF(camp[[#This Row],[Date Sent]]="","","W"&amp;WEEKNUM(camp[[#This Row],[Date Sent]],1))</f>
        <v>W49</v>
      </c>
      <c r="Z7" s="50">
        <f>IF(camp[[#This Row],[Date Sent]]="","",YEAR(camp[[#This Row],[Date Sent]]))</f>
        <v>2020</v>
      </c>
      <c r="AA7" s="51"/>
    </row>
    <row r="8" spans="1:27" ht="30" customHeight="1" x14ac:dyDescent="0.2">
      <c r="A8" s="25" t="str">
        <f t="shared" si="1"/>
        <v/>
      </c>
      <c r="B8" s="40">
        <v>44247</v>
      </c>
      <c r="C8" s="41">
        <v>0.625</v>
      </c>
      <c r="D8" s="42" t="s">
        <v>69</v>
      </c>
      <c r="E8" s="87" t="s">
        <v>171</v>
      </c>
      <c r="F8" s="42" t="s">
        <v>103</v>
      </c>
      <c r="G8" s="42" t="s">
        <v>72</v>
      </c>
      <c r="H8" s="42" t="s">
        <v>74</v>
      </c>
      <c r="I8" s="43">
        <v>956</v>
      </c>
      <c r="J8" s="43">
        <v>870</v>
      </c>
      <c r="K8" s="45">
        <f>IF(OR(camp[[#This Row],[Successful Deliveries]]="",camp[[#This Row],[Recipients ]]=""),"",camp[[#This Row],[Successful Deliveries]]/camp[[#This Row],[Recipients ]])</f>
        <v>0.91004184100418406</v>
      </c>
      <c r="L8" s="42">
        <v>600</v>
      </c>
      <c r="M8" s="46">
        <f>IF(OR(camp[[#This Row],[Opens]]="",camp[[#This Row],[Recipients ]]=""),"",camp[[#This Row],[Opens]]/camp[[#This Row],[Recipients ]])</f>
        <v>0.62761506276150625</v>
      </c>
      <c r="N8" s="42">
        <v>229</v>
      </c>
      <c r="O8" s="42">
        <v>185</v>
      </c>
      <c r="P8" s="45">
        <f>IF(OR(camp[[#This Row],[Opens]]="",camp[[#This Row],[Unique Clicks]]=""),"",camp[[#This Row],[Unique Clicks]]/camp[[#This Row],[Opens]])</f>
        <v>0.38166666666666665</v>
      </c>
      <c r="Q8" s="42">
        <v>69</v>
      </c>
      <c r="R8" s="47">
        <v>129</v>
      </c>
      <c r="S8" s="48">
        <f>IF(OR(camp[[#This Row],[Revenue]]="",camp[[#This Row],[Recipients ]]=""),"",camp[[#This Row],[Revenue]]/camp[[#This Row],[Recipients ]])</f>
        <v>0.13493723849372385</v>
      </c>
      <c r="T8" s="42">
        <v>42</v>
      </c>
      <c r="U8" s="45">
        <f>IF(OR(camp[[#This Row],[Unsubscribes]]="",camp[[#This Row],[Recipients ]]=""),"",camp[[#This Row],[Unsubscribes]]/camp[[#This Row],[Recipients ]])</f>
        <v>4.3933054393305436E-2</v>
      </c>
      <c r="V8" s="49" t="str">
        <f>IFERROR(VLOOKUP(camp[[#This Row],[Campaign Name]],Database!B:C,3,0),"")</f>
        <v/>
      </c>
      <c r="W8" s="50">
        <f>IF(camp[[#This Row],[Date Sent]]="","",MONTH(camp[[#This Row],[Date Sent]]))</f>
        <v>2</v>
      </c>
      <c r="X8" s="50" t="str">
        <f>IFERROR(VLOOKUP(camp[[#This Row],[Month Number]],Sheet2!B:C,2,0),"")</f>
        <v>Feb</v>
      </c>
      <c r="Y8" s="50" t="str">
        <f>IF(camp[[#This Row],[Date Sent]]="","","W"&amp;WEEKNUM(camp[[#This Row],[Date Sent]],1))</f>
        <v>W8</v>
      </c>
      <c r="Z8" s="50">
        <f>IF(camp[[#This Row],[Date Sent]]="","",YEAR(camp[[#This Row],[Date Sent]]))</f>
        <v>2021</v>
      </c>
      <c r="AA8" s="51"/>
    </row>
    <row r="9" spans="1:27" ht="30" customHeight="1" x14ac:dyDescent="0.2">
      <c r="A9" s="25" t="str">
        <f t="shared" si="1"/>
        <v/>
      </c>
      <c r="B9" s="40">
        <v>44226</v>
      </c>
      <c r="C9" s="41">
        <v>0.70833333333333337</v>
      </c>
      <c r="D9" s="42" t="s">
        <v>68</v>
      </c>
      <c r="E9" s="87" t="s">
        <v>170</v>
      </c>
      <c r="F9" s="42" t="s">
        <v>104</v>
      </c>
      <c r="G9" s="42" t="s">
        <v>73</v>
      </c>
      <c r="H9" s="42" t="s">
        <v>74</v>
      </c>
      <c r="I9" s="43">
        <v>989</v>
      </c>
      <c r="J9" s="43">
        <v>900</v>
      </c>
      <c r="K9" s="45">
        <f>IF(OR(camp[[#This Row],[Successful Deliveries]]="",camp[[#This Row],[Recipients ]]=""),"",camp[[#This Row],[Successful Deliveries]]/camp[[#This Row],[Recipients ]])</f>
        <v>0.91001011122345798</v>
      </c>
      <c r="L9" s="42">
        <v>800</v>
      </c>
      <c r="M9" s="46">
        <f>IF(OR(camp[[#This Row],[Opens]]="",camp[[#This Row],[Recipients ]]=""),"",camp[[#This Row],[Opens]]/camp[[#This Row],[Recipients ]])</f>
        <v>0.80889787664307378</v>
      </c>
      <c r="N9" s="42">
        <v>290</v>
      </c>
      <c r="O9" s="42">
        <v>161</v>
      </c>
      <c r="P9" s="45">
        <f>IF(OR(camp[[#This Row],[Opens]]="",camp[[#This Row],[Unique Clicks]]=""),"",camp[[#This Row],[Unique Clicks]]/camp[[#This Row],[Opens]])</f>
        <v>0.36249999999999999</v>
      </c>
      <c r="Q9" s="42">
        <v>75</v>
      </c>
      <c r="R9" s="47">
        <v>87</v>
      </c>
      <c r="S9" s="48">
        <f>IF(OR(camp[[#This Row],[Revenue]]="",camp[[#This Row],[Recipients ]]=""),"",camp[[#This Row],[Revenue]]/camp[[#This Row],[Recipients ]])</f>
        <v>8.7967644084934279E-2</v>
      </c>
      <c r="T9" s="42">
        <v>22</v>
      </c>
      <c r="U9" s="45">
        <f>IF(OR(camp[[#This Row],[Unsubscribes]]="",camp[[#This Row],[Recipients ]]=""),"",camp[[#This Row],[Unsubscribes]]/camp[[#This Row],[Recipients ]])</f>
        <v>2.2244691607684528E-2</v>
      </c>
      <c r="V9" s="49" t="str">
        <f>IFERROR(VLOOKUP(camp[[#This Row],[Campaign Name]],Database!B:C,3,0),"")</f>
        <v/>
      </c>
      <c r="W9" s="50">
        <f>IF(camp[[#This Row],[Date Sent]]="","",MONTH(camp[[#This Row],[Date Sent]]))</f>
        <v>1</v>
      </c>
      <c r="X9" s="50" t="str">
        <f>IFERROR(VLOOKUP(camp[[#This Row],[Month Number]],Sheet2!B:C,2,0),"")</f>
        <v>Jan</v>
      </c>
      <c r="Y9" s="50" t="str">
        <f>IF(camp[[#This Row],[Date Sent]]="","","W"&amp;WEEKNUM(camp[[#This Row],[Date Sent]],1))</f>
        <v>W5</v>
      </c>
      <c r="Z9" s="50">
        <f>IF(camp[[#This Row],[Date Sent]]="","",YEAR(camp[[#This Row],[Date Sent]]))</f>
        <v>2021</v>
      </c>
      <c r="AA9" s="51"/>
    </row>
    <row r="10" spans="1:27" ht="30" customHeight="1" x14ac:dyDescent="0.2">
      <c r="A10" s="25" t="str">
        <f t="shared" si="1"/>
        <v/>
      </c>
      <c r="B10" s="40">
        <v>44144</v>
      </c>
      <c r="C10" s="41">
        <v>0.79166666666666663</v>
      </c>
      <c r="D10" s="42" t="s">
        <v>67</v>
      </c>
      <c r="E10" s="87" t="s">
        <v>171</v>
      </c>
      <c r="F10" s="42" t="s">
        <v>98</v>
      </c>
      <c r="G10" s="42" t="s">
        <v>73</v>
      </c>
      <c r="H10" s="42" t="s">
        <v>74</v>
      </c>
      <c r="I10" s="43">
        <v>1065</v>
      </c>
      <c r="J10" s="43">
        <v>760</v>
      </c>
      <c r="K10" s="45">
        <f>IF(OR(camp[[#This Row],[Successful Deliveries]]="",camp[[#This Row],[Recipients ]]=""),"",camp[[#This Row],[Successful Deliveries]]/camp[[#This Row],[Recipients ]])</f>
        <v>0.71361502347417838</v>
      </c>
      <c r="L10" s="42">
        <v>300</v>
      </c>
      <c r="M10" s="46">
        <f>IF(OR(camp[[#This Row],[Opens]]="",camp[[#This Row],[Recipients ]]=""),"",camp[[#This Row],[Opens]]/camp[[#This Row],[Recipients ]])</f>
        <v>0.28169014084507044</v>
      </c>
      <c r="N10" s="42">
        <v>200</v>
      </c>
      <c r="O10" s="42">
        <v>138</v>
      </c>
      <c r="P10" s="45">
        <f>IF(OR(camp[[#This Row],[Opens]]="",camp[[#This Row],[Unique Clicks]]=""),"",camp[[#This Row],[Unique Clicks]]/camp[[#This Row],[Opens]])</f>
        <v>0.66666666666666663</v>
      </c>
      <c r="Q10" s="42">
        <v>66</v>
      </c>
      <c r="R10" s="47">
        <v>108</v>
      </c>
      <c r="S10" s="48">
        <f>IF(OR(camp[[#This Row],[Revenue]]="",camp[[#This Row],[Recipients ]]=""),"",camp[[#This Row],[Revenue]]/camp[[#This Row],[Recipients ]])</f>
        <v>0.10140845070422536</v>
      </c>
      <c r="T10" s="42">
        <v>43</v>
      </c>
      <c r="U10" s="45">
        <f>IF(OR(camp[[#This Row],[Unsubscribes]]="",camp[[#This Row],[Recipients ]]=""),"",camp[[#This Row],[Unsubscribes]]/camp[[#This Row],[Recipients ]])</f>
        <v>4.0375586854460091E-2</v>
      </c>
      <c r="V10" s="49" t="str">
        <f>IFERROR(VLOOKUP(camp[[#This Row],[Campaign Name]],Database!B:C,3,0),"")</f>
        <v/>
      </c>
      <c r="W10" s="50">
        <f>IF(camp[[#This Row],[Date Sent]]="","",MONTH(camp[[#This Row],[Date Sent]]))</f>
        <v>11</v>
      </c>
      <c r="X10" s="50" t="str">
        <f>IFERROR(VLOOKUP(camp[[#This Row],[Month Number]],Sheet2!B:C,2,0),"")</f>
        <v>Nov</v>
      </c>
      <c r="Y10" s="50" t="str">
        <f>IF(camp[[#This Row],[Date Sent]]="","","W"&amp;WEEKNUM(camp[[#This Row],[Date Sent]],1))</f>
        <v>W46</v>
      </c>
      <c r="Z10" s="50">
        <f>IF(camp[[#This Row],[Date Sent]]="","",YEAR(camp[[#This Row],[Date Sent]]))</f>
        <v>2020</v>
      </c>
      <c r="AA10" s="51"/>
    </row>
    <row r="11" spans="1:27" ht="30" customHeight="1" x14ac:dyDescent="0.2">
      <c r="A11" s="25" t="str">
        <f t="shared" si="1"/>
        <v/>
      </c>
      <c r="B11" s="40">
        <v>44195</v>
      </c>
      <c r="C11" s="41">
        <v>0.375</v>
      </c>
      <c r="D11" s="42" t="s">
        <v>67</v>
      </c>
      <c r="E11" s="87" t="s">
        <v>169</v>
      </c>
      <c r="F11" s="42" t="s">
        <v>97</v>
      </c>
      <c r="G11" s="42" t="s">
        <v>72</v>
      </c>
      <c r="H11" s="42" t="s">
        <v>76</v>
      </c>
      <c r="I11" s="43">
        <v>1263</v>
      </c>
      <c r="J11" s="43">
        <v>820</v>
      </c>
      <c r="K11" s="45">
        <f>IF(OR(camp[[#This Row],[Successful Deliveries]]="",camp[[#This Row],[Recipients ]]=""),"",camp[[#This Row],[Successful Deliveries]]/camp[[#This Row],[Recipients ]])</f>
        <v>0.64924782264449721</v>
      </c>
      <c r="L11" s="42">
        <v>450</v>
      </c>
      <c r="M11" s="46">
        <f>IF(OR(camp[[#This Row],[Opens]]="",camp[[#This Row],[Recipients ]]=""),"",camp[[#This Row],[Opens]]/camp[[#This Row],[Recipients ]])</f>
        <v>0.35629453681710216</v>
      </c>
      <c r="N11" s="42">
        <v>300</v>
      </c>
      <c r="O11" s="42">
        <v>121</v>
      </c>
      <c r="P11" s="45">
        <f>IF(OR(camp[[#This Row],[Opens]]="",camp[[#This Row],[Unique Clicks]]=""),"",camp[[#This Row],[Unique Clicks]]/camp[[#This Row],[Opens]])</f>
        <v>0.66666666666666663</v>
      </c>
      <c r="Q11" s="42">
        <v>52</v>
      </c>
      <c r="R11" s="47">
        <v>81</v>
      </c>
      <c r="S11" s="48">
        <f>IF(OR(camp[[#This Row],[Revenue]]="",camp[[#This Row],[Recipients ]]=""),"",camp[[#This Row],[Revenue]]/camp[[#This Row],[Recipients ]])</f>
        <v>6.413301662707839E-2</v>
      </c>
      <c r="T11" s="42">
        <v>37</v>
      </c>
      <c r="U11" s="45">
        <f>IF(OR(camp[[#This Row],[Unsubscribes]]="",camp[[#This Row],[Recipients ]]=""),"",camp[[#This Row],[Unsubscribes]]/camp[[#This Row],[Recipients ]])</f>
        <v>2.9295328582739508E-2</v>
      </c>
      <c r="V11" s="49" t="str">
        <f>IFERROR(VLOOKUP(camp[[#This Row],[Campaign Name]],Database!B:C,3,0),"")</f>
        <v/>
      </c>
      <c r="W11" s="50">
        <f>IF(camp[[#This Row],[Date Sent]]="","",MONTH(camp[[#This Row],[Date Sent]]))</f>
        <v>12</v>
      </c>
      <c r="X11" s="50" t="str">
        <f>IFERROR(VLOOKUP(camp[[#This Row],[Month Number]],Sheet2!B:C,2,0),"")</f>
        <v>Dec</v>
      </c>
      <c r="Y11" s="50" t="str">
        <f>IF(camp[[#This Row],[Date Sent]]="","","W"&amp;WEEKNUM(camp[[#This Row],[Date Sent]],1))</f>
        <v>W53</v>
      </c>
      <c r="Z11" s="50">
        <f>IF(camp[[#This Row],[Date Sent]]="","",YEAR(camp[[#This Row],[Date Sent]]))</f>
        <v>2020</v>
      </c>
      <c r="AA11" s="51"/>
    </row>
    <row r="12" spans="1:27" ht="30" customHeight="1" x14ac:dyDescent="0.2">
      <c r="A12" s="25" t="str">
        <f t="shared" si="1"/>
        <v/>
      </c>
      <c r="B12" s="40">
        <v>44137</v>
      </c>
      <c r="C12" s="41">
        <v>0.41666666666666669</v>
      </c>
      <c r="D12" s="42" t="s">
        <v>65</v>
      </c>
      <c r="E12" s="87" t="s">
        <v>167</v>
      </c>
      <c r="F12" s="42" t="s">
        <v>105</v>
      </c>
      <c r="G12" s="42" t="s">
        <v>71</v>
      </c>
      <c r="H12" s="42" t="s">
        <v>77</v>
      </c>
      <c r="I12" s="43">
        <v>846</v>
      </c>
      <c r="J12" s="43">
        <v>800</v>
      </c>
      <c r="K12" s="45">
        <f>IF(OR(camp[[#This Row],[Successful Deliveries]]="",camp[[#This Row],[Recipients ]]=""),"",camp[[#This Row],[Successful Deliveries]]/camp[[#This Row],[Recipients ]])</f>
        <v>0.94562647754137119</v>
      </c>
      <c r="L12" s="42">
        <v>550</v>
      </c>
      <c r="M12" s="46">
        <f>IF(OR(camp[[#This Row],[Opens]]="",camp[[#This Row],[Recipients ]]=""),"",camp[[#This Row],[Opens]]/camp[[#This Row],[Recipients ]])</f>
        <v>0.65011820330969272</v>
      </c>
      <c r="N12" s="42">
        <v>400</v>
      </c>
      <c r="O12" s="42">
        <v>104</v>
      </c>
      <c r="P12" s="45">
        <f>IF(OR(camp[[#This Row],[Opens]]="",camp[[#This Row],[Unique Clicks]]=""),"",camp[[#This Row],[Unique Clicks]]/camp[[#This Row],[Opens]])</f>
        <v>0.72727272727272729</v>
      </c>
      <c r="Q12" s="42">
        <v>55</v>
      </c>
      <c r="R12" s="47">
        <v>87</v>
      </c>
      <c r="S12" s="48">
        <f>IF(OR(camp[[#This Row],[Revenue]]="",camp[[#This Row],[Recipients ]]=""),"",camp[[#This Row],[Revenue]]/camp[[#This Row],[Recipients ]])</f>
        <v>0.10283687943262411</v>
      </c>
      <c r="T12" s="42">
        <v>8</v>
      </c>
      <c r="U12" s="45">
        <f>IF(OR(camp[[#This Row],[Unsubscribes]]="",camp[[#This Row],[Recipients ]]=""),"",camp[[#This Row],[Unsubscribes]]/camp[[#This Row],[Recipients ]])</f>
        <v>9.4562647754137114E-3</v>
      </c>
      <c r="V12" s="49" t="str">
        <f>IFERROR(VLOOKUP(camp[[#This Row],[Campaign Name]],Database!B:C,3,0),"")</f>
        <v/>
      </c>
      <c r="W12" s="50">
        <f>IF(camp[[#This Row],[Date Sent]]="","",MONTH(camp[[#This Row],[Date Sent]]))</f>
        <v>11</v>
      </c>
      <c r="X12" s="50" t="str">
        <f>IFERROR(VLOOKUP(camp[[#This Row],[Month Number]],Sheet2!B:C,2,0),"")</f>
        <v>Nov</v>
      </c>
      <c r="Y12" s="50" t="str">
        <f>IF(camp[[#This Row],[Date Sent]]="","","W"&amp;WEEKNUM(camp[[#This Row],[Date Sent]],1))</f>
        <v>W45</v>
      </c>
      <c r="Z12" s="50">
        <f>IF(camp[[#This Row],[Date Sent]]="","",YEAR(camp[[#This Row],[Date Sent]]))</f>
        <v>2020</v>
      </c>
      <c r="AA12" s="51"/>
    </row>
    <row r="13" spans="1:27" ht="30" customHeight="1" x14ac:dyDescent="0.2">
      <c r="A13" s="25" t="str">
        <f t="shared" si="1"/>
        <v/>
      </c>
      <c r="B13" s="40">
        <v>44250</v>
      </c>
      <c r="C13" s="41">
        <v>0.91666666666666663</v>
      </c>
      <c r="D13" s="42" t="s">
        <v>68</v>
      </c>
      <c r="E13" s="87" t="s">
        <v>170</v>
      </c>
      <c r="F13" s="42" t="s">
        <v>106</v>
      </c>
      <c r="G13" s="42" t="s">
        <v>71</v>
      </c>
      <c r="H13" s="42" t="s">
        <v>76</v>
      </c>
      <c r="I13" s="43">
        <v>1126</v>
      </c>
      <c r="J13" s="43">
        <v>650</v>
      </c>
      <c r="K13" s="45">
        <f>IF(OR(camp[[#This Row],[Successful Deliveries]]="",camp[[#This Row],[Recipients ]]=""),"",camp[[#This Row],[Successful Deliveries]]/camp[[#This Row],[Recipients ]])</f>
        <v>0.57726465364120783</v>
      </c>
      <c r="L13" s="42">
        <v>600</v>
      </c>
      <c r="M13" s="46">
        <f>IF(OR(camp[[#This Row],[Opens]]="",camp[[#This Row],[Recipients ]]=""),"",camp[[#This Row],[Opens]]/camp[[#This Row],[Recipients ]])</f>
        <v>0.53285968028419184</v>
      </c>
      <c r="N13" s="42">
        <v>142</v>
      </c>
      <c r="O13" s="42">
        <v>189</v>
      </c>
      <c r="P13" s="45">
        <f>IF(OR(camp[[#This Row],[Opens]]="",camp[[#This Row],[Unique Clicks]]=""),"",camp[[#This Row],[Unique Clicks]]/camp[[#This Row],[Opens]])</f>
        <v>0.23666666666666666</v>
      </c>
      <c r="Q13" s="42">
        <v>71</v>
      </c>
      <c r="R13" s="47">
        <v>122</v>
      </c>
      <c r="S13" s="48">
        <f>IF(OR(camp[[#This Row],[Revenue]]="",camp[[#This Row],[Recipients ]]=""),"",camp[[#This Row],[Revenue]]/camp[[#This Row],[Recipients ]])</f>
        <v>0.10834813499111901</v>
      </c>
      <c r="T13" s="42">
        <v>45</v>
      </c>
      <c r="U13" s="45">
        <f>IF(OR(camp[[#This Row],[Unsubscribes]]="",camp[[#This Row],[Recipients ]]=""),"",camp[[#This Row],[Unsubscribes]]/camp[[#This Row],[Recipients ]])</f>
        <v>3.9964476021314387E-2</v>
      </c>
      <c r="V13" s="49" t="str">
        <f>IFERROR(VLOOKUP(camp[[#This Row],[Campaign Name]],Database!B:C,3,0),"")</f>
        <v/>
      </c>
      <c r="W13" s="50">
        <f>IF(camp[[#This Row],[Date Sent]]="","",MONTH(camp[[#This Row],[Date Sent]]))</f>
        <v>2</v>
      </c>
      <c r="X13" s="50" t="str">
        <f>IFERROR(VLOOKUP(camp[[#This Row],[Month Number]],Sheet2!B:C,2,0),"")</f>
        <v>Feb</v>
      </c>
      <c r="Y13" s="50" t="str">
        <f>IF(camp[[#This Row],[Date Sent]]="","","W"&amp;WEEKNUM(camp[[#This Row],[Date Sent]],1))</f>
        <v>W9</v>
      </c>
      <c r="Z13" s="50">
        <f>IF(camp[[#This Row],[Date Sent]]="","",YEAR(camp[[#This Row],[Date Sent]]))</f>
        <v>2021</v>
      </c>
      <c r="AA13" s="51"/>
    </row>
    <row r="14" spans="1:27" ht="30" customHeight="1" x14ac:dyDescent="0.2">
      <c r="A14" s="25" t="str">
        <f t="shared" si="1"/>
        <v/>
      </c>
      <c r="B14" s="40">
        <v>44214</v>
      </c>
      <c r="C14" s="41">
        <v>0.875</v>
      </c>
      <c r="D14" s="42" t="s">
        <v>68</v>
      </c>
      <c r="E14" s="87" t="s">
        <v>168</v>
      </c>
      <c r="F14" s="42" t="s">
        <v>107</v>
      </c>
      <c r="G14" s="42" t="s">
        <v>72</v>
      </c>
      <c r="H14" s="42" t="s">
        <v>75</v>
      </c>
      <c r="I14" s="43">
        <v>819</v>
      </c>
      <c r="J14" s="43">
        <v>530</v>
      </c>
      <c r="K14" s="45">
        <f>IF(OR(camp[[#This Row],[Successful Deliveries]]="",camp[[#This Row],[Recipients ]]=""),"",camp[[#This Row],[Successful Deliveries]]/camp[[#This Row],[Recipients ]])</f>
        <v>0.64713064713064716</v>
      </c>
      <c r="L14" s="42">
        <v>500</v>
      </c>
      <c r="M14" s="46">
        <f>IF(OR(camp[[#This Row],[Opens]]="",camp[[#This Row],[Recipients ]]=""),"",camp[[#This Row],[Opens]]/camp[[#This Row],[Recipients ]])</f>
        <v>0.61050061050061055</v>
      </c>
      <c r="N14" s="42">
        <v>500</v>
      </c>
      <c r="O14" s="42">
        <v>144</v>
      </c>
      <c r="P14" s="45">
        <f>IF(OR(camp[[#This Row],[Opens]]="",camp[[#This Row],[Unique Clicks]]=""),"",camp[[#This Row],[Unique Clicks]]/camp[[#This Row],[Opens]])</f>
        <v>1</v>
      </c>
      <c r="Q14" s="42">
        <v>11</v>
      </c>
      <c r="R14" s="47">
        <v>70</v>
      </c>
      <c r="S14" s="48">
        <f>IF(OR(camp[[#This Row],[Revenue]]="",camp[[#This Row],[Recipients ]]=""),"",camp[[#This Row],[Revenue]]/camp[[#This Row],[Recipients ]])</f>
        <v>8.5470085470085472E-2</v>
      </c>
      <c r="T14" s="42">
        <v>31</v>
      </c>
      <c r="U14" s="45">
        <f>IF(OR(camp[[#This Row],[Unsubscribes]]="",camp[[#This Row],[Recipients ]]=""),"",camp[[#This Row],[Unsubscribes]]/camp[[#This Row],[Recipients ]])</f>
        <v>3.7851037851037848E-2</v>
      </c>
      <c r="V14" s="49" t="str">
        <f>IFERROR(VLOOKUP(camp[[#This Row],[Campaign Name]],Database!B:C,3,0),"")</f>
        <v/>
      </c>
      <c r="W14" s="50">
        <f>IF(camp[[#This Row],[Date Sent]]="","",MONTH(camp[[#This Row],[Date Sent]]))</f>
        <v>1</v>
      </c>
      <c r="X14" s="50" t="str">
        <f>IFERROR(VLOOKUP(camp[[#This Row],[Month Number]],Sheet2!B:C,2,0),"")</f>
        <v>Jan</v>
      </c>
      <c r="Y14" s="50" t="str">
        <f>IF(camp[[#This Row],[Date Sent]]="","","W"&amp;WEEKNUM(camp[[#This Row],[Date Sent]],1))</f>
        <v>W4</v>
      </c>
      <c r="Z14" s="50">
        <f>IF(camp[[#This Row],[Date Sent]]="","",YEAR(camp[[#This Row],[Date Sent]]))</f>
        <v>2021</v>
      </c>
      <c r="AA14" s="51"/>
    </row>
    <row r="15" spans="1:27" ht="30" customHeight="1" x14ac:dyDescent="0.2">
      <c r="A15" s="25" t="str">
        <f t="shared" si="1"/>
        <v/>
      </c>
      <c r="B15" s="40">
        <v>44164</v>
      </c>
      <c r="C15" s="41">
        <v>0.375</v>
      </c>
      <c r="D15" s="42" t="s">
        <v>58</v>
      </c>
      <c r="E15" s="87" t="s">
        <v>169</v>
      </c>
      <c r="F15" s="42" t="s">
        <v>108</v>
      </c>
      <c r="G15" s="42" t="s">
        <v>71</v>
      </c>
      <c r="H15" s="42" t="s">
        <v>77</v>
      </c>
      <c r="I15" s="43">
        <v>1105</v>
      </c>
      <c r="J15" s="43">
        <v>800</v>
      </c>
      <c r="K15" s="45">
        <f>IF(OR(camp[[#This Row],[Successful Deliveries]]="",camp[[#This Row],[Recipients ]]=""),"",camp[[#This Row],[Successful Deliveries]]/camp[[#This Row],[Recipients ]])</f>
        <v>0.72398190045248867</v>
      </c>
      <c r="L15" s="42">
        <v>750</v>
      </c>
      <c r="M15" s="46">
        <f>IF(OR(camp[[#This Row],[Opens]]="",camp[[#This Row],[Recipients ]]=""),"",camp[[#This Row],[Opens]]/camp[[#This Row],[Recipients ]])</f>
        <v>0.67873303167420818</v>
      </c>
      <c r="N15" s="42">
        <v>497</v>
      </c>
      <c r="O15" s="42">
        <v>163</v>
      </c>
      <c r="P15" s="45">
        <f>IF(OR(camp[[#This Row],[Opens]]="",camp[[#This Row],[Unique Clicks]]=""),"",camp[[#This Row],[Unique Clicks]]/camp[[#This Row],[Opens]])</f>
        <v>0.66266666666666663</v>
      </c>
      <c r="Q15" s="42">
        <v>11</v>
      </c>
      <c r="R15" s="47">
        <v>88</v>
      </c>
      <c r="S15" s="48">
        <f>IF(OR(camp[[#This Row],[Revenue]]="",camp[[#This Row],[Recipients ]]=""),"",camp[[#This Row],[Revenue]]/camp[[#This Row],[Recipients ]])</f>
        <v>7.963800904977375E-2</v>
      </c>
      <c r="T15" s="42">
        <v>18</v>
      </c>
      <c r="U15" s="45">
        <f>IF(OR(camp[[#This Row],[Unsubscribes]]="",camp[[#This Row],[Recipients ]]=""),"",camp[[#This Row],[Unsubscribes]]/camp[[#This Row],[Recipients ]])</f>
        <v>1.6289592760180997E-2</v>
      </c>
      <c r="V15" s="49" t="str">
        <f>IFERROR(VLOOKUP(camp[[#This Row],[Campaign Name]],Database!B:C,3,0),"")</f>
        <v/>
      </c>
      <c r="W15" s="50">
        <f>IF(camp[[#This Row],[Date Sent]]="","",MONTH(camp[[#This Row],[Date Sent]]))</f>
        <v>11</v>
      </c>
      <c r="X15" s="50" t="str">
        <f>IFERROR(VLOOKUP(camp[[#This Row],[Month Number]],Sheet2!B:C,2,0),"")</f>
        <v>Nov</v>
      </c>
      <c r="Y15" s="50" t="str">
        <f>IF(camp[[#This Row],[Date Sent]]="","","W"&amp;WEEKNUM(camp[[#This Row],[Date Sent]],1))</f>
        <v>W49</v>
      </c>
      <c r="Z15" s="50">
        <f>IF(camp[[#This Row],[Date Sent]]="","",YEAR(camp[[#This Row],[Date Sent]]))</f>
        <v>2020</v>
      </c>
      <c r="AA15" s="51"/>
    </row>
    <row r="16" spans="1:27" ht="30" customHeight="1" x14ac:dyDescent="0.2">
      <c r="A16" s="25" t="str">
        <f t="shared" si="1"/>
        <v/>
      </c>
      <c r="B16" s="40">
        <v>44215</v>
      </c>
      <c r="C16" s="41">
        <v>0.91666666666666663</v>
      </c>
      <c r="D16" s="42" t="s">
        <v>68</v>
      </c>
      <c r="E16" s="87" t="s">
        <v>168</v>
      </c>
      <c r="F16" s="42" t="s">
        <v>109</v>
      </c>
      <c r="G16" s="42" t="s">
        <v>72</v>
      </c>
      <c r="H16" s="42" t="s">
        <v>74</v>
      </c>
      <c r="I16" s="43">
        <v>1036</v>
      </c>
      <c r="J16" s="43">
        <v>1000</v>
      </c>
      <c r="K16" s="45">
        <f>IF(OR(camp[[#This Row],[Successful Deliveries]]="",camp[[#This Row],[Recipients ]]=""),"",camp[[#This Row],[Successful Deliveries]]/camp[[#This Row],[Recipients ]])</f>
        <v>0.96525096525096521</v>
      </c>
      <c r="L16" s="42">
        <v>800</v>
      </c>
      <c r="M16" s="46">
        <f>IF(OR(camp[[#This Row],[Opens]]="",camp[[#This Row],[Recipients ]]=""),"",camp[[#This Row],[Opens]]/camp[[#This Row],[Recipients ]])</f>
        <v>0.77220077220077221</v>
      </c>
      <c r="N16" s="42">
        <v>172</v>
      </c>
      <c r="O16" s="42">
        <v>155</v>
      </c>
      <c r="P16" s="45">
        <f>IF(OR(camp[[#This Row],[Opens]]="",camp[[#This Row],[Unique Clicks]]=""),"",camp[[#This Row],[Unique Clicks]]/camp[[#This Row],[Opens]])</f>
        <v>0.215</v>
      </c>
      <c r="Q16" s="42">
        <v>77</v>
      </c>
      <c r="R16" s="47">
        <v>105</v>
      </c>
      <c r="S16" s="48">
        <f>IF(OR(camp[[#This Row],[Revenue]]="",camp[[#This Row],[Recipients ]]=""),"",camp[[#This Row],[Revenue]]/camp[[#This Row],[Recipients ]])</f>
        <v>0.10135135135135136</v>
      </c>
      <c r="T16" s="42">
        <v>11</v>
      </c>
      <c r="U16" s="45">
        <f>IF(OR(camp[[#This Row],[Unsubscribes]]="",camp[[#This Row],[Recipients ]]=""),"",camp[[#This Row],[Unsubscribes]]/camp[[#This Row],[Recipients ]])</f>
        <v>1.0617760617760617E-2</v>
      </c>
      <c r="V16" s="49" t="str">
        <f>IFERROR(VLOOKUP(camp[[#This Row],[Campaign Name]],Database!B:C,3,0),"")</f>
        <v/>
      </c>
      <c r="W16" s="50">
        <f>IF(camp[[#This Row],[Date Sent]]="","",MONTH(camp[[#This Row],[Date Sent]]))</f>
        <v>1</v>
      </c>
      <c r="X16" s="50" t="str">
        <f>IFERROR(VLOOKUP(camp[[#This Row],[Month Number]],Sheet2!B:C,2,0),"")</f>
        <v>Jan</v>
      </c>
      <c r="Y16" s="50" t="str">
        <f>IF(camp[[#This Row],[Date Sent]]="","","W"&amp;WEEKNUM(camp[[#This Row],[Date Sent]],1))</f>
        <v>W4</v>
      </c>
      <c r="Z16" s="50">
        <f>IF(camp[[#This Row],[Date Sent]]="","",YEAR(camp[[#This Row],[Date Sent]]))</f>
        <v>2021</v>
      </c>
      <c r="AA16" s="51"/>
    </row>
    <row r="17" spans="1:27" ht="30" customHeight="1" x14ac:dyDescent="0.2">
      <c r="A17" s="25" t="str">
        <f t="shared" si="1"/>
        <v/>
      </c>
      <c r="B17" s="40">
        <v>44207</v>
      </c>
      <c r="C17" s="41">
        <v>0.625</v>
      </c>
      <c r="D17" s="42" t="s">
        <v>69</v>
      </c>
      <c r="E17" s="87" t="s">
        <v>171</v>
      </c>
      <c r="F17" s="42" t="s">
        <v>110</v>
      </c>
      <c r="G17" s="42" t="s">
        <v>72</v>
      </c>
      <c r="H17" s="42" t="s">
        <v>75</v>
      </c>
      <c r="I17" s="43">
        <v>1259</v>
      </c>
      <c r="J17" s="43">
        <v>770</v>
      </c>
      <c r="K17" s="45">
        <f>IF(OR(camp[[#This Row],[Successful Deliveries]]="",camp[[#This Row],[Recipients ]]=""),"",camp[[#This Row],[Successful Deliveries]]/camp[[#This Row],[Recipients ]])</f>
        <v>0.6115965051628276</v>
      </c>
      <c r="L17" s="42">
        <v>700</v>
      </c>
      <c r="M17" s="46">
        <f>IF(OR(camp[[#This Row],[Opens]]="",camp[[#This Row],[Recipients ]]=""),"",camp[[#This Row],[Opens]]/camp[[#This Row],[Recipients ]])</f>
        <v>0.55599682287529784</v>
      </c>
      <c r="N17" s="42">
        <v>185</v>
      </c>
      <c r="O17" s="42">
        <v>166</v>
      </c>
      <c r="P17" s="45">
        <f>IF(OR(camp[[#This Row],[Opens]]="",camp[[#This Row],[Unique Clicks]]=""),"",camp[[#This Row],[Unique Clicks]]/camp[[#This Row],[Opens]])</f>
        <v>0.26428571428571429</v>
      </c>
      <c r="Q17" s="42">
        <v>47</v>
      </c>
      <c r="R17" s="47">
        <v>86</v>
      </c>
      <c r="S17" s="48">
        <f>IF(OR(camp[[#This Row],[Revenue]]="",camp[[#This Row],[Recipients ]]=""),"",camp[[#This Row],[Revenue]]/camp[[#This Row],[Recipients ]])</f>
        <v>6.830818109610802E-2</v>
      </c>
      <c r="T17" s="42">
        <v>44</v>
      </c>
      <c r="U17" s="45">
        <f>IF(OR(camp[[#This Row],[Unsubscribes]]="",camp[[#This Row],[Recipients ]]=""),"",camp[[#This Row],[Unsubscribes]]/camp[[#This Row],[Recipients ]])</f>
        <v>3.4948371723590152E-2</v>
      </c>
      <c r="V17" s="49" t="str">
        <f>IFERROR(VLOOKUP(camp[[#This Row],[Campaign Name]],Database!B:C,3,0),"")</f>
        <v/>
      </c>
      <c r="W17" s="50">
        <f>IF(camp[[#This Row],[Date Sent]]="","",MONTH(camp[[#This Row],[Date Sent]]))</f>
        <v>1</v>
      </c>
      <c r="X17" s="50" t="str">
        <f>IFERROR(VLOOKUP(camp[[#This Row],[Month Number]],Sheet2!B:C,2,0),"")</f>
        <v>Jan</v>
      </c>
      <c r="Y17" s="50" t="str">
        <f>IF(camp[[#This Row],[Date Sent]]="","","W"&amp;WEEKNUM(camp[[#This Row],[Date Sent]],1))</f>
        <v>W3</v>
      </c>
      <c r="Z17" s="50">
        <f>IF(camp[[#This Row],[Date Sent]]="","",YEAR(camp[[#This Row],[Date Sent]]))</f>
        <v>2021</v>
      </c>
      <c r="AA17" s="51"/>
    </row>
    <row r="18" spans="1:27" ht="30" customHeight="1" x14ac:dyDescent="0.2">
      <c r="A18" s="25" t="str">
        <f t="shared" si="1"/>
        <v/>
      </c>
      <c r="B18" s="40">
        <v>44161</v>
      </c>
      <c r="C18" s="41">
        <v>0.75</v>
      </c>
      <c r="D18" s="42" t="s">
        <v>68</v>
      </c>
      <c r="E18" s="87" t="s">
        <v>167</v>
      </c>
      <c r="F18" s="42" t="s">
        <v>111</v>
      </c>
      <c r="G18" s="42" t="s">
        <v>70</v>
      </c>
      <c r="H18" s="42" t="s">
        <v>75</v>
      </c>
      <c r="I18" s="43">
        <v>807</v>
      </c>
      <c r="J18" s="43">
        <v>700</v>
      </c>
      <c r="K18" s="45">
        <f>IF(OR(camp[[#This Row],[Successful Deliveries]]="",camp[[#This Row],[Recipients ]]=""),"",camp[[#This Row],[Successful Deliveries]]/camp[[#This Row],[Recipients ]])</f>
        <v>0.86741016109045854</v>
      </c>
      <c r="L18" s="42">
        <v>500</v>
      </c>
      <c r="M18" s="46">
        <f>IF(OR(camp[[#This Row],[Opens]]="",camp[[#This Row],[Recipients ]]=""),"",camp[[#This Row],[Opens]]/camp[[#This Row],[Recipients ]])</f>
        <v>0.61957868649318459</v>
      </c>
      <c r="N18" s="42">
        <v>407</v>
      </c>
      <c r="O18" s="42">
        <v>194</v>
      </c>
      <c r="P18" s="45">
        <f>IF(OR(camp[[#This Row],[Opens]]="",camp[[#This Row],[Unique Clicks]]=""),"",camp[[#This Row],[Unique Clicks]]/camp[[#This Row],[Opens]])</f>
        <v>0.81399999999999995</v>
      </c>
      <c r="Q18" s="42">
        <v>35</v>
      </c>
      <c r="R18" s="47">
        <v>99</v>
      </c>
      <c r="S18" s="48">
        <f>IF(OR(camp[[#This Row],[Revenue]]="",camp[[#This Row],[Recipients ]]=""),"",camp[[#This Row],[Revenue]]/camp[[#This Row],[Recipients ]])</f>
        <v>0.12267657992565056</v>
      </c>
      <c r="T18" s="42">
        <v>37</v>
      </c>
      <c r="U18" s="45">
        <f>IF(OR(camp[[#This Row],[Unsubscribes]]="",camp[[#This Row],[Recipients ]]=""),"",camp[[#This Row],[Unsubscribes]]/camp[[#This Row],[Recipients ]])</f>
        <v>4.584882280049566E-2</v>
      </c>
      <c r="V18" s="49" t="str">
        <f>IFERROR(VLOOKUP(camp[[#This Row],[Campaign Name]],Database!B:C,3,0),"")</f>
        <v/>
      </c>
      <c r="W18" s="50">
        <f>IF(camp[[#This Row],[Date Sent]]="","",MONTH(camp[[#This Row],[Date Sent]]))</f>
        <v>11</v>
      </c>
      <c r="X18" s="50" t="str">
        <f>IFERROR(VLOOKUP(camp[[#This Row],[Month Number]],Sheet2!B:C,2,0),"")</f>
        <v>Nov</v>
      </c>
      <c r="Y18" s="50" t="str">
        <f>IF(camp[[#This Row],[Date Sent]]="","","W"&amp;WEEKNUM(camp[[#This Row],[Date Sent]],1))</f>
        <v>W48</v>
      </c>
      <c r="Z18" s="50">
        <f>IF(camp[[#This Row],[Date Sent]]="","",YEAR(camp[[#This Row],[Date Sent]]))</f>
        <v>2020</v>
      </c>
      <c r="AA18" s="51"/>
    </row>
    <row r="19" spans="1:27" ht="30" customHeight="1" x14ac:dyDescent="0.2">
      <c r="A19" s="25" t="str">
        <f t="shared" si="1"/>
        <v/>
      </c>
      <c r="B19" s="40">
        <v>44216</v>
      </c>
      <c r="C19" s="41">
        <v>0.625</v>
      </c>
      <c r="D19" s="42" t="s">
        <v>58</v>
      </c>
      <c r="E19" s="87" t="s">
        <v>167</v>
      </c>
      <c r="F19" s="42" t="s">
        <v>112</v>
      </c>
      <c r="G19" s="42" t="s">
        <v>72</v>
      </c>
      <c r="H19" s="42" t="s">
        <v>74</v>
      </c>
      <c r="I19" s="43">
        <v>1036</v>
      </c>
      <c r="J19" s="43">
        <v>1000</v>
      </c>
      <c r="K19" s="45">
        <f>IF(OR(camp[[#This Row],[Successful Deliveries]]="",camp[[#This Row],[Recipients ]]=""),"",camp[[#This Row],[Successful Deliveries]]/camp[[#This Row],[Recipients ]])</f>
        <v>0.96525096525096521</v>
      </c>
      <c r="L19" s="42">
        <v>700</v>
      </c>
      <c r="M19" s="46">
        <f>IF(OR(camp[[#This Row],[Opens]]="",camp[[#This Row],[Recipients ]]=""),"",camp[[#This Row],[Opens]]/camp[[#This Row],[Recipients ]])</f>
        <v>0.67567567567567566</v>
      </c>
      <c r="N19" s="42">
        <v>157</v>
      </c>
      <c r="O19" s="42">
        <v>157</v>
      </c>
      <c r="P19" s="45">
        <f>IF(OR(camp[[#This Row],[Opens]]="",camp[[#This Row],[Unique Clicks]]=""),"",camp[[#This Row],[Unique Clicks]]/camp[[#This Row],[Opens]])</f>
        <v>0.22428571428571428</v>
      </c>
      <c r="Q19" s="42">
        <v>49</v>
      </c>
      <c r="R19" s="47">
        <v>63</v>
      </c>
      <c r="S19" s="48">
        <f>IF(OR(camp[[#This Row],[Revenue]]="",camp[[#This Row],[Recipients ]]=""),"",camp[[#This Row],[Revenue]]/camp[[#This Row],[Recipients ]])</f>
        <v>6.0810810810810814E-2</v>
      </c>
      <c r="T19" s="42">
        <v>42</v>
      </c>
      <c r="U19" s="45">
        <f>IF(OR(camp[[#This Row],[Unsubscribes]]="",camp[[#This Row],[Recipients ]]=""),"",camp[[#This Row],[Unsubscribes]]/camp[[#This Row],[Recipients ]])</f>
        <v>4.0540540540540543E-2</v>
      </c>
      <c r="V19" s="49" t="str">
        <f>IFERROR(VLOOKUP(camp[[#This Row],[Campaign Name]],Database!B:C,3,0),"")</f>
        <v/>
      </c>
      <c r="W19" s="50">
        <f>IF(camp[[#This Row],[Date Sent]]="","",MONTH(camp[[#This Row],[Date Sent]]))</f>
        <v>1</v>
      </c>
      <c r="X19" s="50" t="str">
        <f>IFERROR(VLOOKUP(camp[[#This Row],[Month Number]],Sheet2!B:C,2,0),"")</f>
        <v>Jan</v>
      </c>
      <c r="Y19" s="50" t="str">
        <f>IF(camp[[#This Row],[Date Sent]]="","","W"&amp;WEEKNUM(camp[[#This Row],[Date Sent]],1))</f>
        <v>W4</v>
      </c>
      <c r="Z19" s="50">
        <f>IF(camp[[#This Row],[Date Sent]]="","",YEAR(camp[[#This Row],[Date Sent]]))</f>
        <v>2021</v>
      </c>
      <c r="AA19" s="51"/>
    </row>
    <row r="20" spans="1:27" ht="30" customHeight="1" x14ac:dyDescent="0.2">
      <c r="A20" s="25" t="str">
        <f t="shared" si="1"/>
        <v/>
      </c>
      <c r="B20" s="40">
        <v>44129</v>
      </c>
      <c r="C20" s="41">
        <v>0.625</v>
      </c>
      <c r="D20" s="42" t="s">
        <v>67</v>
      </c>
      <c r="E20" s="87" t="s">
        <v>167</v>
      </c>
      <c r="F20" s="42" t="s">
        <v>113</v>
      </c>
      <c r="G20" s="42" t="s">
        <v>71</v>
      </c>
      <c r="H20" s="42" t="s">
        <v>74</v>
      </c>
      <c r="I20" s="43">
        <v>850</v>
      </c>
      <c r="J20" s="43">
        <v>800</v>
      </c>
      <c r="K20" s="45">
        <f>IF(OR(camp[[#This Row],[Successful Deliveries]]="",camp[[#This Row],[Recipients ]]=""),"",camp[[#This Row],[Successful Deliveries]]/camp[[#This Row],[Recipients ]])</f>
        <v>0.94117647058823528</v>
      </c>
      <c r="L20" s="42">
        <v>700</v>
      </c>
      <c r="M20" s="46">
        <f>IF(OR(camp[[#This Row],[Opens]]="",camp[[#This Row],[Recipients ]]=""),"",camp[[#This Row],[Opens]]/camp[[#This Row],[Recipients ]])</f>
        <v>0.82352941176470584</v>
      </c>
      <c r="N20" s="42">
        <v>344</v>
      </c>
      <c r="O20" s="42">
        <v>135</v>
      </c>
      <c r="P20" s="45">
        <f>IF(OR(camp[[#This Row],[Opens]]="",camp[[#This Row],[Unique Clicks]]=""),"",camp[[#This Row],[Unique Clicks]]/camp[[#This Row],[Opens]])</f>
        <v>0.49142857142857144</v>
      </c>
      <c r="Q20" s="42">
        <v>12</v>
      </c>
      <c r="R20" s="47">
        <v>66</v>
      </c>
      <c r="S20" s="48">
        <f>IF(OR(camp[[#This Row],[Revenue]]="",camp[[#This Row],[Recipients ]]=""),"",camp[[#This Row],[Revenue]]/camp[[#This Row],[Recipients ]])</f>
        <v>7.7647058823529416E-2</v>
      </c>
      <c r="T20" s="42">
        <v>34</v>
      </c>
      <c r="U20" s="45">
        <f>IF(OR(camp[[#This Row],[Unsubscribes]]="",camp[[#This Row],[Recipients ]]=""),"",camp[[#This Row],[Unsubscribes]]/camp[[#This Row],[Recipients ]])</f>
        <v>0.04</v>
      </c>
      <c r="V20" s="49" t="str">
        <f>IFERROR(VLOOKUP(camp[[#This Row],[Campaign Name]],Database!B:C,3,0),"")</f>
        <v/>
      </c>
      <c r="W20" s="50">
        <f>IF(camp[[#This Row],[Date Sent]]="","",MONTH(camp[[#This Row],[Date Sent]]))</f>
        <v>10</v>
      </c>
      <c r="X20" s="50" t="str">
        <f>IFERROR(VLOOKUP(camp[[#This Row],[Month Number]],Sheet2!B:C,2,0),"")</f>
        <v>Oct</v>
      </c>
      <c r="Y20" s="50" t="str">
        <f>IF(camp[[#This Row],[Date Sent]]="","","W"&amp;WEEKNUM(camp[[#This Row],[Date Sent]],1))</f>
        <v>W44</v>
      </c>
      <c r="Z20" s="50">
        <f>IF(camp[[#This Row],[Date Sent]]="","",YEAR(camp[[#This Row],[Date Sent]]))</f>
        <v>2020</v>
      </c>
      <c r="AA20" s="51"/>
    </row>
    <row r="21" spans="1:27" ht="30" customHeight="1" x14ac:dyDescent="0.2">
      <c r="A21" s="25" t="str">
        <f t="shared" si="1"/>
        <v/>
      </c>
      <c r="B21" s="40">
        <v>44206</v>
      </c>
      <c r="C21" s="41">
        <v>0.58333333333333337</v>
      </c>
      <c r="D21" s="42" t="s">
        <v>68</v>
      </c>
      <c r="E21" s="87" t="s">
        <v>168</v>
      </c>
      <c r="F21" s="42" t="s">
        <v>114</v>
      </c>
      <c r="G21" s="42" t="s">
        <v>73</v>
      </c>
      <c r="H21" s="42" t="s">
        <v>77</v>
      </c>
      <c r="I21" s="43">
        <v>944</v>
      </c>
      <c r="J21" s="43">
        <v>670</v>
      </c>
      <c r="K21" s="45">
        <f>IF(OR(camp[[#This Row],[Successful Deliveries]]="",camp[[#This Row],[Recipients ]]=""),"",camp[[#This Row],[Successful Deliveries]]/camp[[#This Row],[Recipients ]])</f>
        <v>0.7097457627118644</v>
      </c>
      <c r="L21" s="42">
        <v>650</v>
      </c>
      <c r="M21" s="46">
        <f>IF(OR(camp[[#This Row],[Opens]]="",camp[[#This Row],[Recipients ]]=""),"",camp[[#This Row],[Opens]]/camp[[#This Row],[Recipients ]])</f>
        <v>0.68855932203389836</v>
      </c>
      <c r="N21" s="42">
        <v>330</v>
      </c>
      <c r="O21" s="42">
        <v>172</v>
      </c>
      <c r="P21" s="45">
        <f>IF(OR(camp[[#This Row],[Opens]]="",camp[[#This Row],[Unique Clicks]]=""),"",camp[[#This Row],[Unique Clicks]]/camp[[#This Row],[Opens]])</f>
        <v>0.50769230769230766</v>
      </c>
      <c r="Q21" s="42">
        <v>10</v>
      </c>
      <c r="R21" s="47">
        <v>88</v>
      </c>
      <c r="S21" s="48">
        <f>IF(OR(camp[[#This Row],[Revenue]]="",camp[[#This Row],[Recipients ]]=""),"",camp[[#This Row],[Revenue]]/camp[[#This Row],[Recipients ]])</f>
        <v>9.3220338983050849E-2</v>
      </c>
      <c r="T21" s="42">
        <v>37</v>
      </c>
      <c r="U21" s="45">
        <f>IF(OR(camp[[#This Row],[Unsubscribes]]="",camp[[#This Row],[Recipients ]]=""),"",camp[[#This Row],[Unsubscribes]]/camp[[#This Row],[Recipients ]])</f>
        <v>3.9194915254237288E-2</v>
      </c>
      <c r="V21" s="49" t="str">
        <f>IFERROR(VLOOKUP(camp[[#This Row],[Campaign Name]],Database!B:C,3,0),"")</f>
        <v/>
      </c>
      <c r="W21" s="50">
        <f>IF(camp[[#This Row],[Date Sent]]="","",MONTH(camp[[#This Row],[Date Sent]]))</f>
        <v>1</v>
      </c>
      <c r="X21" s="50" t="str">
        <f>IFERROR(VLOOKUP(camp[[#This Row],[Month Number]],Sheet2!B:C,2,0),"")</f>
        <v>Jan</v>
      </c>
      <c r="Y21" s="50" t="str">
        <f>IF(camp[[#This Row],[Date Sent]]="","","W"&amp;WEEKNUM(camp[[#This Row],[Date Sent]],1))</f>
        <v>W3</v>
      </c>
      <c r="Z21" s="50">
        <f>IF(camp[[#This Row],[Date Sent]]="","",YEAR(camp[[#This Row],[Date Sent]]))</f>
        <v>2021</v>
      </c>
      <c r="AA21" s="51"/>
    </row>
    <row r="22" spans="1:27" ht="30" customHeight="1" x14ac:dyDescent="0.2">
      <c r="A22" s="25" t="str">
        <f t="shared" si="1"/>
        <v/>
      </c>
      <c r="B22" s="40">
        <v>44123</v>
      </c>
      <c r="C22" s="41">
        <v>0.54166666666666663</v>
      </c>
      <c r="D22" s="42" t="s">
        <v>69</v>
      </c>
      <c r="E22" s="87" t="s">
        <v>171</v>
      </c>
      <c r="F22" s="42" t="s">
        <v>115</v>
      </c>
      <c r="G22" s="42" t="s">
        <v>72</v>
      </c>
      <c r="H22" s="42" t="s">
        <v>76</v>
      </c>
      <c r="I22" s="43">
        <v>805</v>
      </c>
      <c r="J22" s="43">
        <v>750</v>
      </c>
      <c r="K22" s="45">
        <f>IF(OR(camp[[#This Row],[Successful Deliveries]]="",camp[[#This Row],[Recipients ]]=""),"",camp[[#This Row],[Successful Deliveries]]/camp[[#This Row],[Recipients ]])</f>
        <v>0.93167701863354035</v>
      </c>
      <c r="L22" s="42">
        <v>700</v>
      </c>
      <c r="M22" s="46">
        <f>IF(OR(camp[[#This Row],[Opens]]="",camp[[#This Row],[Recipients ]]=""),"",camp[[#This Row],[Opens]]/camp[[#This Row],[Recipients ]])</f>
        <v>0.86956521739130432</v>
      </c>
      <c r="N22" s="42">
        <v>347</v>
      </c>
      <c r="O22" s="42">
        <v>178</v>
      </c>
      <c r="P22" s="45">
        <f>IF(OR(camp[[#This Row],[Opens]]="",camp[[#This Row],[Unique Clicks]]=""),"",camp[[#This Row],[Unique Clicks]]/camp[[#This Row],[Opens]])</f>
        <v>0.49571428571428572</v>
      </c>
      <c r="Q22" s="42">
        <v>52</v>
      </c>
      <c r="R22" s="47">
        <v>140</v>
      </c>
      <c r="S22" s="48">
        <f>IF(OR(camp[[#This Row],[Revenue]]="",camp[[#This Row],[Recipients ]]=""),"",camp[[#This Row],[Revenue]]/camp[[#This Row],[Recipients ]])</f>
        <v>0.17391304347826086</v>
      </c>
      <c r="T22" s="42">
        <v>13</v>
      </c>
      <c r="U22" s="45">
        <f>IF(OR(camp[[#This Row],[Unsubscribes]]="",camp[[#This Row],[Recipients ]]=""),"",camp[[#This Row],[Unsubscribes]]/camp[[#This Row],[Recipients ]])</f>
        <v>1.6149068322981366E-2</v>
      </c>
      <c r="V22" s="49" t="str">
        <f>IFERROR(VLOOKUP(camp[[#This Row],[Campaign Name]],Database!B:C,3,0),"")</f>
        <v/>
      </c>
      <c r="W22" s="50">
        <f>IF(camp[[#This Row],[Date Sent]]="","",MONTH(camp[[#This Row],[Date Sent]]))</f>
        <v>10</v>
      </c>
      <c r="X22" s="50" t="str">
        <f>IFERROR(VLOOKUP(camp[[#This Row],[Month Number]],Sheet2!B:C,2,0),"")</f>
        <v>Oct</v>
      </c>
      <c r="Y22" s="50" t="str">
        <f>IF(camp[[#This Row],[Date Sent]]="","","W"&amp;WEEKNUM(camp[[#This Row],[Date Sent]],1))</f>
        <v>W43</v>
      </c>
      <c r="Z22" s="50">
        <f>IF(camp[[#This Row],[Date Sent]]="","",YEAR(camp[[#This Row],[Date Sent]]))</f>
        <v>2020</v>
      </c>
      <c r="AA22" s="51"/>
    </row>
    <row r="23" spans="1:27" ht="30" customHeight="1" x14ac:dyDescent="0.2">
      <c r="A23" s="25" t="str">
        <f t="shared" si="1"/>
        <v/>
      </c>
      <c r="B23" s="40">
        <v>44220</v>
      </c>
      <c r="C23" s="41">
        <v>0.375</v>
      </c>
      <c r="D23" s="42" t="s">
        <v>66</v>
      </c>
      <c r="E23" s="87" t="s">
        <v>170</v>
      </c>
      <c r="F23" s="42" t="s">
        <v>116</v>
      </c>
      <c r="G23" s="42" t="s">
        <v>71</v>
      </c>
      <c r="H23" s="42" t="s">
        <v>76</v>
      </c>
      <c r="I23" s="43">
        <v>1293</v>
      </c>
      <c r="J23" s="43">
        <v>1000</v>
      </c>
      <c r="K23" s="45">
        <f>IF(OR(camp[[#This Row],[Successful Deliveries]]="",camp[[#This Row],[Recipients ]]=""),"",camp[[#This Row],[Successful Deliveries]]/camp[[#This Row],[Recipients ]])</f>
        <v>0.77339520494972935</v>
      </c>
      <c r="L23" s="42">
        <v>850</v>
      </c>
      <c r="M23" s="46">
        <f>IF(OR(camp[[#This Row],[Opens]]="",camp[[#This Row],[Recipients ]]=""),"",camp[[#This Row],[Opens]]/camp[[#This Row],[Recipients ]])</f>
        <v>0.65738592420726993</v>
      </c>
      <c r="N23" s="42">
        <v>180</v>
      </c>
      <c r="O23" s="42">
        <v>131</v>
      </c>
      <c r="P23" s="45">
        <f>IF(OR(camp[[#This Row],[Opens]]="",camp[[#This Row],[Unique Clicks]]=""),"",camp[[#This Row],[Unique Clicks]]/camp[[#This Row],[Opens]])</f>
        <v>0.21176470588235294</v>
      </c>
      <c r="Q23" s="42">
        <v>22</v>
      </c>
      <c r="R23" s="47">
        <v>137</v>
      </c>
      <c r="S23" s="48">
        <f>IF(OR(camp[[#This Row],[Revenue]]="",camp[[#This Row],[Recipients ]]=""),"",camp[[#This Row],[Revenue]]/camp[[#This Row],[Recipients ]])</f>
        <v>0.10595514307811292</v>
      </c>
      <c r="T23" s="42">
        <v>44</v>
      </c>
      <c r="U23" s="45">
        <f>IF(OR(camp[[#This Row],[Unsubscribes]]="",camp[[#This Row],[Recipients ]]=""),"",camp[[#This Row],[Unsubscribes]]/camp[[#This Row],[Recipients ]])</f>
        <v>3.4029389017788091E-2</v>
      </c>
      <c r="V23" s="49" t="str">
        <f>IFERROR(VLOOKUP(camp[[#This Row],[Campaign Name]],Database!B:C,3,0),"")</f>
        <v/>
      </c>
      <c r="W23" s="50">
        <f>IF(camp[[#This Row],[Date Sent]]="","",MONTH(camp[[#This Row],[Date Sent]]))</f>
        <v>1</v>
      </c>
      <c r="X23" s="50" t="str">
        <f>IFERROR(VLOOKUP(camp[[#This Row],[Month Number]],Sheet2!B:C,2,0),"")</f>
        <v>Jan</v>
      </c>
      <c r="Y23" s="50" t="str">
        <f>IF(camp[[#This Row],[Date Sent]]="","","W"&amp;WEEKNUM(camp[[#This Row],[Date Sent]],1))</f>
        <v>W5</v>
      </c>
      <c r="Z23" s="50">
        <f>IF(camp[[#This Row],[Date Sent]]="","",YEAR(camp[[#This Row],[Date Sent]]))</f>
        <v>2021</v>
      </c>
      <c r="AA23" s="51"/>
    </row>
    <row r="24" spans="1:27" ht="30" customHeight="1" x14ac:dyDescent="0.2">
      <c r="A24" s="25" t="str">
        <f t="shared" si="1"/>
        <v/>
      </c>
      <c r="B24" s="40">
        <v>44123</v>
      </c>
      <c r="C24" s="41">
        <v>0.29166666666666669</v>
      </c>
      <c r="D24" s="42" t="s">
        <v>68</v>
      </c>
      <c r="E24" s="87" t="s">
        <v>169</v>
      </c>
      <c r="F24" s="42" t="s">
        <v>117</v>
      </c>
      <c r="G24" s="42" t="s">
        <v>71</v>
      </c>
      <c r="H24" s="42" t="s">
        <v>76</v>
      </c>
      <c r="I24" s="43">
        <v>1185</v>
      </c>
      <c r="J24" s="43">
        <v>1100</v>
      </c>
      <c r="K24" s="45">
        <f>IF(OR(camp[[#This Row],[Successful Deliveries]]="",camp[[#This Row],[Recipients ]]=""),"",camp[[#This Row],[Successful Deliveries]]/camp[[#This Row],[Recipients ]])</f>
        <v>0.92827004219409281</v>
      </c>
      <c r="L24" s="42">
        <v>1050</v>
      </c>
      <c r="M24" s="46">
        <f>IF(OR(camp[[#This Row],[Opens]]="",camp[[#This Row],[Recipients ]]=""),"",camp[[#This Row],[Opens]]/camp[[#This Row],[Recipients ]])</f>
        <v>0.88607594936708856</v>
      </c>
      <c r="N24" s="42">
        <v>178</v>
      </c>
      <c r="O24" s="42">
        <v>162</v>
      </c>
      <c r="P24" s="45">
        <f>IF(OR(camp[[#This Row],[Opens]]="",camp[[#This Row],[Unique Clicks]]=""),"",camp[[#This Row],[Unique Clicks]]/camp[[#This Row],[Opens]])</f>
        <v>0.16952380952380952</v>
      </c>
      <c r="Q24" s="42">
        <v>39</v>
      </c>
      <c r="R24" s="47">
        <v>53</v>
      </c>
      <c r="S24" s="48">
        <f>IF(OR(camp[[#This Row],[Revenue]]="",camp[[#This Row],[Recipients ]]=""),"",camp[[#This Row],[Revenue]]/camp[[#This Row],[Recipients ]])</f>
        <v>4.472573839662447E-2</v>
      </c>
      <c r="T24" s="42">
        <v>19</v>
      </c>
      <c r="U24" s="45">
        <f>IF(OR(camp[[#This Row],[Unsubscribes]]="",camp[[#This Row],[Recipients ]]=""),"",camp[[#This Row],[Unsubscribes]]/camp[[#This Row],[Recipients ]])</f>
        <v>1.6033755274261603E-2</v>
      </c>
      <c r="V24" s="49" t="str">
        <f>IFERROR(VLOOKUP(camp[[#This Row],[Campaign Name]],Database!B:C,3,0),"")</f>
        <v/>
      </c>
      <c r="W24" s="50">
        <f>IF(camp[[#This Row],[Date Sent]]="","",MONTH(camp[[#This Row],[Date Sent]]))</f>
        <v>10</v>
      </c>
      <c r="X24" s="50" t="str">
        <f>IFERROR(VLOOKUP(camp[[#This Row],[Month Number]],Sheet2!B:C,2,0),"")</f>
        <v>Oct</v>
      </c>
      <c r="Y24" s="50" t="str">
        <f>IF(camp[[#This Row],[Date Sent]]="","","W"&amp;WEEKNUM(camp[[#This Row],[Date Sent]],1))</f>
        <v>W43</v>
      </c>
      <c r="Z24" s="50">
        <f>IF(camp[[#This Row],[Date Sent]]="","",YEAR(camp[[#This Row],[Date Sent]]))</f>
        <v>2020</v>
      </c>
      <c r="AA24" s="51"/>
    </row>
    <row r="25" spans="1:27" ht="30" customHeight="1" x14ac:dyDescent="0.2">
      <c r="A25" s="25" t="str">
        <f t="shared" si="1"/>
        <v/>
      </c>
      <c r="B25" s="40">
        <v>44224</v>
      </c>
      <c r="C25" s="41">
        <v>0.33333333333333331</v>
      </c>
      <c r="D25" s="42" t="s">
        <v>58</v>
      </c>
      <c r="E25" s="87" t="s">
        <v>166</v>
      </c>
      <c r="F25" s="42" t="s">
        <v>118</v>
      </c>
      <c r="G25" s="42" t="s">
        <v>71</v>
      </c>
      <c r="H25" s="42" t="s">
        <v>75</v>
      </c>
      <c r="I25" s="43">
        <v>993</v>
      </c>
      <c r="J25" s="43">
        <v>950</v>
      </c>
      <c r="K25" s="45">
        <f>IF(OR(camp[[#This Row],[Successful Deliveries]]="",camp[[#This Row],[Recipients ]]=""),"",camp[[#This Row],[Successful Deliveries]]/camp[[#This Row],[Recipients ]])</f>
        <v>0.95669687814702919</v>
      </c>
      <c r="L25" s="42">
        <v>850</v>
      </c>
      <c r="M25" s="46">
        <f>IF(OR(camp[[#This Row],[Opens]]="",camp[[#This Row],[Recipients ]]=""),"",camp[[#This Row],[Opens]]/camp[[#This Row],[Recipients ]])</f>
        <v>0.85599194360523667</v>
      </c>
      <c r="N25" s="42">
        <v>137</v>
      </c>
      <c r="O25" s="42">
        <v>155</v>
      </c>
      <c r="P25" s="45">
        <f>IF(OR(camp[[#This Row],[Opens]]="",camp[[#This Row],[Unique Clicks]]=""),"",camp[[#This Row],[Unique Clicks]]/camp[[#This Row],[Opens]])</f>
        <v>0.16117647058823528</v>
      </c>
      <c r="Q25" s="42">
        <v>73</v>
      </c>
      <c r="R25" s="47">
        <v>72</v>
      </c>
      <c r="S25" s="48">
        <f>IF(OR(camp[[#This Row],[Revenue]]="",camp[[#This Row],[Recipients ]]=""),"",camp[[#This Row],[Revenue]]/camp[[#This Row],[Recipients ]])</f>
        <v>7.2507552870090641E-2</v>
      </c>
      <c r="T25" s="42">
        <v>40</v>
      </c>
      <c r="U25" s="45">
        <f>IF(OR(camp[[#This Row],[Unsubscribes]]="",camp[[#This Row],[Recipients ]]=""),"",camp[[#This Row],[Unsubscribes]]/camp[[#This Row],[Recipients ]])</f>
        <v>4.0281973816717019E-2</v>
      </c>
      <c r="V25" s="49" t="str">
        <f>IFERROR(VLOOKUP(camp[[#This Row],[Campaign Name]],Database!B:C,3,0),"")</f>
        <v/>
      </c>
      <c r="W25" s="50">
        <f>IF(camp[[#This Row],[Date Sent]]="","",MONTH(camp[[#This Row],[Date Sent]]))</f>
        <v>1</v>
      </c>
      <c r="X25" s="50" t="str">
        <f>IFERROR(VLOOKUP(camp[[#This Row],[Month Number]],Sheet2!B:C,2,0),"")</f>
        <v>Jan</v>
      </c>
      <c r="Y25" s="50" t="str">
        <f>IF(camp[[#This Row],[Date Sent]]="","","W"&amp;WEEKNUM(camp[[#This Row],[Date Sent]],1))</f>
        <v>W5</v>
      </c>
      <c r="Z25" s="50">
        <f>IF(camp[[#This Row],[Date Sent]]="","",YEAR(camp[[#This Row],[Date Sent]]))</f>
        <v>2021</v>
      </c>
      <c r="AA25" s="51"/>
    </row>
    <row r="26" spans="1:27" ht="30" customHeight="1" x14ac:dyDescent="0.2">
      <c r="A26" s="25" t="str">
        <f t="shared" si="1"/>
        <v/>
      </c>
      <c r="B26" s="40">
        <v>44186</v>
      </c>
      <c r="C26" s="41">
        <v>0.875</v>
      </c>
      <c r="D26" s="42" t="s">
        <v>66</v>
      </c>
      <c r="E26" s="87" t="s">
        <v>171</v>
      </c>
      <c r="F26" s="42" t="s">
        <v>119</v>
      </c>
      <c r="G26" s="42" t="s">
        <v>72</v>
      </c>
      <c r="H26" s="42" t="s">
        <v>76</v>
      </c>
      <c r="I26" s="43">
        <v>872</v>
      </c>
      <c r="J26" s="43">
        <v>800</v>
      </c>
      <c r="K26" s="45">
        <f>IF(OR(camp[[#This Row],[Successful Deliveries]]="",camp[[#This Row],[Recipients ]]=""),"",camp[[#This Row],[Successful Deliveries]]/camp[[#This Row],[Recipients ]])</f>
        <v>0.91743119266055051</v>
      </c>
      <c r="L26" s="42">
        <v>700</v>
      </c>
      <c r="M26" s="46">
        <f>IF(OR(camp[[#This Row],[Opens]]="",camp[[#This Row],[Recipients ]]=""),"",camp[[#This Row],[Opens]]/camp[[#This Row],[Recipients ]])</f>
        <v>0.80275229357798161</v>
      </c>
      <c r="N26" s="42">
        <v>168</v>
      </c>
      <c r="O26" s="42">
        <v>177</v>
      </c>
      <c r="P26" s="45">
        <f>IF(OR(camp[[#This Row],[Opens]]="",camp[[#This Row],[Unique Clicks]]=""),"",camp[[#This Row],[Unique Clicks]]/camp[[#This Row],[Opens]])</f>
        <v>0.24</v>
      </c>
      <c r="Q26" s="42">
        <v>65</v>
      </c>
      <c r="R26" s="47">
        <v>136</v>
      </c>
      <c r="S26" s="48">
        <f>IF(OR(camp[[#This Row],[Revenue]]="",camp[[#This Row],[Recipients ]]=""),"",camp[[#This Row],[Revenue]]/camp[[#This Row],[Recipients ]])</f>
        <v>0.15596330275229359</v>
      </c>
      <c r="T26" s="42">
        <v>33</v>
      </c>
      <c r="U26" s="45">
        <f>IF(OR(camp[[#This Row],[Unsubscribes]]="",camp[[#This Row],[Recipients ]]=""),"",camp[[#This Row],[Unsubscribes]]/camp[[#This Row],[Recipients ]])</f>
        <v>3.7844036697247709E-2</v>
      </c>
      <c r="V26" s="49" t="str">
        <f>IFERROR(VLOOKUP(camp[[#This Row],[Campaign Name]],Database!B:C,3,0),"")</f>
        <v/>
      </c>
      <c r="W26" s="50">
        <f>IF(camp[[#This Row],[Date Sent]]="","",MONTH(camp[[#This Row],[Date Sent]]))</f>
        <v>12</v>
      </c>
      <c r="X26" s="50" t="str">
        <f>IFERROR(VLOOKUP(camp[[#This Row],[Month Number]],Sheet2!B:C,2,0),"")</f>
        <v>Dec</v>
      </c>
      <c r="Y26" s="50" t="str">
        <f>IF(camp[[#This Row],[Date Sent]]="","","W"&amp;WEEKNUM(camp[[#This Row],[Date Sent]],1))</f>
        <v>W52</v>
      </c>
      <c r="Z26" s="50">
        <f>IF(camp[[#This Row],[Date Sent]]="","",YEAR(camp[[#This Row],[Date Sent]]))</f>
        <v>2020</v>
      </c>
      <c r="AA26" s="51"/>
    </row>
    <row r="27" spans="1:27" ht="30" customHeight="1" x14ac:dyDescent="0.2">
      <c r="A27" s="25" t="str">
        <f t="shared" si="1"/>
        <v/>
      </c>
      <c r="B27" s="40">
        <v>44229</v>
      </c>
      <c r="C27" s="41">
        <v>0.95833333333333337</v>
      </c>
      <c r="D27" s="42" t="s">
        <v>67</v>
      </c>
      <c r="E27" s="87" t="s">
        <v>168</v>
      </c>
      <c r="F27" s="42" t="s">
        <v>120</v>
      </c>
      <c r="G27" s="42" t="s">
        <v>71</v>
      </c>
      <c r="H27" s="42" t="s">
        <v>77</v>
      </c>
      <c r="I27" s="43">
        <v>908</v>
      </c>
      <c r="J27" s="43">
        <v>700</v>
      </c>
      <c r="K27" s="45">
        <f>IF(OR(camp[[#This Row],[Successful Deliveries]]="",camp[[#This Row],[Recipients ]]=""),"",camp[[#This Row],[Successful Deliveries]]/camp[[#This Row],[Recipients ]])</f>
        <v>0.77092511013215859</v>
      </c>
      <c r="L27" s="42">
        <v>600</v>
      </c>
      <c r="M27" s="46">
        <f>IF(OR(camp[[#This Row],[Opens]]="",camp[[#This Row],[Recipients ]]=""),"",camp[[#This Row],[Opens]]/camp[[#This Row],[Recipients ]])</f>
        <v>0.66079295154185025</v>
      </c>
      <c r="N27" s="42">
        <v>472</v>
      </c>
      <c r="O27" s="42">
        <v>132</v>
      </c>
      <c r="P27" s="45">
        <f>IF(OR(camp[[#This Row],[Opens]]="",camp[[#This Row],[Unique Clicks]]=""),"",camp[[#This Row],[Unique Clicks]]/camp[[#This Row],[Opens]])</f>
        <v>0.78666666666666663</v>
      </c>
      <c r="Q27" s="42">
        <v>16</v>
      </c>
      <c r="R27" s="47">
        <v>110</v>
      </c>
      <c r="S27" s="48">
        <f>IF(OR(camp[[#This Row],[Revenue]]="",camp[[#This Row],[Recipients ]]=""),"",camp[[#This Row],[Revenue]]/camp[[#This Row],[Recipients ]])</f>
        <v>0.1211453744493392</v>
      </c>
      <c r="T27" s="42">
        <v>19</v>
      </c>
      <c r="U27" s="45">
        <f>IF(OR(camp[[#This Row],[Unsubscribes]]="",camp[[#This Row],[Recipients ]]=""),"",camp[[#This Row],[Unsubscribes]]/camp[[#This Row],[Recipients ]])</f>
        <v>2.092511013215859E-2</v>
      </c>
      <c r="V27" s="49" t="str">
        <f>IFERROR(VLOOKUP(camp[[#This Row],[Campaign Name]],Database!B:C,3,0),"")</f>
        <v/>
      </c>
      <c r="W27" s="50">
        <f>IF(camp[[#This Row],[Date Sent]]="","",MONTH(camp[[#This Row],[Date Sent]]))</f>
        <v>2</v>
      </c>
      <c r="X27" s="50" t="str">
        <f>IFERROR(VLOOKUP(camp[[#This Row],[Month Number]],Sheet2!B:C,2,0),"")</f>
        <v>Feb</v>
      </c>
      <c r="Y27" s="50" t="str">
        <f>IF(camp[[#This Row],[Date Sent]]="","","W"&amp;WEEKNUM(camp[[#This Row],[Date Sent]],1))</f>
        <v>W6</v>
      </c>
      <c r="Z27" s="50">
        <f>IF(camp[[#This Row],[Date Sent]]="","",YEAR(camp[[#This Row],[Date Sent]]))</f>
        <v>2021</v>
      </c>
      <c r="AA27" s="51"/>
    </row>
    <row r="28" spans="1:27" ht="30" customHeight="1" x14ac:dyDescent="0.2">
      <c r="A28" s="25" t="str">
        <f t="shared" si="1"/>
        <v/>
      </c>
      <c r="B28" s="40">
        <v>44194</v>
      </c>
      <c r="C28" s="41">
        <v>0.5</v>
      </c>
      <c r="D28" s="42" t="s">
        <v>66</v>
      </c>
      <c r="E28" s="87" t="s">
        <v>169</v>
      </c>
      <c r="F28" s="42" t="s">
        <v>121</v>
      </c>
      <c r="G28" s="42" t="s">
        <v>73</v>
      </c>
      <c r="H28" s="42" t="s">
        <v>74</v>
      </c>
      <c r="I28" s="43">
        <v>885</v>
      </c>
      <c r="J28" s="43">
        <v>690</v>
      </c>
      <c r="K28" s="45">
        <f>IF(OR(camp[[#This Row],[Successful Deliveries]]="",camp[[#This Row],[Recipients ]]=""),"",camp[[#This Row],[Successful Deliveries]]/camp[[#This Row],[Recipients ]])</f>
        <v>0.77966101694915257</v>
      </c>
      <c r="L28" s="42">
        <v>600</v>
      </c>
      <c r="M28" s="46">
        <f>IF(OR(camp[[#This Row],[Opens]]="",camp[[#This Row],[Recipients ]]=""),"",camp[[#This Row],[Opens]]/camp[[#This Row],[Recipients ]])</f>
        <v>0.67796610169491522</v>
      </c>
      <c r="N28" s="42">
        <v>372</v>
      </c>
      <c r="O28" s="42">
        <v>191</v>
      </c>
      <c r="P28" s="45">
        <f>IF(OR(camp[[#This Row],[Opens]]="",camp[[#This Row],[Unique Clicks]]=""),"",camp[[#This Row],[Unique Clicks]]/camp[[#This Row],[Opens]])</f>
        <v>0.62</v>
      </c>
      <c r="Q28" s="42">
        <v>22</v>
      </c>
      <c r="R28" s="47">
        <v>112</v>
      </c>
      <c r="S28" s="48">
        <f>IF(OR(camp[[#This Row],[Revenue]]="",camp[[#This Row],[Recipients ]]=""),"",camp[[#This Row],[Revenue]]/camp[[#This Row],[Recipients ]])</f>
        <v>0.12655367231638417</v>
      </c>
      <c r="T28" s="42">
        <v>24</v>
      </c>
      <c r="U28" s="45">
        <f>IF(OR(camp[[#This Row],[Unsubscribes]]="",camp[[#This Row],[Recipients ]]=""),"",camp[[#This Row],[Unsubscribes]]/camp[[#This Row],[Recipients ]])</f>
        <v>2.7118644067796609E-2</v>
      </c>
      <c r="V28" s="49" t="str">
        <f>IFERROR(VLOOKUP(camp[[#This Row],[Campaign Name]],Database!B:C,3,0),"")</f>
        <v/>
      </c>
      <c r="W28" s="50">
        <f>IF(camp[[#This Row],[Date Sent]]="","",MONTH(camp[[#This Row],[Date Sent]]))</f>
        <v>12</v>
      </c>
      <c r="X28" s="50" t="str">
        <f>IFERROR(VLOOKUP(camp[[#This Row],[Month Number]],Sheet2!B:C,2,0),"")</f>
        <v>Dec</v>
      </c>
      <c r="Y28" s="50" t="str">
        <f>IF(camp[[#This Row],[Date Sent]]="","","W"&amp;WEEKNUM(camp[[#This Row],[Date Sent]],1))</f>
        <v>W53</v>
      </c>
      <c r="Z28" s="50">
        <f>IF(camp[[#This Row],[Date Sent]]="","",YEAR(camp[[#This Row],[Date Sent]]))</f>
        <v>2020</v>
      </c>
      <c r="AA28" s="51"/>
    </row>
    <row r="29" spans="1:27" ht="30" customHeight="1" x14ac:dyDescent="0.2">
      <c r="A29" s="25" t="str">
        <f t="shared" si="1"/>
        <v/>
      </c>
      <c r="B29" s="40">
        <v>44111</v>
      </c>
      <c r="C29" s="41">
        <v>0.20833333333333334</v>
      </c>
      <c r="D29" s="42" t="s">
        <v>66</v>
      </c>
      <c r="E29" s="87" t="s">
        <v>171</v>
      </c>
      <c r="F29" s="42" t="s">
        <v>122</v>
      </c>
      <c r="G29" s="42" t="s">
        <v>72</v>
      </c>
      <c r="H29" s="42" t="s">
        <v>76</v>
      </c>
      <c r="I29" s="43">
        <v>1033</v>
      </c>
      <c r="J29" s="43">
        <v>1000</v>
      </c>
      <c r="K29" s="45">
        <f>IF(OR(camp[[#This Row],[Successful Deliveries]]="",camp[[#This Row],[Recipients ]]=""),"",camp[[#This Row],[Successful Deliveries]]/camp[[#This Row],[Recipients ]])</f>
        <v>0.96805421103581801</v>
      </c>
      <c r="L29" s="42">
        <v>750</v>
      </c>
      <c r="M29" s="46">
        <f>IF(OR(camp[[#This Row],[Opens]]="",camp[[#This Row],[Recipients ]]=""),"",camp[[#This Row],[Opens]]/camp[[#This Row],[Recipients ]])</f>
        <v>0.72604065827686348</v>
      </c>
      <c r="N29" s="42">
        <v>353</v>
      </c>
      <c r="O29" s="42">
        <v>151</v>
      </c>
      <c r="P29" s="45">
        <f>IF(OR(camp[[#This Row],[Opens]]="",camp[[#This Row],[Unique Clicks]]=""),"",camp[[#This Row],[Unique Clicks]]/camp[[#This Row],[Opens]])</f>
        <v>0.47066666666666668</v>
      </c>
      <c r="Q29" s="42">
        <v>10</v>
      </c>
      <c r="R29" s="47">
        <v>59</v>
      </c>
      <c r="S29" s="48">
        <f>IF(OR(camp[[#This Row],[Revenue]]="",camp[[#This Row],[Recipients ]]=""),"",camp[[#This Row],[Revenue]]/camp[[#This Row],[Recipients ]])</f>
        <v>5.7115198451113264E-2</v>
      </c>
      <c r="T29" s="42">
        <v>17</v>
      </c>
      <c r="U29" s="45">
        <f>IF(OR(camp[[#This Row],[Unsubscribes]]="",camp[[#This Row],[Recipients ]]=""),"",camp[[#This Row],[Unsubscribes]]/camp[[#This Row],[Recipients ]])</f>
        <v>1.6456921587608905E-2</v>
      </c>
      <c r="V29" s="49" t="str">
        <f>IFERROR(VLOOKUP(camp[[#This Row],[Campaign Name]],Database!B:C,3,0),"")</f>
        <v/>
      </c>
      <c r="W29" s="50">
        <f>IF(camp[[#This Row],[Date Sent]]="","",MONTH(camp[[#This Row],[Date Sent]]))</f>
        <v>10</v>
      </c>
      <c r="X29" s="50" t="str">
        <f>IFERROR(VLOOKUP(camp[[#This Row],[Month Number]],Sheet2!B:C,2,0),"")</f>
        <v>Oct</v>
      </c>
      <c r="Y29" s="50" t="str">
        <f>IF(camp[[#This Row],[Date Sent]]="","","W"&amp;WEEKNUM(camp[[#This Row],[Date Sent]],1))</f>
        <v>W41</v>
      </c>
      <c r="Z29" s="50">
        <f>IF(camp[[#This Row],[Date Sent]]="","",YEAR(camp[[#This Row],[Date Sent]]))</f>
        <v>2020</v>
      </c>
      <c r="AA29" s="51"/>
    </row>
    <row r="30" spans="1:27" ht="30" customHeight="1" x14ac:dyDescent="0.2">
      <c r="A30" s="25" t="str">
        <f t="shared" si="1"/>
        <v/>
      </c>
      <c r="B30" s="40">
        <v>44132</v>
      </c>
      <c r="C30" s="41">
        <v>0.5</v>
      </c>
      <c r="D30" s="42" t="s">
        <v>65</v>
      </c>
      <c r="E30" s="87" t="s">
        <v>167</v>
      </c>
      <c r="F30" s="42" t="s">
        <v>123</v>
      </c>
      <c r="G30" s="42" t="s">
        <v>70</v>
      </c>
      <c r="H30" s="42" t="s">
        <v>74</v>
      </c>
      <c r="I30" s="43">
        <v>833</v>
      </c>
      <c r="J30" s="43">
        <v>800</v>
      </c>
      <c r="K30" s="45">
        <f>IF(OR(camp[[#This Row],[Successful Deliveries]]="",camp[[#This Row],[Recipients ]]=""),"",camp[[#This Row],[Successful Deliveries]]/camp[[#This Row],[Recipients ]])</f>
        <v>0.96038415366146457</v>
      </c>
      <c r="L30" s="42">
        <v>750</v>
      </c>
      <c r="M30" s="46">
        <f>IF(OR(camp[[#This Row],[Opens]]="",camp[[#This Row],[Recipients ]]=""),"",camp[[#This Row],[Opens]]/camp[[#This Row],[Recipients ]])</f>
        <v>0.9003601440576231</v>
      </c>
      <c r="N30" s="42">
        <v>347</v>
      </c>
      <c r="O30" s="42">
        <v>102</v>
      </c>
      <c r="P30" s="45">
        <f>IF(OR(camp[[#This Row],[Opens]]="",camp[[#This Row],[Unique Clicks]]=""),"",camp[[#This Row],[Unique Clicks]]/camp[[#This Row],[Opens]])</f>
        <v>0.46266666666666667</v>
      </c>
      <c r="Q30" s="42">
        <v>17</v>
      </c>
      <c r="R30" s="47">
        <v>58</v>
      </c>
      <c r="S30" s="48">
        <f>IF(OR(camp[[#This Row],[Revenue]]="",camp[[#This Row],[Recipients ]]=""),"",camp[[#This Row],[Revenue]]/camp[[#This Row],[Recipients ]])</f>
        <v>6.9627851140456179E-2</v>
      </c>
      <c r="T30" s="42">
        <v>15</v>
      </c>
      <c r="U30" s="45">
        <f>IF(OR(camp[[#This Row],[Unsubscribes]]="",camp[[#This Row],[Recipients ]]=""),"",camp[[#This Row],[Unsubscribes]]/camp[[#This Row],[Recipients ]])</f>
        <v>1.800720288115246E-2</v>
      </c>
      <c r="V30" s="49" t="str">
        <f>IFERROR(VLOOKUP(camp[[#This Row],[Campaign Name]],Database!B:C,3,0),"")</f>
        <v/>
      </c>
      <c r="W30" s="50">
        <f>IF(camp[[#This Row],[Date Sent]]="","",MONTH(camp[[#This Row],[Date Sent]]))</f>
        <v>10</v>
      </c>
      <c r="X30" s="50" t="str">
        <f>IFERROR(VLOOKUP(camp[[#This Row],[Month Number]],Sheet2!B:C,2,0),"")</f>
        <v>Oct</v>
      </c>
      <c r="Y30" s="50" t="str">
        <f>IF(camp[[#This Row],[Date Sent]]="","","W"&amp;WEEKNUM(camp[[#This Row],[Date Sent]],1))</f>
        <v>W44</v>
      </c>
      <c r="Z30" s="50">
        <f>IF(camp[[#This Row],[Date Sent]]="","",YEAR(camp[[#This Row],[Date Sent]]))</f>
        <v>2020</v>
      </c>
      <c r="AA30" s="51"/>
    </row>
    <row r="31" spans="1:27" ht="30" customHeight="1" x14ac:dyDescent="0.2">
      <c r="A31" s="25" t="str">
        <f t="shared" si="1"/>
        <v/>
      </c>
      <c r="B31" s="40">
        <v>44204</v>
      </c>
      <c r="C31" s="41">
        <v>0.66666666666666663</v>
      </c>
      <c r="D31" s="42" t="s">
        <v>68</v>
      </c>
      <c r="E31" s="87" t="s">
        <v>169</v>
      </c>
      <c r="F31" s="42" t="s">
        <v>124</v>
      </c>
      <c r="G31" s="42" t="s">
        <v>73</v>
      </c>
      <c r="H31" s="42" t="s">
        <v>74</v>
      </c>
      <c r="I31" s="43">
        <v>893</v>
      </c>
      <c r="J31" s="43">
        <v>850</v>
      </c>
      <c r="K31" s="45">
        <f>IF(OR(camp[[#This Row],[Successful Deliveries]]="",camp[[#This Row],[Recipients ]]=""),"",camp[[#This Row],[Successful Deliveries]]/camp[[#This Row],[Recipients ]])</f>
        <v>0.95184770436730126</v>
      </c>
      <c r="L31" s="42">
        <v>700</v>
      </c>
      <c r="M31" s="46">
        <f>IF(OR(camp[[#This Row],[Opens]]="",camp[[#This Row],[Recipients ]]=""),"",camp[[#This Row],[Opens]]/camp[[#This Row],[Recipients ]])</f>
        <v>0.78387458006718924</v>
      </c>
      <c r="N31" s="42">
        <v>139</v>
      </c>
      <c r="O31" s="42">
        <v>167</v>
      </c>
      <c r="P31" s="45">
        <f>IF(OR(camp[[#This Row],[Opens]]="",camp[[#This Row],[Unique Clicks]]=""),"",camp[[#This Row],[Unique Clicks]]/camp[[#This Row],[Opens]])</f>
        <v>0.19857142857142857</v>
      </c>
      <c r="Q31" s="42">
        <v>79</v>
      </c>
      <c r="R31" s="47">
        <v>143</v>
      </c>
      <c r="S31" s="48">
        <f>IF(OR(camp[[#This Row],[Revenue]]="",camp[[#This Row],[Recipients ]]=""),"",camp[[#This Row],[Revenue]]/camp[[#This Row],[Recipients ]])</f>
        <v>0.16013437849944009</v>
      </c>
      <c r="T31" s="42">
        <v>5</v>
      </c>
      <c r="U31" s="45">
        <f>IF(OR(camp[[#This Row],[Unsubscribes]]="",camp[[#This Row],[Recipients ]]=""),"",camp[[#This Row],[Unsubscribes]]/camp[[#This Row],[Recipients ]])</f>
        <v>5.5991041433370659E-3</v>
      </c>
      <c r="V31" s="49" t="str">
        <f>IFERROR(VLOOKUP(camp[[#This Row],[Campaign Name]],Database!B:C,3,0),"")</f>
        <v/>
      </c>
      <c r="W31" s="50">
        <f>IF(camp[[#This Row],[Date Sent]]="","",MONTH(camp[[#This Row],[Date Sent]]))</f>
        <v>1</v>
      </c>
      <c r="X31" s="50" t="str">
        <f>IFERROR(VLOOKUP(camp[[#This Row],[Month Number]],Sheet2!B:C,2,0),"")</f>
        <v>Jan</v>
      </c>
      <c r="Y31" s="50" t="str">
        <f>IF(camp[[#This Row],[Date Sent]]="","","W"&amp;WEEKNUM(camp[[#This Row],[Date Sent]],1))</f>
        <v>W2</v>
      </c>
      <c r="Z31" s="50">
        <f>IF(camp[[#This Row],[Date Sent]]="","",YEAR(camp[[#This Row],[Date Sent]]))</f>
        <v>2021</v>
      </c>
      <c r="AA31" s="51"/>
    </row>
    <row r="32" spans="1:27" ht="30" customHeight="1" x14ac:dyDescent="0.2">
      <c r="A32" s="25" t="str">
        <f t="shared" si="1"/>
        <v/>
      </c>
      <c r="B32" s="52">
        <v>44152</v>
      </c>
      <c r="C32" s="53">
        <v>0.91666666666666663</v>
      </c>
      <c r="D32" s="54" t="s">
        <v>58</v>
      </c>
      <c r="E32" s="88" t="s">
        <v>169</v>
      </c>
      <c r="F32" s="54" t="s">
        <v>125</v>
      </c>
      <c r="G32" s="54" t="s">
        <v>72</v>
      </c>
      <c r="H32" s="54" t="s">
        <v>75</v>
      </c>
      <c r="I32" s="55">
        <v>1098</v>
      </c>
      <c r="J32" s="55">
        <v>740</v>
      </c>
      <c r="K32" s="56">
        <f>IF(OR(camp[[#This Row],[Successful Deliveries]]="",camp[[#This Row],[Recipients ]]=""),"",camp[[#This Row],[Successful Deliveries]]/camp[[#This Row],[Recipients ]])</f>
        <v>0.67395264116575593</v>
      </c>
      <c r="L32" s="54">
        <v>700</v>
      </c>
      <c r="M32" s="57">
        <f>IF(OR(camp[[#This Row],[Opens]]="",camp[[#This Row],[Recipients ]]=""),"",camp[[#This Row],[Opens]]/camp[[#This Row],[Recipients ]])</f>
        <v>0.63752276867030966</v>
      </c>
      <c r="N32" s="54">
        <v>299</v>
      </c>
      <c r="O32" s="54">
        <v>191</v>
      </c>
      <c r="P32" s="56">
        <f>IF(OR(camp[[#This Row],[Opens]]="",camp[[#This Row],[Unique Clicks]]=""),"",camp[[#This Row],[Unique Clicks]]/camp[[#This Row],[Opens]])</f>
        <v>0.42714285714285716</v>
      </c>
      <c r="Q32" s="54">
        <v>40</v>
      </c>
      <c r="R32" s="58">
        <v>132</v>
      </c>
      <c r="S32" s="59">
        <f>IF(OR(camp[[#This Row],[Revenue]]="",camp[[#This Row],[Recipients ]]=""),"",camp[[#This Row],[Revenue]]/camp[[#This Row],[Recipients ]])</f>
        <v>0.12021857923497267</v>
      </c>
      <c r="T32" s="54">
        <v>34</v>
      </c>
      <c r="U32" s="56">
        <f>IF(OR(camp[[#This Row],[Unsubscribes]]="",camp[[#This Row],[Recipients ]]=""),"",camp[[#This Row],[Unsubscribes]]/camp[[#This Row],[Recipients ]])</f>
        <v>3.0965391621129327E-2</v>
      </c>
      <c r="V32" s="60" t="str">
        <f>IFERROR(VLOOKUP(camp[[#This Row],[Campaign Name]],Database!B:C,3,0),"")</f>
        <v/>
      </c>
      <c r="W32" s="61">
        <f>IF(camp[[#This Row],[Date Sent]]="","",MONTH(camp[[#This Row],[Date Sent]]))</f>
        <v>11</v>
      </c>
      <c r="X32" s="61" t="str">
        <f>IFERROR(VLOOKUP(camp[[#This Row],[Month Number]],Sheet2!B:C,2,0),"")</f>
        <v>Nov</v>
      </c>
      <c r="Y32" s="61" t="str">
        <f>IF(camp[[#This Row],[Date Sent]]="","","W"&amp;WEEKNUM(camp[[#This Row],[Date Sent]],1))</f>
        <v>W47</v>
      </c>
      <c r="Z32" s="61">
        <f>IF(camp[[#This Row],[Date Sent]]="","",YEAR(camp[[#This Row],[Date Sent]]))</f>
        <v>2020</v>
      </c>
      <c r="AA32" s="62"/>
    </row>
    <row r="33" spans="1:1" ht="30" customHeight="1" x14ac:dyDescent="0.2">
      <c r="A33" s="25" t="str">
        <f t="shared" si="1"/>
        <v>Add Email Campaign---&gt;</v>
      </c>
    </row>
    <row r="34" spans="1:1" ht="30" customHeight="1" x14ac:dyDescent="0.2">
      <c r="A34" s="25" t="str">
        <f t="shared" si="1"/>
        <v/>
      </c>
    </row>
    <row r="35" spans="1:1" ht="30" customHeight="1" x14ac:dyDescent="0.2">
      <c r="A35" s="25" t="str">
        <f t="shared" si="1"/>
        <v/>
      </c>
    </row>
    <row r="36" spans="1:1" ht="30" customHeight="1" x14ac:dyDescent="0.2">
      <c r="A36" s="25" t="str">
        <f t="shared" si="1"/>
        <v/>
      </c>
    </row>
    <row r="37" spans="1:1" ht="30" customHeight="1" x14ac:dyDescent="0.2">
      <c r="A37" s="25" t="str">
        <f t="shared" si="1"/>
        <v/>
      </c>
    </row>
    <row r="38" spans="1:1" ht="30" customHeight="1" x14ac:dyDescent="0.2">
      <c r="A38" s="25" t="str">
        <f t="shared" si="1"/>
        <v/>
      </c>
    </row>
    <row r="39" spans="1:1" ht="30" customHeight="1" x14ac:dyDescent="0.2">
      <c r="A39" s="25" t="str">
        <f t="shared" si="1"/>
        <v/>
      </c>
    </row>
    <row r="40" spans="1:1" ht="30" customHeight="1" x14ac:dyDescent="0.2">
      <c r="A40" s="25" t="str">
        <f t="shared" si="1"/>
        <v/>
      </c>
    </row>
    <row r="41" spans="1:1" ht="30" customHeight="1" x14ac:dyDescent="0.2">
      <c r="A41" s="25" t="str">
        <f t="shared" si="1"/>
        <v/>
      </c>
    </row>
    <row r="42" spans="1:1" ht="30" customHeight="1" x14ac:dyDescent="0.2">
      <c r="A42" s="25" t="str">
        <f t="shared" si="1"/>
        <v/>
      </c>
    </row>
    <row r="43" spans="1:1" ht="30" customHeight="1" x14ac:dyDescent="0.2">
      <c r="A43" s="25" t="str">
        <f t="shared" si="1"/>
        <v/>
      </c>
    </row>
    <row r="44" spans="1:1" ht="30" customHeight="1" x14ac:dyDescent="0.2">
      <c r="A44" s="25" t="str">
        <f t="shared" si="1"/>
        <v/>
      </c>
    </row>
    <row r="45" spans="1:1" ht="30" customHeight="1" x14ac:dyDescent="0.2">
      <c r="A45" s="25" t="str">
        <f t="shared" si="1"/>
        <v/>
      </c>
    </row>
    <row r="46" spans="1:1" ht="30" customHeight="1" x14ac:dyDescent="0.2">
      <c r="A46" s="25" t="str">
        <f t="shared" si="1"/>
        <v/>
      </c>
    </row>
    <row r="47" spans="1:1" ht="30" customHeight="1" x14ac:dyDescent="0.2">
      <c r="A47" s="25" t="str">
        <f t="shared" si="1"/>
        <v/>
      </c>
    </row>
    <row r="48" spans="1:1" ht="30" customHeight="1" x14ac:dyDescent="0.2">
      <c r="A48" s="25" t="str">
        <f t="shared" si="1"/>
        <v/>
      </c>
    </row>
    <row r="49" spans="1:1" ht="30" customHeight="1" x14ac:dyDescent="0.2">
      <c r="A49" s="25" t="str">
        <f t="shared" si="1"/>
        <v/>
      </c>
    </row>
    <row r="50" spans="1:1" ht="30" customHeight="1" x14ac:dyDescent="0.2">
      <c r="A50" s="25" t="str">
        <f t="shared" si="1"/>
        <v/>
      </c>
    </row>
    <row r="51" spans="1:1" ht="30" customHeight="1" x14ac:dyDescent="0.2">
      <c r="A51" s="25" t="str">
        <f t="shared" si="1"/>
        <v/>
      </c>
    </row>
    <row r="52" spans="1:1" ht="30" customHeight="1" x14ac:dyDescent="0.2">
      <c r="A52" s="25" t="str">
        <f t="shared" si="1"/>
        <v/>
      </c>
    </row>
    <row r="53" spans="1:1" ht="30" customHeight="1" x14ac:dyDescent="0.2">
      <c r="A53" s="25" t="str">
        <f t="shared" si="1"/>
        <v/>
      </c>
    </row>
    <row r="54" spans="1:1" ht="30" customHeight="1" x14ac:dyDescent="0.2">
      <c r="A54" s="25" t="str">
        <f t="shared" si="1"/>
        <v/>
      </c>
    </row>
    <row r="55" spans="1:1" ht="30" customHeight="1" x14ac:dyDescent="0.2">
      <c r="A55" s="25" t="str">
        <f t="shared" si="1"/>
        <v/>
      </c>
    </row>
    <row r="56" spans="1:1" ht="30" customHeight="1" x14ac:dyDescent="0.2">
      <c r="A56" s="25" t="str">
        <f t="shared" si="1"/>
        <v/>
      </c>
    </row>
    <row r="57" spans="1:1" ht="30" customHeight="1" x14ac:dyDescent="0.2">
      <c r="A57" s="25" t="str">
        <f t="shared" si="1"/>
        <v/>
      </c>
    </row>
    <row r="58" spans="1:1" ht="30" customHeight="1" x14ac:dyDescent="0.2">
      <c r="A58" s="25" t="str">
        <f t="shared" si="1"/>
        <v/>
      </c>
    </row>
    <row r="59" spans="1:1" ht="30" customHeight="1" x14ac:dyDescent="0.2">
      <c r="A59" s="25" t="str">
        <f t="shared" si="1"/>
        <v/>
      </c>
    </row>
    <row r="60" spans="1:1" ht="30" customHeight="1" x14ac:dyDescent="0.2">
      <c r="A60" s="25" t="str">
        <f t="shared" si="1"/>
        <v/>
      </c>
    </row>
    <row r="61" spans="1:1" ht="30" customHeight="1" x14ac:dyDescent="0.2">
      <c r="A61" s="25" t="str">
        <f t="shared" si="1"/>
        <v/>
      </c>
    </row>
    <row r="62" spans="1:1" ht="30" customHeight="1" x14ac:dyDescent="0.2">
      <c r="A62" s="25" t="str">
        <f t="shared" si="1"/>
        <v/>
      </c>
    </row>
    <row r="63" spans="1:1" ht="30" customHeight="1" x14ac:dyDescent="0.2">
      <c r="A63" s="25" t="str">
        <f t="shared" si="1"/>
        <v/>
      </c>
    </row>
    <row r="64" spans="1:1" ht="30" customHeight="1" x14ac:dyDescent="0.2">
      <c r="A64" s="25" t="str">
        <f t="shared" si="1"/>
        <v/>
      </c>
    </row>
    <row r="65" spans="1:1" ht="30" customHeight="1" x14ac:dyDescent="0.2">
      <c r="A65" s="25" t="str">
        <f t="shared" si="1"/>
        <v/>
      </c>
    </row>
    <row r="66" spans="1:1" ht="30" customHeight="1" x14ac:dyDescent="0.2">
      <c r="A66" s="25" t="str">
        <f t="shared" si="1"/>
        <v/>
      </c>
    </row>
    <row r="67" spans="1:1" ht="30" customHeight="1" x14ac:dyDescent="0.2">
      <c r="A67" s="25" t="str">
        <f t="shared" si="1"/>
        <v/>
      </c>
    </row>
    <row r="68" spans="1:1" ht="30" customHeight="1" x14ac:dyDescent="0.2">
      <c r="A68" s="25" t="str">
        <f t="shared" si="1"/>
        <v/>
      </c>
    </row>
    <row r="69" spans="1:1" ht="30" customHeight="1" x14ac:dyDescent="0.2">
      <c r="A69" s="25" t="str">
        <f t="shared" si="1"/>
        <v/>
      </c>
    </row>
    <row r="70" spans="1:1" ht="30" customHeight="1" x14ac:dyDescent="0.2">
      <c r="A70" s="25" t="str">
        <f t="shared" ref="A70:A133" si="2">IF(AND(B69&lt;&gt;"",B70=""),$A$2&amp;"---&gt;","")</f>
        <v/>
      </c>
    </row>
    <row r="71" spans="1:1" ht="30" customHeight="1" x14ac:dyDescent="0.2">
      <c r="A71" s="25" t="str">
        <f t="shared" si="2"/>
        <v/>
      </c>
    </row>
    <row r="72" spans="1:1" ht="30" customHeight="1" x14ac:dyDescent="0.2">
      <c r="A72" s="25" t="str">
        <f t="shared" si="2"/>
        <v/>
      </c>
    </row>
    <row r="73" spans="1:1" ht="30" customHeight="1" x14ac:dyDescent="0.2">
      <c r="A73" s="25" t="str">
        <f t="shared" si="2"/>
        <v/>
      </c>
    </row>
    <row r="74" spans="1:1" ht="30" customHeight="1" x14ac:dyDescent="0.2">
      <c r="A74" s="25" t="str">
        <f t="shared" si="2"/>
        <v/>
      </c>
    </row>
    <row r="75" spans="1:1" ht="30" customHeight="1" x14ac:dyDescent="0.2">
      <c r="A75" s="25" t="str">
        <f t="shared" si="2"/>
        <v/>
      </c>
    </row>
    <row r="76" spans="1:1" ht="30" customHeight="1" x14ac:dyDescent="0.2">
      <c r="A76" s="25" t="str">
        <f t="shared" si="2"/>
        <v/>
      </c>
    </row>
    <row r="77" spans="1:1" ht="30" customHeight="1" x14ac:dyDescent="0.2">
      <c r="A77" s="25" t="str">
        <f t="shared" si="2"/>
        <v/>
      </c>
    </row>
    <row r="78" spans="1:1" ht="30" customHeight="1" x14ac:dyDescent="0.2">
      <c r="A78" s="25" t="str">
        <f t="shared" si="2"/>
        <v/>
      </c>
    </row>
    <row r="79" spans="1:1" ht="30" customHeight="1" x14ac:dyDescent="0.2">
      <c r="A79" s="25" t="str">
        <f t="shared" si="2"/>
        <v/>
      </c>
    </row>
    <row r="80" spans="1:1" ht="30" customHeight="1" x14ac:dyDescent="0.2">
      <c r="A80" s="25" t="str">
        <f t="shared" si="2"/>
        <v/>
      </c>
    </row>
    <row r="81" spans="1:1" ht="30" customHeight="1" x14ac:dyDescent="0.2">
      <c r="A81" s="25" t="str">
        <f t="shared" si="2"/>
        <v/>
      </c>
    </row>
    <row r="82" spans="1:1" ht="30" customHeight="1" x14ac:dyDescent="0.2">
      <c r="A82" s="25" t="str">
        <f t="shared" si="2"/>
        <v/>
      </c>
    </row>
    <row r="83" spans="1:1" ht="30" customHeight="1" x14ac:dyDescent="0.2">
      <c r="A83" s="25" t="str">
        <f t="shared" si="2"/>
        <v/>
      </c>
    </row>
    <row r="84" spans="1:1" ht="30" customHeight="1" x14ac:dyDescent="0.2">
      <c r="A84" s="25" t="str">
        <f t="shared" si="2"/>
        <v/>
      </c>
    </row>
    <row r="85" spans="1:1" ht="30" customHeight="1" x14ac:dyDescent="0.2">
      <c r="A85" s="25" t="str">
        <f t="shared" si="2"/>
        <v/>
      </c>
    </row>
    <row r="86" spans="1:1" ht="30" customHeight="1" x14ac:dyDescent="0.2">
      <c r="A86" s="25" t="str">
        <f t="shared" si="2"/>
        <v/>
      </c>
    </row>
    <row r="87" spans="1:1" ht="30" customHeight="1" x14ac:dyDescent="0.2">
      <c r="A87" s="25" t="str">
        <f t="shared" si="2"/>
        <v/>
      </c>
    </row>
    <row r="88" spans="1:1" ht="30" customHeight="1" x14ac:dyDescent="0.2">
      <c r="A88" s="25" t="str">
        <f t="shared" si="2"/>
        <v/>
      </c>
    </row>
    <row r="89" spans="1:1" ht="30" customHeight="1" x14ac:dyDescent="0.2">
      <c r="A89" s="25" t="str">
        <f t="shared" si="2"/>
        <v/>
      </c>
    </row>
    <row r="90" spans="1:1" ht="30" customHeight="1" x14ac:dyDescent="0.2">
      <c r="A90" s="25" t="str">
        <f t="shared" si="2"/>
        <v/>
      </c>
    </row>
    <row r="91" spans="1:1" ht="30" customHeight="1" x14ac:dyDescent="0.2">
      <c r="A91" s="25" t="str">
        <f t="shared" si="2"/>
        <v/>
      </c>
    </row>
    <row r="92" spans="1:1" ht="30" customHeight="1" x14ac:dyDescent="0.2">
      <c r="A92" s="25" t="str">
        <f t="shared" si="2"/>
        <v/>
      </c>
    </row>
    <row r="93" spans="1:1" ht="30" customHeight="1" x14ac:dyDescent="0.2">
      <c r="A93" s="25" t="str">
        <f t="shared" si="2"/>
        <v/>
      </c>
    </row>
    <row r="94" spans="1:1" ht="30" customHeight="1" x14ac:dyDescent="0.2">
      <c r="A94" s="25" t="str">
        <f t="shared" si="2"/>
        <v/>
      </c>
    </row>
    <row r="95" spans="1:1" ht="30" customHeight="1" x14ac:dyDescent="0.2">
      <c r="A95" s="25" t="str">
        <f t="shared" si="2"/>
        <v/>
      </c>
    </row>
    <row r="96" spans="1:1" ht="30" customHeight="1" x14ac:dyDescent="0.2">
      <c r="A96" s="25" t="str">
        <f t="shared" si="2"/>
        <v/>
      </c>
    </row>
    <row r="97" spans="1:1" ht="30" customHeight="1" x14ac:dyDescent="0.2">
      <c r="A97" s="25" t="str">
        <f t="shared" si="2"/>
        <v/>
      </c>
    </row>
    <row r="98" spans="1:1" ht="30" customHeight="1" x14ac:dyDescent="0.2">
      <c r="A98" s="25" t="str">
        <f t="shared" si="2"/>
        <v/>
      </c>
    </row>
    <row r="99" spans="1:1" ht="30" customHeight="1" x14ac:dyDescent="0.2">
      <c r="A99" s="25" t="str">
        <f t="shared" si="2"/>
        <v/>
      </c>
    </row>
    <row r="100" spans="1:1" ht="30" customHeight="1" x14ac:dyDescent="0.2">
      <c r="A100" s="25" t="str">
        <f t="shared" si="2"/>
        <v/>
      </c>
    </row>
    <row r="101" spans="1:1" ht="30" customHeight="1" x14ac:dyDescent="0.2">
      <c r="A101" s="25" t="str">
        <f t="shared" si="2"/>
        <v/>
      </c>
    </row>
    <row r="102" spans="1:1" ht="30" customHeight="1" x14ac:dyDescent="0.2">
      <c r="A102" s="25" t="str">
        <f t="shared" si="2"/>
        <v/>
      </c>
    </row>
    <row r="103" spans="1:1" ht="30" customHeight="1" x14ac:dyDescent="0.2">
      <c r="A103" s="25" t="str">
        <f t="shared" si="2"/>
        <v/>
      </c>
    </row>
    <row r="104" spans="1:1" ht="30" customHeight="1" x14ac:dyDescent="0.2">
      <c r="A104" s="25" t="str">
        <f t="shared" si="2"/>
        <v/>
      </c>
    </row>
    <row r="105" spans="1:1" ht="30" customHeight="1" x14ac:dyDescent="0.2">
      <c r="A105" s="25" t="str">
        <f t="shared" si="2"/>
        <v/>
      </c>
    </row>
    <row r="106" spans="1:1" ht="30" customHeight="1" x14ac:dyDescent="0.2">
      <c r="A106" s="25" t="str">
        <f t="shared" si="2"/>
        <v/>
      </c>
    </row>
    <row r="107" spans="1:1" ht="30" customHeight="1" x14ac:dyDescent="0.2">
      <c r="A107" s="25" t="str">
        <f t="shared" si="2"/>
        <v/>
      </c>
    </row>
    <row r="108" spans="1:1" ht="30" customHeight="1" x14ac:dyDescent="0.2">
      <c r="A108" s="25" t="str">
        <f t="shared" si="2"/>
        <v/>
      </c>
    </row>
    <row r="109" spans="1:1" ht="30" customHeight="1" x14ac:dyDescent="0.2">
      <c r="A109" s="25" t="str">
        <f t="shared" si="2"/>
        <v/>
      </c>
    </row>
    <row r="110" spans="1:1" ht="30" customHeight="1" x14ac:dyDescent="0.2">
      <c r="A110" s="25" t="str">
        <f t="shared" si="2"/>
        <v/>
      </c>
    </row>
    <row r="111" spans="1:1" ht="30" customHeight="1" x14ac:dyDescent="0.2">
      <c r="A111" s="25" t="str">
        <f t="shared" si="2"/>
        <v/>
      </c>
    </row>
    <row r="112" spans="1:1" ht="30" customHeight="1" x14ac:dyDescent="0.2">
      <c r="A112" s="25" t="str">
        <f t="shared" si="2"/>
        <v/>
      </c>
    </row>
    <row r="113" spans="1:1" ht="30" customHeight="1" x14ac:dyDescent="0.2">
      <c r="A113" s="25" t="str">
        <f t="shared" si="2"/>
        <v/>
      </c>
    </row>
    <row r="114" spans="1:1" ht="30" customHeight="1" x14ac:dyDescent="0.2">
      <c r="A114" s="25" t="str">
        <f t="shared" si="2"/>
        <v/>
      </c>
    </row>
    <row r="115" spans="1:1" ht="30" customHeight="1" x14ac:dyDescent="0.2">
      <c r="A115" s="25" t="str">
        <f t="shared" si="2"/>
        <v/>
      </c>
    </row>
    <row r="116" spans="1:1" ht="30" customHeight="1" x14ac:dyDescent="0.2">
      <c r="A116" s="25" t="str">
        <f t="shared" si="2"/>
        <v/>
      </c>
    </row>
    <row r="117" spans="1:1" ht="30" customHeight="1" x14ac:dyDescent="0.2">
      <c r="A117" s="25" t="str">
        <f t="shared" si="2"/>
        <v/>
      </c>
    </row>
    <row r="118" spans="1:1" ht="30" customHeight="1" x14ac:dyDescent="0.2">
      <c r="A118" s="25" t="str">
        <f t="shared" si="2"/>
        <v/>
      </c>
    </row>
    <row r="119" spans="1:1" ht="30" customHeight="1" x14ac:dyDescent="0.2">
      <c r="A119" s="25" t="str">
        <f t="shared" si="2"/>
        <v/>
      </c>
    </row>
    <row r="120" spans="1:1" ht="30" customHeight="1" x14ac:dyDescent="0.2">
      <c r="A120" s="25" t="str">
        <f t="shared" si="2"/>
        <v/>
      </c>
    </row>
    <row r="121" spans="1:1" ht="30" customHeight="1" x14ac:dyDescent="0.2">
      <c r="A121" s="25" t="str">
        <f t="shared" si="2"/>
        <v/>
      </c>
    </row>
    <row r="122" spans="1:1" ht="30" customHeight="1" x14ac:dyDescent="0.2">
      <c r="A122" s="25" t="str">
        <f t="shared" si="2"/>
        <v/>
      </c>
    </row>
    <row r="123" spans="1:1" ht="30" customHeight="1" x14ac:dyDescent="0.2">
      <c r="A123" s="25" t="str">
        <f t="shared" si="2"/>
        <v/>
      </c>
    </row>
    <row r="124" spans="1:1" ht="30" customHeight="1" x14ac:dyDescent="0.2">
      <c r="A124" s="25" t="str">
        <f t="shared" si="2"/>
        <v/>
      </c>
    </row>
    <row r="125" spans="1:1" ht="30" customHeight="1" x14ac:dyDescent="0.2">
      <c r="A125" s="25" t="str">
        <f t="shared" si="2"/>
        <v/>
      </c>
    </row>
    <row r="126" spans="1:1" ht="30" customHeight="1" x14ac:dyDescent="0.2">
      <c r="A126" s="25" t="str">
        <f t="shared" si="2"/>
        <v/>
      </c>
    </row>
    <row r="127" spans="1:1" ht="30" customHeight="1" x14ac:dyDescent="0.2">
      <c r="A127" s="25" t="str">
        <f t="shared" si="2"/>
        <v/>
      </c>
    </row>
    <row r="128" spans="1:1" ht="30" customHeight="1" x14ac:dyDescent="0.2">
      <c r="A128" s="25" t="str">
        <f t="shared" si="2"/>
        <v/>
      </c>
    </row>
    <row r="129" spans="1:1" ht="30" customHeight="1" x14ac:dyDescent="0.2">
      <c r="A129" s="25" t="str">
        <f t="shared" si="2"/>
        <v/>
      </c>
    </row>
    <row r="130" spans="1:1" ht="30" customHeight="1" x14ac:dyDescent="0.2">
      <c r="A130" s="25" t="str">
        <f t="shared" si="2"/>
        <v/>
      </c>
    </row>
    <row r="131" spans="1:1" ht="30" customHeight="1" x14ac:dyDescent="0.2">
      <c r="A131" s="25" t="str">
        <f t="shared" si="2"/>
        <v/>
      </c>
    </row>
    <row r="132" spans="1:1" ht="30" customHeight="1" x14ac:dyDescent="0.2">
      <c r="A132" s="25" t="str">
        <f t="shared" si="2"/>
        <v/>
      </c>
    </row>
    <row r="133" spans="1:1" ht="30" customHeight="1" x14ac:dyDescent="0.2">
      <c r="A133" s="25" t="str">
        <f t="shared" si="2"/>
        <v/>
      </c>
    </row>
    <row r="134" spans="1:1" ht="30" customHeight="1" x14ac:dyDescent="0.2">
      <c r="A134" s="25" t="str">
        <f t="shared" ref="A134:A197" si="3">IF(AND(B133&lt;&gt;"",B134=""),$A$2&amp;"---&gt;","")</f>
        <v/>
      </c>
    </row>
    <row r="135" spans="1:1" ht="30" customHeight="1" x14ac:dyDescent="0.2">
      <c r="A135" s="25" t="str">
        <f t="shared" si="3"/>
        <v/>
      </c>
    </row>
    <row r="136" spans="1:1" ht="30" customHeight="1" x14ac:dyDescent="0.2">
      <c r="A136" s="25" t="str">
        <f t="shared" si="3"/>
        <v/>
      </c>
    </row>
    <row r="137" spans="1:1" ht="30" customHeight="1" x14ac:dyDescent="0.2">
      <c r="A137" s="25" t="str">
        <f t="shared" si="3"/>
        <v/>
      </c>
    </row>
    <row r="138" spans="1:1" ht="30" customHeight="1" x14ac:dyDescent="0.2">
      <c r="A138" s="25" t="str">
        <f t="shared" si="3"/>
        <v/>
      </c>
    </row>
    <row r="139" spans="1:1" ht="30" customHeight="1" x14ac:dyDescent="0.2">
      <c r="A139" s="25" t="str">
        <f t="shared" si="3"/>
        <v/>
      </c>
    </row>
    <row r="140" spans="1:1" ht="30" customHeight="1" x14ac:dyDescent="0.2">
      <c r="A140" s="25" t="str">
        <f t="shared" si="3"/>
        <v/>
      </c>
    </row>
    <row r="141" spans="1:1" ht="30" customHeight="1" x14ac:dyDescent="0.2">
      <c r="A141" s="25" t="str">
        <f t="shared" si="3"/>
        <v/>
      </c>
    </row>
    <row r="142" spans="1:1" ht="30" customHeight="1" x14ac:dyDescent="0.2">
      <c r="A142" s="25" t="str">
        <f t="shared" si="3"/>
        <v/>
      </c>
    </row>
    <row r="143" spans="1:1" ht="30" customHeight="1" x14ac:dyDescent="0.2">
      <c r="A143" s="25" t="str">
        <f t="shared" si="3"/>
        <v/>
      </c>
    </row>
    <row r="144" spans="1:1" ht="30" customHeight="1" x14ac:dyDescent="0.2">
      <c r="A144" s="25" t="str">
        <f t="shared" si="3"/>
        <v/>
      </c>
    </row>
    <row r="145" spans="1:1" ht="30" customHeight="1" x14ac:dyDescent="0.2">
      <c r="A145" s="25" t="str">
        <f t="shared" si="3"/>
        <v/>
      </c>
    </row>
    <row r="146" spans="1:1" ht="30" customHeight="1" x14ac:dyDescent="0.2">
      <c r="A146" s="25" t="str">
        <f t="shared" si="3"/>
        <v/>
      </c>
    </row>
    <row r="147" spans="1:1" ht="30" customHeight="1" x14ac:dyDescent="0.2">
      <c r="A147" s="25" t="str">
        <f t="shared" si="3"/>
        <v/>
      </c>
    </row>
    <row r="148" spans="1:1" ht="30" customHeight="1" x14ac:dyDescent="0.2">
      <c r="A148" s="25" t="str">
        <f t="shared" si="3"/>
        <v/>
      </c>
    </row>
    <row r="149" spans="1:1" ht="30" customHeight="1" x14ac:dyDescent="0.2">
      <c r="A149" s="25" t="str">
        <f t="shared" si="3"/>
        <v/>
      </c>
    </row>
    <row r="150" spans="1:1" ht="30" customHeight="1" x14ac:dyDescent="0.2">
      <c r="A150" s="25" t="str">
        <f t="shared" si="3"/>
        <v/>
      </c>
    </row>
    <row r="151" spans="1:1" ht="30" customHeight="1" x14ac:dyDescent="0.2">
      <c r="A151" s="25" t="str">
        <f t="shared" si="3"/>
        <v/>
      </c>
    </row>
    <row r="152" spans="1:1" ht="30" customHeight="1" x14ac:dyDescent="0.2">
      <c r="A152" s="25" t="str">
        <f t="shared" si="3"/>
        <v/>
      </c>
    </row>
    <row r="153" spans="1:1" ht="30" customHeight="1" x14ac:dyDescent="0.2">
      <c r="A153" s="25" t="str">
        <f t="shared" si="3"/>
        <v/>
      </c>
    </row>
    <row r="154" spans="1:1" ht="30" customHeight="1" x14ac:dyDescent="0.2">
      <c r="A154" s="25" t="str">
        <f t="shared" si="3"/>
        <v/>
      </c>
    </row>
    <row r="155" spans="1:1" ht="30" customHeight="1" x14ac:dyDescent="0.2">
      <c r="A155" s="25" t="str">
        <f t="shared" si="3"/>
        <v/>
      </c>
    </row>
    <row r="156" spans="1:1" ht="30" customHeight="1" x14ac:dyDescent="0.2">
      <c r="A156" s="25" t="str">
        <f t="shared" si="3"/>
        <v/>
      </c>
    </row>
    <row r="157" spans="1:1" ht="30" customHeight="1" x14ac:dyDescent="0.2">
      <c r="A157" s="25" t="str">
        <f t="shared" si="3"/>
        <v/>
      </c>
    </row>
    <row r="158" spans="1:1" ht="30" customHeight="1" x14ac:dyDescent="0.2">
      <c r="A158" s="25" t="str">
        <f t="shared" si="3"/>
        <v/>
      </c>
    </row>
    <row r="159" spans="1:1" ht="30" customHeight="1" x14ac:dyDescent="0.2">
      <c r="A159" s="25" t="str">
        <f t="shared" si="3"/>
        <v/>
      </c>
    </row>
    <row r="160" spans="1:1" ht="30" customHeight="1" x14ac:dyDescent="0.2">
      <c r="A160" s="25" t="str">
        <f t="shared" si="3"/>
        <v/>
      </c>
    </row>
    <row r="161" spans="1:1" ht="30" customHeight="1" x14ac:dyDescent="0.2">
      <c r="A161" s="25" t="str">
        <f t="shared" si="3"/>
        <v/>
      </c>
    </row>
    <row r="162" spans="1:1" ht="30" customHeight="1" x14ac:dyDescent="0.2">
      <c r="A162" s="25" t="str">
        <f t="shared" si="3"/>
        <v/>
      </c>
    </row>
    <row r="163" spans="1:1" ht="30" customHeight="1" x14ac:dyDescent="0.2">
      <c r="A163" s="25" t="str">
        <f t="shared" si="3"/>
        <v/>
      </c>
    </row>
    <row r="164" spans="1:1" ht="30" customHeight="1" x14ac:dyDescent="0.2">
      <c r="A164" s="25" t="str">
        <f t="shared" si="3"/>
        <v/>
      </c>
    </row>
    <row r="165" spans="1:1" ht="30" customHeight="1" x14ac:dyDescent="0.2">
      <c r="A165" s="25" t="str">
        <f t="shared" si="3"/>
        <v/>
      </c>
    </row>
    <row r="166" spans="1:1" ht="30" customHeight="1" x14ac:dyDescent="0.2">
      <c r="A166" s="25" t="str">
        <f t="shared" si="3"/>
        <v/>
      </c>
    </row>
    <row r="167" spans="1:1" ht="30" customHeight="1" x14ac:dyDescent="0.2">
      <c r="A167" s="25" t="str">
        <f t="shared" si="3"/>
        <v/>
      </c>
    </row>
    <row r="168" spans="1:1" ht="30" customHeight="1" x14ac:dyDescent="0.2">
      <c r="A168" s="25" t="str">
        <f t="shared" si="3"/>
        <v/>
      </c>
    </row>
    <row r="169" spans="1:1" ht="30" customHeight="1" x14ac:dyDescent="0.2">
      <c r="A169" s="25" t="str">
        <f t="shared" si="3"/>
        <v/>
      </c>
    </row>
    <row r="170" spans="1:1" ht="30" customHeight="1" x14ac:dyDescent="0.2">
      <c r="A170" s="25" t="str">
        <f t="shared" si="3"/>
        <v/>
      </c>
    </row>
    <row r="171" spans="1:1" ht="30" customHeight="1" x14ac:dyDescent="0.2">
      <c r="A171" s="25" t="str">
        <f t="shared" si="3"/>
        <v/>
      </c>
    </row>
    <row r="172" spans="1:1" ht="30" customHeight="1" x14ac:dyDescent="0.2">
      <c r="A172" s="25" t="str">
        <f t="shared" si="3"/>
        <v/>
      </c>
    </row>
    <row r="173" spans="1:1" ht="30" customHeight="1" x14ac:dyDescent="0.2">
      <c r="A173" s="25" t="str">
        <f t="shared" si="3"/>
        <v/>
      </c>
    </row>
    <row r="174" spans="1:1" ht="30" customHeight="1" x14ac:dyDescent="0.2">
      <c r="A174" s="25" t="str">
        <f t="shared" si="3"/>
        <v/>
      </c>
    </row>
    <row r="175" spans="1:1" ht="30" customHeight="1" x14ac:dyDescent="0.2">
      <c r="A175" s="25" t="str">
        <f t="shared" si="3"/>
        <v/>
      </c>
    </row>
    <row r="176" spans="1:1" ht="30" customHeight="1" x14ac:dyDescent="0.2">
      <c r="A176" s="25" t="str">
        <f t="shared" si="3"/>
        <v/>
      </c>
    </row>
    <row r="177" spans="1:1" ht="30" customHeight="1" x14ac:dyDescent="0.2">
      <c r="A177" s="25" t="str">
        <f t="shared" si="3"/>
        <v/>
      </c>
    </row>
    <row r="178" spans="1:1" ht="30" customHeight="1" x14ac:dyDescent="0.2">
      <c r="A178" s="25" t="str">
        <f t="shared" si="3"/>
        <v/>
      </c>
    </row>
    <row r="179" spans="1:1" ht="30" customHeight="1" x14ac:dyDescent="0.2">
      <c r="A179" s="25" t="str">
        <f t="shared" si="3"/>
        <v/>
      </c>
    </row>
    <row r="180" spans="1:1" ht="30" customHeight="1" x14ac:dyDescent="0.2">
      <c r="A180" s="25" t="str">
        <f t="shared" si="3"/>
        <v/>
      </c>
    </row>
    <row r="181" spans="1:1" ht="30" customHeight="1" x14ac:dyDescent="0.2">
      <c r="A181" s="25" t="str">
        <f t="shared" si="3"/>
        <v/>
      </c>
    </row>
    <row r="182" spans="1:1" ht="30" customHeight="1" x14ac:dyDescent="0.2">
      <c r="A182" s="25" t="str">
        <f t="shared" si="3"/>
        <v/>
      </c>
    </row>
    <row r="183" spans="1:1" ht="30" customHeight="1" x14ac:dyDescent="0.2">
      <c r="A183" s="25" t="str">
        <f t="shared" si="3"/>
        <v/>
      </c>
    </row>
    <row r="184" spans="1:1" ht="30" customHeight="1" x14ac:dyDescent="0.2">
      <c r="A184" s="25" t="str">
        <f t="shared" si="3"/>
        <v/>
      </c>
    </row>
    <row r="185" spans="1:1" ht="30" customHeight="1" x14ac:dyDescent="0.2">
      <c r="A185" s="25" t="str">
        <f t="shared" si="3"/>
        <v/>
      </c>
    </row>
    <row r="186" spans="1:1" ht="30" customHeight="1" x14ac:dyDescent="0.2">
      <c r="A186" s="25" t="str">
        <f t="shared" si="3"/>
        <v/>
      </c>
    </row>
    <row r="187" spans="1:1" ht="30" customHeight="1" x14ac:dyDescent="0.2">
      <c r="A187" s="25" t="str">
        <f t="shared" si="3"/>
        <v/>
      </c>
    </row>
    <row r="188" spans="1:1" ht="30" customHeight="1" x14ac:dyDescent="0.2">
      <c r="A188" s="25" t="str">
        <f t="shared" si="3"/>
        <v/>
      </c>
    </row>
    <row r="189" spans="1:1" ht="30" customHeight="1" x14ac:dyDescent="0.2">
      <c r="A189" s="25" t="str">
        <f t="shared" si="3"/>
        <v/>
      </c>
    </row>
    <row r="190" spans="1:1" ht="30" customHeight="1" x14ac:dyDescent="0.2">
      <c r="A190" s="25" t="str">
        <f t="shared" si="3"/>
        <v/>
      </c>
    </row>
    <row r="191" spans="1:1" ht="30" customHeight="1" x14ac:dyDescent="0.2">
      <c r="A191" s="25" t="str">
        <f t="shared" si="3"/>
        <v/>
      </c>
    </row>
    <row r="192" spans="1:1" ht="30" customHeight="1" x14ac:dyDescent="0.2">
      <c r="A192" s="25" t="str">
        <f t="shared" si="3"/>
        <v/>
      </c>
    </row>
    <row r="193" spans="1:1" ht="30" customHeight="1" x14ac:dyDescent="0.2">
      <c r="A193" s="25" t="str">
        <f t="shared" si="3"/>
        <v/>
      </c>
    </row>
    <row r="194" spans="1:1" ht="30" customHeight="1" x14ac:dyDescent="0.2">
      <c r="A194" s="25" t="str">
        <f t="shared" si="3"/>
        <v/>
      </c>
    </row>
    <row r="195" spans="1:1" ht="30" customHeight="1" x14ac:dyDescent="0.2">
      <c r="A195" s="25" t="str">
        <f t="shared" si="3"/>
        <v/>
      </c>
    </row>
    <row r="196" spans="1:1" ht="30" customHeight="1" x14ac:dyDescent="0.2">
      <c r="A196" s="25" t="str">
        <f t="shared" si="3"/>
        <v/>
      </c>
    </row>
    <row r="197" spans="1:1" ht="30" customHeight="1" x14ac:dyDescent="0.2">
      <c r="A197" s="25" t="str">
        <f t="shared" si="3"/>
        <v/>
      </c>
    </row>
    <row r="198" spans="1:1" ht="30" customHeight="1" x14ac:dyDescent="0.2">
      <c r="A198" s="25" t="str">
        <f t="shared" ref="A198:A261" si="4">IF(AND(B197&lt;&gt;"",B198=""),$A$2&amp;"---&gt;","")</f>
        <v/>
      </c>
    </row>
    <row r="199" spans="1:1" ht="30" customHeight="1" x14ac:dyDescent="0.2">
      <c r="A199" s="25" t="str">
        <f t="shared" si="4"/>
        <v/>
      </c>
    </row>
    <row r="200" spans="1:1" ht="30" customHeight="1" x14ac:dyDescent="0.2">
      <c r="A200" s="25" t="str">
        <f t="shared" si="4"/>
        <v/>
      </c>
    </row>
    <row r="201" spans="1:1" ht="30" customHeight="1" x14ac:dyDescent="0.2">
      <c r="A201" s="25" t="str">
        <f t="shared" si="4"/>
        <v/>
      </c>
    </row>
    <row r="202" spans="1:1" ht="30" customHeight="1" x14ac:dyDescent="0.2">
      <c r="A202" s="25" t="str">
        <f t="shared" si="4"/>
        <v/>
      </c>
    </row>
    <row r="203" spans="1:1" ht="30" customHeight="1" x14ac:dyDescent="0.2">
      <c r="A203" s="25" t="str">
        <f t="shared" si="4"/>
        <v/>
      </c>
    </row>
    <row r="204" spans="1:1" ht="30" customHeight="1" x14ac:dyDescent="0.2">
      <c r="A204" s="25" t="str">
        <f t="shared" si="4"/>
        <v/>
      </c>
    </row>
    <row r="205" spans="1:1" ht="30" customHeight="1" x14ac:dyDescent="0.2">
      <c r="A205" s="25" t="str">
        <f t="shared" si="4"/>
        <v/>
      </c>
    </row>
    <row r="206" spans="1:1" ht="30" customHeight="1" x14ac:dyDescent="0.2">
      <c r="A206" s="25" t="str">
        <f t="shared" si="4"/>
        <v/>
      </c>
    </row>
    <row r="207" spans="1:1" ht="30" customHeight="1" x14ac:dyDescent="0.2">
      <c r="A207" s="25" t="str">
        <f t="shared" si="4"/>
        <v/>
      </c>
    </row>
    <row r="208" spans="1:1" ht="30" customHeight="1" x14ac:dyDescent="0.2">
      <c r="A208" s="25" t="str">
        <f t="shared" si="4"/>
        <v/>
      </c>
    </row>
    <row r="209" spans="1:1" ht="30" customHeight="1" x14ac:dyDescent="0.2">
      <c r="A209" s="25" t="str">
        <f t="shared" si="4"/>
        <v/>
      </c>
    </row>
    <row r="210" spans="1:1" ht="30" customHeight="1" x14ac:dyDescent="0.2">
      <c r="A210" s="25" t="str">
        <f t="shared" si="4"/>
        <v/>
      </c>
    </row>
    <row r="211" spans="1:1" ht="30" customHeight="1" x14ac:dyDescent="0.2">
      <c r="A211" s="25" t="str">
        <f t="shared" si="4"/>
        <v/>
      </c>
    </row>
    <row r="212" spans="1:1" ht="30" customHeight="1" x14ac:dyDescent="0.2">
      <c r="A212" s="25" t="str">
        <f t="shared" si="4"/>
        <v/>
      </c>
    </row>
    <row r="213" spans="1:1" ht="30" customHeight="1" x14ac:dyDescent="0.2">
      <c r="A213" s="25" t="str">
        <f t="shared" si="4"/>
        <v/>
      </c>
    </row>
    <row r="214" spans="1:1" ht="30" customHeight="1" x14ac:dyDescent="0.2">
      <c r="A214" s="25" t="str">
        <f t="shared" si="4"/>
        <v/>
      </c>
    </row>
    <row r="215" spans="1:1" ht="30" customHeight="1" x14ac:dyDescent="0.2">
      <c r="A215" s="25" t="str">
        <f t="shared" si="4"/>
        <v/>
      </c>
    </row>
    <row r="216" spans="1:1" ht="30" customHeight="1" x14ac:dyDescent="0.2">
      <c r="A216" s="25" t="str">
        <f t="shared" si="4"/>
        <v/>
      </c>
    </row>
    <row r="217" spans="1:1" ht="30" customHeight="1" x14ac:dyDescent="0.2">
      <c r="A217" s="25" t="str">
        <f t="shared" si="4"/>
        <v/>
      </c>
    </row>
    <row r="218" spans="1:1" ht="30" customHeight="1" x14ac:dyDescent="0.2">
      <c r="A218" s="25" t="str">
        <f t="shared" si="4"/>
        <v/>
      </c>
    </row>
    <row r="219" spans="1:1" ht="30" customHeight="1" x14ac:dyDescent="0.2">
      <c r="A219" s="25" t="str">
        <f t="shared" si="4"/>
        <v/>
      </c>
    </row>
    <row r="220" spans="1:1" ht="30" customHeight="1" x14ac:dyDescent="0.2">
      <c r="A220" s="25" t="str">
        <f t="shared" si="4"/>
        <v/>
      </c>
    </row>
    <row r="221" spans="1:1" ht="30" customHeight="1" x14ac:dyDescent="0.2">
      <c r="A221" s="25" t="str">
        <f t="shared" si="4"/>
        <v/>
      </c>
    </row>
    <row r="222" spans="1:1" ht="30" customHeight="1" x14ac:dyDescent="0.2">
      <c r="A222" s="25" t="str">
        <f t="shared" si="4"/>
        <v/>
      </c>
    </row>
    <row r="223" spans="1:1" ht="30" customHeight="1" x14ac:dyDescent="0.2">
      <c r="A223" s="25" t="str">
        <f t="shared" si="4"/>
        <v/>
      </c>
    </row>
    <row r="224" spans="1:1" ht="30" customHeight="1" x14ac:dyDescent="0.2">
      <c r="A224" s="25" t="str">
        <f t="shared" si="4"/>
        <v/>
      </c>
    </row>
    <row r="225" spans="1:1" ht="30" customHeight="1" x14ac:dyDescent="0.2">
      <c r="A225" s="25" t="str">
        <f t="shared" si="4"/>
        <v/>
      </c>
    </row>
    <row r="226" spans="1:1" ht="30" customHeight="1" x14ac:dyDescent="0.2">
      <c r="A226" s="25" t="str">
        <f t="shared" si="4"/>
        <v/>
      </c>
    </row>
    <row r="227" spans="1:1" ht="30" customHeight="1" x14ac:dyDescent="0.2">
      <c r="A227" s="25" t="str">
        <f t="shared" si="4"/>
        <v/>
      </c>
    </row>
    <row r="228" spans="1:1" ht="30" customHeight="1" x14ac:dyDescent="0.2">
      <c r="A228" s="25" t="str">
        <f t="shared" si="4"/>
        <v/>
      </c>
    </row>
    <row r="229" spans="1:1" ht="30" customHeight="1" x14ac:dyDescent="0.2">
      <c r="A229" s="25" t="str">
        <f t="shared" si="4"/>
        <v/>
      </c>
    </row>
    <row r="230" spans="1:1" ht="30" customHeight="1" x14ac:dyDescent="0.2">
      <c r="A230" s="25" t="str">
        <f t="shared" si="4"/>
        <v/>
      </c>
    </row>
    <row r="231" spans="1:1" ht="30" customHeight="1" x14ac:dyDescent="0.2">
      <c r="A231" s="25" t="str">
        <f t="shared" si="4"/>
        <v/>
      </c>
    </row>
    <row r="232" spans="1:1" ht="30" customHeight="1" x14ac:dyDescent="0.2">
      <c r="A232" s="25" t="str">
        <f t="shared" si="4"/>
        <v/>
      </c>
    </row>
    <row r="233" spans="1:1" ht="30" customHeight="1" x14ac:dyDescent="0.2">
      <c r="A233" s="25" t="str">
        <f t="shared" si="4"/>
        <v/>
      </c>
    </row>
    <row r="234" spans="1:1" ht="30" customHeight="1" x14ac:dyDescent="0.2">
      <c r="A234" s="25" t="str">
        <f t="shared" si="4"/>
        <v/>
      </c>
    </row>
    <row r="235" spans="1:1" ht="30" customHeight="1" x14ac:dyDescent="0.2">
      <c r="A235" s="25" t="str">
        <f t="shared" si="4"/>
        <v/>
      </c>
    </row>
    <row r="236" spans="1:1" ht="30" customHeight="1" x14ac:dyDescent="0.2">
      <c r="A236" s="25" t="str">
        <f t="shared" si="4"/>
        <v/>
      </c>
    </row>
    <row r="237" spans="1:1" ht="30" customHeight="1" x14ac:dyDescent="0.2">
      <c r="A237" s="25" t="str">
        <f t="shared" si="4"/>
        <v/>
      </c>
    </row>
    <row r="238" spans="1:1" ht="30" customHeight="1" x14ac:dyDescent="0.2">
      <c r="A238" s="25" t="str">
        <f t="shared" si="4"/>
        <v/>
      </c>
    </row>
    <row r="239" spans="1:1" ht="30" customHeight="1" x14ac:dyDescent="0.2">
      <c r="A239" s="25" t="str">
        <f t="shared" si="4"/>
        <v/>
      </c>
    </row>
    <row r="240" spans="1:1" ht="30" customHeight="1" x14ac:dyDescent="0.2">
      <c r="A240" s="25" t="str">
        <f t="shared" si="4"/>
        <v/>
      </c>
    </row>
    <row r="241" spans="1:1" ht="30" customHeight="1" x14ac:dyDescent="0.2">
      <c r="A241" s="25" t="str">
        <f t="shared" si="4"/>
        <v/>
      </c>
    </row>
    <row r="242" spans="1:1" ht="30" customHeight="1" x14ac:dyDescent="0.2">
      <c r="A242" s="25" t="str">
        <f t="shared" si="4"/>
        <v/>
      </c>
    </row>
    <row r="243" spans="1:1" ht="30" customHeight="1" x14ac:dyDescent="0.2">
      <c r="A243" s="25" t="str">
        <f t="shared" si="4"/>
        <v/>
      </c>
    </row>
    <row r="244" spans="1:1" ht="30" customHeight="1" x14ac:dyDescent="0.2">
      <c r="A244" s="25" t="str">
        <f t="shared" si="4"/>
        <v/>
      </c>
    </row>
    <row r="245" spans="1:1" ht="30" customHeight="1" x14ac:dyDescent="0.2">
      <c r="A245" s="25" t="str">
        <f t="shared" si="4"/>
        <v/>
      </c>
    </row>
    <row r="246" spans="1:1" ht="30" customHeight="1" x14ac:dyDescent="0.2">
      <c r="A246" s="25" t="str">
        <f t="shared" si="4"/>
        <v/>
      </c>
    </row>
    <row r="247" spans="1:1" ht="30" customHeight="1" x14ac:dyDescent="0.2">
      <c r="A247" s="25" t="str">
        <f t="shared" si="4"/>
        <v/>
      </c>
    </row>
    <row r="248" spans="1:1" ht="30" customHeight="1" x14ac:dyDescent="0.2">
      <c r="A248" s="25" t="str">
        <f t="shared" si="4"/>
        <v/>
      </c>
    </row>
    <row r="249" spans="1:1" ht="30" customHeight="1" x14ac:dyDescent="0.2">
      <c r="A249" s="25" t="str">
        <f t="shared" si="4"/>
        <v/>
      </c>
    </row>
    <row r="250" spans="1:1" ht="30" customHeight="1" x14ac:dyDescent="0.2">
      <c r="A250" s="25" t="str">
        <f t="shared" si="4"/>
        <v/>
      </c>
    </row>
    <row r="251" spans="1:1" ht="30" customHeight="1" x14ac:dyDescent="0.2">
      <c r="A251" s="25" t="str">
        <f t="shared" si="4"/>
        <v/>
      </c>
    </row>
    <row r="252" spans="1:1" ht="30" customHeight="1" x14ac:dyDescent="0.2">
      <c r="A252" s="25" t="str">
        <f t="shared" si="4"/>
        <v/>
      </c>
    </row>
    <row r="253" spans="1:1" ht="30" customHeight="1" x14ac:dyDescent="0.2">
      <c r="A253" s="25" t="str">
        <f t="shared" si="4"/>
        <v/>
      </c>
    </row>
    <row r="254" spans="1:1" ht="30" customHeight="1" x14ac:dyDescent="0.2">
      <c r="A254" s="25" t="str">
        <f t="shared" si="4"/>
        <v/>
      </c>
    </row>
    <row r="255" spans="1:1" ht="30" customHeight="1" x14ac:dyDescent="0.2">
      <c r="A255" s="25" t="str">
        <f t="shared" si="4"/>
        <v/>
      </c>
    </row>
    <row r="256" spans="1:1" ht="30" customHeight="1" x14ac:dyDescent="0.2">
      <c r="A256" s="25" t="str">
        <f t="shared" si="4"/>
        <v/>
      </c>
    </row>
    <row r="257" spans="1:1" ht="30" customHeight="1" x14ac:dyDescent="0.2">
      <c r="A257" s="25" t="str">
        <f t="shared" si="4"/>
        <v/>
      </c>
    </row>
    <row r="258" spans="1:1" ht="30" customHeight="1" x14ac:dyDescent="0.2">
      <c r="A258" s="25" t="str">
        <f t="shared" si="4"/>
        <v/>
      </c>
    </row>
    <row r="259" spans="1:1" ht="30" customHeight="1" x14ac:dyDescent="0.2">
      <c r="A259" s="25" t="str">
        <f t="shared" si="4"/>
        <v/>
      </c>
    </row>
    <row r="260" spans="1:1" ht="30" customHeight="1" x14ac:dyDescent="0.2">
      <c r="A260" s="25" t="str">
        <f t="shared" si="4"/>
        <v/>
      </c>
    </row>
    <row r="261" spans="1:1" ht="30" customHeight="1" x14ac:dyDescent="0.2">
      <c r="A261" s="25" t="str">
        <f t="shared" si="4"/>
        <v/>
      </c>
    </row>
    <row r="262" spans="1:1" ht="30" customHeight="1" x14ac:dyDescent="0.2">
      <c r="A262" s="25" t="str">
        <f t="shared" ref="A262:A325" si="5">IF(AND(B261&lt;&gt;"",B262=""),$A$2&amp;"---&gt;","")</f>
        <v/>
      </c>
    </row>
    <row r="263" spans="1:1" ht="30" customHeight="1" x14ac:dyDescent="0.2">
      <c r="A263" s="25" t="str">
        <f t="shared" si="5"/>
        <v/>
      </c>
    </row>
    <row r="264" spans="1:1" ht="30" customHeight="1" x14ac:dyDescent="0.2">
      <c r="A264" s="25" t="str">
        <f t="shared" si="5"/>
        <v/>
      </c>
    </row>
    <row r="265" spans="1:1" ht="30" customHeight="1" x14ac:dyDescent="0.2">
      <c r="A265" s="25" t="str">
        <f t="shared" si="5"/>
        <v/>
      </c>
    </row>
    <row r="266" spans="1:1" ht="30" customHeight="1" x14ac:dyDescent="0.2">
      <c r="A266" s="25" t="str">
        <f t="shared" si="5"/>
        <v/>
      </c>
    </row>
    <row r="267" spans="1:1" ht="30" customHeight="1" x14ac:dyDescent="0.2">
      <c r="A267" s="25" t="str">
        <f t="shared" si="5"/>
        <v/>
      </c>
    </row>
    <row r="268" spans="1:1" ht="30" customHeight="1" x14ac:dyDescent="0.2">
      <c r="A268" s="25" t="str">
        <f t="shared" si="5"/>
        <v/>
      </c>
    </row>
    <row r="269" spans="1:1" ht="30" customHeight="1" x14ac:dyDescent="0.2">
      <c r="A269" s="25" t="str">
        <f t="shared" si="5"/>
        <v/>
      </c>
    </row>
    <row r="270" spans="1:1" ht="30" customHeight="1" x14ac:dyDescent="0.2">
      <c r="A270" s="25" t="str">
        <f t="shared" si="5"/>
        <v/>
      </c>
    </row>
    <row r="271" spans="1:1" ht="30" customHeight="1" x14ac:dyDescent="0.2">
      <c r="A271" s="25" t="str">
        <f t="shared" si="5"/>
        <v/>
      </c>
    </row>
    <row r="272" spans="1:1" ht="30" customHeight="1" x14ac:dyDescent="0.2">
      <c r="A272" s="25" t="str">
        <f t="shared" si="5"/>
        <v/>
      </c>
    </row>
    <row r="273" spans="1:1" ht="30" customHeight="1" x14ac:dyDescent="0.2">
      <c r="A273" s="25" t="str">
        <f t="shared" si="5"/>
        <v/>
      </c>
    </row>
    <row r="274" spans="1:1" ht="30" customHeight="1" x14ac:dyDescent="0.2">
      <c r="A274" s="25" t="str">
        <f t="shared" si="5"/>
        <v/>
      </c>
    </row>
    <row r="275" spans="1:1" ht="30" customHeight="1" x14ac:dyDescent="0.2">
      <c r="A275" s="25" t="str">
        <f t="shared" si="5"/>
        <v/>
      </c>
    </row>
    <row r="276" spans="1:1" ht="30" customHeight="1" x14ac:dyDescent="0.2">
      <c r="A276" s="25" t="str">
        <f t="shared" si="5"/>
        <v/>
      </c>
    </row>
    <row r="277" spans="1:1" ht="30" customHeight="1" x14ac:dyDescent="0.2">
      <c r="A277" s="25" t="str">
        <f t="shared" si="5"/>
        <v/>
      </c>
    </row>
    <row r="278" spans="1:1" ht="30" customHeight="1" x14ac:dyDescent="0.2">
      <c r="A278" s="25" t="str">
        <f t="shared" si="5"/>
        <v/>
      </c>
    </row>
    <row r="279" spans="1:1" ht="30" customHeight="1" x14ac:dyDescent="0.2">
      <c r="A279" s="25" t="str">
        <f t="shared" si="5"/>
        <v/>
      </c>
    </row>
    <row r="280" spans="1:1" ht="30" customHeight="1" x14ac:dyDescent="0.2">
      <c r="A280" s="25" t="str">
        <f t="shared" si="5"/>
        <v/>
      </c>
    </row>
    <row r="281" spans="1:1" ht="30" customHeight="1" x14ac:dyDescent="0.2">
      <c r="A281" s="25" t="str">
        <f t="shared" si="5"/>
        <v/>
      </c>
    </row>
    <row r="282" spans="1:1" ht="30" customHeight="1" x14ac:dyDescent="0.2">
      <c r="A282" s="25" t="str">
        <f t="shared" si="5"/>
        <v/>
      </c>
    </row>
    <row r="283" spans="1:1" ht="30" customHeight="1" x14ac:dyDescent="0.2">
      <c r="A283" s="25" t="str">
        <f t="shared" si="5"/>
        <v/>
      </c>
    </row>
    <row r="284" spans="1:1" ht="30" customHeight="1" x14ac:dyDescent="0.2">
      <c r="A284" s="25" t="str">
        <f t="shared" si="5"/>
        <v/>
      </c>
    </row>
    <row r="285" spans="1:1" ht="30" customHeight="1" x14ac:dyDescent="0.2">
      <c r="A285" s="25" t="str">
        <f t="shared" si="5"/>
        <v/>
      </c>
    </row>
    <row r="286" spans="1:1" ht="30" customHeight="1" x14ac:dyDescent="0.2">
      <c r="A286" s="25" t="str">
        <f t="shared" si="5"/>
        <v/>
      </c>
    </row>
    <row r="287" spans="1:1" ht="30" customHeight="1" x14ac:dyDescent="0.2">
      <c r="A287" s="25" t="str">
        <f t="shared" si="5"/>
        <v/>
      </c>
    </row>
    <row r="288" spans="1:1" ht="30" customHeight="1" x14ac:dyDescent="0.2">
      <c r="A288" s="25" t="str">
        <f t="shared" si="5"/>
        <v/>
      </c>
    </row>
    <row r="289" spans="1:1" ht="30" customHeight="1" x14ac:dyDescent="0.2">
      <c r="A289" s="25" t="str">
        <f t="shared" si="5"/>
        <v/>
      </c>
    </row>
    <row r="290" spans="1:1" ht="30" customHeight="1" x14ac:dyDescent="0.2">
      <c r="A290" s="25" t="str">
        <f t="shared" si="5"/>
        <v/>
      </c>
    </row>
    <row r="291" spans="1:1" ht="30" customHeight="1" x14ac:dyDescent="0.2">
      <c r="A291" s="25" t="str">
        <f t="shared" si="5"/>
        <v/>
      </c>
    </row>
    <row r="292" spans="1:1" ht="30" customHeight="1" x14ac:dyDescent="0.2">
      <c r="A292" s="25" t="str">
        <f t="shared" si="5"/>
        <v/>
      </c>
    </row>
    <row r="293" spans="1:1" ht="30" customHeight="1" x14ac:dyDescent="0.2">
      <c r="A293" s="25" t="str">
        <f t="shared" si="5"/>
        <v/>
      </c>
    </row>
    <row r="294" spans="1:1" ht="30" customHeight="1" x14ac:dyDescent="0.2">
      <c r="A294" s="25" t="str">
        <f t="shared" si="5"/>
        <v/>
      </c>
    </row>
    <row r="295" spans="1:1" ht="30" customHeight="1" x14ac:dyDescent="0.2">
      <c r="A295" s="25" t="str">
        <f t="shared" si="5"/>
        <v/>
      </c>
    </row>
    <row r="296" spans="1:1" ht="30" customHeight="1" x14ac:dyDescent="0.2">
      <c r="A296" s="25" t="str">
        <f t="shared" si="5"/>
        <v/>
      </c>
    </row>
    <row r="297" spans="1:1" ht="30" customHeight="1" x14ac:dyDescent="0.2">
      <c r="A297" s="25" t="str">
        <f t="shared" si="5"/>
        <v/>
      </c>
    </row>
    <row r="298" spans="1:1" ht="30" customHeight="1" x14ac:dyDescent="0.2">
      <c r="A298" s="25" t="str">
        <f t="shared" si="5"/>
        <v/>
      </c>
    </row>
    <row r="299" spans="1:1" ht="30" customHeight="1" x14ac:dyDescent="0.2">
      <c r="A299" s="25" t="str">
        <f t="shared" si="5"/>
        <v/>
      </c>
    </row>
    <row r="300" spans="1:1" ht="30" customHeight="1" x14ac:dyDescent="0.2">
      <c r="A300" s="25" t="str">
        <f t="shared" si="5"/>
        <v/>
      </c>
    </row>
    <row r="301" spans="1:1" ht="30" customHeight="1" x14ac:dyDescent="0.2">
      <c r="A301" s="25" t="str">
        <f t="shared" si="5"/>
        <v/>
      </c>
    </row>
    <row r="302" spans="1:1" ht="30" customHeight="1" x14ac:dyDescent="0.2">
      <c r="A302" s="25" t="str">
        <f t="shared" si="5"/>
        <v/>
      </c>
    </row>
    <row r="303" spans="1:1" ht="30" customHeight="1" x14ac:dyDescent="0.2">
      <c r="A303" s="25" t="str">
        <f t="shared" si="5"/>
        <v/>
      </c>
    </row>
    <row r="304" spans="1:1" ht="30" customHeight="1" x14ac:dyDescent="0.2">
      <c r="A304" s="25" t="str">
        <f t="shared" si="5"/>
        <v/>
      </c>
    </row>
    <row r="305" spans="1:1" ht="30" customHeight="1" x14ac:dyDescent="0.2">
      <c r="A305" s="25" t="str">
        <f t="shared" si="5"/>
        <v/>
      </c>
    </row>
    <row r="306" spans="1:1" ht="30" customHeight="1" x14ac:dyDescent="0.2">
      <c r="A306" s="25" t="str">
        <f t="shared" si="5"/>
        <v/>
      </c>
    </row>
    <row r="307" spans="1:1" ht="30" customHeight="1" x14ac:dyDescent="0.2">
      <c r="A307" s="25" t="str">
        <f t="shared" si="5"/>
        <v/>
      </c>
    </row>
    <row r="308" spans="1:1" ht="30" customHeight="1" x14ac:dyDescent="0.2">
      <c r="A308" s="25" t="str">
        <f t="shared" si="5"/>
        <v/>
      </c>
    </row>
    <row r="309" spans="1:1" ht="30" customHeight="1" x14ac:dyDescent="0.2">
      <c r="A309" s="25" t="str">
        <f t="shared" si="5"/>
        <v/>
      </c>
    </row>
    <row r="310" spans="1:1" ht="30" customHeight="1" x14ac:dyDescent="0.2">
      <c r="A310" s="25" t="str">
        <f t="shared" si="5"/>
        <v/>
      </c>
    </row>
    <row r="311" spans="1:1" ht="30" customHeight="1" x14ac:dyDescent="0.2">
      <c r="A311" s="25" t="str">
        <f t="shared" si="5"/>
        <v/>
      </c>
    </row>
    <row r="312" spans="1:1" ht="30" customHeight="1" x14ac:dyDescent="0.2">
      <c r="A312" s="25" t="str">
        <f t="shared" si="5"/>
        <v/>
      </c>
    </row>
    <row r="313" spans="1:1" ht="30" customHeight="1" x14ac:dyDescent="0.2">
      <c r="A313" s="25" t="str">
        <f t="shared" si="5"/>
        <v/>
      </c>
    </row>
    <row r="314" spans="1:1" ht="30" customHeight="1" x14ac:dyDescent="0.2">
      <c r="A314" s="25" t="str">
        <f t="shared" si="5"/>
        <v/>
      </c>
    </row>
    <row r="315" spans="1:1" ht="30" customHeight="1" x14ac:dyDescent="0.2">
      <c r="A315" s="25" t="str">
        <f t="shared" si="5"/>
        <v/>
      </c>
    </row>
    <row r="316" spans="1:1" ht="30" customHeight="1" x14ac:dyDescent="0.2">
      <c r="A316" s="25" t="str">
        <f t="shared" si="5"/>
        <v/>
      </c>
    </row>
    <row r="317" spans="1:1" ht="30" customHeight="1" x14ac:dyDescent="0.2">
      <c r="A317" s="25" t="str">
        <f t="shared" si="5"/>
        <v/>
      </c>
    </row>
    <row r="318" spans="1:1" ht="30" customHeight="1" x14ac:dyDescent="0.2">
      <c r="A318" s="25" t="str">
        <f t="shared" si="5"/>
        <v/>
      </c>
    </row>
    <row r="319" spans="1:1" ht="30" customHeight="1" x14ac:dyDescent="0.2">
      <c r="A319" s="25" t="str">
        <f t="shared" si="5"/>
        <v/>
      </c>
    </row>
    <row r="320" spans="1:1" ht="30" customHeight="1" x14ac:dyDescent="0.2">
      <c r="A320" s="25" t="str">
        <f t="shared" si="5"/>
        <v/>
      </c>
    </row>
    <row r="321" spans="1:1" ht="30" customHeight="1" x14ac:dyDescent="0.2">
      <c r="A321" s="25" t="str">
        <f t="shared" si="5"/>
        <v/>
      </c>
    </row>
    <row r="322" spans="1:1" ht="30" customHeight="1" x14ac:dyDescent="0.2">
      <c r="A322" s="25" t="str">
        <f t="shared" si="5"/>
        <v/>
      </c>
    </row>
    <row r="323" spans="1:1" ht="30" customHeight="1" x14ac:dyDescent="0.2">
      <c r="A323" s="25" t="str">
        <f t="shared" si="5"/>
        <v/>
      </c>
    </row>
    <row r="324" spans="1:1" ht="30" customHeight="1" x14ac:dyDescent="0.2">
      <c r="A324" s="25" t="str">
        <f t="shared" si="5"/>
        <v/>
      </c>
    </row>
    <row r="325" spans="1:1" ht="30" customHeight="1" x14ac:dyDescent="0.2">
      <c r="A325" s="25" t="str">
        <f t="shared" si="5"/>
        <v/>
      </c>
    </row>
    <row r="326" spans="1:1" ht="30" customHeight="1" x14ac:dyDescent="0.2">
      <c r="A326" s="25" t="str">
        <f t="shared" ref="A326:A389" si="6">IF(AND(B325&lt;&gt;"",B326=""),$A$2&amp;"---&gt;","")</f>
        <v/>
      </c>
    </row>
    <row r="327" spans="1:1" ht="30" customHeight="1" x14ac:dyDescent="0.2">
      <c r="A327" s="25" t="str">
        <f t="shared" si="6"/>
        <v/>
      </c>
    </row>
    <row r="328" spans="1:1" ht="30" customHeight="1" x14ac:dyDescent="0.2">
      <c r="A328" s="25" t="str">
        <f t="shared" si="6"/>
        <v/>
      </c>
    </row>
    <row r="329" spans="1:1" ht="30" customHeight="1" x14ac:dyDescent="0.2">
      <c r="A329" s="25" t="str">
        <f t="shared" si="6"/>
        <v/>
      </c>
    </row>
    <row r="330" spans="1:1" ht="30" customHeight="1" x14ac:dyDescent="0.2">
      <c r="A330" s="25" t="str">
        <f t="shared" si="6"/>
        <v/>
      </c>
    </row>
    <row r="331" spans="1:1" ht="30" customHeight="1" x14ac:dyDescent="0.2">
      <c r="A331" s="25" t="str">
        <f t="shared" si="6"/>
        <v/>
      </c>
    </row>
    <row r="332" spans="1:1" ht="30" customHeight="1" x14ac:dyDescent="0.2">
      <c r="A332" s="25" t="str">
        <f t="shared" si="6"/>
        <v/>
      </c>
    </row>
    <row r="333" spans="1:1" ht="30" customHeight="1" x14ac:dyDescent="0.2">
      <c r="A333" s="25" t="str">
        <f t="shared" si="6"/>
        <v/>
      </c>
    </row>
    <row r="334" spans="1:1" ht="30" customHeight="1" x14ac:dyDescent="0.2">
      <c r="A334" s="25" t="str">
        <f t="shared" si="6"/>
        <v/>
      </c>
    </row>
    <row r="335" spans="1:1" ht="30" customHeight="1" x14ac:dyDescent="0.2">
      <c r="A335" s="25" t="str">
        <f t="shared" si="6"/>
        <v/>
      </c>
    </row>
    <row r="336" spans="1:1" ht="30" customHeight="1" x14ac:dyDescent="0.2">
      <c r="A336" s="25" t="str">
        <f t="shared" si="6"/>
        <v/>
      </c>
    </row>
    <row r="337" spans="1:1" ht="30" customHeight="1" x14ac:dyDescent="0.2">
      <c r="A337" s="25" t="str">
        <f t="shared" si="6"/>
        <v/>
      </c>
    </row>
    <row r="338" spans="1:1" ht="30" customHeight="1" x14ac:dyDescent="0.2">
      <c r="A338" s="25" t="str">
        <f t="shared" si="6"/>
        <v/>
      </c>
    </row>
    <row r="339" spans="1:1" ht="30" customHeight="1" x14ac:dyDescent="0.2">
      <c r="A339" s="25" t="str">
        <f t="shared" si="6"/>
        <v/>
      </c>
    </row>
    <row r="340" spans="1:1" ht="30" customHeight="1" x14ac:dyDescent="0.2">
      <c r="A340" s="25" t="str">
        <f t="shared" si="6"/>
        <v/>
      </c>
    </row>
    <row r="341" spans="1:1" ht="30" customHeight="1" x14ac:dyDescent="0.2">
      <c r="A341" s="25" t="str">
        <f t="shared" si="6"/>
        <v/>
      </c>
    </row>
    <row r="342" spans="1:1" ht="30" customHeight="1" x14ac:dyDescent="0.2">
      <c r="A342" s="25" t="str">
        <f t="shared" si="6"/>
        <v/>
      </c>
    </row>
    <row r="343" spans="1:1" ht="30" customHeight="1" x14ac:dyDescent="0.2">
      <c r="A343" s="25" t="str">
        <f t="shared" si="6"/>
        <v/>
      </c>
    </row>
    <row r="344" spans="1:1" ht="30" customHeight="1" x14ac:dyDescent="0.2">
      <c r="A344" s="25" t="str">
        <f t="shared" si="6"/>
        <v/>
      </c>
    </row>
    <row r="345" spans="1:1" ht="30" customHeight="1" x14ac:dyDescent="0.2">
      <c r="A345" s="25" t="str">
        <f t="shared" si="6"/>
        <v/>
      </c>
    </row>
    <row r="346" spans="1:1" ht="30" customHeight="1" x14ac:dyDescent="0.2">
      <c r="A346" s="25" t="str">
        <f t="shared" si="6"/>
        <v/>
      </c>
    </row>
    <row r="347" spans="1:1" ht="30" customHeight="1" x14ac:dyDescent="0.2">
      <c r="A347" s="25" t="str">
        <f t="shared" si="6"/>
        <v/>
      </c>
    </row>
    <row r="348" spans="1:1" ht="30" customHeight="1" x14ac:dyDescent="0.2">
      <c r="A348" s="25" t="str">
        <f t="shared" si="6"/>
        <v/>
      </c>
    </row>
    <row r="349" spans="1:1" ht="30" customHeight="1" x14ac:dyDescent="0.2">
      <c r="A349" s="25" t="str">
        <f t="shared" si="6"/>
        <v/>
      </c>
    </row>
    <row r="350" spans="1:1" ht="30" customHeight="1" x14ac:dyDescent="0.2">
      <c r="A350" s="25" t="str">
        <f t="shared" si="6"/>
        <v/>
      </c>
    </row>
    <row r="351" spans="1:1" ht="30" customHeight="1" x14ac:dyDescent="0.2">
      <c r="A351" s="25" t="str">
        <f t="shared" si="6"/>
        <v/>
      </c>
    </row>
    <row r="352" spans="1:1" ht="30" customHeight="1" x14ac:dyDescent="0.2">
      <c r="A352" s="25" t="str">
        <f t="shared" si="6"/>
        <v/>
      </c>
    </row>
    <row r="353" spans="1:1" ht="30" customHeight="1" x14ac:dyDescent="0.2">
      <c r="A353" s="25" t="str">
        <f t="shared" si="6"/>
        <v/>
      </c>
    </row>
    <row r="354" spans="1:1" ht="30" customHeight="1" x14ac:dyDescent="0.2">
      <c r="A354" s="25" t="str">
        <f t="shared" si="6"/>
        <v/>
      </c>
    </row>
    <row r="355" spans="1:1" ht="30" customHeight="1" x14ac:dyDescent="0.2">
      <c r="A355" s="25" t="str">
        <f t="shared" si="6"/>
        <v/>
      </c>
    </row>
    <row r="356" spans="1:1" ht="30" customHeight="1" x14ac:dyDescent="0.2">
      <c r="A356" s="25" t="str">
        <f t="shared" si="6"/>
        <v/>
      </c>
    </row>
    <row r="357" spans="1:1" ht="30" customHeight="1" x14ac:dyDescent="0.2">
      <c r="A357" s="25" t="str">
        <f t="shared" si="6"/>
        <v/>
      </c>
    </row>
    <row r="358" spans="1:1" ht="30" customHeight="1" x14ac:dyDescent="0.2">
      <c r="A358" s="25" t="str">
        <f t="shared" si="6"/>
        <v/>
      </c>
    </row>
    <row r="359" spans="1:1" ht="30" customHeight="1" x14ac:dyDescent="0.2">
      <c r="A359" s="25" t="str">
        <f t="shared" si="6"/>
        <v/>
      </c>
    </row>
    <row r="360" spans="1:1" ht="30" customHeight="1" x14ac:dyDescent="0.2">
      <c r="A360" s="25" t="str">
        <f t="shared" si="6"/>
        <v/>
      </c>
    </row>
    <row r="361" spans="1:1" ht="30" customHeight="1" x14ac:dyDescent="0.2">
      <c r="A361" s="25" t="str">
        <f t="shared" si="6"/>
        <v/>
      </c>
    </row>
    <row r="362" spans="1:1" ht="30" customHeight="1" x14ac:dyDescent="0.2">
      <c r="A362" s="25" t="str">
        <f t="shared" si="6"/>
        <v/>
      </c>
    </row>
    <row r="363" spans="1:1" ht="30" customHeight="1" x14ac:dyDescent="0.2">
      <c r="A363" s="25" t="str">
        <f t="shared" si="6"/>
        <v/>
      </c>
    </row>
    <row r="364" spans="1:1" ht="30" customHeight="1" x14ac:dyDescent="0.2">
      <c r="A364" s="25" t="str">
        <f t="shared" si="6"/>
        <v/>
      </c>
    </row>
    <row r="365" spans="1:1" ht="30" customHeight="1" x14ac:dyDescent="0.2">
      <c r="A365" s="25" t="str">
        <f t="shared" si="6"/>
        <v/>
      </c>
    </row>
    <row r="366" spans="1:1" ht="30" customHeight="1" x14ac:dyDescent="0.2">
      <c r="A366" s="25" t="str">
        <f t="shared" si="6"/>
        <v/>
      </c>
    </row>
    <row r="367" spans="1:1" ht="30" customHeight="1" x14ac:dyDescent="0.2">
      <c r="A367" s="25" t="str">
        <f t="shared" si="6"/>
        <v/>
      </c>
    </row>
    <row r="368" spans="1:1" ht="30" customHeight="1" x14ac:dyDescent="0.2">
      <c r="A368" s="25" t="str">
        <f t="shared" si="6"/>
        <v/>
      </c>
    </row>
    <row r="369" spans="1:1" ht="30" customHeight="1" x14ac:dyDescent="0.2">
      <c r="A369" s="25" t="str">
        <f t="shared" si="6"/>
        <v/>
      </c>
    </row>
    <row r="370" spans="1:1" ht="30" customHeight="1" x14ac:dyDescent="0.2">
      <c r="A370" s="25" t="str">
        <f t="shared" si="6"/>
        <v/>
      </c>
    </row>
    <row r="371" spans="1:1" ht="30" customHeight="1" x14ac:dyDescent="0.2">
      <c r="A371" s="25" t="str">
        <f t="shared" si="6"/>
        <v/>
      </c>
    </row>
    <row r="372" spans="1:1" ht="30" customHeight="1" x14ac:dyDescent="0.2">
      <c r="A372" s="25" t="str">
        <f t="shared" si="6"/>
        <v/>
      </c>
    </row>
    <row r="373" spans="1:1" ht="30" customHeight="1" x14ac:dyDescent="0.2">
      <c r="A373" s="25" t="str">
        <f t="shared" si="6"/>
        <v/>
      </c>
    </row>
    <row r="374" spans="1:1" ht="30" customHeight="1" x14ac:dyDescent="0.2">
      <c r="A374" s="25" t="str">
        <f t="shared" si="6"/>
        <v/>
      </c>
    </row>
    <row r="375" spans="1:1" ht="30" customHeight="1" x14ac:dyDescent="0.2">
      <c r="A375" s="25" t="str">
        <f t="shared" si="6"/>
        <v/>
      </c>
    </row>
    <row r="376" spans="1:1" ht="30" customHeight="1" x14ac:dyDescent="0.2">
      <c r="A376" s="25" t="str">
        <f t="shared" si="6"/>
        <v/>
      </c>
    </row>
    <row r="377" spans="1:1" ht="30" customHeight="1" x14ac:dyDescent="0.2">
      <c r="A377" s="25" t="str">
        <f t="shared" si="6"/>
        <v/>
      </c>
    </row>
    <row r="378" spans="1:1" ht="30" customHeight="1" x14ac:dyDescent="0.2">
      <c r="A378" s="25" t="str">
        <f t="shared" si="6"/>
        <v/>
      </c>
    </row>
    <row r="379" spans="1:1" ht="30" customHeight="1" x14ac:dyDescent="0.2">
      <c r="A379" s="25" t="str">
        <f t="shared" si="6"/>
        <v/>
      </c>
    </row>
    <row r="380" spans="1:1" ht="30" customHeight="1" x14ac:dyDescent="0.2">
      <c r="A380" s="25" t="str">
        <f t="shared" si="6"/>
        <v/>
      </c>
    </row>
    <row r="381" spans="1:1" ht="30" customHeight="1" x14ac:dyDescent="0.2">
      <c r="A381" s="25" t="str">
        <f t="shared" si="6"/>
        <v/>
      </c>
    </row>
    <row r="382" spans="1:1" ht="30" customHeight="1" x14ac:dyDescent="0.2">
      <c r="A382" s="25" t="str">
        <f t="shared" si="6"/>
        <v/>
      </c>
    </row>
    <row r="383" spans="1:1" ht="30" customHeight="1" x14ac:dyDescent="0.2">
      <c r="A383" s="25" t="str">
        <f t="shared" si="6"/>
        <v/>
      </c>
    </row>
    <row r="384" spans="1:1" ht="30" customHeight="1" x14ac:dyDescent="0.2">
      <c r="A384" s="25" t="str">
        <f t="shared" si="6"/>
        <v/>
      </c>
    </row>
    <row r="385" spans="1:1" ht="30" customHeight="1" x14ac:dyDescent="0.2">
      <c r="A385" s="25" t="str">
        <f t="shared" si="6"/>
        <v/>
      </c>
    </row>
    <row r="386" spans="1:1" ht="30" customHeight="1" x14ac:dyDescent="0.2">
      <c r="A386" s="25" t="str">
        <f t="shared" si="6"/>
        <v/>
      </c>
    </row>
    <row r="387" spans="1:1" ht="30" customHeight="1" x14ac:dyDescent="0.2">
      <c r="A387" s="25" t="str">
        <f t="shared" si="6"/>
        <v/>
      </c>
    </row>
    <row r="388" spans="1:1" ht="30" customHeight="1" x14ac:dyDescent="0.2">
      <c r="A388" s="25" t="str">
        <f t="shared" si="6"/>
        <v/>
      </c>
    </row>
    <row r="389" spans="1:1" ht="30" customHeight="1" x14ac:dyDescent="0.2">
      <c r="A389" s="25" t="str">
        <f t="shared" si="6"/>
        <v/>
      </c>
    </row>
    <row r="390" spans="1:1" ht="30" customHeight="1" x14ac:dyDescent="0.2">
      <c r="A390" s="25" t="str">
        <f t="shared" ref="A390:A453" si="7">IF(AND(B389&lt;&gt;"",B390=""),$A$2&amp;"---&gt;","")</f>
        <v/>
      </c>
    </row>
    <row r="391" spans="1:1" ht="30" customHeight="1" x14ac:dyDescent="0.2">
      <c r="A391" s="25" t="str">
        <f t="shared" si="7"/>
        <v/>
      </c>
    </row>
    <row r="392" spans="1:1" ht="30" customHeight="1" x14ac:dyDescent="0.2">
      <c r="A392" s="25" t="str">
        <f t="shared" si="7"/>
        <v/>
      </c>
    </row>
    <row r="393" spans="1:1" ht="30" customHeight="1" x14ac:dyDescent="0.2">
      <c r="A393" s="25" t="str">
        <f t="shared" si="7"/>
        <v/>
      </c>
    </row>
    <row r="394" spans="1:1" ht="30" customHeight="1" x14ac:dyDescent="0.2">
      <c r="A394" s="25" t="str">
        <f t="shared" si="7"/>
        <v/>
      </c>
    </row>
    <row r="395" spans="1:1" ht="30" customHeight="1" x14ac:dyDescent="0.2">
      <c r="A395" s="25" t="str">
        <f t="shared" si="7"/>
        <v/>
      </c>
    </row>
    <row r="396" spans="1:1" ht="30" customHeight="1" x14ac:dyDescent="0.2">
      <c r="A396" s="25" t="str">
        <f t="shared" si="7"/>
        <v/>
      </c>
    </row>
    <row r="397" spans="1:1" ht="30" customHeight="1" x14ac:dyDescent="0.2">
      <c r="A397" s="25" t="str">
        <f t="shared" si="7"/>
        <v/>
      </c>
    </row>
    <row r="398" spans="1:1" ht="30" customHeight="1" x14ac:dyDescent="0.2">
      <c r="A398" s="25" t="str">
        <f t="shared" si="7"/>
        <v/>
      </c>
    </row>
    <row r="399" spans="1:1" ht="30" customHeight="1" x14ac:dyDescent="0.2">
      <c r="A399" s="25" t="str">
        <f t="shared" si="7"/>
        <v/>
      </c>
    </row>
    <row r="400" spans="1:1" ht="30" customHeight="1" x14ac:dyDescent="0.2">
      <c r="A400" s="25" t="str">
        <f t="shared" si="7"/>
        <v/>
      </c>
    </row>
    <row r="401" spans="1:1" ht="30" customHeight="1" x14ac:dyDescent="0.2">
      <c r="A401" s="25" t="str">
        <f t="shared" si="7"/>
        <v/>
      </c>
    </row>
    <row r="402" spans="1:1" ht="30" customHeight="1" x14ac:dyDescent="0.2">
      <c r="A402" s="25" t="str">
        <f t="shared" si="7"/>
        <v/>
      </c>
    </row>
    <row r="403" spans="1:1" ht="30" customHeight="1" x14ac:dyDescent="0.2">
      <c r="A403" s="25" t="str">
        <f t="shared" si="7"/>
        <v/>
      </c>
    </row>
    <row r="404" spans="1:1" ht="30" customHeight="1" x14ac:dyDescent="0.2">
      <c r="A404" s="25" t="str">
        <f t="shared" si="7"/>
        <v/>
      </c>
    </row>
    <row r="405" spans="1:1" ht="30" customHeight="1" x14ac:dyDescent="0.2">
      <c r="A405" s="25" t="str">
        <f t="shared" si="7"/>
        <v/>
      </c>
    </row>
    <row r="406" spans="1:1" ht="30" customHeight="1" x14ac:dyDescent="0.2">
      <c r="A406" s="25" t="str">
        <f t="shared" si="7"/>
        <v/>
      </c>
    </row>
    <row r="407" spans="1:1" ht="30" customHeight="1" x14ac:dyDescent="0.2">
      <c r="A407" s="25" t="str">
        <f t="shared" si="7"/>
        <v/>
      </c>
    </row>
    <row r="408" spans="1:1" ht="30" customHeight="1" x14ac:dyDescent="0.2">
      <c r="A408" s="25" t="str">
        <f t="shared" si="7"/>
        <v/>
      </c>
    </row>
    <row r="409" spans="1:1" ht="30" customHeight="1" x14ac:dyDescent="0.2">
      <c r="A409" s="25" t="str">
        <f t="shared" si="7"/>
        <v/>
      </c>
    </row>
    <row r="410" spans="1:1" ht="30" customHeight="1" x14ac:dyDescent="0.2">
      <c r="A410" s="25" t="str">
        <f t="shared" si="7"/>
        <v/>
      </c>
    </row>
    <row r="411" spans="1:1" ht="30" customHeight="1" x14ac:dyDescent="0.2">
      <c r="A411" s="25" t="str">
        <f t="shared" si="7"/>
        <v/>
      </c>
    </row>
    <row r="412" spans="1:1" ht="30" customHeight="1" x14ac:dyDescent="0.2">
      <c r="A412" s="25" t="str">
        <f t="shared" si="7"/>
        <v/>
      </c>
    </row>
    <row r="413" spans="1:1" ht="30" customHeight="1" x14ac:dyDescent="0.2">
      <c r="A413" s="25" t="str">
        <f t="shared" si="7"/>
        <v/>
      </c>
    </row>
    <row r="414" spans="1:1" ht="30" customHeight="1" x14ac:dyDescent="0.2">
      <c r="A414" s="25" t="str">
        <f t="shared" si="7"/>
        <v/>
      </c>
    </row>
    <row r="415" spans="1:1" ht="30" customHeight="1" x14ac:dyDescent="0.2">
      <c r="A415" s="25" t="str">
        <f t="shared" si="7"/>
        <v/>
      </c>
    </row>
    <row r="416" spans="1:1" ht="30" customHeight="1" x14ac:dyDescent="0.2">
      <c r="A416" s="25" t="str">
        <f t="shared" si="7"/>
        <v/>
      </c>
    </row>
    <row r="417" spans="1:1" ht="30" customHeight="1" x14ac:dyDescent="0.2">
      <c r="A417" s="25" t="str">
        <f t="shared" si="7"/>
        <v/>
      </c>
    </row>
    <row r="418" spans="1:1" ht="30" customHeight="1" x14ac:dyDescent="0.2">
      <c r="A418" s="25" t="str">
        <f t="shared" si="7"/>
        <v/>
      </c>
    </row>
    <row r="419" spans="1:1" ht="30" customHeight="1" x14ac:dyDescent="0.2">
      <c r="A419" s="25" t="str">
        <f t="shared" si="7"/>
        <v/>
      </c>
    </row>
    <row r="420" spans="1:1" ht="30" customHeight="1" x14ac:dyDescent="0.2">
      <c r="A420" s="25" t="str">
        <f t="shared" si="7"/>
        <v/>
      </c>
    </row>
    <row r="421" spans="1:1" ht="30" customHeight="1" x14ac:dyDescent="0.2">
      <c r="A421" s="25" t="str">
        <f t="shared" si="7"/>
        <v/>
      </c>
    </row>
    <row r="422" spans="1:1" ht="30" customHeight="1" x14ac:dyDescent="0.2">
      <c r="A422" s="25" t="str">
        <f t="shared" si="7"/>
        <v/>
      </c>
    </row>
    <row r="423" spans="1:1" ht="30" customHeight="1" x14ac:dyDescent="0.2">
      <c r="A423" s="25" t="str">
        <f t="shared" si="7"/>
        <v/>
      </c>
    </row>
    <row r="424" spans="1:1" ht="30" customHeight="1" x14ac:dyDescent="0.2">
      <c r="A424" s="25" t="str">
        <f t="shared" si="7"/>
        <v/>
      </c>
    </row>
    <row r="425" spans="1:1" ht="30" customHeight="1" x14ac:dyDescent="0.2">
      <c r="A425" s="25" t="str">
        <f t="shared" si="7"/>
        <v/>
      </c>
    </row>
    <row r="426" spans="1:1" ht="30" customHeight="1" x14ac:dyDescent="0.2">
      <c r="A426" s="25" t="str">
        <f t="shared" si="7"/>
        <v/>
      </c>
    </row>
    <row r="427" spans="1:1" ht="30" customHeight="1" x14ac:dyDescent="0.2">
      <c r="A427" s="25" t="str">
        <f t="shared" si="7"/>
        <v/>
      </c>
    </row>
    <row r="428" spans="1:1" ht="30" customHeight="1" x14ac:dyDescent="0.2">
      <c r="A428" s="25" t="str">
        <f t="shared" si="7"/>
        <v/>
      </c>
    </row>
    <row r="429" spans="1:1" ht="30" customHeight="1" x14ac:dyDescent="0.2">
      <c r="A429" s="25" t="str">
        <f t="shared" si="7"/>
        <v/>
      </c>
    </row>
    <row r="430" spans="1:1" ht="30" customHeight="1" x14ac:dyDescent="0.2">
      <c r="A430" s="25" t="str">
        <f t="shared" si="7"/>
        <v/>
      </c>
    </row>
    <row r="431" spans="1:1" ht="30" customHeight="1" x14ac:dyDescent="0.2">
      <c r="A431" s="25" t="str">
        <f t="shared" si="7"/>
        <v/>
      </c>
    </row>
    <row r="432" spans="1:1" ht="30" customHeight="1" x14ac:dyDescent="0.2">
      <c r="A432" s="25" t="str">
        <f t="shared" si="7"/>
        <v/>
      </c>
    </row>
    <row r="433" spans="1:1" ht="30" customHeight="1" x14ac:dyDescent="0.2">
      <c r="A433" s="25" t="str">
        <f t="shared" si="7"/>
        <v/>
      </c>
    </row>
    <row r="434" spans="1:1" ht="30" customHeight="1" x14ac:dyDescent="0.2">
      <c r="A434" s="25" t="str">
        <f t="shared" si="7"/>
        <v/>
      </c>
    </row>
    <row r="435" spans="1:1" ht="30" customHeight="1" x14ac:dyDescent="0.2">
      <c r="A435" s="25" t="str">
        <f t="shared" si="7"/>
        <v/>
      </c>
    </row>
    <row r="436" spans="1:1" ht="30" customHeight="1" x14ac:dyDescent="0.2">
      <c r="A436" s="25" t="str">
        <f t="shared" si="7"/>
        <v/>
      </c>
    </row>
    <row r="437" spans="1:1" ht="30" customHeight="1" x14ac:dyDescent="0.2">
      <c r="A437" s="25" t="str">
        <f t="shared" si="7"/>
        <v/>
      </c>
    </row>
    <row r="438" spans="1:1" ht="30" customHeight="1" x14ac:dyDescent="0.2">
      <c r="A438" s="25" t="str">
        <f t="shared" si="7"/>
        <v/>
      </c>
    </row>
    <row r="439" spans="1:1" ht="30" customHeight="1" x14ac:dyDescent="0.2">
      <c r="A439" s="25" t="str">
        <f t="shared" si="7"/>
        <v/>
      </c>
    </row>
    <row r="440" spans="1:1" ht="30" customHeight="1" x14ac:dyDescent="0.2">
      <c r="A440" s="25" t="str">
        <f t="shared" si="7"/>
        <v/>
      </c>
    </row>
    <row r="441" spans="1:1" ht="30" customHeight="1" x14ac:dyDescent="0.2">
      <c r="A441" s="25" t="str">
        <f t="shared" si="7"/>
        <v/>
      </c>
    </row>
    <row r="442" spans="1:1" ht="30" customHeight="1" x14ac:dyDescent="0.2">
      <c r="A442" s="25" t="str">
        <f t="shared" si="7"/>
        <v/>
      </c>
    </row>
    <row r="443" spans="1:1" ht="30" customHeight="1" x14ac:dyDescent="0.2">
      <c r="A443" s="25" t="str">
        <f t="shared" si="7"/>
        <v/>
      </c>
    </row>
    <row r="444" spans="1:1" ht="30" customHeight="1" x14ac:dyDescent="0.2">
      <c r="A444" s="25" t="str">
        <f t="shared" si="7"/>
        <v/>
      </c>
    </row>
    <row r="445" spans="1:1" ht="30" customHeight="1" x14ac:dyDescent="0.2">
      <c r="A445" s="25" t="str">
        <f t="shared" si="7"/>
        <v/>
      </c>
    </row>
    <row r="446" spans="1:1" ht="30" customHeight="1" x14ac:dyDescent="0.2">
      <c r="A446" s="25" t="str">
        <f t="shared" si="7"/>
        <v/>
      </c>
    </row>
    <row r="447" spans="1:1" ht="30" customHeight="1" x14ac:dyDescent="0.2">
      <c r="A447" s="25" t="str">
        <f t="shared" si="7"/>
        <v/>
      </c>
    </row>
    <row r="448" spans="1:1" ht="30" customHeight="1" x14ac:dyDescent="0.2">
      <c r="A448" s="25" t="str">
        <f t="shared" si="7"/>
        <v/>
      </c>
    </row>
    <row r="449" spans="1:1" ht="30" customHeight="1" x14ac:dyDescent="0.2">
      <c r="A449" s="25" t="str">
        <f t="shared" si="7"/>
        <v/>
      </c>
    </row>
    <row r="450" spans="1:1" ht="30" customHeight="1" x14ac:dyDescent="0.2">
      <c r="A450" s="25" t="str">
        <f t="shared" si="7"/>
        <v/>
      </c>
    </row>
    <row r="451" spans="1:1" ht="30" customHeight="1" x14ac:dyDescent="0.2">
      <c r="A451" s="25" t="str">
        <f t="shared" si="7"/>
        <v/>
      </c>
    </row>
    <row r="452" spans="1:1" ht="30" customHeight="1" x14ac:dyDescent="0.2">
      <c r="A452" s="25" t="str">
        <f t="shared" si="7"/>
        <v/>
      </c>
    </row>
    <row r="453" spans="1:1" ht="30" customHeight="1" x14ac:dyDescent="0.2">
      <c r="A453" s="25" t="str">
        <f t="shared" si="7"/>
        <v/>
      </c>
    </row>
    <row r="454" spans="1:1" ht="30" customHeight="1" x14ac:dyDescent="0.2">
      <c r="A454" s="25" t="str">
        <f t="shared" ref="A454:A517" si="8">IF(AND(B453&lt;&gt;"",B454=""),$A$2&amp;"---&gt;","")</f>
        <v/>
      </c>
    </row>
    <row r="455" spans="1:1" ht="30" customHeight="1" x14ac:dyDescent="0.2">
      <c r="A455" s="25" t="str">
        <f t="shared" si="8"/>
        <v/>
      </c>
    </row>
    <row r="456" spans="1:1" ht="30" customHeight="1" x14ac:dyDescent="0.2">
      <c r="A456" s="25" t="str">
        <f t="shared" si="8"/>
        <v/>
      </c>
    </row>
    <row r="457" spans="1:1" ht="30" customHeight="1" x14ac:dyDescent="0.2">
      <c r="A457" s="25" t="str">
        <f t="shared" si="8"/>
        <v/>
      </c>
    </row>
    <row r="458" spans="1:1" ht="30" customHeight="1" x14ac:dyDescent="0.2">
      <c r="A458" s="25" t="str">
        <f t="shared" si="8"/>
        <v/>
      </c>
    </row>
    <row r="459" spans="1:1" ht="30" customHeight="1" x14ac:dyDescent="0.2">
      <c r="A459" s="25" t="str">
        <f t="shared" si="8"/>
        <v/>
      </c>
    </row>
    <row r="460" spans="1:1" ht="30" customHeight="1" x14ac:dyDescent="0.2">
      <c r="A460" s="25" t="str">
        <f t="shared" si="8"/>
        <v/>
      </c>
    </row>
    <row r="461" spans="1:1" ht="30" customHeight="1" x14ac:dyDescent="0.2">
      <c r="A461" s="25" t="str">
        <f t="shared" si="8"/>
        <v/>
      </c>
    </row>
    <row r="462" spans="1:1" ht="30" customHeight="1" x14ac:dyDescent="0.2">
      <c r="A462" s="25" t="str">
        <f t="shared" si="8"/>
        <v/>
      </c>
    </row>
    <row r="463" spans="1:1" ht="30" customHeight="1" x14ac:dyDescent="0.2">
      <c r="A463" s="25" t="str">
        <f t="shared" si="8"/>
        <v/>
      </c>
    </row>
    <row r="464" spans="1:1" ht="30" customHeight="1" x14ac:dyDescent="0.2">
      <c r="A464" s="25" t="str">
        <f t="shared" si="8"/>
        <v/>
      </c>
    </row>
    <row r="465" spans="1:1" ht="30" customHeight="1" x14ac:dyDescent="0.2">
      <c r="A465" s="25" t="str">
        <f t="shared" si="8"/>
        <v/>
      </c>
    </row>
    <row r="466" spans="1:1" ht="30" customHeight="1" x14ac:dyDescent="0.2">
      <c r="A466" s="25" t="str">
        <f t="shared" si="8"/>
        <v/>
      </c>
    </row>
    <row r="467" spans="1:1" ht="30" customHeight="1" x14ac:dyDescent="0.2">
      <c r="A467" s="25" t="str">
        <f t="shared" si="8"/>
        <v/>
      </c>
    </row>
    <row r="468" spans="1:1" ht="30" customHeight="1" x14ac:dyDescent="0.2">
      <c r="A468" s="25" t="str">
        <f t="shared" si="8"/>
        <v/>
      </c>
    </row>
    <row r="469" spans="1:1" ht="30" customHeight="1" x14ac:dyDescent="0.2">
      <c r="A469" s="25" t="str">
        <f t="shared" si="8"/>
        <v/>
      </c>
    </row>
    <row r="470" spans="1:1" ht="30" customHeight="1" x14ac:dyDescent="0.2">
      <c r="A470" s="25" t="str">
        <f t="shared" si="8"/>
        <v/>
      </c>
    </row>
    <row r="471" spans="1:1" ht="30" customHeight="1" x14ac:dyDescent="0.2">
      <c r="A471" s="25" t="str">
        <f t="shared" si="8"/>
        <v/>
      </c>
    </row>
    <row r="472" spans="1:1" ht="30" customHeight="1" x14ac:dyDescent="0.2">
      <c r="A472" s="25" t="str">
        <f t="shared" si="8"/>
        <v/>
      </c>
    </row>
    <row r="473" spans="1:1" ht="30" customHeight="1" x14ac:dyDescent="0.2">
      <c r="A473" s="25" t="str">
        <f t="shared" si="8"/>
        <v/>
      </c>
    </row>
    <row r="474" spans="1:1" ht="30" customHeight="1" x14ac:dyDescent="0.2">
      <c r="A474" s="25" t="str">
        <f t="shared" si="8"/>
        <v/>
      </c>
    </row>
    <row r="475" spans="1:1" ht="30" customHeight="1" x14ac:dyDescent="0.2">
      <c r="A475" s="25" t="str">
        <f t="shared" si="8"/>
        <v/>
      </c>
    </row>
    <row r="476" spans="1:1" ht="30" customHeight="1" x14ac:dyDescent="0.2">
      <c r="A476" s="25" t="str">
        <f t="shared" si="8"/>
        <v/>
      </c>
    </row>
    <row r="477" spans="1:1" ht="30" customHeight="1" x14ac:dyDescent="0.2">
      <c r="A477" s="25" t="str">
        <f t="shared" si="8"/>
        <v/>
      </c>
    </row>
    <row r="478" spans="1:1" ht="30" customHeight="1" x14ac:dyDescent="0.2">
      <c r="A478" s="25" t="str">
        <f t="shared" si="8"/>
        <v/>
      </c>
    </row>
    <row r="479" spans="1:1" ht="30" customHeight="1" x14ac:dyDescent="0.2">
      <c r="A479" s="25" t="str">
        <f t="shared" si="8"/>
        <v/>
      </c>
    </row>
    <row r="480" spans="1:1" ht="30" customHeight="1" x14ac:dyDescent="0.2">
      <c r="A480" s="25" t="str">
        <f t="shared" si="8"/>
        <v/>
      </c>
    </row>
    <row r="481" spans="1:1" ht="30" customHeight="1" x14ac:dyDescent="0.2">
      <c r="A481" s="25" t="str">
        <f t="shared" si="8"/>
        <v/>
      </c>
    </row>
    <row r="482" spans="1:1" ht="30" customHeight="1" x14ac:dyDescent="0.2">
      <c r="A482" s="25" t="str">
        <f t="shared" si="8"/>
        <v/>
      </c>
    </row>
    <row r="483" spans="1:1" ht="30" customHeight="1" x14ac:dyDescent="0.2">
      <c r="A483" s="25" t="str">
        <f t="shared" si="8"/>
        <v/>
      </c>
    </row>
    <row r="484" spans="1:1" ht="30" customHeight="1" x14ac:dyDescent="0.2">
      <c r="A484" s="25" t="str">
        <f t="shared" si="8"/>
        <v/>
      </c>
    </row>
    <row r="485" spans="1:1" ht="30" customHeight="1" x14ac:dyDescent="0.2">
      <c r="A485" s="25" t="str">
        <f t="shared" si="8"/>
        <v/>
      </c>
    </row>
    <row r="486" spans="1:1" ht="30" customHeight="1" x14ac:dyDescent="0.2">
      <c r="A486" s="25" t="str">
        <f t="shared" si="8"/>
        <v/>
      </c>
    </row>
    <row r="487" spans="1:1" ht="30" customHeight="1" x14ac:dyDescent="0.2">
      <c r="A487" s="25" t="str">
        <f t="shared" si="8"/>
        <v/>
      </c>
    </row>
    <row r="488" spans="1:1" ht="30" customHeight="1" x14ac:dyDescent="0.2">
      <c r="A488" s="25" t="str">
        <f t="shared" si="8"/>
        <v/>
      </c>
    </row>
    <row r="489" spans="1:1" ht="30" customHeight="1" x14ac:dyDescent="0.2">
      <c r="A489" s="25" t="str">
        <f t="shared" si="8"/>
        <v/>
      </c>
    </row>
    <row r="490" spans="1:1" ht="30" customHeight="1" x14ac:dyDescent="0.2">
      <c r="A490" s="25" t="str">
        <f t="shared" si="8"/>
        <v/>
      </c>
    </row>
    <row r="491" spans="1:1" ht="30" customHeight="1" x14ac:dyDescent="0.2">
      <c r="A491" s="25" t="str">
        <f t="shared" si="8"/>
        <v/>
      </c>
    </row>
    <row r="492" spans="1:1" ht="30" customHeight="1" x14ac:dyDescent="0.2">
      <c r="A492" s="25" t="str">
        <f t="shared" si="8"/>
        <v/>
      </c>
    </row>
    <row r="493" spans="1:1" ht="30" customHeight="1" x14ac:dyDescent="0.2">
      <c r="A493" s="25" t="str">
        <f t="shared" si="8"/>
        <v/>
      </c>
    </row>
    <row r="494" spans="1:1" ht="30" customHeight="1" x14ac:dyDescent="0.2">
      <c r="A494" s="25" t="str">
        <f t="shared" si="8"/>
        <v/>
      </c>
    </row>
    <row r="495" spans="1:1" ht="30" customHeight="1" x14ac:dyDescent="0.2">
      <c r="A495" s="25" t="str">
        <f t="shared" si="8"/>
        <v/>
      </c>
    </row>
    <row r="496" spans="1:1" ht="30" customHeight="1" x14ac:dyDescent="0.2">
      <c r="A496" s="25" t="str">
        <f t="shared" si="8"/>
        <v/>
      </c>
    </row>
    <row r="497" spans="1:1" ht="30" customHeight="1" x14ac:dyDescent="0.2">
      <c r="A497" s="25" t="str">
        <f t="shared" si="8"/>
        <v/>
      </c>
    </row>
    <row r="498" spans="1:1" ht="30" customHeight="1" x14ac:dyDescent="0.2">
      <c r="A498" s="25" t="str">
        <f t="shared" si="8"/>
        <v/>
      </c>
    </row>
    <row r="499" spans="1:1" ht="30" customHeight="1" x14ac:dyDescent="0.2">
      <c r="A499" s="25" t="str">
        <f t="shared" si="8"/>
        <v/>
      </c>
    </row>
    <row r="500" spans="1:1" ht="30" customHeight="1" x14ac:dyDescent="0.2">
      <c r="A500" s="25" t="str">
        <f t="shared" si="8"/>
        <v/>
      </c>
    </row>
    <row r="501" spans="1:1" ht="30" customHeight="1" x14ac:dyDescent="0.2">
      <c r="A501" s="25" t="str">
        <f t="shared" si="8"/>
        <v/>
      </c>
    </row>
    <row r="502" spans="1:1" ht="30" customHeight="1" x14ac:dyDescent="0.2">
      <c r="A502" s="25" t="str">
        <f t="shared" si="8"/>
        <v/>
      </c>
    </row>
    <row r="503" spans="1:1" ht="30" customHeight="1" x14ac:dyDescent="0.2">
      <c r="A503" s="25" t="str">
        <f t="shared" si="8"/>
        <v/>
      </c>
    </row>
    <row r="504" spans="1:1" ht="30" customHeight="1" x14ac:dyDescent="0.2">
      <c r="A504" s="25" t="str">
        <f t="shared" si="8"/>
        <v/>
      </c>
    </row>
    <row r="505" spans="1:1" ht="30" customHeight="1" x14ac:dyDescent="0.2">
      <c r="A505" s="25" t="str">
        <f t="shared" si="8"/>
        <v/>
      </c>
    </row>
    <row r="506" spans="1:1" ht="30" customHeight="1" x14ac:dyDescent="0.2">
      <c r="A506" s="25" t="str">
        <f t="shared" si="8"/>
        <v/>
      </c>
    </row>
    <row r="507" spans="1:1" ht="30" customHeight="1" x14ac:dyDescent="0.2">
      <c r="A507" s="25" t="str">
        <f t="shared" si="8"/>
        <v/>
      </c>
    </row>
    <row r="508" spans="1:1" ht="30" customHeight="1" x14ac:dyDescent="0.2">
      <c r="A508" s="25" t="str">
        <f t="shared" si="8"/>
        <v/>
      </c>
    </row>
    <row r="509" spans="1:1" ht="30" customHeight="1" x14ac:dyDescent="0.2">
      <c r="A509" s="25" t="str">
        <f t="shared" si="8"/>
        <v/>
      </c>
    </row>
    <row r="510" spans="1:1" ht="30" customHeight="1" x14ac:dyDescent="0.2">
      <c r="A510" s="25" t="str">
        <f t="shared" si="8"/>
        <v/>
      </c>
    </row>
    <row r="511" spans="1:1" ht="30" customHeight="1" x14ac:dyDescent="0.2">
      <c r="A511" s="25" t="str">
        <f t="shared" si="8"/>
        <v/>
      </c>
    </row>
    <row r="512" spans="1:1" ht="30" customHeight="1" x14ac:dyDescent="0.2">
      <c r="A512" s="25" t="str">
        <f t="shared" si="8"/>
        <v/>
      </c>
    </row>
    <row r="513" spans="1:1" ht="30" customHeight="1" x14ac:dyDescent="0.2">
      <c r="A513" s="25" t="str">
        <f t="shared" si="8"/>
        <v/>
      </c>
    </row>
    <row r="514" spans="1:1" ht="30" customHeight="1" x14ac:dyDescent="0.2">
      <c r="A514" s="25" t="str">
        <f t="shared" si="8"/>
        <v/>
      </c>
    </row>
    <row r="515" spans="1:1" ht="30" customHeight="1" x14ac:dyDescent="0.2">
      <c r="A515" s="25" t="str">
        <f t="shared" si="8"/>
        <v/>
      </c>
    </row>
    <row r="516" spans="1:1" ht="30" customHeight="1" x14ac:dyDescent="0.2">
      <c r="A516" s="25" t="str">
        <f t="shared" si="8"/>
        <v/>
      </c>
    </row>
    <row r="517" spans="1:1" ht="30" customHeight="1" x14ac:dyDescent="0.2">
      <c r="A517" s="25" t="str">
        <f t="shared" si="8"/>
        <v/>
      </c>
    </row>
    <row r="518" spans="1:1" ht="30" customHeight="1" x14ac:dyDescent="0.2">
      <c r="A518" s="25" t="str">
        <f t="shared" ref="A518:A581" si="9">IF(AND(B517&lt;&gt;"",B518=""),$A$2&amp;"---&gt;","")</f>
        <v/>
      </c>
    </row>
    <row r="519" spans="1:1" ht="30" customHeight="1" x14ac:dyDescent="0.2">
      <c r="A519" s="25" t="str">
        <f t="shared" si="9"/>
        <v/>
      </c>
    </row>
    <row r="520" spans="1:1" ht="30" customHeight="1" x14ac:dyDescent="0.2">
      <c r="A520" s="25" t="str">
        <f t="shared" si="9"/>
        <v/>
      </c>
    </row>
    <row r="521" spans="1:1" ht="30" customHeight="1" x14ac:dyDescent="0.2">
      <c r="A521" s="25" t="str">
        <f t="shared" si="9"/>
        <v/>
      </c>
    </row>
    <row r="522" spans="1:1" ht="30" customHeight="1" x14ac:dyDescent="0.2">
      <c r="A522" s="25" t="str">
        <f t="shared" si="9"/>
        <v/>
      </c>
    </row>
    <row r="523" spans="1:1" ht="30" customHeight="1" x14ac:dyDescent="0.2">
      <c r="A523" s="25" t="str">
        <f t="shared" si="9"/>
        <v/>
      </c>
    </row>
    <row r="524" spans="1:1" ht="30" customHeight="1" x14ac:dyDescent="0.2">
      <c r="A524" s="25" t="str">
        <f t="shared" si="9"/>
        <v/>
      </c>
    </row>
    <row r="525" spans="1:1" ht="30" customHeight="1" x14ac:dyDescent="0.2">
      <c r="A525" s="25" t="str">
        <f t="shared" si="9"/>
        <v/>
      </c>
    </row>
    <row r="526" spans="1:1" ht="30" customHeight="1" x14ac:dyDescent="0.2">
      <c r="A526" s="25" t="str">
        <f t="shared" si="9"/>
        <v/>
      </c>
    </row>
    <row r="527" spans="1:1" ht="30" customHeight="1" x14ac:dyDescent="0.2">
      <c r="A527" s="25" t="str">
        <f t="shared" si="9"/>
        <v/>
      </c>
    </row>
    <row r="528" spans="1:1" ht="30" customHeight="1" x14ac:dyDescent="0.2">
      <c r="A528" s="25" t="str">
        <f t="shared" si="9"/>
        <v/>
      </c>
    </row>
    <row r="529" spans="1:1" ht="30" customHeight="1" x14ac:dyDescent="0.2">
      <c r="A529" s="25" t="str">
        <f t="shared" si="9"/>
        <v/>
      </c>
    </row>
    <row r="530" spans="1:1" ht="30" customHeight="1" x14ac:dyDescent="0.2">
      <c r="A530" s="25" t="str">
        <f t="shared" si="9"/>
        <v/>
      </c>
    </row>
    <row r="531" spans="1:1" ht="30" customHeight="1" x14ac:dyDescent="0.2">
      <c r="A531" s="25" t="str">
        <f t="shared" si="9"/>
        <v/>
      </c>
    </row>
    <row r="532" spans="1:1" ht="30" customHeight="1" x14ac:dyDescent="0.2">
      <c r="A532" s="25" t="str">
        <f t="shared" si="9"/>
        <v/>
      </c>
    </row>
    <row r="533" spans="1:1" ht="30" customHeight="1" x14ac:dyDescent="0.2">
      <c r="A533" s="25" t="str">
        <f t="shared" si="9"/>
        <v/>
      </c>
    </row>
    <row r="534" spans="1:1" ht="30" customHeight="1" x14ac:dyDescent="0.2">
      <c r="A534" s="25" t="str">
        <f t="shared" si="9"/>
        <v/>
      </c>
    </row>
    <row r="535" spans="1:1" ht="30" customHeight="1" x14ac:dyDescent="0.2">
      <c r="A535" s="25" t="str">
        <f t="shared" si="9"/>
        <v/>
      </c>
    </row>
    <row r="536" spans="1:1" ht="30" customHeight="1" x14ac:dyDescent="0.2">
      <c r="A536" s="25" t="str">
        <f t="shared" si="9"/>
        <v/>
      </c>
    </row>
    <row r="537" spans="1:1" ht="30" customHeight="1" x14ac:dyDescent="0.2">
      <c r="A537" s="25" t="str">
        <f t="shared" si="9"/>
        <v/>
      </c>
    </row>
    <row r="538" spans="1:1" ht="30" customHeight="1" x14ac:dyDescent="0.2">
      <c r="A538" s="25" t="str">
        <f t="shared" si="9"/>
        <v/>
      </c>
    </row>
    <row r="539" spans="1:1" ht="30" customHeight="1" x14ac:dyDescent="0.2">
      <c r="A539" s="25" t="str">
        <f t="shared" si="9"/>
        <v/>
      </c>
    </row>
    <row r="540" spans="1:1" ht="30" customHeight="1" x14ac:dyDescent="0.2">
      <c r="A540" s="25" t="str">
        <f t="shared" si="9"/>
        <v/>
      </c>
    </row>
    <row r="541" spans="1:1" ht="30" customHeight="1" x14ac:dyDescent="0.2">
      <c r="A541" s="25" t="str">
        <f t="shared" si="9"/>
        <v/>
      </c>
    </row>
    <row r="542" spans="1:1" ht="30" customHeight="1" x14ac:dyDescent="0.2">
      <c r="A542" s="25" t="str">
        <f t="shared" si="9"/>
        <v/>
      </c>
    </row>
    <row r="543" spans="1:1" ht="30" customHeight="1" x14ac:dyDescent="0.2">
      <c r="A543" s="25" t="str">
        <f t="shared" si="9"/>
        <v/>
      </c>
    </row>
    <row r="544" spans="1:1" ht="30" customHeight="1" x14ac:dyDescent="0.2">
      <c r="A544" s="25" t="str">
        <f t="shared" si="9"/>
        <v/>
      </c>
    </row>
    <row r="545" spans="1:1" ht="30" customHeight="1" x14ac:dyDescent="0.2">
      <c r="A545" s="25" t="str">
        <f t="shared" si="9"/>
        <v/>
      </c>
    </row>
    <row r="546" spans="1:1" ht="30" customHeight="1" x14ac:dyDescent="0.2">
      <c r="A546" s="25" t="str">
        <f t="shared" si="9"/>
        <v/>
      </c>
    </row>
    <row r="547" spans="1:1" ht="30" customHeight="1" x14ac:dyDescent="0.2">
      <c r="A547" s="25" t="str">
        <f t="shared" si="9"/>
        <v/>
      </c>
    </row>
    <row r="548" spans="1:1" ht="30" customHeight="1" x14ac:dyDescent="0.2">
      <c r="A548" s="25" t="str">
        <f t="shared" si="9"/>
        <v/>
      </c>
    </row>
    <row r="549" spans="1:1" ht="30" customHeight="1" x14ac:dyDescent="0.2">
      <c r="A549" s="25" t="str">
        <f t="shared" si="9"/>
        <v/>
      </c>
    </row>
    <row r="550" spans="1:1" ht="30" customHeight="1" x14ac:dyDescent="0.2">
      <c r="A550" s="25" t="str">
        <f t="shared" si="9"/>
        <v/>
      </c>
    </row>
    <row r="551" spans="1:1" ht="30" customHeight="1" x14ac:dyDescent="0.2">
      <c r="A551" s="25" t="str">
        <f t="shared" si="9"/>
        <v/>
      </c>
    </row>
    <row r="552" spans="1:1" ht="30" customHeight="1" x14ac:dyDescent="0.2">
      <c r="A552" s="25" t="str">
        <f t="shared" si="9"/>
        <v/>
      </c>
    </row>
    <row r="553" spans="1:1" ht="30" customHeight="1" x14ac:dyDescent="0.2">
      <c r="A553" s="25" t="str">
        <f t="shared" si="9"/>
        <v/>
      </c>
    </row>
    <row r="554" spans="1:1" ht="30" customHeight="1" x14ac:dyDescent="0.2">
      <c r="A554" s="25" t="str">
        <f t="shared" si="9"/>
        <v/>
      </c>
    </row>
    <row r="555" spans="1:1" ht="30" customHeight="1" x14ac:dyDescent="0.2">
      <c r="A555" s="25" t="str">
        <f t="shared" si="9"/>
        <v/>
      </c>
    </row>
    <row r="556" spans="1:1" ht="30" customHeight="1" x14ac:dyDescent="0.2">
      <c r="A556" s="25" t="str">
        <f t="shared" si="9"/>
        <v/>
      </c>
    </row>
    <row r="557" spans="1:1" ht="30" customHeight="1" x14ac:dyDescent="0.2">
      <c r="A557" s="25" t="str">
        <f t="shared" si="9"/>
        <v/>
      </c>
    </row>
    <row r="558" spans="1:1" ht="30" customHeight="1" x14ac:dyDescent="0.2">
      <c r="A558" s="25" t="str">
        <f t="shared" si="9"/>
        <v/>
      </c>
    </row>
    <row r="559" spans="1:1" ht="30" customHeight="1" x14ac:dyDescent="0.2">
      <c r="A559" s="25" t="str">
        <f t="shared" si="9"/>
        <v/>
      </c>
    </row>
    <row r="560" spans="1:1" ht="30" customHeight="1" x14ac:dyDescent="0.2">
      <c r="A560" s="25" t="str">
        <f t="shared" si="9"/>
        <v/>
      </c>
    </row>
    <row r="561" spans="1:1" ht="30" customHeight="1" x14ac:dyDescent="0.2">
      <c r="A561" s="25" t="str">
        <f t="shared" si="9"/>
        <v/>
      </c>
    </row>
    <row r="562" spans="1:1" ht="30" customHeight="1" x14ac:dyDescent="0.2">
      <c r="A562" s="25" t="str">
        <f t="shared" si="9"/>
        <v/>
      </c>
    </row>
    <row r="563" spans="1:1" ht="30" customHeight="1" x14ac:dyDescent="0.2">
      <c r="A563" s="25" t="str">
        <f t="shared" si="9"/>
        <v/>
      </c>
    </row>
    <row r="564" spans="1:1" ht="30" customHeight="1" x14ac:dyDescent="0.2">
      <c r="A564" s="25" t="str">
        <f t="shared" si="9"/>
        <v/>
      </c>
    </row>
    <row r="565" spans="1:1" ht="30" customHeight="1" x14ac:dyDescent="0.2">
      <c r="A565" s="25" t="str">
        <f t="shared" si="9"/>
        <v/>
      </c>
    </row>
    <row r="566" spans="1:1" ht="30" customHeight="1" x14ac:dyDescent="0.2">
      <c r="A566" s="25" t="str">
        <f t="shared" si="9"/>
        <v/>
      </c>
    </row>
    <row r="567" spans="1:1" ht="30" customHeight="1" x14ac:dyDescent="0.2">
      <c r="A567" s="25" t="str">
        <f t="shared" si="9"/>
        <v/>
      </c>
    </row>
    <row r="568" spans="1:1" ht="30" customHeight="1" x14ac:dyDescent="0.2">
      <c r="A568" s="25" t="str">
        <f t="shared" si="9"/>
        <v/>
      </c>
    </row>
    <row r="569" spans="1:1" ht="30" customHeight="1" x14ac:dyDescent="0.2">
      <c r="A569" s="25" t="str">
        <f t="shared" si="9"/>
        <v/>
      </c>
    </row>
    <row r="570" spans="1:1" ht="30" customHeight="1" x14ac:dyDescent="0.2">
      <c r="A570" s="25" t="str">
        <f t="shared" si="9"/>
        <v/>
      </c>
    </row>
    <row r="571" spans="1:1" ht="30" customHeight="1" x14ac:dyDescent="0.2">
      <c r="A571" s="25" t="str">
        <f t="shared" si="9"/>
        <v/>
      </c>
    </row>
    <row r="572" spans="1:1" ht="30" customHeight="1" x14ac:dyDescent="0.2">
      <c r="A572" s="25" t="str">
        <f t="shared" si="9"/>
        <v/>
      </c>
    </row>
    <row r="573" spans="1:1" ht="30" customHeight="1" x14ac:dyDescent="0.2">
      <c r="A573" s="25" t="str">
        <f t="shared" si="9"/>
        <v/>
      </c>
    </row>
    <row r="574" spans="1:1" ht="30" customHeight="1" x14ac:dyDescent="0.2">
      <c r="A574" s="25" t="str">
        <f t="shared" si="9"/>
        <v/>
      </c>
    </row>
    <row r="575" spans="1:1" ht="30" customHeight="1" x14ac:dyDescent="0.2">
      <c r="A575" s="25" t="str">
        <f t="shared" si="9"/>
        <v/>
      </c>
    </row>
    <row r="576" spans="1:1" ht="30" customHeight="1" x14ac:dyDescent="0.2">
      <c r="A576" s="25" t="str">
        <f t="shared" si="9"/>
        <v/>
      </c>
    </row>
    <row r="577" spans="1:1" ht="30" customHeight="1" x14ac:dyDescent="0.2">
      <c r="A577" s="25" t="str">
        <f t="shared" si="9"/>
        <v/>
      </c>
    </row>
    <row r="578" spans="1:1" ht="30" customHeight="1" x14ac:dyDescent="0.2">
      <c r="A578" s="25" t="str">
        <f t="shared" si="9"/>
        <v/>
      </c>
    </row>
    <row r="579" spans="1:1" ht="30" customHeight="1" x14ac:dyDescent="0.2">
      <c r="A579" s="25" t="str">
        <f t="shared" si="9"/>
        <v/>
      </c>
    </row>
    <row r="580" spans="1:1" ht="30" customHeight="1" x14ac:dyDescent="0.2">
      <c r="A580" s="25" t="str">
        <f t="shared" si="9"/>
        <v/>
      </c>
    </row>
    <row r="581" spans="1:1" ht="30" customHeight="1" x14ac:dyDescent="0.2">
      <c r="A581" s="25" t="str">
        <f t="shared" si="9"/>
        <v/>
      </c>
    </row>
    <row r="582" spans="1:1" ht="30" customHeight="1" x14ac:dyDescent="0.2">
      <c r="A582" s="25" t="str">
        <f t="shared" ref="A582:A645" si="10">IF(AND(B581&lt;&gt;"",B582=""),$A$2&amp;"---&gt;","")</f>
        <v/>
      </c>
    </row>
    <row r="583" spans="1:1" ht="30" customHeight="1" x14ac:dyDescent="0.2">
      <c r="A583" s="25" t="str">
        <f t="shared" si="10"/>
        <v/>
      </c>
    </row>
    <row r="584" spans="1:1" ht="30" customHeight="1" x14ac:dyDescent="0.2">
      <c r="A584" s="25" t="str">
        <f t="shared" si="10"/>
        <v/>
      </c>
    </row>
    <row r="585" spans="1:1" ht="30" customHeight="1" x14ac:dyDescent="0.2">
      <c r="A585" s="25" t="str">
        <f t="shared" si="10"/>
        <v/>
      </c>
    </row>
    <row r="586" spans="1:1" ht="30" customHeight="1" x14ac:dyDescent="0.2">
      <c r="A586" s="25" t="str">
        <f t="shared" si="10"/>
        <v/>
      </c>
    </row>
    <row r="587" spans="1:1" ht="30" customHeight="1" x14ac:dyDescent="0.2">
      <c r="A587" s="25" t="str">
        <f t="shared" si="10"/>
        <v/>
      </c>
    </row>
    <row r="588" spans="1:1" ht="30" customHeight="1" x14ac:dyDescent="0.2">
      <c r="A588" s="25" t="str">
        <f t="shared" si="10"/>
        <v/>
      </c>
    </row>
    <row r="589" spans="1:1" ht="30" customHeight="1" x14ac:dyDescent="0.2">
      <c r="A589" s="25" t="str">
        <f t="shared" si="10"/>
        <v/>
      </c>
    </row>
    <row r="590" spans="1:1" ht="30" customHeight="1" x14ac:dyDescent="0.2">
      <c r="A590" s="25" t="str">
        <f t="shared" si="10"/>
        <v/>
      </c>
    </row>
    <row r="591" spans="1:1" ht="30" customHeight="1" x14ac:dyDescent="0.2">
      <c r="A591" s="25" t="str">
        <f t="shared" si="10"/>
        <v/>
      </c>
    </row>
    <row r="592" spans="1:1" ht="30" customHeight="1" x14ac:dyDescent="0.2">
      <c r="A592" s="25" t="str">
        <f t="shared" si="10"/>
        <v/>
      </c>
    </row>
    <row r="593" spans="1:1" ht="30" customHeight="1" x14ac:dyDescent="0.2">
      <c r="A593" s="25" t="str">
        <f t="shared" si="10"/>
        <v/>
      </c>
    </row>
    <row r="594" spans="1:1" ht="30" customHeight="1" x14ac:dyDescent="0.2">
      <c r="A594" s="25" t="str">
        <f t="shared" si="10"/>
        <v/>
      </c>
    </row>
    <row r="595" spans="1:1" ht="30" customHeight="1" x14ac:dyDescent="0.2">
      <c r="A595" s="25" t="str">
        <f t="shared" si="10"/>
        <v/>
      </c>
    </row>
    <row r="596" spans="1:1" ht="30" customHeight="1" x14ac:dyDescent="0.2">
      <c r="A596" s="25" t="str">
        <f t="shared" si="10"/>
        <v/>
      </c>
    </row>
    <row r="597" spans="1:1" ht="30" customHeight="1" x14ac:dyDescent="0.2">
      <c r="A597" s="25" t="str">
        <f t="shared" si="10"/>
        <v/>
      </c>
    </row>
    <row r="598" spans="1:1" ht="30" customHeight="1" x14ac:dyDescent="0.2">
      <c r="A598" s="25" t="str">
        <f t="shared" si="10"/>
        <v/>
      </c>
    </row>
    <row r="599" spans="1:1" ht="30" customHeight="1" x14ac:dyDescent="0.2">
      <c r="A599" s="25" t="str">
        <f t="shared" si="10"/>
        <v/>
      </c>
    </row>
    <row r="600" spans="1:1" ht="30" customHeight="1" x14ac:dyDescent="0.2">
      <c r="A600" s="25" t="str">
        <f t="shared" si="10"/>
        <v/>
      </c>
    </row>
    <row r="601" spans="1:1" ht="30" customHeight="1" x14ac:dyDescent="0.2">
      <c r="A601" s="25" t="str">
        <f t="shared" si="10"/>
        <v/>
      </c>
    </row>
    <row r="602" spans="1:1" ht="30" customHeight="1" x14ac:dyDescent="0.2">
      <c r="A602" s="25" t="str">
        <f t="shared" si="10"/>
        <v/>
      </c>
    </row>
    <row r="603" spans="1:1" ht="30" customHeight="1" x14ac:dyDescent="0.2">
      <c r="A603" s="25" t="str">
        <f t="shared" si="10"/>
        <v/>
      </c>
    </row>
    <row r="604" spans="1:1" ht="30" customHeight="1" x14ac:dyDescent="0.2">
      <c r="A604" s="25" t="str">
        <f t="shared" si="10"/>
        <v/>
      </c>
    </row>
    <row r="605" spans="1:1" ht="30" customHeight="1" x14ac:dyDescent="0.2">
      <c r="A605" s="25" t="str">
        <f t="shared" si="10"/>
        <v/>
      </c>
    </row>
    <row r="606" spans="1:1" ht="30" customHeight="1" x14ac:dyDescent="0.2">
      <c r="A606" s="25" t="str">
        <f t="shared" si="10"/>
        <v/>
      </c>
    </row>
    <row r="607" spans="1:1" ht="30" customHeight="1" x14ac:dyDescent="0.2">
      <c r="A607" s="25" t="str">
        <f t="shared" si="10"/>
        <v/>
      </c>
    </row>
    <row r="608" spans="1:1" ht="30" customHeight="1" x14ac:dyDescent="0.2">
      <c r="A608" s="25" t="str">
        <f t="shared" si="10"/>
        <v/>
      </c>
    </row>
    <row r="609" spans="1:1" ht="30" customHeight="1" x14ac:dyDescent="0.2">
      <c r="A609" s="25" t="str">
        <f t="shared" si="10"/>
        <v/>
      </c>
    </row>
    <row r="610" spans="1:1" ht="30" customHeight="1" x14ac:dyDescent="0.2">
      <c r="A610" s="25" t="str">
        <f t="shared" si="10"/>
        <v/>
      </c>
    </row>
    <row r="611" spans="1:1" ht="30" customHeight="1" x14ac:dyDescent="0.2">
      <c r="A611" s="25" t="str">
        <f t="shared" si="10"/>
        <v/>
      </c>
    </row>
    <row r="612" spans="1:1" ht="30" customHeight="1" x14ac:dyDescent="0.2">
      <c r="A612" s="25" t="str">
        <f t="shared" si="10"/>
        <v/>
      </c>
    </row>
    <row r="613" spans="1:1" ht="30" customHeight="1" x14ac:dyDescent="0.2">
      <c r="A613" s="25" t="str">
        <f t="shared" si="10"/>
        <v/>
      </c>
    </row>
    <row r="614" spans="1:1" ht="30" customHeight="1" x14ac:dyDescent="0.2">
      <c r="A614" s="25" t="str">
        <f t="shared" si="10"/>
        <v/>
      </c>
    </row>
    <row r="615" spans="1:1" ht="30" customHeight="1" x14ac:dyDescent="0.2">
      <c r="A615" s="25" t="str">
        <f t="shared" si="10"/>
        <v/>
      </c>
    </row>
    <row r="616" spans="1:1" ht="30" customHeight="1" x14ac:dyDescent="0.2">
      <c r="A616" s="25" t="str">
        <f t="shared" si="10"/>
        <v/>
      </c>
    </row>
    <row r="617" spans="1:1" ht="30" customHeight="1" x14ac:dyDescent="0.2">
      <c r="A617" s="25" t="str">
        <f t="shared" si="10"/>
        <v/>
      </c>
    </row>
    <row r="618" spans="1:1" ht="30" customHeight="1" x14ac:dyDescent="0.2">
      <c r="A618" s="25" t="str">
        <f t="shared" si="10"/>
        <v/>
      </c>
    </row>
    <row r="619" spans="1:1" ht="30" customHeight="1" x14ac:dyDescent="0.2">
      <c r="A619" s="25" t="str">
        <f t="shared" si="10"/>
        <v/>
      </c>
    </row>
    <row r="620" spans="1:1" ht="30" customHeight="1" x14ac:dyDescent="0.2">
      <c r="A620" s="25" t="str">
        <f t="shared" si="10"/>
        <v/>
      </c>
    </row>
    <row r="621" spans="1:1" ht="30" customHeight="1" x14ac:dyDescent="0.2">
      <c r="A621" s="25" t="str">
        <f t="shared" si="10"/>
        <v/>
      </c>
    </row>
    <row r="622" spans="1:1" ht="30" customHeight="1" x14ac:dyDescent="0.2">
      <c r="A622" s="25" t="str">
        <f t="shared" si="10"/>
        <v/>
      </c>
    </row>
    <row r="623" spans="1:1" ht="30" customHeight="1" x14ac:dyDescent="0.2">
      <c r="A623" s="25" t="str">
        <f t="shared" si="10"/>
        <v/>
      </c>
    </row>
    <row r="624" spans="1:1" ht="30" customHeight="1" x14ac:dyDescent="0.2">
      <c r="A624" s="25" t="str">
        <f t="shared" si="10"/>
        <v/>
      </c>
    </row>
    <row r="625" spans="1:1" ht="30" customHeight="1" x14ac:dyDescent="0.2">
      <c r="A625" s="25" t="str">
        <f t="shared" si="10"/>
        <v/>
      </c>
    </row>
    <row r="626" spans="1:1" ht="30" customHeight="1" x14ac:dyDescent="0.2">
      <c r="A626" s="25" t="str">
        <f t="shared" si="10"/>
        <v/>
      </c>
    </row>
    <row r="627" spans="1:1" ht="30" customHeight="1" x14ac:dyDescent="0.2">
      <c r="A627" s="25" t="str">
        <f t="shared" si="10"/>
        <v/>
      </c>
    </row>
    <row r="628" spans="1:1" ht="30" customHeight="1" x14ac:dyDescent="0.2">
      <c r="A628" s="25" t="str">
        <f t="shared" si="10"/>
        <v/>
      </c>
    </row>
    <row r="629" spans="1:1" ht="30" customHeight="1" x14ac:dyDescent="0.2">
      <c r="A629" s="25" t="str">
        <f t="shared" si="10"/>
        <v/>
      </c>
    </row>
    <row r="630" spans="1:1" ht="30" customHeight="1" x14ac:dyDescent="0.2">
      <c r="A630" s="25" t="str">
        <f t="shared" si="10"/>
        <v/>
      </c>
    </row>
    <row r="631" spans="1:1" ht="30" customHeight="1" x14ac:dyDescent="0.2">
      <c r="A631" s="25" t="str">
        <f t="shared" si="10"/>
        <v/>
      </c>
    </row>
    <row r="632" spans="1:1" ht="30" customHeight="1" x14ac:dyDescent="0.2">
      <c r="A632" s="25" t="str">
        <f t="shared" si="10"/>
        <v/>
      </c>
    </row>
    <row r="633" spans="1:1" ht="30" customHeight="1" x14ac:dyDescent="0.2">
      <c r="A633" s="25" t="str">
        <f t="shared" si="10"/>
        <v/>
      </c>
    </row>
    <row r="634" spans="1:1" ht="30" customHeight="1" x14ac:dyDescent="0.2">
      <c r="A634" s="25" t="str">
        <f t="shared" si="10"/>
        <v/>
      </c>
    </row>
    <row r="635" spans="1:1" ht="30" customHeight="1" x14ac:dyDescent="0.2">
      <c r="A635" s="25" t="str">
        <f t="shared" si="10"/>
        <v/>
      </c>
    </row>
    <row r="636" spans="1:1" ht="30" customHeight="1" x14ac:dyDescent="0.2">
      <c r="A636" s="25" t="str">
        <f t="shared" si="10"/>
        <v/>
      </c>
    </row>
    <row r="637" spans="1:1" ht="30" customHeight="1" x14ac:dyDescent="0.2">
      <c r="A637" s="25" t="str">
        <f t="shared" si="10"/>
        <v/>
      </c>
    </row>
    <row r="638" spans="1:1" ht="30" customHeight="1" x14ac:dyDescent="0.2">
      <c r="A638" s="25" t="str">
        <f t="shared" si="10"/>
        <v/>
      </c>
    </row>
    <row r="639" spans="1:1" ht="30" customHeight="1" x14ac:dyDescent="0.2">
      <c r="A639" s="25" t="str">
        <f t="shared" si="10"/>
        <v/>
      </c>
    </row>
    <row r="640" spans="1:1" ht="30" customHeight="1" x14ac:dyDescent="0.2">
      <c r="A640" s="25" t="str">
        <f t="shared" si="10"/>
        <v/>
      </c>
    </row>
    <row r="641" spans="1:1" ht="30" customHeight="1" x14ac:dyDescent="0.2">
      <c r="A641" s="25" t="str">
        <f t="shared" si="10"/>
        <v/>
      </c>
    </row>
    <row r="642" spans="1:1" ht="30" customHeight="1" x14ac:dyDescent="0.2">
      <c r="A642" s="25" t="str">
        <f t="shared" si="10"/>
        <v/>
      </c>
    </row>
    <row r="643" spans="1:1" ht="30" customHeight="1" x14ac:dyDescent="0.2">
      <c r="A643" s="25" t="str">
        <f t="shared" si="10"/>
        <v/>
      </c>
    </row>
    <row r="644" spans="1:1" ht="30" customHeight="1" x14ac:dyDescent="0.2">
      <c r="A644" s="25" t="str">
        <f t="shared" si="10"/>
        <v/>
      </c>
    </row>
    <row r="645" spans="1:1" ht="30" customHeight="1" x14ac:dyDescent="0.2">
      <c r="A645" s="25" t="str">
        <f t="shared" si="10"/>
        <v/>
      </c>
    </row>
    <row r="646" spans="1:1" ht="30" customHeight="1" x14ac:dyDescent="0.2">
      <c r="A646" s="25" t="str">
        <f t="shared" ref="A646:A709" si="11">IF(AND(B645&lt;&gt;"",B646=""),$A$2&amp;"---&gt;","")</f>
        <v/>
      </c>
    </row>
    <row r="647" spans="1:1" ht="30" customHeight="1" x14ac:dyDescent="0.2">
      <c r="A647" s="25" t="str">
        <f t="shared" si="11"/>
        <v/>
      </c>
    </row>
    <row r="648" spans="1:1" ht="30" customHeight="1" x14ac:dyDescent="0.2">
      <c r="A648" s="25" t="str">
        <f t="shared" si="11"/>
        <v/>
      </c>
    </row>
    <row r="649" spans="1:1" ht="30" customHeight="1" x14ac:dyDescent="0.2">
      <c r="A649" s="25" t="str">
        <f t="shared" si="11"/>
        <v/>
      </c>
    </row>
    <row r="650" spans="1:1" ht="30" customHeight="1" x14ac:dyDescent="0.2">
      <c r="A650" s="25" t="str">
        <f t="shared" si="11"/>
        <v/>
      </c>
    </row>
    <row r="651" spans="1:1" ht="30" customHeight="1" x14ac:dyDescent="0.2">
      <c r="A651" s="25" t="str">
        <f t="shared" si="11"/>
        <v/>
      </c>
    </row>
    <row r="652" spans="1:1" ht="30" customHeight="1" x14ac:dyDescent="0.2">
      <c r="A652" s="25" t="str">
        <f t="shared" si="11"/>
        <v/>
      </c>
    </row>
    <row r="653" spans="1:1" ht="30" customHeight="1" x14ac:dyDescent="0.2">
      <c r="A653" s="25" t="str">
        <f t="shared" si="11"/>
        <v/>
      </c>
    </row>
    <row r="654" spans="1:1" ht="30" customHeight="1" x14ac:dyDescent="0.2">
      <c r="A654" s="25" t="str">
        <f t="shared" si="11"/>
        <v/>
      </c>
    </row>
    <row r="655" spans="1:1" ht="30" customHeight="1" x14ac:dyDescent="0.2">
      <c r="A655" s="25" t="str">
        <f t="shared" si="11"/>
        <v/>
      </c>
    </row>
    <row r="656" spans="1:1" ht="30" customHeight="1" x14ac:dyDescent="0.2">
      <c r="A656" s="25" t="str">
        <f t="shared" si="11"/>
        <v/>
      </c>
    </row>
    <row r="657" spans="1:1" ht="30" customHeight="1" x14ac:dyDescent="0.2">
      <c r="A657" s="25" t="str">
        <f t="shared" si="11"/>
        <v/>
      </c>
    </row>
    <row r="658" spans="1:1" ht="30" customHeight="1" x14ac:dyDescent="0.2">
      <c r="A658" s="25" t="str">
        <f t="shared" si="11"/>
        <v/>
      </c>
    </row>
    <row r="659" spans="1:1" ht="30" customHeight="1" x14ac:dyDescent="0.2">
      <c r="A659" s="25" t="str">
        <f t="shared" si="11"/>
        <v/>
      </c>
    </row>
    <row r="660" spans="1:1" ht="30" customHeight="1" x14ac:dyDescent="0.2">
      <c r="A660" s="25" t="str">
        <f t="shared" si="11"/>
        <v/>
      </c>
    </row>
    <row r="661" spans="1:1" ht="30" customHeight="1" x14ac:dyDescent="0.2">
      <c r="A661" s="25" t="str">
        <f t="shared" si="11"/>
        <v/>
      </c>
    </row>
    <row r="662" spans="1:1" ht="30" customHeight="1" x14ac:dyDescent="0.2">
      <c r="A662" s="25" t="str">
        <f t="shared" si="11"/>
        <v/>
      </c>
    </row>
    <row r="663" spans="1:1" ht="30" customHeight="1" x14ac:dyDescent="0.2">
      <c r="A663" s="25" t="str">
        <f t="shared" si="11"/>
        <v/>
      </c>
    </row>
    <row r="664" spans="1:1" ht="30" customHeight="1" x14ac:dyDescent="0.2">
      <c r="A664" s="25" t="str">
        <f t="shared" si="11"/>
        <v/>
      </c>
    </row>
    <row r="665" spans="1:1" ht="30" customHeight="1" x14ac:dyDescent="0.2">
      <c r="A665" s="25" t="str">
        <f t="shared" si="11"/>
        <v/>
      </c>
    </row>
    <row r="666" spans="1:1" ht="30" customHeight="1" x14ac:dyDescent="0.2">
      <c r="A666" s="25" t="str">
        <f t="shared" si="11"/>
        <v/>
      </c>
    </row>
    <row r="667" spans="1:1" ht="30" customHeight="1" x14ac:dyDescent="0.2">
      <c r="A667" s="25" t="str">
        <f t="shared" si="11"/>
        <v/>
      </c>
    </row>
    <row r="668" spans="1:1" ht="30" customHeight="1" x14ac:dyDescent="0.2">
      <c r="A668" s="25" t="str">
        <f t="shared" si="11"/>
        <v/>
      </c>
    </row>
    <row r="669" spans="1:1" ht="30" customHeight="1" x14ac:dyDescent="0.2">
      <c r="A669" s="25" t="str">
        <f t="shared" si="11"/>
        <v/>
      </c>
    </row>
    <row r="670" spans="1:1" ht="30" customHeight="1" x14ac:dyDescent="0.2">
      <c r="A670" s="25" t="str">
        <f t="shared" si="11"/>
        <v/>
      </c>
    </row>
    <row r="671" spans="1:1" ht="30" customHeight="1" x14ac:dyDescent="0.2">
      <c r="A671" s="25" t="str">
        <f t="shared" si="11"/>
        <v/>
      </c>
    </row>
    <row r="672" spans="1:1" ht="30" customHeight="1" x14ac:dyDescent="0.2">
      <c r="A672" s="25" t="str">
        <f t="shared" si="11"/>
        <v/>
      </c>
    </row>
    <row r="673" spans="1:1" ht="30" customHeight="1" x14ac:dyDescent="0.2">
      <c r="A673" s="25" t="str">
        <f t="shared" si="11"/>
        <v/>
      </c>
    </row>
    <row r="674" spans="1:1" ht="30" customHeight="1" x14ac:dyDescent="0.2">
      <c r="A674" s="25" t="str">
        <f t="shared" si="11"/>
        <v/>
      </c>
    </row>
    <row r="675" spans="1:1" ht="30" customHeight="1" x14ac:dyDescent="0.2">
      <c r="A675" s="25" t="str">
        <f t="shared" si="11"/>
        <v/>
      </c>
    </row>
    <row r="676" spans="1:1" ht="30" customHeight="1" x14ac:dyDescent="0.2">
      <c r="A676" s="25" t="str">
        <f t="shared" si="11"/>
        <v/>
      </c>
    </row>
    <row r="677" spans="1:1" ht="30" customHeight="1" x14ac:dyDescent="0.2">
      <c r="A677" s="25" t="str">
        <f t="shared" si="11"/>
        <v/>
      </c>
    </row>
    <row r="678" spans="1:1" ht="30" customHeight="1" x14ac:dyDescent="0.2">
      <c r="A678" s="25" t="str">
        <f t="shared" si="11"/>
        <v/>
      </c>
    </row>
    <row r="679" spans="1:1" ht="30" customHeight="1" x14ac:dyDescent="0.2">
      <c r="A679" s="25" t="str">
        <f t="shared" si="11"/>
        <v/>
      </c>
    </row>
    <row r="680" spans="1:1" ht="30" customHeight="1" x14ac:dyDescent="0.2">
      <c r="A680" s="25" t="str">
        <f t="shared" si="11"/>
        <v/>
      </c>
    </row>
    <row r="681" spans="1:1" ht="30" customHeight="1" x14ac:dyDescent="0.2">
      <c r="A681" s="25" t="str">
        <f t="shared" si="11"/>
        <v/>
      </c>
    </row>
    <row r="682" spans="1:1" ht="30" customHeight="1" x14ac:dyDescent="0.2">
      <c r="A682" s="25" t="str">
        <f t="shared" si="11"/>
        <v/>
      </c>
    </row>
    <row r="683" spans="1:1" ht="30" customHeight="1" x14ac:dyDescent="0.2">
      <c r="A683" s="25" t="str">
        <f t="shared" si="11"/>
        <v/>
      </c>
    </row>
    <row r="684" spans="1:1" ht="30" customHeight="1" x14ac:dyDescent="0.2">
      <c r="A684" s="25" t="str">
        <f t="shared" si="11"/>
        <v/>
      </c>
    </row>
    <row r="685" spans="1:1" ht="30" customHeight="1" x14ac:dyDescent="0.2">
      <c r="A685" s="25" t="str">
        <f t="shared" si="11"/>
        <v/>
      </c>
    </row>
    <row r="686" spans="1:1" ht="30" customHeight="1" x14ac:dyDescent="0.2">
      <c r="A686" s="25" t="str">
        <f t="shared" si="11"/>
        <v/>
      </c>
    </row>
    <row r="687" spans="1:1" ht="30" customHeight="1" x14ac:dyDescent="0.2">
      <c r="A687" s="25" t="str">
        <f t="shared" si="11"/>
        <v/>
      </c>
    </row>
    <row r="688" spans="1:1" ht="30" customHeight="1" x14ac:dyDescent="0.2">
      <c r="A688" s="25" t="str">
        <f t="shared" si="11"/>
        <v/>
      </c>
    </row>
    <row r="689" spans="1:1" ht="30" customHeight="1" x14ac:dyDescent="0.2">
      <c r="A689" s="25" t="str">
        <f t="shared" si="11"/>
        <v/>
      </c>
    </row>
    <row r="690" spans="1:1" ht="30" customHeight="1" x14ac:dyDescent="0.2">
      <c r="A690" s="25" t="str">
        <f t="shared" si="11"/>
        <v/>
      </c>
    </row>
    <row r="691" spans="1:1" ht="30" customHeight="1" x14ac:dyDescent="0.2">
      <c r="A691" s="25" t="str">
        <f t="shared" si="11"/>
        <v/>
      </c>
    </row>
    <row r="692" spans="1:1" ht="30" customHeight="1" x14ac:dyDescent="0.2">
      <c r="A692" s="25" t="str">
        <f t="shared" si="11"/>
        <v/>
      </c>
    </row>
    <row r="693" spans="1:1" ht="30" customHeight="1" x14ac:dyDescent="0.2">
      <c r="A693" s="25" t="str">
        <f t="shared" si="11"/>
        <v/>
      </c>
    </row>
    <row r="694" spans="1:1" ht="30" customHeight="1" x14ac:dyDescent="0.2">
      <c r="A694" s="25" t="str">
        <f t="shared" si="11"/>
        <v/>
      </c>
    </row>
    <row r="695" spans="1:1" ht="30" customHeight="1" x14ac:dyDescent="0.2">
      <c r="A695" s="25" t="str">
        <f t="shared" si="11"/>
        <v/>
      </c>
    </row>
    <row r="696" spans="1:1" ht="30" customHeight="1" x14ac:dyDescent="0.2">
      <c r="A696" s="25" t="str">
        <f t="shared" si="11"/>
        <v/>
      </c>
    </row>
    <row r="697" spans="1:1" ht="30" customHeight="1" x14ac:dyDescent="0.2">
      <c r="A697" s="25" t="str">
        <f t="shared" si="11"/>
        <v/>
      </c>
    </row>
    <row r="698" spans="1:1" ht="30" customHeight="1" x14ac:dyDescent="0.2">
      <c r="A698" s="25" t="str">
        <f t="shared" si="11"/>
        <v/>
      </c>
    </row>
    <row r="699" spans="1:1" ht="30" customHeight="1" x14ac:dyDescent="0.2">
      <c r="A699" s="25" t="str">
        <f t="shared" si="11"/>
        <v/>
      </c>
    </row>
    <row r="700" spans="1:1" ht="30" customHeight="1" x14ac:dyDescent="0.2">
      <c r="A700" s="25" t="str">
        <f t="shared" si="11"/>
        <v/>
      </c>
    </row>
    <row r="701" spans="1:1" ht="30" customHeight="1" x14ac:dyDescent="0.2">
      <c r="A701" s="25" t="str">
        <f t="shared" si="11"/>
        <v/>
      </c>
    </row>
    <row r="702" spans="1:1" ht="30" customHeight="1" x14ac:dyDescent="0.2">
      <c r="A702" s="25" t="str">
        <f t="shared" si="11"/>
        <v/>
      </c>
    </row>
    <row r="703" spans="1:1" ht="30" customHeight="1" x14ac:dyDescent="0.2">
      <c r="A703" s="25" t="str">
        <f t="shared" si="11"/>
        <v/>
      </c>
    </row>
    <row r="704" spans="1:1" ht="30" customHeight="1" x14ac:dyDescent="0.2">
      <c r="A704" s="25" t="str">
        <f t="shared" si="11"/>
        <v/>
      </c>
    </row>
    <row r="705" spans="1:1" ht="30" customHeight="1" x14ac:dyDescent="0.2">
      <c r="A705" s="25" t="str">
        <f t="shared" si="11"/>
        <v/>
      </c>
    </row>
    <row r="706" spans="1:1" ht="30" customHeight="1" x14ac:dyDescent="0.2">
      <c r="A706" s="25" t="str">
        <f t="shared" si="11"/>
        <v/>
      </c>
    </row>
    <row r="707" spans="1:1" ht="30" customHeight="1" x14ac:dyDescent="0.2">
      <c r="A707" s="25" t="str">
        <f t="shared" si="11"/>
        <v/>
      </c>
    </row>
    <row r="708" spans="1:1" ht="30" customHeight="1" x14ac:dyDescent="0.2">
      <c r="A708" s="25" t="str">
        <f t="shared" si="11"/>
        <v/>
      </c>
    </row>
    <row r="709" spans="1:1" ht="30" customHeight="1" x14ac:dyDescent="0.2">
      <c r="A709" s="25" t="str">
        <f t="shared" si="11"/>
        <v/>
      </c>
    </row>
    <row r="710" spans="1:1" ht="30" customHeight="1" x14ac:dyDescent="0.2">
      <c r="A710" s="25" t="str">
        <f t="shared" ref="A710:A773" si="12">IF(AND(B709&lt;&gt;"",B710=""),$A$2&amp;"---&gt;","")</f>
        <v/>
      </c>
    </row>
    <row r="711" spans="1:1" ht="30" customHeight="1" x14ac:dyDescent="0.2">
      <c r="A711" s="25" t="str">
        <f t="shared" si="12"/>
        <v/>
      </c>
    </row>
    <row r="712" spans="1:1" ht="30" customHeight="1" x14ac:dyDescent="0.2">
      <c r="A712" s="25" t="str">
        <f t="shared" si="12"/>
        <v/>
      </c>
    </row>
    <row r="713" spans="1:1" ht="30" customHeight="1" x14ac:dyDescent="0.2">
      <c r="A713" s="25" t="str">
        <f t="shared" si="12"/>
        <v/>
      </c>
    </row>
    <row r="714" spans="1:1" ht="30" customHeight="1" x14ac:dyDescent="0.2">
      <c r="A714" s="25" t="str">
        <f t="shared" si="12"/>
        <v/>
      </c>
    </row>
    <row r="715" spans="1:1" ht="30" customHeight="1" x14ac:dyDescent="0.2">
      <c r="A715" s="25" t="str">
        <f t="shared" si="12"/>
        <v/>
      </c>
    </row>
    <row r="716" spans="1:1" ht="30" customHeight="1" x14ac:dyDescent="0.2">
      <c r="A716" s="25" t="str">
        <f t="shared" si="12"/>
        <v/>
      </c>
    </row>
    <row r="717" spans="1:1" ht="30" customHeight="1" x14ac:dyDescent="0.2">
      <c r="A717" s="25" t="str">
        <f t="shared" si="12"/>
        <v/>
      </c>
    </row>
    <row r="718" spans="1:1" ht="30" customHeight="1" x14ac:dyDescent="0.2">
      <c r="A718" s="25" t="str">
        <f t="shared" si="12"/>
        <v/>
      </c>
    </row>
    <row r="719" spans="1:1" ht="30" customHeight="1" x14ac:dyDescent="0.2">
      <c r="A719" s="25" t="str">
        <f t="shared" si="12"/>
        <v/>
      </c>
    </row>
    <row r="720" spans="1:1" ht="30" customHeight="1" x14ac:dyDescent="0.2">
      <c r="A720" s="25" t="str">
        <f t="shared" si="12"/>
        <v/>
      </c>
    </row>
    <row r="721" spans="1:1" ht="30" customHeight="1" x14ac:dyDescent="0.2">
      <c r="A721" s="25" t="str">
        <f t="shared" si="12"/>
        <v/>
      </c>
    </row>
    <row r="722" spans="1:1" ht="30" customHeight="1" x14ac:dyDescent="0.2">
      <c r="A722" s="25" t="str">
        <f t="shared" si="12"/>
        <v/>
      </c>
    </row>
    <row r="723" spans="1:1" ht="30" customHeight="1" x14ac:dyDescent="0.2">
      <c r="A723" s="25" t="str">
        <f t="shared" si="12"/>
        <v/>
      </c>
    </row>
    <row r="724" spans="1:1" ht="30" customHeight="1" x14ac:dyDescent="0.2">
      <c r="A724" s="25" t="str">
        <f t="shared" si="12"/>
        <v/>
      </c>
    </row>
    <row r="725" spans="1:1" ht="30" customHeight="1" x14ac:dyDescent="0.2">
      <c r="A725" s="25" t="str">
        <f t="shared" si="12"/>
        <v/>
      </c>
    </row>
    <row r="726" spans="1:1" ht="30" customHeight="1" x14ac:dyDescent="0.2">
      <c r="A726" s="25" t="str">
        <f t="shared" si="12"/>
        <v/>
      </c>
    </row>
    <row r="727" spans="1:1" ht="30" customHeight="1" x14ac:dyDescent="0.2">
      <c r="A727" s="25" t="str">
        <f t="shared" si="12"/>
        <v/>
      </c>
    </row>
    <row r="728" spans="1:1" ht="30" customHeight="1" x14ac:dyDescent="0.2">
      <c r="A728" s="25" t="str">
        <f t="shared" si="12"/>
        <v/>
      </c>
    </row>
    <row r="729" spans="1:1" ht="30" customHeight="1" x14ac:dyDescent="0.2">
      <c r="A729" s="25" t="str">
        <f t="shared" si="12"/>
        <v/>
      </c>
    </row>
    <row r="730" spans="1:1" ht="30" customHeight="1" x14ac:dyDescent="0.2">
      <c r="A730" s="25" t="str">
        <f t="shared" si="12"/>
        <v/>
      </c>
    </row>
    <row r="731" spans="1:1" ht="30" customHeight="1" x14ac:dyDescent="0.2">
      <c r="A731" s="25" t="str">
        <f t="shared" si="12"/>
        <v/>
      </c>
    </row>
    <row r="732" spans="1:1" ht="30" customHeight="1" x14ac:dyDescent="0.2">
      <c r="A732" s="25" t="str">
        <f t="shared" si="12"/>
        <v/>
      </c>
    </row>
    <row r="733" spans="1:1" ht="30" customHeight="1" x14ac:dyDescent="0.2">
      <c r="A733" s="25" t="str">
        <f t="shared" si="12"/>
        <v/>
      </c>
    </row>
    <row r="734" spans="1:1" ht="30" customHeight="1" x14ac:dyDescent="0.2">
      <c r="A734" s="25" t="str">
        <f t="shared" si="12"/>
        <v/>
      </c>
    </row>
    <row r="735" spans="1:1" ht="30" customHeight="1" x14ac:dyDescent="0.2">
      <c r="A735" s="25" t="str">
        <f t="shared" si="12"/>
        <v/>
      </c>
    </row>
    <row r="736" spans="1:1" ht="30" customHeight="1" x14ac:dyDescent="0.2">
      <c r="A736" s="25" t="str">
        <f t="shared" si="12"/>
        <v/>
      </c>
    </row>
    <row r="737" spans="1:1" ht="30" customHeight="1" x14ac:dyDescent="0.2">
      <c r="A737" s="25" t="str">
        <f t="shared" si="12"/>
        <v/>
      </c>
    </row>
    <row r="738" spans="1:1" ht="30" customHeight="1" x14ac:dyDescent="0.2">
      <c r="A738" s="25" t="str">
        <f t="shared" si="12"/>
        <v/>
      </c>
    </row>
    <row r="739" spans="1:1" ht="30" customHeight="1" x14ac:dyDescent="0.2">
      <c r="A739" s="25" t="str">
        <f t="shared" si="12"/>
        <v/>
      </c>
    </row>
    <row r="740" spans="1:1" ht="30" customHeight="1" x14ac:dyDescent="0.2">
      <c r="A740" s="25" t="str">
        <f t="shared" si="12"/>
        <v/>
      </c>
    </row>
    <row r="741" spans="1:1" ht="30" customHeight="1" x14ac:dyDescent="0.2">
      <c r="A741" s="25" t="str">
        <f t="shared" si="12"/>
        <v/>
      </c>
    </row>
    <row r="742" spans="1:1" ht="30" customHeight="1" x14ac:dyDescent="0.2">
      <c r="A742" s="25" t="str">
        <f t="shared" si="12"/>
        <v/>
      </c>
    </row>
    <row r="743" spans="1:1" ht="30" customHeight="1" x14ac:dyDescent="0.2">
      <c r="A743" s="25" t="str">
        <f t="shared" si="12"/>
        <v/>
      </c>
    </row>
    <row r="744" spans="1:1" ht="30" customHeight="1" x14ac:dyDescent="0.2">
      <c r="A744" s="25" t="str">
        <f t="shared" si="12"/>
        <v/>
      </c>
    </row>
    <row r="745" spans="1:1" ht="30" customHeight="1" x14ac:dyDescent="0.2">
      <c r="A745" s="25" t="str">
        <f t="shared" si="12"/>
        <v/>
      </c>
    </row>
    <row r="746" spans="1:1" ht="30" customHeight="1" x14ac:dyDescent="0.2">
      <c r="A746" s="25" t="str">
        <f t="shared" si="12"/>
        <v/>
      </c>
    </row>
    <row r="747" spans="1:1" ht="30" customHeight="1" x14ac:dyDescent="0.2">
      <c r="A747" s="25" t="str">
        <f t="shared" si="12"/>
        <v/>
      </c>
    </row>
    <row r="748" spans="1:1" ht="30" customHeight="1" x14ac:dyDescent="0.2">
      <c r="A748" s="25" t="str">
        <f t="shared" si="12"/>
        <v/>
      </c>
    </row>
    <row r="749" spans="1:1" ht="30" customHeight="1" x14ac:dyDescent="0.2">
      <c r="A749" s="25" t="str">
        <f t="shared" si="12"/>
        <v/>
      </c>
    </row>
    <row r="750" spans="1:1" ht="30" customHeight="1" x14ac:dyDescent="0.2">
      <c r="A750" s="25" t="str">
        <f t="shared" si="12"/>
        <v/>
      </c>
    </row>
    <row r="751" spans="1:1" ht="30" customHeight="1" x14ac:dyDescent="0.2">
      <c r="A751" s="25" t="str">
        <f t="shared" si="12"/>
        <v/>
      </c>
    </row>
    <row r="752" spans="1:1" ht="30" customHeight="1" x14ac:dyDescent="0.2">
      <c r="A752" s="25" t="str">
        <f t="shared" si="12"/>
        <v/>
      </c>
    </row>
    <row r="753" spans="1:1" ht="30" customHeight="1" x14ac:dyDescent="0.2">
      <c r="A753" s="25" t="str">
        <f t="shared" si="12"/>
        <v/>
      </c>
    </row>
    <row r="754" spans="1:1" ht="30" customHeight="1" x14ac:dyDescent="0.2">
      <c r="A754" s="25" t="str">
        <f t="shared" si="12"/>
        <v/>
      </c>
    </row>
    <row r="755" spans="1:1" ht="30" customHeight="1" x14ac:dyDescent="0.2">
      <c r="A755" s="25" t="str">
        <f t="shared" si="12"/>
        <v/>
      </c>
    </row>
    <row r="756" spans="1:1" ht="30" customHeight="1" x14ac:dyDescent="0.2">
      <c r="A756" s="25" t="str">
        <f t="shared" si="12"/>
        <v/>
      </c>
    </row>
    <row r="757" spans="1:1" ht="30" customHeight="1" x14ac:dyDescent="0.2">
      <c r="A757" s="25" t="str">
        <f t="shared" si="12"/>
        <v/>
      </c>
    </row>
    <row r="758" spans="1:1" ht="30" customHeight="1" x14ac:dyDescent="0.2">
      <c r="A758" s="25" t="str">
        <f t="shared" si="12"/>
        <v/>
      </c>
    </row>
    <row r="759" spans="1:1" ht="30" customHeight="1" x14ac:dyDescent="0.2">
      <c r="A759" s="25" t="str">
        <f t="shared" si="12"/>
        <v/>
      </c>
    </row>
    <row r="760" spans="1:1" ht="30" customHeight="1" x14ac:dyDescent="0.2">
      <c r="A760" s="25" t="str">
        <f t="shared" si="12"/>
        <v/>
      </c>
    </row>
    <row r="761" spans="1:1" ht="30" customHeight="1" x14ac:dyDescent="0.2">
      <c r="A761" s="25" t="str">
        <f t="shared" si="12"/>
        <v/>
      </c>
    </row>
    <row r="762" spans="1:1" ht="30" customHeight="1" x14ac:dyDescent="0.2">
      <c r="A762" s="25" t="str">
        <f t="shared" si="12"/>
        <v/>
      </c>
    </row>
    <row r="763" spans="1:1" ht="30" customHeight="1" x14ac:dyDescent="0.2">
      <c r="A763" s="25" t="str">
        <f t="shared" si="12"/>
        <v/>
      </c>
    </row>
    <row r="764" spans="1:1" ht="30" customHeight="1" x14ac:dyDescent="0.2">
      <c r="A764" s="25" t="str">
        <f t="shared" si="12"/>
        <v/>
      </c>
    </row>
    <row r="765" spans="1:1" ht="30" customHeight="1" x14ac:dyDescent="0.2">
      <c r="A765" s="25" t="str">
        <f t="shared" si="12"/>
        <v/>
      </c>
    </row>
    <row r="766" spans="1:1" ht="30" customHeight="1" x14ac:dyDescent="0.2">
      <c r="A766" s="25" t="str">
        <f t="shared" si="12"/>
        <v/>
      </c>
    </row>
    <row r="767" spans="1:1" ht="30" customHeight="1" x14ac:dyDescent="0.2">
      <c r="A767" s="25" t="str">
        <f t="shared" si="12"/>
        <v/>
      </c>
    </row>
    <row r="768" spans="1:1" ht="30" customHeight="1" x14ac:dyDescent="0.2">
      <c r="A768" s="25" t="str">
        <f t="shared" si="12"/>
        <v/>
      </c>
    </row>
    <row r="769" spans="1:1" ht="30" customHeight="1" x14ac:dyDescent="0.2">
      <c r="A769" s="25" t="str">
        <f t="shared" si="12"/>
        <v/>
      </c>
    </row>
    <row r="770" spans="1:1" ht="30" customHeight="1" x14ac:dyDescent="0.2">
      <c r="A770" s="25" t="str">
        <f t="shared" si="12"/>
        <v/>
      </c>
    </row>
    <row r="771" spans="1:1" ht="30" customHeight="1" x14ac:dyDescent="0.2">
      <c r="A771" s="25" t="str">
        <f t="shared" si="12"/>
        <v/>
      </c>
    </row>
    <row r="772" spans="1:1" ht="30" customHeight="1" x14ac:dyDescent="0.2">
      <c r="A772" s="25" t="str">
        <f t="shared" si="12"/>
        <v/>
      </c>
    </row>
    <row r="773" spans="1:1" ht="30" customHeight="1" x14ac:dyDescent="0.2">
      <c r="A773" s="25" t="str">
        <f t="shared" si="12"/>
        <v/>
      </c>
    </row>
    <row r="774" spans="1:1" ht="30" customHeight="1" x14ac:dyDescent="0.2">
      <c r="A774" s="25" t="str">
        <f t="shared" ref="A774:A837" si="13">IF(AND(B773&lt;&gt;"",B774=""),$A$2&amp;"---&gt;","")</f>
        <v/>
      </c>
    </row>
    <row r="775" spans="1:1" ht="30" customHeight="1" x14ac:dyDescent="0.2">
      <c r="A775" s="25" t="str">
        <f t="shared" si="13"/>
        <v/>
      </c>
    </row>
    <row r="776" spans="1:1" ht="30" customHeight="1" x14ac:dyDescent="0.2">
      <c r="A776" s="25" t="str">
        <f t="shared" si="13"/>
        <v/>
      </c>
    </row>
    <row r="777" spans="1:1" ht="30" customHeight="1" x14ac:dyDescent="0.2">
      <c r="A777" s="25" t="str">
        <f t="shared" si="13"/>
        <v/>
      </c>
    </row>
    <row r="778" spans="1:1" ht="30" customHeight="1" x14ac:dyDescent="0.2">
      <c r="A778" s="25" t="str">
        <f t="shared" si="13"/>
        <v/>
      </c>
    </row>
    <row r="779" spans="1:1" ht="30" customHeight="1" x14ac:dyDescent="0.2">
      <c r="A779" s="25" t="str">
        <f t="shared" si="13"/>
        <v/>
      </c>
    </row>
    <row r="780" spans="1:1" ht="30" customHeight="1" x14ac:dyDescent="0.2">
      <c r="A780" s="25" t="str">
        <f t="shared" si="13"/>
        <v/>
      </c>
    </row>
    <row r="781" spans="1:1" ht="30" customHeight="1" x14ac:dyDescent="0.2">
      <c r="A781" s="25" t="str">
        <f t="shared" si="13"/>
        <v/>
      </c>
    </row>
    <row r="782" spans="1:1" ht="30" customHeight="1" x14ac:dyDescent="0.2">
      <c r="A782" s="25" t="str">
        <f t="shared" si="13"/>
        <v/>
      </c>
    </row>
    <row r="783" spans="1:1" ht="30" customHeight="1" x14ac:dyDescent="0.2">
      <c r="A783" s="25" t="str">
        <f t="shared" si="13"/>
        <v/>
      </c>
    </row>
    <row r="784" spans="1:1" ht="30" customHeight="1" x14ac:dyDescent="0.2">
      <c r="A784" s="25" t="str">
        <f t="shared" si="13"/>
        <v/>
      </c>
    </row>
    <row r="785" spans="1:1" ht="30" customHeight="1" x14ac:dyDescent="0.2">
      <c r="A785" s="25" t="str">
        <f t="shared" si="13"/>
        <v/>
      </c>
    </row>
    <row r="786" spans="1:1" ht="30" customHeight="1" x14ac:dyDescent="0.2">
      <c r="A786" s="25" t="str">
        <f t="shared" si="13"/>
        <v/>
      </c>
    </row>
    <row r="787" spans="1:1" ht="30" customHeight="1" x14ac:dyDescent="0.2">
      <c r="A787" s="25" t="str">
        <f t="shared" si="13"/>
        <v/>
      </c>
    </row>
    <row r="788" spans="1:1" ht="30" customHeight="1" x14ac:dyDescent="0.2">
      <c r="A788" s="25" t="str">
        <f t="shared" si="13"/>
        <v/>
      </c>
    </row>
    <row r="789" spans="1:1" ht="30" customHeight="1" x14ac:dyDescent="0.2">
      <c r="A789" s="25" t="str">
        <f t="shared" si="13"/>
        <v/>
      </c>
    </row>
    <row r="790" spans="1:1" ht="30" customHeight="1" x14ac:dyDescent="0.2">
      <c r="A790" s="25" t="str">
        <f t="shared" si="13"/>
        <v/>
      </c>
    </row>
    <row r="791" spans="1:1" ht="30" customHeight="1" x14ac:dyDescent="0.2">
      <c r="A791" s="25" t="str">
        <f t="shared" si="13"/>
        <v/>
      </c>
    </row>
    <row r="792" spans="1:1" ht="30" customHeight="1" x14ac:dyDescent="0.2">
      <c r="A792" s="25" t="str">
        <f t="shared" si="13"/>
        <v/>
      </c>
    </row>
    <row r="793" spans="1:1" ht="30" customHeight="1" x14ac:dyDescent="0.2">
      <c r="A793" s="25" t="str">
        <f t="shared" si="13"/>
        <v/>
      </c>
    </row>
    <row r="794" spans="1:1" ht="30" customHeight="1" x14ac:dyDescent="0.2">
      <c r="A794" s="25" t="str">
        <f t="shared" si="13"/>
        <v/>
      </c>
    </row>
    <row r="795" spans="1:1" ht="30" customHeight="1" x14ac:dyDescent="0.2">
      <c r="A795" s="25" t="str">
        <f t="shared" si="13"/>
        <v/>
      </c>
    </row>
    <row r="796" spans="1:1" ht="30" customHeight="1" x14ac:dyDescent="0.2">
      <c r="A796" s="25" t="str">
        <f t="shared" si="13"/>
        <v/>
      </c>
    </row>
    <row r="797" spans="1:1" ht="30" customHeight="1" x14ac:dyDescent="0.2">
      <c r="A797" s="25" t="str">
        <f t="shared" si="13"/>
        <v/>
      </c>
    </row>
    <row r="798" spans="1:1" ht="30" customHeight="1" x14ac:dyDescent="0.2">
      <c r="A798" s="25" t="str">
        <f t="shared" si="13"/>
        <v/>
      </c>
    </row>
    <row r="799" spans="1:1" ht="30" customHeight="1" x14ac:dyDescent="0.2">
      <c r="A799" s="25" t="str">
        <f t="shared" si="13"/>
        <v/>
      </c>
    </row>
    <row r="800" spans="1:1" ht="30" customHeight="1" x14ac:dyDescent="0.2">
      <c r="A800" s="25" t="str">
        <f t="shared" si="13"/>
        <v/>
      </c>
    </row>
    <row r="801" spans="1:1" ht="30" customHeight="1" x14ac:dyDescent="0.2">
      <c r="A801" s="25" t="str">
        <f t="shared" si="13"/>
        <v/>
      </c>
    </row>
    <row r="802" spans="1:1" ht="30" customHeight="1" x14ac:dyDescent="0.2">
      <c r="A802" s="25" t="str">
        <f t="shared" si="13"/>
        <v/>
      </c>
    </row>
    <row r="803" spans="1:1" ht="30" customHeight="1" x14ac:dyDescent="0.2">
      <c r="A803" s="25" t="str">
        <f t="shared" si="13"/>
        <v/>
      </c>
    </row>
    <row r="804" spans="1:1" ht="30" customHeight="1" x14ac:dyDescent="0.2">
      <c r="A804" s="25" t="str">
        <f t="shared" si="13"/>
        <v/>
      </c>
    </row>
    <row r="805" spans="1:1" ht="30" customHeight="1" x14ac:dyDescent="0.2">
      <c r="A805" s="25" t="str">
        <f t="shared" si="13"/>
        <v/>
      </c>
    </row>
    <row r="806" spans="1:1" ht="30" customHeight="1" x14ac:dyDescent="0.2">
      <c r="A806" s="25" t="str">
        <f t="shared" si="13"/>
        <v/>
      </c>
    </row>
    <row r="807" spans="1:1" ht="30" customHeight="1" x14ac:dyDescent="0.2">
      <c r="A807" s="25" t="str">
        <f t="shared" si="13"/>
        <v/>
      </c>
    </row>
    <row r="808" spans="1:1" ht="30" customHeight="1" x14ac:dyDescent="0.2">
      <c r="A808" s="25" t="str">
        <f t="shared" si="13"/>
        <v/>
      </c>
    </row>
    <row r="809" spans="1:1" ht="30" customHeight="1" x14ac:dyDescent="0.2">
      <c r="A809" s="25" t="str">
        <f t="shared" si="13"/>
        <v/>
      </c>
    </row>
    <row r="810" spans="1:1" ht="30" customHeight="1" x14ac:dyDescent="0.2">
      <c r="A810" s="25" t="str">
        <f t="shared" si="13"/>
        <v/>
      </c>
    </row>
    <row r="811" spans="1:1" ht="30" customHeight="1" x14ac:dyDescent="0.2">
      <c r="A811" s="25" t="str">
        <f t="shared" si="13"/>
        <v/>
      </c>
    </row>
    <row r="812" spans="1:1" ht="30" customHeight="1" x14ac:dyDescent="0.2">
      <c r="A812" s="25" t="str">
        <f t="shared" si="13"/>
        <v/>
      </c>
    </row>
    <row r="813" spans="1:1" ht="30" customHeight="1" x14ac:dyDescent="0.2">
      <c r="A813" s="25" t="str">
        <f t="shared" si="13"/>
        <v/>
      </c>
    </row>
    <row r="814" spans="1:1" ht="30" customHeight="1" x14ac:dyDescent="0.2">
      <c r="A814" s="25" t="str">
        <f t="shared" si="13"/>
        <v/>
      </c>
    </row>
    <row r="815" spans="1:1" ht="30" customHeight="1" x14ac:dyDescent="0.2">
      <c r="A815" s="25" t="str">
        <f t="shared" si="13"/>
        <v/>
      </c>
    </row>
    <row r="816" spans="1:1" ht="30" customHeight="1" x14ac:dyDescent="0.2">
      <c r="A816" s="25" t="str">
        <f t="shared" si="13"/>
        <v/>
      </c>
    </row>
    <row r="817" spans="1:1" ht="30" customHeight="1" x14ac:dyDescent="0.2">
      <c r="A817" s="25" t="str">
        <f t="shared" si="13"/>
        <v/>
      </c>
    </row>
    <row r="818" spans="1:1" ht="30" customHeight="1" x14ac:dyDescent="0.2">
      <c r="A818" s="25" t="str">
        <f t="shared" si="13"/>
        <v/>
      </c>
    </row>
    <row r="819" spans="1:1" ht="30" customHeight="1" x14ac:dyDescent="0.2">
      <c r="A819" s="25" t="str">
        <f t="shared" si="13"/>
        <v/>
      </c>
    </row>
    <row r="820" spans="1:1" ht="30" customHeight="1" x14ac:dyDescent="0.2">
      <c r="A820" s="25" t="str">
        <f t="shared" si="13"/>
        <v/>
      </c>
    </row>
    <row r="821" spans="1:1" ht="30" customHeight="1" x14ac:dyDescent="0.2">
      <c r="A821" s="25" t="str">
        <f t="shared" si="13"/>
        <v/>
      </c>
    </row>
    <row r="822" spans="1:1" ht="30" customHeight="1" x14ac:dyDescent="0.2">
      <c r="A822" s="25" t="str">
        <f t="shared" si="13"/>
        <v/>
      </c>
    </row>
    <row r="823" spans="1:1" ht="30" customHeight="1" x14ac:dyDescent="0.2">
      <c r="A823" s="25" t="str">
        <f t="shared" si="13"/>
        <v/>
      </c>
    </row>
    <row r="824" spans="1:1" ht="30" customHeight="1" x14ac:dyDescent="0.2">
      <c r="A824" s="25" t="str">
        <f t="shared" si="13"/>
        <v/>
      </c>
    </row>
    <row r="825" spans="1:1" ht="30" customHeight="1" x14ac:dyDescent="0.2">
      <c r="A825" s="25" t="str">
        <f t="shared" si="13"/>
        <v/>
      </c>
    </row>
    <row r="826" spans="1:1" ht="30" customHeight="1" x14ac:dyDescent="0.2">
      <c r="A826" s="25" t="str">
        <f t="shared" si="13"/>
        <v/>
      </c>
    </row>
    <row r="827" spans="1:1" ht="30" customHeight="1" x14ac:dyDescent="0.2">
      <c r="A827" s="25" t="str">
        <f t="shared" si="13"/>
        <v/>
      </c>
    </row>
    <row r="828" spans="1:1" ht="30" customHeight="1" x14ac:dyDescent="0.2">
      <c r="A828" s="25" t="str">
        <f t="shared" si="13"/>
        <v/>
      </c>
    </row>
    <row r="829" spans="1:1" ht="30" customHeight="1" x14ac:dyDescent="0.2">
      <c r="A829" s="25" t="str">
        <f t="shared" si="13"/>
        <v/>
      </c>
    </row>
    <row r="830" spans="1:1" ht="30" customHeight="1" x14ac:dyDescent="0.2">
      <c r="A830" s="25" t="str">
        <f t="shared" si="13"/>
        <v/>
      </c>
    </row>
    <row r="831" spans="1:1" ht="30" customHeight="1" x14ac:dyDescent="0.2">
      <c r="A831" s="25" t="str">
        <f t="shared" si="13"/>
        <v/>
      </c>
    </row>
    <row r="832" spans="1:1" ht="30" customHeight="1" x14ac:dyDescent="0.2">
      <c r="A832" s="25" t="str">
        <f t="shared" si="13"/>
        <v/>
      </c>
    </row>
    <row r="833" spans="1:1" ht="30" customHeight="1" x14ac:dyDescent="0.2">
      <c r="A833" s="25" t="str">
        <f t="shared" si="13"/>
        <v/>
      </c>
    </row>
    <row r="834" spans="1:1" ht="30" customHeight="1" x14ac:dyDescent="0.2">
      <c r="A834" s="25" t="str">
        <f t="shared" si="13"/>
        <v/>
      </c>
    </row>
    <row r="835" spans="1:1" ht="30" customHeight="1" x14ac:dyDescent="0.2">
      <c r="A835" s="25" t="str">
        <f t="shared" si="13"/>
        <v/>
      </c>
    </row>
    <row r="836" spans="1:1" ht="30" customHeight="1" x14ac:dyDescent="0.2">
      <c r="A836" s="25" t="str">
        <f t="shared" si="13"/>
        <v/>
      </c>
    </row>
    <row r="837" spans="1:1" ht="30" customHeight="1" x14ac:dyDescent="0.2">
      <c r="A837" s="25" t="str">
        <f t="shared" si="13"/>
        <v/>
      </c>
    </row>
    <row r="838" spans="1:1" ht="30" customHeight="1" x14ac:dyDescent="0.2">
      <c r="A838" s="25" t="str">
        <f t="shared" ref="A838:A901" si="14">IF(AND(B837&lt;&gt;"",B838=""),$A$2&amp;"---&gt;","")</f>
        <v/>
      </c>
    </row>
    <row r="839" spans="1:1" ht="30" customHeight="1" x14ac:dyDescent="0.2">
      <c r="A839" s="25" t="str">
        <f t="shared" si="14"/>
        <v/>
      </c>
    </row>
    <row r="840" spans="1:1" ht="30" customHeight="1" x14ac:dyDescent="0.2">
      <c r="A840" s="25" t="str">
        <f t="shared" si="14"/>
        <v/>
      </c>
    </row>
    <row r="841" spans="1:1" ht="30" customHeight="1" x14ac:dyDescent="0.2">
      <c r="A841" s="25" t="str">
        <f t="shared" si="14"/>
        <v/>
      </c>
    </row>
    <row r="842" spans="1:1" ht="30" customHeight="1" x14ac:dyDescent="0.2">
      <c r="A842" s="25" t="str">
        <f t="shared" si="14"/>
        <v/>
      </c>
    </row>
    <row r="843" spans="1:1" ht="30" customHeight="1" x14ac:dyDescent="0.2">
      <c r="A843" s="25" t="str">
        <f t="shared" si="14"/>
        <v/>
      </c>
    </row>
    <row r="844" spans="1:1" ht="30" customHeight="1" x14ac:dyDescent="0.2">
      <c r="A844" s="25" t="str">
        <f t="shared" si="14"/>
        <v/>
      </c>
    </row>
    <row r="845" spans="1:1" ht="30" customHeight="1" x14ac:dyDescent="0.2">
      <c r="A845" s="25" t="str">
        <f t="shared" si="14"/>
        <v/>
      </c>
    </row>
    <row r="846" spans="1:1" ht="30" customHeight="1" x14ac:dyDescent="0.2">
      <c r="A846" s="25" t="str">
        <f t="shared" si="14"/>
        <v/>
      </c>
    </row>
    <row r="847" spans="1:1" ht="30" customHeight="1" x14ac:dyDescent="0.2">
      <c r="A847" s="25" t="str">
        <f t="shared" si="14"/>
        <v/>
      </c>
    </row>
    <row r="848" spans="1:1" ht="30" customHeight="1" x14ac:dyDescent="0.2">
      <c r="A848" s="25" t="str">
        <f t="shared" si="14"/>
        <v/>
      </c>
    </row>
    <row r="849" spans="1:1" ht="30" customHeight="1" x14ac:dyDescent="0.2">
      <c r="A849" s="25" t="str">
        <f t="shared" si="14"/>
        <v/>
      </c>
    </row>
    <row r="850" spans="1:1" ht="30" customHeight="1" x14ac:dyDescent="0.2">
      <c r="A850" s="25" t="str">
        <f t="shared" si="14"/>
        <v/>
      </c>
    </row>
    <row r="851" spans="1:1" ht="30" customHeight="1" x14ac:dyDescent="0.2">
      <c r="A851" s="25" t="str">
        <f t="shared" si="14"/>
        <v/>
      </c>
    </row>
    <row r="852" spans="1:1" ht="30" customHeight="1" x14ac:dyDescent="0.2">
      <c r="A852" s="25" t="str">
        <f t="shared" si="14"/>
        <v/>
      </c>
    </row>
    <row r="853" spans="1:1" ht="30" customHeight="1" x14ac:dyDescent="0.2">
      <c r="A853" s="25" t="str">
        <f t="shared" si="14"/>
        <v/>
      </c>
    </row>
    <row r="854" spans="1:1" ht="30" customHeight="1" x14ac:dyDescent="0.2">
      <c r="A854" s="25" t="str">
        <f t="shared" si="14"/>
        <v/>
      </c>
    </row>
    <row r="855" spans="1:1" ht="30" customHeight="1" x14ac:dyDescent="0.2">
      <c r="A855" s="25" t="str">
        <f t="shared" si="14"/>
        <v/>
      </c>
    </row>
    <row r="856" spans="1:1" ht="30" customHeight="1" x14ac:dyDescent="0.2">
      <c r="A856" s="25" t="str">
        <f t="shared" si="14"/>
        <v/>
      </c>
    </row>
    <row r="857" spans="1:1" ht="30" customHeight="1" x14ac:dyDescent="0.2">
      <c r="A857" s="25" t="str">
        <f t="shared" si="14"/>
        <v/>
      </c>
    </row>
    <row r="858" spans="1:1" ht="30" customHeight="1" x14ac:dyDescent="0.2">
      <c r="A858" s="25" t="str">
        <f t="shared" si="14"/>
        <v/>
      </c>
    </row>
    <row r="859" spans="1:1" ht="30" customHeight="1" x14ac:dyDescent="0.2">
      <c r="A859" s="25" t="str">
        <f t="shared" si="14"/>
        <v/>
      </c>
    </row>
    <row r="860" spans="1:1" ht="30" customHeight="1" x14ac:dyDescent="0.2">
      <c r="A860" s="25" t="str">
        <f t="shared" si="14"/>
        <v/>
      </c>
    </row>
    <row r="861" spans="1:1" ht="30" customHeight="1" x14ac:dyDescent="0.2">
      <c r="A861" s="25" t="str">
        <f t="shared" si="14"/>
        <v/>
      </c>
    </row>
    <row r="862" spans="1:1" ht="30" customHeight="1" x14ac:dyDescent="0.2">
      <c r="A862" s="25" t="str">
        <f t="shared" si="14"/>
        <v/>
      </c>
    </row>
    <row r="863" spans="1:1" ht="30" customHeight="1" x14ac:dyDescent="0.2">
      <c r="A863" s="25" t="str">
        <f t="shared" si="14"/>
        <v/>
      </c>
    </row>
    <row r="864" spans="1:1" ht="30" customHeight="1" x14ac:dyDescent="0.2">
      <c r="A864" s="25" t="str">
        <f t="shared" si="14"/>
        <v/>
      </c>
    </row>
    <row r="865" spans="1:1" ht="30" customHeight="1" x14ac:dyDescent="0.2">
      <c r="A865" s="25" t="str">
        <f t="shared" si="14"/>
        <v/>
      </c>
    </row>
    <row r="866" spans="1:1" ht="30" customHeight="1" x14ac:dyDescent="0.2">
      <c r="A866" s="25" t="str">
        <f t="shared" si="14"/>
        <v/>
      </c>
    </row>
    <row r="867" spans="1:1" ht="30" customHeight="1" x14ac:dyDescent="0.2">
      <c r="A867" s="25" t="str">
        <f t="shared" si="14"/>
        <v/>
      </c>
    </row>
    <row r="868" spans="1:1" ht="30" customHeight="1" x14ac:dyDescent="0.2">
      <c r="A868" s="25" t="str">
        <f t="shared" si="14"/>
        <v/>
      </c>
    </row>
    <row r="869" spans="1:1" ht="30" customHeight="1" x14ac:dyDescent="0.2">
      <c r="A869" s="25" t="str">
        <f t="shared" si="14"/>
        <v/>
      </c>
    </row>
    <row r="870" spans="1:1" ht="30" customHeight="1" x14ac:dyDescent="0.2">
      <c r="A870" s="25" t="str">
        <f t="shared" si="14"/>
        <v/>
      </c>
    </row>
    <row r="871" spans="1:1" ht="30" customHeight="1" x14ac:dyDescent="0.2">
      <c r="A871" s="25" t="str">
        <f t="shared" si="14"/>
        <v/>
      </c>
    </row>
    <row r="872" spans="1:1" ht="30" customHeight="1" x14ac:dyDescent="0.2">
      <c r="A872" s="25" t="str">
        <f t="shared" si="14"/>
        <v/>
      </c>
    </row>
    <row r="873" spans="1:1" ht="30" customHeight="1" x14ac:dyDescent="0.2">
      <c r="A873" s="25" t="str">
        <f t="shared" si="14"/>
        <v/>
      </c>
    </row>
    <row r="874" spans="1:1" ht="30" customHeight="1" x14ac:dyDescent="0.2">
      <c r="A874" s="25" t="str">
        <f t="shared" si="14"/>
        <v/>
      </c>
    </row>
    <row r="875" spans="1:1" ht="30" customHeight="1" x14ac:dyDescent="0.2">
      <c r="A875" s="25" t="str">
        <f t="shared" si="14"/>
        <v/>
      </c>
    </row>
    <row r="876" spans="1:1" ht="30" customHeight="1" x14ac:dyDescent="0.2">
      <c r="A876" s="25" t="str">
        <f t="shared" si="14"/>
        <v/>
      </c>
    </row>
    <row r="877" spans="1:1" ht="30" customHeight="1" x14ac:dyDescent="0.2">
      <c r="A877" s="25" t="str">
        <f t="shared" si="14"/>
        <v/>
      </c>
    </row>
    <row r="878" spans="1:1" ht="30" customHeight="1" x14ac:dyDescent="0.2">
      <c r="A878" s="25" t="str">
        <f t="shared" si="14"/>
        <v/>
      </c>
    </row>
    <row r="879" spans="1:1" ht="30" customHeight="1" x14ac:dyDescent="0.2">
      <c r="A879" s="25" t="str">
        <f t="shared" si="14"/>
        <v/>
      </c>
    </row>
    <row r="880" spans="1:1" ht="30" customHeight="1" x14ac:dyDescent="0.2">
      <c r="A880" s="25" t="str">
        <f t="shared" si="14"/>
        <v/>
      </c>
    </row>
    <row r="881" spans="1:1" ht="30" customHeight="1" x14ac:dyDescent="0.2">
      <c r="A881" s="25" t="str">
        <f t="shared" si="14"/>
        <v/>
      </c>
    </row>
    <row r="882" spans="1:1" ht="30" customHeight="1" x14ac:dyDescent="0.2">
      <c r="A882" s="25" t="str">
        <f t="shared" si="14"/>
        <v/>
      </c>
    </row>
    <row r="883" spans="1:1" ht="30" customHeight="1" x14ac:dyDescent="0.2">
      <c r="A883" s="25" t="str">
        <f t="shared" si="14"/>
        <v/>
      </c>
    </row>
    <row r="884" spans="1:1" ht="30" customHeight="1" x14ac:dyDescent="0.2">
      <c r="A884" s="25" t="str">
        <f t="shared" si="14"/>
        <v/>
      </c>
    </row>
    <row r="885" spans="1:1" ht="30" customHeight="1" x14ac:dyDescent="0.2">
      <c r="A885" s="25" t="str">
        <f t="shared" si="14"/>
        <v/>
      </c>
    </row>
    <row r="886" spans="1:1" ht="30" customHeight="1" x14ac:dyDescent="0.2">
      <c r="A886" s="25" t="str">
        <f t="shared" si="14"/>
        <v/>
      </c>
    </row>
    <row r="887" spans="1:1" ht="30" customHeight="1" x14ac:dyDescent="0.2">
      <c r="A887" s="25" t="str">
        <f t="shared" si="14"/>
        <v/>
      </c>
    </row>
    <row r="888" spans="1:1" ht="30" customHeight="1" x14ac:dyDescent="0.2">
      <c r="A888" s="25" t="str">
        <f t="shared" si="14"/>
        <v/>
      </c>
    </row>
    <row r="889" spans="1:1" ht="30" customHeight="1" x14ac:dyDescent="0.2">
      <c r="A889" s="25" t="str">
        <f t="shared" si="14"/>
        <v/>
      </c>
    </row>
    <row r="890" spans="1:1" ht="30" customHeight="1" x14ac:dyDescent="0.2">
      <c r="A890" s="25" t="str">
        <f t="shared" si="14"/>
        <v/>
      </c>
    </row>
    <row r="891" spans="1:1" ht="30" customHeight="1" x14ac:dyDescent="0.2">
      <c r="A891" s="25" t="str">
        <f t="shared" si="14"/>
        <v/>
      </c>
    </row>
    <row r="892" spans="1:1" ht="30" customHeight="1" x14ac:dyDescent="0.2">
      <c r="A892" s="25" t="str">
        <f t="shared" si="14"/>
        <v/>
      </c>
    </row>
    <row r="893" spans="1:1" ht="30" customHeight="1" x14ac:dyDescent="0.2">
      <c r="A893" s="25" t="str">
        <f t="shared" si="14"/>
        <v/>
      </c>
    </row>
    <row r="894" spans="1:1" ht="30" customHeight="1" x14ac:dyDescent="0.2">
      <c r="A894" s="25" t="str">
        <f t="shared" si="14"/>
        <v/>
      </c>
    </row>
    <row r="895" spans="1:1" ht="30" customHeight="1" x14ac:dyDescent="0.2">
      <c r="A895" s="25" t="str">
        <f t="shared" si="14"/>
        <v/>
      </c>
    </row>
    <row r="896" spans="1:1" ht="30" customHeight="1" x14ac:dyDescent="0.2">
      <c r="A896" s="25" t="str">
        <f t="shared" si="14"/>
        <v/>
      </c>
    </row>
    <row r="897" spans="1:1" ht="30" customHeight="1" x14ac:dyDescent="0.2">
      <c r="A897" s="25" t="str">
        <f t="shared" si="14"/>
        <v/>
      </c>
    </row>
    <row r="898" spans="1:1" ht="30" customHeight="1" x14ac:dyDescent="0.2">
      <c r="A898" s="25" t="str">
        <f t="shared" si="14"/>
        <v/>
      </c>
    </row>
    <row r="899" spans="1:1" ht="30" customHeight="1" x14ac:dyDescent="0.2">
      <c r="A899" s="25" t="str">
        <f t="shared" si="14"/>
        <v/>
      </c>
    </row>
    <row r="900" spans="1:1" ht="30" customHeight="1" x14ac:dyDescent="0.2">
      <c r="A900" s="25" t="str">
        <f t="shared" si="14"/>
        <v/>
      </c>
    </row>
    <row r="901" spans="1:1" ht="30" customHeight="1" x14ac:dyDescent="0.2">
      <c r="A901" s="25" t="str">
        <f t="shared" si="14"/>
        <v/>
      </c>
    </row>
    <row r="902" spans="1:1" ht="30" customHeight="1" x14ac:dyDescent="0.2">
      <c r="A902" s="25" t="str">
        <f t="shared" ref="A902:A965" si="15">IF(AND(B901&lt;&gt;"",B902=""),$A$2&amp;"---&gt;","")</f>
        <v/>
      </c>
    </row>
    <row r="903" spans="1:1" ht="30" customHeight="1" x14ac:dyDescent="0.2">
      <c r="A903" s="25" t="str">
        <f t="shared" si="15"/>
        <v/>
      </c>
    </row>
    <row r="904" spans="1:1" ht="30" customHeight="1" x14ac:dyDescent="0.2">
      <c r="A904" s="25" t="str">
        <f t="shared" si="15"/>
        <v/>
      </c>
    </row>
    <row r="905" spans="1:1" ht="30" customHeight="1" x14ac:dyDescent="0.2">
      <c r="A905" s="25" t="str">
        <f t="shared" si="15"/>
        <v/>
      </c>
    </row>
    <row r="906" spans="1:1" ht="30" customHeight="1" x14ac:dyDescent="0.2">
      <c r="A906" s="25" t="str">
        <f t="shared" si="15"/>
        <v/>
      </c>
    </row>
    <row r="907" spans="1:1" ht="30" customHeight="1" x14ac:dyDescent="0.2">
      <c r="A907" s="25" t="str">
        <f t="shared" si="15"/>
        <v/>
      </c>
    </row>
    <row r="908" spans="1:1" ht="30" customHeight="1" x14ac:dyDescent="0.2">
      <c r="A908" s="25" t="str">
        <f t="shared" si="15"/>
        <v/>
      </c>
    </row>
    <row r="909" spans="1:1" ht="30" customHeight="1" x14ac:dyDescent="0.2">
      <c r="A909" s="25" t="str">
        <f t="shared" si="15"/>
        <v/>
      </c>
    </row>
    <row r="910" spans="1:1" ht="30" customHeight="1" x14ac:dyDescent="0.2">
      <c r="A910" s="25" t="str">
        <f t="shared" si="15"/>
        <v/>
      </c>
    </row>
    <row r="911" spans="1:1" ht="30" customHeight="1" x14ac:dyDescent="0.2">
      <c r="A911" s="25" t="str">
        <f t="shared" si="15"/>
        <v/>
      </c>
    </row>
    <row r="912" spans="1:1" ht="30" customHeight="1" x14ac:dyDescent="0.2">
      <c r="A912" s="25" t="str">
        <f t="shared" si="15"/>
        <v/>
      </c>
    </row>
    <row r="913" spans="1:1" ht="30" customHeight="1" x14ac:dyDescent="0.2">
      <c r="A913" s="25" t="str">
        <f t="shared" si="15"/>
        <v/>
      </c>
    </row>
    <row r="914" spans="1:1" ht="30" customHeight="1" x14ac:dyDescent="0.2">
      <c r="A914" s="25" t="str">
        <f t="shared" si="15"/>
        <v/>
      </c>
    </row>
    <row r="915" spans="1:1" ht="30" customHeight="1" x14ac:dyDescent="0.2">
      <c r="A915" s="25" t="str">
        <f t="shared" si="15"/>
        <v/>
      </c>
    </row>
    <row r="916" spans="1:1" ht="30" customHeight="1" x14ac:dyDescent="0.2">
      <c r="A916" s="25" t="str">
        <f t="shared" si="15"/>
        <v/>
      </c>
    </row>
    <row r="917" spans="1:1" ht="30" customHeight="1" x14ac:dyDescent="0.2">
      <c r="A917" s="25" t="str">
        <f t="shared" si="15"/>
        <v/>
      </c>
    </row>
    <row r="918" spans="1:1" ht="30" customHeight="1" x14ac:dyDescent="0.2">
      <c r="A918" s="25" t="str">
        <f t="shared" si="15"/>
        <v/>
      </c>
    </row>
    <row r="919" spans="1:1" ht="30" customHeight="1" x14ac:dyDescent="0.2">
      <c r="A919" s="25" t="str">
        <f t="shared" si="15"/>
        <v/>
      </c>
    </row>
    <row r="920" spans="1:1" ht="30" customHeight="1" x14ac:dyDescent="0.2">
      <c r="A920" s="25" t="str">
        <f t="shared" si="15"/>
        <v/>
      </c>
    </row>
    <row r="921" spans="1:1" ht="30" customHeight="1" x14ac:dyDescent="0.2">
      <c r="A921" s="25" t="str">
        <f t="shared" si="15"/>
        <v/>
      </c>
    </row>
    <row r="922" spans="1:1" ht="30" customHeight="1" x14ac:dyDescent="0.2">
      <c r="A922" s="25" t="str">
        <f t="shared" si="15"/>
        <v/>
      </c>
    </row>
    <row r="923" spans="1:1" ht="30" customHeight="1" x14ac:dyDescent="0.2">
      <c r="A923" s="25" t="str">
        <f t="shared" si="15"/>
        <v/>
      </c>
    </row>
    <row r="924" spans="1:1" ht="30" customHeight="1" x14ac:dyDescent="0.2">
      <c r="A924" s="25" t="str">
        <f t="shared" si="15"/>
        <v/>
      </c>
    </row>
    <row r="925" spans="1:1" ht="30" customHeight="1" x14ac:dyDescent="0.2">
      <c r="A925" s="25" t="str">
        <f t="shared" si="15"/>
        <v/>
      </c>
    </row>
    <row r="926" spans="1:1" ht="30" customHeight="1" x14ac:dyDescent="0.2">
      <c r="A926" s="25" t="str">
        <f t="shared" si="15"/>
        <v/>
      </c>
    </row>
    <row r="927" spans="1:1" ht="30" customHeight="1" x14ac:dyDescent="0.2">
      <c r="A927" s="25" t="str">
        <f t="shared" si="15"/>
        <v/>
      </c>
    </row>
    <row r="928" spans="1:1" ht="30" customHeight="1" x14ac:dyDescent="0.2">
      <c r="A928" s="25" t="str">
        <f t="shared" si="15"/>
        <v/>
      </c>
    </row>
    <row r="929" spans="1:1" ht="30" customHeight="1" x14ac:dyDescent="0.2">
      <c r="A929" s="25" t="str">
        <f t="shared" si="15"/>
        <v/>
      </c>
    </row>
    <row r="930" spans="1:1" ht="30" customHeight="1" x14ac:dyDescent="0.2">
      <c r="A930" s="25" t="str">
        <f t="shared" si="15"/>
        <v/>
      </c>
    </row>
    <row r="931" spans="1:1" ht="30" customHeight="1" x14ac:dyDescent="0.2">
      <c r="A931" s="25" t="str">
        <f t="shared" si="15"/>
        <v/>
      </c>
    </row>
    <row r="932" spans="1:1" ht="30" customHeight="1" x14ac:dyDescent="0.2">
      <c r="A932" s="25" t="str">
        <f t="shared" si="15"/>
        <v/>
      </c>
    </row>
    <row r="933" spans="1:1" ht="30" customHeight="1" x14ac:dyDescent="0.2">
      <c r="A933" s="25" t="str">
        <f t="shared" si="15"/>
        <v/>
      </c>
    </row>
    <row r="934" spans="1:1" ht="30" customHeight="1" x14ac:dyDescent="0.2">
      <c r="A934" s="25" t="str">
        <f t="shared" si="15"/>
        <v/>
      </c>
    </row>
    <row r="935" spans="1:1" ht="30" customHeight="1" x14ac:dyDescent="0.2">
      <c r="A935" s="25" t="str">
        <f t="shared" si="15"/>
        <v/>
      </c>
    </row>
    <row r="936" spans="1:1" ht="30" customHeight="1" x14ac:dyDescent="0.2">
      <c r="A936" s="25" t="str">
        <f t="shared" si="15"/>
        <v/>
      </c>
    </row>
    <row r="937" spans="1:1" ht="30" customHeight="1" x14ac:dyDescent="0.2">
      <c r="A937" s="25" t="str">
        <f t="shared" si="15"/>
        <v/>
      </c>
    </row>
    <row r="938" spans="1:1" ht="30" customHeight="1" x14ac:dyDescent="0.2">
      <c r="A938" s="25" t="str">
        <f t="shared" si="15"/>
        <v/>
      </c>
    </row>
    <row r="939" spans="1:1" ht="30" customHeight="1" x14ac:dyDescent="0.2">
      <c r="A939" s="25" t="str">
        <f t="shared" si="15"/>
        <v/>
      </c>
    </row>
    <row r="940" spans="1:1" ht="30" customHeight="1" x14ac:dyDescent="0.2">
      <c r="A940" s="25" t="str">
        <f t="shared" si="15"/>
        <v/>
      </c>
    </row>
    <row r="941" spans="1:1" ht="30" customHeight="1" x14ac:dyDescent="0.2">
      <c r="A941" s="25" t="str">
        <f t="shared" si="15"/>
        <v/>
      </c>
    </row>
    <row r="942" spans="1:1" ht="30" customHeight="1" x14ac:dyDescent="0.2">
      <c r="A942" s="25" t="str">
        <f t="shared" si="15"/>
        <v/>
      </c>
    </row>
    <row r="943" spans="1:1" ht="30" customHeight="1" x14ac:dyDescent="0.2">
      <c r="A943" s="25" t="str">
        <f t="shared" si="15"/>
        <v/>
      </c>
    </row>
    <row r="944" spans="1:1" ht="30" customHeight="1" x14ac:dyDescent="0.2">
      <c r="A944" s="25" t="str">
        <f t="shared" si="15"/>
        <v/>
      </c>
    </row>
    <row r="945" spans="1:1" ht="30" customHeight="1" x14ac:dyDescent="0.2">
      <c r="A945" s="25" t="str">
        <f t="shared" si="15"/>
        <v/>
      </c>
    </row>
    <row r="946" spans="1:1" ht="30" customHeight="1" x14ac:dyDescent="0.2">
      <c r="A946" s="25" t="str">
        <f t="shared" si="15"/>
        <v/>
      </c>
    </row>
    <row r="947" spans="1:1" ht="30" customHeight="1" x14ac:dyDescent="0.2">
      <c r="A947" s="25" t="str">
        <f t="shared" si="15"/>
        <v/>
      </c>
    </row>
    <row r="948" spans="1:1" ht="30" customHeight="1" x14ac:dyDescent="0.2">
      <c r="A948" s="25" t="str">
        <f t="shared" si="15"/>
        <v/>
      </c>
    </row>
    <row r="949" spans="1:1" ht="30" customHeight="1" x14ac:dyDescent="0.2">
      <c r="A949" s="25" t="str">
        <f t="shared" si="15"/>
        <v/>
      </c>
    </row>
    <row r="950" spans="1:1" ht="30" customHeight="1" x14ac:dyDescent="0.2">
      <c r="A950" s="25" t="str">
        <f t="shared" si="15"/>
        <v/>
      </c>
    </row>
    <row r="951" spans="1:1" ht="30" customHeight="1" x14ac:dyDescent="0.2">
      <c r="A951" s="25" t="str">
        <f t="shared" si="15"/>
        <v/>
      </c>
    </row>
    <row r="952" spans="1:1" ht="30" customHeight="1" x14ac:dyDescent="0.2">
      <c r="A952" s="25" t="str">
        <f t="shared" si="15"/>
        <v/>
      </c>
    </row>
    <row r="953" spans="1:1" ht="30" customHeight="1" x14ac:dyDescent="0.2">
      <c r="A953" s="25" t="str">
        <f t="shared" si="15"/>
        <v/>
      </c>
    </row>
    <row r="954" spans="1:1" ht="30" customHeight="1" x14ac:dyDescent="0.2">
      <c r="A954" s="25" t="str">
        <f t="shared" si="15"/>
        <v/>
      </c>
    </row>
    <row r="955" spans="1:1" ht="30" customHeight="1" x14ac:dyDescent="0.2">
      <c r="A955" s="25" t="str">
        <f t="shared" si="15"/>
        <v/>
      </c>
    </row>
    <row r="956" spans="1:1" ht="30" customHeight="1" x14ac:dyDescent="0.2">
      <c r="A956" s="25" t="str">
        <f t="shared" si="15"/>
        <v/>
      </c>
    </row>
    <row r="957" spans="1:1" ht="30" customHeight="1" x14ac:dyDescent="0.2">
      <c r="A957" s="25" t="str">
        <f t="shared" si="15"/>
        <v/>
      </c>
    </row>
    <row r="958" spans="1:1" ht="30" customHeight="1" x14ac:dyDescent="0.2">
      <c r="A958" s="25" t="str">
        <f t="shared" si="15"/>
        <v/>
      </c>
    </row>
    <row r="959" spans="1:1" ht="30" customHeight="1" x14ac:dyDescent="0.2">
      <c r="A959" s="25" t="str">
        <f t="shared" si="15"/>
        <v/>
      </c>
    </row>
    <row r="960" spans="1:1" ht="30" customHeight="1" x14ac:dyDescent="0.2">
      <c r="A960" s="25" t="str">
        <f t="shared" si="15"/>
        <v/>
      </c>
    </row>
    <row r="961" spans="1:1" ht="30" customHeight="1" x14ac:dyDescent="0.2">
      <c r="A961" s="25" t="str">
        <f t="shared" si="15"/>
        <v/>
      </c>
    </row>
    <row r="962" spans="1:1" ht="30" customHeight="1" x14ac:dyDescent="0.2">
      <c r="A962" s="25" t="str">
        <f t="shared" si="15"/>
        <v/>
      </c>
    </row>
    <row r="963" spans="1:1" ht="30" customHeight="1" x14ac:dyDescent="0.2">
      <c r="A963" s="25" t="str">
        <f t="shared" si="15"/>
        <v/>
      </c>
    </row>
    <row r="964" spans="1:1" ht="30" customHeight="1" x14ac:dyDescent="0.2">
      <c r="A964" s="25" t="str">
        <f t="shared" si="15"/>
        <v/>
      </c>
    </row>
    <row r="965" spans="1:1" ht="30" customHeight="1" x14ac:dyDescent="0.2">
      <c r="A965" s="25" t="str">
        <f t="shared" si="15"/>
        <v/>
      </c>
    </row>
    <row r="966" spans="1:1" ht="30" customHeight="1" x14ac:dyDescent="0.2">
      <c r="A966" s="25" t="str">
        <f t="shared" ref="A966:A1016" si="16">IF(AND(B965&lt;&gt;"",B966=""),$A$2&amp;"---&gt;","")</f>
        <v/>
      </c>
    </row>
    <row r="967" spans="1:1" ht="30" customHeight="1" x14ac:dyDescent="0.2">
      <c r="A967" s="25" t="str">
        <f t="shared" si="16"/>
        <v/>
      </c>
    </row>
    <row r="968" spans="1:1" ht="30" customHeight="1" x14ac:dyDescent="0.2">
      <c r="A968" s="25" t="str">
        <f t="shared" si="16"/>
        <v/>
      </c>
    </row>
    <row r="969" spans="1:1" ht="30" customHeight="1" x14ac:dyDescent="0.2">
      <c r="A969" s="25" t="str">
        <f t="shared" si="16"/>
        <v/>
      </c>
    </row>
    <row r="970" spans="1:1" ht="30" customHeight="1" x14ac:dyDescent="0.2">
      <c r="A970" s="25" t="str">
        <f t="shared" si="16"/>
        <v/>
      </c>
    </row>
    <row r="971" spans="1:1" ht="30" customHeight="1" x14ac:dyDescent="0.2">
      <c r="A971" s="25" t="str">
        <f t="shared" si="16"/>
        <v/>
      </c>
    </row>
    <row r="972" spans="1:1" ht="30" customHeight="1" x14ac:dyDescent="0.2">
      <c r="A972" s="25" t="str">
        <f t="shared" si="16"/>
        <v/>
      </c>
    </row>
    <row r="973" spans="1:1" ht="30" customHeight="1" x14ac:dyDescent="0.2">
      <c r="A973" s="25" t="str">
        <f t="shared" si="16"/>
        <v/>
      </c>
    </row>
    <row r="974" spans="1:1" ht="30" customHeight="1" x14ac:dyDescent="0.2">
      <c r="A974" s="25" t="str">
        <f t="shared" si="16"/>
        <v/>
      </c>
    </row>
    <row r="975" spans="1:1" ht="30" customHeight="1" x14ac:dyDescent="0.2">
      <c r="A975" s="25" t="str">
        <f t="shared" si="16"/>
        <v/>
      </c>
    </row>
    <row r="976" spans="1:1" ht="30" customHeight="1" x14ac:dyDescent="0.2">
      <c r="A976" s="25" t="str">
        <f t="shared" si="16"/>
        <v/>
      </c>
    </row>
    <row r="977" spans="1:1" ht="30" customHeight="1" x14ac:dyDescent="0.2">
      <c r="A977" s="25" t="str">
        <f t="shared" si="16"/>
        <v/>
      </c>
    </row>
    <row r="978" spans="1:1" ht="30" customHeight="1" x14ac:dyDescent="0.2">
      <c r="A978" s="25" t="str">
        <f t="shared" si="16"/>
        <v/>
      </c>
    </row>
    <row r="979" spans="1:1" ht="30" customHeight="1" x14ac:dyDescent="0.2">
      <c r="A979" s="25" t="str">
        <f t="shared" si="16"/>
        <v/>
      </c>
    </row>
    <row r="980" spans="1:1" ht="30" customHeight="1" x14ac:dyDescent="0.2">
      <c r="A980" s="25" t="str">
        <f t="shared" si="16"/>
        <v/>
      </c>
    </row>
    <row r="981" spans="1:1" ht="30" customHeight="1" x14ac:dyDescent="0.2">
      <c r="A981" s="25" t="str">
        <f t="shared" si="16"/>
        <v/>
      </c>
    </row>
    <row r="982" spans="1:1" ht="30" customHeight="1" x14ac:dyDescent="0.2">
      <c r="A982" s="25" t="str">
        <f t="shared" si="16"/>
        <v/>
      </c>
    </row>
    <row r="983" spans="1:1" ht="30" customHeight="1" x14ac:dyDescent="0.2">
      <c r="A983" s="25" t="str">
        <f t="shared" si="16"/>
        <v/>
      </c>
    </row>
    <row r="984" spans="1:1" ht="30" customHeight="1" x14ac:dyDescent="0.2">
      <c r="A984" s="25" t="str">
        <f t="shared" si="16"/>
        <v/>
      </c>
    </row>
    <row r="985" spans="1:1" ht="30" customHeight="1" x14ac:dyDescent="0.2">
      <c r="A985" s="25" t="str">
        <f t="shared" si="16"/>
        <v/>
      </c>
    </row>
    <row r="986" spans="1:1" ht="30" customHeight="1" x14ac:dyDescent="0.2">
      <c r="A986" s="25" t="str">
        <f t="shared" si="16"/>
        <v/>
      </c>
    </row>
    <row r="987" spans="1:1" ht="30" customHeight="1" x14ac:dyDescent="0.2">
      <c r="A987" s="25" t="str">
        <f t="shared" si="16"/>
        <v/>
      </c>
    </row>
    <row r="988" spans="1:1" ht="30" customHeight="1" x14ac:dyDescent="0.2">
      <c r="A988" s="25" t="str">
        <f t="shared" si="16"/>
        <v/>
      </c>
    </row>
    <row r="989" spans="1:1" ht="30" customHeight="1" x14ac:dyDescent="0.2">
      <c r="A989" s="25" t="str">
        <f t="shared" si="16"/>
        <v/>
      </c>
    </row>
    <row r="990" spans="1:1" ht="30" customHeight="1" x14ac:dyDescent="0.2">
      <c r="A990" s="25" t="str">
        <f t="shared" si="16"/>
        <v/>
      </c>
    </row>
    <row r="991" spans="1:1" ht="30" customHeight="1" x14ac:dyDescent="0.2">
      <c r="A991" s="25" t="str">
        <f t="shared" si="16"/>
        <v/>
      </c>
    </row>
    <row r="992" spans="1:1" ht="30" customHeight="1" x14ac:dyDescent="0.2">
      <c r="A992" s="25" t="str">
        <f t="shared" si="16"/>
        <v/>
      </c>
    </row>
    <row r="993" spans="1:1" ht="30" customHeight="1" x14ac:dyDescent="0.2">
      <c r="A993" s="25" t="str">
        <f t="shared" si="16"/>
        <v/>
      </c>
    </row>
    <row r="994" spans="1:1" ht="30" customHeight="1" x14ac:dyDescent="0.2">
      <c r="A994" s="25" t="str">
        <f t="shared" si="16"/>
        <v/>
      </c>
    </row>
    <row r="995" spans="1:1" ht="30" customHeight="1" x14ac:dyDescent="0.2">
      <c r="A995" s="25" t="str">
        <f t="shared" si="16"/>
        <v/>
      </c>
    </row>
    <row r="996" spans="1:1" ht="30" customHeight="1" x14ac:dyDescent="0.2">
      <c r="A996" s="25" t="str">
        <f t="shared" si="16"/>
        <v/>
      </c>
    </row>
    <row r="997" spans="1:1" ht="30" customHeight="1" x14ac:dyDescent="0.2">
      <c r="A997" s="25" t="str">
        <f t="shared" si="16"/>
        <v/>
      </c>
    </row>
    <row r="998" spans="1:1" ht="30" customHeight="1" x14ac:dyDescent="0.2">
      <c r="A998" s="25" t="str">
        <f t="shared" si="16"/>
        <v/>
      </c>
    </row>
    <row r="999" spans="1:1" ht="30" customHeight="1" x14ac:dyDescent="0.2">
      <c r="A999" s="25" t="str">
        <f t="shared" si="16"/>
        <v/>
      </c>
    </row>
    <row r="1000" spans="1:1" ht="30" customHeight="1" x14ac:dyDescent="0.2">
      <c r="A1000" s="25" t="str">
        <f t="shared" si="16"/>
        <v/>
      </c>
    </row>
    <row r="1001" spans="1:1" ht="30" customHeight="1" x14ac:dyDescent="0.2">
      <c r="A1001" s="25" t="str">
        <f t="shared" si="16"/>
        <v/>
      </c>
    </row>
    <row r="1002" spans="1:1" ht="30" customHeight="1" x14ac:dyDescent="0.2">
      <c r="A1002" s="25" t="str">
        <f t="shared" si="16"/>
        <v/>
      </c>
    </row>
    <row r="1003" spans="1:1" ht="30" customHeight="1" x14ac:dyDescent="0.2">
      <c r="A1003" s="25" t="str">
        <f t="shared" si="16"/>
        <v/>
      </c>
    </row>
    <row r="1004" spans="1:1" ht="30" customHeight="1" x14ac:dyDescent="0.2">
      <c r="A1004" s="25" t="str">
        <f t="shared" si="16"/>
        <v/>
      </c>
    </row>
    <row r="1005" spans="1:1" ht="30" customHeight="1" x14ac:dyDescent="0.2">
      <c r="A1005" s="25" t="str">
        <f t="shared" si="16"/>
        <v/>
      </c>
    </row>
    <row r="1006" spans="1:1" ht="30" customHeight="1" x14ac:dyDescent="0.2">
      <c r="A1006" s="25" t="str">
        <f t="shared" si="16"/>
        <v/>
      </c>
    </row>
    <row r="1007" spans="1:1" ht="30" customHeight="1" x14ac:dyDescent="0.2">
      <c r="A1007" s="25" t="str">
        <f t="shared" si="16"/>
        <v/>
      </c>
    </row>
    <row r="1008" spans="1:1" ht="30" customHeight="1" x14ac:dyDescent="0.2">
      <c r="A1008" s="25" t="str">
        <f t="shared" si="16"/>
        <v/>
      </c>
    </row>
    <row r="1009" spans="1:1" ht="30" customHeight="1" x14ac:dyDescent="0.2">
      <c r="A1009" s="25" t="str">
        <f t="shared" si="16"/>
        <v/>
      </c>
    </row>
    <row r="1010" spans="1:1" ht="30" customHeight="1" x14ac:dyDescent="0.2">
      <c r="A1010" s="25" t="str">
        <f t="shared" si="16"/>
        <v/>
      </c>
    </row>
    <row r="1011" spans="1:1" ht="30" customHeight="1" x14ac:dyDescent="0.2">
      <c r="A1011" s="25" t="str">
        <f t="shared" si="16"/>
        <v/>
      </c>
    </row>
    <row r="1012" spans="1:1" ht="30" customHeight="1" x14ac:dyDescent="0.2">
      <c r="A1012" s="25" t="str">
        <f t="shared" si="16"/>
        <v/>
      </c>
    </row>
    <row r="1013" spans="1:1" ht="30" customHeight="1" x14ac:dyDescent="0.2">
      <c r="A1013" s="25" t="str">
        <f t="shared" si="16"/>
        <v/>
      </c>
    </row>
    <row r="1014" spans="1:1" ht="30" customHeight="1" x14ac:dyDescent="0.2">
      <c r="A1014" s="25" t="str">
        <f t="shared" si="16"/>
        <v/>
      </c>
    </row>
    <row r="1015" spans="1:1" ht="30" customHeight="1" x14ac:dyDescent="0.2">
      <c r="A1015" s="25" t="str">
        <f t="shared" si="16"/>
        <v/>
      </c>
    </row>
    <row r="1016" spans="1:1" ht="30" customHeight="1" x14ac:dyDescent="0.2">
      <c r="A1016" s="25" t="str">
        <f t="shared" si="16"/>
        <v/>
      </c>
    </row>
  </sheetData>
  <phoneticPr fontId="6" type="noConversion"/>
  <dataValidations count="5">
    <dataValidation type="date" allowBlank="1" showInputMessage="1" showErrorMessage="1" sqref="B3:B32" xr:uid="{ABAAA440-A242-472C-8BCE-FC8D23608337}">
      <formula1>1</formula1>
      <formula2>109575</formula2>
    </dataValidation>
    <dataValidation type="list" allowBlank="1" showInputMessage="1" showErrorMessage="1" sqref="D3:D32" xr:uid="{55C4C6EB-C264-43C5-A641-18B86DF156D4}">
      <formula1>CampNAme</formula1>
    </dataValidation>
    <dataValidation type="list" allowBlank="1" showInputMessage="1" showErrorMessage="1" sqref="G3:G32" xr:uid="{8ED6C2AC-6BBC-4716-A101-62F2834AF0B4}">
      <formula1>List</formula1>
    </dataValidation>
    <dataValidation type="list" allowBlank="1" showInputMessage="1" showErrorMessage="1" sqref="H3:H32" xr:uid="{CDEABE4E-A346-446A-B2F3-D30A1CABB6A3}">
      <formula1>Platform</formula1>
    </dataValidation>
    <dataValidation type="list" allowBlank="1" showInputMessage="1" showErrorMessage="1" sqref="E3:E32" xr:uid="{71FED799-70F3-4B00-849E-6BCF58EA2C00}">
      <formula1>Subject_line</formula1>
    </dataValidation>
  </dataValidations>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cellIs" priority="10" operator="greaterThan" id="{4E635306-9000-4200-A1FD-BA22BF06505D}">
            <xm:f>Database!$K$5</xm:f>
            <x14:dxf>
              <font>
                <color rgb="FF006100"/>
              </font>
              <fill>
                <patternFill>
                  <bgColor rgb="FFC6EFCE"/>
                </patternFill>
              </fill>
            </x14:dxf>
          </x14:cfRule>
          <x14:cfRule type="cellIs" priority="11" operator="between" id="{BD4E546D-082A-4CC5-A9C3-401A79BB5ADD}">
            <xm:f>Database!$K$6</xm:f>
            <xm:f>Database!$K$5</xm:f>
            <x14:dxf>
              <font>
                <color rgb="FF9C5700"/>
              </font>
              <fill>
                <patternFill>
                  <bgColor rgb="FFFFEB9C"/>
                </patternFill>
              </fill>
            </x14:dxf>
          </x14:cfRule>
          <x14:cfRule type="cellIs" priority="12" operator="lessThan" id="{19AE5F43-482F-4896-B87C-D0D2B606FB9D}">
            <xm:f>Database!$K$6</xm:f>
            <x14:dxf>
              <font>
                <color rgb="FF9C0006"/>
              </font>
              <fill>
                <patternFill>
                  <bgColor rgb="FFFFC7CE"/>
                </patternFill>
              </fill>
            </x14:dxf>
          </x14:cfRule>
          <xm:sqref>M3:M32</xm:sqref>
        </x14:conditionalFormatting>
        <x14:conditionalFormatting xmlns:xm="http://schemas.microsoft.com/office/excel/2006/main">
          <x14:cfRule type="cellIs" priority="7" operator="greaterThan" id="{84629494-5079-49FF-86DB-13469D0B12A6}">
            <xm:f>Database!$N$5</xm:f>
            <x14:dxf>
              <font>
                <color rgb="FF006100"/>
              </font>
              <fill>
                <patternFill>
                  <bgColor rgb="FFC6EFCE"/>
                </patternFill>
              </fill>
            </x14:dxf>
          </x14:cfRule>
          <x14:cfRule type="cellIs" priority="8" operator="between" id="{F1A8DC8D-EEA0-4734-BE66-FD0DAA34E80B}">
            <xm:f>Database!$N$6</xm:f>
            <xm:f>Database!$N$5</xm:f>
            <x14:dxf>
              <font>
                <color rgb="FF9C5700"/>
              </font>
              <fill>
                <patternFill>
                  <bgColor rgb="FFFFEB9C"/>
                </patternFill>
              </fill>
            </x14:dxf>
          </x14:cfRule>
          <x14:cfRule type="cellIs" priority="9" operator="lessThan" id="{B5BFCFA1-E584-449F-A9A8-6D6057DAB619}">
            <xm:f>Database!$N$6</xm:f>
            <x14:dxf>
              <font>
                <color rgb="FF9C0006"/>
              </font>
              <fill>
                <patternFill>
                  <bgColor rgb="FFFFC7CE"/>
                </patternFill>
              </fill>
            </x14:dxf>
          </x14:cfRule>
          <xm:sqref>P3:P32</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BD1589-5D89-42C1-B263-9441FE9FEEC6}">
  <dimension ref="B3:C14"/>
  <sheetViews>
    <sheetView workbookViewId="0">
      <selection activeCell="H10" sqref="H10"/>
    </sheetView>
  </sheetViews>
  <sheetFormatPr defaultRowHeight="12.75" x14ac:dyDescent="0.2"/>
  <sheetData>
    <row r="3" spans="2:3" x14ac:dyDescent="0.2">
      <c r="B3">
        <v>1</v>
      </c>
      <c r="C3" t="s">
        <v>45</v>
      </c>
    </row>
    <row r="4" spans="2:3" x14ac:dyDescent="0.2">
      <c r="B4">
        <v>2</v>
      </c>
      <c r="C4" t="s">
        <v>46</v>
      </c>
    </row>
    <row r="5" spans="2:3" x14ac:dyDescent="0.2">
      <c r="B5">
        <v>3</v>
      </c>
      <c r="C5" t="s">
        <v>47</v>
      </c>
    </row>
    <row r="6" spans="2:3" x14ac:dyDescent="0.2">
      <c r="B6">
        <v>4</v>
      </c>
      <c r="C6" t="s">
        <v>48</v>
      </c>
    </row>
    <row r="7" spans="2:3" x14ac:dyDescent="0.2">
      <c r="B7">
        <v>5</v>
      </c>
      <c r="C7" t="s">
        <v>49</v>
      </c>
    </row>
    <row r="8" spans="2:3" x14ac:dyDescent="0.2">
      <c r="B8">
        <v>6</v>
      </c>
      <c r="C8" t="s">
        <v>50</v>
      </c>
    </row>
    <row r="9" spans="2:3" x14ac:dyDescent="0.2">
      <c r="B9">
        <v>7</v>
      </c>
      <c r="C9" t="s">
        <v>51</v>
      </c>
    </row>
    <row r="10" spans="2:3" x14ac:dyDescent="0.2">
      <c r="B10">
        <v>8</v>
      </c>
      <c r="C10" t="s">
        <v>52</v>
      </c>
    </row>
    <row r="11" spans="2:3" x14ac:dyDescent="0.2">
      <c r="B11">
        <v>9</v>
      </c>
      <c r="C11" t="s">
        <v>53</v>
      </c>
    </row>
    <row r="12" spans="2:3" x14ac:dyDescent="0.2">
      <c r="B12">
        <v>10</v>
      </c>
      <c r="C12" t="s">
        <v>54</v>
      </c>
    </row>
    <row r="13" spans="2:3" x14ac:dyDescent="0.2">
      <c r="B13">
        <v>11</v>
      </c>
      <c r="C13" t="s">
        <v>55</v>
      </c>
    </row>
    <row r="14" spans="2:3" x14ac:dyDescent="0.2">
      <c r="B14">
        <v>12</v>
      </c>
      <c r="C14" t="s">
        <v>56</v>
      </c>
    </row>
  </sheetData>
  <phoneticPr fontId="6"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32BD34-37D6-41FE-ACF8-443512131528}">
  <dimension ref="B4:AI34"/>
  <sheetViews>
    <sheetView topLeftCell="AB1" workbookViewId="0">
      <selection activeCell="AH8" sqref="AH8"/>
    </sheetView>
  </sheetViews>
  <sheetFormatPr defaultRowHeight="12.75" x14ac:dyDescent="0.2"/>
  <cols>
    <col min="2" max="2" width="29.7109375" bestFit="1" customWidth="1"/>
    <col min="3" max="3" width="18.28515625" bestFit="1" customWidth="1"/>
    <col min="4" max="4" width="25.5703125" style="34" bestFit="1" customWidth="1"/>
    <col min="5" max="5" width="22.85546875" style="34" bestFit="1" customWidth="1"/>
    <col min="6" max="6" width="22.42578125" style="34" bestFit="1" customWidth="1"/>
    <col min="7" max="7" width="16.140625" bestFit="1" customWidth="1"/>
    <col min="8" max="8" width="20.28515625" bestFit="1" customWidth="1"/>
    <col min="9" max="9" width="25.5703125" bestFit="1" customWidth="1"/>
    <col min="10" max="10" width="29.7109375" bestFit="1" customWidth="1"/>
    <col min="11" max="11" width="16.140625" bestFit="1" customWidth="1"/>
    <col min="12" max="12" width="17" bestFit="1" customWidth="1"/>
    <col min="13" max="13" width="13.85546875" bestFit="1" customWidth="1"/>
    <col min="14" max="14" width="16.140625" bestFit="1" customWidth="1"/>
    <col min="15" max="15" width="17" bestFit="1" customWidth="1"/>
    <col min="16" max="16" width="15.5703125" bestFit="1" customWidth="1"/>
    <col min="17" max="17" width="16.140625" bestFit="1" customWidth="1"/>
    <col min="18" max="18" width="17" bestFit="1" customWidth="1"/>
    <col min="19" max="19" width="13.85546875" bestFit="1" customWidth="1"/>
    <col min="20" max="20" width="22.85546875" bestFit="1" customWidth="1"/>
    <col min="21" max="22" width="22.42578125" bestFit="1" customWidth="1"/>
    <col min="23" max="23" width="17" bestFit="1" customWidth="1"/>
    <col min="24" max="24" width="15.5703125" bestFit="1" customWidth="1"/>
    <col min="25" max="26" width="25.5703125" bestFit="1" customWidth="1"/>
    <col min="27" max="27" width="29.7109375" bestFit="1" customWidth="1"/>
    <col min="28" max="28" width="25.140625" bestFit="1" customWidth="1"/>
    <col min="29" max="29" width="17" bestFit="1" customWidth="1"/>
    <col min="30" max="30" width="13.85546875" bestFit="1" customWidth="1"/>
    <col min="31" max="31" width="16.140625" bestFit="1" customWidth="1"/>
    <col min="32" max="32" width="21.85546875" bestFit="1" customWidth="1"/>
    <col min="33" max="33" width="17" bestFit="1" customWidth="1"/>
    <col min="34" max="34" width="15" bestFit="1" customWidth="1"/>
    <col min="35" max="35" width="16.140625" bestFit="1" customWidth="1"/>
    <col min="36" max="38" width="17" bestFit="1" customWidth="1"/>
    <col min="39" max="39" width="11.7109375" bestFit="1" customWidth="1"/>
  </cols>
  <sheetData>
    <row r="4" spans="2:35" x14ac:dyDescent="0.2">
      <c r="B4" s="32" t="s">
        <v>88</v>
      </c>
      <c r="C4" t="s">
        <v>90</v>
      </c>
      <c r="D4" s="36" t="s">
        <v>92</v>
      </c>
      <c r="E4" s="36" t="s">
        <v>93</v>
      </c>
      <c r="F4" s="36" t="s">
        <v>94</v>
      </c>
      <c r="G4" t="s">
        <v>91</v>
      </c>
      <c r="H4" t="s">
        <v>127</v>
      </c>
      <c r="J4" s="32" t="s">
        <v>88</v>
      </c>
      <c r="K4" t="s">
        <v>91</v>
      </c>
      <c r="M4" s="32" t="s">
        <v>88</v>
      </c>
      <c r="N4" t="s">
        <v>91</v>
      </c>
      <c r="S4" s="32" t="s">
        <v>88</v>
      </c>
      <c r="T4" t="s">
        <v>93</v>
      </c>
      <c r="U4" t="s">
        <v>94</v>
      </c>
      <c r="X4" s="32" t="s">
        <v>88</v>
      </c>
      <c r="Y4" t="s">
        <v>92</v>
      </c>
      <c r="AA4" s="32" t="s">
        <v>88</v>
      </c>
      <c r="AB4" t="s">
        <v>128</v>
      </c>
      <c r="AD4" s="32" t="s">
        <v>88</v>
      </c>
      <c r="AE4" t="s">
        <v>91</v>
      </c>
      <c r="AF4" t="s">
        <v>164</v>
      </c>
      <c r="AH4" s="32" t="s">
        <v>88</v>
      </c>
      <c r="AI4" t="s">
        <v>91</v>
      </c>
    </row>
    <row r="5" spans="2:35" x14ac:dyDescent="0.2">
      <c r="B5" s="33" t="s">
        <v>65</v>
      </c>
      <c r="C5">
        <v>4048</v>
      </c>
      <c r="D5" s="36">
        <v>0.90512715259591636</v>
      </c>
      <c r="E5" s="36">
        <v>0.76819942856105994</v>
      </c>
      <c r="F5" s="36">
        <v>0.40087494136410551</v>
      </c>
      <c r="G5">
        <v>393</v>
      </c>
      <c r="H5">
        <v>133</v>
      </c>
      <c r="J5" s="33" t="s">
        <v>65</v>
      </c>
      <c r="K5" s="63">
        <v>393</v>
      </c>
      <c r="M5" s="33" t="s">
        <v>72</v>
      </c>
      <c r="N5" s="63">
        <v>1134</v>
      </c>
      <c r="S5" s="33" t="s">
        <v>130</v>
      </c>
      <c r="T5" s="36">
        <v>0.66862618360031201</v>
      </c>
      <c r="U5" s="36">
        <v>0.50644349510138986</v>
      </c>
      <c r="X5" s="33" t="s">
        <v>76</v>
      </c>
      <c r="Y5" s="36">
        <v>0.81971339361363138</v>
      </c>
      <c r="AA5" s="33" t="s">
        <v>65</v>
      </c>
      <c r="AB5" s="36">
        <v>1.0555582966817658E-2</v>
      </c>
      <c r="AD5" s="85" t="s">
        <v>135</v>
      </c>
      <c r="AE5" s="63">
        <v>143</v>
      </c>
      <c r="AF5" s="63">
        <v>143</v>
      </c>
      <c r="AH5" s="33" t="s">
        <v>168</v>
      </c>
      <c r="AI5" s="63">
        <v>373</v>
      </c>
    </row>
    <row r="6" spans="2:35" x14ac:dyDescent="0.2">
      <c r="B6" s="33" t="s">
        <v>67</v>
      </c>
      <c r="C6">
        <v>4086</v>
      </c>
      <c r="D6" s="36">
        <v>0.76874110670976736</v>
      </c>
      <c r="E6" s="36">
        <v>0.53057676024218225</v>
      </c>
      <c r="F6" s="36">
        <v>0.6528571428571428</v>
      </c>
      <c r="G6">
        <v>365</v>
      </c>
      <c r="H6">
        <v>146</v>
      </c>
      <c r="J6" s="33" t="s">
        <v>67</v>
      </c>
      <c r="K6" s="63">
        <v>365</v>
      </c>
      <c r="M6" s="33" t="s">
        <v>73</v>
      </c>
      <c r="N6" s="63">
        <v>731</v>
      </c>
      <c r="S6" s="64" t="s">
        <v>131</v>
      </c>
      <c r="T6" s="36">
        <v>0.66862618360031201</v>
      </c>
      <c r="U6" s="36">
        <v>0.50644349510138986</v>
      </c>
      <c r="X6" s="33" t="s">
        <v>74</v>
      </c>
      <c r="Y6" s="36">
        <v>0.8969658514434069</v>
      </c>
      <c r="AA6" s="33" t="s">
        <v>67</v>
      </c>
      <c r="AB6" s="36">
        <v>3.2649006392339544E-2</v>
      </c>
      <c r="AD6" s="85" t="s">
        <v>136</v>
      </c>
      <c r="AE6" s="63">
        <v>134</v>
      </c>
      <c r="AF6" s="63">
        <v>277</v>
      </c>
      <c r="AH6" s="33" t="s">
        <v>166</v>
      </c>
      <c r="AI6" s="63">
        <v>339</v>
      </c>
    </row>
    <row r="7" spans="2:35" x14ac:dyDescent="0.2">
      <c r="B7" s="33" t="s">
        <v>68</v>
      </c>
      <c r="C7">
        <v>10046</v>
      </c>
      <c r="D7" s="36">
        <v>0.82676229605705198</v>
      </c>
      <c r="E7" s="36">
        <v>0.63741410169475343</v>
      </c>
      <c r="F7" s="36">
        <v>0.49085970695970688</v>
      </c>
      <c r="G7">
        <v>899</v>
      </c>
      <c r="H7">
        <v>473</v>
      </c>
      <c r="J7" s="33" t="s">
        <v>68</v>
      </c>
      <c r="K7" s="63">
        <v>899</v>
      </c>
      <c r="M7" s="33" t="s">
        <v>71</v>
      </c>
      <c r="N7" s="63">
        <v>735</v>
      </c>
      <c r="S7" s="65" t="s">
        <v>54</v>
      </c>
      <c r="T7" s="36">
        <v>0.84111427617151713</v>
      </c>
      <c r="U7" s="36">
        <v>0.41800000000000004</v>
      </c>
      <c r="X7" s="33" t="s">
        <v>75</v>
      </c>
      <c r="Y7" s="36">
        <v>0.77875629140793912</v>
      </c>
      <c r="AA7" s="33" t="s">
        <v>68</v>
      </c>
      <c r="AB7" s="36">
        <v>2.4936546792980765E-2</v>
      </c>
      <c r="AD7" s="85" t="s">
        <v>137</v>
      </c>
      <c r="AE7" s="63">
        <v>88</v>
      </c>
      <c r="AF7" s="63">
        <v>365</v>
      </c>
      <c r="AH7" s="33" t="s">
        <v>167</v>
      </c>
      <c r="AI7" s="63">
        <v>566</v>
      </c>
    </row>
    <row r="8" spans="2:35" x14ac:dyDescent="0.2">
      <c r="B8" s="33" t="s">
        <v>69</v>
      </c>
      <c r="C8">
        <v>3020</v>
      </c>
      <c r="D8" s="36">
        <v>0.81777178826685082</v>
      </c>
      <c r="E8" s="36">
        <v>0.68439236767603617</v>
      </c>
      <c r="F8" s="36">
        <v>0.38055555555555554</v>
      </c>
      <c r="G8">
        <v>355</v>
      </c>
      <c r="H8">
        <v>168</v>
      </c>
      <c r="J8" s="33" t="s">
        <v>69</v>
      </c>
      <c r="K8" s="63">
        <v>355</v>
      </c>
      <c r="M8" s="33" t="s">
        <v>70</v>
      </c>
      <c r="N8" s="63">
        <v>345</v>
      </c>
      <c r="S8" s="65" t="s">
        <v>55</v>
      </c>
      <c r="T8" s="36">
        <v>0.60192898658018523</v>
      </c>
      <c r="U8" s="36">
        <v>0.57208095997569675</v>
      </c>
      <c r="X8" s="33" t="s">
        <v>77</v>
      </c>
      <c r="Y8" s="36">
        <v>0.79771038022684837</v>
      </c>
      <c r="AA8" s="33" t="s">
        <v>69</v>
      </c>
      <c r="AB8" s="36">
        <v>3.1676831479958985E-2</v>
      </c>
      <c r="AD8" s="85" t="s">
        <v>138</v>
      </c>
      <c r="AE8" s="63">
        <v>86</v>
      </c>
      <c r="AF8" s="63">
        <v>451</v>
      </c>
      <c r="AH8" s="33" t="s">
        <v>169</v>
      </c>
      <c r="AI8" s="63">
        <v>663</v>
      </c>
    </row>
    <row r="9" spans="2:35" x14ac:dyDescent="0.2">
      <c r="B9" s="33" t="s">
        <v>58</v>
      </c>
      <c r="C9">
        <v>4232</v>
      </c>
      <c r="D9" s="36">
        <v>0.82997059625405978</v>
      </c>
      <c r="E9" s="36">
        <v>0.71198085490635754</v>
      </c>
      <c r="F9" s="36">
        <v>0.36881792717086836</v>
      </c>
      <c r="G9">
        <v>355</v>
      </c>
      <c r="H9">
        <v>173</v>
      </c>
      <c r="J9" s="33" t="s">
        <v>58</v>
      </c>
      <c r="K9" s="63">
        <v>355</v>
      </c>
      <c r="M9" s="33" t="s">
        <v>89</v>
      </c>
      <c r="N9" s="63">
        <v>2945</v>
      </c>
      <c r="S9" s="65" t="s">
        <v>56</v>
      </c>
      <c r="T9" s="36">
        <v>0.55306186341649599</v>
      </c>
      <c r="U9" s="36">
        <v>0.51854166666666668</v>
      </c>
      <c r="X9" s="33" t="s">
        <v>89</v>
      </c>
      <c r="Y9" s="36">
        <v>0.83360562355128764</v>
      </c>
      <c r="AA9" s="33" t="s">
        <v>58</v>
      </c>
      <c r="AB9" s="36">
        <v>3.2019374684641971E-2</v>
      </c>
      <c r="AD9" s="85" t="s">
        <v>139</v>
      </c>
      <c r="AE9" s="63">
        <v>70</v>
      </c>
      <c r="AF9" s="63">
        <v>521</v>
      </c>
      <c r="AH9" s="33" t="s">
        <v>170</v>
      </c>
      <c r="AI9" s="63">
        <v>346</v>
      </c>
    </row>
    <row r="10" spans="2:35" x14ac:dyDescent="0.2">
      <c r="B10" s="33" t="s">
        <v>66</v>
      </c>
      <c r="C10">
        <v>5283</v>
      </c>
      <c r="D10" s="36">
        <v>0.85437499178571685</v>
      </c>
      <c r="E10" s="36">
        <v>0.68949566221807268</v>
      </c>
      <c r="F10" s="36">
        <v>0.43420056022408965</v>
      </c>
      <c r="G10">
        <v>578</v>
      </c>
      <c r="H10">
        <v>182</v>
      </c>
      <c r="J10" s="33" t="s">
        <v>66</v>
      </c>
      <c r="K10" s="63">
        <v>578</v>
      </c>
      <c r="S10" s="33" t="s">
        <v>132</v>
      </c>
      <c r="T10" s="36">
        <v>0.65922879012664848</v>
      </c>
      <c r="U10" s="36">
        <v>0.42098761042878685</v>
      </c>
      <c r="AA10" s="33" t="s">
        <v>66</v>
      </c>
      <c r="AB10" s="36">
        <v>2.5089798274088266E-2</v>
      </c>
      <c r="AD10" s="85" t="s">
        <v>140</v>
      </c>
      <c r="AE10" s="63">
        <v>105</v>
      </c>
      <c r="AF10" s="63">
        <v>626</v>
      </c>
      <c r="AH10" s="33" t="s">
        <v>171</v>
      </c>
      <c r="AI10" s="63">
        <v>658</v>
      </c>
    </row>
    <row r="11" spans="2:35" x14ac:dyDescent="0.2">
      <c r="B11" s="33" t="s">
        <v>89</v>
      </c>
      <c r="C11">
        <v>30715</v>
      </c>
      <c r="D11" s="36">
        <v>0.83360562355128742</v>
      </c>
      <c r="E11" s="36">
        <v>0.66392748686348002</v>
      </c>
      <c r="F11" s="36">
        <v>0.4637155527650883</v>
      </c>
      <c r="G11">
        <v>2945</v>
      </c>
      <c r="H11">
        <v>1275</v>
      </c>
      <c r="J11" s="33" t="s">
        <v>89</v>
      </c>
      <c r="K11" s="63">
        <v>2945</v>
      </c>
      <c r="S11" s="64" t="s">
        <v>133</v>
      </c>
      <c r="T11" s="36">
        <v>0.65922879012664848</v>
      </c>
      <c r="U11" s="36">
        <v>0.42098761042878685</v>
      </c>
      <c r="AA11" s="33" t="s">
        <v>89</v>
      </c>
      <c r="AB11" s="36">
        <v>2.5691360330510758E-2</v>
      </c>
      <c r="AD11" s="85" t="s">
        <v>141</v>
      </c>
      <c r="AE11" s="63">
        <v>63</v>
      </c>
      <c r="AF11" s="63">
        <v>689</v>
      </c>
      <c r="AH11" s="33" t="s">
        <v>89</v>
      </c>
      <c r="AI11" s="63">
        <v>2945</v>
      </c>
    </row>
    <row r="12" spans="2:35" x14ac:dyDescent="0.2">
      <c r="S12" s="65" t="s">
        <v>45</v>
      </c>
      <c r="T12" s="36">
        <v>0.69924168611423576</v>
      </c>
      <c r="U12" s="36">
        <v>0.37738477698771816</v>
      </c>
      <c r="AD12" s="85" t="s">
        <v>142</v>
      </c>
      <c r="AE12" s="63">
        <v>137</v>
      </c>
      <c r="AF12" s="63">
        <v>826</v>
      </c>
    </row>
    <row r="13" spans="2:35" x14ac:dyDescent="0.2">
      <c r="S13" s="65" t="s">
        <v>46</v>
      </c>
      <c r="T13" s="36">
        <v>0.57920299815147358</v>
      </c>
      <c r="U13" s="36">
        <v>0.50819327731092434</v>
      </c>
      <c r="AD13" s="85" t="s">
        <v>143</v>
      </c>
      <c r="AE13" s="63">
        <v>72</v>
      </c>
      <c r="AF13" s="63">
        <v>898</v>
      </c>
    </row>
    <row r="14" spans="2:35" x14ac:dyDescent="0.2">
      <c r="S14" s="33" t="s">
        <v>89</v>
      </c>
      <c r="T14" s="36">
        <v>0.66392748686348024</v>
      </c>
      <c r="U14" s="36">
        <v>0.46371555276508847</v>
      </c>
      <c r="AD14" s="85" t="s">
        <v>144</v>
      </c>
      <c r="AE14" s="63">
        <v>87</v>
      </c>
      <c r="AF14" s="63">
        <v>985</v>
      </c>
    </row>
    <row r="15" spans="2:35" x14ac:dyDescent="0.2">
      <c r="AD15" s="85" t="s">
        <v>145</v>
      </c>
      <c r="AE15" s="63">
        <v>110</v>
      </c>
      <c r="AF15" s="63">
        <v>1095</v>
      </c>
    </row>
    <row r="16" spans="2:35" x14ac:dyDescent="0.2">
      <c r="AD16" s="85" t="s">
        <v>146</v>
      </c>
      <c r="AE16" s="63">
        <v>133</v>
      </c>
      <c r="AF16" s="63">
        <v>1228</v>
      </c>
    </row>
    <row r="17" spans="30:32" x14ac:dyDescent="0.2">
      <c r="AD17" s="85" t="s">
        <v>147</v>
      </c>
      <c r="AE17" s="63">
        <v>129</v>
      </c>
      <c r="AF17" s="63">
        <v>1357</v>
      </c>
    </row>
    <row r="18" spans="30:32" x14ac:dyDescent="0.2">
      <c r="AD18" s="85" t="s">
        <v>148</v>
      </c>
      <c r="AE18" s="63">
        <v>78</v>
      </c>
      <c r="AF18" s="63">
        <v>1435</v>
      </c>
    </row>
    <row r="19" spans="30:32" x14ac:dyDescent="0.2">
      <c r="AD19" s="85" t="s">
        <v>149</v>
      </c>
      <c r="AE19" s="63">
        <v>122</v>
      </c>
      <c r="AF19" s="63">
        <v>1557</v>
      </c>
    </row>
    <row r="20" spans="30:32" x14ac:dyDescent="0.2">
      <c r="AD20" s="85" t="s">
        <v>150</v>
      </c>
      <c r="AE20" s="63">
        <v>59</v>
      </c>
      <c r="AF20" s="63">
        <v>1616</v>
      </c>
    </row>
    <row r="21" spans="30:32" x14ac:dyDescent="0.2">
      <c r="AD21" s="85" t="s">
        <v>151</v>
      </c>
      <c r="AE21" s="63">
        <v>193</v>
      </c>
      <c r="AF21" s="63">
        <v>1809</v>
      </c>
    </row>
    <row r="22" spans="30:32" x14ac:dyDescent="0.2">
      <c r="AD22" s="85" t="s">
        <v>152</v>
      </c>
      <c r="AE22" s="63">
        <v>66</v>
      </c>
      <c r="AF22" s="63">
        <v>1875</v>
      </c>
    </row>
    <row r="23" spans="30:32" x14ac:dyDescent="0.2">
      <c r="AD23" s="85" t="s">
        <v>153</v>
      </c>
      <c r="AE23" s="63">
        <v>58</v>
      </c>
      <c r="AF23" s="63">
        <v>1933</v>
      </c>
    </row>
    <row r="24" spans="30:32" x14ac:dyDescent="0.2">
      <c r="AD24" s="85" t="s">
        <v>154</v>
      </c>
      <c r="AE24" s="63">
        <v>87</v>
      </c>
      <c r="AF24" s="63">
        <v>2020</v>
      </c>
    </row>
    <row r="25" spans="30:32" x14ac:dyDescent="0.2">
      <c r="AD25" s="85" t="s">
        <v>155</v>
      </c>
      <c r="AE25" s="63">
        <v>108</v>
      </c>
      <c r="AF25" s="63">
        <v>2128</v>
      </c>
    </row>
    <row r="26" spans="30:32" x14ac:dyDescent="0.2">
      <c r="AD26" s="85" t="s">
        <v>156</v>
      </c>
      <c r="AE26" s="63">
        <v>115</v>
      </c>
      <c r="AF26" s="63">
        <v>2243</v>
      </c>
    </row>
    <row r="27" spans="30:32" x14ac:dyDescent="0.2">
      <c r="AD27" s="85" t="s">
        <v>157</v>
      </c>
      <c r="AE27" s="63">
        <v>132</v>
      </c>
      <c r="AF27" s="63">
        <v>2375</v>
      </c>
    </row>
    <row r="28" spans="30:32" x14ac:dyDescent="0.2">
      <c r="AD28" s="85" t="s">
        <v>158</v>
      </c>
      <c r="AE28" s="63">
        <v>99</v>
      </c>
      <c r="AF28" s="63">
        <v>2474</v>
      </c>
    </row>
    <row r="29" spans="30:32" x14ac:dyDescent="0.2">
      <c r="AD29" s="85" t="s">
        <v>159</v>
      </c>
      <c r="AE29" s="63">
        <v>88</v>
      </c>
      <c r="AF29" s="63">
        <v>2562</v>
      </c>
    </row>
    <row r="30" spans="30:32" x14ac:dyDescent="0.2">
      <c r="AD30" s="85" t="s">
        <v>160</v>
      </c>
      <c r="AE30" s="63">
        <v>54</v>
      </c>
      <c r="AF30" s="63">
        <v>2616</v>
      </c>
    </row>
    <row r="31" spans="30:32" x14ac:dyDescent="0.2">
      <c r="AD31" s="85" t="s">
        <v>161</v>
      </c>
      <c r="AE31" s="63">
        <v>136</v>
      </c>
      <c r="AF31" s="63">
        <v>2752</v>
      </c>
    </row>
    <row r="32" spans="30:32" x14ac:dyDescent="0.2">
      <c r="AD32" s="85" t="s">
        <v>162</v>
      </c>
      <c r="AE32" s="63">
        <v>112</v>
      </c>
      <c r="AF32" s="63">
        <v>2864</v>
      </c>
    </row>
    <row r="33" spans="30:32" x14ac:dyDescent="0.2">
      <c r="AD33" s="85" t="s">
        <v>163</v>
      </c>
      <c r="AE33" s="63">
        <v>81</v>
      </c>
      <c r="AF33" s="63">
        <v>2945</v>
      </c>
    </row>
    <row r="34" spans="30:32" x14ac:dyDescent="0.2">
      <c r="AD34" s="85" t="s">
        <v>89</v>
      </c>
      <c r="AE34" s="63">
        <v>2945</v>
      </c>
      <c r="AF34" s="63"/>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989B41-2E54-4D21-969A-48F7E54BD0EC}">
  <sheetPr codeName="Sheet4">
    <tabColor rgb="FF8FCFAD"/>
  </sheetPr>
  <dimension ref="A1:Q24"/>
  <sheetViews>
    <sheetView showGridLines="0" showRowColHeaders="0" zoomScale="90" zoomScaleNormal="90" workbookViewId="0">
      <pane ySplit="4" topLeftCell="A5" activePane="bottomLeft" state="frozen"/>
      <selection pane="bottomLeft" activeCell="A7" sqref="A7"/>
    </sheetView>
  </sheetViews>
  <sheetFormatPr defaultColWidth="0" defaultRowHeight="30" customHeight="1" x14ac:dyDescent="0.2"/>
  <cols>
    <col min="1" max="1" width="0.7109375" style="15" customWidth="1"/>
    <col min="2" max="2" width="26.5703125" style="20" customWidth="1"/>
    <col min="3" max="3" width="36.85546875" style="31" customWidth="1"/>
    <col min="4" max="4" width="1" style="15" customWidth="1"/>
    <col min="5" max="5" width="36.85546875" style="20" customWidth="1"/>
    <col min="6" max="6" width="1" style="15" customWidth="1"/>
    <col min="7" max="7" width="24.7109375" style="20" customWidth="1"/>
    <col min="8" max="8" width="1" style="15" customWidth="1"/>
    <col min="9" max="9" width="24.7109375" style="22" customWidth="1"/>
    <col min="10" max="10" width="0.7109375" style="15" customWidth="1"/>
    <col min="11" max="12" width="23.7109375" style="29" customWidth="1"/>
    <col min="13" max="13" width="0.7109375" style="15" customWidth="1"/>
    <col min="14" max="15" width="23.7109375" style="29" customWidth="1"/>
    <col min="16" max="16" width="0.7109375" style="15" customWidth="1"/>
    <col min="17" max="17" width="0" style="16" hidden="1" customWidth="1"/>
    <col min="18" max="16384" width="9.140625" style="16" hidden="1"/>
  </cols>
  <sheetData>
    <row r="1" spans="1:16" customFormat="1" ht="12.75" x14ac:dyDescent="0.2">
      <c r="A1" s="13"/>
      <c r="B1" s="17"/>
      <c r="C1" s="17"/>
      <c r="D1" s="17"/>
      <c r="E1" s="17"/>
      <c r="F1" s="17"/>
      <c r="G1" s="17"/>
      <c r="H1" s="17"/>
      <c r="I1" s="17"/>
      <c r="J1" s="17"/>
      <c r="K1" s="17"/>
      <c r="L1" s="17"/>
      <c r="M1" s="17"/>
      <c r="N1" s="17"/>
      <c r="O1" s="17"/>
      <c r="P1" s="17"/>
    </row>
    <row r="2" spans="1:16" customFormat="1" ht="15" x14ac:dyDescent="0.25">
      <c r="A2" s="133" t="s">
        <v>36</v>
      </c>
      <c r="B2" s="133"/>
      <c r="C2" s="133"/>
      <c r="D2" s="86"/>
      <c r="E2" s="24"/>
      <c r="F2" s="133"/>
      <c r="G2" s="133"/>
      <c r="H2" s="133"/>
      <c r="I2" s="133"/>
      <c r="J2" s="133" t="s">
        <v>40</v>
      </c>
      <c r="K2" s="133"/>
      <c r="L2" s="133"/>
      <c r="M2" s="133" t="s">
        <v>39</v>
      </c>
      <c r="N2" s="133"/>
      <c r="O2" s="133"/>
      <c r="P2" s="24"/>
    </row>
    <row r="3" spans="1:16" customFormat="1" ht="12.75" x14ac:dyDescent="0.2">
      <c r="A3" s="13"/>
      <c r="B3" s="17"/>
      <c r="C3" s="17"/>
      <c r="D3" s="17"/>
      <c r="E3" s="17"/>
      <c r="F3" s="17"/>
      <c r="G3" s="17"/>
      <c r="H3" s="17"/>
      <c r="I3" s="17"/>
      <c r="J3" s="17"/>
      <c r="K3" s="17"/>
      <c r="L3" s="17"/>
      <c r="M3" s="17"/>
      <c r="N3" s="17"/>
      <c r="O3" s="17"/>
      <c r="P3" s="17"/>
    </row>
    <row r="4" spans="1:16" ht="27" customHeight="1" thickBot="1" x14ac:dyDescent="0.25">
      <c r="B4" s="18" t="s">
        <v>19</v>
      </c>
      <c r="C4" s="18" t="s">
        <v>37</v>
      </c>
      <c r="E4" s="18" t="s">
        <v>20</v>
      </c>
      <c r="G4" s="18" t="s">
        <v>21</v>
      </c>
      <c r="I4" s="19" t="s">
        <v>22</v>
      </c>
      <c r="K4" s="18" t="s">
        <v>78</v>
      </c>
      <c r="L4" s="18" t="s">
        <v>38</v>
      </c>
      <c r="N4" s="18" t="s">
        <v>30</v>
      </c>
      <c r="O4" s="18" t="s">
        <v>38</v>
      </c>
    </row>
    <row r="5" spans="1:16" ht="30" customHeight="1" thickTop="1" x14ac:dyDescent="0.2">
      <c r="B5" s="20" t="s">
        <v>58</v>
      </c>
      <c r="C5" s="31" t="s">
        <v>59</v>
      </c>
      <c r="E5" s="20" t="s">
        <v>166</v>
      </c>
      <c r="G5" s="20" t="s">
        <v>70</v>
      </c>
      <c r="I5" s="21" t="s">
        <v>74</v>
      </c>
      <c r="K5" s="35">
        <v>0.3</v>
      </c>
      <c r="L5" s="26" t="s">
        <v>79</v>
      </c>
      <c r="N5" s="35">
        <v>0.15</v>
      </c>
      <c r="O5" s="26" t="s">
        <v>79</v>
      </c>
    </row>
    <row r="6" spans="1:16" ht="30" customHeight="1" x14ac:dyDescent="0.2">
      <c r="B6" s="20" t="s">
        <v>65</v>
      </c>
      <c r="C6" s="31" t="s">
        <v>60</v>
      </c>
      <c r="E6" s="20" t="s">
        <v>167</v>
      </c>
      <c r="G6" s="20" t="s">
        <v>71</v>
      </c>
      <c r="I6" s="21" t="s">
        <v>75</v>
      </c>
      <c r="K6" s="35">
        <v>0.2</v>
      </c>
      <c r="L6" s="27" t="s">
        <v>80</v>
      </c>
      <c r="N6" s="35">
        <v>0.1</v>
      </c>
      <c r="O6" s="27" t="s">
        <v>80</v>
      </c>
    </row>
    <row r="7" spans="1:16" ht="30" customHeight="1" x14ac:dyDescent="0.2">
      <c r="B7" s="20" t="s">
        <v>66</v>
      </c>
      <c r="C7" s="31" t="s">
        <v>61</v>
      </c>
      <c r="E7" s="20" t="s">
        <v>168</v>
      </c>
      <c r="G7" s="20" t="s">
        <v>72</v>
      </c>
      <c r="I7" s="21" t="s">
        <v>76</v>
      </c>
      <c r="K7" s="30" t="str">
        <f>IF(K6="","","Less Than" &amp;" "&amp; (K6*100)&amp;"%")</f>
        <v>Less Than 20%</v>
      </c>
      <c r="L7" s="28" t="s">
        <v>81</v>
      </c>
      <c r="N7" s="30" t="str">
        <f>IF(N6="","","Less Than" &amp;" "&amp; (N6*100)&amp;"%")</f>
        <v>Less Than 10%</v>
      </c>
      <c r="O7" s="28" t="s">
        <v>81</v>
      </c>
    </row>
    <row r="8" spans="1:16" ht="30" customHeight="1" x14ac:dyDescent="0.2">
      <c r="B8" s="20" t="s">
        <v>67</v>
      </c>
      <c r="C8" s="31" t="s">
        <v>62</v>
      </c>
      <c r="E8" s="20" t="s">
        <v>169</v>
      </c>
      <c r="G8" s="20" t="s">
        <v>73</v>
      </c>
      <c r="I8" s="21" t="s">
        <v>77</v>
      </c>
    </row>
    <row r="9" spans="1:16" ht="30" customHeight="1" x14ac:dyDescent="0.2">
      <c r="B9" s="20" t="s">
        <v>68</v>
      </c>
      <c r="C9" s="31" t="s">
        <v>63</v>
      </c>
      <c r="E9" s="20" t="s">
        <v>170</v>
      </c>
      <c r="I9" s="21"/>
    </row>
    <row r="10" spans="1:16" ht="30" customHeight="1" x14ac:dyDescent="0.2">
      <c r="B10" s="20" t="s">
        <v>69</v>
      </c>
      <c r="C10" s="31" t="s">
        <v>64</v>
      </c>
      <c r="E10" s="20" t="s">
        <v>171</v>
      </c>
      <c r="I10" s="21"/>
    </row>
    <row r="11" spans="1:16" ht="30" customHeight="1" x14ac:dyDescent="0.2">
      <c r="I11" s="21"/>
    </row>
    <row r="12" spans="1:16" ht="30" customHeight="1" x14ac:dyDescent="0.2">
      <c r="I12" s="21"/>
    </row>
    <row r="13" spans="1:16" ht="30" customHeight="1" x14ac:dyDescent="0.2">
      <c r="I13" s="21"/>
    </row>
    <row r="14" spans="1:16" ht="30" customHeight="1" x14ac:dyDescent="0.2">
      <c r="I14" s="21"/>
    </row>
    <row r="15" spans="1:16" ht="30" customHeight="1" x14ac:dyDescent="0.2">
      <c r="I15" s="21"/>
    </row>
    <row r="16" spans="1:16" ht="30" customHeight="1" x14ac:dyDescent="0.2">
      <c r="I16" s="21"/>
    </row>
    <row r="17" spans="9:9" ht="30" customHeight="1" x14ac:dyDescent="0.2">
      <c r="I17" s="21"/>
    </row>
    <row r="18" spans="9:9" ht="30" customHeight="1" x14ac:dyDescent="0.2">
      <c r="I18" s="21"/>
    </row>
    <row r="19" spans="9:9" ht="30" customHeight="1" x14ac:dyDescent="0.2">
      <c r="I19" s="21"/>
    </row>
    <row r="20" spans="9:9" ht="30" customHeight="1" x14ac:dyDescent="0.2">
      <c r="I20" s="21"/>
    </row>
    <row r="21" spans="9:9" ht="30" customHeight="1" x14ac:dyDescent="0.2">
      <c r="I21" s="21"/>
    </row>
    <row r="22" spans="9:9" ht="30" customHeight="1" x14ac:dyDescent="0.2">
      <c r="I22" s="21"/>
    </row>
    <row r="23" spans="9:9" ht="30" customHeight="1" x14ac:dyDescent="0.2">
      <c r="I23" s="21"/>
    </row>
    <row r="24" spans="9:9" ht="30" customHeight="1" x14ac:dyDescent="0.2">
      <c r="I24" s="21"/>
    </row>
  </sheetData>
  <sheetProtection selectLockedCells="1"/>
  <mergeCells count="5">
    <mergeCell ref="A2:C2"/>
    <mergeCell ref="H2:I2"/>
    <mergeCell ref="F2:G2"/>
    <mergeCell ref="J2:L2"/>
    <mergeCell ref="M2:O2"/>
  </mergeCells>
  <phoneticPr fontId="6" type="noConversion"/>
  <pageMargins left="0.7" right="0.7" top="0.75" bottom="0.75" header="0.3" footer="0.3"/>
  <pageSetup orientation="portrait" r:id="rId1"/>
  <ignoredErrors>
    <ignoredError sqref="N7 K7" unlockedFormula="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2903BD6CED16784C9848793BCB8A8B5C" ma:contentTypeVersion="13" ma:contentTypeDescription="Create a new document." ma:contentTypeScope="" ma:versionID="847bee06aa7b2a33407fac2f45700239">
  <xsd:schema xmlns:xsd="http://www.w3.org/2001/XMLSchema" xmlns:xs="http://www.w3.org/2001/XMLSchema" xmlns:p="http://schemas.microsoft.com/office/2006/metadata/properties" xmlns:ns3="dda6fff3-f3be-4414-8fe7-bdde5e113c2e" xmlns:ns4="cafdd227-729a-45e1-a1b3-6b82500adb76" targetNamespace="http://schemas.microsoft.com/office/2006/metadata/properties" ma:root="true" ma:fieldsID="b32395141e4195432d6adc35cd352e5e" ns3:_="" ns4:_="">
    <xsd:import namespace="dda6fff3-f3be-4414-8fe7-bdde5e113c2e"/>
    <xsd:import namespace="cafdd227-729a-45e1-a1b3-6b82500adb76"/>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4:SharingHintHash" minOccurs="0"/>
                <xsd:element ref="ns3:MediaServiceDateTaken" minOccurs="0"/>
                <xsd:element ref="ns3:MediaServiceAutoKeyPoints" minOccurs="0"/>
                <xsd:element ref="ns3:MediaServiceKeyPoint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da6fff3-f3be-4414-8fe7-bdde5e113c2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ServiceLocation" ma:index="20"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afdd227-729a-45e1-a1b3-6b82500adb7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56F8956-EF26-41EB-B1FF-C7AB00322EBB}">
  <ds:schemaRefs>
    <ds:schemaRef ds:uri="http://schemas.microsoft.com/sharepoint/v3/contenttype/forms"/>
  </ds:schemaRefs>
</ds:datastoreItem>
</file>

<file path=customXml/itemProps2.xml><?xml version="1.0" encoding="utf-8"?>
<ds:datastoreItem xmlns:ds="http://schemas.openxmlformats.org/officeDocument/2006/customXml" ds:itemID="{9C5F4268-68C8-44DC-95E5-FC029D660991}">
  <ds:schemaRefs>
    <ds:schemaRef ds:uri="http://schemas.microsoft.com/office/2006/documentManagement/types"/>
    <ds:schemaRef ds:uri="http://schemas.openxmlformats.org/package/2006/metadata/core-properties"/>
    <ds:schemaRef ds:uri="http://www.w3.org/XML/1998/namespace"/>
    <ds:schemaRef ds:uri="http://purl.org/dc/elements/1.1/"/>
    <ds:schemaRef ds:uri="dda6fff3-f3be-4414-8fe7-bdde5e113c2e"/>
    <ds:schemaRef ds:uri="http://purl.org/dc/terms/"/>
    <ds:schemaRef ds:uri="http://purl.org/dc/dcmitype/"/>
    <ds:schemaRef ds:uri="http://schemas.microsoft.com/office/infopath/2007/PartnerControls"/>
    <ds:schemaRef ds:uri="cafdd227-729a-45e1-a1b3-6b82500adb76"/>
    <ds:schemaRef ds:uri="http://schemas.microsoft.com/office/2006/metadata/properties"/>
  </ds:schemaRefs>
</ds:datastoreItem>
</file>

<file path=customXml/itemProps3.xml><?xml version="1.0" encoding="utf-8"?>
<ds:datastoreItem xmlns:ds="http://schemas.openxmlformats.org/officeDocument/2006/customXml" ds:itemID="{C67B1C36-39B2-4DB4-96A4-CA08510B0B01}">
  <ds:schemaRefs>
    <ds:schemaRef ds:uri="http://schemas.microsoft.com/DataMashup"/>
  </ds:schemaRefs>
</ds:datastoreItem>
</file>

<file path=customXml/itemProps4.xml><?xml version="1.0" encoding="utf-8"?>
<ds:datastoreItem xmlns:ds="http://schemas.openxmlformats.org/officeDocument/2006/customXml" ds:itemID="{6F4E3719-A95F-4216-8AC5-A76BBA28C1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da6fff3-f3be-4414-8fe7-bdde5e113c2e"/>
    <ds:schemaRef ds:uri="cafdd227-729a-45e1-a1b3-6b82500adb7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Introduction</vt:lpstr>
      <vt:lpstr>Dashboard</vt:lpstr>
      <vt:lpstr>Email Campaigns Management</vt:lpstr>
      <vt:lpstr>Sheet2</vt:lpstr>
      <vt:lpstr>Sheet3</vt:lpstr>
      <vt:lpstr>Database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Stockkamp, Felix</dc:creator>
  <cp:lastModifiedBy>QSK1184</cp:lastModifiedBy>
  <cp:lastPrinted>2020-12-02T20:52:53Z</cp:lastPrinted>
  <dcterms:created xsi:type="dcterms:W3CDTF">2020-08-23T16:46:06Z</dcterms:created>
  <dcterms:modified xsi:type="dcterms:W3CDTF">2024-09-20T12:19:13Z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0x0101002903BD6CED16784C9848793BCB8A8B5C</vt:lpwstr>
  </property>
</Properties>
</file>