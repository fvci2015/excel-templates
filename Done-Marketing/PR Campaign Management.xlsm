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Marketing\"/>
    </mc:Choice>
  </mc:AlternateContent>
  <xr:revisionPtr revIDLastSave="0" documentId="13_ncr:1_{4EF1DBBD-771B-4A49-9916-74D9A54A747C}"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Dashboard" sheetId="11" r:id="rId2"/>
    <sheet name="Campaign Management" sheetId="13" r:id="rId3"/>
    <sheet name="Sheet3" sheetId="15" state="hidden" r:id="rId4"/>
    <sheet name="Helper Sheet" sheetId="12" state="hidden" r:id="rId5"/>
    <sheet name="Database" sheetId="7" r:id="rId6"/>
  </sheets>
  <definedNames>
    <definedName name="_aaa1" hidden="1">{#N/A,#N/A,FALSE,"Antony Financials";#N/A,#N/A,FALSE,"Cowboy Financials";#N/A,#N/A,FALSE,"Combined";#N/A,#N/A,FALSE,"Valuematrix";#N/A,#N/A,FALSE,"DCFAntony";#N/A,#N/A,FALSE,"DCFCowboy";#N/A,#N/A,FALSE,"DCFCombined"}</definedName>
    <definedName name="_xlnm._FilterDatabase" localSheetId="1" hidden="1">Dashboard!$B$23:$O$208</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ampaign">OFFSET(Database!$N$5,0,0,COUNTA(Database!$N:$N)-1,1)</definedName>
    <definedName name="CATEGORY">OFFSET(Database!$I$5,0,0,COUNTA(Database!$I:$I)-1,1)</definedName>
    <definedName name="Channel">OFFSET(Database!$G$5,0,0,COUNTA(Database!$G:$G)-1,1)</definedName>
    <definedName name="Company">OFFSET(Database!$P$5,0,0,COUNTA(Database!$P:$P)-1,1)</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journalist">OFFSET(Database!$B$5,0,0,COUNTA(Database!$B:$B)-1,1)</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Article_Category">#N/A</definedName>
    <definedName name="Slicer_Campaign_Status">#N/A</definedName>
    <definedName name="Slicer_Channel">#N/A</definedName>
    <definedName name="Slicer_Company___Organization">#N/A</definedName>
    <definedName name="Slicer_Favorability">#N/A</definedName>
    <definedName name="Slicer_Journalist">#N/A</definedName>
    <definedName name="Slicer_Media_Source">#N/A</definedName>
    <definedName name="Slicer_Month">#N/A</definedName>
    <definedName name="Slicer_Payment_Status">#N/A</definedName>
    <definedName name="Source">OFFSET(Database!$E$5,0,0,COUNTA(Database!$E:$E)-1,1)</definedName>
    <definedName name="t" hidden="1">{#N/A,#N/A,FALSE,"A&amp;E";#N/A,#N/A,FALSE,"HighTop";#N/A,#N/A,FALSE,"JG";#N/A,#N/A,FALSE,"RI";#N/A,#N/A,FALSE,"woHT";#N/A,#N/A,FALSE,"woHT&amp;JG"}</definedName>
    <definedName name="TONE">OFFSET(Database!$L$5,0,0,COUNTA(Database!$L:$L)-1,1)</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1" r:id="rId7"/>
    <pivotCache cacheId="2"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 i="13" l="1"/>
  <c r="F15" i="13"/>
  <c r="G15" i="13"/>
  <c r="K15" i="13"/>
  <c r="C14" i="13"/>
  <c r="F14" i="13"/>
  <c r="G14" i="13"/>
  <c r="K14" i="13"/>
  <c r="C13" i="13"/>
  <c r="F13" i="13"/>
  <c r="G13" i="13"/>
  <c r="K13" i="13"/>
  <c r="C12" i="13"/>
  <c r="F12" i="13"/>
  <c r="G12" i="13"/>
  <c r="K12" i="13"/>
  <c r="K11" i="13"/>
  <c r="G11" i="13"/>
  <c r="F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C11" i="13"/>
  <c r="A11" i="13"/>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L29" i="11"/>
  <c r="L30" i="11"/>
  <c r="L37" i="11"/>
  <c r="L38" i="11"/>
  <c r="L45" i="11"/>
  <c r="L46" i="11"/>
  <c r="L53" i="11"/>
  <c r="L54" i="11"/>
  <c r="L61" i="11"/>
  <c r="L62" i="11"/>
  <c r="L69" i="11"/>
  <c r="L70" i="11"/>
  <c r="L77" i="11"/>
  <c r="L78" i="11"/>
  <c r="L85" i="11"/>
  <c r="L86" i="11"/>
  <c r="L93" i="11"/>
  <c r="L94" i="11"/>
  <c r="L101" i="11"/>
  <c r="L102" i="11"/>
  <c r="L109" i="11"/>
  <c r="L110" i="11"/>
  <c r="L117" i="11"/>
  <c r="L118" i="11"/>
  <c r="L125" i="11"/>
  <c r="L126" i="11"/>
  <c r="L133" i="11"/>
  <c r="L134" i="11"/>
  <c r="L141" i="11"/>
  <c r="L142" i="11"/>
  <c r="L149" i="11"/>
  <c r="L150" i="11"/>
  <c r="L157" i="11"/>
  <c r="L158" i="11"/>
  <c r="L165" i="11"/>
  <c r="L166" i="11"/>
  <c r="L173" i="11"/>
  <c r="L174" i="11"/>
  <c r="L181" i="11"/>
  <c r="L182" i="11"/>
  <c r="L189" i="11"/>
  <c r="L190" i="11"/>
  <c r="L197" i="11"/>
  <c r="L198" i="11"/>
  <c r="L205" i="11"/>
  <c r="L206"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L24" i="11"/>
  <c r="L25" i="11"/>
  <c r="L26" i="11"/>
  <c r="L27" i="11"/>
  <c r="L28" i="11"/>
  <c r="L31" i="11"/>
  <c r="L32" i="11"/>
  <c r="L33" i="11"/>
  <c r="L34" i="11"/>
  <c r="L35" i="11"/>
  <c r="L36" i="11"/>
  <c r="L39" i="11"/>
  <c r="L40" i="11"/>
  <c r="L41" i="11"/>
  <c r="L42" i="11"/>
  <c r="L43" i="11"/>
  <c r="L44" i="11"/>
  <c r="L47" i="11"/>
  <c r="L48" i="11"/>
  <c r="L49" i="11"/>
  <c r="L50" i="11"/>
  <c r="L51" i="11"/>
  <c r="L52" i="11"/>
  <c r="L55" i="11"/>
  <c r="L56" i="11"/>
  <c r="L57" i="11"/>
  <c r="L58" i="11"/>
  <c r="L59" i="11"/>
  <c r="L60" i="11"/>
  <c r="L63" i="11"/>
  <c r="L64" i="11"/>
  <c r="L65" i="11"/>
  <c r="L66" i="11"/>
  <c r="L67" i="11"/>
  <c r="L68" i="11"/>
  <c r="L71" i="11"/>
  <c r="L72" i="11"/>
  <c r="L73" i="11"/>
  <c r="L74" i="11"/>
  <c r="L75" i="11"/>
  <c r="L76" i="11"/>
  <c r="L79" i="11"/>
  <c r="L80" i="11"/>
  <c r="L81" i="11"/>
  <c r="L82" i="11"/>
  <c r="L83" i="11"/>
  <c r="L84" i="11"/>
  <c r="L87" i="11"/>
  <c r="L88" i="11"/>
  <c r="L89" i="11"/>
  <c r="L90" i="11"/>
  <c r="L91" i="11"/>
  <c r="L92" i="11"/>
  <c r="L95" i="11"/>
  <c r="L96" i="11"/>
  <c r="L97" i="11"/>
  <c r="L98" i="11"/>
  <c r="L99" i="11"/>
  <c r="L100" i="11"/>
  <c r="L103" i="11"/>
  <c r="L104" i="11"/>
  <c r="L105" i="11"/>
  <c r="L106" i="11"/>
  <c r="L107" i="11"/>
  <c r="L108" i="11"/>
  <c r="L111" i="11"/>
  <c r="L112" i="11"/>
  <c r="L113" i="11"/>
  <c r="L114" i="11"/>
  <c r="L115" i="11"/>
  <c r="L116" i="11"/>
  <c r="L119" i="11"/>
  <c r="L120" i="11"/>
  <c r="L121" i="11"/>
  <c r="L122" i="11"/>
  <c r="L123" i="11"/>
  <c r="L124" i="11"/>
  <c r="L127" i="11"/>
  <c r="L128" i="11"/>
  <c r="L129" i="11"/>
  <c r="L130" i="11"/>
  <c r="L131" i="11"/>
  <c r="L132" i="11"/>
  <c r="L135" i="11"/>
  <c r="L136" i="11"/>
  <c r="L137" i="11"/>
  <c r="L138" i="11"/>
  <c r="L139" i="11"/>
  <c r="L140" i="11"/>
  <c r="L143" i="11"/>
  <c r="L144" i="11"/>
  <c r="L145" i="11"/>
  <c r="L146" i="11"/>
  <c r="L147" i="11"/>
  <c r="L148" i="11"/>
  <c r="L151" i="11"/>
  <c r="L152" i="11"/>
  <c r="L153" i="11"/>
  <c r="L154" i="11"/>
  <c r="L155" i="11"/>
  <c r="L156" i="11"/>
  <c r="L159" i="11"/>
  <c r="L160" i="11"/>
  <c r="L161" i="11"/>
  <c r="L162" i="11"/>
  <c r="L163" i="11"/>
  <c r="L164" i="11"/>
  <c r="L167" i="11"/>
  <c r="L168" i="11"/>
  <c r="L169" i="11"/>
  <c r="L170" i="11"/>
  <c r="L171" i="11"/>
  <c r="L172" i="11"/>
  <c r="L175" i="11"/>
  <c r="L176" i="11"/>
  <c r="L177" i="11"/>
  <c r="L178" i="11"/>
  <c r="L179" i="11"/>
  <c r="L180" i="11"/>
  <c r="L183" i="11"/>
  <c r="L184" i="11"/>
  <c r="L185" i="11"/>
  <c r="L186" i="11"/>
  <c r="L187" i="11"/>
  <c r="L188" i="11"/>
  <c r="L191" i="11"/>
  <c r="L192" i="11"/>
  <c r="L193" i="11"/>
  <c r="L194" i="11"/>
  <c r="L195" i="11"/>
  <c r="L196" i="11"/>
  <c r="L199" i="11"/>
  <c r="L200" i="11"/>
  <c r="L201" i="11"/>
  <c r="L202" i="11"/>
  <c r="L203" i="11"/>
  <c r="L204" i="11"/>
  <c r="L207" i="11"/>
  <c r="L208" i="11"/>
  <c r="G2" i="13"/>
  <c r="K2" i="13"/>
  <c r="I2" i="13"/>
  <c r="M2" i="13"/>
  <c r="L23" i="11" l="1"/>
  <c r="F23"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alcChain>
</file>

<file path=xl/sharedStrings.xml><?xml version="1.0" encoding="utf-8"?>
<sst xmlns="http://schemas.openxmlformats.org/spreadsheetml/2006/main" count="1736" uniqueCount="542">
  <si>
    <t>Title</t>
  </si>
  <si>
    <t>Navigation</t>
  </si>
  <si>
    <t>Content</t>
  </si>
  <si>
    <t>Customization difficulty (1-3)</t>
  </si>
  <si>
    <t>Explanation of sheets</t>
  </si>
  <si>
    <t>How to customize</t>
  </si>
  <si>
    <t>1)</t>
  </si>
  <si>
    <t>2)</t>
  </si>
  <si>
    <t>3)</t>
  </si>
  <si>
    <t>4)</t>
  </si>
  <si>
    <t>5)</t>
  </si>
  <si>
    <t>6)</t>
  </si>
  <si>
    <t>7)</t>
  </si>
  <si>
    <t>8)</t>
  </si>
  <si>
    <t>9)</t>
  </si>
  <si>
    <t>10)</t>
  </si>
  <si>
    <t>11)</t>
  </si>
  <si>
    <t>12)</t>
  </si>
  <si>
    <t>13)</t>
  </si>
  <si>
    <t>Journalists</t>
  </si>
  <si>
    <t>Article Categories</t>
  </si>
  <si>
    <t>Channels</t>
  </si>
  <si>
    <t>Author List</t>
  </si>
  <si>
    <t>Favorability</t>
  </si>
  <si>
    <t>Sources</t>
  </si>
  <si>
    <t>Media sources List</t>
  </si>
  <si>
    <t>Categories</t>
  </si>
  <si>
    <t>Article Tone</t>
  </si>
  <si>
    <t>Favorability List</t>
  </si>
  <si>
    <t>Date</t>
  </si>
  <si>
    <t>Journalist 3</t>
  </si>
  <si>
    <t>Journalist 4</t>
  </si>
  <si>
    <t>Journalist 5</t>
  </si>
  <si>
    <t>Online Magazine</t>
  </si>
  <si>
    <t>Jim Smith</t>
  </si>
  <si>
    <t>Sara Paul</t>
  </si>
  <si>
    <t>Trade Journal</t>
  </si>
  <si>
    <t>Source 3</t>
  </si>
  <si>
    <t>Source 4</t>
  </si>
  <si>
    <t>Journalist 6</t>
  </si>
  <si>
    <t>Journalist 7</t>
  </si>
  <si>
    <t>Online</t>
  </si>
  <si>
    <t>Print</t>
  </si>
  <si>
    <t>Other</t>
  </si>
  <si>
    <t>Channel 4</t>
  </si>
  <si>
    <t>Channel 5</t>
  </si>
  <si>
    <t>Feature Story</t>
  </si>
  <si>
    <t>Trend</t>
  </si>
  <si>
    <t>Review</t>
  </si>
  <si>
    <t>Category 4</t>
  </si>
  <si>
    <t>Category 5</t>
  </si>
  <si>
    <t>Category 6</t>
  </si>
  <si>
    <t>Category 7</t>
  </si>
  <si>
    <t>Positive</t>
  </si>
  <si>
    <t>Neutral</t>
  </si>
  <si>
    <t>Negative</t>
  </si>
  <si>
    <t>Journalist</t>
  </si>
  <si>
    <t>Topic</t>
  </si>
  <si>
    <t>Media Source</t>
  </si>
  <si>
    <t>Channel</t>
  </si>
  <si>
    <t>Link</t>
  </si>
  <si>
    <t>Monthly Placement  Target</t>
  </si>
  <si>
    <t>Monthly Placement Target</t>
  </si>
  <si>
    <t>Contact Info</t>
  </si>
  <si>
    <t>Email or Phone 1</t>
  </si>
  <si>
    <t>Email or Phone 2</t>
  </si>
  <si>
    <t>Email or Phone 3</t>
  </si>
  <si>
    <t>Email or Phone 4</t>
  </si>
  <si>
    <t>Email or Phone 5</t>
  </si>
  <si>
    <t>Email or Phone 6</t>
  </si>
  <si>
    <t>Email or Phone 7</t>
  </si>
  <si>
    <t>Contact Information</t>
  </si>
  <si>
    <t>Notes</t>
  </si>
  <si>
    <t>Impact</t>
  </si>
  <si>
    <t>Add New Entry</t>
  </si>
  <si>
    <t>Write topic description here 1</t>
  </si>
  <si>
    <t>Write topic description here 2</t>
  </si>
  <si>
    <t>Write topic description here 3</t>
  </si>
  <si>
    <t>Write topic description here 4</t>
  </si>
  <si>
    <t>Write topic description here 5</t>
  </si>
  <si>
    <t>Write topic description here 6</t>
  </si>
  <si>
    <t>Write topic description here 7</t>
  </si>
  <si>
    <t>Write topic description here 8</t>
  </si>
  <si>
    <t>Write topic description here 9</t>
  </si>
  <si>
    <t>Write topic description here 10</t>
  </si>
  <si>
    <t>Write topic description here 11</t>
  </si>
  <si>
    <t>Write topic description here 12</t>
  </si>
  <si>
    <t>Write topic description here 13</t>
  </si>
  <si>
    <t>Write topic description here 14</t>
  </si>
  <si>
    <t>Write topic description here 15</t>
  </si>
  <si>
    <t>Write topic description here 16</t>
  </si>
  <si>
    <t>Write topic description here 17</t>
  </si>
  <si>
    <t>Write topic description here 18</t>
  </si>
  <si>
    <t>Write topic description here 19</t>
  </si>
  <si>
    <t>Write topic description here 20</t>
  </si>
  <si>
    <t>Write topic description here 21</t>
  </si>
  <si>
    <t>Write topic description here 22</t>
  </si>
  <si>
    <t>Write topic description here 23</t>
  </si>
  <si>
    <t>Write topic description here 24</t>
  </si>
  <si>
    <t>Write topic description here 25</t>
  </si>
  <si>
    <t>Write topic description here 26</t>
  </si>
  <si>
    <t>Write topic description here 27</t>
  </si>
  <si>
    <t>Write topic description here 28</t>
  </si>
  <si>
    <t>Write topic description here 29</t>
  </si>
  <si>
    <t>Write topic description here 30</t>
  </si>
  <si>
    <t>Write topic description here 31</t>
  </si>
  <si>
    <t>Write topic description here 32</t>
  </si>
  <si>
    <t>Write topic description here 33</t>
  </si>
  <si>
    <t>Write topic description here 34</t>
  </si>
  <si>
    <t>Write topic description here 35</t>
  </si>
  <si>
    <t>Write topic description here 36</t>
  </si>
  <si>
    <t>Write topic description here 37</t>
  </si>
  <si>
    <t>Write topic description here 38</t>
  </si>
  <si>
    <t>Write topic description here 39</t>
  </si>
  <si>
    <t>Write topic description here 40</t>
  </si>
  <si>
    <t>Write topic description here 41</t>
  </si>
  <si>
    <t>Write topic description here 42</t>
  </si>
  <si>
    <t>Write topic description here 43</t>
  </si>
  <si>
    <t>Write topic description here 44</t>
  </si>
  <si>
    <t>Write topic description here 45</t>
  </si>
  <si>
    <t>Write topic description here 46</t>
  </si>
  <si>
    <t>Write topic description here 47</t>
  </si>
  <si>
    <t>Write topic description here 48</t>
  </si>
  <si>
    <t>Write topic description here 49</t>
  </si>
  <si>
    <t>Write topic description here 50</t>
  </si>
  <si>
    <t>Write topic description here 51</t>
  </si>
  <si>
    <t>Write topic description here 52</t>
  </si>
  <si>
    <t>Write topic description here 53</t>
  </si>
  <si>
    <t>Write topic description here 54</t>
  </si>
  <si>
    <t>Write topic description here 55</t>
  </si>
  <si>
    <t>Write topic description here 56</t>
  </si>
  <si>
    <t>Write topic description here 57</t>
  </si>
  <si>
    <t>Write topic description here 58</t>
  </si>
  <si>
    <t>Write topic description here 59</t>
  </si>
  <si>
    <t>Write topic description here 60</t>
  </si>
  <si>
    <t>Write topic description here 61</t>
  </si>
  <si>
    <t>Write topic description here 62</t>
  </si>
  <si>
    <t>Write topic description here 63</t>
  </si>
  <si>
    <t>Write topic description here 64</t>
  </si>
  <si>
    <t>Write topic description here 65</t>
  </si>
  <si>
    <t>Write topic description here 66</t>
  </si>
  <si>
    <t>Write topic description here 67</t>
  </si>
  <si>
    <t>Write topic description here 68</t>
  </si>
  <si>
    <t>Write topic description here 69</t>
  </si>
  <si>
    <t>Write topic description here 70</t>
  </si>
  <si>
    <t>Write topic description here 71</t>
  </si>
  <si>
    <t>Write topic description here 72</t>
  </si>
  <si>
    <t>Write topic description here 73</t>
  </si>
  <si>
    <t>Write topic description here 74</t>
  </si>
  <si>
    <t>Write topic description here 75</t>
  </si>
  <si>
    <t>Write topic description here 76</t>
  </si>
  <si>
    <t>Write topic description here 77</t>
  </si>
  <si>
    <t>Write topic description here 78</t>
  </si>
  <si>
    <t>Write topic description here 79</t>
  </si>
  <si>
    <t>Write topic description here 80</t>
  </si>
  <si>
    <t>Write topic description here 81</t>
  </si>
  <si>
    <t>Write topic description here 82</t>
  </si>
  <si>
    <t>Write topic description here 83</t>
  </si>
  <si>
    <t>Write topic description here 84</t>
  </si>
  <si>
    <t>Write topic description here 85</t>
  </si>
  <si>
    <t>Write topic description here 86</t>
  </si>
  <si>
    <t>Write topic description here 87</t>
  </si>
  <si>
    <t>Write topic description here 88</t>
  </si>
  <si>
    <t>Write topic description here 89</t>
  </si>
  <si>
    <t>Write topic description here 90</t>
  </si>
  <si>
    <t>Write topic description here 91</t>
  </si>
  <si>
    <t>Write topic description here 92</t>
  </si>
  <si>
    <t>Write topic description here 93</t>
  </si>
  <si>
    <t>Write topic description here 94</t>
  </si>
  <si>
    <t>Write topic description here 95</t>
  </si>
  <si>
    <t>Write topic description here 96</t>
  </si>
  <si>
    <t>Write topic description here 97</t>
  </si>
  <si>
    <t>Write topic description here 98</t>
  </si>
  <si>
    <t>Write topic description here 99</t>
  </si>
  <si>
    <t>Write topic description here 100</t>
  </si>
  <si>
    <t>Write topic description here 101</t>
  </si>
  <si>
    <t>Write topic description here 102</t>
  </si>
  <si>
    <t>Write topic description here 103</t>
  </si>
  <si>
    <t>Write topic description here 104</t>
  </si>
  <si>
    <t>Write topic description here 105</t>
  </si>
  <si>
    <t>Write topic description here 106</t>
  </si>
  <si>
    <t>Write topic description here 107</t>
  </si>
  <si>
    <t>Write topic description here 108</t>
  </si>
  <si>
    <t>Write topic description here 109</t>
  </si>
  <si>
    <t>Write topic description here 110</t>
  </si>
  <si>
    <t>Write topic description here 111</t>
  </si>
  <si>
    <t>Write topic description here 112</t>
  </si>
  <si>
    <t>Write topic description here 113</t>
  </si>
  <si>
    <t>Write topic description here 114</t>
  </si>
  <si>
    <t>Write topic description here 115</t>
  </si>
  <si>
    <t>Write topic description here 116</t>
  </si>
  <si>
    <t>Write topic description here 117</t>
  </si>
  <si>
    <t>Write topic description here 118</t>
  </si>
  <si>
    <t>Write topic description here 119</t>
  </si>
  <si>
    <t>Write topic description here 120</t>
  </si>
  <si>
    <t>Write topic description here 121</t>
  </si>
  <si>
    <t>Write topic description here 122</t>
  </si>
  <si>
    <t>Write topic description here 123</t>
  </si>
  <si>
    <t>Write topic description here 124</t>
  </si>
  <si>
    <t>Write topic description here 125</t>
  </si>
  <si>
    <t>Write topic description here 126</t>
  </si>
  <si>
    <t>Write topic description here 127</t>
  </si>
  <si>
    <t>Write topic description here 128</t>
  </si>
  <si>
    <t>Write topic description here 129</t>
  </si>
  <si>
    <t>Write topic description here 130</t>
  </si>
  <si>
    <t>Write topic description here 131</t>
  </si>
  <si>
    <t>Write topic description here 132</t>
  </si>
  <si>
    <t>Write topic description here 133</t>
  </si>
  <si>
    <t>Write topic description here 134</t>
  </si>
  <si>
    <t>Write topic description here 135</t>
  </si>
  <si>
    <t>Write topic description here 136</t>
  </si>
  <si>
    <t>Write topic description here 137</t>
  </si>
  <si>
    <t>Write topic description here 138</t>
  </si>
  <si>
    <t>Write topic description here 139</t>
  </si>
  <si>
    <t>Write topic description here 140</t>
  </si>
  <si>
    <t>Write topic description here 141</t>
  </si>
  <si>
    <t>Write topic description here 142</t>
  </si>
  <si>
    <t>Write topic description here 143</t>
  </si>
  <si>
    <t>Write topic description here 144</t>
  </si>
  <si>
    <t>Write topic description here 145</t>
  </si>
  <si>
    <t>Write topic description here 146</t>
  </si>
  <si>
    <t>Write topic description here 147</t>
  </si>
  <si>
    <t>Write topic description here 148</t>
  </si>
  <si>
    <t>Write topic description here 149</t>
  </si>
  <si>
    <t>Write topic description here 150</t>
  </si>
  <si>
    <t>Write topic description here 151</t>
  </si>
  <si>
    <t>Write topic description here 152</t>
  </si>
  <si>
    <t>Write topic description here 153</t>
  </si>
  <si>
    <t>Write topic description here 154</t>
  </si>
  <si>
    <t>Write topic description here 155</t>
  </si>
  <si>
    <t>Write topic description here 156</t>
  </si>
  <si>
    <t>Write topic description here 157</t>
  </si>
  <si>
    <t>Write topic description here 158</t>
  </si>
  <si>
    <t>Write topic description here 159</t>
  </si>
  <si>
    <t>Write topic description here 160</t>
  </si>
  <si>
    <t>Write topic description here 161</t>
  </si>
  <si>
    <t>Write topic description here 162</t>
  </si>
  <si>
    <t>Write topic description here 163</t>
  </si>
  <si>
    <t>Write topic description here 164</t>
  </si>
  <si>
    <t>Write topic description here 165</t>
  </si>
  <si>
    <t>Write topic description here 166</t>
  </si>
  <si>
    <t>Write topic description here 167</t>
  </si>
  <si>
    <t>Write topic description here 168</t>
  </si>
  <si>
    <t>Write topic description here 169</t>
  </si>
  <si>
    <t>Write topic description here 170</t>
  </si>
  <si>
    <t>Write topic description here 171</t>
  </si>
  <si>
    <t>Write topic description here 172</t>
  </si>
  <si>
    <t>Write topic description here 173</t>
  </si>
  <si>
    <t>Write topic description here 174</t>
  </si>
  <si>
    <t>Write topic description here 175</t>
  </si>
  <si>
    <t>Write topic description here 176</t>
  </si>
  <si>
    <t>Write topic description here 177</t>
  </si>
  <si>
    <t>Write topic description here 178</t>
  </si>
  <si>
    <t>Write topic description here 179</t>
  </si>
  <si>
    <t>Write topic description here 180</t>
  </si>
  <si>
    <t>Write topic description here 181</t>
  </si>
  <si>
    <t>Write topic description here 182</t>
  </si>
  <si>
    <t>Write topic description here 183</t>
  </si>
  <si>
    <t>Write topic description here 184</t>
  </si>
  <si>
    <t>Write topic description here 185</t>
  </si>
  <si>
    <t>Write topic description here 186</t>
  </si>
  <si>
    <t>https://www.ArticleLink.com/1</t>
  </si>
  <si>
    <t>https://www.ArticleLink.com/2</t>
  </si>
  <si>
    <t>https://www.ArticleLink.com/3</t>
  </si>
  <si>
    <t>https://www.ArticleLink.com/4</t>
  </si>
  <si>
    <t>https://www.ArticleLink.com/5</t>
  </si>
  <si>
    <t>https://www.ArticleLink.com/6</t>
  </si>
  <si>
    <t>https://www.ArticleLink.com/7</t>
  </si>
  <si>
    <t>https://www.ArticleLink.com/8</t>
  </si>
  <si>
    <t>https://www.ArticleLink.com/9</t>
  </si>
  <si>
    <t>https://www.ArticleLink.com/10</t>
  </si>
  <si>
    <t>https://www.ArticleLink.com/11</t>
  </si>
  <si>
    <t>https://www.ArticleLink.com/12</t>
  </si>
  <si>
    <t>Article Category</t>
  </si>
  <si>
    <t>https://www.ArticleLink.com/13</t>
  </si>
  <si>
    <t>https://www.ArticleLink.com/14</t>
  </si>
  <si>
    <t>https://www.ArticleLink.com/15</t>
  </si>
  <si>
    <t>https://www.ArticleLink.com/16</t>
  </si>
  <si>
    <t>https://www.ArticleLink.com/17</t>
  </si>
  <si>
    <t>https://www.ArticleLink.com/18</t>
  </si>
  <si>
    <t>https://www.ArticleLink.com/19</t>
  </si>
  <si>
    <t>https://www.ArticleLink.com/20</t>
  </si>
  <si>
    <t>https://www.ArticleLink.com/21</t>
  </si>
  <si>
    <t>https://www.ArticleLink.com/22</t>
  </si>
  <si>
    <t>https://www.ArticleLink.com/23</t>
  </si>
  <si>
    <t>https://www.ArticleLink.com/24</t>
  </si>
  <si>
    <t>https://www.ArticleLink.com/25</t>
  </si>
  <si>
    <t>https://www.ArticleLink.com/26</t>
  </si>
  <si>
    <t>https://www.ArticleLink.com/27</t>
  </si>
  <si>
    <t>https://www.ArticleLink.com/28</t>
  </si>
  <si>
    <t>https://www.ArticleLink.com/29</t>
  </si>
  <si>
    <t>https://www.ArticleLink.com/30</t>
  </si>
  <si>
    <t>https://www.ArticleLink.com/31</t>
  </si>
  <si>
    <t>https://www.ArticleLink.com/32</t>
  </si>
  <si>
    <t>https://www.ArticleLink.com/33</t>
  </si>
  <si>
    <t>https://www.ArticleLink.com/34</t>
  </si>
  <si>
    <t>https://www.ArticleLink.com/35</t>
  </si>
  <si>
    <t>https://www.ArticleLink.com/36</t>
  </si>
  <si>
    <t>https://www.ArticleLink.com/37</t>
  </si>
  <si>
    <t>https://www.ArticleLink.com/38</t>
  </si>
  <si>
    <t>https://www.ArticleLink.com/39</t>
  </si>
  <si>
    <t>https://www.ArticleLink.com/40</t>
  </si>
  <si>
    <t>https://www.ArticleLink.com/41</t>
  </si>
  <si>
    <t>https://www.ArticleLink.com/42</t>
  </si>
  <si>
    <t>https://www.ArticleLink.com/43</t>
  </si>
  <si>
    <t>https://www.ArticleLink.com/44</t>
  </si>
  <si>
    <t>https://www.ArticleLink.com/45</t>
  </si>
  <si>
    <t>https://www.ArticleLink.com/46</t>
  </si>
  <si>
    <t>https://www.ArticleLink.com/47</t>
  </si>
  <si>
    <t>https://www.ArticleLink.com/48</t>
  </si>
  <si>
    <t>https://www.ArticleLink.com/49</t>
  </si>
  <si>
    <t>https://www.ArticleLink.com/50</t>
  </si>
  <si>
    <t>https://www.ArticleLink.com/51</t>
  </si>
  <si>
    <t>https://www.ArticleLink.com/52</t>
  </si>
  <si>
    <t>https://www.ArticleLink.com/53</t>
  </si>
  <si>
    <t>https://www.ArticleLink.com/54</t>
  </si>
  <si>
    <t>https://www.ArticleLink.com/55</t>
  </si>
  <si>
    <t>https://www.ArticleLink.com/56</t>
  </si>
  <si>
    <t>https://www.ArticleLink.com/57</t>
  </si>
  <si>
    <t>https://www.ArticleLink.com/58</t>
  </si>
  <si>
    <t>https://www.ArticleLink.com/59</t>
  </si>
  <si>
    <t>https://www.ArticleLink.com/60</t>
  </si>
  <si>
    <t>https://www.ArticleLink.com/61</t>
  </si>
  <si>
    <t>https://www.ArticleLink.com/62</t>
  </si>
  <si>
    <t>https://www.ArticleLink.com/63</t>
  </si>
  <si>
    <t>https://www.ArticleLink.com/64</t>
  </si>
  <si>
    <t>https://www.ArticleLink.com/65</t>
  </si>
  <si>
    <t>https://www.ArticleLink.com/66</t>
  </si>
  <si>
    <t>https://www.ArticleLink.com/67</t>
  </si>
  <si>
    <t>https://www.ArticleLink.com/68</t>
  </si>
  <si>
    <t>https://www.ArticleLink.com/69</t>
  </si>
  <si>
    <t>https://www.ArticleLink.com/70</t>
  </si>
  <si>
    <t>https://www.ArticleLink.com/71</t>
  </si>
  <si>
    <t>https://www.ArticleLink.com/72</t>
  </si>
  <si>
    <t>https://www.ArticleLink.com/73</t>
  </si>
  <si>
    <t>https://www.ArticleLink.com/74</t>
  </si>
  <si>
    <t>https://www.ArticleLink.com/75</t>
  </si>
  <si>
    <t>https://www.ArticleLink.com/76</t>
  </si>
  <si>
    <t>https://www.ArticleLink.com/77</t>
  </si>
  <si>
    <t>https://www.ArticleLink.com/78</t>
  </si>
  <si>
    <t>https://www.ArticleLink.com/79</t>
  </si>
  <si>
    <t>https://www.ArticleLink.com/80</t>
  </si>
  <si>
    <t>https://www.ArticleLink.com/81</t>
  </si>
  <si>
    <t>https://www.ArticleLink.com/82</t>
  </si>
  <si>
    <t>https://www.ArticleLink.com/83</t>
  </si>
  <si>
    <t>https://www.ArticleLink.com/84</t>
  </si>
  <si>
    <t>https://www.ArticleLink.com/85</t>
  </si>
  <si>
    <t>https://www.ArticleLink.com/86</t>
  </si>
  <si>
    <t>https://www.ArticleLink.com/87</t>
  </si>
  <si>
    <t>https://www.ArticleLink.com/88</t>
  </si>
  <si>
    <t>https://www.ArticleLink.com/89</t>
  </si>
  <si>
    <t>https://www.ArticleLink.com/90</t>
  </si>
  <si>
    <t>https://www.ArticleLink.com/91</t>
  </si>
  <si>
    <t>https://www.ArticleLink.com/92</t>
  </si>
  <si>
    <t>https://www.ArticleLink.com/93</t>
  </si>
  <si>
    <t>https://www.ArticleLink.com/94</t>
  </si>
  <si>
    <t>https://www.ArticleLink.com/95</t>
  </si>
  <si>
    <t>https://www.ArticleLink.com/96</t>
  </si>
  <si>
    <t>https://www.ArticleLink.com/97</t>
  </si>
  <si>
    <t>https://www.ArticleLink.com/98</t>
  </si>
  <si>
    <t>https://www.ArticleLink.com/99</t>
  </si>
  <si>
    <t>https://www.ArticleLink.com/100</t>
  </si>
  <si>
    <t>https://www.ArticleLink.com/101</t>
  </si>
  <si>
    <t>https://www.ArticleLink.com/102</t>
  </si>
  <si>
    <t>https://www.ArticleLink.com/103</t>
  </si>
  <si>
    <t>https://www.ArticleLink.com/104</t>
  </si>
  <si>
    <t>https://www.ArticleLink.com/105</t>
  </si>
  <si>
    <t>https://www.ArticleLink.com/106</t>
  </si>
  <si>
    <t>https://www.ArticleLink.com/107</t>
  </si>
  <si>
    <t>https://www.ArticleLink.com/108</t>
  </si>
  <si>
    <t>https://www.ArticleLink.com/109</t>
  </si>
  <si>
    <t>https://www.ArticleLink.com/110</t>
  </si>
  <si>
    <t>https://www.ArticleLink.com/111</t>
  </si>
  <si>
    <t>https://www.ArticleLink.com/112</t>
  </si>
  <si>
    <t>https://www.ArticleLink.com/113</t>
  </si>
  <si>
    <t>https://www.ArticleLink.com/114</t>
  </si>
  <si>
    <t>https://www.ArticleLink.com/115</t>
  </si>
  <si>
    <t>https://www.ArticleLink.com/116</t>
  </si>
  <si>
    <t>https://www.ArticleLink.com/117</t>
  </si>
  <si>
    <t>https://www.ArticleLink.com/118</t>
  </si>
  <si>
    <t>https://www.ArticleLink.com/119</t>
  </si>
  <si>
    <t>https://www.ArticleLink.com/120</t>
  </si>
  <si>
    <t>https://www.ArticleLink.com/121</t>
  </si>
  <si>
    <t>https://www.ArticleLink.com/122</t>
  </si>
  <si>
    <t>https://www.ArticleLink.com/123</t>
  </si>
  <si>
    <t>https://www.ArticleLink.com/124</t>
  </si>
  <si>
    <t>https://www.ArticleLink.com/125</t>
  </si>
  <si>
    <t>https://www.ArticleLink.com/126</t>
  </si>
  <si>
    <t>https://www.ArticleLink.com/127</t>
  </si>
  <si>
    <t>https://www.ArticleLink.com/128</t>
  </si>
  <si>
    <t>https://www.ArticleLink.com/129</t>
  </si>
  <si>
    <t>https://www.ArticleLink.com/130</t>
  </si>
  <si>
    <t>https://www.ArticleLink.com/131</t>
  </si>
  <si>
    <t>https://www.ArticleLink.com/132</t>
  </si>
  <si>
    <t>https://www.ArticleLink.com/133</t>
  </si>
  <si>
    <t>https://www.ArticleLink.com/134</t>
  </si>
  <si>
    <t>https://www.ArticleLink.com/135</t>
  </si>
  <si>
    <t>https://www.ArticleLink.com/136</t>
  </si>
  <si>
    <t>https://www.ArticleLink.com/137</t>
  </si>
  <si>
    <t>https://www.ArticleLink.com/138</t>
  </si>
  <si>
    <t>https://www.ArticleLink.com/139</t>
  </si>
  <si>
    <t>https://www.ArticleLink.com/140</t>
  </si>
  <si>
    <t>https://www.ArticleLink.com/141</t>
  </si>
  <si>
    <t>https://www.ArticleLink.com/142</t>
  </si>
  <si>
    <t>https://www.ArticleLink.com/143</t>
  </si>
  <si>
    <t>https://www.ArticleLink.com/144</t>
  </si>
  <si>
    <t>https://www.ArticleLink.com/145</t>
  </si>
  <si>
    <t>https://www.ArticleLink.com/146</t>
  </si>
  <si>
    <t>https://www.ArticleLink.com/147</t>
  </si>
  <si>
    <t>https://www.ArticleLink.com/148</t>
  </si>
  <si>
    <t>https://www.ArticleLink.com/149</t>
  </si>
  <si>
    <t>https://www.ArticleLink.com/150</t>
  </si>
  <si>
    <t>https://www.ArticleLink.com/151</t>
  </si>
  <si>
    <t>https://www.ArticleLink.com/152</t>
  </si>
  <si>
    <t>https://www.ArticleLink.com/153</t>
  </si>
  <si>
    <t>https://www.ArticleLink.com/154</t>
  </si>
  <si>
    <t>https://www.ArticleLink.com/155</t>
  </si>
  <si>
    <t>https://www.ArticleLink.com/156</t>
  </si>
  <si>
    <t>https://www.ArticleLink.com/157</t>
  </si>
  <si>
    <t>https://www.ArticleLink.com/158</t>
  </si>
  <si>
    <t>https://www.ArticleLink.com/159</t>
  </si>
  <si>
    <t>https://www.ArticleLink.com/160</t>
  </si>
  <si>
    <t>https://www.ArticleLink.com/161</t>
  </si>
  <si>
    <t>https://www.ArticleLink.com/162</t>
  </si>
  <si>
    <t>https://www.ArticleLink.com/163</t>
  </si>
  <si>
    <t>https://www.ArticleLink.com/164</t>
  </si>
  <si>
    <t>https://www.ArticleLink.com/165</t>
  </si>
  <si>
    <t>https://www.ArticleLink.com/166</t>
  </si>
  <si>
    <t>https://www.ArticleLink.com/167</t>
  </si>
  <si>
    <t>https://www.ArticleLink.com/168</t>
  </si>
  <si>
    <t>https://www.ArticleLink.com/169</t>
  </si>
  <si>
    <t>https://www.ArticleLink.com/170</t>
  </si>
  <si>
    <t>https://www.ArticleLink.com/171</t>
  </si>
  <si>
    <t>https://www.ArticleLink.com/172</t>
  </si>
  <si>
    <t>https://www.ArticleLink.com/173</t>
  </si>
  <si>
    <t>https://www.ArticleLink.com/174</t>
  </si>
  <si>
    <t>https://www.ArticleLink.com/175</t>
  </si>
  <si>
    <t>https://www.ArticleLink.com/176</t>
  </si>
  <si>
    <t>https://www.ArticleLink.com/177</t>
  </si>
  <si>
    <t>https://www.ArticleLink.com/178</t>
  </si>
  <si>
    <t>https://www.ArticleLink.com/179</t>
  </si>
  <si>
    <t>https://www.ArticleLink.com/180</t>
  </si>
  <si>
    <t>https://www.ArticleLink.com/181</t>
  </si>
  <si>
    <t>https://www.ArticleLink.com/182</t>
  </si>
  <si>
    <t>https://www.ArticleLink.com/183</t>
  </si>
  <si>
    <t>https://www.ArticleLink.com/184</t>
  </si>
  <si>
    <t>https://www.ArticleLink.com/185</t>
  </si>
  <si>
    <t>https://www.ArticleLink.com/186</t>
  </si>
  <si>
    <t>Month</t>
  </si>
  <si>
    <t>Row Labels</t>
  </si>
  <si>
    <t>Grand Total</t>
  </si>
  <si>
    <t>Aug</t>
  </si>
  <si>
    <t>Sep</t>
  </si>
  <si>
    <t>Oct</t>
  </si>
  <si>
    <t>Nov</t>
  </si>
  <si>
    <t>Dec</t>
  </si>
  <si>
    <t>Jan</t>
  </si>
  <si>
    <t>Count of Topic</t>
  </si>
  <si>
    <t>Total Topics</t>
  </si>
  <si>
    <t>Monthly Placement Target.</t>
  </si>
  <si>
    <t>Column Labels</t>
  </si>
  <si>
    <t>Average of Impact</t>
  </si>
  <si>
    <t>Public Relationship</t>
  </si>
  <si>
    <t>Database</t>
  </si>
  <si>
    <t>Campaign</t>
  </si>
  <si>
    <t>Campaign List</t>
  </si>
  <si>
    <t>Campaign 1</t>
  </si>
  <si>
    <t>Campaign 2</t>
  </si>
  <si>
    <t>Campaign 3</t>
  </si>
  <si>
    <t>Campaign 4</t>
  </si>
  <si>
    <t>Campaign 5</t>
  </si>
  <si>
    <t>Articles Included</t>
  </si>
  <si>
    <t>Starting Date</t>
  </si>
  <si>
    <t>Ending Date</t>
  </si>
  <si>
    <t>Companies / Organizations</t>
  </si>
  <si>
    <t>Related Organizations</t>
  </si>
  <si>
    <t>Company 1</t>
  </si>
  <si>
    <t>Company 2</t>
  </si>
  <si>
    <t>Company 3</t>
  </si>
  <si>
    <t>Company 4</t>
  </si>
  <si>
    <t>Company 5</t>
  </si>
  <si>
    <t>Company 6</t>
  </si>
  <si>
    <t>Select Campaign</t>
  </si>
  <si>
    <t>Remain Days</t>
  </si>
  <si>
    <t>Campaign Cost</t>
  </si>
  <si>
    <t>Company / Organization</t>
  </si>
  <si>
    <t>Payment Status</t>
  </si>
  <si>
    <t>Done</t>
  </si>
  <si>
    <t>Canceled</t>
  </si>
  <si>
    <t>Closed</t>
  </si>
  <si>
    <t>Campaign Duration In Days</t>
  </si>
  <si>
    <t>Target Contact Members</t>
  </si>
  <si>
    <t>Contact Members</t>
  </si>
  <si>
    <t>Pending</t>
  </si>
  <si>
    <t>Refund</t>
  </si>
  <si>
    <t>Campaign Status</t>
  </si>
  <si>
    <t>Open</t>
  </si>
  <si>
    <t>Suspended</t>
  </si>
  <si>
    <t>Remarks</t>
  </si>
  <si>
    <t>Total Campaigns</t>
  </si>
  <si>
    <t>Total Articles</t>
  </si>
  <si>
    <t>Total Cost</t>
  </si>
  <si>
    <t>Achievement Rate%</t>
  </si>
  <si>
    <t>Count of Campaign</t>
  </si>
  <si>
    <t>Sum of Articles Included</t>
  </si>
  <si>
    <t>Sum of Campaign Cost</t>
  </si>
  <si>
    <t>Achieve%</t>
  </si>
  <si>
    <t>Average of Achieve%</t>
  </si>
  <si>
    <t>Remain Days.</t>
  </si>
  <si>
    <t>Achieve%.</t>
  </si>
  <si>
    <t>Campaign Management</t>
  </si>
  <si>
    <t>Here You can write campaign issues</t>
  </si>
  <si>
    <t xml:space="preserve">Record all related articles. The Dashboard will update with KPIs related to your PR efforts. </t>
  </si>
  <si>
    <t>Set public relationship database and references that will reflect tables and drop-down lists</t>
  </si>
  <si>
    <t xml:space="preserve">Record PR campaigns and corresponding data. </t>
  </si>
  <si>
    <t>In the Database sheet, add your public relationship points and standards which will reflect your raw data and drop-down list</t>
  </si>
  <si>
    <t>Fill out all fields in Database such as journalist, contact info, media source, article category, monthly target, and favorability list.</t>
  </si>
  <si>
    <t>Dashboard</t>
  </si>
  <si>
    <t>Go to the Dashboard sheet and record articles and related details</t>
  </si>
  <si>
    <t>Some fields will automatically calculated, others need to be selected by the drop-down menu. *Fields in gray cell include functions and please don't try to insert and value manually in this gray cell*</t>
  </si>
  <si>
    <t>For each article, select Favorability from the drop-down menu. Options include Positive, Neutral or Negative. The cell color will change according to your selection.</t>
  </si>
  <si>
    <t>In the Impact field, select the impact intensity of the article on a scale from -5 to 5 (negative to positive)</t>
  </si>
  <si>
    <t>You can show  the PR Dashboard using the Show Dashboard button in the top left area</t>
  </si>
  <si>
    <t>To maximize display, click on  the Full Screen button</t>
  </si>
  <si>
    <t>To update charts, trends and dashboard data source reflection, click the Refresh Data button</t>
  </si>
  <si>
    <t xml:space="preserve">In the dashboard area you will see dynamic charts which can be filters and segmented easily using slicers </t>
  </si>
  <si>
    <t>To manage your PR campaigns, selec the Campaign Management sheet and, from the Campaign field, select campaign name from drop-down menu</t>
  </si>
  <si>
    <t>Campaign articles will be included automatically. Record start and end date for the campaigns.</t>
  </si>
  <si>
    <t>Register all campaign details according to column field required. *Blank white cells is the only allowed to insert your data and don't try to insert data in gray cells as it includes functions*</t>
  </si>
  <si>
    <t xml:space="preserve">This template can be used to track your Public Relations efforts, including articles, campaigns, costs and journalist list. </t>
  </si>
  <si>
    <t>Public Relations &amp; Campaign Management</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</si>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</sst>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_);_(* \(#,##0\);_(* &quot;-&quot;_);_(@_)"/>
    <numFmt numFmtId="165" formatCode="_(* #,##0.00_);_(* \(#,##0.00\);_(* &quot;-&quot;??_);_(@_)"/>
    <numFmt numFmtId="166" formatCode="[$-409]d\-mmm\-yy;@"/>
    <numFmt numFmtId="167" formatCode="mmm"/>
    <numFmt numFmtId="168" formatCode="&quot;$&quot;#,##0"/>
  </numFmts>
  <fonts count="27"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theme="1" tint="0.499984740745262"/>
      <name val="Arial"/>
      <family val="2"/>
    </font>
    <font>
      <sz val="10"/>
      <color theme="0"/>
      <name val="Arial"/>
      <family val="2"/>
    </font>
    <font>
      <b/>
      <u/>
      <sz val="11"/>
      <color theme="1" tint="0.499984740745262"/>
      <name val="Arial"/>
      <family val="2"/>
    </font>
    <font>
      <sz val="10"/>
      <color rgb="FF50B47F"/>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sz val="12"/>
      <color theme="1" tint="0.499984740745262"/>
      <name val="Arial"/>
      <family val="2"/>
    </font>
    <font>
      <sz val="36"/>
      <color theme="1" tint="0.499984740745262"/>
      <name val="Arial"/>
      <family val="2"/>
    </font>
    <font>
      <sz val="10"/>
      <color rgb="FF000000"/>
      <name val="Arial"/>
      <family val="2"/>
    </font>
  </fonts>
  <fills count="10">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8FCFAD"/>
        <bgColor indexed="64"/>
      </patternFill>
    </fill>
    <fill>
      <patternFill patternType="solid">
        <fgColor theme="7" tint="0.79998168889431442"/>
        <bgColor indexed="64"/>
      </patternFill>
    </fill>
  </fills>
  <borders count="22">
    <border>
      <left/>
      <right/>
      <top/>
      <bottom/>
      <diagonal/>
    </border>
    <border>
      <left/>
      <right/>
      <top/>
      <bottom style="thick">
        <color theme="0" tint="-0.14993743705557422"/>
      </bottom>
      <diagonal/>
    </border>
    <border>
      <left style="thin">
        <color theme="0" tint="-0.14996795556505021"/>
      </left>
      <right style="thin">
        <color theme="0" tint="-0.14996795556505021"/>
      </right>
      <top/>
      <bottom style="thick">
        <color theme="0" tint="-0.14993743705557422"/>
      </bottom>
      <diagonal/>
    </border>
    <border>
      <left/>
      <right style="thin">
        <color theme="0" tint="-0.14993743705557422"/>
      </right>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top/>
      <bottom style="thin">
        <color theme="0" tint="-0.14993743705557422"/>
      </bottom>
      <diagonal/>
    </border>
    <border>
      <left/>
      <right style="thin">
        <color theme="0" tint="-0.14993743705557422"/>
      </right>
      <top/>
      <bottom style="thin">
        <color theme="0" tint="-0.14993743705557422"/>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style="thin">
        <color theme="0" tint="-0.14996795556505021"/>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style="thin">
        <color theme="0" tint="-0.14996795556505021"/>
      </right>
      <top/>
      <bottom style="thin">
        <color theme="0" tint="-0.14996795556505021"/>
      </bottom>
      <diagonal/>
    </border>
  </borders>
  <cellStyleXfs count="14">
    <xf numFmtId="0" fontId="0" fillId="0" borderId="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165" fontId="2" fillId="0" borderId="0" applyFont="0" applyFill="0" applyBorder="0" applyAlignment="0" applyProtection="0"/>
    <xf numFmtId="0" fontId="1" fillId="0" borderId="0"/>
    <xf numFmtId="9" fontId="1" fillId="0" borderId="0" applyFont="0" applyFill="0" applyBorder="0" applyAlignment="0" applyProtection="0"/>
    <xf numFmtId="165" fontId="1" fillId="0" borderId="0" applyFont="0" applyFill="0" applyBorder="0" applyAlignment="0" applyProtection="0"/>
    <xf numFmtId="0" fontId="21" fillId="5" borderId="0" applyNumberFormat="0" applyBorder="0" applyAlignment="0" applyProtection="0"/>
    <xf numFmtId="0" fontId="22" fillId="6" borderId="0" applyNumberFormat="0" applyBorder="0" applyAlignment="0" applyProtection="0"/>
    <xf numFmtId="0" fontId="23" fillId="7" borderId="0" applyNumberFormat="0" applyBorder="0" applyAlignment="0" applyProtection="0"/>
    <xf numFmtId="9" fontId="3" fillId="0" borderId="0" applyFont="0" applyFill="0" applyBorder="0" applyAlignment="0" applyProtection="0"/>
  </cellStyleXfs>
  <cellXfs count="92">
    <xf numFmtId="0" fontId="0" fillId="0" borderId="0" xfId="0"/>
    <xf numFmtId="0" fontId="9" fillId="0" borderId="0" xfId="2" applyFont="1"/>
    <xf numFmtId="0" fontId="3" fillId="0" borderId="0" xfId="3"/>
    <xf numFmtId="0" fontId="6" fillId="0" borderId="0" xfId="3" applyFont="1"/>
    <xf numFmtId="0" fontId="6" fillId="0" borderId="0" xfId="3" quotePrefix="1" applyFont="1" applyAlignment="1">
      <alignment horizontal="right"/>
    </xf>
    <xf numFmtId="0" fontId="10" fillId="2" borderId="0" xfId="2" applyFont="1" applyFill="1"/>
    <xf numFmtId="0" fontId="4" fillId="2" borderId="0" xfId="2" applyFont="1" applyFill="1"/>
    <xf numFmtId="0" fontId="11" fillId="2" borderId="0" xfId="1" applyFont="1" applyFill="1"/>
    <xf numFmtId="0" fontId="12" fillId="0" borderId="0" xfId="3" quotePrefix="1" applyFont="1" applyAlignment="1">
      <alignment horizontal="right"/>
    </xf>
    <xf numFmtId="0" fontId="13" fillId="0" borderId="0" xfId="3" applyFont="1"/>
    <xf numFmtId="0" fontId="15" fillId="0" borderId="0" xfId="0" applyFont="1" applyAlignment="1">
      <alignment horizontal="right"/>
    </xf>
    <xf numFmtId="0" fontId="6" fillId="0" borderId="0" xfId="0" applyFont="1"/>
    <xf numFmtId="0" fontId="16" fillId="0" borderId="0" xfId="3" quotePrefix="1" applyFont="1" applyAlignment="1">
      <alignment horizontal="right"/>
    </xf>
    <xf numFmtId="0" fontId="0" fillId="3" borderId="0" xfId="0" applyFill="1"/>
    <xf numFmtId="0" fontId="7" fillId="0" borderId="0" xfId="1"/>
    <xf numFmtId="0" fontId="0" fillId="3" borderId="0" xfId="0" applyFill="1" applyAlignment="1">
      <alignment horizontal="center" vertical="center" wrapText="1"/>
    </xf>
    <xf numFmtId="0" fontId="0" fillId="0" borderId="0" xfId="0" applyAlignment="1">
      <alignment horizontal="center" vertical="center" wrapText="1"/>
    </xf>
    <xf numFmtId="0" fontId="17" fillId="3" borderId="0" xfId="0" applyFont="1" applyFill="1"/>
    <xf numFmtId="0" fontId="18" fillId="4" borderId="1" xfId="0" applyFont="1" applyFill="1" applyBorder="1" applyAlignment="1">
      <alignment horizontal="center" vertical="center" wrapText="1"/>
    </xf>
    <xf numFmtId="0" fontId="18" fillId="4" borderId="2" xfId="0" applyFont="1" applyFill="1" applyBorder="1" applyAlignment="1">
      <alignment horizontal="center" vertical="center" wrapText="1"/>
    </xf>
    <xf numFmtId="0" fontId="20" fillId="0" borderId="0" xfId="0" applyFont="1" applyAlignment="1">
      <alignment vertical="center"/>
    </xf>
    <xf numFmtId="0" fontId="0" fillId="0" borderId="0" xfId="0" applyAlignment="1" applyProtection="1">
      <alignment horizontal="center" vertical="center" wrapText="1"/>
      <protection locked="0"/>
    </xf>
    <xf numFmtId="0" fontId="14" fillId="0" borderId="0" xfId="1" applyNumberFormat="1" applyFont="1" applyFill="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0" fillId="0" borderId="0" xfId="0" applyAlignment="1">
      <alignment vertical="center"/>
    </xf>
    <xf numFmtId="0" fontId="18" fillId="0" borderId="0" xfId="0" applyFont="1" applyAlignment="1">
      <alignment horizontal="center" vertical="center" wrapText="1"/>
    </xf>
    <xf numFmtId="0" fontId="18" fillId="4" borderId="0" xfId="0" applyFont="1" applyFill="1" applyAlignment="1">
      <alignment horizontal="center" vertical="center" wrapText="1"/>
    </xf>
    <xf numFmtId="0" fontId="21" fillId="5" borderId="0" xfId="10" applyAlignment="1" applyProtection="1">
      <alignment horizontal="center" vertical="center" wrapText="1"/>
      <protection locked="0"/>
    </xf>
    <xf numFmtId="0" fontId="23" fillId="7" borderId="0" xfId="12" applyAlignment="1" applyProtection="1">
      <alignment horizontal="center" vertical="center" wrapText="1"/>
      <protection locked="0"/>
    </xf>
    <xf numFmtId="0" fontId="22" fillId="6" borderId="0" xfId="11" applyAlignment="1" applyProtection="1">
      <alignment horizontal="center" vertical="center" wrapText="1"/>
      <protection locked="0"/>
    </xf>
    <xf numFmtId="0" fontId="10" fillId="2" borderId="3" xfId="0" applyFont="1" applyFill="1" applyBorder="1" applyAlignment="1">
      <alignment horizontal="center" vertical="center" wrapText="1"/>
    </xf>
    <xf numFmtId="166" fontId="0" fillId="0" borderId="4" xfId="0" applyNumberFormat="1" applyBorder="1" applyAlignment="1">
      <alignment horizontal="center" vertical="center" wrapText="1"/>
    </xf>
    <xf numFmtId="0" fontId="0" fillId="0" borderId="4" xfId="0" applyBorder="1" applyAlignment="1">
      <alignment horizontal="center" vertical="center" wrapText="1"/>
    </xf>
    <xf numFmtId="0" fontId="0" fillId="3" borderId="4" xfId="0" applyFill="1" applyBorder="1" applyAlignment="1">
      <alignment horizontal="center" vertical="center" wrapText="1"/>
    </xf>
    <xf numFmtId="0" fontId="7" fillId="0" borderId="4" xfId="1" applyNumberFormat="1" applyBorder="1" applyAlignment="1">
      <alignment horizontal="center" vertical="center" wrapText="1"/>
    </xf>
    <xf numFmtId="0" fontId="14" fillId="0" borderId="4" xfId="0" applyFont="1" applyBorder="1" applyAlignment="1">
      <alignment horizontal="center" vertical="center" wrapText="1"/>
    </xf>
    <xf numFmtId="0" fontId="0" fillId="0" borderId="0" xfId="0" pivotButton="1"/>
    <xf numFmtId="0" fontId="0" fillId="0" borderId="0" xfId="0" applyAlignment="1">
      <alignment horizontal="left"/>
    </xf>
    <xf numFmtId="166" fontId="0" fillId="0" borderId="0" xfId="0" applyNumberFormat="1" applyAlignment="1">
      <alignment horizontal="left"/>
    </xf>
    <xf numFmtId="2" fontId="0" fillId="0" borderId="0" xfId="0" applyNumberFormat="1"/>
    <xf numFmtId="167" fontId="0" fillId="3" borderId="4" xfId="0" applyNumberFormat="1" applyFill="1" applyBorder="1" applyAlignment="1">
      <alignment horizontal="center" vertical="center" wrapText="1"/>
    </xf>
    <xf numFmtId="167" fontId="0" fillId="0" borderId="4" xfId="0" applyNumberFormat="1" applyBorder="1" applyAlignment="1">
      <alignment horizontal="center" vertical="center" wrapText="1"/>
    </xf>
    <xf numFmtId="0" fontId="19" fillId="3" borderId="0" xfId="0" applyFont="1" applyFill="1"/>
    <xf numFmtId="0" fontId="0" fillId="0" borderId="0" xfId="0" applyAlignment="1">
      <alignment horizontal="left" vertical="center"/>
    </xf>
    <xf numFmtId="0" fontId="18" fillId="0" borderId="0" xfId="0" applyFont="1" applyAlignment="1">
      <alignment horizontal="left" vertical="center"/>
    </xf>
    <xf numFmtId="0" fontId="18" fillId="8" borderId="9" xfId="0" applyFont="1" applyFill="1" applyBorder="1" applyAlignment="1">
      <alignment horizontal="center" vertical="center" wrapText="1"/>
    </xf>
    <xf numFmtId="0" fontId="18" fillId="8" borderId="13" xfId="0" applyFont="1" applyFill="1" applyBorder="1" applyAlignment="1">
      <alignment horizontal="center" vertical="center" wrapText="1"/>
    </xf>
    <xf numFmtId="0" fontId="18" fillId="8" borderId="8" xfId="0" applyFont="1" applyFill="1" applyBorder="1" applyAlignment="1">
      <alignment horizontal="center" vertical="center" wrapText="1"/>
    </xf>
    <xf numFmtId="0" fontId="0" fillId="0" borderId="14" xfId="0" applyBorder="1" applyAlignment="1">
      <alignment horizontal="center" vertical="center" wrapText="1"/>
    </xf>
    <xf numFmtId="0" fontId="0" fillId="3" borderId="12" xfId="0" applyFill="1" applyBorder="1" applyAlignment="1">
      <alignment horizontal="center" vertical="center" wrapText="1"/>
    </xf>
    <xf numFmtId="166" fontId="0" fillId="0" borderId="12" xfId="0" applyNumberFormat="1" applyBorder="1" applyAlignment="1">
      <alignment horizontal="center" vertical="center" wrapText="1"/>
    </xf>
    <xf numFmtId="0" fontId="0" fillId="0" borderId="12" xfId="0" applyBorder="1" applyAlignment="1">
      <alignment horizontal="center" vertical="center" wrapText="1"/>
    </xf>
    <xf numFmtId="1" fontId="0" fillId="0" borderId="12" xfId="0" applyNumberFormat="1" applyBorder="1" applyAlignment="1">
      <alignment horizontal="center" vertical="center" wrapText="1"/>
    </xf>
    <xf numFmtId="9" fontId="0" fillId="3" borderId="12" xfId="13" applyFont="1" applyFill="1" applyBorder="1" applyAlignment="1">
      <alignment horizontal="center" vertical="center" wrapText="1"/>
    </xf>
    <xf numFmtId="168" fontId="0" fillId="0" borderId="12" xfId="0" applyNumberFormat="1" applyBorder="1" applyAlignment="1">
      <alignment horizontal="center" vertical="center" wrapText="1"/>
    </xf>
    <xf numFmtId="0" fontId="0" fillId="0" borderId="15" xfId="0" applyBorder="1" applyAlignment="1">
      <alignment horizontal="center" vertical="center" wrapText="1"/>
    </xf>
    <xf numFmtId="0" fontId="0" fillId="0" borderId="7" xfId="0" applyBorder="1" applyAlignment="1">
      <alignment horizontal="center" vertical="center" wrapText="1"/>
    </xf>
    <xf numFmtId="0" fontId="0" fillId="3" borderId="5" xfId="0" applyFill="1" applyBorder="1" applyAlignment="1">
      <alignment horizontal="center" vertical="center" wrapText="1"/>
    </xf>
    <xf numFmtId="166" fontId="0" fillId="0" borderId="5" xfId="0" applyNumberFormat="1" applyBorder="1" applyAlignment="1">
      <alignment horizontal="center" vertical="center" wrapText="1"/>
    </xf>
    <xf numFmtId="0" fontId="0" fillId="0" borderId="5" xfId="0" applyBorder="1" applyAlignment="1">
      <alignment horizontal="center" vertical="center" wrapText="1"/>
    </xf>
    <xf numFmtId="1" fontId="0" fillId="0" borderId="5" xfId="0" applyNumberFormat="1" applyBorder="1" applyAlignment="1">
      <alignment horizontal="center" vertical="center" wrapText="1"/>
    </xf>
    <xf numFmtId="9" fontId="0" fillId="3" borderId="5" xfId="13" applyFont="1" applyFill="1" applyBorder="1" applyAlignment="1">
      <alignment horizontal="center" vertical="center" wrapText="1"/>
    </xf>
    <xf numFmtId="168" fontId="0" fillId="0" borderId="5" xfId="0" applyNumberFormat="1" applyBorder="1" applyAlignment="1">
      <alignment horizontal="center" vertical="center" wrapText="1"/>
    </xf>
    <xf numFmtId="0" fontId="0" fillId="0" borderId="6" xfId="0" applyBorder="1" applyAlignment="1">
      <alignment horizontal="center" vertical="center" wrapText="1"/>
    </xf>
    <xf numFmtId="9" fontId="0" fillId="0" borderId="0" xfId="0" applyNumberFormat="1"/>
    <xf numFmtId="168" fontId="0" fillId="0" borderId="0" xfId="0" applyNumberFormat="1"/>
    <xf numFmtId="164" fontId="0" fillId="0" borderId="0" xfId="0" applyNumberFormat="1" applyAlignment="1">
      <alignment horizontal="center"/>
    </xf>
    <xf numFmtId="0" fontId="3" fillId="0" borderId="0" xfId="0" applyFont="1" applyAlignment="1">
      <alignment horizontal="right"/>
    </xf>
    <xf numFmtId="0" fontId="3" fillId="0" borderId="0" xfId="0" applyFont="1" applyAlignment="1">
      <alignment horizontal="left"/>
    </xf>
    <xf numFmtId="0" fontId="3" fillId="0" borderId="0" xfId="0" applyFont="1"/>
    <xf numFmtId="0" fontId="6" fillId="0" borderId="0" xfId="0" applyFont="1" applyAlignment="1">
      <alignment horizontal="right"/>
    </xf>
    <xf numFmtId="0" fontId="24" fillId="9" borderId="11" xfId="0" applyFont="1" applyFill="1" applyBorder="1" applyAlignment="1">
      <alignment horizontal="center" vertical="center"/>
    </xf>
    <xf numFmtId="0" fontId="24" fillId="9" borderId="10" xfId="0" applyFont="1" applyFill="1" applyBorder="1" applyAlignment="1">
      <alignment horizontal="center" vertical="center"/>
    </xf>
    <xf numFmtId="9" fontId="25" fillId="0" borderId="16" xfId="13" applyFont="1" applyFill="1" applyBorder="1" applyAlignment="1">
      <alignment horizontal="center" vertical="center"/>
    </xf>
    <xf numFmtId="9" fontId="25" fillId="0" borderId="17" xfId="13" applyFont="1" applyFill="1" applyBorder="1" applyAlignment="1">
      <alignment horizontal="center" vertical="center"/>
    </xf>
    <xf numFmtId="9" fontId="25" fillId="0" borderId="18" xfId="13" applyFont="1" applyFill="1" applyBorder="1" applyAlignment="1">
      <alignment horizontal="center" vertical="center"/>
    </xf>
    <xf numFmtId="9" fontId="25" fillId="0" borderId="19" xfId="13" applyFont="1" applyFill="1" applyBorder="1" applyAlignment="1">
      <alignment horizontal="center" vertical="center"/>
    </xf>
    <xf numFmtId="9" fontId="25" fillId="0" borderId="20" xfId="13" applyFont="1" applyFill="1" applyBorder="1" applyAlignment="1">
      <alignment horizontal="center" vertical="center"/>
    </xf>
    <xf numFmtId="9" fontId="25" fillId="0" borderId="21" xfId="13" applyFont="1" applyFill="1" applyBorder="1" applyAlignment="1">
      <alignment horizontal="center" vertical="center"/>
    </xf>
    <xf numFmtId="0" fontId="25" fillId="0" borderId="16" xfId="0" applyFont="1" applyBorder="1" applyAlignment="1">
      <alignment horizontal="center" vertical="center"/>
    </xf>
    <xf numFmtId="0" fontId="25" fillId="0" borderId="17" xfId="0" applyFont="1" applyBorder="1" applyAlignment="1">
      <alignment horizontal="center" vertical="center"/>
    </xf>
    <xf numFmtId="0" fontId="25" fillId="0" borderId="18" xfId="0" applyFont="1" applyBorder="1" applyAlignment="1">
      <alignment horizontal="center" vertical="center"/>
    </xf>
    <xf numFmtId="0" fontId="25" fillId="0" borderId="19" xfId="0" applyFont="1" applyBorder="1" applyAlignment="1">
      <alignment horizontal="center" vertical="center"/>
    </xf>
    <xf numFmtId="0" fontId="25" fillId="0" borderId="20" xfId="0" applyFont="1" applyBorder="1" applyAlignment="1">
      <alignment horizontal="center" vertical="center"/>
    </xf>
    <xf numFmtId="0" fontId="25" fillId="0" borderId="21" xfId="0" applyFont="1" applyBorder="1" applyAlignment="1">
      <alignment horizontal="center" vertical="center"/>
    </xf>
    <xf numFmtId="168" fontId="25" fillId="0" borderId="16" xfId="0" applyNumberFormat="1" applyFont="1" applyBorder="1" applyAlignment="1">
      <alignment horizontal="center" vertical="center"/>
    </xf>
    <xf numFmtId="168" fontId="25" fillId="0" borderId="17" xfId="0" applyNumberFormat="1" applyFont="1" applyBorder="1" applyAlignment="1">
      <alignment horizontal="center" vertical="center"/>
    </xf>
    <xf numFmtId="168" fontId="25" fillId="0" borderId="18" xfId="0" applyNumberFormat="1" applyFont="1" applyBorder="1" applyAlignment="1">
      <alignment horizontal="center" vertical="center"/>
    </xf>
    <xf numFmtId="168" fontId="25" fillId="0" borderId="19" xfId="0" applyNumberFormat="1" applyFont="1" applyBorder="1" applyAlignment="1">
      <alignment horizontal="center" vertical="center"/>
    </xf>
    <xf numFmtId="168" fontId="25" fillId="0" borderId="20" xfId="0" applyNumberFormat="1" applyFont="1" applyBorder="1" applyAlignment="1">
      <alignment horizontal="center" vertical="center"/>
    </xf>
    <xf numFmtId="168" fontId="25" fillId="0" borderId="21" xfId="0" applyNumberFormat="1" applyFont="1" applyBorder="1" applyAlignment="1">
      <alignment horizontal="center" vertical="center"/>
    </xf>
    <xf numFmtId="0" fontId="19" fillId="3" borderId="0" xfId="0" applyFont="1" applyFill="1" applyAlignment="1">
      <alignment horizontal="center"/>
    </xf>
  </cellXfs>
  <cellStyles count="14">
    <cellStyle name="Bad" xfId="11" builtinId="27"/>
    <cellStyle name="Comma 2" xfId="6" xr:uid="{70B95B68-42E5-4134-B60C-D53D63EA8C64}"/>
    <cellStyle name="Comma 3" xfId="9" xr:uid="{E6060E65-816D-42A3-BC2B-BC7AE08DF09F}"/>
    <cellStyle name="Good" xfId="10" builtinId="26"/>
    <cellStyle name="Hyperlink" xfId="1" builtinId="8"/>
    <cellStyle name="Neutral" xfId="12" builtinId="28"/>
    <cellStyle name="Normal" xfId="0" builtinId="0"/>
    <cellStyle name="Normal 2" xfId="2" xr:uid="{630AB955-5629-4F25-81F3-D0850CCA2D8B}"/>
    <cellStyle name="Normal 2 2" xfId="3" xr:uid="{BBC0A887-27F1-430C-A62B-8FDD810F3453}"/>
    <cellStyle name="Normal 3" xfId="4" xr:uid="{19553023-A532-4B21-B780-2F68384C80B9}"/>
    <cellStyle name="Normal 4" xfId="7" xr:uid="{9C62A56D-8BFB-43DA-B794-93EBCA984803}"/>
    <cellStyle name="Percent" xfId="13" builtinId="5"/>
    <cellStyle name="Percent 2" xfId="5" xr:uid="{1D541CDC-ACE8-4B54-AB6D-F143BBC82663}"/>
    <cellStyle name="Percent 3" xfId="8" xr:uid="{C04F5020-2218-4635-A7A5-19093E1C865B}"/>
  </cellStyles>
  <dxfs count="64">
    <dxf>
      <numFmt numFmtId="2" formatCode="0.00"/>
    </dxf>
    <dxf>
      <alignment horizontal="center"/>
    </dxf>
    <dxf>
      <numFmt numFmtId="164" formatCode="_(* #,##0_);_(* \(#,##0\);_(* &quot;-&quot;_);_(@_)"/>
    </dxf>
    <dxf>
      <numFmt numFmtId="13" formatCode="0%"/>
    </dxf>
    <dxf>
      <numFmt numFmtId="168" formatCode="&quot;$&quot;#,##0"/>
    </dxf>
    <dxf>
      <numFmt numFmtId="13" formatCode="0%"/>
    </dxf>
    <dxf>
      <alignment horizontal="center" vertical="center" textRotation="0" wrapText="1" indent="0" justifyLastLine="0" shrinkToFit="0" readingOrder="0"/>
      <border diagonalUp="0" diagonalDown="0" outline="0">
        <left style="thin">
          <color theme="0" tint="-0.14993743705557422"/>
        </left>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8" formatCode="&quot;$&quot;#,##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8" formatCode="&quot;$&quot;#,##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 formatCode="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 formatCode="0"/>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6" formatCode="[$-409]d\-mmm\-yy;@"/>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numFmt numFmtId="166" formatCode="[$-409]d\-mmm\-yy;@"/>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style="thin">
          <color theme="0" tint="-0.14993743705557422"/>
        </top>
        <bottom style="thin">
          <color theme="0" tint="-0.14993743705557422"/>
        </bottom>
      </border>
    </dxf>
    <dxf>
      <alignment horizontal="center" vertical="center" textRotation="0" wrapText="1" indent="0" justifyLastLine="0" shrinkToFit="0" readingOrder="0"/>
      <border diagonalUp="0" diagonalDown="0" outline="0">
        <left/>
        <right style="thin">
          <color theme="0" tint="-0.14993743705557422"/>
        </right>
        <top style="thin">
          <color theme="0" tint="-0.14993743705557422"/>
        </top>
        <bottom style="thin">
          <color theme="0" tint="-0.14993743705557422"/>
        </bottom>
      </border>
    </dxf>
    <dxf>
      <border>
        <top style="thin">
          <color theme="0" tint="-0.14993743705557422"/>
        </top>
      </border>
    </dxf>
    <dxf>
      <border diagonalUp="0" diagonalDown="0">
        <left style="thin">
          <color theme="0" tint="-0.14993743705557422"/>
        </left>
        <right style="thin">
          <color theme="0" tint="-0.14993743705557422"/>
        </right>
        <top style="thin">
          <color theme="0" tint="-0.14993743705557422"/>
        </top>
        <bottom style="thin">
          <color theme="0" tint="-0.14993743705557422"/>
        </bottom>
      </border>
    </dxf>
    <dxf>
      <alignment horizontal="center" vertical="center" textRotation="0" wrapText="1" indent="0" justifyLastLine="0" shrinkToFit="0" readingOrder="0"/>
    </dxf>
    <dxf>
      <border>
        <bottom style="thin">
          <color theme="0" tint="-0.14993743705557422"/>
        </bottom>
      </border>
    </dxf>
    <dxf>
      <font>
        <b val="0"/>
        <i val="0"/>
        <strike val="0"/>
        <condense val="0"/>
        <extend val="0"/>
        <outline val="0"/>
        <shadow val="0"/>
        <u val="none"/>
        <vertAlign val="baseline"/>
        <sz val="10"/>
        <color theme="0"/>
        <name val="Arial"/>
        <family val="2"/>
        <scheme val="none"/>
      </font>
      <fill>
        <patternFill patternType="solid">
          <fgColor indexed="64"/>
          <bgColor rgb="FF8FCFAD"/>
        </patternFill>
      </fill>
      <alignment horizontal="center" vertical="center" textRotation="0" wrapText="1" indent="0" justifyLastLine="0" shrinkToFit="0" readingOrder="0"/>
      <border diagonalUp="0" diagonalDown="0">
        <left style="thin">
          <color theme="0" tint="-0.14993743705557422"/>
        </left>
        <right style="thin">
          <color theme="0" tint="-0.14993743705557422"/>
        </right>
        <top/>
        <bottom/>
        <vertical style="thin">
          <color theme="0" tint="-0.14993743705557422"/>
        </vertical>
        <horizontal style="thin">
          <color theme="0" tint="-0.14993743705557422"/>
        </horizontal>
      </border>
    </dxf>
    <dxf>
      <font>
        <color rgb="FF9C5700"/>
      </font>
      <fill>
        <patternFill>
          <bgColor rgb="FFFFEB9C"/>
        </patternFill>
      </fill>
    </dxf>
    <dxf>
      <font>
        <color rgb="FF006100"/>
      </font>
      <fill>
        <patternFill>
          <bgColor rgb="FFC6EFCE"/>
        </patternFill>
      </fill>
    </dxf>
    <dxf>
      <font>
        <color theme="0"/>
      </font>
      <fill>
        <patternFill>
          <bgColor theme="0" tint="-0.34998626667073579"/>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tint="-0.34998626667073579"/>
      </font>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font>
        <strike val="0"/>
        <outline val="0"/>
        <shadow val="0"/>
        <u val="none"/>
        <vertAlign val="baseline"/>
        <sz val="10"/>
        <color auto="1"/>
        <name val="Arial"/>
        <family val="2"/>
        <scheme val="none"/>
      </font>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font>
        <strike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style="thin">
          <color theme="0" tint="-0.14990691854609822"/>
        </vertical>
        <horizontal style="thin">
          <color theme="0" tint="-0.14990691854609822"/>
        </horizontal>
      </border>
    </dxf>
    <dxf>
      <numFmt numFmtId="0" formatCode="Genera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7" formatCode="mmm"/>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7" formatCode="mmm"/>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6" formatCode="[$-409]d\-mmm\-yy;@"/>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border>
        <top style="thin">
          <color theme="0" tint="-0.14993743705557422"/>
        </top>
      </border>
    </dxf>
    <dxf>
      <border diagonalUp="0" diagonalDown="0">
        <left style="thin">
          <color theme="0" tint="-0.14993743705557422"/>
        </left>
        <right style="thin">
          <color theme="0" tint="-0.14993743705557422"/>
        </right>
        <top style="thin">
          <color theme="0" tint="-0.14993743705557422"/>
        </top>
        <bottom style="thin">
          <color theme="0" tint="-0.14993743705557422"/>
        </bottom>
      </border>
    </dxf>
    <dxf>
      <numFmt numFmtId="0" formatCode="General"/>
      <alignment horizontal="general" vertical="center" textRotation="0" wrapText="1" indent="0" justifyLastLine="0" shrinkToFit="0" readingOrder="0"/>
    </dxf>
    <dxf>
      <border>
        <bottom style="thin">
          <color theme="0" tint="-0.14993743705557422"/>
        </bottom>
      </border>
    </dxf>
    <dxf>
      <font>
        <b val="0"/>
        <i val="0"/>
        <strike val="0"/>
        <condense val="0"/>
        <extend val="0"/>
        <outline val="0"/>
        <shadow val="0"/>
        <u val="none"/>
        <vertAlign val="baseline"/>
        <sz val="12"/>
        <color theme="0"/>
        <name val="Arial"/>
        <family val="2"/>
        <scheme val="none"/>
      </font>
      <fill>
        <patternFill patternType="solid">
          <fgColor indexed="64"/>
          <bgColor rgb="FF50B47F"/>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bottom/>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border diagonalUp="0" diagonalDown="0">
        <left/>
        <right/>
        <top/>
        <bottom/>
        <vertical/>
        <horizontal/>
      </border>
    </dxf>
    <dxf>
      <fill>
        <patternFill>
          <bgColor rgb="FF8FCFAD"/>
        </patternFill>
      </fill>
    </dxf>
    <dxf>
      <fill>
        <patternFill>
          <bgColor rgb="FF8FCFAD"/>
        </patternFill>
      </fill>
    </dxf>
    <dxf>
      <font>
        <color auto="1"/>
      </font>
      <fill>
        <patternFill patternType="none">
          <bgColor auto="1"/>
        </patternFill>
      </fill>
    </dxf>
    <dxf>
      <fill>
        <patternFill>
          <bgColor rgb="FF8FCFAD"/>
        </patternFill>
      </fill>
    </dxf>
    <dxf>
      <fill>
        <patternFill>
          <bgColor rgb="FF8FCFAD"/>
        </patternFill>
      </fill>
    </dxf>
    <dxf>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s>
  <tableStyles count="5" defaultTableStyle="TableStyleMedium2" defaultPivotStyle="PivotStyleLight16">
    <tableStyle name="Invisible" pivot="0" table="0" count="0" xr9:uid="{21F89FA7-DE34-43B6-A06C-A41CD8BC7F1F}"/>
    <tableStyle name="PivotTable Style 1" table="0" count="6" xr9:uid="{3831004B-067D-418F-BD50-A3986E0D4865}">
      <tableStyleElement type="wholeTable" dxfId="63"/>
      <tableStyleElement type="headerRow" dxfId="62"/>
      <tableStyleElement type="totalRow" dxfId="61"/>
      <tableStyleElement type="lastColumn" dxfId="60"/>
      <tableStyleElement type="pageFieldLabels" dxfId="59"/>
      <tableStyleElement type="pageFieldValues" dxfId="58"/>
    </tableStyle>
    <tableStyle name="Slicer Style 1" pivot="0" table="0" count="8" xr9:uid="{6B0103B1-AE5E-4E9B-A35E-CDD51150C899}">
      <tableStyleElement type="wholeTable" dxfId="57"/>
    </tableStyle>
    <tableStyle name="Slicer Style 1 2" pivot="0" table="0" count="8" xr9:uid="{121112F6-CD7D-4975-B100-08E955851BB0}">
      <tableStyleElement type="wholeTable" dxfId="56"/>
    </tableStyle>
    <tableStyle name="Timeline Style 1" pivot="0" table="0" count="8" xr9:uid="{E7FBEFCC-9E91-45D6-9FD4-D3137AAC2CB6}">
      <tableStyleElement type="wholeTable" dxfId="55"/>
      <tableStyleElement type="headerRow" dxfId="54"/>
    </tableStyle>
  </tableStyles>
  <colors>
    <mruColors>
      <color rgb="FF8FCFAD"/>
      <color rgb="FF50B47F"/>
      <color rgb="FFF74F4F"/>
      <color rgb="FFFF6565"/>
      <color rgb="FFFF6161"/>
      <color rgb="FF8A0000"/>
      <color rgb="FFFF5353"/>
      <color rgb="FFFF9797"/>
      <color rgb="FFFF3B3B"/>
      <color rgb="FFFFF5D9"/>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7/relationships/slicerCache" Target="slicerCaches/slicerCache9.xml"/><Relationship Id="rId25" Type="http://schemas.openxmlformats.org/officeDocument/2006/relationships/customXml" Target="../customXml/item4.xml"/><Relationship Id="rId2" Type="http://schemas.openxmlformats.org/officeDocument/2006/relationships/worksheet" Target="worksheets/sheet2.xml"/><Relationship Id="rId16" Type="http://schemas.microsoft.com/office/2007/relationships/slicerCache" Target="slicerCaches/slicerCache8.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7.xml"/><Relationship Id="rId23" Type="http://schemas.openxmlformats.org/officeDocument/2006/relationships/customXml" Target="../customXml/item2.xml"/><Relationship Id="rId10" Type="http://schemas.microsoft.com/office/2007/relationships/slicerCache" Target="slicerCaches/slicerCache2.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 Campaign Management.xlsm]Helper Sheet!Target</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Monthly Target vs Actual</a:t>
            </a:r>
            <a:r>
              <a:rPr lang="en-US" sz="1200" baseline="0"/>
              <a:t> </a:t>
            </a:r>
            <a:endParaRPr lang="en-US" sz="1200"/>
          </a:p>
        </c:rich>
      </c:tx>
      <c:layout>
        <c:manualLayout>
          <c:xMode val="edge"/>
          <c:yMode val="edge"/>
          <c:x val="0.34247367657908534"/>
          <c:y val="0.160227376034235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12270341207348E-2"/>
          <c:y val="0.25211524771483457"/>
          <c:w val="0.9723217410323709"/>
          <c:h val="0.56386705936544701"/>
        </c:manualLayout>
      </c:layout>
      <c:barChart>
        <c:barDir val="col"/>
        <c:grouping val="clustered"/>
        <c:varyColors val="0"/>
        <c:ser>
          <c:idx val="0"/>
          <c:order val="0"/>
          <c:tx>
            <c:strRef>
              <c:f>'Helper Sheet'!$C$3</c:f>
              <c:strCache>
                <c:ptCount val="1"/>
                <c:pt idx="0">
                  <c:v>Total Topics</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Sheet'!$B$4:$B$11</c:f>
              <c:strCache>
                <c:ptCount val="7"/>
                <c:pt idx="0">
                  <c:v>Category 4</c:v>
                </c:pt>
                <c:pt idx="1">
                  <c:v>Category 5</c:v>
                </c:pt>
                <c:pt idx="2">
                  <c:v>Category 6</c:v>
                </c:pt>
                <c:pt idx="3">
                  <c:v>Category 7</c:v>
                </c:pt>
                <c:pt idx="4">
                  <c:v>Feature Story</c:v>
                </c:pt>
                <c:pt idx="5">
                  <c:v>Review</c:v>
                </c:pt>
                <c:pt idx="6">
                  <c:v>Trend</c:v>
                </c:pt>
              </c:strCache>
            </c:strRef>
          </c:cat>
          <c:val>
            <c:numRef>
              <c:f>'Helper Sheet'!$C$4:$C$11</c:f>
              <c:numCache>
                <c:formatCode>General</c:formatCode>
                <c:ptCount val="7"/>
                <c:pt idx="0">
                  <c:v>29</c:v>
                </c:pt>
                <c:pt idx="1">
                  <c:v>23</c:v>
                </c:pt>
                <c:pt idx="2">
                  <c:v>19</c:v>
                </c:pt>
                <c:pt idx="3">
                  <c:v>29</c:v>
                </c:pt>
                <c:pt idx="4">
                  <c:v>25</c:v>
                </c:pt>
                <c:pt idx="5">
                  <c:v>27</c:v>
                </c:pt>
                <c:pt idx="6">
                  <c:v>34</c:v>
                </c:pt>
              </c:numCache>
            </c:numRef>
          </c:val>
          <c:extLst>
            <c:ext xmlns:c16="http://schemas.microsoft.com/office/drawing/2014/chart" uri="{C3380CC4-5D6E-409C-BE32-E72D297353CC}">
              <c16:uniqueId val="{00000000-52E0-44ED-A8BF-0ED3CB89B1EF}"/>
            </c:ext>
          </c:extLst>
        </c:ser>
        <c:ser>
          <c:idx val="1"/>
          <c:order val="1"/>
          <c:tx>
            <c:strRef>
              <c:f>'Helper Sheet'!$D$3</c:f>
              <c:strCache>
                <c:ptCount val="1"/>
                <c:pt idx="0">
                  <c:v>Monthly Placement Target.</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Sheet'!$B$4:$B$11</c:f>
              <c:strCache>
                <c:ptCount val="7"/>
                <c:pt idx="0">
                  <c:v>Category 4</c:v>
                </c:pt>
                <c:pt idx="1">
                  <c:v>Category 5</c:v>
                </c:pt>
                <c:pt idx="2">
                  <c:v>Category 6</c:v>
                </c:pt>
                <c:pt idx="3">
                  <c:v>Category 7</c:v>
                </c:pt>
                <c:pt idx="4">
                  <c:v>Feature Story</c:v>
                </c:pt>
                <c:pt idx="5">
                  <c:v>Review</c:v>
                </c:pt>
                <c:pt idx="6">
                  <c:v>Trend</c:v>
                </c:pt>
              </c:strCache>
            </c:strRef>
          </c:cat>
          <c:val>
            <c:numRef>
              <c:f>'Helper Sheet'!$D$4:$D$11</c:f>
              <c:numCache>
                <c:formatCode>General</c:formatCode>
                <c:ptCount val="7"/>
                <c:pt idx="0">
                  <c:v>20</c:v>
                </c:pt>
                <c:pt idx="1">
                  <c:v>40</c:v>
                </c:pt>
                <c:pt idx="2">
                  <c:v>40</c:v>
                </c:pt>
                <c:pt idx="3">
                  <c:v>30</c:v>
                </c:pt>
                <c:pt idx="4">
                  <c:v>20</c:v>
                </c:pt>
                <c:pt idx="5">
                  <c:v>20</c:v>
                </c:pt>
                <c:pt idx="6">
                  <c:v>30</c:v>
                </c:pt>
              </c:numCache>
            </c:numRef>
          </c:val>
          <c:extLst>
            <c:ext xmlns:c16="http://schemas.microsoft.com/office/drawing/2014/chart" uri="{C3380CC4-5D6E-409C-BE32-E72D297353CC}">
              <c16:uniqueId val="{00000001-52E0-44ED-A8BF-0ED3CB89B1EF}"/>
            </c:ext>
          </c:extLst>
        </c:ser>
        <c:dLbls>
          <c:showLegendKey val="0"/>
          <c:showVal val="0"/>
          <c:showCatName val="0"/>
          <c:showSerName val="0"/>
          <c:showPercent val="0"/>
          <c:showBubbleSize val="0"/>
        </c:dLbls>
        <c:gapWidth val="150"/>
        <c:axId val="947986160"/>
        <c:axId val="947994896"/>
      </c:barChart>
      <c:catAx>
        <c:axId val="947986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47994896"/>
        <c:crosses val="autoZero"/>
        <c:auto val="1"/>
        <c:lblAlgn val="ctr"/>
        <c:lblOffset val="100"/>
        <c:noMultiLvlLbl val="0"/>
      </c:catAx>
      <c:valAx>
        <c:axId val="947994896"/>
        <c:scaling>
          <c:orientation val="minMax"/>
        </c:scaling>
        <c:delete val="1"/>
        <c:axPos val="l"/>
        <c:numFmt formatCode="General" sourceLinked="1"/>
        <c:majorTickMark val="none"/>
        <c:minorTickMark val="none"/>
        <c:tickLblPos val="nextTo"/>
        <c:crossAx val="947986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 Campaign Management.xlsm]Helper Sheet!favorability</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a:t>Article Favorability</a:t>
            </a:r>
          </a:p>
        </c:rich>
      </c:tx>
      <c:layout>
        <c:manualLayout>
          <c:xMode val="edge"/>
          <c:yMode val="edge"/>
          <c:x val="0.32946206896551727"/>
          <c:y val="2.580645161290322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00000"/>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9"/>
        <c:spPr>
          <a:solidFill>
            <a:srgbClr val="8FCFAD"/>
          </a:solidFill>
          <a:ln>
            <a:noFill/>
          </a:ln>
          <a:effectLst/>
        </c:spPr>
      </c:pivotFmt>
    </c:pivotFmts>
    <c:plotArea>
      <c:layout>
        <c:manualLayout>
          <c:layoutTarget val="inner"/>
          <c:xMode val="edge"/>
          <c:yMode val="edge"/>
          <c:x val="4.3888134672821063E-3"/>
          <c:y val="0"/>
          <c:w val="0.99082921531360302"/>
          <c:h val="0.97534247107270611"/>
        </c:manualLayout>
      </c:layout>
      <c:barChart>
        <c:barDir val="bar"/>
        <c:grouping val="percentStacked"/>
        <c:varyColors val="0"/>
        <c:ser>
          <c:idx val="0"/>
          <c:order val="0"/>
          <c:tx>
            <c:strRef>
              <c:f>'Helper Sheet'!$G$3:$G$4</c:f>
              <c:strCache>
                <c:ptCount val="1"/>
                <c:pt idx="0">
                  <c:v>Negative</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Sheet'!$F$5</c:f>
              <c:strCache>
                <c:ptCount val="1"/>
                <c:pt idx="0">
                  <c:v>Total</c:v>
                </c:pt>
              </c:strCache>
            </c:strRef>
          </c:cat>
          <c:val>
            <c:numRef>
              <c:f>'Helper Sheet'!$G$5</c:f>
              <c:numCache>
                <c:formatCode>General</c:formatCode>
                <c:ptCount val="1"/>
                <c:pt idx="0">
                  <c:v>52</c:v>
                </c:pt>
              </c:numCache>
            </c:numRef>
          </c:val>
          <c:extLst>
            <c:ext xmlns:c16="http://schemas.microsoft.com/office/drawing/2014/chart" uri="{C3380CC4-5D6E-409C-BE32-E72D297353CC}">
              <c16:uniqueId val="{00000000-312B-4F56-94F9-7B9281E5214E}"/>
            </c:ext>
          </c:extLst>
        </c:ser>
        <c:ser>
          <c:idx val="1"/>
          <c:order val="1"/>
          <c:tx>
            <c:strRef>
              <c:f>'Helper Sheet'!$H$3:$H$4</c:f>
              <c:strCache>
                <c:ptCount val="1"/>
                <c:pt idx="0">
                  <c:v>Neutral</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Sheet'!$F$5</c:f>
              <c:strCache>
                <c:ptCount val="1"/>
                <c:pt idx="0">
                  <c:v>Total</c:v>
                </c:pt>
              </c:strCache>
            </c:strRef>
          </c:cat>
          <c:val>
            <c:numRef>
              <c:f>'Helper Sheet'!$H$5</c:f>
              <c:numCache>
                <c:formatCode>General</c:formatCode>
                <c:ptCount val="1"/>
                <c:pt idx="0">
                  <c:v>60</c:v>
                </c:pt>
              </c:numCache>
            </c:numRef>
          </c:val>
          <c:extLst>
            <c:ext xmlns:c16="http://schemas.microsoft.com/office/drawing/2014/chart" uri="{C3380CC4-5D6E-409C-BE32-E72D297353CC}">
              <c16:uniqueId val="{00000001-312B-4F56-94F9-7B9281E5214E}"/>
            </c:ext>
          </c:extLst>
        </c:ser>
        <c:ser>
          <c:idx val="2"/>
          <c:order val="2"/>
          <c:tx>
            <c:strRef>
              <c:f>'Helper Sheet'!$I$3:$I$4</c:f>
              <c:strCache>
                <c:ptCount val="1"/>
                <c:pt idx="0">
                  <c:v>Positive</c:v>
                </c:pt>
              </c:strCache>
            </c:strRef>
          </c:tx>
          <c:spPr>
            <a:solidFill>
              <a:schemeClr val="accent3"/>
            </a:solidFill>
            <a:ln>
              <a:noFill/>
            </a:ln>
            <a:effectLst/>
          </c:spPr>
          <c:invertIfNegative val="0"/>
          <c:dPt>
            <c:idx val="0"/>
            <c:invertIfNegative val="0"/>
            <c:bubble3D val="0"/>
            <c:spPr>
              <a:solidFill>
                <a:srgbClr val="8FCFAD"/>
              </a:solidFill>
              <a:ln>
                <a:noFill/>
              </a:ln>
              <a:effectLst/>
            </c:spPr>
            <c:extLst>
              <c:ext xmlns:c16="http://schemas.microsoft.com/office/drawing/2014/chart" uri="{C3380CC4-5D6E-409C-BE32-E72D297353CC}">
                <c16:uniqueId val="{00000001-38B2-4D60-84C0-35D7BC2210D8}"/>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Sheet'!$F$5</c:f>
              <c:strCache>
                <c:ptCount val="1"/>
                <c:pt idx="0">
                  <c:v>Total</c:v>
                </c:pt>
              </c:strCache>
            </c:strRef>
          </c:cat>
          <c:val>
            <c:numRef>
              <c:f>'Helper Sheet'!$I$5</c:f>
              <c:numCache>
                <c:formatCode>General</c:formatCode>
                <c:ptCount val="1"/>
                <c:pt idx="0">
                  <c:v>74</c:v>
                </c:pt>
              </c:numCache>
            </c:numRef>
          </c:val>
          <c:extLst>
            <c:ext xmlns:c16="http://schemas.microsoft.com/office/drawing/2014/chart" uri="{C3380CC4-5D6E-409C-BE32-E72D297353CC}">
              <c16:uniqueId val="{00000007-312B-4F56-94F9-7B9281E5214E}"/>
            </c:ext>
          </c:extLst>
        </c:ser>
        <c:dLbls>
          <c:dLblPos val="ctr"/>
          <c:showLegendKey val="0"/>
          <c:showVal val="1"/>
          <c:showCatName val="0"/>
          <c:showSerName val="0"/>
          <c:showPercent val="0"/>
          <c:showBubbleSize val="0"/>
        </c:dLbls>
        <c:gapWidth val="150"/>
        <c:overlap val="100"/>
        <c:axId val="1914897632"/>
        <c:axId val="1914895136"/>
      </c:barChart>
      <c:catAx>
        <c:axId val="1914897632"/>
        <c:scaling>
          <c:orientation val="minMax"/>
        </c:scaling>
        <c:delete val="1"/>
        <c:axPos val="l"/>
        <c:numFmt formatCode="General" sourceLinked="1"/>
        <c:majorTickMark val="none"/>
        <c:minorTickMark val="none"/>
        <c:tickLblPos val="nextTo"/>
        <c:crossAx val="1914895136"/>
        <c:crosses val="autoZero"/>
        <c:auto val="1"/>
        <c:lblAlgn val="ctr"/>
        <c:lblOffset val="100"/>
        <c:noMultiLvlLbl val="0"/>
      </c:catAx>
      <c:valAx>
        <c:axId val="1914895136"/>
        <c:scaling>
          <c:orientation val="minMax"/>
        </c:scaling>
        <c:delete val="1"/>
        <c:axPos val="b"/>
        <c:numFmt formatCode="0%" sourceLinked="1"/>
        <c:majorTickMark val="none"/>
        <c:minorTickMark val="none"/>
        <c:tickLblPos val="nextTo"/>
        <c:crossAx val="1914897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 Campaign Management.xlsm]Helper Sheet!monthly</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cmpd="dbl">
            <a:solidFill>
              <a:schemeClr val="bg1">
                <a:lumMod val="65000"/>
              </a:schemeClr>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555555555555558E-3"/>
          <c:y val="0.08"/>
          <c:w val="0.99444444444444446"/>
          <c:h val="0.75128532569792417"/>
        </c:manualLayout>
      </c:layout>
      <c:lineChart>
        <c:grouping val="standard"/>
        <c:varyColors val="0"/>
        <c:ser>
          <c:idx val="0"/>
          <c:order val="0"/>
          <c:tx>
            <c:strRef>
              <c:f>'Helper Sheet'!$M$3</c:f>
              <c:strCache>
                <c:ptCount val="1"/>
                <c:pt idx="0">
                  <c:v>Total</c:v>
                </c:pt>
              </c:strCache>
            </c:strRef>
          </c:tx>
          <c:spPr>
            <a:ln w="28575" cap="rnd" cmpd="dbl">
              <a:solidFill>
                <a:schemeClr val="bg1">
                  <a:lumMod val="6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Sheet'!$L$4:$L$10</c:f>
              <c:strCache>
                <c:ptCount val="6"/>
                <c:pt idx="0">
                  <c:v>Jan</c:v>
                </c:pt>
                <c:pt idx="1">
                  <c:v>Aug</c:v>
                </c:pt>
                <c:pt idx="2">
                  <c:v>Sep</c:v>
                </c:pt>
                <c:pt idx="3">
                  <c:v>Oct</c:v>
                </c:pt>
                <c:pt idx="4">
                  <c:v>Nov</c:v>
                </c:pt>
                <c:pt idx="5">
                  <c:v>Dec</c:v>
                </c:pt>
              </c:strCache>
            </c:strRef>
          </c:cat>
          <c:val>
            <c:numRef>
              <c:f>'Helper Sheet'!$M$4:$M$10</c:f>
              <c:numCache>
                <c:formatCode>General</c:formatCode>
                <c:ptCount val="6"/>
                <c:pt idx="0">
                  <c:v>35</c:v>
                </c:pt>
                <c:pt idx="1">
                  <c:v>4</c:v>
                </c:pt>
                <c:pt idx="2">
                  <c:v>33</c:v>
                </c:pt>
                <c:pt idx="3">
                  <c:v>41</c:v>
                </c:pt>
                <c:pt idx="4">
                  <c:v>39</c:v>
                </c:pt>
                <c:pt idx="5">
                  <c:v>34</c:v>
                </c:pt>
              </c:numCache>
            </c:numRef>
          </c:val>
          <c:smooth val="0"/>
          <c:extLst>
            <c:ext xmlns:c16="http://schemas.microsoft.com/office/drawing/2014/chart" uri="{C3380CC4-5D6E-409C-BE32-E72D297353CC}">
              <c16:uniqueId val="{00000000-FEBE-400D-A228-50F753D1ABFA}"/>
            </c:ext>
          </c:extLst>
        </c:ser>
        <c:dLbls>
          <c:dLblPos val="t"/>
          <c:showLegendKey val="0"/>
          <c:showVal val="1"/>
          <c:showCatName val="0"/>
          <c:showSerName val="0"/>
          <c:showPercent val="0"/>
          <c:showBubbleSize val="0"/>
        </c:dLbls>
        <c:smooth val="0"/>
        <c:axId val="1914893472"/>
        <c:axId val="1914880160"/>
      </c:lineChart>
      <c:catAx>
        <c:axId val="191489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880160"/>
        <c:crosses val="autoZero"/>
        <c:auto val="1"/>
        <c:lblAlgn val="ctr"/>
        <c:lblOffset val="100"/>
        <c:noMultiLvlLbl val="0"/>
      </c:catAx>
      <c:valAx>
        <c:axId val="1914880160"/>
        <c:scaling>
          <c:orientation val="minMax"/>
        </c:scaling>
        <c:delete val="1"/>
        <c:axPos val="l"/>
        <c:numFmt formatCode="General" sourceLinked="1"/>
        <c:majorTickMark val="none"/>
        <c:minorTickMark val="none"/>
        <c:tickLblPos val="nextTo"/>
        <c:crossAx val="191489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 Campaign Management.xlsm]Helper Sheet!impact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Article Impacting Per Category</a:t>
            </a:r>
          </a:p>
        </c:rich>
      </c:tx>
      <c:layout>
        <c:manualLayout>
          <c:xMode val="edge"/>
          <c:yMode val="edge"/>
          <c:x val="0.2325193188060795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53937007874016E-2"/>
          <c:y val="0.19809926933603275"/>
          <c:w val="0.96790507436570428"/>
          <c:h val="0.76392439981967153"/>
        </c:manualLayout>
      </c:layout>
      <c:barChart>
        <c:barDir val="col"/>
        <c:grouping val="clustered"/>
        <c:varyColors val="0"/>
        <c:ser>
          <c:idx val="0"/>
          <c:order val="0"/>
          <c:tx>
            <c:strRef>
              <c:f>'Helper Sheet'!$P$3</c:f>
              <c:strCache>
                <c:ptCount val="1"/>
                <c:pt idx="0">
                  <c:v>Total</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Sheet'!$O$4:$O$11</c:f>
              <c:strCache>
                <c:ptCount val="7"/>
                <c:pt idx="0">
                  <c:v>Category 4</c:v>
                </c:pt>
                <c:pt idx="1">
                  <c:v>Category 5</c:v>
                </c:pt>
                <c:pt idx="2">
                  <c:v>Category 6</c:v>
                </c:pt>
                <c:pt idx="3">
                  <c:v>Category 7</c:v>
                </c:pt>
                <c:pt idx="4">
                  <c:v>Feature Story</c:v>
                </c:pt>
                <c:pt idx="5">
                  <c:v>Review</c:v>
                </c:pt>
                <c:pt idx="6">
                  <c:v>Trend</c:v>
                </c:pt>
              </c:strCache>
            </c:strRef>
          </c:cat>
          <c:val>
            <c:numRef>
              <c:f>'Helper Sheet'!$P$4:$P$11</c:f>
              <c:numCache>
                <c:formatCode>0.00</c:formatCode>
                <c:ptCount val="7"/>
                <c:pt idx="0">
                  <c:v>0.62068965517241381</c:v>
                </c:pt>
                <c:pt idx="1">
                  <c:v>-0.30434782608695654</c:v>
                </c:pt>
                <c:pt idx="2">
                  <c:v>0.15789473684210525</c:v>
                </c:pt>
                <c:pt idx="3">
                  <c:v>-0.41379310344827586</c:v>
                </c:pt>
                <c:pt idx="4">
                  <c:v>-0.56000000000000005</c:v>
                </c:pt>
                <c:pt idx="5">
                  <c:v>-0.44444444444444442</c:v>
                </c:pt>
                <c:pt idx="6">
                  <c:v>-0.47058823529411764</c:v>
                </c:pt>
              </c:numCache>
            </c:numRef>
          </c:val>
          <c:extLst>
            <c:ext xmlns:c14="http://schemas.microsoft.com/office/drawing/2007/8/2/chart" uri="{6F2FDCE9-48DA-4B69-8628-5D25D57E5C99}">
              <c14:invertSolidFillFmt>
                <c14:spPr xmlns:c14="http://schemas.microsoft.com/office/drawing/2007/8/2/chart">
                  <a:solidFill>
                    <a:srgbClr val="D9D9D9"/>
                  </a:solidFill>
                  <a:ln>
                    <a:noFill/>
                  </a:ln>
                  <a:effectLst/>
                </c14:spPr>
              </c14:invertSolidFillFmt>
            </c:ext>
            <c:ext xmlns:c16="http://schemas.microsoft.com/office/drawing/2014/chart" uri="{C3380CC4-5D6E-409C-BE32-E72D297353CC}">
              <c16:uniqueId val="{00000000-27A5-4E49-BCE8-F2929A11B622}"/>
            </c:ext>
          </c:extLst>
        </c:ser>
        <c:dLbls>
          <c:showLegendKey val="0"/>
          <c:showVal val="0"/>
          <c:showCatName val="0"/>
          <c:showSerName val="0"/>
          <c:showPercent val="0"/>
          <c:showBubbleSize val="0"/>
        </c:dLbls>
        <c:gapWidth val="219"/>
        <c:overlap val="-27"/>
        <c:axId val="1914908032"/>
        <c:axId val="1914921760"/>
      </c:barChart>
      <c:catAx>
        <c:axId val="1914908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14921760"/>
        <c:crosses val="autoZero"/>
        <c:auto val="1"/>
        <c:lblAlgn val="ctr"/>
        <c:lblOffset val="100"/>
        <c:noMultiLvlLbl val="0"/>
      </c:catAx>
      <c:valAx>
        <c:axId val="1914921760"/>
        <c:scaling>
          <c:orientation val="minMax"/>
        </c:scaling>
        <c:delete val="1"/>
        <c:axPos val="l"/>
        <c:numFmt formatCode="0.00" sourceLinked="1"/>
        <c:majorTickMark val="none"/>
        <c:minorTickMark val="none"/>
        <c:tickLblPos val="nextTo"/>
        <c:crossAx val="191490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 Campaign Management.xlsm]Helper Sheet!MediaSource</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s>
    <c:plotArea>
      <c:layout>
        <c:manualLayout>
          <c:layoutTarget val="inner"/>
          <c:xMode val="edge"/>
          <c:yMode val="edge"/>
          <c:x val="0.17697181548934138"/>
          <c:y val="1.1435886940644929E-2"/>
          <c:w val="0.63001358962368192"/>
          <c:h val="0.96567677367713611"/>
        </c:manualLayout>
      </c:layout>
      <c:doughnutChart>
        <c:varyColors val="1"/>
        <c:ser>
          <c:idx val="0"/>
          <c:order val="0"/>
          <c:tx>
            <c:strRef>
              <c:f>'Helper Sheet'!$S$3</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4905-4EDB-858D-85467C13C15B}"/>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4905-4EDB-858D-85467C13C15B}"/>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4905-4EDB-858D-85467C13C15B}"/>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4905-4EDB-858D-85467C13C15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'Helper Sheet'!$R$4:$R$8</c:f>
              <c:strCache>
                <c:ptCount val="4"/>
                <c:pt idx="0">
                  <c:v>Online Magazine</c:v>
                </c:pt>
                <c:pt idx="1">
                  <c:v>Source 3</c:v>
                </c:pt>
                <c:pt idx="2">
                  <c:v>Source 4</c:v>
                </c:pt>
                <c:pt idx="3">
                  <c:v>Trade Journal</c:v>
                </c:pt>
              </c:strCache>
            </c:strRef>
          </c:cat>
          <c:val>
            <c:numRef>
              <c:f>'Helper Sheet'!$S$4:$S$8</c:f>
              <c:numCache>
                <c:formatCode>General</c:formatCode>
                <c:ptCount val="4"/>
                <c:pt idx="0">
                  <c:v>45</c:v>
                </c:pt>
                <c:pt idx="1">
                  <c:v>46</c:v>
                </c:pt>
                <c:pt idx="2">
                  <c:v>49</c:v>
                </c:pt>
                <c:pt idx="3">
                  <c:v>46</c:v>
                </c:pt>
              </c:numCache>
            </c:numRef>
          </c:val>
          <c:extLst>
            <c:ext xmlns:c16="http://schemas.microsoft.com/office/drawing/2014/chart" uri="{C3380CC4-5D6E-409C-BE32-E72D297353CC}">
              <c16:uniqueId val="{00000008-4905-4EDB-858D-85467C13C15B}"/>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 Campaign Management.xlsm]Helper Sheet!Journalist</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a:latin typeface="Arial" panose="020B0604020202020204" pitchFamily="34" charset="0"/>
                <a:cs typeface="Arial" panose="020B0604020202020204" pitchFamily="34" charset="0"/>
              </a:rPr>
              <a:t>Articles Per Journalist</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93943351867747"/>
          <c:y val="0.14644784063763502"/>
          <c:w val="0.74995866334788874"/>
          <c:h val="0.77471488953237888"/>
        </c:manualLayout>
      </c:layout>
      <c:barChart>
        <c:barDir val="bar"/>
        <c:grouping val="clustered"/>
        <c:varyColors val="0"/>
        <c:ser>
          <c:idx val="0"/>
          <c:order val="0"/>
          <c:tx>
            <c:strRef>
              <c:f>'Helper Sheet'!$V$3</c:f>
              <c:strCache>
                <c:ptCount val="1"/>
                <c:pt idx="0">
                  <c:v>Total</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Sheet'!$U$4:$U$11</c:f>
              <c:strCache>
                <c:ptCount val="7"/>
                <c:pt idx="0">
                  <c:v>Jim Smith</c:v>
                </c:pt>
                <c:pt idx="1">
                  <c:v>Journalist 3</c:v>
                </c:pt>
                <c:pt idx="2">
                  <c:v>Journalist 4</c:v>
                </c:pt>
                <c:pt idx="3">
                  <c:v>Journalist 5</c:v>
                </c:pt>
                <c:pt idx="4">
                  <c:v>Journalist 6</c:v>
                </c:pt>
                <c:pt idx="5">
                  <c:v>Journalist 7</c:v>
                </c:pt>
                <c:pt idx="6">
                  <c:v>Sara Paul</c:v>
                </c:pt>
              </c:strCache>
            </c:strRef>
          </c:cat>
          <c:val>
            <c:numRef>
              <c:f>'Helper Sheet'!$V$4:$V$11</c:f>
              <c:numCache>
                <c:formatCode>General</c:formatCode>
                <c:ptCount val="7"/>
                <c:pt idx="0">
                  <c:v>28</c:v>
                </c:pt>
                <c:pt idx="1">
                  <c:v>22</c:v>
                </c:pt>
                <c:pt idx="2">
                  <c:v>28</c:v>
                </c:pt>
                <c:pt idx="3">
                  <c:v>28</c:v>
                </c:pt>
                <c:pt idx="4">
                  <c:v>27</c:v>
                </c:pt>
                <c:pt idx="5">
                  <c:v>28</c:v>
                </c:pt>
                <c:pt idx="6">
                  <c:v>25</c:v>
                </c:pt>
              </c:numCache>
            </c:numRef>
          </c:val>
          <c:extLst>
            <c:ext xmlns:c16="http://schemas.microsoft.com/office/drawing/2014/chart" uri="{C3380CC4-5D6E-409C-BE32-E72D297353CC}">
              <c16:uniqueId val="{00000000-451A-4E86-9355-80AF7DA99C72}"/>
            </c:ext>
          </c:extLst>
        </c:ser>
        <c:dLbls>
          <c:dLblPos val="outEnd"/>
          <c:showLegendKey val="0"/>
          <c:showVal val="1"/>
          <c:showCatName val="0"/>
          <c:showSerName val="0"/>
          <c:showPercent val="0"/>
          <c:showBubbleSize val="0"/>
        </c:dLbls>
        <c:gapWidth val="182"/>
        <c:axId val="1914885152"/>
        <c:axId val="1914876416"/>
      </c:barChart>
      <c:catAx>
        <c:axId val="1914885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14876416"/>
        <c:crosses val="autoZero"/>
        <c:auto val="1"/>
        <c:lblAlgn val="ctr"/>
        <c:lblOffset val="100"/>
        <c:noMultiLvlLbl val="0"/>
      </c:catAx>
      <c:valAx>
        <c:axId val="19148764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885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 Campaign Management.xlsm]Sheet3!payment</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FCFAD"/>
          </a:solidFill>
          <a:ln>
            <a:noFill/>
          </a:ln>
          <a:effectLst/>
        </c:spPr>
      </c:pivotFmt>
      <c:pivotFmt>
        <c:idx val="4"/>
        <c:spPr>
          <a:solidFill>
            <a:schemeClr val="accent4">
              <a:lumMod val="40000"/>
              <a:lumOff val="60000"/>
            </a:schemeClr>
          </a:solidFill>
          <a:ln>
            <a:noFill/>
          </a:ln>
          <a:effectLst/>
        </c:spPr>
      </c:pivotFmt>
      <c:pivotFmt>
        <c:idx val="5"/>
        <c:spPr>
          <a:solidFill>
            <a:srgbClr val="C00000"/>
          </a:solidFill>
          <a:ln>
            <a:noFill/>
          </a:ln>
          <a:effectLst/>
        </c:spPr>
      </c:pivotFmt>
    </c:pivotFmts>
    <c:plotArea>
      <c:layout>
        <c:manualLayout>
          <c:layoutTarget val="inner"/>
          <c:xMode val="edge"/>
          <c:yMode val="edge"/>
          <c:x val="0.28958837126192477"/>
          <c:y val="9.5165367708217666E-2"/>
          <c:w val="0.65215618131163577"/>
          <c:h val="0.8096692645835647"/>
        </c:manualLayout>
      </c:layout>
      <c:barChart>
        <c:barDir val="bar"/>
        <c:grouping val="clustered"/>
        <c:varyColors val="0"/>
        <c:ser>
          <c:idx val="0"/>
          <c:order val="0"/>
          <c:tx>
            <c:strRef>
              <c:f>Sheet3!$I$4</c:f>
              <c:strCache>
                <c:ptCount val="1"/>
                <c:pt idx="0">
                  <c:v>Total</c:v>
                </c:pt>
              </c:strCache>
            </c:strRef>
          </c:tx>
          <c:spPr>
            <a:solidFill>
              <a:schemeClr val="accent1"/>
            </a:solidFill>
            <a:ln>
              <a:noFill/>
            </a:ln>
            <a:effectLst/>
          </c:spPr>
          <c:invertIfNegative val="0"/>
          <c:dPt>
            <c:idx val="0"/>
            <c:invertIfNegative val="0"/>
            <c:bubble3D val="0"/>
            <c:spPr>
              <a:solidFill>
                <a:srgbClr val="8FCFAD"/>
              </a:solidFill>
              <a:ln>
                <a:noFill/>
              </a:ln>
              <a:effectLst/>
            </c:spPr>
            <c:extLst>
              <c:ext xmlns:c16="http://schemas.microsoft.com/office/drawing/2014/chart" uri="{C3380CC4-5D6E-409C-BE32-E72D297353CC}">
                <c16:uniqueId val="{00000002-85ED-48C4-924F-17075F0D4BB8}"/>
              </c:ext>
            </c:extLst>
          </c:dPt>
          <c:dPt>
            <c:idx val="1"/>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3-85ED-48C4-924F-17075F0D4BB8}"/>
              </c:ext>
            </c:extLst>
          </c:dPt>
          <c:dPt>
            <c:idx val="2"/>
            <c:invertIfNegative val="0"/>
            <c:bubble3D val="0"/>
            <c:spPr>
              <a:solidFill>
                <a:srgbClr val="C00000"/>
              </a:solidFill>
              <a:ln>
                <a:noFill/>
              </a:ln>
              <a:effectLst/>
            </c:spPr>
            <c:extLst>
              <c:ext xmlns:c16="http://schemas.microsoft.com/office/drawing/2014/chart" uri="{C3380CC4-5D6E-409C-BE32-E72D297353CC}">
                <c16:uniqueId val="{00000004-85ED-48C4-924F-17075F0D4BB8}"/>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Sheet3!$H$5:$H$8</c:f>
              <c:strCache>
                <c:ptCount val="3"/>
                <c:pt idx="0">
                  <c:v>Done</c:v>
                </c:pt>
                <c:pt idx="1">
                  <c:v>Pending</c:v>
                </c:pt>
                <c:pt idx="2">
                  <c:v>Refund</c:v>
                </c:pt>
              </c:strCache>
            </c:strRef>
          </c:cat>
          <c:val>
            <c:numRef>
              <c:f>Sheet3!$I$5:$I$8</c:f>
              <c:numCache>
                <c:formatCode>"$"#,##0</c:formatCode>
                <c:ptCount val="3"/>
                <c:pt idx="0">
                  <c:v>470</c:v>
                </c:pt>
                <c:pt idx="1">
                  <c:v>250</c:v>
                </c:pt>
                <c:pt idx="2">
                  <c:v>170</c:v>
                </c:pt>
              </c:numCache>
            </c:numRef>
          </c:val>
          <c:extLst>
            <c:ext xmlns:c16="http://schemas.microsoft.com/office/drawing/2014/chart" uri="{C3380CC4-5D6E-409C-BE32-E72D297353CC}">
              <c16:uniqueId val="{00000000-85ED-48C4-924F-17075F0D4BB8}"/>
            </c:ext>
          </c:extLst>
        </c:ser>
        <c:dLbls>
          <c:dLblPos val="outEnd"/>
          <c:showLegendKey val="0"/>
          <c:showVal val="1"/>
          <c:showCatName val="0"/>
          <c:showSerName val="0"/>
          <c:showPercent val="0"/>
          <c:showBubbleSize val="0"/>
        </c:dLbls>
        <c:gapWidth val="182"/>
        <c:axId val="1884657455"/>
        <c:axId val="1884659535"/>
      </c:barChart>
      <c:catAx>
        <c:axId val="1884657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84659535"/>
        <c:crosses val="autoZero"/>
        <c:auto val="1"/>
        <c:lblAlgn val="ctr"/>
        <c:lblOffset val="100"/>
        <c:noMultiLvlLbl val="0"/>
      </c:catAx>
      <c:valAx>
        <c:axId val="1884659535"/>
        <c:scaling>
          <c:orientation val="minMax"/>
        </c:scaling>
        <c:delete val="1"/>
        <c:axPos val="b"/>
        <c:numFmt formatCode="&quot;$&quot;#,##0" sourceLinked="1"/>
        <c:majorTickMark val="none"/>
        <c:minorTickMark val="none"/>
        <c:tickLblPos val="nextTo"/>
        <c:crossAx val="1884657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 Campaign Management.xlsm]Sheet3!campdet</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817196910878647E-2"/>
          <c:y val="0.20512827139213288"/>
          <c:w val="0.83325673280748913"/>
          <c:h val="0.60452690636847362"/>
        </c:manualLayout>
      </c:layout>
      <c:barChart>
        <c:barDir val="col"/>
        <c:grouping val="clustered"/>
        <c:varyColors val="0"/>
        <c:ser>
          <c:idx val="0"/>
          <c:order val="0"/>
          <c:tx>
            <c:strRef>
              <c:f>Sheet3!$L$4</c:f>
              <c:strCache>
                <c:ptCount val="1"/>
                <c:pt idx="0">
                  <c:v>Remain Days.</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Sheet3!$K$5:$K$10</c:f>
              <c:strCache>
                <c:ptCount val="5"/>
                <c:pt idx="0">
                  <c:v>Campaign 1</c:v>
                </c:pt>
                <c:pt idx="1">
                  <c:v>Campaign 2</c:v>
                </c:pt>
                <c:pt idx="2">
                  <c:v>Campaign 3</c:v>
                </c:pt>
                <c:pt idx="3">
                  <c:v>Campaign 4</c:v>
                </c:pt>
                <c:pt idx="4">
                  <c:v>Campaign 5</c:v>
                </c:pt>
              </c:strCache>
            </c:strRef>
          </c:cat>
          <c:val>
            <c:numRef>
              <c:f>Sheet3!$L$5:$L$10</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F4DA-450C-B5B1-73BB05F77AA7}"/>
            </c:ext>
          </c:extLst>
        </c:ser>
        <c:dLbls>
          <c:showLegendKey val="0"/>
          <c:showVal val="1"/>
          <c:showCatName val="0"/>
          <c:showSerName val="0"/>
          <c:showPercent val="0"/>
          <c:showBubbleSize val="0"/>
        </c:dLbls>
        <c:gapWidth val="219"/>
        <c:overlap val="-27"/>
        <c:axId val="947577551"/>
        <c:axId val="947575471"/>
      </c:barChart>
      <c:lineChart>
        <c:grouping val="standard"/>
        <c:varyColors val="0"/>
        <c:ser>
          <c:idx val="1"/>
          <c:order val="1"/>
          <c:tx>
            <c:strRef>
              <c:f>Sheet3!$M$4</c:f>
              <c:strCache>
                <c:ptCount val="1"/>
                <c:pt idx="0">
                  <c:v>Achieve%.</c:v>
                </c:pt>
              </c:strCache>
            </c:strRef>
          </c:tx>
          <c:spPr>
            <a:ln w="28575" cap="rnd">
              <a:solidFill>
                <a:srgbClr val="C00000"/>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Sheet3!$K$5:$K$10</c:f>
              <c:strCache>
                <c:ptCount val="5"/>
                <c:pt idx="0">
                  <c:v>Campaign 1</c:v>
                </c:pt>
                <c:pt idx="1">
                  <c:v>Campaign 2</c:v>
                </c:pt>
                <c:pt idx="2">
                  <c:v>Campaign 3</c:v>
                </c:pt>
                <c:pt idx="3">
                  <c:v>Campaign 4</c:v>
                </c:pt>
                <c:pt idx="4">
                  <c:v>Campaign 5</c:v>
                </c:pt>
              </c:strCache>
            </c:strRef>
          </c:cat>
          <c:val>
            <c:numRef>
              <c:f>Sheet3!$M$5:$M$10</c:f>
              <c:numCache>
                <c:formatCode>0%</c:formatCode>
                <c:ptCount val="5"/>
                <c:pt idx="0">
                  <c:v>0.5625</c:v>
                </c:pt>
                <c:pt idx="1">
                  <c:v>1.3</c:v>
                </c:pt>
                <c:pt idx="2">
                  <c:v>0.8</c:v>
                </c:pt>
                <c:pt idx="3">
                  <c:v>0.2857142857142857</c:v>
                </c:pt>
                <c:pt idx="4">
                  <c:v>0.875</c:v>
                </c:pt>
              </c:numCache>
            </c:numRef>
          </c:val>
          <c:smooth val="0"/>
          <c:extLst>
            <c:ext xmlns:c16="http://schemas.microsoft.com/office/drawing/2014/chart" uri="{C3380CC4-5D6E-409C-BE32-E72D297353CC}">
              <c16:uniqueId val="{00000001-F4DA-450C-B5B1-73BB05F77AA7}"/>
            </c:ext>
          </c:extLst>
        </c:ser>
        <c:dLbls>
          <c:showLegendKey val="0"/>
          <c:showVal val="1"/>
          <c:showCatName val="0"/>
          <c:showSerName val="0"/>
          <c:showPercent val="0"/>
          <c:showBubbleSize val="0"/>
        </c:dLbls>
        <c:marker val="1"/>
        <c:smooth val="0"/>
        <c:axId val="947587119"/>
        <c:axId val="947565487"/>
      </c:lineChart>
      <c:catAx>
        <c:axId val="947577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75471"/>
        <c:crosses val="autoZero"/>
        <c:auto val="1"/>
        <c:lblAlgn val="ctr"/>
        <c:lblOffset val="100"/>
        <c:noMultiLvlLbl val="0"/>
      </c:catAx>
      <c:valAx>
        <c:axId val="947575471"/>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77551"/>
        <c:crosses val="autoZero"/>
        <c:crossBetween val="between"/>
      </c:valAx>
      <c:valAx>
        <c:axId val="94756548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87119"/>
        <c:crosses val="max"/>
        <c:crossBetween val="between"/>
      </c:valAx>
      <c:catAx>
        <c:axId val="947587119"/>
        <c:scaling>
          <c:orientation val="minMax"/>
        </c:scaling>
        <c:delete val="1"/>
        <c:axPos val="b"/>
        <c:numFmt formatCode="General" sourceLinked="1"/>
        <c:majorTickMark val="out"/>
        <c:minorTickMark val="none"/>
        <c:tickLblPos val="nextTo"/>
        <c:crossAx val="947565487"/>
        <c:crosses val="autoZero"/>
        <c:auto val="1"/>
        <c:lblAlgn val="ctr"/>
        <c:lblOffset val="100"/>
        <c:noMultiLvlLbl val="0"/>
      </c:catAx>
      <c:spPr>
        <a:noFill/>
        <a:ln>
          <a:noFill/>
        </a:ln>
        <a:effectLst/>
      </c:spPr>
    </c:plotArea>
    <c:legend>
      <c:legendPos val="t"/>
      <c:layout>
        <c:manualLayout>
          <c:xMode val="edge"/>
          <c:yMode val="edge"/>
          <c:x val="0.1307075853903667"/>
          <c:y val="3.2945699158437612E-2"/>
          <c:w val="0.72827873828574485"/>
          <c:h val="9.357661007926027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47624</xdr:colOff>
      <xdr:row>39</xdr:row>
      <xdr:rowOff>19050</xdr:rowOff>
    </xdr:from>
    <xdr:to>
      <xdr:col>12</xdr:col>
      <xdr:colOff>437029</xdr:colOff>
      <xdr:row>43</xdr:row>
      <xdr:rowOff>38100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5090271" y="6215903"/>
          <a:ext cx="6440582" cy="781050"/>
          <a:chOff x="4257674" y="8324850"/>
          <a:chExt cx="7353301" cy="666750"/>
        </a:xfrm>
      </xdr:grpSpPr>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00000000-0008-0000-0000-000005000000}"/>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47</xdr:row>
      <xdr:rowOff>95250</xdr:rowOff>
    </xdr:from>
    <xdr:to>
      <xdr:col>12</xdr:col>
      <xdr:colOff>456079</xdr:colOff>
      <xdr:row>51</xdr:row>
      <xdr:rowOff>114300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109321" y="7816103"/>
          <a:ext cx="6440582" cy="781050"/>
          <a:chOff x="4276724" y="9696450"/>
          <a:chExt cx="7353301" cy="666750"/>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00000000-0008-0000-0000-000009000000}"/>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53</xdr:row>
      <xdr:rowOff>47625</xdr:rowOff>
    </xdr:from>
    <xdr:to>
      <xdr:col>12</xdr:col>
      <xdr:colOff>420024</xdr:colOff>
      <xdr:row>57</xdr:row>
      <xdr:rowOff>133350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5128372" y="8911478"/>
          <a:ext cx="6385476" cy="847725"/>
          <a:chOff x="4295775" y="10620375"/>
          <a:chExt cx="7334250" cy="733425"/>
        </a:xfrm>
      </xdr:grpSpPr>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00000000-0008-0000-0000-00000C000000}"/>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21</xdr:row>
          <xdr:rowOff>400050</xdr:rowOff>
        </xdr:from>
        <xdr:to>
          <xdr:col>0</xdr:col>
          <xdr:colOff>1495425</xdr:colOff>
          <xdr:row>21</xdr:row>
          <xdr:rowOff>561975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21</xdr:row>
          <xdr:rowOff>590550</xdr:rowOff>
        </xdr:from>
        <xdr:to>
          <xdr:col>0</xdr:col>
          <xdr:colOff>1504950</xdr:colOff>
          <xdr:row>21</xdr:row>
          <xdr:rowOff>742950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0</xdr:col>
      <xdr:colOff>46566</xdr:colOff>
      <xdr:row>0</xdr:row>
      <xdr:rowOff>46566</xdr:rowOff>
    </xdr:from>
    <xdr:to>
      <xdr:col>0</xdr:col>
      <xdr:colOff>1500187</xdr:colOff>
      <xdr:row>2</xdr:row>
      <xdr:rowOff>42334</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46566" y="46566"/>
          <a:ext cx="1453621" cy="329143"/>
          <a:chOff x="46566" y="46565"/>
          <a:chExt cx="1559052" cy="345017"/>
        </a:xfrm>
      </xdr:grpSpPr>
      <xdr:sp macro="[0]!HideDB"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6566" y="46565"/>
            <a:ext cx="1559052" cy="345017"/>
          </a:xfrm>
          <a:prstGeom prst="roundRect">
            <a:avLst/>
          </a:prstGeom>
          <a:solidFill>
            <a:schemeClr val="bg1">
              <a:lumMod val="75000"/>
            </a:schemeClr>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Hide Dashboard</a:t>
            </a:r>
          </a:p>
        </xdr:txBody>
      </xdr:sp>
      <xdr:sp macro="" textlink="">
        <xdr:nvSpPr>
          <xdr:cNvPr id="3" name="Arrow: Down 2">
            <a:extLst>
              <a:ext uri="{FF2B5EF4-FFF2-40B4-BE49-F238E27FC236}">
                <a16:creationId xmlns:a16="http://schemas.microsoft.com/office/drawing/2014/main" id="{00000000-0008-0000-0100-000003000000}"/>
              </a:ext>
            </a:extLst>
          </xdr:cNvPr>
          <xdr:cNvSpPr/>
        </xdr:nvSpPr>
        <xdr:spPr>
          <a:xfrm>
            <a:off x="84666" y="116417"/>
            <a:ext cx="222250" cy="190500"/>
          </a:xfrm>
          <a:prstGeom prst="downArrow">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31750</xdr:colOff>
      <xdr:row>21</xdr:row>
      <xdr:rowOff>42332</xdr:rowOff>
    </xdr:from>
    <xdr:to>
      <xdr:col>0</xdr:col>
      <xdr:colOff>1502833</xdr:colOff>
      <xdr:row>21</xdr:row>
      <xdr:rowOff>355600</xdr:rowOff>
    </xdr:to>
    <xdr:grpSp>
      <xdr:nvGrpSpPr>
        <xdr:cNvPr id="4" name="DBBTN" hidden="1">
          <a:extLst>
            <a:ext uri="{FF2B5EF4-FFF2-40B4-BE49-F238E27FC236}">
              <a16:creationId xmlns:a16="http://schemas.microsoft.com/office/drawing/2014/main" id="{00000000-0008-0000-0100-000004000000}"/>
            </a:ext>
          </a:extLst>
        </xdr:cNvPr>
        <xdr:cNvGrpSpPr/>
      </xdr:nvGrpSpPr>
      <xdr:grpSpPr>
        <a:xfrm>
          <a:off x="31750" y="3899957"/>
          <a:ext cx="1471083" cy="313268"/>
          <a:chOff x="31750" y="3839632"/>
          <a:chExt cx="1471083" cy="345017"/>
        </a:xfrm>
      </xdr:grpSpPr>
      <xdr:sp macro="[0]!showDB" textlink="">
        <xdr:nvSpPr>
          <xdr:cNvPr id="2" name="Rectangle: Rounded Corners 1" hidden="1">
            <a:extLst>
              <a:ext uri="{FF2B5EF4-FFF2-40B4-BE49-F238E27FC236}">
                <a16:creationId xmlns:a16="http://schemas.microsoft.com/office/drawing/2014/main" id="{00000000-0008-0000-0100-000002000000}"/>
              </a:ext>
            </a:extLst>
          </xdr:cNvPr>
          <xdr:cNvSpPr/>
        </xdr:nvSpPr>
        <xdr:spPr>
          <a:xfrm>
            <a:off x="31750" y="3839632"/>
            <a:ext cx="1471083" cy="345017"/>
          </a:xfrm>
          <a:prstGeom prst="roundRect">
            <a:avLst/>
          </a:prstGeom>
          <a:solidFill>
            <a:srgbClr val="8FCFAD"/>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   Show Dashboard</a:t>
            </a:r>
          </a:p>
        </xdr:txBody>
      </xdr:sp>
      <xdr:sp macro="" textlink="">
        <xdr:nvSpPr>
          <xdr:cNvPr id="9" name="Arrow: Down 8" hidden="1">
            <a:extLst>
              <a:ext uri="{FF2B5EF4-FFF2-40B4-BE49-F238E27FC236}">
                <a16:creationId xmlns:a16="http://schemas.microsoft.com/office/drawing/2014/main" id="{00000000-0008-0000-0100-000009000000}"/>
              </a:ext>
            </a:extLst>
          </xdr:cNvPr>
          <xdr:cNvSpPr/>
        </xdr:nvSpPr>
        <xdr:spPr>
          <a:xfrm rot="10800000">
            <a:off x="67732" y="3877733"/>
            <a:ext cx="222250" cy="190500"/>
          </a:xfrm>
          <a:prstGeom prst="downArrow">
            <a:avLst/>
          </a:prstGeom>
          <a:solidFill>
            <a:srgbClr val="50B47F"/>
          </a:solidFill>
          <a:ln>
            <a:solidFill>
              <a:srgbClr val="50B4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2</xdr:row>
      <xdr:rowOff>83610</xdr:rowOff>
    </xdr:from>
    <xdr:to>
      <xdr:col>0</xdr:col>
      <xdr:colOff>1513417</xdr:colOff>
      <xdr:row>10</xdr:row>
      <xdr:rowOff>52918</xdr:rowOff>
    </xdr:to>
    <mc:AlternateContent xmlns:mc="http://schemas.openxmlformats.org/markup-compatibility/2006" xmlns:a14="http://schemas.microsoft.com/office/drawing/2010/main">
      <mc:Choice Requires="a14">
        <xdr:graphicFrame macro="">
          <xdr:nvGraphicFramePr>
            <xdr:cNvPr id="10" name="Journalist">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Journalist"/>
            </a:graphicData>
          </a:graphic>
        </xdr:graphicFrame>
      </mc:Choice>
      <mc:Fallback xmlns="">
        <xdr:sp macro="" textlink="">
          <xdr:nvSpPr>
            <xdr:cNvPr id="0" name=""/>
            <xdr:cNvSpPr>
              <a:spLocks noTextEdit="1"/>
            </xdr:cNvSpPr>
          </xdr:nvSpPr>
          <xdr:spPr>
            <a:xfrm>
              <a:off x="0" y="0"/>
              <a:ext cx="1513417"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359834</xdr:colOff>
      <xdr:row>0</xdr:row>
      <xdr:rowOff>0</xdr:rowOff>
    </xdr:from>
    <xdr:to>
      <xdr:col>16</xdr:col>
      <xdr:colOff>0</xdr:colOff>
      <xdr:row>5</xdr:row>
      <xdr:rowOff>52917</xdr:rowOff>
    </xdr:to>
    <mc:AlternateContent xmlns:mc="http://schemas.openxmlformats.org/markup-compatibility/2006" xmlns:a14="http://schemas.microsoft.com/office/drawing/2010/main">
      <mc:Choice Requires="a14">
        <xdr:graphicFrame macro="">
          <xdr:nvGraphicFramePr>
            <xdr:cNvPr id="11" name="Channel">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14837834" y="0"/>
              <a:ext cx="410501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358772</xdr:colOff>
      <xdr:row>0</xdr:row>
      <xdr:rowOff>0</xdr:rowOff>
    </xdr:from>
    <xdr:to>
      <xdr:col>9</xdr:col>
      <xdr:colOff>603250</xdr:colOff>
      <xdr:row>5</xdr:row>
      <xdr:rowOff>52917</xdr:rowOff>
    </xdr:to>
    <mc:AlternateContent xmlns:mc="http://schemas.openxmlformats.org/markup-compatibility/2006" xmlns:a14="http://schemas.microsoft.com/office/drawing/2010/main">
      <mc:Choice Requires="a14">
        <xdr:graphicFrame macro="">
          <xdr:nvGraphicFramePr>
            <xdr:cNvPr id="12" name="Media Source">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Media Source"/>
            </a:graphicData>
          </a:graphic>
        </xdr:graphicFrame>
      </mc:Choice>
      <mc:Fallback xmlns="">
        <xdr:sp macro="" textlink="">
          <xdr:nvSpPr>
            <xdr:cNvPr id="0" name=""/>
            <xdr:cNvSpPr>
              <a:spLocks noTextEdit="1"/>
            </xdr:cNvSpPr>
          </xdr:nvSpPr>
          <xdr:spPr>
            <a:xfrm>
              <a:off x="6145210" y="0"/>
              <a:ext cx="459025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10</xdr:row>
      <xdr:rowOff>61385</xdr:rowOff>
    </xdr:from>
    <xdr:to>
      <xdr:col>1</xdr:col>
      <xdr:colOff>0</xdr:colOff>
      <xdr:row>16</xdr:row>
      <xdr:rowOff>105835</xdr:rowOff>
    </xdr:to>
    <mc:AlternateContent xmlns:mc="http://schemas.openxmlformats.org/markup-compatibility/2006" xmlns:a14="http://schemas.microsoft.com/office/drawing/2010/main">
      <mc:Choice Requires="a14">
        <xdr:graphicFrame macro="">
          <xdr:nvGraphicFramePr>
            <xdr:cNvPr id="13" name="Article Category">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Article Category"/>
            </a:graphicData>
          </a:graphic>
        </xdr:graphicFrame>
      </mc:Choice>
      <mc:Fallback xmlns="">
        <xdr:sp macro="" textlink="">
          <xdr:nvSpPr>
            <xdr:cNvPr id="0" name=""/>
            <xdr:cNvSpPr>
              <a:spLocks noTextEdit="1"/>
            </xdr:cNvSpPr>
          </xdr:nvSpPr>
          <xdr:spPr>
            <a:xfrm>
              <a:off x="0" y="0"/>
              <a:ext cx="15240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16</xdr:row>
      <xdr:rowOff>106894</xdr:rowOff>
    </xdr:from>
    <xdr:to>
      <xdr:col>0</xdr:col>
      <xdr:colOff>1513417</xdr:colOff>
      <xdr:row>20</xdr:row>
      <xdr:rowOff>179918</xdr:rowOff>
    </xdr:to>
    <mc:AlternateContent xmlns:mc="http://schemas.openxmlformats.org/markup-compatibility/2006" xmlns:a14="http://schemas.microsoft.com/office/drawing/2010/main">
      <mc:Choice Requires="a14">
        <xdr:graphicFrame macro="">
          <xdr:nvGraphicFramePr>
            <xdr:cNvPr id="14" name="Favorability">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Favorability"/>
            </a:graphicData>
          </a:graphic>
        </xdr:graphicFrame>
      </mc:Choice>
      <mc:Fallback xmlns="">
        <xdr:sp macro="" textlink="">
          <xdr:nvSpPr>
            <xdr:cNvPr id="0" name=""/>
            <xdr:cNvSpPr>
              <a:spLocks noTextEdit="1"/>
            </xdr:cNvSpPr>
          </xdr:nvSpPr>
          <xdr:spPr>
            <a:xfrm>
              <a:off x="0" y="0"/>
              <a:ext cx="1513417"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31750</xdr:colOff>
      <xdr:row>0</xdr:row>
      <xdr:rowOff>63500</xdr:rowOff>
    </xdr:from>
    <xdr:to>
      <xdr:col>6</xdr:col>
      <xdr:colOff>349250</xdr:colOff>
      <xdr:row>20</xdr:row>
      <xdr:rowOff>169332</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0</xdr:row>
      <xdr:rowOff>10584</xdr:rowOff>
    </xdr:from>
    <xdr:to>
      <xdr:col>6</xdr:col>
      <xdr:colOff>349249</xdr:colOff>
      <xdr:row>4</xdr:row>
      <xdr:rowOff>31750</xdr:rowOff>
    </xdr:to>
    <mc:AlternateContent xmlns:mc="http://schemas.openxmlformats.org/markup-compatibility/2006" xmlns:a14="http://schemas.microsoft.com/office/drawing/2010/main">
      <mc:Choice Requires="a14">
        <xdr:graphicFrame macro="">
          <xdr:nvGraphicFramePr>
            <xdr:cNvPr id="17" name="Month">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55750" y="0"/>
              <a:ext cx="4579937"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349250</xdr:colOff>
      <xdr:row>5</xdr:row>
      <xdr:rowOff>84666</xdr:rowOff>
    </xdr:from>
    <xdr:to>
      <xdr:col>9</xdr:col>
      <xdr:colOff>613833</xdr:colOff>
      <xdr:row>13</xdr:row>
      <xdr:rowOff>31750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349250</xdr:colOff>
      <xdr:row>11</xdr:row>
      <xdr:rowOff>105833</xdr:rowOff>
    </xdr:from>
    <xdr:to>
      <xdr:col>9</xdr:col>
      <xdr:colOff>582083</xdr:colOff>
      <xdr:row>20</xdr:row>
      <xdr:rowOff>137583</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582083</xdr:colOff>
      <xdr:row>0</xdr:row>
      <xdr:rowOff>0</xdr:rowOff>
    </xdr:from>
    <xdr:to>
      <xdr:col>12</xdr:col>
      <xdr:colOff>338667</xdr:colOff>
      <xdr:row>7</xdr:row>
      <xdr:rowOff>105833</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687916</xdr:colOff>
      <xdr:row>7</xdr:row>
      <xdr:rowOff>74083</xdr:rowOff>
    </xdr:from>
    <xdr:to>
      <xdr:col>12</xdr:col>
      <xdr:colOff>306917</xdr:colOff>
      <xdr:row>21</xdr:row>
      <xdr:rowOff>0</xdr:rowOff>
    </xdr:to>
    <xdr:graphicFrame macro="">
      <xdr:nvGraphicFramePr>
        <xdr:cNvPr id="21" name="Chart 20">
          <a:extLst>
            <a:ext uri="{FF2B5EF4-FFF2-40B4-BE49-F238E27FC236}">
              <a16:creationId xmlns:a16="http://schemas.microsoft.com/office/drawing/2014/main" id="{00000000-0008-0000-0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1788582</xdr:colOff>
      <xdr:row>11</xdr:row>
      <xdr:rowOff>116418</xdr:rowOff>
    </xdr:from>
    <xdr:to>
      <xdr:col>11</xdr:col>
      <xdr:colOff>211666</xdr:colOff>
      <xdr:row>16</xdr:row>
      <xdr:rowOff>148168</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11906249" y="2021418"/>
          <a:ext cx="1714500" cy="98425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a:solidFill>
                <a:schemeClr val="tx1">
                  <a:lumMod val="50000"/>
                  <a:lumOff val="50000"/>
                </a:schemeClr>
              </a:solidFill>
              <a:latin typeface="Arial" panose="020B0604020202020204" pitchFamily="34" charset="0"/>
              <a:cs typeface="Arial" panose="020B0604020202020204" pitchFamily="34" charset="0"/>
            </a:rPr>
            <a:t>Media Source Analysis</a:t>
          </a:r>
        </a:p>
      </xdr:txBody>
    </xdr:sp>
    <xdr:clientData/>
  </xdr:twoCellAnchor>
  <xdr:twoCellAnchor>
    <xdr:from>
      <xdr:col>12</xdr:col>
      <xdr:colOff>412750</xdr:colOff>
      <xdr:row>5</xdr:row>
      <xdr:rowOff>42333</xdr:rowOff>
    </xdr:from>
    <xdr:to>
      <xdr:col>16</xdr:col>
      <xdr:colOff>0</xdr:colOff>
      <xdr:row>20</xdr:row>
      <xdr:rowOff>169333</xdr:rowOff>
    </xdr:to>
    <xdr:graphicFrame macro="">
      <xdr:nvGraphicFramePr>
        <xdr:cNvPr id="23" name="Chart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0</xdr:col>
          <xdr:colOff>1066800</xdr:colOff>
          <xdr:row>9</xdr:row>
          <xdr:rowOff>209550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247650</xdr:rowOff>
        </xdr:from>
        <xdr:to>
          <xdr:col>0</xdr:col>
          <xdr:colOff>1057275</xdr:colOff>
          <xdr:row>9</xdr:row>
          <xdr:rowOff>438150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8</xdr:col>
      <xdr:colOff>11206</xdr:colOff>
      <xdr:row>5</xdr:row>
      <xdr:rowOff>22411</xdr:rowOff>
    </xdr:from>
    <xdr:to>
      <xdr:col>14</xdr:col>
      <xdr:colOff>0</xdr:colOff>
      <xdr:row>8</xdr:row>
      <xdr:rowOff>142873</xdr:rowOff>
    </xdr:to>
    <mc:AlternateContent xmlns:mc="http://schemas.openxmlformats.org/markup-compatibility/2006" xmlns:a14="http://schemas.microsoft.com/office/drawing/2010/main">
      <mc:Choice Requires="a14">
        <xdr:graphicFrame macro="">
          <xdr:nvGraphicFramePr>
            <xdr:cNvPr id="4" name="Company / Organization">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ompany / Organization"/>
            </a:graphicData>
          </a:graphic>
        </xdr:graphicFrame>
      </mc:Choice>
      <mc:Fallback xmlns="">
        <xdr:sp macro="" textlink="">
          <xdr:nvSpPr>
            <xdr:cNvPr id="0" name=""/>
            <xdr:cNvSpPr>
              <a:spLocks noTextEdit="1"/>
            </xdr:cNvSpPr>
          </xdr:nvSpPr>
          <xdr:spPr>
            <a:xfrm>
              <a:off x="8428925" y="927286"/>
              <a:ext cx="6275294" cy="62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11206</xdr:colOff>
      <xdr:row>5</xdr:row>
      <xdr:rowOff>22412</xdr:rowOff>
    </xdr:from>
    <xdr:to>
      <xdr:col>7</xdr:col>
      <xdr:colOff>1042147</xdr:colOff>
      <xdr:row>8</xdr:row>
      <xdr:rowOff>145676</xdr:rowOff>
    </xdr:to>
    <mc:AlternateContent xmlns:mc="http://schemas.openxmlformats.org/markup-compatibility/2006" xmlns:a14="http://schemas.microsoft.com/office/drawing/2010/main">
      <mc:Choice Requires="a14">
        <xdr:graphicFrame macro="">
          <xdr:nvGraphicFramePr>
            <xdr:cNvPr id="5" name="Payment Statu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ayment Status"/>
            </a:graphicData>
          </a:graphic>
        </xdr:graphicFrame>
      </mc:Choice>
      <mc:Fallback xmlns="">
        <xdr:sp macro="" textlink="">
          <xdr:nvSpPr>
            <xdr:cNvPr id="0" name=""/>
            <xdr:cNvSpPr>
              <a:spLocks noTextEdit="1"/>
            </xdr:cNvSpPr>
          </xdr:nvSpPr>
          <xdr:spPr>
            <a:xfrm>
              <a:off x="6333425" y="927287"/>
              <a:ext cx="2078691" cy="6233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0</xdr:colOff>
      <xdr:row>0</xdr:row>
      <xdr:rowOff>0</xdr:rowOff>
    </xdr:from>
    <xdr:to>
      <xdr:col>15</xdr:col>
      <xdr:colOff>11206</xdr:colOff>
      <xdr:row>8</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297657</xdr:colOff>
      <xdr:row>0</xdr:row>
      <xdr:rowOff>0</xdr:rowOff>
    </xdr:from>
    <xdr:to>
      <xdr:col>5</xdr:col>
      <xdr:colOff>1035843</xdr:colOff>
      <xdr:row>8</xdr:row>
      <xdr:rowOff>154780</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1</xdr:col>
      <xdr:colOff>321468</xdr:colOff>
      <xdr:row>8</xdr:row>
      <xdr:rowOff>154781</xdr:rowOff>
    </xdr:to>
    <mc:AlternateContent xmlns:mc="http://schemas.openxmlformats.org/markup-compatibility/2006" xmlns:a14="http://schemas.microsoft.com/office/drawing/2010/main">
      <mc:Choice Requires="a14">
        <xdr:graphicFrame macro="">
          <xdr:nvGraphicFramePr>
            <xdr:cNvPr id="8" name="Campaign Status">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Campaign Status"/>
            </a:graphicData>
          </a:graphic>
        </xdr:graphicFrame>
      </mc:Choice>
      <mc:Fallback xmlns="">
        <xdr:sp macro="" textlink="">
          <xdr:nvSpPr>
            <xdr:cNvPr id="0" name=""/>
            <xdr:cNvSpPr>
              <a:spLocks noTextEdit="1"/>
            </xdr:cNvSpPr>
          </xdr:nvSpPr>
          <xdr:spPr>
            <a:xfrm>
              <a:off x="0" y="0"/>
              <a:ext cx="1404937" cy="15597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89.507791898148" createdVersion="6" refreshedVersion="6" minRefreshableVersion="3" recordCount="5" xr:uid="{B2D3DB03-94A5-4FF4-A79F-952FA3185B46}">
  <cacheSource type="worksheet">
    <worksheetSource name="camp"/>
  </cacheSource>
  <cacheFields count="14">
    <cacheField name="Campaign" numFmtId="0">
      <sharedItems count="5">
        <s v="Campaign 3"/>
        <s v="Campaign 1"/>
        <s v="Campaign 2"/>
        <s v="Campaign 4"/>
        <s v="Campaign 5"/>
      </sharedItems>
    </cacheField>
    <cacheField name="Articles Included" numFmtId="0">
      <sharedItems containsSemiMixedTypes="0" containsString="0" containsNumber="1" containsInteger="1" minValue="28" maxValue="51"/>
    </cacheField>
    <cacheField name="Starting Date" numFmtId="166">
      <sharedItems containsSemiMixedTypes="0" containsNonDate="0" containsDate="1" containsString="0" minDate="2020-11-07T00:00:00" maxDate="2021-02-05T00:00:00"/>
    </cacheField>
    <cacheField name="Ending Date" numFmtId="166">
      <sharedItems containsSemiMixedTypes="0" containsNonDate="0" containsDate="1" containsString="0" minDate="2020-12-22T00:00:00" maxDate="2021-03-03T00:00:00"/>
    </cacheField>
    <cacheField name="Campaign Duration In Days" numFmtId="0">
      <sharedItems containsSemiMixedTypes="0" containsString="0" containsNumber="1" containsInteger="1" minValue="26" maxValue="45"/>
    </cacheField>
    <cacheField name="Remain Days" numFmtId="0">
      <sharedItems/>
    </cacheField>
    <cacheField name="Company / Organization" numFmtId="0">
      <sharedItems count="5">
        <s v="Company 4"/>
        <s v="Company 3"/>
        <s v="Company 2"/>
        <s v="Company 6"/>
        <s v="Company 1"/>
      </sharedItems>
    </cacheField>
    <cacheField name="Contact Members" numFmtId="1">
      <sharedItems containsSemiMixedTypes="0" containsString="0" containsNumber="1" containsInteger="1" minValue="400" maxValue="1000"/>
    </cacheField>
    <cacheField name="Target Contact Members" numFmtId="1">
      <sharedItems containsSemiMixedTypes="0" containsString="0" containsNumber="1" containsInteger="1" minValue="200" maxValue="1300"/>
    </cacheField>
    <cacheField name="Achieve%" numFmtId="9">
      <sharedItems containsSemiMixedTypes="0" containsString="0" containsNumber="1" minValue="0.2857142857142857" maxValue="1.3"/>
    </cacheField>
    <cacheField name="Campaign Cost" numFmtId="168">
      <sharedItems containsSemiMixedTypes="0" containsString="0" containsNumber="1" containsInteger="1" minValue="100" maxValue="270"/>
    </cacheField>
    <cacheField name="Payment Status" numFmtId="168">
      <sharedItems count="3">
        <s v="Pending"/>
        <s v="Done"/>
        <s v="Refund"/>
      </sharedItems>
    </cacheField>
    <cacheField name="Campaign Status" numFmtId="0">
      <sharedItems count="4">
        <s v="Canceled"/>
        <s v="Open"/>
        <s v="Closed"/>
        <s v="Suspended"/>
      </sharedItems>
    </cacheField>
    <cacheField name="Remarks" numFmtId="0">
      <sharedItems containsBlank="1"/>
    </cacheField>
  </cacheFields>
  <extLst>
    <ext xmlns:x14="http://schemas.microsoft.com/office/spreadsheetml/2009/9/main" uri="{725AE2AE-9491-48be-B2B4-4EB974FC3084}">
      <x14:pivotCacheDefinition pivotCacheId="6446927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89.507792013887" createdVersion="6" refreshedVersion="6" minRefreshableVersion="3" recordCount="186" xr:uid="{0E80EDE6-3C0D-41A0-B4F2-94CF4D7F9D75}">
  <cacheSource type="worksheet">
    <worksheetSource name="PR"/>
  </cacheSource>
  <cacheFields count="18">
    <cacheField name="Date" numFmtId="166">
      <sharedItems containsSemiMixedTypes="0" containsNonDate="0" containsDate="1" containsString="0" minDate="2020-08-30T00:00:00" maxDate="2021-01-31T00:00:00" count="107">
        <d v="2021-01-21T00:00:00"/>
        <d v="2020-12-19T00:00:00"/>
        <d v="2020-12-26T00:00:00"/>
        <d v="2020-08-30T00:00:00"/>
        <d v="2020-10-05T00:00:00"/>
        <d v="2020-11-21T00:00:00"/>
        <d v="2020-08-31T00:00:00"/>
        <d v="2020-11-03T00:00:00"/>
        <d v="2020-10-13T00:00:00"/>
        <d v="2020-10-24T00:00:00"/>
        <d v="2020-11-19T00:00:00"/>
        <d v="2020-11-10T00:00:00"/>
        <d v="2020-09-09T00:00:00"/>
        <d v="2020-12-22T00:00:00"/>
        <d v="2020-12-29T00:00:00"/>
        <d v="2021-01-07T00:00:00"/>
        <d v="2020-10-04T00:00:00"/>
        <d v="2020-10-07T00:00:00"/>
        <d v="2020-10-30T00:00:00"/>
        <d v="2020-10-21T00:00:00"/>
        <d v="2020-10-09T00:00:00"/>
        <d v="2020-09-03T00:00:00"/>
        <d v="2020-10-18T00:00:00"/>
        <d v="2021-01-30T00:00:00"/>
        <d v="2020-11-08T00:00:00"/>
        <d v="2020-11-29T00:00:00"/>
        <d v="2020-09-04T00:00:00"/>
        <d v="2020-10-02T00:00:00"/>
        <d v="2021-01-16T00:00:00"/>
        <d v="2020-12-06T00:00:00"/>
        <d v="2020-11-30T00:00:00"/>
        <d v="2020-10-29T00:00:00"/>
        <d v="2020-12-14T00:00:00"/>
        <d v="2020-09-30T00:00:00"/>
        <d v="2021-01-20T00:00:00"/>
        <d v="2020-09-07T00:00:00"/>
        <d v="2020-11-18T00:00:00"/>
        <d v="2020-11-14T00:00:00"/>
        <d v="2020-10-08T00:00:00"/>
        <d v="2020-12-08T00:00:00"/>
        <d v="2020-09-11T00:00:00"/>
        <d v="2020-10-31T00:00:00"/>
        <d v="2020-09-21T00:00:00"/>
        <d v="2020-12-25T00:00:00"/>
        <d v="2020-09-27T00:00:00"/>
        <d v="2021-01-11T00:00:00"/>
        <d v="2020-12-02T00:00:00"/>
        <d v="2021-01-12T00:00:00"/>
        <d v="2021-01-01T00:00:00"/>
        <d v="2020-09-05T00:00:00"/>
        <d v="2020-10-11T00:00:00"/>
        <d v="2020-10-26T00:00:00"/>
        <d v="2020-11-24T00:00:00"/>
        <d v="2020-11-05T00:00:00"/>
        <d v="2020-10-25T00:00:00"/>
        <d v="2020-10-14T00:00:00"/>
        <d v="2020-10-22T00:00:00"/>
        <d v="2020-09-12T00:00:00"/>
        <d v="2020-12-24T00:00:00"/>
        <d v="2021-01-05T00:00:00"/>
        <d v="2020-11-28T00:00:00"/>
        <d v="2020-12-10T00:00:00"/>
        <d v="2020-11-17T00:00:00"/>
        <d v="2020-10-10T00:00:00"/>
        <d v="2020-12-27T00:00:00"/>
        <d v="2020-12-12T00:00:00"/>
        <d v="2020-11-13T00:00:00"/>
        <d v="2020-09-02T00:00:00"/>
        <d v="2020-09-08T00:00:00"/>
        <d v="2020-09-14T00:00:00"/>
        <d v="2020-10-12T00:00:00"/>
        <d v="2020-11-07T00:00:00"/>
        <d v="2020-09-06T00:00:00"/>
        <d v="2020-09-18T00:00:00"/>
        <d v="2020-11-02T00:00:00"/>
        <d v="2021-01-08T00:00:00"/>
        <d v="2020-09-24T00:00:00"/>
        <d v="2021-01-28T00:00:00"/>
        <d v="2021-01-24T00:00:00"/>
        <d v="2021-01-14T00:00:00"/>
        <d v="2020-11-06T00:00:00"/>
        <d v="2021-01-19T00:00:00"/>
        <d v="2020-11-27T00:00:00"/>
        <d v="2021-01-06T00:00:00"/>
        <d v="2020-11-11T00:00:00"/>
        <d v="2020-11-09T00:00:00"/>
        <d v="2020-09-01T00:00:00"/>
        <d v="2020-12-30T00:00:00"/>
        <d v="2020-12-03T00:00:00"/>
        <d v="2021-01-03T00:00:00"/>
        <d v="2021-01-22T00:00:00"/>
        <d v="2020-11-15T00:00:00"/>
        <d v="2020-09-25T00:00:00"/>
        <d v="2021-01-23T00:00:00"/>
        <d v="2020-09-15T00:00:00"/>
        <d v="2020-12-28T00:00:00"/>
        <d v="2020-10-23T00:00:00"/>
        <d v="2020-12-05T00:00:00"/>
        <d v="2020-11-22T00:00:00"/>
        <d v="2020-12-07T00:00:00"/>
        <d v="2020-11-23T00:00:00"/>
        <d v="2021-01-17T00:00:00"/>
        <d v="2020-12-11T00:00:00"/>
        <d v="2020-10-28T00:00:00"/>
        <d v="2020-10-06T00:00:00"/>
        <d v="2021-01-27T00:00:00"/>
        <d v="2020-11-25T00:00:00"/>
      </sharedItems>
      <fieldGroup par="17" base="0">
        <rangePr groupBy="months" startDate="2020-08-30T00:00:00" endDate="2021-01-31T00:00:00"/>
        <groupItems count="14">
          <s v="&lt;08/30/2020"/>
          <s v="Jan"/>
          <s v="Feb"/>
          <s v="Mar"/>
          <s v="Apr"/>
          <s v="May"/>
          <s v="Jun"/>
          <s v="Jul"/>
          <s v="Aug"/>
          <s v="Sep"/>
          <s v="Oct"/>
          <s v="Nov"/>
          <s v="Dec"/>
          <s v="&gt;01/31/2021"/>
        </groupItems>
      </fieldGroup>
    </cacheField>
    <cacheField name="Month" numFmtId="167">
      <sharedItems containsSemiMixedTypes="0" containsNonDate="0" containsDate="1" containsString="0" minDate="2020-08-30T00:00:00" maxDate="2021-01-31T00:00:00" count="107">
        <d v="2021-01-21T00:00:00"/>
        <d v="2020-12-19T00:00:00"/>
        <d v="2020-12-26T00:00:00"/>
        <d v="2020-08-30T00:00:00"/>
        <d v="2020-10-05T00:00:00"/>
        <d v="2020-11-21T00:00:00"/>
        <d v="2020-08-31T00:00:00"/>
        <d v="2020-11-03T00:00:00"/>
        <d v="2020-10-13T00:00:00"/>
        <d v="2020-10-24T00:00:00"/>
        <d v="2020-11-19T00:00:00"/>
        <d v="2020-11-10T00:00:00"/>
        <d v="2020-09-09T00:00:00"/>
        <d v="2020-12-22T00:00:00"/>
        <d v="2020-12-29T00:00:00"/>
        <d v="2021-01-07T00:00:00"/>
        <d v="2020-10-04T00:00:00"/>
        <d v="2020-10-07T00:00:00"/>
        <d v="2020-10-30T00:00:00"/>
        <d v="2020-10-21T00:00:00"/>
        <d v="2020-10-09T00:00:00"/>
        <d v="2020-09-03T00:00:00"/>
        <d v="2020-10-18T00:00:00"/>
        <d v="2021-01-30T00:00:00"/>
        <d v="2020-11-08T00:00:00"/>
        <d v="2020-11-29T00:00:00"/>
        <d v="2020-09-04T00:00:00"/>
        <d v="2020-10-02T00:00:00"/>
        <d v="2021-01-16T00:00:00"/>
        <d v="2020-12-06T00:00:00"/>
        <d v="2020-11-30T00:00:00"/>
        <d v="2020-10-29T00:00:00"/>
        <d v="2020-12-14T00:00:00"/>
        <d v="2020-09-30T00:00:00"/>
        <d v="2021-01-20T00:00:00"/>
        <d v="2020-09-07T00:00:00"/>
        <d v="2020-11-18T00:00:00"/>
        <d v="2020-11-14T00:00:00"/>
        <d v="2020-10-08T00:00:00"/>
        <d v="2020-12-08T00:00:00"/>
        <d v="2020-09-11T00:00:00"/>
        <d v="2020-10-31T00:00:00"/>
        <d v="2020-09-21T00:00:00"/>
        <d v="2020-12-25T00:00:00"/>
        <d v="2020-09-27T00:00:00"/>
        <d v="2021-01-11T00:00:00"/>
        <d v="2020-12-02T00:00:00"/>
        <d v="2021-01-12T00:00:00"/>
        <d v="2021-01-01T00:00:00"/>
        <d v="2020-09-05T00:00:00"/>
        <d v="2020-10-11T00:00:00"/>
        <d v="2020-10-26T00:00:00"/>
        <d v="2020-11-24T00:00:00"/>
        <d v="2020-11-05T00:00:00"/>
        <d v="2020-10-25T00:00:00"/>
        <d v="2020-10-14T00:00:00"/>
        <d v="2020-10-22T00:00:00"/>
        <d v="2020-09-12T00:00:00"/>
        <d v="2020-12-24T00:00:00"/>
        <d v="2021-01-05T00:00:00"/>
        <d v="2020-11-28T00:00:00"/>
        <d v="2020-12-10T00:00:00"/>
        <d v="2020-11-17T00:00:00"/>
        <d v="2020-10-10T00:00:00"/>
        <d v="2020-12-27T00:00:00"/>
        <d v="2020-12-12T00:00:00"/>
        <d v="2020-11-13T00:00:00"/>
        <d v="2020-09-02T00:00:00"/>
        <d v="2020-09-08T00:00:00"/>
        <d v="2020-09-14T00:00:00"/>
        <d v="2020-10-12T00:00:00"/>
        <d v="2020-11-07T00:00:00"/>
        <d v="2020-09-06T00:00:00"/>
        <d v="2020-09-18T00:00:00"/>
        <d v="2020-11-02T00:00:00"/>
        <d v="2021-01-08T00:00:00"/>
        <d v="2020-09-24T00:00:00"/>
        <d v="2021-01-28T00:00:00"/>
        <d v="2021-01-24T00:00:00"/>
        <d v="2021-01-14T00:00:00"/>
        <d v="2020-11-06T00:00:00"/>
        <d v="2021-01-19T00:00:00"/>
        <d v="2020-11-27T00:00:00"/>
        <d v="2021-01-06T00:00:00"/>
        <d v="2020-11-11T00:00:00"/>
        <d v="2020-11-09T00:00:00"/>
        <d v="2020-09-01T00:00:00"/>
        <d v="2020-12-30T00:00:00"/>
        <d v="2020-12-03T00:00:00"/>
        <d v="2021-01-03T00:00:00"/>
        <d v="2021-01-22T00:00:00"/>
        <d v="2020-11-15T00:00:00"/>
        <d v="2020-09-25T00:00:00"/>
        <d v="2021-01-23T00:00:00"/>
        <d v="2020-09-15T00:00:00"/>
        <d v="2020-12-28T00:00:00"/>
        <d v="2020-10-23T00:00:00"/>
        <d v="2020-12-05T00:00:00"/>
        <d v="2020-11-22T00:00:00"/>
        <d v="2020-12-07T00:00:00"/>
        <d v="2020-11-23T00:00:00"/>
        <d v="2021-01-17T00:00:00"/>
        <d v="2020-12-11T00:00:00"/>
        <d v="2020-10-28T00:00:00"/>
        <d v="2020-10-06T00:00:00"/>
        <d v="2021-01-27T00:00:00"/>
        <d v="2020-11-25T00:00:00"/>
      </sharedItems>
      <fieldGroup par="15" base="1">
        <rangePr groupBy="months" startDate="2020-08-30T00:00:00" endDate="2021-01-31T00:00:00"/>
        <groupItems count="14">
          <s v="&lt;08/30/2020"/>
          <s v="Jan"/>
          <s v="Feb"/>
          <s v="Mar"/>
          <s v="Apr"/>
          <s v="May"/>
          <s v="Jun"/>
          <s v="Jul"/>
          <s v="Aug"/>
          <s v="Sep"/>
          <s v="Oct"/>
          <s v="Nov"/>
          <s v="Dec"/>
          <s v="&gt;01/31/2021"/>
        </groupItems>
      </fieldGroup>
    </cacheField>
    <cacheField name="Campaign" numFmtId="167">
      <sharedItems/>
    </cacheField>
    <cacheField name="Journalist" numFmtId="0">
      <sharedItems count="7">
        <s v="Journalist 5"/>
        <s v="Journalist 6"/>
        <s v="Journalist 3"/>
        <s v="Journalist 7"/>
        <s v="Journalist 4"/>
        <s v="Jim Smith"/>
        <s v="Sara Paul"/>
      </sharedItems>
    </cacheField>
    <cacheField name="Contact Information" numFmtId="0">
      <sharedItems/>
    </cacheField>
    <cacheField name="Topic" numFmtId="0">
      <sharedItems/>
    </cacheField>
    <cacheField name="Channel" numFmtId="0">
      <sharedItems count="5">
        <s v="Channel 4"/>
        <s v="Channel 5"/>
        <s v="Other"/>
        <s v="Online"/>
        <s v="Print"/>
      </sharedItems>
    </cacheField>
    <cacheField name="Media Source" numFmtId="0">
      <sharedItems count="4">
        <s v="Source 3"/>
        <s v="Trade Journal"/>
        <s v="Online Magazine"/>
        <s v="Source 4"/>
      </sharedItems>
    </cacheField>
    <cacheField name="Link" numFmtId="0">
      <sharedItems/>
    </cacheField>
    <cacheField name="Article Category" numFmtId="0">
      <sharedItems count="7">
        <s v="Trend"/>
        <s v="Category 4"/>
        <s v="Category 7"/>
        <s v="Category 5"/>
        <s v="Review"/>
        <s v="Feature Story"/>
        <s v="Category 6"/>
      </sharedItems>
    </cacheField>
    <cacheField name="Monthly Placement Target" numFmtId="0">
      <sharedItems containsSemiMixedTypes="0" containsString="0" containsNumber="1" containsInteger="1" minValue="20" maxValue="40"/>
    </cacheField>
    <cacheField name="Favorability" numFmtId="0">
      <sharedItems count="3">
        <s v="Positive"/>
        <s v="Neutral"/>
        <s v="Negative"/>
      </sharedItems>
    </cacheField>
    <cacheField name="Impact" numFmtId="0">
      <sharedItems containsSemiMixedTypes="0" containsString="0" containsNumber="1" containsInteger="1" minValue="-5" maxValue="5"/>
    </cacheField>
    <cacheField name="Notes" numFmtId="0">
      <sharedItems containsNonDate="0" containsString="0" containsBlank="1"/>
    </cacheField>
    <cacheField name="Quarters" numFmtId="0" databaseField="0">
      <fieldGroup base="1">
        <rangePr groupBy="quarters" startDate="2020-08-30T00:00:00" endDate="2021-01-31T00:00:00"/>
        <groupItems count="6">
          <s v="&lt;08/30/2020"/>
          <s v="Qtr1"/>
          <s v="Qtr2"/>
          <s v="Qtr3"/>
          <s v="Qtr4"/>
          <s v="&gt;01/31/2021"/>
        </groupItems>
      </fieldGroup>
    </cacheField>
    <cacheField name="Years" numFmtId="0" databaseField="0">
      <fieldGroup base="1">
        <rangePr groupBy="years" startDate="2020-08-30T00:00:00" endDate="2021-01-31T00:00:00"/>
        <groupItems count="4">
          <s v="&lt;08/30/2020"/>
          <s v="2020"/>
          <s v="2021"/>
          <s v="&gt;01/31/2021"/>
        </groupItems>
      </fieldGroup>
    </cacheField>
    <cacheField name="Quarters2" numFmtId="0" databaseField="0">
      <fieldGroup base="0">
        <rangePr groupBy="quarters" startDate="2020-08-30T00:00:00" endDate="2021-01-31T00:00:00"/>
        <groupItems count="6">
          <s v="&lt;08/30/2020"/>
          <s v="Qtr1"/>
          <s v="Qtr2"/>
          <s v="Qtr3"/>
          <s v="Qtr4"/>
          <s v="&gt;01/31/2021"/>
        </groupItems>
      </fieldGroup>
    </cacheField>
    <cacheField name="Years2" numFmtId="0" databaseField="0">
      <fieldGroup base="0">
        <rangePr groupBy="years" startDate="2020-08-30T00:00:00" endDate="2021-01-31T00:00:00"/>
        <groupItems count="4">
          <s v="&lt;08/30/2020"/>
          <s v="2020"/>
          <s v="2021"/>
          <s v="&gt;01/31/2021"/>
        </groupItems>
      </fieldGroup>
    </cacheField>
  </cacheFields>
  <extLst>
    <ext xmlns:x14="http://schemas.microsoft.com/office/spreadsheetml/2009/9/main" uri="{725AE2AE-9491-48be-B2B4-4EB974FC3084}">
      <x14:pivotCacheDefinition pivotCacheId="13629304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51"/>
    <d v="2021-01-02T00:00:00"/>
    <d v="2021-02-01T00:00:00"/>
    <n v="30"/>
    <s v="Finished"/>
    <x v="0"/>
    <n v="500"/>
    <n v="400"/>
    <n v="0.8"/>
    <n v="150"/>
    <x v="0"/>
    <x v="0"/>
    <m/>
  </r>
  <r>
    <x v="1"/>
    <n v="34"/>
    <d v="2021-01-20T00:00:00"/>
    <d v="2021-02-17T00:00:00"/>
    <n v="28"/>
    <s v="Finished"/>
    <x v="1"/>
    <n v="800"/>
    <n v="450"/>
    <n v="0.5625"/>
    <n v="200"/>
    <x v="1"/>
    <x v="1"/>
    <m/>
  </r>
  <r>
    <x v="2"/>
    <n v="35"/>
    <d v="2020-11-07T00:00:00"/>
    <d v="2020-12-22T00:00:00"/>
    <n v="45"/>
    <s v="Finished"/>
    <x v="2"/>
    <n v="1000"/>
    <n v="1300"/>
    <n v="1.3"/>
    <n v="270"/>
    <x v="1"/>
    <x v="2"/>
    <m/>
  </r>
  <r>
    <x v="3"/>
    <n v="28"/>
    <d v="2021-02-01T00:00:00"/>
    <d v="2021-03-01T00:00:00"/>
    <n v="28"/>
    <s v="Finished"/>
    <x v="3"/>
    <n v="700"/>
    <n v="200"/>
    <n v="0.2857142857142857"/>
    <n v="100"/>
    <x v="0"/>
    <x v="2"/>
    <m/>
  </r>
  <r>
    <x v="4"/>
    <n v="38"/>
    <d v="2021-02-04T00:00:00"/>
    <d v="2021-03-02T00:00:00"/>
    <n v="26"/>
    <s v="Finished"/>
    <x v="4"/>
    <n v="400"/>
    <n v="350"/>
    <n v="0.875"/>
    <n v="170"/>
    <x v="2"/>
    <x v="3"/>
    <s v="Here You can write campaign issue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6">
  <r>
    <x v="0"/>
    <x v="0"/>
    <s v="Campaign 4"/>
    <x v="0"/>
    <s v="Email or Phone 5"/>
    <s v="Write topic description here 1"/>
    <x v="0"/>
    <x v="0"/>
    <s v="https://www.ArticleLink.com/1"/>
    <x v="0"/>
    <n v="30"/>
    <x v="0"/>
    <n v="-2"/>
    <m/>
  </r>
  <r>
    <x v="1"/>
    <x v="1"/>
    <s v="Campaign 2"/>
    <x v="1"/>
    <s v="Email or Phone 6"/>
    <s v="Write topic description here 2"/>
    <x v="1"/>
    <x v="0"/>
    <s v="https://www.ArticleLink.com/2"/>
    <x v="1"/>
    <n v="20"/>
    <x v="0"/>
    <n v="-3"/>
    <m/>
  </r>
  <r>
    <x v="2"/>
    <x v="2"/>
    <s v="Campaign 1"/>
    <x v="2"/>
    <s v="Email or Phone 3"/>
    <s v="Write topic description here 3"/>
    <x v="0"/>
    <x v="1"/>
    <s v="https://www.ArticleLink.com/3"/>
    <x v="2"/>
    <n v="30"/>
    <x v="1"/>
    <n v="5"/>
    <m/>
  </r>
  <r>
    <x v="3"/>
    <x v="3"/>
    <s v="Campaign 3"/>
    <x v="3"/>
    <s v="Email or Phone 7"/>
    <s v="Write topic description here 4"/>
    <x v="1"/>
    <x v="2"/>
    <s v="https://www.ArticleLink.com/4"/>
    <x v="3"/>
    <n v="40"/>
    <x v="0"/>
    <n v="-1"/>
    <m/>
  </r>
  <r>
    <x v="4"/>
    <x v="4"/>
    <s v="Campaign 2"/>
    <x v="3"/>
    <s v="Email or Phone 7"/>
    <s v="Write topic description here 5"/>
    <x v="2"/>
    <x v="1"/>
    <s v="https://www.ArticleLink.com/5"/>
    <x v="4"/>
    <n v="20"/>
    <x v="1"/>
    <n v="-2"/>
    <m/>
  </r>
  <r>
    <x v="5"/>
    <x v="5"/>
    <s v="Campaign 1"/>
    <x v="3"/>
    <s v="Email or Phone 7"/>
    <s v="Write topic description here 6"/>
    <x v="1"/>
    <x v="0"/>
    <s v="https://www.ArticleLink.com/6"/>
    <x v="0"/>
    <n v="30"/>
    <x v="1"/>
    <n v="-1"/>
    <m/>
  </r>
  <r>
    <x v="6"/>
    <x v="6"/>
    <s v="Campaign 1"/>
    <x v="3"/>
    <s v="Email or Phone 7"/>
    <s v="Write topic description here 7"/>
    <x v="2"/>
    <x v="3"/>
    <s v="https://www.ArticleLink.com/7"/>
    <x v="1"/>
    <n v="20"/>
    <x v="2"/>
    <n v="-3"/>
    <m/>
  </r>
  <r>
    <x v="7"/>
    <x v="7"/>
    <s v="Campaign 3"/>
    <x v="1"/>
    <s v="Email or Phone 6"/>
    <s v="Write topic description here 8"/>
    <x v="2"/>
    <x v="3"/>
    <s v="https://www.ArticleLink.com/8"/>
    <x v="0"/>
    <n v="30"/>
    <x v="1"/>
    <n v="2"/>
    <m/>
  </r>
  <r>
    <x v="8"/>
    <x v="8"/>
    <s v="Campaign 5"/>
    <x v="0"/>
    <s v="Email or Phone 5"/>
    <s v="Write topic description here 9"/>
    <x v="0"/>
    <x v="2"/>
    <s v="https://www.ArticleLink.com/9"/>
    <x v="3"/>
    <n v="40"/>
    <x v="0"/>
    <n v="-5"/>
    <m/>
  </r>
  <r>
    <x v="9"/>
    <x v="9"/>
    <s v="Campaign 5"/>
    <x v="4"/>
    <s v="Email or Phone 4"/>
    <s v="Write topic description here 10"/>
    <x v="2"/>
    <x v="1"/>
    <s v="https://www.ArticleLink.com/10"/>
    <x v="1"/>
    <n v="20"/>
    <x v="1"/>
    <n v="-1"/>
    <m/>
  </r>
  <r>
    <x v="10"/>
    <x v="10"/>
    <s v="Campaign 4"/>
    <x v="5"/>
    <s v="Email or Phone 1"/>
    <s v="Write topic description here 11"/>
    <x v="3"/>
    <x v="3"/>
    <s v="https://www.ArticleLink.com/11"/>
    <x v="0"/>
    <n v="30"/>
    <x v="2"/>
    <n v="-3"/>
    <m/>
  </r>
  <r>
    <x v="11"/>
    <x v="11"/>
    <s v="Campaign 5"/>
    <x v="1"/>
    <s v="Email or Phone 6"/>
    <s v="Write topic description here 12"/>
    <x v="1"/>
    <x v="3"/>
    <s v="https://www.ArticleLink.com/12"/>
    <x v="2"/>
    <n v="30"/>
    <x v="0"/>
    <n v="-3"/>
    <m/>
  </r>
  <r>
    <x v="12"/>
    <x v="12"/>
    <s v="Campaign 5"/>
    <x v="5"/>
    <s v="Email or Phone 1"/>
    <s v="Write topic description here 13"/>
    <x v="1"/>
    <x v="2"/>
    <s v="https://www.ArticleLink.com/13"/>
    <x v="3"/>
    <n v="40"/>
    <x v="0"/>
    <n v="-5"/>
    <m/>
  </r>
  <r>
    <x v="13"/>
    <x v="13"/>
    <s v="Campaign 1"/>
    <x v="0"/>
    <s v="Email or Phone 5"/>
    <s v="Write topic description here 14"/>
    <x v="3"/>
    <x v="2"/>
    <s v="https://www.ArticleLink.com/14"/>
    <x v="5"/>
    <n v="20"/>
    <x v="1"/>
    <n v="2"/>
    <m/>
  </r>
  <r>
    <x v="14"/>
    <x v="14"/>
    <s v="Campaign 2"/>
    <x v="2"/>
    <s v="Email or Phone 3"/>
    <s v="Write topic description here 15"/>
    <x v="4"/>
    <x v="1"/>
    <s v="https://www.ArticleLink.com/15"/>
    <x v="5"/>
    <n v="20"/>
    <x v="2"/>
    <n v="1"/>
    <m/>
  </r>
  <r>
    <x v="15"/>
    <x v="15"/>
    <s v="Campaign 5"/>
    <x v="6"/>
    <s v="Email or Phone 2"/>
    <s v="Write topic description here 16"/>
    <x v="0"/>
    <x v="0"/>
    <s v="https://www.ArticleLink.com/16"/>
    <x v="5"/>
    <n v="20"/>
    <x v="0"/>
    <n v="2"/>
    <m/>
  </r>
  <r>
    <x v="16"/>
    <x v="16"/>
    <s v="Campaign 1"/>
    <x v="6"/>
    <s v="Email or Phone 2"/>
    <s v="Write topic description here 17"/>
    <x v="3"/>
    <x v="2"/>
    <s v="https://www.ArticleLink.com/17"/>
    <x v="6"/>
    <n v="40"/>
    <x v="2"/>
    <n v="1"/>
    <m/>
  </r>
  <r>
    <x v="2"/>
    <x v="2"/>
    <s v="Campaign 5"/>
    <x v="2"/>
    <s v="Email or Phone 3"/>
    <s v="Write topic description here 18"/>
    <x v="2"/>
    <x v="0"/>
    <s v="https://www.ArticleLink.com/18"/>
    <x v="4"/>
    <n v="20"/>
    <x v="1"/>
    <n v="2"/>
    <m/>
  </r>
  <r>
    <x v="17"/>
    <x v="17"/>
    <s v="Campaign 5"/>
    <x v="6"/>
    <s v="Email or Phone 2"/>
    <s v="Write topic description here 19"/>
    <x v="4"/>
    <x v="3"/>
    <s v="https://www.ArticleLink.com/19"/>
    <x v="0"/>
    <n v="30"/>
    <x v="0"/>
    <n v="-5"/>
    <m/>
  </r>
  <r>
    <x v="18"/>
    <x v="18"/>
    <s v="Campaign 1"/>
    <x v="5"/>
    <s v="Email or Phone 1"/>
    <s v="Write topic description here 20"/>
    <x v="0"/>
    <x v="1"/>
    <s v="https://www.ArticleLink.com/20"/>
    <x v="0"/>
    <n v="30"/>
    <x v="1"/>
    <n v="-1"/>
    <m/>
  </r>
  <r>
    <x v="19"/>
    <x v="19"/>
    <s v="Campaign 3"/>
    <x v="6"/>
    <s v="Email or Phone 2"/>
    <s v="Write topic description here 21"/>
    <x v="3"/>
    <x v="0"/>
    <s v="https://www.ArticleLink.com/21"/>
    <x v="0"/>
    <n v="30"/>
    <x v="1"/>
    <n v="-2"/>
    <m/>
  </r>
  <r>
    <x v="20"/>
    <x v="20"/>
    <s v="Campaign 2"/>
    <x v="4"/>
    <s v="Email or Phone 4"/>
    <s v="Write topic description here 22"/>
    <x v="1"/>
    <x v="1"/>
    <s v="https://www.ArticleLink.com/22"/>
    <x v="0"/>
    <n v="30"/>
    <x v="1"/>
    <n v="0"/>
    <m/>
  </r>
  <r>
    <x v="19"/>
    <x v="19"/>
    <s v="Campaign 4"/>
    <x v="1"/>
    <s v="Email or Phone 6"/>
    <s v="Write topic description here 23"/>
    <x v="2"/>
    <x v="0"/>
    <s v="https://www.ArticleLink.com/23"/>
    <x v="5"/>
    <n v="20"/>
    <x v="1"/>
    <n v="3"/>
    <m/>
  </r>
  <r>
    <x v="19"/>
    <x v="19"/>
    <s v="Campaign 3"/>
    <x v="3"/>
    <s v="Email or Phone 7"/>
    <s v="Write topic description here 24"/>
    <x v="0"/>
    <x v="0"/>
    <s v="https://www.ArticleLink.com/24"/>
    <x v="4"/>
    <n v="20"/>
    <x v="1"/>
    <n v="3"/>
    <m/>
  </r>
  <r>
    <x v="21"/>
    <x v="21"/>
    <s v="Campaign 3"/>
    <x v="2"/>
    <s v="Email or Phone 3"/>
    <s v="Write topic description here 25"/>
    <x v="1"/>
    <x v="2"/>
    <s v="https://www.ArticleLink.com/25"/>
    <x v="4"/>
    <n v="20"/>
    <x v="2"/>
    <n v="-5"/>
    <m/>
  </r>
  <r>
    <x v="22"/>
    <x v="22"/>
    <s v="Campaign 3"/>
    <x v="5"/>
    <s v="Email or Phone 1"/>
    <s v="Write topic description here 26"/>
    <x v="4"/>
    <x v="3"/>
    <s v="https://www.ArticleLink.com/26"/>
    <x v="0"/>
    <n v="30"/>
    <x v="0"/>
    <n v="5"/>
    <m/>
  </r>
  <r>
    <x v="23"/>
    <x v="23"/>
    <s v="Campaign 2"/>
    <x v="2"/>
    <s v="Email or Phone 3"/>
    <s v="Write topic description here 27"/>
    <x v="3"/>
    <x v="2"/>
    <s v="https://www.ArticleLink.com/27"/>
    <x v="4"/>
    <n v="20"/>
    <x v="2"/>
    <n v="-2"/>
    <m/>
  </r>
  <r>
    <x v="11"/>
    <x v="11"/>
    <s v="Campaign 1"/>
    <x v="0"/>
    <s v="Email or Phone 5"/>
    <s v="Write topic description here 28"/>
    <x v="0"/>
    <x v="0"/>
    <s v="https://www.ArticleLink.com/28"/>
    <x v="0"/>
    <n v="30"/>
    <x v="0"/>
    <n v="-3"/>
    <m/>
  </r>
  <r>
    <x v="24"/>
    <x v="24"/>
    <s v="Campaign 3"/>
    <x v="1"/>
    <s v="Email or Phone 6"/>
    <s v="Write topic description here 29"/>
    <x v="0"/>
    <x v="0"/>
    <s v="https://www.ArticleLink.com/29"/>
    <x v="2"/>
    <n v="30"/>
    <x v="0"/>
    <n v="-4"/>
    <m/>
  </r>
  <r>
    <x v="25"/>
    <x v="25"/>
    <s v="Campaign 5"/>
    <x v="5"/>
    <s v="Email or Phone 1"/>
    <s v="Write topic description here 30"/>
    <x v="0"/>
    <x v="1"/>
    <s v="https://www.ArticleLink.com/30"/>
    <x v="1"/>
    <n v="20"/>
    <x v="0"/>
    <n v="5"/>
    <m/>
  </r>
  <r>
    <x v="26"/>
    <x v="26"/>
    <s v="Campaign 1"/>
    <x v="6"/>
    <s v="Email or Phone 2"/>
    <s v="Write topic description here 31"/>
    <x v="1"/>
    <x v="1"/>
    <s v="https://www.ArticleLink.com/31"/>
    <x v="3"/>
    <n v="40"/>
    <x v="1"/>
    <n v="2"/>
    <m/>
  </r>
  <r>
    <x v="12"/>
    <x v="12"/>
    <s v="Campaign 1"/>
    <x v="1"/>
    <s v="Email or Phone 6"/>
    <s v="Write topic description here 32"/>
    <x v="3"/>
    <x v="3"/>
    <s v="https://www.ArticleLink.com/32"/>
    <x v="2"/>
    <n v="30"/>
    <x v="0"/>
    <n v="-2"/>
    <m/>
  </r>
  <r>
    <x v="27"/>
    <x v="27"/>
    <s v="Campaign 3"/>
    <x v="0"/>
    <s v="Email or Phone 5"/>
    <s v="Write topic description here 33"/>
    <x v="2"/>
    <x v="0"/>
    <s v="https://www.ArticleLink.com/33"/>
    <x v="2"/>
    <n v="30"/>
    <x v="0"/>
    <n v="-4"/>
    <m/>
  </r>
  <r>
    <x v="24"/>
    <x v="24"/>
    <s v="Campaign 5"/>
    <x v="4"/>
    <s v="Email or Phone 4"/>
    <s v="Write topic description here 34"/>
    <x v="1"/>
    <x v="0"/>
    <s v="https://www.ArticleLink.com/34"/>
    <x v="2"/>
    <n v="30"/>
    <x v="0"/>
    <n v="1"/>
    <m/>
  </r>
  <r>
    <x v="28"/>
    <x v="28"/>
    <s v="Campaign 2"/>
    <x v="6"/>
    <s v="Email or Phone 2"/>
    <s v="Write topic description here 35"/>
    <x v="0"/>
    <x v="2"/>
    <s v="https://www.ArticleLink.com/35"/>
    <x v="6"/>
    <n v="40"/>
    <x v="0"/>
    <n v="-5"/>
    <m/>
  </r>
  <r>
    <x v="29"/>
    <x v="29"/>
    <s v="Campaign 1"/>
    <x v="1"/>
    <s v="Email or Phone 6"/>
    <s v="Write topic description here 36"/>
    <x v="2"/>
    <x v="1"/>
    <s v="https://www.ArticleLink.com/36"/>
    <x v="1"/>
    <n v="20"/>
    <x v="1"/>
    <n v="4"/>
    <m/>
  </r>
  <r>
    <x v="30"/>
    <x v="30"/>
    <s v="Campaign 3"/>
    <x v="4"/>
    <s v="Email or Phone 4"/>
    <s v="Write topic description here 37"/>
    <x v="3"/>
    <x v="2"/>
    <s v="https://www.ArticleLink.com/37"/>
    <x v="5"/>
    <n v="20"/>
    <x v="1"/>
    <n v="-1"/>
    <m/>
  </r>
  <r>
    <x v="31"/>
    <x v="31"/>
    <s v="Campaign 1"/>
    <x v="6"/>
    <s v="Email or Phone 2"/>
    <s v="Write topic description here 38"/>
    <x v="1"/>
    <x v="3"/>
    <s v="https://www.ArticleLink.com/38"/>
    <x v="2"/>
    <n v="30"/>
    <x v="2"/>
    <n v="-5"/>
    <m/>
  </r>
  <r>
    <x v="22"/>
    <x v="22"/>
    <s v="Campaign 5"/>
    <x v="3"/>
    <s v="Email or Phone 7"/>
    <s v="Write topic description here 39"/>
    <x v="4"/>
    <x v="2"/>
    <s v="https://www.ArticleLink.com/39"/>
    <x v="2"/>
    <n v="30"/>
    <x v="0"/>
    <n v="3"/>
    <m/>
  </r>
  <r>
    <x v="32"/>
    <x v="32"/>
    <s v="Campaign 4"/>
    <x v="4"/>
    <s v="Email or Phone 4"/>
    <s v="Write topic description here 40"/>
    <x v="0"/>
    <x v="0"/>
    <s v="https://www.ArticleLink.com/40"/>
    <x v="1"/>
    <n v="20"/>
    <x v="2"/>
    <n v="3"/>
    <m/>
  </r>
  <r>
    <x v="33"/>
    <x v="33"/>
    <s v="Campaign 4"/>
    <x v="6"/>
    <s v="Email or Phone 2"/>
    <s v="Write topic description here 41"/>
    <x v="2"/>
    <x v="3"/>
    <s v="https://www.ArticleLink.com/41"/>
    <x v="4"/>
    <n v="20"/>
    <x v="0"/>
    <n v="4"/>
    <m/>
  </r>
  <r>
    <x v="34"/>
    <x v="34"/>
    <s v="Campaign 3"/>
    <x v="4"/>
    <s v="Email or Phone 4"/>
    <s v="Write topic description here 42"/>
    <x v="3"/>
    <x v="3"/>
    <s v="https://www.ArticleLink.com/42"/>
    <x v="6"/>
    <n v="40"/>
    <x v="1"/>
    <n v="-1"/>
    <m/>
  </r>
  <r>
    <x v="35"/>
    <x v="35"/>
    <s v="Campaign 1"/>
    <x v="4"/>
    <s v="Email or Phone 4"/>
    <s v="Write topic description here 43"/>
    <x v="2"/>
    <x v="2"/>
    <s v="https://www.ArticleLink.com/43"/>
    <x v="2"/>
    <n v="30"/>
    <x v="1"/>
    <n v="4"/>
    <m/>
  </r>
  <r>
    <x v="36"/>
    <x v="36"/>
    <s v="Campaign 3"/>
    <x v="0"/>
    <s v="Email or Phone 5"/>
    <s v="Write topic description here 44"/>
    <x v="2"/>
    <x v="3"/>
    <s v="https://www.ArticleLink.com/44"/>
    <x v="2"/>
    <n v="30"/>
    <x v="1"/>
    <n v="-3"/>
    <m/>
  </r>
  <r>
    <x v="37"/>
    <x v="37"/>
    <s v="Campaign 2"/>
    <x v="4"/>
    <s v="Email or Phone 4"/>
    <s v="Write topic description here 45"/>
    <x v="0"/>
    <x v="3"/>
    <s v="https://www.ArticleLink.com/45"/>
    <x v="5"/>
    <n v="20"/>
    <x v="0"/>
    <n v="4"/>
    <m/>
  </r>
  <r>
    <x v="11"/>
    <x v="11"/>
    <s v="Campaign 4"/>
    <x v="1"/>
    <s v="Email or Phone 6"/>
    <s v="Write topic description here 46"/>
    <x v="0"/>
    <x v="2"/>
    <s v="https://www.ArticleLink.com/46"/>
    <x v="3"/>
    <n v="40"/>
    <x v="1"/>
    <n v="5"/>
    <m/>
  </r>
  <r>
    <x v="38"/>
    <x v="38"/>
    <s v="Campaign 2"/>
    <x v="5"/>
    <s v="Email or Phone 1"/>
    <s v="Write topic description here 47"/>
    <x v="0"/>
    <x v="2"/>
    <s v="https://www.ArticleLink.com/47"/>
    <x v="2"/>
    <n v="30"/>
    <x v="0"/>
    <n v="-4"/>
    <m/>
  </r>
  <r>
    <x v="39"/>
    <x v="39"/>
    <s v="Campaign 5"/>
    <x v="5"/>
    <s v="Email or Phone 1"/>
    <s v="Write topic description here 48"/>
    <x v="3"/>
    <x v="3"/>
    <s v="https://www.ArticleLink.com/48"/>
    <x v="1"/>
    <n v="20"/>
    <x v="1"/>
    <n v="0"/>
    <m/>
  </r>
  <r>
    <x v="40"/>
    <x v="40"/>
    <s v="Campaign 3"/>
    <x v="3"/>
    <s v="Email or Phone 7"/>
    <s v="Write topic description here 49"/>
    <x v="4"/>
    <x v="2"/>
    <s v="https://www.ArticleLink.com/49"/>
    <x v="1"/>
    <n v="20"/>
    <x v="2"/>
    <n v="0"/>
    <m/>
  </r>
  <r>
    <x v="41"/>
    <x v="41"/>
    <s v="Campaign 4"/>
    <x v="0"/>
    <s v="Email or Phone 5"/>
    <s v="Write topic description here 50"/>
    <x v="3"/>
    <x v="1"/>
    <s v="https://www.ArticleLink.com/50"/>
    <x v="2"/>
    <n v="30"/>
    <x v="0"/>
    <n v="-3"/>
    <m/>
  </r>
  <r>
    <x v="42"/>
    <x v="42"/>
    <s v="Campaign 5"/>
    <x v="3"/>
    <s v="Email or Phone 7"/>
    <s v="Write topic description here 51"/>
    <x v="3"/>
    <x v="0"/>
    <s v="https://www.ArticleLink.com/51"/>
    <x v="0"/>
    <n v="30"/>
    <x v="2"/>
    <n v="5"/>
    <m/>
  </r>
  <r>
    <x v="43"/>
    <x v="43"/>
    <s v="Campaign 5"/>
    <x v="3"/>
    <s v="Email or Phone 7"/>
    <s v="Write topic description here 52"/>
    <x v="4"/>
    <x v="0"/>
    <s v="https://www.ArticleLink.com/52"/>
    <x v="4"/>
    <n v="20"/>
    <x v="0"/>
    <n v="4"/>
    <m/>
  </r>
  <r>
    <x v="9"/>
    <x v="9"/>
    <s v="Campaign 1"/>
    <x v="6"/>
    <s v="Email or Phone 2"/>
    <s v="Write topic description here 53"/>
    <x v="1"/>
    <x v="3"/>
    <s v="https://www.ArticleLink.com/53"/>
    <x v="2"/>
    <n v="30"/>
    <x v="0"/>
    <n v="2"/>
    <m/>
  </r>
  <r>
    <x v="44"/>
    <x v="44"/>
    <s v="Campaign 1"/>
    <x v="5"/>
    <s v="Email or Phone 1"/>
    <s v="Write topic description here 54"/>
    <x v="2"/>
    <x v="0"/>
    <s v="https://www.ArticleLink.com/54"/>
    <x v="2"/>
    <n v="30"/>
    <x v="1"/>
    <n v="0"/>
    <m/>
  </r>
  <r>
    <x v="45"/>
    <x v="45"/>
    <s v="Campaign 5"/>
    <x v="3"/>
    <s v="Email or Phone 7"/>
    <s v="Write topic description here 55"/>
    <x v="2"/>
    <x v="0"/>
    <s v="https://www.ArticleLink.com/55"/>
    <x v="6"/>
    <n v="40"/>
    <x v="0"/>
    <n v="-5"/>
    <m/>
  </r>
  <r>
    <x v="46"/>
    <x v="46"/>
    <s v="Campaign 3"/>
    <x v="6"/>
    <s v="Email or Phone 2"/>
    <s v="Write topic description here 56"/>
    <x v="3"/>
    <x v="1"/>
    <s v="https://www.ArticleLink.com/56"/>
    <x v="2"/>
    <n v="30"/>
    <x v="2"/>
    <n v="2"/>
    <m/>
  </r>
  <r>
    <x v="47"/>
    <x v="47"/>
    <s v="Campaign 4"/>
    <x v="2"/>
    <s v="Email or Phone 3"/>
    <s v="Write topic description here 57"/>
    <x v="1"/>
    <x v="0"/>
    <s v="https://www.ArticleLink.com/57"/>
    <x v="4"/>
    <n v="20"/>
    <x v="1"/>
    <n v="0"/>
    <m/>
  </r>
  <r>
    <x v="48"/>
    <x v="48"/>
    <s v="Campaign 3"/>
    <x v="4"/>
    <s v="Email or Phone 4"/>
    <s v="Write topic description here 58"/>
    <x v="3"/>
    <x v="3"/>
    <s v="https://www.ArticleLink.com/58"/>
    <x v="2"/>
    <n v="30"/>
    <x v="2"/>
    <n v="2"/>
    <m/>
  </r>
  <r>
    <x v="49"/>
    <x v="49"/>
    <s v="Campaign 5"/>
    <x v="1"/>
    <s v="Email or Phone 6"/>
    <s v="Write topic description here 59"/>
    <x v="4"/>
    <x v="0"/>
    <s v="https://www.ArticleLink.com/59"/>
    <x v="1"/>
    <n v="20"/>
    <x v="1"/>
    <n v="2"/>
    <m/>
  </r>
  <r>
    <x v="50"/>
    <x v="50"/>
    <s v="Campaign 5"/>
    <x v="0"/>
    <s v="Email or Phone 5"/>
    <s v="Write topic description here 60"/>
    <x v="2"/>
    <x v="0"/>
    <s v="https://www.ArticleLink.com/60"/>
    <x v="2"/>
    <n v="30"/>
    <x v="2"/>
    <n v="-4"/>
    <m/>
  </r>
  <r>
    <x v="51"/>
    <x v="51"/>
    <s v="Campaign 3"/>
    <x v="5"/>
    <s v="Email or Phone 1"/>
    <s v="Write topic description here 61"/>
    <x v="4"/>
    <x v="2"/>
    <s v="https://www.ArticleLink.com/61"/>
    <x v="1"/>
    <n v="20"/>
    <x v="0"/>
    <n v="-4"/>
    <m/>
  </r>
  <r>
    <x v="52"/>
    <x v="52"/>
    <s v="Campaign 5"/>
    <x v="1"/>
    <s v="Email or Phone 6"/>
    <s v="Write topic description here 62"/>
    <x v="1"/>
    <x v="3"/>
    <s v="https://www.ArticleLink.com/62"/>
    <x v="2"/>
    <n v="30"/>
    <x v="2"/>
    <n v="-3"/>
    <m/>
  </r>
  <r>
    <x v="53"/>
    <x v="53"/>
    <s v="Campaign 3"/>
    <x v="2"/>
    <s v="Email or Phone 3"/>
    <s v="Write topic description here 63"/>
    <x v="0"/>
    <x v="1"/>
    <s v="https://www.ArticleLink.com/63"/>
    <x v="1"/>
    <n v="20"/>
    <x v="2"/>
    <n v="-5"/>
    <m/>
  </r>
  <r>
    <x v="33"/>
    <x v="33"/>
    <s v="Campaign 2"/>
    <x v="0"/>
    <s v="Email or Phone 5"/>
    <s v="Write topic description here 64"/>
    <x v="2"/>
    <x v="0"/>
    <s v="https://www.ArticleLink.com/64"/>
    <x v="0"/>
    <n v="30"/>
    <x v="1"/>
    <n v="3"/>
    <m/>
  </r>
  <r>
    <x v="54"/>
    <x v="54"/>
    <s v="Campaign 2"/>
    <x v="4"/>
    <s v="Email or Phone 4"/>
    <s v="Write topic description here 65"/>
    <x v="4"/>
    <x v="2"/>
    <s v="https://www.ArticleLink.com/65"/>
    <x v="3"/>
    <n v="40"/>
    <x v="0"/>
    <n v="-4"/>
    <m/>
  </r>
  <r>
    <x v="55"/>
    <x v="55"/>
    <s v="Campaign 3"/>
    <x v="5"/>
    <s v="Email or Phone 1"/>
    <s v="Write topic description here 66"/>
    <x v="4"/>
    <x v="3"/>
    <s v="https://www.ArticleLink.com/66"/>
    <x v="1"/>
    <n v="20"/>
    <x v="1"/>
    <n v="2"/>
    <m/>
  </r>
  <r>
    <x v="56"/>
    <x v="56"/>
    <s v="Campaign 1"/>
    <x v="1"/>
    <s v="Email or Phone 6"/>
    <s v="Write topic description here 67"/>
    <x v="1"/>
    <x v="0"/>
    <s v="https://www.ArticleLink.com/67"/>
    <x v="6"/>
    <n v="40"/>
    <x v="0"/>
    <n v="0"/>
    <m/>
  </r>
  <r>
    <x v="40"/>
    <x v="40"/>
    <s v="Campaign 3"/>
    <x v="3"/>
    <s v="Email or Phone 7"/>
    <s v="Write topic description here 68"/>
    <x v="3"/>
    <x v="0"/>
    <s v="https://www.ArticleLink.com/68"/>
    <x v="3"/>
    <n v="40"/>
    <x v="0"/>
    <n v="1"/>
    <m/>
  </r>
  <r>
    <x v="25"/>
    <x v="25"/>
    <s v="Campaign 2"/>
    <x v="2"/>
    <s v="Email or Phone 3"/>
    <s v="Write topic description here 69"/>
    <x v="1"/>
    <x v="1"/>
    <s v="https://www.ArticleLink.com/69"/>
    <x v="6"/>
    <n v="40"/>
    <x v="0"/>
    <n v="0"/>
    <m/>
  </r>
  <r>
    <x v="57"/>
    <x v="57"/>
    <s v="Campaign 3"/>
    <x v="4"/>
    <s v="Email or Phone 4"/>
    <s v="Write topic description here 70"/>
    <x v="1"/>
    <x v="2"/>
    <s v="https://www.ArticleLink.com/70"/>
    <x v="4"/>
    <n v="20"/>
    <x v="2"/>
    <n v="5"/>
    <m/>
  </r>
  <r>
    <x v="58"/>
    <x v="58"/>
    <s v="Campaign 5"/>
    <x v="1"/>
    <s v="Email or Phone 6"/>
    <s v="Write topic description here 71"/>
    <x v="2"/>
    <x v="3"/>
    <s v="https://www.ArticleLink.com/71"/>
    <x v="5"/>
    <n v="20"/>
    <x v="1"/>
    <n v="2"/>
    <m/>
  </r>
  <r>
    <x v="23"/>
    <x v="23"/>
    <s v="Campaign 3"/>
    <x v="0"/>
    <s v="Email or Phone 5"/>
    <s v="Write topic description here 72"/>
    <x v="2"/>
    <x v="3"/>
    <s v="https://www.ArticleLink.com/72"/>
    <x v="6"/>
    <n v="40"/>
    <x v="2"/>
    <n v="2"/>
    <m/>
  </r>
  <r>
    <x v="7"/>
    <x v="7"/>
    <s v="Campaign 4"/>
    <x v="6"/>
    <s v="Email or Phone 2"/>
    <s v="Write topic description here 73"/>
    <x v="2"/>
    <x v="3"/>
    <s v="https://www.ArticleLink.com/73"/>
    <x v="2"/>
    <n v="30"/>
    <x v="1"/>
    <n v="3"/>
    <m/>
  </r>
  <r>
    <x v="59"/>
    <x v="59"/>
    <s v="Campaign 5"/>
    <x v="1"/>
    <s v="Email or Phone 6"/>
    <s v="Write topic description here 74"/>
    <x v="2"/>
    <x v="1"/>
    <s v="https://www.ArticleLink.com/74"/>
    <x v="5"/>
    <n v="20"/>
    <x v="2"/>
    <n v="-3"/>
    <m/>
  </r>
  <r>
    <x v="34"/>
    <x v="34"/>
    <s v="Campaign 2"/>
    <x v="4"/>
    <s v="Email or Phone 4"/>
    <s v="Write topic description here 75"/>
    <x v="2"/>
    <x v="0"/>
    <s v="https://www.ArticleLink.com/75"/>
    <x v="3"/>
    <n v="40"/>
    <x v="2"/>
    <n v="-5"/>
    <m/>
  </r>
  <r>
    <x v="60"/>
    <x v="60"/>
    <s v="Campaign 1"/>
    <x v="3"/>
    <s v="Email or Phone 7"/>
    <s v="Write topic description here 76"/>
    <x v="0"/>
    <x v="3"/>
    <s v="https://www.ArticleLink.com/76"/>
    <x v="2"/>
    <n v="30"/>
    <x v="1"/>
    <n v="-4"/>
    <m/>
  </r>
  <r>
    <x v="61"/>
    <x v="61"/>
    <s v="Campaign 5"/>
    <x v="4"/>
    <s v="Email or Phone 4"/>
    <s v="Write topic description here 77"/>
    <x v="3"/>
    <x v="0"/>
    <s v="https://www.ArticleLink.com/77"/>
    <x v="1"/>
    <n v="20"/>
    <x v="1"/>
    <n v="-3"/>
    <m/>
  </r>
  <r>
    <x v="31"/>
    <x v="31"/>
    <s v="Campaign 2"/>
    <x v="2"/>
    <s v="Email or Phone 3"/>
    <s v="Write topic description here 78"/>
    <x v="1"/>
    <x v="2"/>
    <s v="https://www.ArticleLink.com/78"/>
    <x v="0"/>
    <n v="30"/>
    <x v="2"/>
    <n v="-5"/>
    <m/>
  </r>
  <r>
    <x v="2"/>
    <x v="2"/>
    <s v="Campaign 2"/>
    <x v="4"/>
    <s v="Email or Phone 4"/>
    <s v="Write topic description here 79"/>
    <x v="4"/>
    <x v="0"/>
    <s v="https://www.ArticleLink.com/79"/>
    <x v="4"/>
    <n v="20"/>
    <x v="0"/>
    <n v="3"/>
    <m/>
  </r>
  <r>
    <x v="62"/>
    <x v="62"/>
    <s v="Campaign 4"/>
    <x v="3"/>
    <s v="Email or Phone 7"/>
    <s v="Write topic description here 80"/>
    <x v="4"/>
    <x v="3"/>
    <s v="https://www.ArticleLink.com/80"/>
    <x v="0"/>
    <n v="30"/>
    <x v="1"/>
    <n v="-5"/>
    <m/>
  </r>
  <r>
    <x v="45"/>
    <x v="45"/>
    <s v="Campaign 1"/>
    <x v="3"/>
    <s v="Email or Phone 7"/>
    <s v="Write topic description here 81"/>
    <x v="0"/>
    <x v="1"/>
    <s v="https://www.ArticleLink.com/81"/>
    <x v="3"/>
    <n v="40"/>
    <x v="0"/>
    <n v="3"/>
    <m/>
  </r>
  <r>
    <x v="53"/>
    <x v="53"/>
    <s v="Campaign 5"/>
    <x v="2"/>
    <s v="Email or Phone 3"/>
    <s v="Write topic description here 82"/>
    <x v="2"/>
    <x v="1"/>
    <s v="https://www.ArticleLink.com/82"/>
    <x v="4"/>
    <n v="20"/>
    <x v="0"/>
    <n v="-5"/>
    <m/>
  </r>
  <r>
    <x v="63"/>
    <x v="63"/>
    <s v="Campaign 3"/>
    <x v="0"/>
    <s v="Email or Phone 5"/>
    <s v="Write topic description here 83"/>
    <x v="1"/>
    <x v="2"/>
    <s v="https://www.ArticleLink.com/83"/>
    <x v="3"/>
    <n v="40"/>
    <x v="0"/>
    <n v="5"/>
    <m/>
  </r>
  <r>
    <x v="64"/>
    <x v="64"/>
    <s v="Campaign 4"/>
    <x v="0"/>
    <s v="Email or Phone 5"/>
    <s v="Write topic description here 84"/>
    <x v="4"/>
    <x v="2"/>
    <s v="https://www.ArticleLink.com/84"/>
    <x v="2"/>
    <n v="30"/>
    <x v="1"/>
    <n v="0"/>
    <m/>
  </r>
  <r>
    <x v="13"/>
    <x v="13"/>
    <s v="Campaign 4"/>
    <x v="2"/>
    <s v="Email or Phone 3"/>
    <s v="Write topic description here 85"/>
    <x v="1"/>
    <x v="3"/>
    <s v="https://www.ArticleLink.com/85"/>
    <x v="6"/>
    <n v="40"/>
    <x v="2"/>
    <n v="0"/>
    <m/>
  </r>
  <r>
    <x v="65"/>
    <x v="65"/>
    <s v="Campaign 3"/>
    <x v="6"/>
    <s v="Email or Phone 2"/>
    <s v="Write topic description here 86"/>
    <x v="1"/>
    <x v="3"/>
    <s v="https://www.ArticleLink.com/86"/>
    <x v="2"/>
    <n v="30"/>
    <x v="0"/>
    <n v="5"/>
    <m/>
  </r>
  <r>
    <x v="66"/>
    <x v="66"/>
    <s v="Campaign 1"/>
    <x v="0"/>
    <s v="Email or Phone 5"/>
    <s v="Write topic description here 87"/>
    <x v="0"/>
    <x v="2"/>
    <s v="https://www.ArticleLink.com/87"/>
    <x v="1"/>
    <n v="20"/>
    <x v="2"/>
    <n v="0"/>
    <m/>
  </r>
  <r>
    <x v="13"/>
    <x v="13"/>
    <s v="Campaign 5"/>
    <x v="4"/>
    <s v="Email or Phone 4"/>
    <s v="Write topic description here 88"/>
    <x v="2"/>
    <x v="3"/>
    <s v="https://www.ArticleLink.com/88"/>
    <x v="1"/>
    <n v="20"/>
    <x v="1"/>
    <n v="-1"/>
    <m/>
  </r>
  <r>
    <x v="67"/>
    <x v="67"/>
    <s v="Campaign 2"/>
    <x v="1"/>
    <s v="Email or Phone 6"/>
    <s v="Write topic description here 89"/>
    <x v="0"/>
    <x v="0"/>
    <s v="https://www.ArticleLink.com/89"/>
    <x v="1"/>
    <n v="20"/>
    <x v="2"/>
    <n v="2"/>
    <m/>
  </r>
  <r>
    <x v="65"/>
    <x v="65"/>
    <s v="Campaign 1"/>
    <x v="1"/>
    <s v="Email or Phone 6"/>
    <s v="Write topic description here 90"/>
    <x v="3"/>
    <x v="1"/>
    <s v="https://www.ArticleLink.com/90"/>
    <x v="5"/>
    <n v="20"/>
    <x v="0"/>
    <n v="-3"/>
    <m/>
  </r>
  <r>
    <x v="68"/>
    <x v="68"/>
    <s v="Campaign 5"/>
    <x v="5"/>
    <s v="Email or Phone 1"/>
    <s v="Write topic description here 91"/>
    <x v="4"/>
    <x v="1"/>
    <s v="https://www.ArticleLink.com/91"/>
    <x v="4"/>
    <n v="20"/>
    <x v="1"/>
    <n v="-4"/>
    <m/>
  </r>
  <r>
    <x v="69"/>
    <x v="69"/>
    <s v="Campaign 2"/>
    <x v="5"/>
    <s v="Email or Phone 1"/>
    <s v="Write topic description here 92"/>
    <x v="2"/>
    <x v="0"/>
    <s v="https://www.ArticleLink.com/92"/>
    <x v="0"/>
    <n v="30"/>
    <x v="0"/>
    <n v="0"/>
    <m/>
  </r>
  <r>
    <x v="70"/>
    <x v="70"/>
    <s v="Campaign 5"/>
    <x v="5"/>
    <s v="Email or Phone 1"/>
    <s v="Write topic description here 93"/>
    <x v="1"/>
    <x v="2"/>
    <s v="https://www.ArticleLink.com/93"/>
    <x v="5"/>
    <n v="20"/>
    <x v="2"/>
    <n v="-4"/>
    <m/>
  </r>
  <r>
    <x v="71"/>
    <x v="71"/>
    <s v="Campaign 4"/>
    <x v="5"/>
    <s v="Email or Phone 1"/>
    <s v="Write topic description here 94"/>
    <x v="2"/>
    <x v="3"/>
    <s v="https://www.ArticleLink.com/94"/>
    <x v="0"/>
    <n v="30"/>
    <x v="0"/>
    <n v="5"/>
    <m/>
  </r>
  <r>
    <x v="72"/>
    <x v="72"/>
    <s v="Campaign 1"/>
    <x v="1"/>
    <s v="Email or Phone 6"/>
    <s v="Write topic description here 95"/>
    <x v="0"/>
    <x v="1"/>
    <s v="https://www.ArticleLink.com/95"/>
    <x v="0"/>
    <n v="30"/>
    <x v="2"/>
    <n v="-5"/>
    <m/>
  </r>
  <r>
    <x v="53"/>
    <x v="53"/>
    <s v="Campaign 2"/>
    <x v="0"/>
    <s v="Email or Phone 5"/>
    <s v="Write topic description here 96"/>
    <x v="4"/>
    <x v="2"/>
    <s v="https://www.ArticleLink.com/96"/>
    <x v="5"/>
    <n v="20"/>
    <x v="0"/>
    <n v="-5"/>
    <m/>
  </r>
  <r>
    <x v="35"/>
    <x v="35"/>
    <s v="Campaign 1"/>
    <x v="2"/>
    <s v="Email or Phone 3"/>
    <s v="Write topic description here 97"/>
    <x v="4"/>
    <x v="0"/>
    <s v="https://www.ArticleLink.com/97"/>
    <x v="1"/>
    <n v="20"/>
    <x v="2"/>
    <n v="4"/>
    <m/>
  </r>
  <r>
    <x v="23"/>
    <x v="23"/>
    <s v="Campaign 2"/>
    <x v="1"/>
    <s v="Email or Phone 6"/>
    <s v="Write topic description here 98"/>
    <x v="4"/>
    <x v="1"/>
    <s v="https://www.ArticleLink.com/98"/>
    <x v="4"/>
    <n v="20"/>
    <x v="1"/>
    <n v="-1"/>
    <m/>
  </r>
  <r>
    <x v="51"/>
    <x v="51"/>
    <s v="Campaign 2"/>
    <x v="3"/>
    <s v="Email or Phone 7"/>
    <s v="Write topic description here 99"/>
    <x v="4"/>
    <x v="0"/>
    <s v="https://www.ArticleLink.com/99"/>
    <x v="0"/>
    <n v="30"/>
    <x v="0"/>
    <n v="-2"/>
    <m/>
  </r>
  <r>
    <x v="10"/>
    <x v="10"/>
    <s v="Campaign 3"/>
    <x v="6"/>
    <s v="Email or Phone 2"/>
    <s v="Write topic description here 100"/>
    <x v="3"/>
    <x v="1"/>
    <s v="https://www.ArticleLink.com/100"/>
    <x v="0"/>
    <n v="30"/>
    <x v="0"/>
    <n v="0"/>
    <m/>
  </r>
  <r>
    <x v="8"/>
    <x v="8"/>
    <s v="Campaign 1"/>
    <x v="1"/>
    <s v="Email or Phone 6"/>
    <s v="Write topic description here 101"/>
    <x v="0"/>
    <x v="2"/>
    <s v="https://www.ArticleLink.com/101"/>
    <x v="6"/>
    <n v="40"/>
    <x v="0"/>
    <n v="2"/>
    <m/>
  </r>
  <r>
    <x v="69"/>
    <x v="69"/>
    <s v="Campaign 3"/>
    <x v="6"/>
    <s v="Email or Phone 2"/>
    <s v="Write topic description here 102"/>
    <x v="4"/>
    <x v="2"/>
    <s v="https://www.ArticleLink.com/102"/>
    <x v="5"/>
    <n v="20"/>
    <x v="2"/>
    <n v="-4"/>
    <m/>
  </r>
  <r>
    <x v="32"/>
    <x v="32"/>
    <s v="Campaign 1"/>
    <x v="2"/>
    <s v="Email or Phone 3"/>
    <s v="Write topic description here 103"/>
    <x v="0"/>
    <x v="2"/>
    <s v="https://www.ArticleLink.com/103"/>
    <x v="2"/>
    <n v="30"/>
    <x v="1"/>
    <n v="-5"/>
    <m/>
  </r>
  <r>
    <x v="18"/>
    <x v="18"/>
    <s v="Campaign 4"/>
    <x v="6"/>
    <s v="Email or Phone 2"/>
    <s v="Write topic description here 104"/>
    <x v="2"/>
    <x v="1"/>
    <s v="https://www.ArticleLink.com/104"/>
    <x v="5"/>
    <n v="20"/>
    <x v="1"/>
    <n v="-4"/>
    <m/>
  </r>
  <r>
    <x v="35"/>
    <x v="35"/>
    <s v="Campaign 3"/>
    <x v="5"/>
    <s v="Email or Phone 1"/>
    <s v="Write topic description here 105"/>
    <x v="3"/>
    <x v="3"/>
    <s v="https://www.ArticleLink.com/105"/>
    <x v="0"/>
    <n v="30"/>
    <x v="2"/>
    <n v="3"/>
    <m/>
  </r>
  <r>
    <x v="73"/>
    <x v="73"/>
    <s v="Campaign 4"/>
    <x v="2"/>
    <s v="Email or Phone 3"/>
    <s v="Write topic description here 106"/>
    <x v="1"/>
    <x v="1"/>
    <s v="https://www.ArticleLink.com/106"/>
    <x v="5"/>
    <n v="20"/>
    <x v="2"/>
    <n v="1"/>
    <m/>
  </r>
  <r>
    <x v="53"/>
    <x v="53"/>
    <s v="Campaign 2"/>
    <x v="6"/>
    <s v="Email or Phone 2"/>
    <s v="Write topic description here 107"/>
    <x v="1"/>
    <x v="2"/>
    <s v="https://www.ArticleLink.com/107"/>
    <x v="2"/>
    <n v="30"/>
    <x v="1"/>
    <n v="-4"/>
    <m/>
  </r>
  <r>
    <x v="74"/>
    <x v="74"/>
    <s v="Campaign 3"/>
    <x v="0"/>
    <s v="Email or Phone 5"/>
    <s v="Write topic description here 108"/>
    <x v="1"/>
    <x v="3"/>
    <s v="https://www.ArticleLink.com/108"/>
    <x v="5"/>
    <n v="20"/>
    <x v="0"/>
    <n v="-5"/>
    <m/>
  </r>
  <r>
    <x v="54"/>
    <x v="54"/>
    <s v="Campaign 1"/>
    <x v="1"/>
    <s v="Email or Phone 6"/>
    <s v="Write topic description here 109"/>
    <x v="0"/>
    <x v="3"/>
    <s v="https://www.ArticleLink.com/109"/>
    <x v="4"/>
    <n v="20"/>
    <x v="1"/>
    <n v="4"/>
    <m/>
  </r>
  <r>
    <x v="75"/>
    <x v="75"/>
    <s v="Campaign 3"/>
    <x v="3"/>
    <s v="Email or Phone 7"/>
    <s v="Write topic description here 110"/>
    <x v="2"/>
    <x v="3"/>
    <s v="https://www.ArticleLink.com/110"/>
    <x v="0"/>
    <n v="30"/>
    <x v="0"/>
    <n v="5"/>
    <m/>
  </r>
  <r>
    <x v="72"/>
    <x v="72"/>
    <s v="Campaign 1"/>
    <x v="4"/>
    <s v="Email or Phone 4"/>
    <s v="Write topic description here 111"/>
    <x v="3"/>
    <x v="3"/>
    <s v="https://www.ArticleLink.com/111"/>
    <x v="2"/>
    <n v="30"/>
    <x v="0"/>
    <n v="5"/>
    <m/>
  </r>
  <r>
    <x v="76"/>
    <x v="76"/>
    <s v="Campaign 3"/>
    <x v="4"/>
    <s v="Email or Phone 4"/>
    <s v="Write topic description here 112"/>
    <x v="3"/>
    <x v="2"/>
    <s v="https://www.ArticleLink.com/112"/>
    <x v="5"/>
    <n v="20"/>
    <x v="0"/>
    <n v="-2"/>
    <m/>
  </r>
  <r>
    <x v="77"/>
    <x v="77"/>
    <s v="Campaign 5"/>
    <x v="0"/>
    <s v="Email or Phone 5"/>
    <s v="Write topic description here 113"/>
    <x v="4"/>
    <x v="1"/>
    <s v="https://www.ArticleLink.com/113"/>
    <x v="3"/>
    <n v="40"/>
    <x v="1"/>
    <n v="4"/>
    <m/>
  </r>
  <r>
    <x v="48"/>
    <x v="48"/>
    <s v="Campaign 4"/>
    <x v="4"/>
    <s v="Email or Phone 4"/>
    <s v="Write topic description here 114"/>
    <x v="2"/>
    <x v="0"/>
    <s v="https://www.ArticleLink.com/114"/>
    <x v="5"/>
    <n v="20"/>
    <x v="1"/>
    <n v="-2"/>
    <m/>
  </r>
  <r>
    <x v="78"/>
    <x v="78"/>
    <s v="Campaign 1"/>
    <x v="5"/>
    <s v="Email or Phone 1"/>
    <s v="Write topic description here 115"/>
    <x v="1"/>
    <x v="2"/>
    <s v="https://www.ArticleLink.com/115"/>
    <x v="4"/>
    <n v="20"/>
    <x v="2"/>
    <n v="4"/>
    <m/>
  </r>
  <r>
    <x v="79"/>
    <x v="79"/>
    <s v="Campaign 3"/>
    <x v="3"/>
    <s v="Email or Phone 7"/>
    <s v="Write topic description here 116"/>
    <x v="0"/>
    <x v="3"/>
    <s v="https://www.ArticleLink.com/116"/>
    <x v="0"/>
    <n v="30"/>
    <x v="0"/>
    <n v="4"/>
    <m/>
  </r>
  <r>
    <x v="21"/>
    <x v="21"/>
    <s v="Campaign 1"/>
    <x v="1"/>
    <s v="Email or Phone 6"/>
    <s v="Write topic description here 117"/>
    <x v="2"/>
    <x v="0"/>
    <s v="https://www.ArticleLink.com/117"/>
    <x v="3"/>
    <n v="40"/>
    <x v="2"/>
    <n v="-4"/>
    <m/>
  </r>
  <r>
    <x v="36"/>
    <x v="36"/>
    <s v="Campaign 3"/>
    <x v="2"/>
    <s v="Email or Phone 3"/>
    <s v="Write topic description here 118"/>
    <x v="4"/>
    <x v="2"/>
    <s v="https://www.ArticleLink.com/118"/>
    <x v="3"/>
    <n v="40"/>
    <x v="0"/>
    <n v="5"/>
    <m/>
  </r>
  <r>
    <x v="66"/>
    <x v="66"/>
    <s v="Campaign 4"/>
    <x v="4"/>
    <s v="Email or Phone 4"/>
    <s v="Write topic description here 119"/>
    <x v="1"/>
    <x v="0"/>
    <s v="https://www.ArticleLink.com/119"/>
    <x v="1"/>
    <n v="20"/>
    <x v="2"/>
    <n v="1"/>
    <m/>
  </r>
  <r>
    <x v="80"/>
    <x v="80"/>
    <s v="Campaign 2"/>
    <x v="5"/>
    <s v="Email or Phone 1"/>
    <s v="Write topic description here 120"/>
    <x v="0"/>
    <x v="3"/>
    <s v="https://www.ArticleLink.com/120"/>
    <x v="4"/>
    <n v="20"/>
    <x v="1"/>
    <n v="-1"/>
    <m/>
  </r>
  <r>
    <x v="45"/>
    <x v="45"/>
    <s v="Campaign 3"/>
    <x v="0"/>
    <s v="Email or Phone 5"/>
    <s v="Write topic description here 121"/>
    <x v="0"/>
    <x v="2"/>
    <s v="https://www.ArticleLink.com/121"/>
    <x v="0"/>
    <n v="30"/>
    <x v="0"/>
    <n v="0"/>
    <m/>
  </r>
  <r>
    <x v="81"/>
    <x v="81"/>
    <s v="Campaign 3"/>
    <x v="1"/>
    <s v="Email or Phone 6"/>
    <s v="Write topic description here 122"/>
    <x v="0"/>
    <x v="0"/>
    <s v="https://www.ArticleLink.com/122"/>
    <x v="3"/>
    <n v="40"/>
    <x v="0"/>
    <n v="2"/>
    <m/>
  </r>
  <r>
    <x v="2"/>
    <x v="2"/>
    <s v="Campaign 1"/>
    <x v="3"/>
    <s v="Email or Phone 7"/>
    <s v="Write topic description here 123"/>
    <x v="0"/>
    <x v="1"/>
    <s v="https://www.ArticleLink.com/123"/>
    <x v="1"/>
    <n v="20"/>
    <x v="2"/>
    <n v="0"/>
    <m/>
  </r>
  <r>
    <x v="82"/>
    <x v="82"/>
    <s v="Campaign 1"/>
    <x v="0"/>
    <s v="Email or Phone 5"/>
    <s v="Write topic description here 124"/>
    <x v="4"/>
    <x v="1"/>
    <s v="https://www.ArticleLink.com/124"/>
    <x v="4"/>
    <n v="20"/>
    <x v="0"/>
    <n v="-5"/>
    <m/>
  </r>
  <r>
    <x v="83"/>
    <x v="83"/>
    <s v="Campaign 2"/>
    <x v="0"/>
    <s v="Email or Phone 5"/>
    <s v="Write topic description here 125"/>
    <x v="2"/>
    <x v="3"/>
    <s v="https://www.ArticleLink.com/125"/>
    <x v="1"/>
    <n v="20"/>
    <x v="1"/>
    <n v="3"/>
    <m/>
  </r>
  <r>
    <x v="84"/>
    <x v="84"/>
    <s v="Campaign 4"/>
    <x v="1"/>
    <s v="Email or Phone 6"/>
    <s v="Write topic description here 126"/>
    <x v="0"/>
    <x v="2"/>
    <s v="https://www.ArticleLink.com/126"/>
    <x v="4"/>
    <n v="20"/>
    <x v="2"/>
    <n v="-3"/>
    <m/>
  </r>
  <r>
    <x v="85"/>
    <x v="85"/>
    <s v="Campaign 2"/>
    <x v="3"/>
    <s v="Email or Phone 7"/>
    <s v="Write topic description here 127"/>
    <x v="2"/>
    <x v="1"/>
    <s v="https://www.ArticleLink.com/127"/>
    <x v="0"/>
    <n v="30"/>
    <x v="0"/>
    <n v="-3"/>
    <m/>
  </r>
  <r>
    <x v="86"/>
    <x v="86"/>
    <s v="Campaign 3"/>
    <x v="3"/>
    <s v="Email or Phone 7"/>
    <s v="Write topic description here 128"/>
    <x v="0"/>
    <x v="2"/>
    <s v="https://www.ArticleLink.com/128"/>
    <x v="0"/>
    <n v="30"/>
    <x v="1"/>
    <n v="-2"/>
    <m/>
  </r>
  <r>
    <x v="87"/>
    <x v="87"/>
    <s v="Campaign 3"/>
    <x v="4"/>
    <s v="Email or Phone 4"/>
    <s v="Write topic description here 129"/>
    <x v="2"/>
    <x v="3"/>
    <s v="https://www.ArticleLink.com/129"/>
    <x v="4"/>
    <n v="20"/>
    <x v="0"/>
    <n v="-2"/>
    <m/>
  </r>
  <r>
    <x v="88"/>
    <x v="88"/>
    <s v="Campaign 5"/>
    <x v="4"/>
    <s v="Email or Phone 4"/>
    <s v="Write topic description here 130"/>
    <x v="2"/>
    <x v="1"/>
    <s v="https://www.ArticleLink.com/130"/>
    <x v="0"/>
    <n v="30"/>
    <x v="2"/>
    <n v="-3"/>
    <m/>
  </r>
  <r>
    <x v="89"/>
    <x v="89"/>
    <s v="Campaign 3"/>
    <x v="2"/>
    <s v="Email or Phone 3"/>
    <s v="Write topic description here 131"/>
    <x v="0"/>
    <x v="3"/>
    <s v="https://www.ArticleLink.com/131"/>
    <x v="3"/>
    <n v="40"/>
    <x v="1"/>
    <n v="-5"/>
    <m/>
  </r>
  <r>
    <x v="72"/>
    <x v="72"/>
    <s v="Campaign 3"/>
    <x v="1"/>
    <s v="Email or Phone 6"/>
    <s v="Write topic description here 132"/>
    <x v="3"/>
    <x v="2"/>
    <s v="https://www.ArticleLink.com/132"/>
    <x v="1"/>
    <n v="20"/>
    <x v="0"/>
    <n v="4"/>
    <m/>
  </r>
  <r>
    <x v="14"/>
    <x v="14"/>
    <s v="Campaign 2"/>
    <x v="4"/>
    <s v="Email or Phone 4"/>
    <s v="Write topic description here 133"/>
    <x v="1"/>
    <x v="2"/>
    <s v="https://www.ArticleLink.com/133"/>
    <x v="2"/>
    <n v="30"/>
    <x v="2"/>
    <n v="2"/>
    <m/>
  </r>
  <r>
    <x v="58"/>
    <x v="58"/>
    <s v="Campaign 2"/>
    <x v="5"/>
    <s v="Email or Phone 1"/>
    <s v="Write topic description here 134"/>
    <x v="1"/>
    <x v="3"/>
    <s v="https://www.ArticleLink.com/134"/>
    <x v="6"/>
    <n v="40"/>
    <x v="2"/>
    <n v="-1"/>
    <m/>
  </r>
  <r>
    <x v="90"/>
    <x v="90"/>
    <s v="Campaign 5"/>
    <x v="3"/>
    <s v="Email or Phone 7"/>
    <s v="Write topic description here 135"/>
    <x v="3"/>
    <x v="0"/>
    <s v="https://www.ArticleLink.com/135"/>
    <x v="0"/>
    <n v="30"/>
    <x v="1"/>
    <n v="5"/>
    <m/>
  </r>
  <r>
    <x v="70"/>
    <x v="70"/>
    <s v="Campaign 4"/>
    <x v="3"/>
    <s v="Email or Phone 7"/>
    <s v="Write topic description here 136"/>
    <x v="0"/>
    <x v="0"/>
    <s v="https://www.ArticleLink.com/136"/>
    <x v="1"/>
    <n v="20"/>
    <x v="0"/>
    <n v="4"/>
    <m/>
  </r>
  <r>
    <x v="57"/>
    <x v="57"/>
    <s v="Campaign 3"/>
    <x v="4"/>
    <s v="Email or Phone 4"/>
    <s v="Write topic description here 137"/>
    <x v="4"/>
    <x v="2"/>
    <s v="https://www.ArticleLink.com/137"/>
    <x v="4"/>
    <n v="20"/>
    <x v="2"/>
    <n v="-5"/>
    <m/>
  </r>
  <r>
    <x v="0"/>
    <x v="0"/>
    <s v="Campaign 4"/>
    <x v="5"/>
    <s v="Email or Phone 1"/>
    <s v="Write topic description here 138"/>
    <x v="2"/>
    <x v="2"/>
    <s v="https://www.ArticleLink.com/138"/>
    <x v="2"/>
    <n v="30"/>
    <x v="0"/>
    <n v="2"/>
    <m/>
  </r>
  <r>
    <x v="67"/>
    <x v="67"/>
    <s v="Campaign 3"/>
    <x v="6"/>
    <s v="Email or Phone 2"/>
    <s v="Write topic description here 139"/>
    <x v="1"/>
    <x v="0"/>
    <s v="https://www.ArticleLink.com/139"/>
    <x v="0"/>
    <n v="30"/>
    <x v="1"/>
    <n v="-5"/>
    <m/>
  </r>
  <r>
    <x v="91"/>
    <x v="91"/>
    <s v="Campaign 5"/>
    <x v="5"/>
    <s v="Email or Phone 1"/>
    <s v="Write topic description here 140"/>
    <x v="0"/>
    <x v="3"/>
    <s v="https://www.ArticleLink.com/140"/>
    <x v="0"/>
    <n v="30"/>
    <x v="2"/>
    <n v="-2"/>
    <m/>
  </r>
  <r>
    <x v="78"/>
    <x v="78"/>
    <s v="Campaign 4"/>
    <x v="1"/>
    <s v="Email or Phone 6"/>
    <s v="Write topic description here 141"/>
    <x v="2"/>
    <x v="2"/>
    <s v="https://www.ArticleLink.com/141"/>
    <x v="4"/>
    <n v="20"/>
    <x v="1"/>
    <n v="3"/>
    <m/>
  </r>
  <r>
    <x v="21"/>
    <x v="21"/>
    <s v="Campaign 3"/>
    <x v="0"/>
    <s v="Email or Phone 5"/>
    <s v="Write topic description here 142"/>
    <x v="0"/>
    <x v="3"/>
    <s v="https://www.ArticleLink.com/142"/>
    <x v="3"/>
    <n v="40"/>
    <x v="2"/>
    <n v="1"/>
    <m/>
  </r>
  <r>
    <x v="92"/>
    <x v="92"/>
    <s v="Campaign 3"/>
    <x v="5"/>
    <s v="Email or Phone 1"/>
    <s v="Write topic description here 143"/>
    <x v="1"/>
    <x v="0"/>
    <s v="https://www.ArticleLink.com/143"/>
    <x v="6"/>
    <n v="40"/>
    <x v="0"/>
    <n v="1"/>
    <m/>
  </r>
  <r>
    <x v="50"/>
    <x v="50"/>
    <s v="Campaign 5"/>
    <x v="3"/>
    <s v="Email or Phone 7"/>
    <s v="Write topic description here 144"/>
    <x v="4"/>
    <x v="1"/>
    <s v="https://www.ArticleLink.com/144"/>
    <x v="6"/>
    <n v="40"/>
    <x v="0"/>
    <n v="5"/>
    <m/>
  </r>
  <r>
    <x v="25"/>
    <x v="25"/>
    <s v="Campaign 4"/>
    <x v="0"/>
    <s v="Email or Phone 5"/>
    <s v="Write topic description here 145"/>
    <x v="1"/>
    <x v="3"/>
    <s v="https://www.ArticleLink.com/145"/>
    <x v="5"/>
    <n v="20"/>
    <x v="0"/>
    <n v="5"/>
    <m/>
  </r>
  <r>
    <x v="17"/>
    <x v="17"/>
    <s v="Campaign 2"/>
    <x v="6"/>
    <s v="Email or Phone 2"/>
    <s v="Write topic description here 146"/>
    <x v="2"/>
    <x v="3"/>
    <s v="https://www.ArticleLink.com/146"/>
    <x v="6"/>
    <n v="40"/>
    <x v="0"/>
    <n v="-1"/>
    <m/>
  </r>
  <r>
    <x v="93"/>
    <x v="93"/>
    <s v="Campaign 3"/>
    <x v="3"/>
    <s v="Email or Phone 7"/>
    <s v="Write topic description here 147"/>
    <x v="0"/>
    <x v="2"/>
    <s v="https://www.ArticleLink.com/147"/>
    <x v="0"/>
    <n v="30"/>
    <x v="2"/>
    <n v="3"/>
    <m/>
  </r>
  <r>
    <x v="94"/>
    <x v="94"/>
    <s v="Campaign 3"/>
    <x v="5"/>
    <s v="Email or Phone 1"/>
    <s v="Write topic description here 148"/>
    <x v="0"/>
    <x v="0"/>
    <s v="https://www.ArticleLink.com/148"/>
    <x v="6"/>
    <n v="40"/>
    <x v="1"/>
    <n v="-4"/>
    <m/>
  </r>
  <r>
    <x v="87"/>
    <x v="87"/>
    <s v="Campaign 1"/>
    <x v="6"/>
    <s v="Email or Phone 2"/>
    <s v="Write topic description here 149"/>
    <x v="1"/>
    <x v="1"/>
    <s v="https://www.ArticleLink.com/149"/>
    <x v="0"/>
    <n v="30"/>
    <x v="1"/>
    <n v="-2"/>
    <m/>
  </r>
  <r>
    <x v="60"/>
    <x v="60"/>
    <s v="Campaign 2"/>
    <x v="4"/>
    <s v="Email or Phone 4"/>
    <s v="Write topic description here 150"/>
    <x v="2"/>
    <x v="0"/>
    <s v="https://www.ArticleLink.com/150"/>
    <x v="1"/>
    <n v="20"/>
    <x v="0"/>
    <n v="1"/>
    <m/>
  </r>
  <r>
    <x v="74"/>
    <x v="74"/>
    <s v="Campaign 2"/>
    <x v="4"/>
    <s v="Email or Phone 4"/>
    <s v="Write topic description here 151"/>
    <x v="4"/>
    <x v="3"/>
    <s v="https://www.ArticleLink.com/151"/>
    <x v="0"/>
    <n v="30"/>
    <x v="1"/>
    <n v="-1"/>
    <m/>
  </r>
  <r>
    <x v="61"/>
    <x v="61"/>
    <s v="Campaign 5"/>
    <x v="5"/>
    <s v="Email or Phone 1"/>
    <s v="Write topic description here 152"/>
    <x v="1"/>
    <x v="1"/>
    <s v="https://www.ArticleLink.com/152"/>
    <x v="5"/>
    <n v="20"/>
    <x v="0"/>
    <n v="2"/>
    <m/>
  </r>
  <r>
    <x v="75"/>
    <x v="75"/>
    <s v="Campaign 3"/>
    <x v="5"/>
    <s v="Email or Phone 1"/>
    <s v="Write topic description here 153"/>
    <x v="1"/>
    <x v="1"/>
    <s v="https://www.ArticleLink.com/153"/>
    <x v="1"/>
    <n v="20"/>
    <x v="2"/>
    <n v="4"/>
    <m/>
  </r>
  <r>
    <x v="6"/>
    <x v="6"/>
    <s v="Campaign 3"/>
    <x v="0"/>
    <s v="Email or Phone 5"/>
    <s v="Write topic description here 154"/>
    <x v="3"/>
    <x v="3"/>
    <s v="https://www.ArticleLink.com/154"/>
    <x v="5"/>
    <n v="20"/>
    <x v="0"/>
    <n v="-5"/>
    <m/>
  </r>
  <r>
    <x v="79"/>
    <x v="79"/>
    <s v="Campaign 5"/>
    <x v="5"/>
    <s v="Email or Phone 1"/>
    <s v="Write topic description here 155"/>
    <x v="1"/>
    <x v="0"/>
    <s v="https://www.ArticleLink.com/155"/>
    <x v="4"/>
    <n v="20"/>
    <x v="0"/>
    <n v="-1"/>
    <m/>
  </r>
  <r>
    <x v="95"/>
    <x v="95"/>
    <s v="Campaign 2"/>
    <x v="0"/>
    <s v="Email or Phone 5"/>
    <s v="Write topic description here 156"/>
    <x v="0"/>
    <x v="1"/>
    <s v="https://www.ArticleLink.com/156"/>
    <x v="4"/>
    <n v="20"/>
    <x v="2"/>
    <n v="-3"/>
    <m/>
  </r>
  <r>
    <x v="28"/>
    <x v="28"/>
    <s v="Campaign 4"/>
    <x v="3"/>
    <s v="Email or Phone 7"/>
    <s v="Write topic description here 157"/>
    <x v="1"/>
    <x v="2"/>
    <s v="https://www.ArticleLink.com/157"/>
    <x v="1"/>
    <n v="20"/>
    <x v="2"/>
    <n v="1"/>
    <m/>
  </r>
  <r>
    <x v="4"/>
    <x v="4"/>
    <s v="Campaign 5"/>
    <x v="2"/>
    <s v="Email or Phone 3"/>
    <s v="Write topic description here 158"/>
    <x v="0"/>
    <x v="0"/>
    <s v="https://www.ArticleLink.com/158"/>
    <x v="6"/>
    <n v="40"/>
    <x v="2"/>
    <n v="1"/>
    <m/>
  </r>
  <r>
    <x v="96"/>
    <x v="96"/>
    <s v="Campaign 1"/>
    <x v="3"/>
    <s v="Email or Phone 7"/>
    <s v="Write topic description here 159"/>
    <x v="0"/>
    <x v="0"/>
    <s v="https://www.ArticleLink.com/159"/>
    <x v="3"/>
    <n v="40"/>
    <x v="2"/>
    <n v="-1"/>
    <m/>
  </r>
  <r>
    <x v="19"/>
    <x v="19"/>
    <s v="Campaign 5"/>
    <x v="2"/>
    <s v="Email or Phone 3"/>
    <s v="Write topic description here 160"/>
    <x v="3"/>
    <x v="3"/>
    <s v="https://www.ArticleLink.com/160"/>
    <x v="5"/>
    <n v="20"/>
    <x v="1"/>
    <n v="3"/>
    <m/>
  </r>
  <r>
    <x v="97"/>
    <x v="97"/>
    <s v="Campaign 2"/>
    <x v="2"/>
    <s v="Email or Phone 3"/>
    <s v="Write topic description here 161"/>
    <x v="4"/>
    <x v="1"/>
    <s v="https://www.ArticleLink.com/161"/>
    <x v="1"/>
    <n v="20"/>
    <x v="0"/>
    <n v="-4"/>
    <m/>
  </r>
  <r>
    <x v="61"/>
    <x v="61"/>
    <s v="Campaign 3"/>
    <x v="3"/>
    <s v="Email or Phone 7"/>
    <s v="Write topic description here 162"/>
    <x v="1"/>
    <x v="1"/>
    <s v="https://www.ArticleLink.com/162"/>
    <x v="5"/>
    <n v="20"/>
    <x v="1"/>
    <n v="4"/>
    <m/>
  </r>
  <r>
    <x v="29"/>
    <x v="29"/>
    <s v="Campaign 5"/>
    <x v="6"/>
    <s v="Email or Phone 2"/>
    <s v="Write topic description here 163"/>
    <x v="2"/>
    <x v="2"/>
    <s v="https://www.ArticleLink.com/163"/>
    <x v="1"/>
    <n v="20"/>
    <x v="0"/>
    <n v="-4"/>
    <m/>
  </r>
  <r>
    <x v="6"/>
    <x v="6"/>
    <s v="Campaign 3"/>
    <x v="0"/>
    <s v="Email or Phone 5"/>
    <s v="Write topic description here 164"/>
    <x v="2"/>
    <x v="3"/>
    <s v="https://www.ArticleLink.com/164"/>
    <x v="5"/>
    <n v="20"/>
    <x v="2"/>
    <n v="-3"/>
    <m/>
  </r>
  <r>
    <x v="22"/>
    <x v="22"/>
    <s v="Campaign 3"/>
    <x v="1"/>
    <s v="Email or Phone 6"/>
    <s v="Write topic description here 165"/>
    <x v="1"/>
    <x v="2"/>
    <s v="https://www.ArticleLink.com/165"/>
    <x v="2"/>
    <n v="30"/>
    <x v="1"/>
    <n v="-5"/>
    <m/>
  </r>
  <r>
    <x v="19"/>
    <x v="19"/>
    <s v="Campaign 3"/>
    <x v="1"/>
    <s v="Email or Phone 6"/>
    <s v="Write topic description here 166"/>
    <x v="4"/>
    <x v="1"/>
    <s v="https://www.ArticleLink.com/166"/>
    <x v="4"/>
    <n v="20"/>
    <x v="0"/>
    <n v="-2"/>
    <m/>
  </r>
  <r>
    <x v="98"/>
    <x v="98"/>
    <s v="Campaign 5"/>
    <x v="4"/>
    <s v="Email or Phone 4"/>
    <s v="Write topic description here 167"/>
    <x v="4"/>
    <x v="3"/>
    <s v="https://www.ArticleLink.com/167"/>
    <x v="1"/>
    <n v="20"/>
    <x v="2"/>
    <n v="1"/>
    <m/>
  </r>
  <r>
    <x v="99"/>
    <x v="99"/>
    <s v="Campaign 4"/>
    <x v="0"/>
    <s v="Email or Phone 5"/>
    <s v="Write topic description here 168"/>
    <x v="1"/>
    <x v="2"/>
    <s v="https://www.ArticleLink.com/168"/>
    <x v="5"/>
    <n v="20"/>
    <x v="0"/>
    <n v="-5"/>
    <m/>
  </r>
  <r>
    <x v="48"/>
    <x v="48"/>
    <s v="Campaign 2"/>
    <x v="5"/>
    <s v="Email or Phone 1"/>
    <s v="Write topic description here 169"/>
    <x v="0"/>
    <x v="1"/>
    <s v="https://www.ArticleLink.com/169"/>
    <x v="3"/>
    <n v="40"/>
    <x v="1"/>
    <n v="2"/>
    <m/>
  </r>
  <r>
    <x v="38"/>
    <x v="38"/>
    <s v="Campaign 3"/>
    <x v="5"/>
    <s v="Email or Phone 1"/>
    <s v="Write topic description here 170"/>
    <x v="2"/>
    <x v="1"/>
    <s v="https://www.ArticleLink.com/170"/>
    <x v="6"/>
    <n v="40"/>
    <x v="1"/>
    <n v="-2"/>
    <m/>
  </r>
  <r>
    <x v="61"/>
    <x v="61"/>
    <s v="Campaign 3"/>
    <x v="1"/>
    <s v="Email or Phone 6"/>
    <s v="Write topic description here 171"/>
    <x v="0"/>
    <x v="2"/>
    <s v="https://www.ArticleLink.com/171"/>
    <x v="4"/>
    <n v="20"/>
    <x v="1"/>
    <n v="-3"/>
    <m/>
  </r>
  <r>
    <x v="33"/>
    <x v="33"/>
    <s v="Campaign 3"/>
    <x v="5"/>
    <s v="Email or Phone 1"/>
    <s v="Write topic description here 172"/>
    <x v="2"/>
    <x v="3"/>
    <s v="https://www.ArticleLink.com/172"/>
    <x v="4"/>
    <n v="20"/>
    <x v="2"/>
    <n v="5"/>
    <m/>
  </r>
  <r>
    <x v="100"/>
    <x v="100"/>
    <s v="Campaign 1"/>
    <x v="6"/>
    <s v="Email or Phone 2"/>
    <s v="Write topic description here 173"/>
    <x v="3"/>
    <x v="1"/>
    <s v="https://www.ArticleLink.com/173"/>
    <x v="5"/>
    <n v="20"/>
    <x v="0"/>
    <n v="3"/>
    <m/>
  </r>
  <r>
    <x v="69"/>
    <x v="69"/>
    <s v="Campaign 5"/>
    <x v="2"/>
    <s v="Email or Phone 3"/>
    <s v="Write topic description here 174"/>
    <x v="3"/>
    <x v="0"/>
    <s v="https://www.ArticleLink.com/174"/>
    <x v="4"/>
    <n v="20"/>
    <x v="0"/>
    <n v="-5"/>
    <m/>
  </r>
  <r>
    <x v="74"/>
    <x v="74"/>
    <s v="Campaign 4"/>
    <x v="2"/>
    <s v="Email or Phone 3"/>
    <s v="Write topic description here 175"/>
    <x v="1"/>
    <x v="1"/>
    <s v="https://www.ArticleLink.com/175"/>
    <x v="3"/>
    <n v="40"/>
    <x v="0"/>
    <n v="-3"/>
    <m/>
  </r>
  <r>
    <x v="101"/>
    <x v="101"/>
    <s v="Campaign 4"/>
    <x v="4"/>
    <s v="Email or Phone 4"/>
    <s v="Write topic description here 176"/>
    <x v="3"/>
    <x v="3"/>
    <s v="https://www.ArticleLink.com/176"/>
    <x v="3"/>
    <n v="40"/>
    <x v="0"/>
    <n v="1"/>
    <m/>
  </r>
  <r>
    <x v="27"/>
    <x v="27"/>
    <s v="Campaign 2"/>
    <x v="2"/>
    <s v="Email or Phone 3"/>
    <s v="Write topic description here 177"/>
    <x v="3"/>
    <x v="3"/>
    <s v="https://www.ArticleLink.com/177"/>
    <x v="6"/>
    <n v="40"/>
    <x v="1"/>
    <n v="1"/>
    <m/>
  </r>
  <r>
    <x v="79"/>
    <x v="79"/>
    <s v="Campaign 4"/>
    <x v="0"/>
    <s v="Email or Phone 5"/>
    <s v="Write topic description here 178"/>
    <x v="2"/>
    <x v="0"/>
    <s v="https://www.ArticleLink.com/178"/>
    <x v="3"/>
    <n v="40"/>
    <x v="2"/>
    <n v="-4"/>
    <m/>
  </r>
  <r>
    <x v="102"/>
    <x v="102"/>
    <s v="Campaign 1"/>
    <x v="6"/>
    <s v="Email or Phone 2"/>
    <s v="Write topic description here 179"/>
    <x v="4"/>
    <x v="1"/>
    <s v="https://www.ArticleLink.com/179"/>
    <x v="2"/>
    <n v="30"/>
    <x v="1"/>
    <n v="5"/>
    <m/>
  </r>
  <r>
    <x v="103"/>
    <x v="103"/>
    <s v="Campaign 5"/>
    <x v="4"/>
    <s v="Email or Phone 4"/>
    <s v="Write topic description here 180"/>
    <x v="4"/>
    <x v="1"/>
    <s v="https://www.ArticleLink.com/180"/>
    <x v="3"/>
    <n v="40"/>
    <x v="0"/>
    <n v="3"/>
    <m/>
  </r>
  <r>
    <x v="45"/>
    <x v="45"/>
    <s v="Campaign 4"/>
    <x v="3"/>
    <s v="Email or Phone 7"/>
    <s v="Write topic description here 181"/>
    <x v="0"/>
    <x v="1"/>
    <s v="https://www.ArticleLink.com/181"/>
    <x v="6"/>
    <n v="40"/>
    <x v="1"/>
    <n v="4"/>
    <m/>
  </r>
  <r>
    <x v="104"/>
    <x v="104"/>
    <s v="Campaign 2"/>
    <x v="0"/>
    <s v="Email or Phone 5"/>
    <s v="Write topic description here 182"/>
    <x v="2"/>
    <x v="2"/>
    <s v="https://www.ArticleLink.com/182"/>
    <x v="0"/>
    <n v="30"/>
    <x v="2"/>
    <n v="0"/>
    <m/>
  </r>
  <r>
    <x v="75"/>
    <x v="75"/>
    <s v="Campaign 1"/>
    <x v="0"/>
    <s v="Email or Phone 5"/>
    <s v="Write topic description here 183"/>
    <x v="3"/>
    <x v="1"/>
    <s v="https://www.ArticleLink.com/183"/>
    <x v="0"/>
    <n v="30"/>
    <x v="0"/>
    <n v="-4"/>
    <m/>
  </r>
  <r>
    <x v="105"/>
    <x v="105"/>
    <s v="Campaign 5"/>
    <x v="6"/>
    <s v="Email or Phone 2"/>
    <s v="Write topic description here 184"/>
    <x v="0"/>
    <x v="1"/>
    <s v="https://www.ArticleLink.com/184"/>
    <x v="3"/>
    <n v="40"/>
    <x v="2"/>
    <n v="-4"/>
    <m/>
  </r>
  <r>
    <x v="106"/>
    <x v="106"/>
    <s v="Campaign 2"/>
    <x v="6"/>
    <s v="Email or Phone 2"/>
    <s v="Write topic description here 185"/>
    <x v="0"/>
    <x v="1"/>
    <s v="https://www.ArticleLink.com/185"/>
    <x v="6"/>
    <n v="40"/>
    <x v="1"/>
    <n v="5"/>
    <m/>
  </r>
  <r>
    <x v="95"/>
    <x v="95"/>
    <s v="Campaign 2"/>
    <x v="6"/>
    <s v="Email or Phone 2"/>
    <s v="Write topic description here 186"/>
    <x v="2"/>
    <x v="0"/>
    <s v="https://www.ArticleLink.com/186"/>
    <x v="1"/>
    <n v="20"/>
    <x v="0"/>
    <n v="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D46A27C-83E8-4FC0-A3F2-B9A679151907}" name="campde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4:M10" firstHeaderRow="0" firstDataRow="1" firstDataCol="1"/>
  <pivotFields count="14">
    <pivotField axis="axisRow" showAll="0">
      <items count="6">
        <item x="1"/>
        <item x="2"/>
        <item x="0"/>
        <item x="3"/>
        <item x="4"/>
        <item t="default"/>
      </items>
    </pivotField>
    <pivotField showAll="0"/>
    <pivotField numFmtId="166" showAll="0"/>
    <pivotField numFmtId="166" showAll="0"/>
    <pivotField showAll="0"/>
    <pivotField dataField="1" showAll="0"/>
    <pivotField showAll="0">
      <items count="6">
        <item x="4"/>
        <item x="2"/>
        <item x="1"/>
        <item x="0"/>
        <item x="3"/>
        <item t="default"/>
      </items>
    </pivotField>
    <pivotField numFmtId="1" showAll="0"/>
    <pivotField numFmtId="1" showAll="0"/>
    <pivotField dataField="1" numFmtId="9" showAll="0"/>
    <pivotField numFmtId="168" showAll="0"/>
    <pivotField showAll="0">
      <items count="4">
        <item x="1"/>
        <item x="0"/>
        <item x="2"/>
        <item t="default"/>
      </items>
    </pivotField>
    <pivotField showAll="0">
      <items count="5">
        <item x="0"/>
        <item x="2"/>
        <item x="1"/>
        <item x="3"/>
        <item t="default"/>
      </items>
    </pivotField>
    <pivotField showAll="0"/>
  </pivotFields>
  <rowFields count="1">
    <field x="0"/>
  </rowFields>
  <rowItems count="6">
    <i>
      <x/>
    </i>
    <i>
      <x v="1"/>
    </i>
    <i>
      <x v="2"/>
    </i>
    <i>
      <x v="3"/>
    </i>
    <i>
      <x v="4"/>
    </i>
    <i t="grand">
      <x/>
    </i>
  </rowItems>
  <colFields count="1">
    <field x="-2"/>
  </colFields>
  <colItems count="2">
    <i>
      <x/>
    </i>
    <i i="1">
      <x v="1"/>
    </i>
  </colItems>
  <dataFields count="2">
    <dataField name="Remain Days." fld="5" baseField="0" baseItem="0" numFmtId="164"/>
    <dataField name="Achieve%." fld="9" subtotal="average" baseField="0" baseItem="0" numFmtId="9"/>
  </dataFields>
  <formats count="3">
    <format dxfId="3">
      <pivotArea outline="0" collapsedLevelsAreSubtotals="1" fieldPosition="0">
        <references count="1">
          <reference field="4294967294" count="1" selected="0">
            <x v="1"/>
          </reference>
        </references>
      </pivotArea>
    </format>
    <format dxfId="2">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0"/>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3EE521-DBEA-49C4-9090-5D1B05E32021}" name="paymen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4:I8" firstHeaderRow="1" firstDataRow="1" firstDataCol="1"/>
  <pivotFields count="14">
    <pivotField showAll="0"/>
    <pivotField showAll="0"/>
    <pivotField numFmtId="166" showAll="0"/>
    <pivotField numFmtId="166" showAll="0"/>
    <pivotField showAll="0"/>
    <pivotField showAll="0"/>
    <pivotField showAll="0">
      <items count="6">
        <item x="4"/>
        <item x="2"/>
        <item x="1"/>
        <item x="0"/>
        <item x="3"/>
        <item t="default"/>
      </items>
    </pivotField>
    <pivotField numFmtId="1" showAll="0"/>
    <pivotField numFmtId="1" showAll="0"/>
    <pivotField numFmtId="9" showAll="0"/>
    <pivotField dataField="1" numFmtId="168" showAll="0"/>
    <pivotField axis="axisRow" showAll="0">
      <items count="4">
        <item x="1"/>
        <item x="0"/>
        <item x="2"/>
        <item t="default"/>
      </items>
    </pivotField>
    <pivotField showAll="0">
      <items count="5">
        <item x="0"/>
        <item x="2"/>
        <item x="1"/>
        <item x="3"/>
        <item t="default"/>
      </items>
    </pivotField>
    <pivotField showAll="0"/>
  </pivotFields>
  <rowFields count="1">
    <field x="11"/>
  </rowFields>
  <rowItems count="4">
    <i>
      <x/>
    </i>
    <i>
      <x v="1"/>
    </i>
    <i>
      <x v="2"/>
    </i>
    <i t="grand">
      <x/>
    </i>
  </rowItems>
  <colItems count="1">
    <i/>
  </colItems>
  <dataFields count="1">
    <dataField name="Sum of Campaign Cost" fld="10" baseField="0" baseItem="0" numFmtId="168"/>
  </dataFields>
  <formats count="1">
    <format dxfId="4">
      <pivotArea outline="0" collapsedLevelsAreSubtotals="1"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1" count="1" selected="0">
            <x v="0"/>
          </reference>
        </references>
      </pivotArea>
    </chartFormat>
    <chartFormat chart="2" format="4">
      <pivotArea type="data" outline="0" fieldPosition="0">
        <references count="2">
          <reference field="4294967294" count="1" selected="0">
            <x v="0"/>
          </reference>
          <reference field="11" count="1" selected="0">
            <x v="1"/>
          </reference>
        </references>
      </pivotArea>
    </chartFormat>
    <chartFormat chart="2" format="5">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8DD09F-E774-450D-AC7B-ED6379E86747}" name="statistics"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4:F10" firstHeaderRow="0" firstDataRow="1" firstDataCol="1"/>
  <pivotFields count="14">
    <pivotField axis="axisRow" dataField="1" showAll="0">
      <items count="6">
        <item x="1"/>
        <item x="2"/>
        <item x="0"/>
        <item x="3"/>
        <item x="4"/>
        <item t="default"/>
      </items>
    </pivotField>
    <pivotField dataField="1" showAll="0"/>
    <pivotField numFmtId="166" showAll="0"/>
    <pivotField numFmtId="166" showAll="0"/>
    <pivotField showAll="0"/>
    <pivotField showAll="0"/>
    <pivotField showAll="0">
      <items count="6">
        <item x="4"/>
        <item x="2"/>
        <item x="1"/>
        <item x="0"/>
        <item x="3"/>
        <item t="default"/>
      </items>
    </pivotField>
    <pivotField numFmtId="1" showAll="0"/>
    <pivotField numFmtId="1" showAll="0"/>
    <pivotField dataField="1" numFmtId="9" showAll="0"/>
    <pivotField dataField="1" numFmtId="168" showAll="0"/>
    <pivotField showAll="0">
      <items count="4">
        <item x="1"/>
        <item x="0"/>
        <item x="2"/>
        <item t="default"/>
      </items>
    </pivotField>
    <pivotField showAll="0">
      <items count="5">
        <item x="0"/>
        <item x="2"/>
        <item x="1"/>
        <item x="3"/>
        <item t="default"/>
      </items>
    </pivotField>
    <pivotField showAll="0"/>
  </pivotFields>
  <rowFields count="1">
    <field x="0"/>
  </rowFields>
  <rowItems count="6">
    <i>
      <x/>
    </i>
    <i>
      <x v="1"/>
    </i>
    <i>
      <x v="2"/>
    </i>
    <i>
      <x v="3"/>
    </i>
    <i>
      <x v="4"/>
    </i>
    <i t="grand">
      <x/>
    </i>
  </rowItems>
  <colFields count="1">
    <field x="-2"/>
  </colFields>
  <colItems count="4">
    <i>
      <x/>
    </i>
    <i i="1">
      <x v="1"/>
    </i>
    <i i="2">
      <x v="2"/>
    </i>
    <i i="3">
      <x v="3"/>
    </i>
  </colItems>
  <dataFields count="4">
    <dataField name="Count of Campaign" fld="0" subtotal="count" baseField="0" baseItem="0"/>
    <dataField name="Sum of Articles Included" fld="1" baseField="0" baseItem="0"/>
    <dataField name="Sum of Campaign Cost" fld="10" baseField="0" baseItem="0"/>
    <dataField name="Average of Achieve%" fld="9" subtotal="average" baseField="0" baseItem="0" numFmtId="9"/>
  </dataFields>
  <formats count="1">
    <format dxfId="5">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21ECF7F-A6DC-455F-84AC-9099FF18595A}" name="impact"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O3:P11" firstHeaderRow="1" firstDataRow="1" firstDataCol="1"/>
  <pivotFields count="18">
    <pivotField numFmtId="166" showAll="0"/>
    <pivotField numFmtId="167"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showAll="0"/>
    <pivotField showAll="0">
      <items count="6">
        <item x="0"/>
        <item x="1"/>
        <item x="3"/>
        <item x="2"/>
        <item x="4"/>
        <item t="default"/>
      </items>
    </pivotField>
    <pivotField showAll="0">
      <items count="5">
        <item x="2"/>
        <item x="0"/>
        <item x="3"/>
        <item x="1"/>
        <item t="default"/>
      </items>
    </pivotField>
    <pivotField showAll="0"/>
    <pivotField axis="axisRow" showAll="0">
      <items count="8">
        <item x="1"/>
        <item x="3"/>
        <item x="6"/>
        <item x="2"/>
        <item x="5"/>
        <item x="4"/>
        <item x="0"/>
        <item t="default"/>
      </items>
    </pivotField>
    <pivotField showAll="0"/>
    <pivotField showAll="0">
      <items count="4">
        <item x="2"/>
        <item x="1"/>
        <item x="0"/>
        <item t="default"/>
      </items>
    </pivotField>
    <pivotField dataField="1" showAll="0"/>
    <pivotField showAll="0"/>
    <pivotField showAll="0" defaultSubtotal="0"/>
    <pivotField showAll="0" defaultSubtotal="0"/>
    <pivotField showAll="0" defaultSubtotal="0"/>
    <pivotField showAll="0" defaultSubtotal="0"/>
  </pivotFields>
  <rowFields count="1">
    <field x="9"/>
  </rowFields>
  <rowItems count="8">
    <i>
      <x/>
    </i>
    <i>
      <x v="1"/>
    </i>
    <i>
      <x v="2"/>
    </i>
    <i>
      <x v="3"/>
    </i>
    <i>
      <x v="4"/>
    </i>
    <i>
      <x v="5"/>
    </i>
    <i>
      <x v="6"/>
    </i>
    <i t="grand">
      <x/>
    </i>
  </rowItems>
  <colItems count="1">
    <i/>
  </colItems>
  <dataFields count="1">
    <dataField name="Average of Impact" fld="12" subtotal="average" baseField="0" baseItem="0" numFmtId="2"/>
  </dataFields>
  <formats count="1">
    <format dxfId="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B618073-163D-48D1-97DC-33719C9970D5}" name="monthly"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L3:M10" firstHeaderRow="1" firstDataRow="1" firstDataCol="1"/>
  <pivotFields count="18">
    <pivotField axis="axisRow" numFmtId="166" showAll="0">
      <items count="15">
        <item x="0"/>
        <item x="1"/>
        <item x="2"/>
        <item x="3"/>
        <item x="4"/>
        <item x="5"/>
        <item x="6"/>
        <item x="7"/>
        <item x="8"/>
        <item x="9"/>
        <item x="10"/>
        <item x="11"/>
        <item x="12"/>
        <item x="13"/>
        <item t="default"/>
      </items>
    </pivotField>
    <pivotField numFmtId="167"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dataField="1" showAll="0"/>
    <pivotField showAll="0">
      <items count="6">
        <item x="0"/>
        <item x="1"/>
        <item x="3"/>
        <item x="2"/>
        <item x="4"/>
        <item t="default"/>
      </items>
    </pivotField>
    <pivotField showAll="0">
      <items count="5">
        <item x="2"/>
        <item x="0"/>
        <item x="3"/>
        <item x="1"/>
        <item t="default"/>
      </items>
    </pivotField>
    <pivotField showAll="0"/>
    <pivotField showAll="0">
      <items count="8">
        <item x="1"/>
        <item x="3"/>
        <item x="6"/>
        <item x="2"/>
        <item x="5"/>
        <item x="4"/>
        <item x="0"/>
        <item t="default"/>
      </items>
    </pivotField>
    <pivotField showAll="0"/>
    <pivotField showAll="0">
      <items count="4">
        <item x="2"/>
        <item x="1"/>
        <item x="0"/>
        <item t="default"/>
      </items>
    </pivotField>
    <pivotField showAll="0"/>
    <pivotField showAll="0"/>
    <pivotField showAll="0" defaultSubtotal="0">
      <items count="6">
        <item x="0"/>
        <item x="1"/>
        <item x="2"/>
        <item x="3"/>
        <item x="4"/>
        <item x="5"/>
      </items>
    </pivotField>
    <pivotField showAll="0" defaultSubtotal="0">
      <items count="4">
        <item x="0"/>
        <item x="1"/>
        <item x="2"/>
        <item x="3"/>
      </items>
    </pivotField>
    <pivotField showAll="0">
      <items count="7">
        <item x="0"/>
        <item x="1"/>
        <item x="2"/>
        <item x="3"/>
        <item x="4"/>
        <item x="5"/>
        <item t="default"/>
      </items>
    </pivotField>
    <pivotField showAll="0">
      <items count="5">
        <item x="0"/>
        <item x="1"/>
        <item x="2"/>
        <item x="3"/>
        <item t="default"/>
      </items>
    </pivotField>
  </pivotFields>
  <rowFields count="1">
    <field x="0"/>
  </rowFields>
  <rowItems count="7">
    <i>
      <x v="1"/>
    </i>
    <i>
      <x v="8"/>
    </i>
    <i>
      <x v="9"/>
    </i>
    <i>
      <x v="10"/>
    </i>
    <i>
      <x v="11"/>
    </i>
    <i>
      <x v="12"/>
    </i>
    <i t="grand">
      <x/>
    </i>
  </rowItems>
  <colItems count="1">
    <i/>
  </colItems>
  <dataFields count="1">
    <dataField name="Count of Topic" fld="5"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7A8353-289A-4686-B2CC-51850E98100C}" name="favorability"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3:J5" firstHeaderRow="1" firstDataRow="2" firstDataCol="1"/>
  <pivotFields count="18">
    <pivotField numFmtId="166" showAll="0">
      <items count="15">
        <item x="0"/>
        <item x="1"/>
        <item x="2"/>
        <item x="3"/>
        <item x="4"/>
        <item x="5"/>
        <item x="6"/>
        <item x="7"/>
        <item x="8"/>
        <item x="9"/>
        <item x="10"/>
        <item x="11"/>
        <item x="12"/>
        <item x="13"/>
        <item t="default"/>
      </items>
    </pivotField>
    <pivotField numFmtId="167"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dataField="1" showAll="0"/>
    <pivotField showAll="0">
      <items count="6">
        <item x="0"/>
        <item x="1"/>
        <item x="3"/>
        <item x="2"/>
        <item x="4"/>
        <item t="default"/>
      </items>
    </pivotField>
    <pivotField showAll="0">
      <items count="5">
        <item x="2"/>
        <item x="0"/>
        <item x="3"/>
        <item x="1"/>
        <item t="default"/>
      </items>
    </pivotField>
    <pivotField showAll="0"/>
    <pivotField showAll="0">
      <items count="8">
        <item x="1"/>
        <item x="3"/>
        <item x="6"/>
        <item x="2"/>
        <item x="5"/>
        <item x="4"/>
        <item x="0"/>
        <item t="default"/>
      </items>
    </pivotField>
    <pivotField showAll="0"/>
    <pivotField axis="axisCol" showAll="0">
      <items count="4">
        <item x="2"/>
        <item x="1"/>
        <item x="0"/>
        <item t="default"/>
      </items>
    </pivotField>
    <pivotField showAll="0"/>
    <pivotField showAll="0"/>
    <pivotField showAll="0" defaultSubtotal="0"/>
    <pivotField showAll="0" defaultSubtotal="0"/>
    <pivotField showAll="0">
      <items count="7">
        <item x="0"/>
        <item x="1"/>
        <item x="2"/>
        <item x="3"/>
        <item x="4"/>
        <item x="5"/>
        <item t="default"/>
      </items>
    </pivotField>
    <pivotField showAll="0">
      <items count="5">
        <item x="0"/>
        <item x="1"/>
        <item x="2"/>
        <item x="3"/>
        <item t="default"/>
      </items>
    </pivotField>
  </pivotFields>
  <rowItems count="1">
    <i/>
  </rowItems>
  <colFields count="1">
    <field x="11"/>
  </colFields>
  <colItems count="4">
    <i>
      <x/>
    </i>
    <i>
      <x v="1"/>
    </i>
    <i>
      <x v="2"/>
    </i>
    <i t="grand">
      <x/>
    </i>
  </colItems>
  <dataFields count="1">
    <dataField name="Count of Topic" fld="5" subtotal="count" baseField="0" baseItem="0"/>
  </dataFields>
  <chartFormats count="4">
    <chartFormat chart="2" format="6" series="1">
      <pivotArea type="data" outline="0" fieldPosition="0">
        <references count="2">
          <reference field="4294967294" count="1" selected="0">
            <x v="0"/>
          </reference>
          <reference field="11" count="1" selected="0">
            <x v="0"/>
          </reference>
        </references>
      </pivotArea>
    </chartFormat>
    <chartFormat chart="2" format="7" series="1">
      <pivotArea type="data" outline="0" fieldPosition="0">
        <references count="2">
          <reference field="4294967294" count="1" selected="0">
            <x v="0"/>
          </reference>
          <reference field="11" count="1" selected="0">
            <x v="1"/>
          </reference>
        </references>
      </pivotArea>
    </chartFormat>
    <chartFormat chart="2" format="8" series="1">
      <pivotArea type="data" outline="0" fieldPosition="0">
        <references count="2">
          <reference field="4294967294" count="1" selected="0">
            <x v="0"/>
          </reference>
          <reference field="11" count="1" selected="0">
            <x v="2"/>
          </reference>
        </references>
      </pivotArea>
    </chartFormat>
    <chartFormat chart="2" format="9">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F5AF48-B58A-487B-BFEF-9EC3F952005F}" name="Target"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3:D11" firstHeaderRow="0" firstDataRow="1" firstDataCol="1"/>
  <pivotFields count="18">
    <pivotField numFmtId="166" showAll="0">
      <items count="15">
        <item x="0"/>
        <item x="1"/>
        <item x="2"/>
        <item x="3"/>
        <item x="4"/>
        <item x="5"/>
        <item x="6"/>
        <item x="7"/>
        <item x="8"/>
        <item x="9"/>
        <item x="10"/>
        <item x="11"/>
        <item x="12"/>
        <item x="13"/>
        <item t="default"/>
      </items>
    </pivotField>
    <pivotField numFmtId="167"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dataField="1" showAll="0"/>
    <pivotField showAll="0">
      <items count="6">
        <item x="0"/>
        <item x="1"/>
        <item x="3"/>
        <item x="2"/>
        <item x="4"/>
        <item t="default"/>
      </items>
    </pivotField>
    <pivotField showAll="0">
      <items count="5">
        <item x="2"/>
        <item x="0"/>
        <item x="3"/>
        <item x="1"/>
        <item t="default"/>
      </items>
    </pivotField>
    <pivotField showAll="0"/>
    <pivotField axis="axisRow" showAll="0">
      <items count="8">
        <item x="1"/>
        <item x="3"/>
        <item x="6"/>
        <item x="2"/>
        <item x="5"/>
        <item x="4"/>
        <item x="0"/>
        <item t="default"/>
      </items>
    </pivotField>
    <pivotField dataField="1" showAll="0"/>
    <pivotField showAll="0">
      <items count="4">
        <item x="2"/>
        <item x="1"/>
        <item x="0"/>
        <item t="default"/>
      </items>
    </pivotField>
    <pivotField showAll="0"/>
    <pivotField showAll="0"/>
    <pivotField showAll="0">
      <items count="7">
        <item sd="0" x="0"/>
        <item sd="0" x="1"/>
        <item sd="0" x="2"/>
        <item sd="0" x="3"/>
        <item sd="0" x="4"/>
        <item sd="0" x="5"/>
        <item t="default"/>
      </items>
    </pivotField>
    <pivotField showAll="0">
      <items count="5">
        <item sd="0" x="0"/>
        <item x="1"/>
        <item x="2"/>
        <item sd="0" x="3"/>
        <item t="default"/>
      </items>
    </pivotField>
    <pivotField showAll="0">
      <items count="7">
        <item x="0"/>
        <item x="1"/>
        <item x="2"/>
        <item x="3"/>
        <item x="4"/>
        <item x="5"/>
        <item t="default"/>
      </items>
    </pivotField>
    <pivotField showAll="0">
      <items count="5">
        <item x="0"/>
        <item x="1"/>
        <item x="2"/>
        <item x="3"/>
        <item t="default"/>
      </items>
    </pivotField>
  </pivotFields>
  <rowFields count="1">
    <field x="9"/>
  </rowFields>
  <rowItems count="8">
    <i>
      <x/>
    </i>
    <i>
      <x v="1"/>
    </i>
    <i>
      <x v="2"/>
    </i>
    <i>
      <x v="3"/>
    </i>
    <i>
      <x v="4"/>
    </i>
    <i>
      <x v="5"/>
    </i>
    <i>
      <x v="6"/>
    </i>
    <i t="grand">
      <x/>
    </i>
  </rowItems>
  <colFields count="1">
    <field x="-2"/>
  </colFields>
  <colItems count="2">
    <i>
      <x/>
    </i>
    <i i="1">
      <x v="1"/>
    </i>
  </colItems>
  <dataFields count="2">
    <dataField name="Total Topics" fld="5" subtotal="count" baseField="0" baseItem="0"/>
    <dataField name="Monthly Placement Target." fld="10" subtotal="average"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A5827E2-34D9-4E05-B4BB-3A11AC98811B}" name="Journalist"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U3:V11" firstHeaderRow="1" firstDataRow="1" firstDataCol="1"/>
  <pivotFields count="18">
    <pivotField numFmtId="166" showAll="0"/>
    <pivotField numFmtId="167" showAll="0">
      <items count="15">
        <item x="0"/>
        <item x="1"/>
        <item x="2"/>
        <item x="3"/>
        <item x="4"/>
        <item x="5"/>
        <item x="6"/>
        <item x="7"/>
        <item x="8"/>
        <item x="9"/>
        <item x="10"/>
        <item x="11"/>
        <item x="12"/>
        <item x="13"/>
        <item t="default"/>
      </items>
    </pivotField>
    <pivotField showAll="0"/>
    <pivotField axis="axisRow" showAll="0">
      <items count="8">
        <item x="5"/>
        <item x="2"/>
        <item x="4"/>
        <item x="0"/>
        <item x="1"/>
        <item x="3"/>
        <item x="6"/>
        <item t="default"/>
      </items>
    </pivotField>
    <pivotField showAll="0"/>
    <pivotField dataField="1" showAll="0"/>
    <pivotField showAll="0">
      <items count="6">
        <item x="0"/>
        <item x="1"/>
        <item x="3"/>
        <item x="2"/>
        <item x="4"/>
        <item t="default"/>
      </items>
    </pivotField>
    <pivotField showAll="0">
      <items count="5">
        <item x="2"/>
        <item x="0"/>
        <item x="3"/>
        <item x="1"/>
        <item t="default"/>
      </items>
    </pivotField>
    <pivotField showAll="0"/>
    <pivotField showAll="0">
      <items count="8">
        <item x="1"/>
        <item x="3"/>
        <item x="6"/>
        <item x="2"/>
        <item x="5"/>
        <item x="4"/>
        <item x="0"/>
        <item t="default"/>
      </items>
    </pivotField>
    <pivotField showAll="0"/>
    <pivotField showAll="0">
      <items count="4">
        <item x="2"/>
        <item x="1"/>
        <item x="0"/>
        <item t="default"/>
      </items>
    </pivotField>
    <pivotField showAll="0"/>
    <pivotField showAll="0"/>
    <pivotField showAll="0" defaultSubtotal="0"/>
    <pivotField showAll="0" defaultSubtotal="0"/>
    <pivotField showAll="0" defaultSubtotal="0"/>
    <pivotField showAll="0" defaultSubtotal="0"/>
  </pivotFields>
  <rowFields count="1">
    <field x="3"/>
  </rowFields>
  <rowItems count="8">
    <i>
      <x/>
    </i>
    <i>
      <x v="1"/>
    </i>
    <i>
      <x v="2"/>
    </i>
    <i>
      <x v="3"/>
    </i>
    <i>
      <x v="4"/>
    </i>
    <i>
      <x v="5"/>
    </i>
    <i>
      <x v="6"/>
    </i>
    <i t="grand">
      <x/>
    </i>
  </rowItems>
  <colItems count="1">
    <i/>
  </colItems>
  <dataFields count="1">
    <dataField name="Count of Topic" fld="5" subtotal="count"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84053BD-8877-4AF8-8D0E-E736AD549CE8}" name="MediaSource"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R3:S8" firstHeaderRow="1" firstDataRow="1" firstDataCol="1"/>
  <pivotFields count="18">
    <pivotField numFmtId="166" showAll="0"/>
    <pivotField numFmtId="167" showAll="0">
      <items count="15">
        <item x="0"/>
        <item x="1"/>
        <item x="2"/>
        <item x="3"/>
        <item x="4"/>
        <item x="5"/>
        <item x="6"/>
        <item x="7"/>
        <item x="8"/>
        <item x="9"/>
        <item x="10"/>
        <item x="11"/>
        <item x="12"/>
        <item x="13"/>
        <item t="default"/>
      </items>
    </pivotField>
    <pivotField showAll="0"/>
    <pivotField showAll="0">
      <items count="8">
        <item x="5"/>
        <item x="2"/>
        <item x="4"/>
        <item x="0"/>
        <item x="1"/>
        <item x="3"/>
        <item x="6"/>
        <item t="default"/>
      </items>
    </pivotField>
    <pivotField showAll="0"/>
    <pivotField dataField="1" showAll="0"/>
    <pivotField showAll="0">
      <items count="6">
        <item x="0"/>
        <item x="1"/>
        <item x="3"/>
        <item x="2"/>
        <item x="4"/>
        <item t="default"/>
      </items>
    </pivotField>
    <pivotField axis="axisRow" showAll="0">
      <items count="5">
        <item x="2"/>
        <item x="0"/>
        <item x="3"/>
        <item x="1"/>
        <item t="default"/>
      </items>
    </pivotField>
    <pivotField showAll="0"/>
    <pivotField showAll="0">
      <items count="8">
        <item x="1"/>
        <item x="3"/>
        <item x="6"/>
        <item x="2"/>
        <item x="5"/>
        <item x="4"/>
        <item x="0"/>
        <item t="default"/>
      </items>
    </pivotField>
    <pivotField showAll="0"/>
    <pivotField showAll="0">
      <items count="4">
        <item x="2"/>
        <item x="1"/>
        <item x="0"/>
        <item t="default"/>
      </items>
    </pivotField>
    <pivotField showAll="0"/>
    <pivotField showAll="0"/>
    <pivotField showAll="0" defaultSubtotal="0"/>
    <pivotField showAll="0" defaultSubtotal="0"/>
    <pivotField showAll="0" defaultSubtotal="0"/>
    <pivotField showAll="0" defaultSubtotal="0"/>
  </pivotFields>
  <rowFields count="1">
    <field x="7"/>
  </rowFields>
  <rowItems count="5">
    <i>
      <x/>
    </i>
    <i>
      <x v="1"/>
    </i>
    <i>
      <x v="2"/>
    </i>
    <i>
      <x v="3"/>
    </i>
    <i t="grand">
      <x/>
    </i>
  </rowItems>
  <colItems count="1">
    <i/>
  </colItems>
  <dataFields count="1">
    <dataField name="Count of Topic" fld="5"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 chart="2" format="9">
      <pivotArea type="data" outline="0" fieldPosition="0">
        <references count="2">
          <reference field="4294967294" count="1" selected="0">
            <x v="0"/>
          </reference>
          <reference field="7" count="1" selected="0">
            <x v="2"/>
          </reference>
        </references>
      </pivotArea>
    </chartFormat>
    <chartFormat chart="2" format="10">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urnalist" xr10:uid="{6B13F1EE-13CF-49A8-AF42-7EB9CD62A617}" sourceName="Journalist">
  <pivotTables>
    <pivotTable tabId="12" name="Target"/>
    <pivotTable tabId="12" name="favorability"/>
    <pivotTable tabId="12" name="monthly"/>
    <pivotTable tabId="12" name="impact"/>
    <pivotTable tabId="12" name="MediaSource"/>
  </pivotTables>
  <data>
    <tabular pivotCacheId="1362930406">
      <items count="7">
        <i x="5" s="1"/>
        <i x="2" s="1"/>
        <i x="4" s="1"/>
        <i x="0" s="1"/>
        <i x="1" s="1"/>
        <i x="3"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 xr10:uid="{EBD4D477-BC7C-4D6D-B689-FC18423B1FEB}" sourceName="Channel">
  <pivotTables>
    <pivotTable tabId="12" name="Target"/>
    <pivotTable tabId="12" name="favorability"/>
    <pivotTable tabId="12" name="monthly"/>
    <pivotTable tabId="12" name="impact"/>
    <pivotTable tabId="12" name="MediaSource"/>
    <pivotTable tabId="12" name="Journalist"/>
  </pivotTables>
  <data>
    <tabular pivotCacheId="1362930406">
      <items count="5">
        <i x="0" s="1"/>
        <i x="1" s="1"/>
        <i x="3" s="1"/>
        <i x="2"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dia_Source" xr10:uid="{D91C4648-CEBB-4B42-A820-ACCDD02E9D9D}" sourceName="Media Source">
  <pivotTables>
    <pivotTable tabId="12" name="Target"/>
    <pivotTable tabId="12" name="favorability"/>
    <pivotTable tabId="12" name="monthly"/>
    <pivotTable tabId="12" name="impact"/>
    <pivotTable tabId="12" name="Journalist"/>
  </pivotTables>
  <data>
    <tabular pivotCacheId="1362930406">
      <items count="4">
        <i x="2" s="1"/>
        <i x="0" s="1"/>
        <i x="3"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icle_Category" xr10:uid="{08A1EDF2-2695-4336-927D-0951B75FAB34}" sourceName="Article Category">
  <pivotTables>
    <pivotTable tabId="12" name="Target"/>
    <pivotTable tabId="12" name="favorability"/>
    <pivotTable tabId="12" name="monthly"/>
    <pivotTable tabId="12" name="impact"/>
    <pivotTable tabId="12" name="MediaSource"/>
    <pivotTable tabId="12" name="Journalist"/>
  </pivotTables>
  <data>
    <tabular pivotCacheId="1362930406">
      <items count="7">
        <i x="1" s="1"/>
        <i x="3" s="1"/>
        <i x="6" s="1"/>
        <i x="2" s="1"/>
        <i x="5" s="1"/>
        <i x="4" s="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vorability" xr10:uid="{7D4BA0E7-1566-4E33-95FF-A9A8A825610D}" sourceName="Favorability">
  <pivotTables>
    <pivotTable tabId="12" name="Target"/>
    <pivotTable tabId="12" name="monthly"/>
    <pivotTable tabId="12" name="impact"/>
    <pivotTable tabId="12" name="MediaSource"/>
    <pivotTable tabId="12" name="Journalist"/>
  </pivotTables>
  <data>
    <tabular pivotCacheId="1362930406">
      <items count="3">
        <i x="2" s="1"/>
        <i x="1" s="1"/>
        <i x="0"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D3EC393-F554-4E32-A7A8-D3DAEE6EB2F2}" sourceName="Month">
  <pivotTables>
    <pivotTable tabId="12" name="Target"/>
    <pivotTable tabId="12" name="favorability"/>
    <pivotTable tabId="12" name="impact"/>
    <pivotTable tabId="12" name="MediaSource"/>
    <pivotTable tabId="12" name="Journalist"/>
  </pivotTables>
  <data>
    <tabular pivotCacheId="1362930406">
      <items count="14">
        <i x="1" s="1"/>
        <i x="8" s="1"/>
        <i x="9" s="1"/>
        <i x="10" s="1"/>
        <i x="11" s="1"/>
        <i x="12" s="1"/>
        <i x="2" s="1" nd="1"/>
        <i x="3" s="1" nd="1"/>
        <i x="4" s="1" nd="1"/>
        <i x="5" s="1" nd="1"/>
        <i x="6" s="1" nd="1"/>
        <i x="7" s="1" nd="1"/>
        <i x="0" s="1" nd="1"/>
        <i x="1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__Organization" xr10:uid="{70A79B29-BAA8-4B65-A692-86EFCD0DF10B}" sourceName="Company / Organization">
  <pivotTables>
    <pivotTable tabId="15" name="statistics"/>
    <pivotTable tabId="15" name="campdet"/>
    <pivotTable tabId="15" name="payment"/>
  </pivotTables>
  <data>
    <tabular pivotCacheId="644692707">
      <items count="5">
        <i x="4" s="1"/>
        <i x="2" s="1"/>
        <i x="1" s="1"/>
        <i x="0" s="1"/>
        <i x="3"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Status" xr10:uid="{B9C581E8-6F43-4B72-9558-2FFD157AA183}" sourceName="Payment Status">
  <pivotTables>
    <pivotTable tabId="15" name="statistics"/>
    <pivotTable tabId="15" name="campdet"/>
    <pivotTable tabId="15" name="payment"/>
  </pivotTables>
  <data>
    <tabular pivotCacheId="644692707">
      <items count="3">
        <i x="1" s="1"/>
        <i x="0" s="1"/>
        <i x="2"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_Status" xr10:uid="{31135B93-8C2F-4689-B98E-84758FE5E684}" sourceName="Campaign Status">
  <pivotTables>
    <pivotTable tabId="15" name="statistics"/>
    <pivotTable tabId="15" name="campdet"/>
    <pivotTable tabId="15" name="payment"/>
  </pivotTables>
  <data>
    <tabular pivotCacheId="644692707">
      <items count="4">
        <i x="0" s="1"/>
        <i x="2" s="1"/>
        <i x="1"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urnalist" xr10:uid="{51F8D30D-81EC-4449-91B8-ED9E86803883}" cache="Slicer_Journalist" caption="Journalist" style="Slicer Style 1 2" rowHeight="225425"/>
  <slicer name="Channel" xr10:uid="{4038D39F-D985-46D6-BA80-2375176A1ABF}" cache="Slicer_Channel" caption="Channel" columnCount="3" style="Slicer Style 1" rowHeight="225425"/>
  <slicer name="Media Source" xr10:uid="{C20882DB-2AED-49DE-B818-D1922BA65111}" cache="Slicer_Media_Source" caption="Media Source" columnCount="3" style="Slicer Style 1" rowHeight="225425"/>
  <slicer name="Article Category" xr10:uid="{DF4B3C6C-F5F7-47A9-9C22-BA1082F80F95}" cache="Slicer_Article_Category" caption="Article Category" style="Slicer Style 1 2" rowHeight="225425"/>
  <slicer name="Favorability" xr10:uid="{45B269CD-1F3D-4F56-A5CE-CA1BE50B04D0}" cache="Slicer_Favorability" caption="Favorability" style="Slicer Style 1 2" rowHeight="225425"/>
  <slicer name="Month" xr10:uid="{74A22AB6-49FC-413D-864A-DD01758FD2D1}" cache="Slicer_Month" caption="Month" columnCount="6" style="Slicer Style 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 Organization" xr10:uid="{8BF7D9D8-1CBB-4E22-A8E1-623EA19DAA66}" cache="Slicer_Company___Organization" caption="Company / Organization" columnCount="5" style="Slicer Style 1 2" rowHeight="225425"/>
  <slicer name="Payment Status" xr10:uid="{142E16A1-E423-4332-9402-0694A2CF1235}" cache="Slicer_Payment_Status" caption="Payment Status" columnCount="3" style="Slicer Style 1 2" rowHeight="225425"/>
  <slicer name="Campaign Status" xr10:uid="{ABEF8DF3-0468-4757-8713-B83CA690F9DC}" cache="Slicer_Campaign_Status" caption="Campaign Status" style="Slicer Style 1 2"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1E88E-B14B-4A8C-95F0-23254B5F8A65}" name="PR" displayName="PR" ref="B22:O208" totalsRowShown="0" headerRowDxfId="50" dataDxfId="48" headerRowBorderDxfId="49" tableBorderDxfId="47" totalsRowBorderDxfId="46">
  <tableColumns count="14">
    <tableColumn id="1" xr3:uid="{C1C023B3-B031-4668-B6AF-D42F2252A966}" name="Date" dataDxfId="45"/>
    <tableColumn id="13" xr3:uid="{B814C527-0611-4BC0-AC85-B239A43AEDF2}" name="Month" dataDxfId="44">
      <calculatedColumnFormula>PR[[#This Row],[Date]]</calculatedColumnFormula>
    </tableColumn>
    <tableColumn id="14" xr3:uid="{94BCA9B8-8798-491C-8455-D4DF6DF3417E}" name="Campaign" dataDxfId="43"/>
    <tableColumn id="9" xr3:uid="{09988A16-AA51-493D-81F5-A96E1D049E14}" name="Journalist" dataDxfId="42"/>
    <tableColumn id="11" xr3:uid="{D2909BA1-A962-4AF3-BBE4-EA37095E560F}" name="Contact Information" dataDxfId="41">
      <calculatedColumnFormula>IFERROR(INDEX(Database!C:C,MATCH(PR[[#This Row],[Journalist]],Database!B:B,0)),"")</calculatedColumnFormula>
    </tableColumn>
    <tableColumn id="8" xr3:uid="{FCCAFFDA-4473-40C1-8949-46EFA8B9DCA8}" name="Topic" dataDxfId="40"/>
    <tableColumn id="7" xr3:uid="{A9CAE794-581B-499A-981E-E52F69996A25}" name="Channel" dataDxfId="39"/>
    <tableColumn id="6" xr3:uid="{39D4C39F-DE05-4A9E-B5A6-AA921406F8B2}" name="Media Source" dataDxfId="38"/>
    <tableColumn id="5" xr3:uid="{6045A146-6640-45D2-B32F-2D324E6909A8}" name="Link" dataDxfId="37"/>
    <tableColumn id="10" xr3:uid="{36CE08CE-AFAA-44C2-AC0A-762715F0EAFA}" name="Article Category" dataDxfId="36"/>
    <tableColumn id="4" xr3:uid="{29D6D385-58A3-42D0-AB56-F21E33080948}" name="Monthly Placement Target" dataDxfId="35">
      <calculatedColumnFormula>IFERROR(INDEX(Database!J:J,MATCH(PR[[#This Row],[Article Category]],Database!I:I,0)),"")</calculatedColumnFormula>
    </tableColumn>
    <tableColumn id="3" xr3:uid="{1E0C847F-29DE-4AC2-ABBB-F643908CE218}" name="Favorability" dataDxfId="34"/>
    <tableColumn id="12" xr3:uid="{FF81C187-F8CF-4C2A-8688-B44AFA3A087D}" name="Impact" dataDxfId="33"/>
    <tableColumn id="2" xr3:uid="{57C3785B-0630-4B21-9E58-2670D9AA6536}" name="Notes" dataDxfId="3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232566-B7C4-4B29-9A7D-023609AF0357}" name="camp" displayName="camp" ref="B10:O15" totalsRowShown="0" headerRowDxfId="24" dataDxfId="22" headerRowBorderDxfId="23" tableBorderDxfId="21" totalsRowBorderDxfId="20">
  <tableColumns count="14">
    <tableColumn id="1" xr3:uid="{F0C1FCC4-361C-48E6-AE26-F0B311B3E0C5}" name="Campaign" dataDxfId="19"/>
    <tableColumn id="2" xr3:uid="{38D493F4-0AF8-4533-A122-21D14A70E3A2}" name="Articles Included" dataDxfId="18">
      <calculatedColumnFormula>IFERROR(IF(B11="","",COUNTIF(Dashboard!D:D,B11)),"")</calculatedColumnFormula>
    </tableColumn>
    <tableColumn id="3" xr3:uid="{ED1A1260-8808-4688-9DA0-B8297EB51B02}" name="Starting Date" dataDxfId="17"/>
    <tableColumn id="4" xr3:uid="{A7AC8D01-43B7-4364-9711-4BCBCE064690}" name="Ending Date" dataDxfId="16"/>
    <tableColumn id="5" xr3:uid="{8F02425B-4E5A-45CE-B98B-B9F4070DD6B4}" name="Campaign Duration In Days" dataDxfId="15">
      <calculatedColumnFormula>IF(OR(camp[[#This Row],[Ending Date]]="",camp[[#This Row],[Starting Date]]=""),"",camp[[#This Row],[Ending Date]]-camp[[#This Row],[Starting Date]])</calculatedColumnFormula>
    </tableColumn>
    <tableColumn id="6" xr3:uid="{4E960119-C298-4441-8420-E4BDF60FCEFC}" name="Remain Days" dataDxfId="14">
      <calculatedColumnFormula>IF(OR(camp[[#This Row],[Ending Date]]="",camp[[#This Row],[Starting Date]]=""),"",IF(camp[[#This Row],[Ending Date]]&lt;TODAY(),"Finished",camp[[#This Row],[Ending Date]]-TODAY()))</calculatedColumnFormula>
    </tableColumn>
    <tableColumn id="7" xr3:uid="{18CA39D7-172E-4F6D-AD57-45A1F0B4EB48}" name="Company / Organization" dataDxfId="13"/>
    <tableColumn id="9" xr3:uid="{247A03C4-961F-402E-BC6E-91F165781199}" name="Contact Members" dataDxfId="12"/>
    <tableColumn id="14" xr3:uid="{C6ECCCFA-E185-4117-AC7E-5794F877BE08}" name="Target Contact Members" dataDxfId="11"/>
    <tableColumn id="13" xr3:uid="{008FDD0D-DAD9-4EF6-B03F-105BACF12CB1}" name="Achieve%" dataDxfId="10" dataCellStyle="Percent">
      <calculatedColumnFormula>IF(camp[[#This Row],[Contact Members]]="","",camp[[#This Row],[Target Contact Members]]/camp[[#This Row],[Contact Members]])</calculatedColumnFormula>
    </tableColumn>
    <tableColumn id="10" xr3:uid="{69937E82-8480-4ED4-BF40-A59F640AE639}" name="Campaign Cost" dataDxfId="9"/>
    <tableColumn id="11" xr3:uid="{AADBF8C8-73C1-416F-B1D7-A2452F10AF5B}" name="Payment Status" dataDxfId="8"/>
    <tableColumn id="12" xr3:uid="{13758CEB-E70D-47B6-BD16-2FFCFC029799}" name="Campaign Status" dataDxfId="7"/>
    <tableColumn id="16" xr3:uid="{5D5DA93A-0577-47AF-9618-BCEC660B5205}" name="Remarks" dataDxfId="6"/>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www.articlelink.com/1" TargetMode="External"/><Relationship Id="rId21" Type="http://schemas.openxmlformats.org/officeDocument/2006/relationships/hyperlink" Target="https://www.articlelink.com/1" TargetMode="External"/><Relationship Id="rId42" Type="http://schemas.openxmlformats.org/officeDocument/2006/relationships/hyperlink" Target="https://www.articlelink.com/1" TargetMode="External"/><Relationship Id="rId63" Type="http://schemas.openxmlformats.org/officeDocument/2006/relationships/hyperlink" Target="https://www.articlelink.com/1" TargetMode="External"/><Relationship Id="rId84" Type="http://schemas.openxmlformats.org/officeDocument/2006/relationships/hyperlink" Target="https://www.articlelink.com/1" TargetMode="External"/><Relationship Id="rId138" Type="http://schemas.openxmlformats.org/officeDocument/2006/relationships/hyperlink" Target="https://www.articlelink.com/1" TargetMode="External"/><Relationship Id="rId159" Type="http://schemas.openxmlformats.org/officeDocument/2006/relationships/hyperlink" Target="https://www.articlelink.com/1" TargetMode="External"/><Relationship Id="rId170" Type="http://schemas.openxmlformats.org/officeDocument/2006/relationships/hyperlink" Target="https://www.articlelink.com/1" TargetMode="External"/><Relationship Id="rId191" Type="http://schemas.openxmlformats.org/officeDocument/2006/relationships/ctrlProp" Target="../ctrlProps/ctrlProp2.xml"/><Relationship Id="rId107" Type="http://schemas.openxmlformats.org/officeDocument/2006/relationships/hyperlink" Target="https://www.articlelink.com/1" TargetMode="External"/><Relationship Id="rId11" Type="http://schemas.openxmlformats.org/officeDocument/2006/relationships/hyperlink" Target="https://www.articlelink.com/1" TargetMode="External"/><Relationship Id="rId32" Type="http://schemas.openxmlformats.org/officeDocument/2006/relationships/hyperlink" Target="https://www.articlelink.com/1" TargetMode="External"/><Relationship Id="rId53" Type="http://schemas.openxmlformats.org/officeDocument/2006/relationships/hyperlink" Target="https://www.articlelink.com/1" TargetMode="External"/><Relationship Id="rId74" Type="http://schemas.openxmlformats.org/officeDocument/2006/relationships/hyperlink" Target="https://www.articlelink.com/1" TargetMode="External"/><Relationship Id="rId128" Type="http://schemas.openxmlformats.org/officeDocument/2006/relationships/hyperlink" Target="https://www.articlelink.com/1" TargetMode="External"/><Relationship Id="rId149" Type="http://schemas.openxmlformats.org/officeDocument/2006/relationships/hyperlink" Target="https://www.articlelink.com/1" TargetMode="External"/><Relationship Id="rId5" Type="http://schemas.openxmlformats.org/officeDocument/2006/relationships/hyperlink" Target="https://www.articlelink.com/1" TargetMode="External"/><Relationship Id="rId95" Type="http://schemas.openxmlformats.org/officeDocument/2006/relationships/hyperlink" Target="https://www.articlelink.com/1" TargetMode="External"/><Relationship Id="rId160" Type="http://schemas.openxmlformats.org/officeDocument/2006/relationships/hyperlink" Target="https://www.articlelink.com/1" TargetMode="External"/><Relationship Id="rId181" Type="http://schemas.openxmlformats.org/officeDocument/2006/relationships/hyperlink" Target="https://www.articlelink.com/1" TargetMode="External"/><Relationship Id="rId22" Type="http://schemas.openxmlformats.org/officeDocument/2006/relationships/hyperlink" Target="https://www.articlelink.com/1" TargetMode="External"/><Relationship Id="rId43" Type="http://schemas.openxmlformats.org/officeDocument/2006/relationships/hyperlink" Target="https://www.articlelink.com/1" TargetMode="External"/><Relationship Id="rId64" Type="http://schemas.openxmlformats.org/officeDocument/2006/relationships/hyperlink" Target="https://www.articlelink.com/1" TargetMode="External"/><Relationship Id="rId118" Type="http://schemas.openxmlformats.org/officeDocument/2006/relationships/hyperlink" Target="https://www.articlelink.com/1" TargetMode="External"/><Relationship Id="rId139" Type="http://schemas.openxmlformats.org/officeDocument/2006/relationships/hyperlink" Target="https://www.articlelink.com/1" TargetMode="External"/><Relationship Id="rId85" Type="http://schemas.openxmlformats.org/officeDocument/2006/relationships/hyperlink" Target="https://www.articlelink.com/1" TargetMode="External"/><Relationship Id="rId150" Type="http://schemas.openxmlformats.org/officeDocument/2006/relationships/hyperlink" Target="https://www.articlelink.com/1" TargetMode="External"/><Relationship Id="rId171" Type="http://schemas.openxmlformats.org/officeDocument/2006/relationships/hyperlink" Target="https://www.articlelink.com/1" TargetMode="External"/><Relationship Id="rId192" Type="http://schemas.openxmlformats.org/officeDocument/2006/relationships/table" Target="../tables/table1.xml"/><Relationship Id="rId12" Type="http://schemas.openxmlformats.org/officeDocument/2006/relationships/hyperlink" Target="https://www.articlelink.com/1" TargetMode="External"/><Relationship Id="rId33" Type="http://schemas.openxmlformats.org/officeDocument/2006/relationships/hyperlink" Target="https://www.articlelink.com/1" TargetMode="External"/><Relationship Id="rId108" Type="http://schemas.openxmlformats.org/officeDocument/2006/relationships/hyperlink" Target="https://www.articlelink.com/1" TargetMode="External"/><Relationship Id="rId129" Type="http://schemas.openxmlformats.org/officeDocument/2006/relationships/hyperlink" Target="https://www.articlelink.com/1" TargetMode="External"/><Relationship Id="rId54" Type="http://schemas.openxmlformats.org/officeDocument/2006/relationships/hyperlink" Target="https://www.articlelink.com/1" TargetMode="External"/><Relationship Id="rId75" Type="http://schemas.openxmlformats.org/officeDocument/2006/relationships/hyperlink" Target="https://www.articlelink.com/1" TargetMode="External"/><Relationship Id="rId96" Type="http://schemas.openxmlformats.org/officeDocument/2006/relationships/hyperlink" Target="https://www.articlelink.com/1" TargetMode="External"/><Relationship Id="rId140" Type="http://schemas.openxmlformats.org/officeDocument/2006/relationships/hyperlink" Target="https://www.articlelink.com/1" TargetMode="External"/><Relationship Id="rId161" Type="http://schemas.openxmlformats.org/officeDocument/2006/relationships/hyperlink" Target="https://www.articlelink.com/1" TargetMode="External"/><Relationship Id="rId182" Type="http://schemas.openxmlformats.org/officeDocument/2006/relationships/hyperlink" Target="https://www.articlelink.com/1" TargetMode="External"/><Relationship Id="rId6" Type="http://schemas.openxmlformats.org/officeDocument/2006/relationships/hyperlink" Target="https://www.articlelink.com/1" TargetMode="External"/><Relationship Id="rId23" Type="http://schemas.openxmlformats.org/officeDocument/2006/relationships/hyperlink" Target="https://www.articlelink.com/1" TargetMode="External"/><Relationship Id="rId119" Type="http://schemas.openxmlformats.org/officeDocument/2006/relationships/hyperlink" Target="https://www.articlelink.com/1" TargetMode="External"/><Relationship Id="rId44" Type="http://schemas.openxmlformats.org/officeDocument/2006/relationships/hyperlink" Target="https://www.articlelink.com/1" TargetMode="External"/><Relationship Id="rId65" Type="http://schemas.openxmlformats.org/officeDocument/2006/relationships/hyperlink" Target="https://www.articlelink.com/1" TargetMode="External"/><Relationship Id="rId86" Type="http://schemas.openxmlformats.org/officeDocument/2006/relationships/hyperlink" Target="https://www.articlelink.com/1" TargetMode="External"/><Relationship Id="rId130" Type="http://schemas.openxmlformats.org/officeDocument/2006/relationships/hyperlink" Target="https://www.articlelink.com/1" TargetMode="External"/><Relationship Id="rId151" Type="http://schemas.openxmlformats.org/officeDocument/2006/relationships/hyperlink" Target="https://www.articlelink.com/1" TargetMode="External"/><Relationship Id="rId172" Type="http://schemas.openxmlformats.org/officeDocument/2006/relationships/hyperlink" Target="https://www.articlelink.com/1" TargetMode="External"/><Relationship Id="rId193" Type="http://schemas.microsoft.com/office/2007/relationships/slicer" Target="../slicers/slicer1.xml"/><Relationship Id="rId13" Type="http://schemas.openxmlformats.org/officeDocument/2006/relationships/hyperlink" Target="https://www.articlelink.com/1" TargetMode="External"/><Relationship Id="rId109" Type="http://schemas.openxmlformats.org/officeDocument/2006/relationships/hyperlink" Target="https://www.articlelink.com/1" TargetMode="External"/><Relationship Id="rId34" Type="http://schemas.openxmlformats.org/officeDocument/2006/relationships/hyperlink" Target="https://www.articlelink.com/1" TargetMode="External"/><Relationship Id="rId50" Type="http://schemas.openxmlformats.org/officeDocument/2006/relationships/hyperlink" Target="https://www.articlelink.com/1" TargetMode="External"/><Relationship Id="rId55" Type="http://schemas.openxmlformats.org/officeDocument/2006/relationships/hyperlink" Target="https://www.articlelink.com/1" TargetMode="External"/><Relationship Id="rId76" Type="http://schemas.openxmlformats.org/officeDocument/2006/relationships/hyperlink" Target="https://www.articlelink.com/1" TargetMode="External"/><Relationship Id="rId97" Type="http://schemas.openxmlformats.org/officeDocument/2006/relationships/hyperlink" Target="https://www.articlelink.com/1" TargetMode="External"/><Relationship Id="rId104" Type="http://schemas.openxmlformats.org/officeDocument/2006/relationships/hyperlink" Target="https://www.articlelink.com/1" TargetMode="External"/><Relationship Id="rId120" Type="http://schemas.openxmlformats.org/officeDocument/2006/relationships/hyperlink" Target="https://www.articlelink.com/1" TargetMode="External"/><Relationship Id="rId125" Type="http://schemas.openxmlformats.org/officeDocument/2006/relationships/hyperlink" Target="https://www.articlelink.com/1" TargetMode="External"/><Relationship Id="rId141" Type="http://schemas.openxmlformats.org/officeDocument/2006/relationships/hyperlink" Target="https://www.articlelink.com/1" TargetMode="External"/><Relationship Id="rId146" Type="http://schemas.openxmlformats.org/officeDocument/2006/relationships/hyperlink" Target="https://www.articlelink.com/1" TargetMode="External"/><Relationship Id="rId167" Type="http://schemas.openxmlformats.org/officeDocument/2006/relationships/hyperlink" Target="https://www.articlelink.com/1" TargetMode="External"/><Relationship Id="rId188" Type="http://schemas.openxmlformats.org/officeDocument/2006/relationships/drawing" Target="../drawings/drawing2.xml"/><Relationship Id="rId7" Type="http://schemas.openxmlformats.org/officeDocument/2006/relationships/hyperlink" Target="https://www.articlelink.com/1" TargetMode="External"/><Relationship Id="rId71" Type="http://schemas.openxmlformats.org/officeDocument/2006/relationships/hyperlink" Target="https://www.articlelink.com/1" TargetMode="External"/><Relationship Id="rId92" Type="http://schemas.openxmlformats.org/officeDocument/2006/relationships/hyperlink" Target="https://www.articlelink.com/1" TargetMode="External"/><Relationship Id="rId162" Type="http://schemas.openxmlformats.org/officeDocument/2006/relationships/hyperlink" Target="https://www.articlelink.com/1" TargetMode="External"/><Relationship Id="rId183" Type="http://schemas.openxmlformats.org/officeDocument/2006/relationships/hyperlink" Target="https://www.articlelink.com/1" TargetMode="External"/><Relationship Id="rId2" Type="http://schemas.openxmlformats.org/officeDocument/2006/relationships/hyperlink" Target="https://www.articlelink.com/1" TargetMode="External"/><Relationship Id="rId29" Type="http://schemas.openxmlformats.org/officeDocument/2006/relationships/hyperlink" Target="https://www.articlelink.com/1" TargetMode="External"/><Relationship Id="rId24" Type="http://schemas.openxmlformats.org/officeDocument/2006/relationships/hyperlink" Target="https://www.articlelink.com/1" TargetMode="External"/><Relationship Id="rId40" Type="http://schemas.openxmlformats.org/officeDocument/2006/relationships/hyperlink" Target="https://www.articlelink.com/1" TargetMode="External"/><Relationship Id="rId45" Type="http://schemas.openxmlformats.org/officeDocument/2006/relationships/hyperlink" Target="https://www.articlelink.com/1" TargetMode="External"/><Relationship Id="rId66" Type="http://schemas.openxmlformats.org/officeDocument/2006/relationships/hyperlink" Target="https://www.articlelink.com/1" TargetMode="External"/><Relationship Id="rId87" Type="http://schemas.openxmlformats.org/officeDocument/2006/relationships/hyperlink" Target="https://www.articlelink.com/1" TargetMode="External"/><Relationship Id="rId110" Type="http://schemas.openxmlformats.org/officeDocument/2006/relationships/hyperlink" Target="https://www.articlelink.com/1" TargetMode="External"/><Relationship Id="rId115" Type="http://schemas.openxmlformats.org/officeDocument/2006/relationships/hyperlink" Target="https://www.articlelink.com/1" TargetMode="External"/><Relationship Id="rId131" Type="http://schemas.openxmlformats.org/officeDocument/2006/relationships/hyperlink" Target="https://www.articlelink.com/1" TargetMode="External"/><Relationship Id="rId136" Type="http://schemas.openxmlformats.org/officeDocument/2006/relationships/hyperlink" Target="https://www.articlelink.com/1" TargetMode="External"/><Relationship Id="rId157" Type="http://schemas.openxmlformats.org/officeDocument/2006/relationships/hyperlink" Target="https://www.articlelink.com/1" TargetMode="External"/><Relationship Id="rId178" Type="http://schemas.openxmlformats.org/officeDocument/2006/relationships/hyperlink" Target="https://www.articlelink.com/1" TargetMode="External"/><Relationship Id="rId61" Type="http://schemas.openxmlformats.org/officeDocument/2006/relationships/hyperlink" Target="https://www.articlelink.com/1" TargetMode="External"/><Relationship Id="rId82" Type="http://schemas.openxmlformats.org/officeDocument/2006/relationships/hyperlink" Target="https://www.articlelink.com/1" TargetMode="External"/><Relationship Id="rId152" Type="http://schemas.openxmlformats.org/officeDocument/2006/relationships/hyperlink" Target="https://www.articlelink.com/1" TargetMode="External"/><Relationship Id="rId173" Type="http://schemas.openxmlformats.org/officeDocument/2006/relationships/hyperlink" Target="https://www.articlelink.com/1" TargetMode="External"/><Relationship Id="rId19" Type="http://schemas.openxmlformats.org/officeDocument/2006/relationships/hyperlink" Target="https://www.articlelink.com/1" TargetMode="External"/><Relationship Id="rId14" Type="http://schemas.openxmlformats.org/officeDocument/2006/relationships/hyperlink" Target="https://www.articlelink.com/1" TargetMode="External"/><Relationship Id="rId30" Type="http://schemas.openxmlformats.org/officeDocument/2006/relationships/hyperlink" Target="https://www.articlelink.com/1" TargetMode="External"/><Relationship Id="rId35" Type="http://schemas.openxmlformats.org/officeDocument/2006/relationships/hyperlink" Target="https://www.articlelink.com/1" TargetMode="External"/><Relationship Id="rId56" Type="http://schemas.openxmlformats.org/officeDocument/2006/relationships/hyperlink" Target="https://www.articlelink.com/1" TargetMode="External"/><Relationship Id="rId77" Type="http://schemas.openxmlformats.org/officeDocument/2006/relationships/hyperlink" Target="https://www.articlelink.com/1" TargetMode="External"/><Relationship Id="rId100" Type="http://schemas.openxmlformats.org/officeDocument/2006/relationships/hyperlink" Target="https://www.articlelink.com/1" TargetMode="External"/><Relationship Id="rId105" Type="http://schemas.openxmlformats.org/officeDocument/2006/relationships/hyperlink" Target="https://www.articlelink.com/1" TargetMode="External"/><Relationship Id="rId126" Type="http://schemas.openxmlformats.org/officeDocument/2006/relationships/hyperlink" Target="https://www.articlelink.com/1" TargetMode="External"/><Relationship Id="rId147" Type="http://schemas.openxmlformats.org/officeDocument/2006/relationships/hyperlink" Target="https://www.articlelink.com/1" TargetMode="External"/><Relationship Id="rId168" Type="http://schemas.openxmlformats.org/officeDocument/2006/relationships/hyperlink" Target="https://www.articlelink.com/1" TargetMode="External"/><Relationship Id="rId8" Type="http://schemas.openxmlformats.org/officeDocument/2006/relationships/hyperlink" Target="https://www.articlelink.com/1" TargetMode="External"/><Relationship Id="rId51" Type="http://schemas.openxmlformats.org/officeDocument/2006/relationships/hyperlink" Target="https://www.articlelink.com/1" TargetMode="External"/><Relationship Id="rId72" Type="http://schemas.openxmlformats.org/officeDocument/2006/relationships/hyperlink" Target="https://www.articlelink.com/1" TargetMode="External"/><Relationship Id="rId93" Type="http://schemas.openxmlformats.org/officeDocument/2006/relationships/hyperlink" Target="https://www.articlelink.com/1" TargetMode="External"/><Relationship Id="rId98" Type="http://schemas.openxmlformats.org/officeDocument/2006/relationships/hyperlink" Target="https://www.articlelink.com/1" TargetMode="External"/><Relationship Id="rId121" Type="http://schemas.openxmlformats.org/officeDocument/2006/relationships/hyperlink" Target="https://www.articlelink.com/1" TargetMode="External"/><Relationship Id="rId142" Type="http://schemas.openxmlformats.org/officeDocument/2006/relationships/hyperlink" Target="https://www.articlelink.com/1" TargetMode="External"/><Relationship Id="rId163" Type="http://schemas.openxmlformats.org/officeDocument/2006/relationships/hyperlink" Target="https://www.articlelink.com/1" TargetMode="External"/><Relationship Id="rId184" Type="http://schemas.openxmlformats.org/officeDocument/2006/relationships/hyperlink" Target="https://www.articlelink.com/1" TargetMode="External"/><Relationship Id="rId189" Type="http://schemas.openxmlformats.org/officeDocument/2006/relationships/vmlDrawing" Target="../drawings/vmlDrawing1.vml"/><Relationship Id="rId3" Type="http://schemas.openxmlformats.org/officeDocument/2006/relationships/hyperlink" Target="https://www.articlelink.com/1" TargetMode="External"/><Relationship Id="rId25" Type="http://schemas.openxmlformats.org/officeDocument/2006/relationships/hyperlink" Target="https://www.articlelink.com/1" TargetMode="External"/><Relationship Id="rId46" Type="http://schemas.openxmlformats.org/officeDocument/2006/relationships/hyperlink" Target="https://www.articlelink.com/1" TargetMode="External"/><Relationship Id="rId67" Type="http://schemas.openxmlformats.org/officeDocument/2006/relationships/hyperlink" Target="https://www.articlelink.com/1" TargetMode="External"/><Relationship Id="rId116" Type="http://schemas.openxmlformats.org/officeDocument/2006/relationships/hyperlink" Target="https://www.articlelink.com/1" TargetMode="External"/><Relationship Id="rId137" Type="http://schemas.openxmlformats.org/officeDocument/2006/relationships/hyperlink" Target="https://www.articlelink.com/1" TargetMode="External"/><Relationship Id="rId158" Type="http://schemas.openxmlformats.org/officeDocument/2006/relationships/hyperlink" Target="https://www.articlelink.com/1" TargetMode="External"/><Relationship Id="rId20" Type="http://schemas.openxmlformats.org/officeDocument/2006/relationships/hyperlink" Target="https://www.articlelink.com/1" TargetMode="External"/><Relationship Id="rId41" Type="http://schemas.openxmlformats.org/officeDocument/2006/relationships/hyperlink" Target="https://www.articlelink.com/1" TargetMode="External"/><Relationship Id="rId62" Type="http://schemas.openxmlformats.org/officeDocument/2006/relationships/hyperlink" Target="https://www.articlelink.com/1" TargetMode="External"/><Relationship Id="rId83" Type="http://schemas.openxmlformats.org/officeDocument/2006/relationships/hyperlink" Target="https://www.articlelink.com/1" TargetMode="External"/><Relationship Id="rId88" Type="http://schemas.openxmlformats.org/officeDocument/2006/relationships/hyperlink" Target="https://www.articlelink.com/1" TargetMode="External"/><Relationship Id="rId111" Type="http://schemas.openxmlformats.org/officeDocument/2006/relationships/hyperlink" Target="https://www.articlelink.com/1" TargetMode="External"/><Relationship Id="rId132" Type="http://schemas.openxmlformats.org/officeDocument/2006/relationships/hyperlink" Target="https://www.articlelink.com/1" TargetMode="External"/><Relationship Id="rId153" Type="http://schemas.openxmlformats.org/officeDocument/2006/relationships/hyperlink" Target="https://www.articlelink.com/1" TargetMode="External"/><Relationship Id="rId174" Type="http://schemas.openxmlformats.org/officeDocument/2006/relationships/hyperlink" Target="https://www.articlelink.com/1" TargetMode="External"/><Relationship Id="rId179" Type="http://schemas.openxmlformats.org/officeDocument/2006/relationships/hyperlink" Target="https://www.articlelink.com/1" TargetMode="External"/><Relationship Id="rId190" Type="http://schemas.openxmlformats.org/officeDocument/2006/relationships/ctrlProp" Target="../ctrlProps/ctrlProp1.xml"/><Relationship Id="rId15" Type="http://schemas.openxmlformats.org/officeDocument/2006/relationships/hyperlink" Target="https://www.articlelink.com/1" TargetMode="External"/><Relationship Id="rId36" Type="http://schemas.openxmlformats.org/officeDocument/2006/relationships/hyperlink" Target="https://www.articlelink.com/1" TargetMode="External"/><Relationship Id="rId57" Type="http://schemas.openxmlformats.org/officeDocument/2006/relationships/hyperlink" Target="https://www.articlelink.com/1" TargetMode="External"/><Relationship Id="rId106" Type="http://schemas.openxmlformats.org/officeDocument/2006/relationships/hyperlink" Target="https://www.articlelink.com/1" TargetMode="External"/><Relationship Id="rId127" Type="http://schemas.openxmlformats.org/officeDocument/2006/relationships/hyperlink" Target="https://www.articlelink.com/1" TargetMode="External"/><Relationship Id="rId10" Type="http://schemas.openxmlformats.org/officeDocument/2006/relationships/hyperlink" Target="https://www.articlelink.com/1" TargetMode="External"/><Relationship Id="rId31" Type="http://schemas.openxmlformats.org/officeDocument/2006/relationships/hyperlink" Target="https://www.articlelink.com/1" TargetMode="External"/><Relationship Id="rId52" Type="http://schemas.openxmlformats.org/officeDocument/2006/relationships/hyperlink" Target="https://www.articlelink.com/1" TargetMode="External"/><Relationship Id="rId73" Type="http://schemas.openxmlformats.org/officeDocument/2006/relationships/hyperlink" Target="https://www.articlelink.com/1" TargetMode="External"/><Relationship Id="rId78" Type="http://schemas.openxmlformats.org/officeDocument/2006/relationships/hyperlink" Target="https://www.articlelink.com/1" TargetMode="External"/><Relationship Id="rId94" Type="http://schemas.openxmlformats.org/officeDocument/2006/relationships/hyperlink" Target="https://www.articlelink.com/1" TargetMode="External"/><Relationship Id="rId99" Type="http://schemas.openxmlformats.org/officeDocument/2006/relationships/hyperlink" Target="https://www.articlelink.com/1" TargetMode="External"/><Relationship Id="rId101" Type="http://schemas.openxmlformats.org/officeDocument/2006/relationships/hyperlink" Target="https://www.articlelink.com/1" TargetMode="External"/><Relationship Id="rId122" Type="http://schemas.openxmlformats.org/officeDocument/2006/relationships/hyperlink" Target="https://www.articlelink.com/1" TargetMode="External"/><Relationship Id="rId143" Type="http://schemas.openxmlformats.org/officeDocument/2006/relationships/hyperlink" Target="https://www.articlelink.com/1" TargetMode="External"/><Relationship Id="rId148" Type="http://schemas.openxmlformats.org/officeDocument/2006/relationships/hyperlink" Target="https://www.articlelink.com/1" TargetMode="External"/><Relationship Id="rId164" Type="http://schemas.openxmlformats.org/officeDocument/2006/relationships/hyperlink" Target="https://www.articlelink.com/1" TargetMode="External"/><Relationship Id="rId169" Type="http://schemas.openxmlformats.org/officeDocument/2006/relationships/hyperlink" Target="https://www.articlelink.com/1" TargetMode="External"/><Relationship Id="rId185" Type="http://schemas.openxmlformats.org/officeDocument/2006/relationships/hyperlink" Target="https://www.articlelink.com/1" TargetMode="External"/><Relationship Id="rId4" Type="http://schemas.openxmlformats.org/officeDocument/2006/relationships/hyperlink" Target="https://www.articlelink.com/1" TargetMode="External"/><Relationship Id="rId9" Type="http://schemas.openxmlformats.org/officeDocument/2006/relationships/hyperlink" Target="https://www.articlelink.com/1" TargetMode="External"/><Relationship Id="rId180" Type="http://schemas.openxmlformats.org/officeDocument/2006/relationships/hyperlink" Target="https://www.articlelink.com/1" TargetMode="External"/><Relationship Id="rId26" Type="http://schemas.openxmlformats.org/officeDocument/2006/relationships/hyperlink" Target="https://www.articlelink.com/1" TargetMode="External"/><Relationship Id="rId47" Type="http://schemas.openxmlformats.org/officeDocument/2006/relationships/hyperlink" Target="https://www.articlelink.com/1" TargetMode="External"/><Relationship Id="rId68" Type="http://schemas.openxmlformats.org/officeDocument/2006/relationships/hyperlink" Target="https://www.articlelink.com/1" TargetMode="External"/><Relationship Id="rId89" Type="http://schemas.openxmlformats.org/officeDocument/2006/relationships/hyperlink" Target="https://www.articlelink.com/1" TargetMode="External"/><Relationship Id="rId112" Type="http://schemas.openxmlformats.org/officeDocument/2006/relationships/hyperlink" Target="https://www.articlelink.com/1" TargetMode="External"/><Relationship Id="rId133" Type="http://schemas.openxmlformats.org/officeDocument/2006/relationships/hyperlink" Target="https://www.articlelink.com/1" TargetMode="External"/><Relationship Id="rId154" Type="http://schemas.openxmlformats.org/officeDocument/2006/relationships/hyperlink" Target="https://www.articlelink.com/1" TargetMode="External"/><Relationship Id="rId175" Type="http://schemas.openxmlformats.org/officeDocument/2006/relationships/hyperlink" Target="https://www.articlelink.com/1" TargetMode="External"/><Relationship Id="rId16" Type="http://schemas.openxmlformats.org/officeDocument/2006/relationships/hyperlink" Target="https://www.articlelink.com/1" TargetMode="External"/><Relationship Id="rId37" Type="http://schemas.openxmlformats.org/officeDocument/2006/relationships/hyperlink" Target="https://www.articlelink.com/1" TargetMode="External"/><Relationship Id="rId58" Type="http://schemas.openxmlformats.org/officeDocument/2006/relationships/hyperlink" Target="https://www.articlelink.com/1" TargetMode="External"/><Relationship Id="rId79" Type="http://schemas.openxmlformats.org/officeDocument/2006/relationships/hyperlink" Target="https://www.articlelink.com/1" TargetMode="External"/><Relationship Id="rId102" Type="http://schemas.openxmlformats.org/officeDocument/2006/relationships/hyperlink" Target="https://www.articlelink.com/1" TargetMode="External"/><Relationship Id="rId123" Type="http://schemas.openxmlformats.org/officeDocument/2006/relationships/hyperlink" Target="https://www.articlelink.com/1" TargetMode="External"/><Relationship Id="rId144" Type="http://schemas.openxmlformats.org/officeDocument/2006/relationships/hyperlink" Target="https://www.articlelink.com/1" TargetMode="External"/><Relationship Id="rId90" Type="http://schemas.openxmlformats.org/officeDocument/2006/relationships/hyperlink" Target="https://www.articlelink.com/1" TargetMode="External"/><Relationship Id="rId165" Type="http://schemas.openxmlformats.org/officeDocument/2006/relationships/hyperlink" Target="https://www.articlelink.com/1" TargetMode="External"/><Relationship Id="rId186" Type="http://schemas.openxmlformats.org/officeDocument/2006/relationships/hyperlink" Target="https://www.articlelink.com/1" TargetMode="External"/><Relationship Id="rId27" Type="http://schemas.openxmlformats.org/officeDocument/2006/relationships/hyperlink" Target="https://www.articlelink.com/1" TargetMode="External"/><Relationship Id="rId48" Type="http://schemas.openxmlformats.org/officeDocument/2006/relationships/hyperlink" Target="https://www.articlelink.com/1" TargetMode="External"/><Relationship Id="rId69" Type="http://schemas.openxmlformats.org/officeDocument/2006/relationships/hyperlink" Target="https://www.articlelink.com/1" TargetMode="External"/><Relationship Id="rId113" Type="http://schemas.openxmlformats.org/officeDocument/2006/relationships/hyperlink" Target="https://www.articlelink.com/1" TargetMode="External"/><Relationship Id="rId134" Type="http://schemas.openxmlformats.org/officeDocument/2006/relationships/hyperlink" Target="https://www.articlelink.com/1" TargetMode="External"/><Relationship Id="rId80" Type="http://schemas.openxmlformats.org/officeDocument/2006/relationships/hyperlink" Target="https://www.articlelink.com/1" TargetMode="External"/><Relationship Id="rId155" Type="http://schemas.openxmlformats.org/officeDocument/2006/relationships/hyperlink" Target="https://www.articlelink.com/1" TargetMode="External"/><Relationship Id="rId176" Type="http://schemas.openxmlformats.org/officeDocument/2006/relationships/hyperlink" Target="https://www.articlelink.com/1" TargetMode="External"/><Relationship Id="rId17" Type="http://schemas.openxmlformats.org/officeDocument/2006/relationships/hyperlink" Target="https://www.articlelink.com/1" TargetMode="External"/><Relationship Id="rId38" Type="http://schemas.openxmlformats.org/officeDocument/2006/relationships/hyperlink" Target="https://www.articlelink.com/1" TargetMode="External"/><Relationship Id="rId59" Type="http://schemas.openxmlformats.org/officeDocument/2006/relationships/hyperlink" Target="https://www.articlelink.com/1" TargetMode="External"/><Relationship Id="rId103" Type="http://schemas.openxmlformats.org/officeDocument/2006/relationships/hyperlink" Target="https://www.articlelink.com/1" TargetMode="External"/><Relationship Id="rId124" Type="http://schemas.openxmlformats.org/officeDocument/2006/relationships/hyperlink" Target="https://www.articlelink.com/1" TargetMode="External"/><Relationship Id="rId70" Type="http://schemas.openxmlformats.org/officeDocument/2006/relationships/hyperlink" Target="https://www.articlelink.com/1" TargetMode="External"/><Relationship Id="rId91" Type="http://schemas.openxmlformats.org/officeDocument/2006/relationships/hyperlink" Target="https://www.articlelink.com/1" TargetMode="External"/><Relationship Id="rId145" Type="http://schemas.openxmlformats.org/officeDocument/2006/relationships/hyperlink" Target="https://www.articlelink.com/1" TargetMode="External"/><Relationship Id="rId166" Type="http://schemas.openxmlformats.org/officeDocument/2006/relationships/hyperlink" Target="https://www.articlelink.com/1" TargetMode="External"/><Relationship Id="rId187" Type="http://schemas.openxmlformats.org/officeDocument/2006/relationships/printerSettings" Target="../printerSettings/printerSettings2.bin"/><Relationship Id="rId1" Type="http://schemas.openxmlformats.org/officeDocument/2006/relationships/hyperlink" Target="https://www.articlelink.com/1" TargetMode="External"/><Relationship Id="rId28" Type="http://schemas.openxmlformats.org/officeDocument/2006/relationships/hyperlink" Target="https://www.articlelink.com/1" TargetMode="External"/><Relationship Id="rId49" Type="http://schemas.openxmlformats.org/officeDocument/2006/relationships/hyperlink" Target="https://www.articlelink.com/1" TargetMode="External"/><Relationship Id="rId114" Type="http://schemas.openxmlformats.org/officeDocument/2006/relationships/hyperlink" Target="https://www.articlelink.com/1" TargetMode="External"/><Relationship Id="rId60" Type="http://schemas.openxmlformats.org/officeDocument/2006/relationships/hyperlink" Target="https://www.articlelink.com/1" TargetMode="External"/><Relationship Id="rId81" Type="http://schemas.openxmlformats.org/officeDocument/2006/relationships/hyperlink" Target="https://www.articlelink.com/1" TargetMode="External"/><Relationship Id="rId135" Type="http://schemas.openxmlformats.org/officeDocument/2006/relationships/hyperlink" Target="https://www.articlelink.com/1" TargetMode="External"/><Relationship Id="rId156" Type="http://schemas.openxmlformats.org/officeDocument/2006/relationships/hyperlink" Target="https://www.articlelink.com/1" TargetMode="External"/><Relationship Id="rId177" Type="http://schemas.openxmlformats.org/officeDocument/2006/relationships/hyperlink" Target="https://www.articlelink.com/1" TargetMode="External"/><Relationship Id="rId18" Type="http://schemas.openxmlformats.org/officeDocument/2006/relationships/hyperlink" Target="https://www.articlelink.com/1" TargetMode="External"/><Relationship Id="rId39" Type="http://schemas.openxmlformats.org/officeDocument/2006/relationships/hyperlink" Target="https://www.articlelink.com/1"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64"/>
  <sheetViews>
    <sheetView showGridLines="0" showRowColHeaders="0" tabSelected="1" topLeftCell="A26" zoomScale="85" zoomScaleNormal="85" workbookViewId="0">
      <pane xSplit="3" topLeftCell="D1" activePane="topRight" state="frozen"/>
      <selection pane="topRight" activeCell="C60" sqref="C60:H67"/>
    </sheetView>
  </sheetViews>
  <sheetFormatPr defaultColWidth="10.140625" defaultRowHeight="15" x14ac:dyDescent="0.2"/>
  <cols>
    <col min="1" max="1" width="26" style="5" bestFit="1"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6" t="s">
        <v>1</v>
      </c>
      <c r="B5" s="3" t="s">
        <v>0</v>
      </c>
      <c r="D5" s="3" t="s">
        <v>530</v>
      </c>
    </row>
    <row r="7" spans="1:4" ht="12.75" x14ac:dyDescent="0.2">
      <c r="A7" s="7"/>
      <c r="B7" s="3" t="s">
        <v>2</v>
      </c>
      <c r="D7" s="2" t="s">
        <v>529</v>
      </c>
    </row>
    <row r="8" spans="1:4" ht="12.75" x14ac:dyDescent="0.2">
      <c r="A8" s="7" t="s">
        <v>462</v>
      </c>
    </row>
    <row r="9" spans="1:4" ht="12.75" x14ac:dyDescent="0.2">
      <c r="A9" s="7" t="s">
        <v>463</v>
      </c>
    </row>
    <row r="10" spans="1:4" ht="12.75" x14ac:dyDescent="0.2">
      <c r="A10" s="7" t="s">
        <v>510</v>
      </c>
    </row>
    <row r="11" spans="1:4" ht="12.75" x14ac:dyDescent="0.2">
      <c r="A11" s="7"/>
      <c r="B11" s="11"/>
      <c r="C11" s="10"/>
    </row>
    <row r="13" spans="1:4" ht="12.75" x14ac:dyDescent="0.2">
      <c r="A13" s="7"/>
    </row>
    <row r="14" spans="1:4" ht="12.75" x14ac:dyDescent="0.2">
      <c r="A14" s="7"/>
      <c r="B14" s="3" t="s">
        <v>3</v>
      </c>
      <c r="D14" s="3">
        <v>2</v>
      </c>
    </row>
    <row r="15" spans="1:4" ht="12.75" x14ac:dyDescent="0.2">
      <c r="A15" s="7"/>
    </row>
    <row r="16" spans="1:4" x14ac:dyDescent="0.2">
      <c r="B16" s="3" t="s">
        <v>4</v>
      </c>
      <c r="C16" s="8"/>
      <c r="D16" s="9"/>
    </row>
    <row r="17" spans="1:4" ht="12.75" x14ac:dyDescent="0.2">
      <c r="A17" s="7"/>
      <c r="B17" s="3"/>
      <c r="C17" s="12" t="s">
        <v>517</v>
      </c>
      <c r="D17" s="2" t="s">
        <v>512</v>
      </c>
    </row>
    <row r="18" spans="1:4" ht="12.75" x14ac:dyDescent="0.2">
      <c r="A18" s="7"/>
      <c r="B18" s="3"/>
      <c r="C18" s="12" t="s">
        <v>463</v>
      </c>
      <c r="D18" s="2" t="s">
        <v>513</v>
      </c>
    </row>
    <row r="19" spans="1:4" ht="12.75" x14ac:dyDescent="0.2">
      <c r="A19" s="7"/>
      <c r="B19" s="3"/>
      <c r="C19" s="12" t="s">
        <v>510</v>
      </c>
      <c r="D19" s="2" t="s">
        <v>514</v>
      </c>
    </row>
    <row r="20" spans="1:4" ht="12.75" customHeight="1" x14ac:dyDescent="0.2">
      <c r="C20" s="4"/>
    </row>
    <row r="21" spans="1:4" ht="12.75" customHeight="1" x14ac:dyDescent="0.2">
      <c r="B21" s="3" t="s">
        <v>5</v>
      </c>
      <c r="C21" s="4" t="s">
        <v>6</v>
      </c>
      <c r="D21" s="2" t="s">
        <v>515</v>
      </c>
    </row>
    <row r="22" spans="1:4" ht="12.75" customHeight="1" x14ac:dyDescent="0.2">
      <c r="C22" s="4" t="s">
        <v>7</v>
      </c>
      <c r="D22" s="2" t="s">
        <v>516</v>
      </c>
    </row>
    <row r="23" spans="1:4" ht="12.75" customHeight="1" x14ac:dyDescent="0.2">
      <c r="C23" s="4" t="s">
        <v>8</v>
      </c>
      <c r="D23" s="2" t="s">
        <v>518</v>
      </c>
    </row>
    <row r="24" spans="1:4" ht="12.75" customHeight="1" x14ac:dyDescent="0.2">
      <c r="C24" s="4" t="s">
        <v>9</v>
      </c>
      <c r="D24" s="2" t="s">
        <v>519</v>
      </c>
    </row>
    <row r="25" spans="1:4" ht="12.75" customHeight="1" x14ac:dyDescent="0.2">
      <c r="C25" s="4" t="s">
        <v>10</v>
      </c>
      <c r="D25" s="2" t="s">
        <v>520</v>
      </c>
    </row>
    <row r="26" spans="1:4" ht="12.75" customHeight="1" x14ac:dyDescent="0.2">
      <c r="C26" s="4" t="s">
        <v>11</v>
      </c>
      <c r="D26" s="2" t="s">
        <v>521</v>
      </c>
    </row>
    <row r="27" spans="1:4" ht="12.75" customHeight="1" x14ac:dyDescent="0.2">
      <c r="C27" s="4" t="s">
        <v>12</v>
      </c>
      <c r="D27" s="2" t="s">
        <v>522</v>
      </c>
    </row>
    <row r="28" spans="1:4" ht="12.75" customHeight="1" x14ac:dyDescent="0.2">
      <c r="C28" s="4" t="s">
        <v>13</v>
      </c>
      <c r="D28" s="2" t="s">
        <v>523</v>
      </c>
    </row>
    <row r="29" spans="1:4" ht="12.75" customHeight="1" x14ac:dyDescent="0.2">
      <c r="C29" s="4" t="s">
        <v>14</v>
      </c>
      <c r="D29" s="2" t="s">
        <v>524</v>
      </c>
    </row>
    <row r="30" spans="1:4" ht="12.75" customHeight="1" x14ac:dyDescent="0.2">
      <c r="C30" s="4" t="s">
        <v>15</v>
      </c>
      <c r="D30" s="2" t="s">
        <v>525</v>
      </c>
    </row>
    <row r="31" spans="1:4" ht="12.75" customHeight="1" x14ac:dyDescent="0.2">
      <c r="C31" s="4" t="s">
        <v>16</v>
      </c>
      <c r="D31" s="2" t="s">
        <v>526</v>
      </c>
    </row>
    <row r="32" spans="1:4" ht="12.75" customHeight="1" x14ac:dyDescent="0.2">
      <c r="C32" s="4" t="s">
        <v>17</v>
      </c>
      <c r="D32" s="2" t="s">
        <v>527</v>
      </c>
    </row>
    <row r="33" spans="2:7" ht="12.75" customHeight="1" x14ac:dyDescent="0.2">
      <c r="C33" s="4" t="s">
        <v>18</v>
      </c>
      <c r="D33" s="2" t="s">
        <v>528</v>
      </c>
    </row>
    <row r="34" spans="2:7" ht="12.75" customHeight="1" x14ac:dyDescent="0.2"/>
    <row r="35" spans="2:7" ht="12.75" customHeight="1" x14ac:dyDescent="0.2">
      <c r="C35" s="4"/>
    </row>
    <row r="36" spans="2:7" ht="12.75" customHeight="1" x14ac:dyDescent="0.2">
      <c r="B36" s="11" t="s">
        <v>531</v>
      </c>
      <c r="C36" s="67"/>
      <c r="D36" s="68" t="s">
        <v>532</v>
      </c>
      <c r="E36" s="69"/>
      <c r="F36" s="69"/>
      <c r="G36" s="69"/>
    </row>
    <row r="37" spans="2:7" ht="12.75" customHeight="1" x14ac:dyDescent="0.2">
      <c r="B37" s="69"/>
      <c r="C37" s="69"/>
      <c r="D37" s="68" t="s">
        <v>533</v>
      </c>
      <c r="E37" s="69"/>
      <c r="F37" s="69"/>
      <c r="G37" s="69"/>
    </row>
    <row r="38" spans="2:7" ht="12.75" customHeight="1" x14ac:dyDescent="0.2">
      <c r="B38" s="69"/>
      <c r="C38" s="69"/>
      <c r="D38" s="69"/>
      <c r="E38" s="69"/>
      <c r="F38" s="69"/>
      <c r="G38" s="69"/>
    </row>
    <row r="39" spans="2:7" ht="12.75" customHeight="1" x14ac:dyDescent="0.2">
      <c r="B39" s="69"/>
      <c r="C39" s="70" t="s">
        <v>534</v>
      </c>
      <c r="D39" s="69" t="s">
        <v>535</v>
      </c>
      <c r="E39" s="69"/>
      <c r="F39" s="69"/>
      <c r="G39" s="69"/>
    </row>
    <row r="40" spans="2:7" x14ac:dyDescent="0.2">
      <c r="B40" s="69"/>
      <c r="C40" s="69"/>
      <c r="D40" s="67"/>
      <c r="E40" s="69"/>
      <c r="F40" s="69"/>
      <c r="G40" s="69"/>
    </row>
    <row r="41" spans="2:7" x14ac:dyDescent="0.2">
      <c r="B41" s="69"/>
      <c r="C41" s="69"/>
      <c r="D41" s="67"/>
      <c r="E41" s="69"/>
      <c r="F41" s="69"/>
      <c r="G41" s="69"/>
    </row>
    <row r="42" spans="2:7" x14ac:dyDescent="0.2">
      <c r="B42" s="69"/>
      <c r="C42" s="69"/>
      <c r="D42" s="67"/>
      <c r="E42" s="69"/>
      <c r="F42" s="69"/>
      <c r="G42" s="69"/>
    </row>
    <row r="43" spans="2:7" x14ac:dyDescent="0.2">
      <c r="B43" s="69"/>
      <c r="C43" s="69"/>
      <c r="D43" s="67"/>
      <c r="E43" s="69"/>
      <c r="F43" s="69"/>
      <c r="G43" s="69"/>
    </row>
    <row r="44" spans="2:7" x14ac:dyDescent="0.2">
      <c r="B44" s="69"/>
      <c r="C44" s="69"/>
      <c r="D44" s="67"/>
      <c r="E44" s="69"/>
      <c r="F44" s="69"/>
      <c r="G44" s="69"/>
    </row>
    <row r="45" spans="2:7" x14ac:dyDescent="0.2">
      <c r="B45" s="69"/>
      <c r="C45" s="70" t="s">
        <v>536</v>
      </c>
      <c r="D45" s="69" t="s">
        <v>537</v>
      </c>
      <c r="E45" s="69"/>
      <c r="F45" s="69"/>
      <c r="G45" s="69"/>
    </row>
    <row r="46" spans="2:7" x14ac:dyDescent="0.2">
      <c r="B46" s="69"/>
      <c r="C46" s="69"/>
      <c r="D46" s="69"/>
      <c r="E46" s="69"/>
      <c r="F46" s="69"/>
      <c r="G46" s="69"/>
    </row>
    <row r="47" spans="2:7" x14ac:dyDescent="0.2">
      <c r="B47" s="69"/>
      <c r="C47" s="70" t="s">
        <v>538</v>
      </c>
      <c r="D47" s="69" t="s">
        <v>539</v>
      </c>
      <c r="E47" s="69"/>
      <c r="F47" s="69"/>
      <c r="G47" s="69"/>
    </row>
    <row r="48" spans="2:7" x14ac:dyDescent="0.2">
      <c r="B48" s="69"/>
      <c r="C48" s="69"/>
      <c r="D48" s="69"/>
      <c r="E48" s="69"/>
      <c r="F48" s="69"/>
      <c r="G48" s="69"/>
    </row>
    <row r="49" spans="2:7" x14ac:dyDescent="0.2">
      <c r="B49" s="69"/>
      <c r="C49" s="69"/>
      <c r="D49" s="69"/>
      <c r="E49" s="69"/>
      <c r="F49" s="69"/>
      <c r="G49" s="69"/>
    </row>
    <row r="50" spans="2:7" x14ac:dyDescent="0.2">
      <c r="B50" s="69"/>
      <c r="C50" s="69"/>
      <c r="D50" s="69"/>
      <c r="E50" s="69"/>
      <c r="F50" s="69"/>
      <c r="G50" s="69"/>
    </row>
    <row r="51" spans="2:7" x14ac:dyDescent="0.2">
      <c r="B51" s="69"/>
      <c r="C51" s="69"/>
      <c r="D51" s="69"/>
      <c r="E51" s="69"/>
      <c r="F51" s="69"/>
      <c r="G51" s="69"/>
    </row>
    <row r="52" spans="2:7" x14ac:dyDescent="0.2">
      <c r="B52" s="69"/>
      <c r="C52" s="69"/>
      <c r="D52" s="69"/>
      <c r="E52" s="69"/>
      <c r="F52" s="69"/>
      <c r="G52" s="69"/>
    </row>
    <row r="53" spans="2:7" x14ac:dyDescent="0.2">
      <c r="B53" s="69"/>
      <c r="C53" s="70" t="s">
        <v>540</v>
      </c>
      <c r="D53" s="69" t="s">
        <v>541</v>
      </c>
      <c r="E53" s="69"/>
      <c r="F53" s="69"/>
      <c r="G53" s="69"/>
    </row>
    <row r="54" spans="2:7" x14ac:dyDescent="0.2">
      <c r="B54" s="69"/>
      <c r="C54" s="69"/>
      <c r="D54" s="69"/>
      <c r="E54" s="69"/>
      <c r="F54" s="69"/>
      <c r="G54" s="69"/>
    </row>
    <row r="55" spans="2:7" x14ac:dyDescent="0.2">
      <c r="B55" s="69"/>
      <c r="C55" s="69"/>
      <c r="D55" s="69"/>
      <c r="E55" s="69"/>
      <c r="F55" s="69"/>
      <c r="G55" s="69"/>
    </row>
    <row r="56" spans="2:7" x14ac:dyDescent="0.2">
      <c r="B56" s="69"/>
      <c r="C56" s="69"/>
      <c r="D56" s="69"/>
      <c r="E56" s="69"/>
      <c r="F56" s="69"/>
      <c r="G56" s="69"/>
    </row>
    <row r="57" spans="2:7" x14ac:dyDescent="0.2">
      <c r="B57" s="69"/>
      <c r="C57" s="69"/>
      <c r="D57" s="69"/>
      <c r="E57" s="69"/>
      <c r="F57" s="69"/>
      <c r="G57" s="69"/>
    </row>
    <row r="58" spans="2:7" x14ac:dyDescent="0.2">
      <c r="B58" s="69"/>
      <c r="C58" s="69"/>
      <c r="D58" s="69"/>
      <c r="E58" s="69"/>
      <c r="F58" s="69"/>
      <c r="G58" s="69"/>
    </row>
    <row r="59" spans="2:7" x14ac:dyDescent="0.2">
      <c r="B59" s="69"/>
      <c r="C59" s="69"/>
      <c r="D59" s="68"/>
      <c r="E59" s="69"/>
      <c r="F59" s="69"/>
      <c r="G59" s="69"/>
    </row>
    <row r="60" spans="2:7" x14ac:dyDescent="0.2">
      <c r="B60" s="69"/>
      <c r="C60" s="69"/>
      <c r="E60" s="69"/>
      <c r="F60" s="69"/>
      <c r="G60" s="69"/>
    </row>
    <row r="61" spans="2:7" x14ac:dyDescent="0.2">
      <c r="B61" s="69"/>
      <c r="C61" s="69"/>
      <c r="D61" s="14"/>
      <c r="E61" s="69"/>
      <c r="F61" s="69"/>
      <c r="G61" s="69"/>
    </row>
    <row r="62" spans="2:7" x14ac:dyDescent="0.2">
      <c r="B62" s="69"/>
      <c r="C62" s="69"/>
      <c r="E62" s="69"/>
      <c r="F62" s="69"/>
      <c r="G62" s="69"/>
    </row>
    <row r="63" spans="2:7" x14ac:dyDescent="0.2">
      <c r="B63" s="69"/>
      <c r="C63" s="69"/>
      <c r="E63" s="69"/>
      <c r="F63" s="69"/>
      <c r="G63" s="69"/>
    </row>
    <row r="64" spans="2:7" x14ac:dyDescent="0.2">
      <c r="B64" s="69"/>
      <c r="C64" s="69"/>
      <c r="E64" s="69"/>
      <c r="F64" s="69"/>
      <c r="G64" s="69"/>
    </row>
  </sheetData>
  <conditionalFormatting sqref="D14">
    <cfRule type="iconSet" priority="1">
      <iconSet reverse="1">
        <cfvo type="percent" val="0"/>
        <cfvo type="num" val="1" gte="0"/>
        <cfvo type="num" val="2" gte="0"/>
      </iconSet>
    </cfRule>
  </conditionalFormatting>
  <hyperlinks>
    <hyperlink ref="A8" location="'Public Relationship'!A1" display="Public Relationship" xr:uid="{20C6A001-D3DB-40DD-8345-6487FB7EC561}"/>
    <hyperlink ref="A9" location="Database!A1" display="Database" xr:uid="{5C4D5A1C-1B73-4429-8871-BB9B71F5E6D9}"/>
    <hyperlink ref="A10" location="'Campaign Management'!A1" display="Campaign Management" xr:uid="{EDF5CCC6-2442-4BD5-B9C5-9722560E327C}"/>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8ECFC-E1AE-44A5-9980-BA0C347C9CC4}">
  <sheetPr codeName="Sheet2">
    <tabColor rgb="FF50B47F"/>
  </sheetPr>
  <dimension ref="A1:P1032"/>
  <sheetViews>
    <sheetView showGridLines="0" showRowColHeaders="0" zoomScale="80" zoomScaleNormal="80" workbookViewId="0">
      <pane xSplit="1" ySplit="22" topLeftCell="B23" activePane="bottomRight" state="frozen"/>
      <selection pane="topRight" activeCell="B1" sqref="B1"/>
      <selection pane="bottomLeft" activeCell="A23" sqref="A23"/>
      <selection pane="bottomRight" activeCell="G24" sqref="G24"/>
    </sheetView>
  </sheetViews>
  <sheetFormatPr defaultColWidth="0" defaultRowHeight="30" customHeight="1" outlineLevelRow="1" x14ac:dyDescent="0.2"/>
  <cols>
    <col min="1" max="1" width="22.85546875" customWidth="1"/>
    <col min="2" max="5" width="15.7109375" customWidth="1"/>
    <col min="6" max="6" width="16.7109375" customWidth="1"/>
    <col min="7" max="7" width="33.7109375" customWidth="1"/>
    <col min="8" max="9" width="15.7109375" customWidth="1"/>
    <col min="10" max="10" width="33.7109375" customWidth="1"/>
    <col min="11" max="14" width="15.7109375" customWidth="1"/>
    <col min="15" max="15" width="33.7109375" customWidth="1"/>
    <col min="16" max="16" width="1.7109375" customWidth="1"/>
    <col min="17" max="16384" width="9.140625" hidden="1"/>
  </cols>
  <sheetData>
    <row r="1" ht="12.75" outlineLevel="1" x14ac:dyDescent="0.2"/>
    <row r="2" ht="12.75" outlineLevel="1" x14ac:dyDescent="0.2"/>
    <row r="3" ht="12.75" outlineLevel="1" x14ac:dyDescent="0.2"/>
    <row r="4" ht="12.75" outlineLevel="1" x14ac:dyDescent="0.2"/>
    <row r="5" ht="12.75" outlineLevel="1" x14ac:dyDescent="0.2"/>
    <row r="6" ht="12.75" outlineLevel="1" x14ac:dyDescent="0.2"/>
    <row r="7" ht="15" customHeight="1" outlineLevel="1" x14ac:dyDescent="0.2"/>
    <row r="8" ht="15" customHeight="1" outlineLevel="1" x14ac:dyDescent="0.2"/>
    <row r="9" ht="15" customHeight="1" outlineLevel="1" x14ac:dyDescent="0.2"/>
    <row r="10" ht="15" customHeight="1" outlineLevel="1" x14ac:dyDescent="0.2"/>
    <row r="11" ht="15" customHeight="1" outlineLevel="1" x14ac:dyDescent="0.2"/>
    <row r="12" ht="15" customHeight="1" outlineLevel="1" x14ac:dyDescent="0.2"/>
    <row r="13" ht="15" customHeight="1" outlineLevel="1" x14ac:dyDescent="0.2"/>
    <row r="14" ht="15" customHeight="1" outlineLevel="1" x14ac:dyDescent="0.2"/>
    <row r="15" ht="15" customHeight="1" outlineLevel="1" x14ac:dyDescent="0.2"/>
    <row r="16" ht="15" customHeight="1" outlineLevel="1" x14ac:dyDescent="0.2"/>
    <row r="17" spans="1:15" ht="15" customHeight="1" outlineLevel="1" x14ac:dyDescent="0.2"/>
    <row r="18" spans="1:15" ht="15" customHeight="1" outlineLevel="1" x14ac:dyDescent="0.2"/>
    <row r="19" spans="1:15" ht="15" customHeight="1" outlineLevel="1" x14ac:dyDescent="0.2"/>
    <row r="20" spans="1:15" ht="15" customHeight="1" outlineLevel="1" x14ac:dyDescent="0.2"/>
    <row r="21" spans="1:15" ht="15" customHeight="1" outlineLevel="1" x14ac:dyDescent="0.2"/>
    <row r="22" spans="1:15" s="16" customFormat="1" ht="60" customHeight="1" x14ac:dyDescent="0.2">
      <c r="A22" s="25" t="s">
        <v>74</v>
      </c>
      <c r="B22" s="30" t="s">
        <v>29</v>
      </c>
      <c r="C22" s="30" t="s">
        <v>448</v>
      </c>
      <c r="D22" s="30" t="s">
        <v>464</v>
      </c>
      <c r="E22" s="30" t="s">
        <v>56</v>
      </c>
      <c r="F22" s="30" t="s">
        <v>71</v>
      </c>
      <c r="G22" s="30" t="s">
        <v>57</v>
      </c>
      <c r="H22" s="30" t="s">
        <v>59</v>
      </c>
      <c r="I22" s="30" t="s">
        <v>58</v>
      </c>
      <c r="J22" s="30" t="s">
        <v>60</v>
      </c>
      <c r="K22" s="30" t="s">
        <v>273</v>
      </c>
      <c r="L22" s="30" t="s">
        <v>62</v>
      </c>
      <c r="M22" s="30" t="s">
        <v>23</v>
      </c>
      <c r="N22" s="30" t="s">
        <v>73</v>
      </c>
      <c r="O22" s="30" t="s">
        <v>72</v>
      </c>
    </row>
    <row r="23" spans="1:15" s="24" customFormat="1" ht="30" customHeight="1" x14ac:dyDescent="0.2">
      <c r="A23" s="20" t="str">
        <f>IF(AND(B22&lt;&gt;"",B23=""),$A$22&amp;"---&gt;","")</f>
        <v/>
      </c>
      <c r="B23" s="31">
        <v>44217</v>
      </c>
      <c r="C23" s="40">
        <f>PR[[#This Row],[Date]]</f>
        <v>44217</v>
      </c>
      <c r="D23" s="41" t="s">
        <v>469</v>
      </c>
      <c r="E23" s="32" t="s">
        <v>32</v>
      </c>
      <c r="F23" s="33" t="str">
        <f>IFERROR(INDEX(Database!C:C,MATCH(PR[[#This Row],[Journalist]],Database!B:B,0)),"")</f>
        <v>Email or Phone 5</v>
      </c>
      <c r="G23" s="32" t="s">
        <v>75</v>
      </c>
      <c r="H23" s="32" t="s">
        <v>44</v>
      </c>
      <c r="I23" s="32" t="s">
        <v>37</v>
      </c>
      <c r="J23" s="34" t="s">
        <v>261</v>
      </c>
      <c r="K23" s="32" t="s">
        <v>47</v>
      </c>
      <c r="L23" s="33">
        <f>IFERROR(INDEX(Database!J:J,MATCH(PR[[#This Row],[Article Category]],Database!I:I,0)),"")</f>
        <v>30</v>
      </c>
      <c r="M23" s="32" t="s">
        <v>53</v>
      </c>
      <c r="N23" s="35">
        <v>-2</v>
      </c>
      <c r="O23" s="32"/>
    </row>
    <row r="24" spans="1:15" ht="30" customHeight="1" x14ac:dyDescent="0.2">
      <c r="A24" s="20" t="str">
        <f t="shared" ref="A24:A86" si="0">IF(AND(B23&lt;&gt;"",B24=""),"Select Audit Point---&gt;","")</f>
        <v/>
      </c>
      <c r="B24" s="31">
        <v>44184</v>
      </c>
      <c r="C24" s="40">
        <f>PR[[#This Row],[Date]]</f>
        <v>44184</v>
      </c>
      <c r="D24" s="41" t="s">
        <v>467</v>
      </c>
      <c r="E24" s="32" t="s">
        <v>39</v>
      </c>
      <c r="F24" s="33" t="str">
        <f>IFERROR(INDEX(Database!C:C,MATCH(PR[[#This Row],[Journalist]],Database!B:B,0)),"")</f>
        <v>Email or Phone 6</v>
      </c>
      <c r="G24" s="32" t="s">
        <v>76</v>
      </c>
      <c r="H24" s="32" t="s">
        <v>45</v>
      </c>
      <c r="I24" s="32" t="s">
        <v>37</v>
      </c>
      <c r="J24" s="34" t="s">
        <v>262</v>
      </c>
      <c r="K24" s="32" t="s">
        <v>49</v>
      </c>
      <c r="L24" s="33">
        <f>IFERROR(INDEX(Database!J:J,MATCH(PR[[#This Row],[Article Category]],Database!I:I,0)),"")</f>
        <v>20</v>
      </c>
      <c r="M24" s="32" t="s">
        <v>53</v>
      </c>
      <c r="N24" s="35">
        <v>-3</v>
      </c>
      <c r="O24" s="32"/>
    </row>
    <row r="25" spans="1:15" ht="30" customHeight="1" x14ac:dyDescent="0.2">
      <c r="A25" s="20" t="str">
        <f t="shared" si="0"/>
        <v/>
      </c>
      <c r="B25" s="31">
        <v>44191</v>
      </c>
      <c r="C25" s="40">
        <f>PR[[#This Row],[Date]]</f>
        <v>44191</v>
      </c>
      <c r="D25" s="41" t="s">
        <v>466</v>
      </c>
      <c r="E25" s="32" t="s">
        <v>30</v>
      </c>
      <c r="F25" s="33" t="str">
        <f>IFERROR(INDEX(Database!C:C,MATCH(PR[[#This Row],[Journalist]],Database!B:B,0)),"")</f>
        <v>Email or Phone 3</v>
      </c>
      <c r="G25" s="32" t="s">
        <v>77</v>
      </c>
      <c r="H25" s="32" t="s">
        <v>44</v>
      </c>
      <c r="I25" s="32" t="s">
        <v>36</v>
      </c>
      <c r="J25" s="34" t="s">
        <v>263</v>
      </c>
      <c r="K25" s="32" t="s">
        <v>52</v>
      </c>
      <c r="L25" s="33">
        <f>IFERROR(INDEX(Database!J:J,MATCH(PR[[#This Row],[Article Category]],Database!I:I,0)),"")</f>
        <v>30</v>
      </c>
      <c r="M25" s="32" t="s">
        <v>54</v>
      </c>
      <c r="N25" s="35">
        <v>5</v>
      </c>
      <c r="O25" s="32"/>
    </row>
    <row r="26" spans="1:15" ht="30" customHeight="1" x14ac:dyDescent="0.2">
      <c r="A26" s="20" t="str">
        <f t="shared" si="0"/>
        <v/>
      </c>
      <c r="B26" s="31">
        <v>44073</v>
      </c>
      <c r="C26" s="40">
        <f>PR[[#This Row],[Date]]</f>
        <v>44073</v>
      </c>
      <c r="D26" s="41" t="s">
        <v>468</v>
      </c>
      <c r="E26" s="32" t="s">
        <v>40</v>
      </c>
      <c r="F26" s="33" t="str">
        <f>IFERROR(INDEX(Database!C:C,MATCH(PR[[#This Row],[Journalist]],Database!B:B,0)),"")</f>
        <v>Email or Phone 7</v>
      </c>
      <c r="G26" s="32" t="s">
        <v>78</v>
      </c>
      <c r="H26" s="32" t="s">
        <v>45</v>
      </c>
      <c r="I26" s="32" t="s">
        <v>33</v>
      </c>
      <c r="J26" s="34" t="s">
        <v>264</v>
      </c>
      <c r="K26" s="32" t="s">
        <v>50</v>
      </c>
      <c r="L26" s="33">
        <f>IFERROR(INDEX(Database!J:J,MATCH(PR[[#This Row],[Article Category]],Database!I:I,0)),"")</f>
        <v>40</v>
      </c>
      <c r="M26" s="32" t="s">
        <v>53</v>
      </c>
      <c r="N26" s="35">
        <v>-1</v>
      </c>
      <c r="O26" s="32"/>
    </row>
    <row r="27" spans="1:15" ht="30" customHeight="1" x14ac:dyDescent="0.2">
      <c r="A27" s="20" t="str">
        <f t="shared" si="0"/>
        <v/>
      </c>
      <c r="B27" s="31">
        <v>44109</v>
      </c>
      <c r="C27" s="40">
        <f>PR[[#This Row],[Date]]</f>
        <v>44109</v>
      </c>
      <c r="D27" s="41" t="s">
        <v>467</v>
      </c>
      <c r="E27" s="32" t="s">
        <v>40</v>
      </c>
      <c r="F27" s="33" t="str">
        <f>IFERROR(INDEX(Database!C:C,MATCH(PR[[#This Row],[Journalist]],Database!B:B,0)),"")</f>
        <v>Email or Phone 7</v>
      </c>
      <c r="G27" s="32" t="s">
        <v>79</v>
      </c>
      <c r="H27" s="32" t="s">
        <v>43</v>
      </c>
      <c r="I27" s="32" t="s">
        <v>36</v>
      </c>
      <c r="J27" s="34" t="s">
        <v>265</v>
      </c>
      <c r="K27" s="32" t="s">
        <v>48</v>
      </c>
      <c r="L27" s="33">
        <f>IFERROR(INDEX(Database!J:J,MATCH(PR[[#This Row],[Article Category]],Database!I:I,0)),"")</f>
        <v>20</v>
      </c>
      <c r="M27" s="32" t="s">
        <v>54</v>
      </c>
      <c r="N27" s="35">
        <v>-2</v>
      </c>
      <c r="O27" s="32"/>
    </row>
    <row r="28" spans="1:15" ht="30" customHeight="1" x14ac:dyDescent="0.2">
      <c r="A28" s="20" t="str">
        <f t="shared" si="0"/>
        <v/>
      </c>
      <c r="B28" s="31">
        <v>44156</v>
      </c>
      <c r="C28" s="40">
        <f>PR[[#This Row],[Date]]</f>
        <v>44156</v>
      </c>
      <c r="D28" s="41" t="s">
        <v>466</v>
      </c>
      <c r="E28" s="32" t="s">
        <v>40</v>
      </c>
      <c r="F28" s="33" t="str">
        <f>IFERROR(INDEX(Database!C:C,MATCH(PR[[#This Row],[Journalist]],Database!B:B,0)),"")</f>
        <v>Email or Phone 7</v>
      </c>
      <c r="G28" s="32" t="s">
        <v>80</v>
      </c>
      <c r="H28" s="32" t="s">
        <v>45</v>
      </c>
      <c r="I28" s="32" t="s">
        <v>37</v>
      </c>
      <c r="J28" s="34" t="s">
        <v>266</v>
      </c>
      <c r="K28" s="32" t="s">
        <v>47</v>
      </c>
      <c r="L28" s="33">
        <f>IFERROR(INDEX(Database!J:J,MATCH(PR[[#This Row],[Article Category]],Database!I:I,0)),"")</f>
        <v>30</v>
      </c>
      <c r="M28" s="32" t="s">
        <v>54</v>
      </c>
      <c r="N28" s="35">
        <v>-1</v>
      </c>
      <c r="O28" s="32"/>
    </row>
    <row r="29" spans="1:15" ht="30" customHeight="1" x14ac:dyDescent="0.2">
      <c r="A29" s="20" t="str">
        <f t="shared" si="0"/>
        <v/>
      </c>
      <c r="B29" s="31">
        <v>44074</v>
      </c>
      <c r="C29" s="40">
        <f>PR[[#This Row],[Date]]</f>
        <v>44074</v>
      </c>
      <c r="D29" s="41" t="s">
        <v>466</v>
      </c>
      <c r="E29" s="32" t="s">
        <v>40</v>
      </c>
      <c r="F29" s="33" t="str">
        <f>IFERROR(INDEX(Database!C:C,MATCH(PR[[#This Row],[Journalist]],Database!B:B,0)),"")</f>
        <v>Email or Phone 7</v>
      </c>
      <c r="G29" s="32" t="s">
        <v>81</v>
      </c>
      <c r="H29" s="32" t="s">
        <v>43</v>
      </c>
      <c r="I29" s="32" t="s">
        <v>38</v>
      </c>
      <c r="J29" s="34" t="s">
        <v>267</v>
      </c>
      <c r="K29" s="32" t="s">
        <v>49</v>
      </c>
      <c r="L29" s="33">
        <f>IFERROR(INDEX(Database!J:J,MATCH(PR[[#This Row],[Article Category]],Database!I:I,0)),"")</f>
        <v>20</v>
      </c>
      <c r="M29" s="32" t="s">
        <v>55</v>
      </c>
      <c r="N29" s="35">
        <v>-3</v>
      </c>
      <c r="O29" s="32"/>
    </row>
    <row r="30" spans="1:15" ht="30" customHeight="1" x14ac:dyDescent="0.2">
      <c r="A30" s="20" t="str">
        <f t="shared" si="0"/>
        <v/>
      </c>
      <c r="B30" s="31">
        <v>44138</v>
      </c>
      <c r="C30" s="40">
        <f>PR[[#This Row],[Date]]</f>
        <v>44138</v>
      </c>
      <c r="D30" s="41" t="s">
        <v>468</v>
      </c>
      <c r="E30" s="32" t="s">
        <v>39</v>
      </c>
      <c r="F30" s="33" t="str">
        <f>IFERROR(INDEX(Database!C:C,MATCH(PR[[#This Row],[Journalist]],Database!B:B,0)),"")</f>
        <v>Email or Phone 6</v>
      </c>
      <c r="G30" s="32" t="s">
        <v>82</v>
      </c>
      <c r="H30" s="32" t="s">
        <v>43</v>
      </c>
      <c r="I30" s="32" t="s">
        <v>38</v>
      </c>
      <c r="J30" s="34" t="s">
        <v>268</v>
      </c>
      <c r="K30" s="32" t="s">
        <v>47</v>
      </c>
      <c r="L30" s="33">
        <f>IFERROR(INDEX(Database!J:J,MATCH(PR[[#This Row],[Article Category]],Database!I:I,0)),"")</f>
        <v>30</v>
      </c>
      <c r="M30" s="32" t="s">
        <v>54</v>
      </c>
      <c r="N30" s="35">
        <v>2</v>
      </c>
      <c r="O30" s="32"/>
    </row>
    <row r="31" spans="1:15" ht="30" customHeight="1" x14ac:dyDescent="0.2">
      <c r="A31" s="20" t="str">
        <f t="shared" si="0"/>
        <v/>
      </c>
      <c r="B31" s="31">
        <v>44117</v>
      </c>
      <c r="C31" s="40">
        <f>PR[[#This Row],[Date]]</f>
        <v>44117</v>
      </c>
      <c r="D31" s="41" t="s">
        <v>470</v>
      </c>
      <c r="E31" s="32" t="s">
        <v>32</v>
      </c>
      <c r="F31" s="33" t="str">
        <f>IFERROR(INDEX(Database!C:C,MATCH(PR[[#This Row],[Journalist]],Database!B:B,0)),"")</f>
        <v>Email or Phone 5</v>
      </c>
      <c r="G31" s="32" t="s">
        <v>83</v>
      </c>
      <c r="H31" s="32" t="s">
        <v>44</v>
      </c>
      <c r="I31" s="32" t="s">
        <v>33</v>
      </c>
      <c r="J31" s="34" t="s">
        <v>269</v>
      </c>
      <c r="K31" s="32" t="s">
        <v>50</v>
      </c>
      <c r="L31" s="33">
        <f>IFERROR(INDEX(Database!J:J,MATCH(PR[[#This Row],[Article Category]],Database!I:I,0)),"")</f>
        <v>40</v>
      </c>
      <c r="M31" s="32" t="s">
        <v>53</v>
      </c>
      <c r="N31" s="35">
        <v>-5</v>
      </c>
      <c r="O31" s="32"/>
    </row>
    <row r="32" spans="1:15" ht="30" customHeight="1" x14ac:dyDescent="0.2">
      <c r="A32" s="20" t="str">
        <f t="shared" si="0"/>
        <v/>
      </c>
      <c r="B32" s="31">
        <v>44128</v>
      </c>
      <c r="C32" s="40">
        <f>PR[[#This Row],[Date]]</f>
        <v>44128</v>
      </c>
      <c r="D32" s="41" t="s">
        <v>470</v>
      </c>
      <c r="E32" s="32" t="s">
        <v>31</v>
      </c>
      <c r="F32" s="33" t="str">
        <f>IFERROR(INDEX(Database!C:C,MATCH(PR[[#This Row],[Journalist]],Database!B:B,0)),"")</f>
        <v>Email or Phone 4</v>
      </c>
      <c r="G32" s="32" t="s">
        <v>84</v>
      </c>
      <c r="H32" s="32" t="s">
        <v>43</v>
      </c>
      <c r="I32" s="32" t="s">
        <v>36</v>
      </c>
      <c r="J32" s="34" t="s">
        <v>270</v>
      </c>
      <c r="K32" s="32" t="s">
        <v>49</v>
      </c>
      <c r="L32" s="33">
        <f>IFERROR(INDEX(Database!J:J,MATCH(PR[[#This Row],[Article Category]],Database!I:I,0)),"")</f>
        <v>20</v>
      </c>
      <c r="M32" s="32" t="s">
        <v>54</v>
      </c>
      <c r="N32" s="35">
        <v>-1</v>
      </c>
      <c r="O32" s="32"/>
    </row>
    <row r="33" spans="1:15" ht="30" customHeight="1" x14ac:dyDescent="0.2">
      <c r="A33" s="20" t="str">
        <f t="shared" si="0"/>
        <v/>
      </c>
      <c r="B33" s="31">
        <v>44154</v>
      </c>
      <c r="C33" s="40">
        <f>PR[[#This Row],[Date]]</f>
        <v>44154</v>
      </c>
      <c r="D33" s="41" t="s">
        <v>469</v>
      </c>
      <c r="E33" s="32" t="s">
        <v>34</v>
      </c>
      <c r="F33" s="33" t="str">
        <f>IFERROR(INDEX(Database!C:C,MATCH(PR[[#This Row],[Journalist]],Database!B:B,0)),"")</f>
        <v>Email or Phone 1</v>
      </c>
      <c r="G33" s="32" t="s">
        <v>85</v>
      </c>
      <c r="H33" s="32" t="s">
        <v>41</v>
      </c>
      <c r="I33" s="32" t="s">
        <v>38</v>
      </c>
      <c r="J33" s="34" t="s">
        <v>271</v>
      </c>
      <c r="K33" s="32" t="s">
        <v>47</v>
      </c>
      <c r="L33" s="33">
        <f>IFERROR(INDEX(Database!J:J,MATCH(PR[[#This Row],[Article Category]],Database!I:I,0)),"")</f>
        <v>30</v>
      </c>
      <c r="M33" s="32" t="s">
        <v>55</v>
      </c>
      <c r="N33" s="35">
        <v>-3</v>
      </c>
      <c r="O33" s="32"/>
    </row>
    <row r="34" spans="1:15" ht="30" customHeight="1" x14ac:dyDescent="0.2">
      <c r="A34" s="20" t="str">
        <f t="shared" si="0"/>
        <v/>
      </c>
      <c r="B34" s="31">
        <v>44145</v>
      </c>
      <c r="C34" s="40">
        <f>PR[[#This Row],[Date]]</f>
        <v>44145</v>
      </c>
      <c r="D34" s="41" t="s">
        <v>470</v>
      </c>
      <c r="E34" s="32" t="s">
        <v>39</v>
      </c>
      <c r="F34" s="33" t="str">
        <f>IFERROR(INDEX(Database!C:C,MATCH(PR[[#This Row],[Journalist]],Database!B:B,0)),"")</f>
        <v>Email or Phone 6</v>
      </c>
      <c r="G34" s="32" t="s">
        <v>86</v>
      </c>
      <c r="H34" s="32" t="s">
        <v>45</v>
      </c>
      <c r="I34" s="32" t="s">
        <v>38</v>
      </c>
      <c r="J34" s="34" t="s">
        <v>272</v>
      </c>
      <c r="K34" s="32" t="s">
        <v>52</v>
      </c>
      <c r="L34" s="33">
        <f>IFERROR(INDEX(Database!J:J,MATCH(PR[[#This Row],[Article Category]],Database!I:I,0)),"")</f>
        <v>30</v>
      </c>
      <c r="M34" s="32" t="s">
        <v>53</v>
      </c>
      <c r="N34" s="35">
        <v>-3</v>
      </c>
      <c r="O34" s="32"/>
    </row>
    <row r="35" spans="1:15" ht="30" customHeight="1" x14ac:dyDescent="0.2">
      <c r="A35" s="20" t="str">
        <f t="shared" si="0"/>
        <v/>
      </c>
      <c r="B35" s="31">
        <v>44083</v>
      </c>
      <c r="C35" s="40">
        <f>PR[[#This Row],[Date]]</f>
        <v>44083</v>
      </c>
      <c r="D35" s="41" t="s">
        <v>470</v>
      </c>
      <c r="E35" s="32" t="s">
        <v>34</v>
      </c>
      <c r="F35" s="33" t="str">
        <f>IFERROR(INDEX(Database!C:C,MATCH(PR[[#This Row],[Journalist]],Database!B:B,0)),"")</f>
        <v>Email or Phone 1</v>
      </c>
      <c r="G35" s="32" t="s">
        <v>87</v>
      </c>
      <c r="H35" s="32" t="s">
        <v>45</v>
      </c>
      <c r="I35" s="32" t="s">
        <v>33</v>
      </c>
      <c r="J35" s="34" t="s">
        <v>274</v>
      </c>
      <c r="K35" s="32" t="s">
        <v>50</v>
      </c>
      <c r="L35" s="33">
        <f>IFERROR(INDEX(Database!J:J,MATCH(PR[[#This Row],[Article Category]],Database!I:I,0)),"")</f>
        <v>40</v>
      </c>
      <c r="M35" s="32" t="s">
        <v>53</v>
      </c>
      <c r="N35" s="35">
        <v>-5</v>
      </c>
      <c r="O35" s="32"/>
    </row>
    <row r="36" spans="1:15" ht="30" customHeight="1" x14ac:dyDescent="0.2">
      <c r="A36" s="20" t="str">
        <f t="shared" si="0"/>
        <v/>
      </c>
      <c r="B36" s="31">
        <v>44187</v>
      </c>
      <c r="C36" s="40">
        <f>PR[[#This Row],[Date]]</f>
        <v>44187</v>
      </c>
      <c r="D36" s="41" t="s">
        <v>466</v>
      </c>
      <c r="E36" s="32" t="s">
        <v>32</v>
      </c>
      <c r="F36" s="33" t="str">
        <f>IFERROR(INDEX(Database!C:C,MATCH(PR[[#This Row],[Journalist]],Database!B:B,0)),"")</f>
        <v>Email or Phone 5</v>
      </c>
      <c r="G36" s="32" t="s">
        <v>88</v>
      </c>
      <c r="H36" s="32" t="s">
        <v>41</v>
      </c>
      <c r="I36" s="32" t="s">
        <v>33</v>
      </c>
      <c r="J36" s="34" t="s">
        <v>275</v>
      </c>
      <c r="K36" s="32" t="s">
        <v>46</v>
      </c>
      <c r="L36" s="33">
        <f>IFERROR(INDEX(Database!J:J,MATCH(PR[[#This Row],[Article Category]],Database!I:I,0)),"")</f>
        <v>20</v>
      </c>
      <c r="M36" s="32" t="s">
        <v>54</v>
      </c>
      <c r="N36" s="35">
        <v>2</v>
      </c>
      <c r="O36" s="32"/>
    </row>
    <row r="37" spans="1:15" ht="30" customHeight="1" x14ac:dyDescent="0.2">
      <c r="A37" s="20" t="str">
        <f t="shared" si="0"/>
        <v/>
      </c>
      <c r="B37" s="31">
        <v>44194</v>
      </c>
      <c r="C37" s="40">
        <f>PR[[#This Row],[Date]]</f>
        <v>44194</v>
      </c>
      <c r="D37" s="41" t="s">
        <v>467</v>
      </c>
      <c r="E37" s="32" t="s">
        <v>30</v>
      </c>
      <c r="F37" s="33" t="str">
        <f>IFERROR(INDEX(Database!C:C,MATCH(PR[[#This Row],[Journalist]],Database!B:B,0)),"")</f>
        <v>Email or Phone 3</v>
      </c>
      <c r="G37" s="32" t="s">
        <v>89</v>
      </c>
      <c r="H37" s="32" t="s">
        <v>42</v>
      </c>
      <c r="I37" s="32" t="s">
        <v>36</v>
      </c>
      <c r="J37" s="34" t="s">
        <v>276</v>
      </c>
      <c r="K37" s="32" t="s">
        <v>46</v>
      </c>
      <c r="L37" s="33">
        <f>IFERROR(INDEX(Database!J:J,MATCH(PR[[#This Row],[Article Category]],Database!I:I,0)),"")</f>
        <v>20</v>
      </c>
      <c r="M37" s="32" t="s">
        <v>55</v>
      </c>
      <c r="N37" s="35">
        <v>1</v>
      </c>
      <c r="O37" s="32"/>
    </row>
    <row r="38" spans="1:15" ht="30" customHeight="1" x14ac:dyDescent="0.2">
      <c r="A38" s="20" t="str">
        <f t="shared" si="0"/>
        <v/>
      </c>
      <c r="B38" s="31">
        <v>44203</v>
      </c>
      <c r="C38" s="40">
        <f>PR[[#This Row],[Date]]</f>
        <v>44203</v>
      </c>
      <c r="D38" s="41" t="s">
        <v>470</v>
      </c>
      <c r="E38" s="32" t="s">
        <v>35</v>
      </c>
      <c r="F38" s="33" t="str">
        <f>IFERROR(INDEX(Database!C:C,MATCH(PR[[#This Row],[Journalist]],Database!B:B,0)),"")</f>
        <v>Email or Phone 2</v>
      </c>
      <c r="G38" s="32" t="s">
        <v>90</v>
      </c>
      <c r="H38" s="32" t="s">
        <v>44</v>
      </c>
      <c r="I38" s="32" t="s">
        <v>37</v>
      </c>
      <c r="J38" s="34" t="s">
        <v>277</v>
      </c>
      <c r="K38" s="32" t="s">
        <v>46</v>
      </c>
      <c r="L38" s="33">
        <f>IFERROR(INDEX(Database!J:J,MATCH(PR[[#This Row],[Article Category]],Database!I:I,0)),"")</f>
        <v>20</v>
      </c>
      <c r="M38" s="32" t="s">
        <v>53</v>
      </c>
      <c r="N38" s="35">
        <v>2</v>
      </c>
      <c r="O38" s="32"/>
    </row>
    <row r="39" spans="1:15" ht="30" customHeight="1" x14ac:dyDescent="0.2">
      <c r="A39" s="20" t="str">
        <f t="shared" si="0"/>
        <v/>
      </c>
      <c r="B39" s="31">
        <v>44108</v>
      </c>
      <c r="C39" s="40">
        <f>PR[[#This Row],[Date]]</f>
        <v>44108</v>
      </c>
      <c r="D39" s="41" t="s">
        <v>466</v>
      </c>
      <c r="E39" s="32" t="s">
        <v>35</v>
      </c>
      <c r="F39" s="33" t="str">
        <f>IFERROR(INDEX(Database!C:C,MATCH(PR[[#This Row],[Journalist]],Database!B:B,0)),"")</f>
        <v>Email or Phone 2</v>
      </c>
      <c r="G39" s="32" t="s">
        <v>91</v>
      </c>
      <c r="H39" s="32" t="s">
        <v>41</v>
      </c>
      <c r="I39" s="32" t="s">
        <v>33</v>
      </c>
      <c r="J39" s="34" t="s">
        <v>278</v>
      </c>
      <c r="K39" s="32" t="s">
        <v>51</v>
      </c>
      <c r="L39" s="33">
        <f>IFERROR(INDEX(Database!J:J,MATCH(PR[[#This Row],[Article Category]],Database!I:I,0)),"")</f>
        <v>40</v>
      </c>
      <c r="M39" s="32" t="s">
        <v>55</v>
      </c>
      <c r="N39" s="35">
        <v>1</v>
      </c>
      <c r="O39" s="32"/>
    </row>
    <row r="40" spans="1:15" ht="30" customHeight="1" x14ac:dyDescent="0.2">
      <c r="A40" s="20" t="str">
        <f t="shared" si="0"/>
        <v/>
      </c>
      <c r="B40" s="31">
        <v>44191</v>
      </c>
      <c r="C40" s="40">
        <f>PR[[#This Row],[Date]]</f>
        <v>44191</v>
      </c>
      <c r="D40" s="41" t="s">
        <v>470</v>
      </c>
      <c r="E40" s="32" t="s">
        <v>30</v>
      </c>
      <c r="F40" s="33" t="str">
        <f>IFERROR(INDEX(Database!C:C,MATCH(PR[[#This Row],[Journalist]],Database!B:B,0)),"")</f>
        <v>Email or Phone 3</v>
      </c>
      <c r="G40" s="32" t="s">
        <v>92</v>
      </c>
      <c r="H40" s="32" t="s">
        <v>43</v>
      </c>
      <c r="I40" s="32" t="s">
        <v>37</v>
      </c>
      <c r="J40" s="34" t="s">
        <v>279</v>
      </c>
      <c r="K40" s="32" t="s">
        <v>48</v>
      </c>
      <c r="L40" s="33">
        <f>IFERROR(INDEX(Database!J:J,MATCH(PR[[#This Row],[Article Category]],Database!I:I,0)),"")</f>
        <v>20</v>
      </c>
      <c r="M40" s="32" t="s">
        <v>54</v>
      </c>
      <c r="N40" s="35">
        <v>2</v>
      </c>
      <c r="O40" s="32"/>
    </row>
    <row r="41" spans="1:15" ht="30" customHeight="1" x14ac:dyDescent="0.2">
      <c r="A41" s="20" t="str">
        <f t="shared" si="0"/>
        <v/>
      </c>
      <c r="B41" s="31">
        <v>44111</v>
      </c>
      <c r="C41" s="40">
        <f>PR[[#This Row],[Date]]</f>
        <v>44111</v>
      </c>
      <c r="D41" s="41" t="s">
        <v>470</v>
      </c>
      <c r="E41" s="32" t="s">
        <v>35</v>
      </c>
      <c r="F41" s="33" t="str">
        <f>IFERROR(INDEX(Database!C:C,MATCH(PR[[#This Row],[Journalist]],Database!B:B,0)),"")</f>
        <v>Email or Phone 2</v>
      </c>
      <c r="G41" s="32" t="s">
        <v>93</v>
      </c>
      <c r="H41" s="32" t="s">
        <v>42</v>
      </c>
      <c r="I41" s="32" t="s">
        <v>38</v>
      </c>
      <c r="J41" s="34" t="s">
        <v>280</v>
      </c>
      <c r="K41" s="32" t="s">
        <v>47</v>
      </c>
      <c r="L41" s="33">
        <f>IFERROR(INDEX(Database!J:J,MATCH(PR[[#This Row],[Article Category]],Database!I:I,0)),"")</f>
        <v>30</v>
      </c>
      <c r="M41" s="32" t="s">
        <v>53</v>
      </c>
      <c r="N41" s="35">
        <v>-5</v>
      </c>
      <c r="O41" s="32"/>
    </row>
    <row r="42" spans="1:15" ht="30" customHeight="1" x14ac:dyDescent="0.2">
      <c r="A42" s="20" t="str">
        <f t="shared" si="0"/>
        <v/>
      </c>
      <c r="B42" s="31">
        <v>44134</v>
      </c>
      <c r="C42" s="40">
        <f>PR[[#This Row],[Date]]</f>
        <v>44134</v>
      </c>
      <c r="D42" s="41" t="s">
        <v>466</v>
      </c>
      <c r="E42" s="32" t="s">
        <v>34</v>
      </c>
      <c r="F42" s="33" t="str">
        <f>IFERROR(INDEX(Database!C:C,MATCH(PR[[#This Row],[Journalist]],Database!B:B,0)),"")</f>
        <v>Email or Phone 1</v>
      </c>
      <c r="G42" s="32" t="s">
        <v>94</v>
      </c>
      <c r="H42" s="32" t="s">
        <v>44</v>
      </c>
      <c r="I42" s="32" t="s">
        <v>36</v>
      </c>
      <c r="J42" s="34" t="s">
        <v>281</v>
      </c>
      <c r="K42" s="32" t="s">
        <v>47</v>
      </c>
      <c r="L42" s="33">
        <f>IFERROR(INDEX(Database!J:J,MATCH(PR[[#This Row],[Article Category]],Database!I:I,0)),"")</f>
        <v>30</v>
      </c>
      <c r="M42" s="32" t="s">
        <v>54</v>
      </c>
      <c r="N42" s="35">
        <v>-1</v>
      </c>
      <c r="O42" s="32"/>
    </row>
    <row r="43" spans="1:15" ht="30" customHeight="1" x14ac:dyDescent="0.2">
      <c r="A43" s="20" t="str">
        <f t="shared" si="0"/>
        <v/>
      </c>
      <c r="B43" s="31">
        <v>44125</v>
      </c>
      <c r="C43" s="40">
        <f>PR[[#This Row],[Date]]</f>
        <v>44125</v>
      </c>
      <c r="D43" s="41" t="s">
        <v>468</v>
      </c>
      <c r="E43" s="32" t="s">
        <v>35</v>
      </c>
      <c r="F43" s="33" t="str">
        <f>IFERROR(INDEX(Database!C:C,MATCH(PR[[#This Row],[Journalist]],Database!B:B,0)),"")</f>
        <v>Email or Phone 2</v>
      </c>
      <c r="G43" s="32" t="s">
        <v>95</v>
      </c>
      <c r="H43" s="32" t="s">
        <v>41</v>
      </c>
      <c r="I43" s="32" t="s">
        <v>37</v>
      </c>
      <c r="J43" s="34" t="s">
        <v>282</v>
      </c>
      <c r="K43" s="32" t="s">
        <v>47</v>
      </c>
      <c r="L43" s="33">
        <f>IFERROR(INDEX(Database!J:J,MATCH(PR[[#This Row],[Article Category]],Database!I:I,0)),"")</f>
        <v>30</v>
      </c>
      <c r="M43" s="32" t="s">
        <v>54</v>
      </c>
      <c r="N43" s="35">
        <v>-2</v>
      </c>
      <c r="O43" s="32"/>
    </row>
    <row r="44" spans="1:15" ht="30" customHeight="1" x14ac:dyDescent="0.2">
      <c r="A44" s="20" t="str">
        <f t="shared" si="0"/>
        <v/>
      </c>
      <c r="B44" s="31">
        <v>44113</v>
      </c>
      <c r="C44" s="40">
        <f>PR[[#This Row],[Date]]</f>
        <v>44113</v>
      </c>
      <c r="D44" s="41" t="s">
        <v>467</v>
      </c>
      <c r="E44" s="32" t="s">
        <v>31</v>
      </c>
      <c r="F44" s="33" t="str">
        <f>IFERROR(INDEX(Database!C:C,MATCH(PR[[#This Row],[Journalist]],Database!B:B,0)),"")</f>
        <v>Email or Phone 4</v>
      </c>
      <c r="G44" s="32" t="s">
        <v>96</v>
      </c>
      <c r="H44" s="32" t="s">
        <v>45</v>
      </c>
      <c r="I44" s="32" t="s">
        <v>36</v>
      </c>
      <c r="J44" s="34" t="s">
        <v>283</v>
      </c>
      <c r="K44" s="32" t="s">
        <v>47</v>
      </c>
      <c r="L44" s="33">
        <f>IFERROR(INDEX(Database!J:J,MATCH(PR[[#This Row],[Article Category]],Database!I:I,0)),"")</f>
        <v>30</v>
      </c>
      <c r="M44" s="32" t="s">
        <v>54</v>
      </c>
      <c r="N44" s="35">
        <v>0</v>
      </c>
      <c r="O44" s="32"/>
    </row>
    <row r="45" spans="1:15" ht="30" customHeight="1" x14ac:dyDescent="0.2">
      <c r="A45" s="20" t="str">
        <f t="shared" si="0"/>
        <v/>
      </c>
      <c r="B45" s="31">
        <v>44125</v>
      </c>
      <c r="C45" s="40">
        <f>PR[[#This Row],[Date]]</f>
        <v>44125</v>
      </c>
      <c r="D45" s="41" t="s">
        <v>469</v>
      </c>
      <c r="E45" s="32" t="s">
        <v>39</v>
      </c>
      <c r="F45" s="33" t="str">
        <f>IFERROR(INDEX(Database!C:C,MATCH(PR[[#This Row],[Journalist]],Database!B:B,0)),"")</f>
        <v>Email or Phone 6</v>
      </c>
      <c r="G45" s="32" t="s">
        <v>97</v>
      </c>
      <c r="H45" s="32" t="s">
        <v>43</v>
      </c>
      <c r="I45" s="32" t="s">
        <v>37</v>
      </c>
      <c r="J45" s="34" t="s">
        <v>284</v>
      </c>
      <c r="K45" s="32" t="s">
        <v>46</v>
      </c>
      <c r="L45" s="33">
        <f>IFERROR(INDEX(Database!J:J,MATCH(PR[[#This Row],[Article Category]],Database!I:I,0)),"")</f>
        <v>20</v>
      </c>
      <c r="M45" s="32" t="s">
        <v>54</v>
      </c>
      <c r="N45" s="35">
        <v>3</v>
      </c>
      <c r="O45" s="32"/>
    </row>
    <row r="46" spans="1:15" ht="30" customHeight="1" x14ac:dyDescent="0.2">
      <c r="A46" s="20" t="str">
        <f t="shared" si="0"/>
        <v/>
      </c>
      <c r="B46" s="31">
        <v>44125</v>
      </c>
      <c r="C46" s="40">
        <f>PR[[#This Row],[Date]]</f>
        <v>44125</v>
      </c>
      <c r="D46" s="41" t="s">
        <v>468</v>
      </c>
      <c r="E46" s="32" t="s">
        <v>40</v>
      </c>
      <c r="F46" s="33" t="str">
        <f>IFERROR(INDEX(Database!C:C,MATCH(PR[[#This Row],[Journalist]],Database!B:B,0)),"")</f>
        <v>Email or Phone 7</v>
      </c>
      <c r="G46" s="32" t="s">
        <v>98</v>
      </c>
      <c r="H46" s="32" t="s">
        <v>44</v>
      </c>
      <c r="I46" s="32" t="s">
        <v>37</v>
      </c>
      <c r="J46" s="34" t="s">
        <v>285</v>
      </c>
      <c r="K46" s="32" t="s">
        <v>48</v>
      </c>
      <c r="L46" s="33">
        <f>IFERROR(INDEX(Database!J:J,MATCH(PR[[#This Row],[Article Category]],Database!I:I,0)),"")</f>
        <v>20</v>
      </c>
      <c r="M46" s="32" t="s">
        <v>54</v>
      </c>
      <c r="N46" s="35">
        <v>3</v>
      </c>
      <c r="O46" s="32"/>
    </row>
    <row r="47" spans="1:15" ht="30" customHeight="1" x14ac:dyDescent="0.2">
      <c r="A47" s="20" t="str">
        <f t="shared" si="0"/>
        <v/>
      </c>
      <c r="B47" s="31">
        <v>44077</v>
      </c>
      <c r="C47" s="40">
        <f>PR[[#This Row],[Date]]</f>
        <v>44077</v>
      </c>
      <c r="D47" s="41" t="s">
        <v>468</v>
      </c>
      <c r="E47" s="32" t="s">
        <v>30</v>
      </c>
      <c r="F47" s="33" t="str">
        <f>IFERROR(INDEX(Database!C:C,MATCH(PR[[#This Row],[Journalist]],Database!B:B,0)),"")</f>
        <v>Email or Phone 3</v>
      </c>
      <c r="G47" s="32" t="s">
        <v>99</v>
      </c>
      <c r="H47" s="32" t="s">
        <v>45</v>
      </c>
      <c r="I47" s="32" t="s">
        <v>33</v>
      </c>
      <c r="J47" s="34" t="s">
        <v>286</v>
      </c>
      <c r="K47" s="32" t="s">
        <v>48</v>
      </c>
      <c r="L47" s="33">
        <f>IFERROR(INDEX(Database!J:J,MATCH(PR[[#This Row],[Article Category]],Database!I:I,0)),"")</f>
        <v>20</v>
      </c>
      <c r="M47" s="32" t="s">
        <v>55</v>
      </c>
      <c r="N47" s="35">
        <v>-5</v>
      </c>
      <c r="O47" s="32"/>
    </row>
    <row r="48" spans="1:15" ht="30" customHeight="1" x14ac:dyDescent="0.2">
      <c r="A48" s="20" t="str">
        <f t="shared" si="0"/>
        <v/>
      </c>
      <c r="B48" s="31">
        <v>44122</v>
      </c>
      <c r="C48" s="40">
        <f>PR[[#This Row],[Date]]</f>
        <v>44122</v>
      </c>
      <c r="D48" s="41" t="s">
        <v>468</v>
      </c>
      <c r="E48" s="32" t="s">
        <v>34</v>
      </c>
      <c r="F48" s="33" t="str">
        <f>IFERROR(INDEX(Database!C:C,MATCH(PR[[#This Row],[Journalist]],Database!B:B,0)),"")</f>
        <v>Email or Phone 1</v>
      </c>
      <c r="G48" s="32" t="s">
        <v>100</v>
      </c>
      <c r="H48" s="32" t="s">
        <v>42</v>
      </c>
      <c r="I48" s="32" t="s">
        <v>38</v>
      </c>
      <c r="J48" s="34" t="s">
        <v>287</v>
      </c>
      <c r="K48" s="32" t="s">
        <v>47</v>
      </c>
      <c r="L48" s="33">
        <f>IFERROR(INDEX(Database!J:J,MATCH(PR[[#This Row],[Article Category]],Database!I:I,0)),"")</f>
        <v>30</v>
      </c>
      <c r="M48" s="32" t="s">
        <v>53</v>
      </c>
      <c r="N48" s="35">
        <v>5</v>
      </c>
      <c r="O48" s="32"/>
    </row>
    <row r="49" spans="1:15" ht="30" customHeight="1" x14ac:dyDescent="0.2">
      <c r="A49" s="20" t="str">
        <f t="shared" si="0"/>
        <v/>
      </c>
      <c r="B49" s="31">
        <v>44226</v>
      </c>
      <c r="C49" s="40">
        <f>PR[[#This Row],[Date]]</f>
        <v>44226</v>
      </c>
      <c r="D49" s="41" t="s">
        <v>467</v>
      </c>
      <c r="E49" s="32" t="s">
        <v>30</v>
      </c>
      <c r="F49" s="33" t="str">
        <f>IFERROR(INDEX(Database!C:C,MATCH(PR[[#This Row],[Journalist]],Database!B:B,0)),"")</f>
        <v>Email or Phone 3</v>
      </c>
      <c r="G49" s="32" t="s">
        <v>101</v>
      </c>
      <c r="H49" s="32" t="s">
        <v>41</v>
      </c>
      <c r="I49" s="32" t="s">
        <v>33</v>
      </c>
      <c r="J49" s="34" t="s">
        <v>288</v>
      </c>
      <c r="K49" s="32" t="s">
        <v>48</v>
      </c>
      <c r="L49" s="33">
        <f>IFERROR(INDEX(Database!J:J,MATCH(PR[[#This Row],[Article Category]],Database!I:I,0)),"")</f>
        <v>20</v>
      </c>
      <c r="M49" s="32" t="s">
        <v>55</v>
      </c>
      <c r="N49" s="35">
        <v>-2</v>
      </c>
      <c r="O49" s="32"/>
    </row>
    <row r="50" spans="1:15" ht="30" customHeight="1" x14ac:dyDescent="0.2">
      <c r="A50" s="20" t="str">
        <f t="shared" si="0"/>
        <v/>
      </c>
      <c r="B50" s="31">
        <v>44145</v>
      </c>
      <c r="C50" s="40">
        <f>PR[[#This Row],[Date]]</f>
        <v>44145</v>
      </c>
      <c r="D50" s="41" t="s">
        <v>466</v>
      </c>
      <c r="E50" s="32" t="s">
        <v>32</v>
      </c>
      <c r="F50" s="33" t="str">
        <f>IFERROR(INDEX(Database!C:C,MATCH(PR[[#This Row],[Journalist]],Database!B:B,0)),"")</f>
        <v>Email or Phone 5</v>
      </c>
      <c r="G50" s="32" t="s">
        <v>102</v>
      </c>
      <c r="H50" s="32" t="s">
        <v>44</v>
      </c>
      <c r="I50" s="32" t="s">
        <v>37</v>
      </c>
      <c r="J50" s="34" t="s">
        <v>289</v>
      </c>
      <c r="K50" s="32" t="s">
        <v>47</v>
      </c>
      <c r="L50" s="33">
        <f>IFERROR(INDEX(Database!J:J,MATCH(PR[[#This Row],[Article Category]],Database!I:I,0)),"")</f>
        <v>30</v>
      </c>
      <c r="M50" s="32" t="s">
        <v>53</v>
      </c>
      <c r="N50" s="35">
        <v>-3</v>
      </c>
      <c r="O50" s="32"/>
    </row>
    <row r="51" spans="1:15" ht="30" customHeight="1" x14ac:dyDescent="0.2">
      <c r="A51" s="20" t="str">
        <f t="shared" si="0"/>
        <v/>
      </c>
      <c r="B51" s="31">
        <v>44143</v>
      </c>
      <c r="C51" s="40">
        <f>PR[[#This Row],[Date]]</f>
        <v>44143</v>
      </c>
      <c r="D51" s="41" t="s">
        <v>468</v>
      </c>
      <c r="E51" s="32" t="s">
        <v>39</v>
      </c>
      <c r="F51" s="33" t="str">
        <f>IFERROR(INDEX(Database!C:C,MATCH(PR[[#This Row],[Journalist]],Database!B:B,0)),"")</f>
        <v>Email or Phone 6</v>
      </c>
      <c r="G51" s="32" t="s">
        <v>103</v>
      </c>
      <c r="H51" s="32" t="s">
        <v>44</v>
      </c>
      <c r="I51" s="32" t="s">
        <v>37</v>
      </c>
      <c r="J51" s="34" t="s">
        <v>290</v>
      </c>
      <c r="K51" s="32" t="s">
        <v>52</v>
      </c>
      <c r="L51" s="33">
        <f>IFERROR(INDEX(Database!J:J,MATCH(PR[[#This Row],[Article Category]],Database!I:I,0)),"")</f>
        <v>30</v>
      </c>
      <c r="M51" s="32" t="s">
        <v>53</v>
      </c>
      <c r="N51" s="35">
        <v>-4</v>
      </c>
      <c r="O51" s="32"/>
    </row>
    <row r="52" spans="1:15" ht="30" customHeight="1" x14ac:dyDescent="0.2">
      <c r="A52" s="20" t="str">
        <f t="shared" si="0"/>
        <v/>
      </c>
      <c r="B52" s="31">
        <v>44164</v>
      </c>
      <c r="C52" s="40">
        <f>PR[[#This Row],[Date]]</f>
        <v>44164</v>
      </c>
      <c r="D52" s="41" t="s">
        <v>470</v>
      </c>
      <c r="E52" s="32" t="s">
        <v>34</v>
      </c>
      <c r="F52" s="33" t="str">
        <f>IFERROR(INDEX(Database!C:C,MATCH(PR[[#This Row],[Journalist]],Database!B:B,0)),"")</f>
        <v>Email or Phone 1</v>
      </c>
      <c r="G52" s="32" t="s">
        <v>104</v>
      </c>
      <c r="H52" s="32" t="s">
        <v>44</v>
      </c>
      <c r="I52" s="32" t="s">
        <v>36</v>
      </c>
      <c r="J52" s="34" t="s">
        <v>291</v>
      </c>
      <c r="K52" s="32" t="s">
        <v>49</v>
      </c>
      <c r="L52" s="33">
        <f>IFERROR(INDEX(Database!J:J,MATCH(PR[[#This Row],[Article Category]],Database!I:I,0)),"")</f>
        <v>20</v>
      </c>
      <c r="M52" s="32" t="s">
        <v>53</v>
      </c>
      <c r="N52" s="35">
        <v>5</v>
      </c>
      <c r="O52" s="32"/>
    </row>
    <row r="53" spans="1:15" ht="30" customHeight="1" x14ac:dyDescent="0.2">
      <c r="A53" s="20" t="str">
        <f t="shared" si="0"/>
        <v/>
      </c>
      <c r="B53" s="31">
        <v>44078</v>
      </c>
      <c r="C53" s="40">
        <f>PR[[#This Row],[Date]]</f>
        <v>44078</v>
      </c>
      <c r="D53" s="41" t="s">
        <v>466</v>
      </c>
      <c r="E53" s="32" t="s">
        <v>35</v>
      </c>
      <c r="F53" s="33" t="str">
        <f>IFERROR(INDEX(Database!C:C,MATCH(PR[[#This Row],[Journalist]],Database!B:B,0)),"")</f>
        <v>Email or Phone 2</v>
      </c>
      <c r="G53" s="32" t="s">
        <v>105</v>
      </c>
      <c r="H53" s="32" t="s">
        <v>45</v>
      </c>
      <c r="I53" s="32" t="s">
        <v>36</v>
      </c>
      <c r="J53" s="34" t="s">
        <v>292</v>
      </c>
      <c r="K53" s="32" t="s">
        <v>50</v>
      </c>
      <c r="L53" s="33">
        <f>IFERROR(INDEX(Database!J:J,MATCH(PR[[#This Row],[Article Category]],Database!I:I,0)),"")</f>
        <v>40</v>
      </c>
      <c r="M53" s="32" t="s">
        <v>54</v>
      </c>
      <c r="N53" s="35">
        <v>2</v>
      </c>
      <c r="O53" s="32"/>
    </row>
    <row r="54" spans="1:15" ht="30" customHeight="1" x14ac:dyDescent="0.2">
      <c r="A54" s="20" t="str">
        <f t="shared" si="0"/>
        <v/>
      </c>
      <c r="B54" s="31">
        <v>44083</v>
      </c>
      <c r="C54" s="40">
        <f>PR[[#This Row],[Date]]</f>
        <v>44083</v>
      </c>
      <c r="D54" s="41" t="s">
        <v>466</v>
      </c>
      <c r="E54" s="32" t="s">
        <v>39</v>
      </c>
      <c r="F54" s="33" t="str">
        <f>IFERROR(INDEX(Database!C:C,MATCH(PR[[#This Row],[Journalist]],Database!B:B,0)),"")</f>
        <v>Email or Phone 6</v>
      </c>
      <c r="G54" s="32" t="s">
        <v>106</v>
      </c>
      <c r="H54" s="32" t="s">
        <v>41</v>
      </c>
      <c r="I54" s="32" t="s">
        <v>38</v>
      </c>
      <c r="J54" s="34" t="s">
        <v>293</v>
      </c>
      <c r="K54" s="32" t="s">
        <v>52</v>
      </c>
      <c r="L54" s="33">
        <f>IFERROR(INDEX(Database!J:J,MATCH(PR[[#This Row],[Article Category]],Database!I:I,0)),"")</f>
        <v>30</v>
      </c>
      <c r="M54" s="32" t="s">
        <v>53</v>
      </c>
      <c r="N54" s="35">
        <v>-2</v>
      </c>
      <c r="O54" s="32"/>
    </row>
    <row r="55" spans="1:15" ht="30" customHeight="1" x14ac:dyDescent="0.2">
      <c r="A55" s="20" t="str">
        <f t="shared" si="0"/>
        <v/>
      </c>
      <c r="B55" s="31">
        <v>44106</v>
      </c>
      <c r="C55" s="40">
        <f>PR[[#This Row],[Date]]</f>
        <v>44106</v>
      </c>
      <c r="D55" s="41" t="s">
        <v>468</v>
      </c>
      <c r="E55" s="32" t="s">
        <v>32</v>
      </c>
      <c r="F55" s="33" t="str">
        <f>IFERROR(INDEX(Database!C:C,MATCH(PR[[#This Row],[Journalist]],Database!B:B,0)),"")</f>
        <v>Email or Phone 5</v>
      </c>
      <c r="G55" s="32" t="s">
        <v>107</v>
      </c>
      <c r="H55" s="32" t="s">
        <v>43</v>
      </c>
      <c r="I55" s="32" t="s">
        <v>37</v>
      </c>
      <c r="J55" s="34" t="s">
        <v>294</v>
      </c>
      <c r="K55" s="32" t="s">
        <v>52</v>
      </c>
      <c r="L55" s="33">
        <f>IFERROR(INDEX(Database!J:J,MATCH(PR[[#This Row],[Article Category]],Database!I:I,0)),"")</f>
        <v>30</v>
      </c>
      <c r="M55" s="32" t="s">
        <v>53</v>
      </c>
      <c r="N55" s="35">
        <v>-4</v>
      </c>
      <c r="O55" s="32"/>
    </row>
    <row r="56" spans="1:15" ht="30" customHeight="1" x14ac:dyDescent="0.2">
      <c r="A56" s="20" t="str">
        <f t="shared" si="0"/>
        <v/>
      </c>
      <c r="B56" s="31">
        <v>44143</v>
      </c>
      <c r="C56" s="40">
        <f>PR[[#This Row],[Date]]</f>
        <v>44143</v>
      </c>
      <c r="D56" s="41" t="s">
        <v>470</v>
      </c>
      <c r="E56" s="32" t="s">
        <v>31</v>
      </c>
      <c r="F56" s="33" t="str">
        <f>IFERROR(INDEX(Database!C:C,MATCH(PR[[#This Row],[Journalist]],Database!B:B,0)),"")</f>
        <v>Email or Phone 4</v>
      </c>
      <c r="G56" s="32" t="s">
        <v>108</v>
      </c>
      <c r="H56" s="32" t="s">
        <v>45</v>
      </c>
      <c r="I56" s="32" t="s">
        <v>37</v>
      </c>
      <c r="J56" s="34" t="s">
        <v>295</v>
      </c>
      <c r="K56" s="32" t="s">
        <v>52</v>
      </c>
      <c r="L56" s="33">
        <f>IFERROR(INDEX(Database!J:J,MATCH(PR[[#This Row],[Article Category]],Database!I:I,0)),"")</f>
        <v>30</v>
      </c>
      <c r="M56" s="32" t="s">
        <v>53</v>
      </c>
      <c r="N56" s="35">
        <v>1</v>
      </c>
      <c r="O56" s="32"/>
    </row>
    <row r="57" spans="1:15" ht="30" customHeight="1" x14ac:dyDescent="0.2">
      <c r="A57" s="20" t="str">
        <f t="shared" si="0"/>
        <v/>
      </c>
      <c r="B57" s="31">
        <v>44212</v>
      </c>
      <c r="C57" s="40">
        <f>PR[[#This Row],[Date]]</f>
        <v>44212</v>
      </c>
      <c r="D57" s="41" t="s">
        <v>467</v>
      </c>
      <c r="E57" s="32" t="s">
        <v>35</v>
      </c>
      <c r="F57" s="33" t="str">
        <f>IFERROR(INDEX(Database!C:C,MATCH(PR[[#This Row],[Journalist]],Database!B:B,0)),"")</f>
        <v>Email or Phone 2</v>
      </c>
      <c r="G57" s="32" t="s">
        <v>109</v>
      </c>
      <c r="H57" s="32" t="s">
        <v>44</v>
      </c>
      <c r="I57" s="32" t="s">
        <v>33</v>
      </c>
      <c r="J57" s="34" t="s">
        <v>296</v>
      </c>
      <c r="K57" s="32" t="s">
        <v>51</v>
      </c>
      <c r="L57" s="33">
        <f>IFERROR(INDEX(Database!J:J,MATCH(PR[[#This Row],[Article Category]],Database!I:I,0)),"")</f>
        <v>40</v>
      </c>
      <c r="M57" s="32" t="s">
        <v>53</v>
      </c>
      <c r="N57" s="35">
        <v>-5</v>
      </c>
      <c r="O57" s="32"/>
    </row>
    <row r="58" spans="1:15" ht="30" customHeight="1" x14ac:dyDescent="0.2">
      <c r="A58" s="20" t="str">
        <f t="shared" si="0"/>
        <v/>
      </c>
      <c r="B58" s="31">
        <v>44171</v>
      </c>
      <c r="C58" s="40">
        <f>PR[[#This Row],[Date]]</f>
        <v>44171</v>
      </c>
      <c r="D58" s="41" t="s">
        <v>466</v>
      </c>
      <c r="E58" s="32" t="s">
        <v>39</v>
      </c>
      <c r="F58" s="33" t="str">
        <f>IFERROR(INDEX(Database!C:C,MATCH(PR[[#This Row],[Journalist]],Database!B:B,0)),"")</f>
        <v>Email or Phone 6</v>
      </c>
      <c r="G58" s="32" t="s">
        <v>110</v>
      </c>
      <c r="H58" s="32" t="s">
        <v>43</v>
      </c>
      <c r="I58" s="32" t="s">
        <v>36</v>
      </c>
      <c r="J58" s="34" t="s">
        <v>297</v>
      </c>
      <c r="K58" s="32" t="s">
        <v>49</v>
      </c>
      <c r="L58" s="33">
        <f>IFERROR(INDEX(Database!J:J,MATCH(PR[[#This Row],[Article Category]],Database!I:I,0)),"")</f>
        <v>20</v>
      </c>
      <c r="M58" s="32" t="s">
        <v>54</v>
      </c>
      <c r="N58" s="35">
        <v>4</v>
      </c>
      <c r="O58" s="32"/>
    </row>
    <row r="59" spans="1:15" ht="30" customHeight="1" x14ac:dyDescent="0.2">
      <c r="A59" s="20" t="str">
        <f t="shared" si="0"/>
        <v/>
      </c>
      <c r="B59" s="31">
        <v>44165</v>
      </c>
      <c r="C59" s="40">
        <f>PR[[#This Row],[Date]]</f>
        <v>44165</v>
      </c>
      <c r="D59" s="41" t="s">
        <v>468</v>
      </c>
      <c r="E59" s="32" t="s">
        <v>31</v>
      </c>
      <c r="F59" s="33" t="str">
        <f>IFERROR(INDEX(Database!C:C,MATCH(PR[[#This Row],[Journalist]],Database!B:B,0)),"")</f>
        <v>Email or Phone 4</v>
      </c>
      <c r="G59" s="32" t="s">
        <v>111</v>
      </c>
      <c r="H59" s="32" t="s">
        <v>41</v>
      </c>
      <c r="I59" s="32" t="s">
        <v>33</v>
      </c>
      <c r="J59" s="34" t="s">
        <v>298</v>
      </c>
      <c r="K59" s="32" t="s">
        <v>46</v>
      </c>
      <c r="L59" s="33">
        <f>IFERROR(INDEX(Database!J:J,MATCH(PR[[#This Row],[Article Category]],Database!I:I,0)),"")</f>
        <v>20</v>
      </c>
      <c r="M59" s="32" t="s">
        <v>54</v>
      </c>
      <c r="N59" s="35">
        <v>-1</v>
      </c>
      <c r="O59" s="32"/>
    </row>
    <row r="60" spans="1:15" ht="30" customHeight="1" x14ac:dyDescent="0.2">
      <c r="A60" s="20" t="str">
        <f t="shared" si="0"/>
        <v/>
      </c>
      <c r="B60" s="31">
        <v>44133</v>
      </c>
      <c r="C60" s="40">
        <f>PR[[#This Row],[Date]]</f>
        <v>44133</v>
      </c>
      <c r="D60" s="41" t="s">
        <v>466</v>
      </c>
      <c r="E60" s="32" t="s">
        <v>35</v>
      </c>
      <c r="F60" s="33" t="str">
        <f>IFERROR(INDEX(Database!C:C,MATCH(PR[[#This Row],[Journalist]],Database!B:B,0)),"")</f>
        <v>Email or Phone 2</v>
      </c>
      <c r="G60" s="32" t="s">
        <v>112</v>
      </c>
      <c r="H60" s="32" t="s">
        <v>45</v>
      </c>
      <c r="I60" s="32" t="s">
        <v>38</v>
      </c>
      <c r="J60" s="34" t="s">
        <v>299</v>
      </c>
      <c r="K60" s="32" t="s">
        <v>52</v>
      </c>
      <c r="L60" s="33">
        <f>IFERROR(INDEX(Database!J:J,MATCH(PR[[#This Row],[Article Category]],Database!I:I,0)),"")</f>
        <v>30</v>
      </c>
      <c r="M60" s="32" t="s">
        <v>55</v>
      </c>
      <c r="N60" s="35">
        <v>-5</v>
      </c>
      <c r="O60" s="32"/>
    </row>
    <row r="61" spans="1:15" ht="30" customHeight="1" x14ac:dyDescent="0.2">
      <c r="A61" s="20" t="str">
        <f t="shared" si="0"/>
        <v/>
      </c>
      <c r="B61" s="31">
        <v>44122</v>
      </c>
      <c r="C61" s="40">
        <f>PR[[#This Row],[Date]]</f>
        <v>44122</v>
      </c>
      <c r="D61" s="41" t="s">
        <v>470</v>
      </c>
      <c r="E61" s="32" t="s">
        <v>40</v>
      </c>
      <c r="F61" s="33" t="str">
        <f>IFERROR(INDEX(Database!C:C,MATCH(PR[[#This Row],[Journalist]],Database!B:B,0)),"")</f>
        <v>Email or Phone 7</v>
      </c>
      <c r="G61" s="32" t="s">
        <v>113</v>
      </c>
      <c r="H61" s="32" t="s">
        <v>42</v>
      </c>
      <c r="I61" s="32" t="s">
        <v>33</v>
      </c>
      <c r="J61" s="34" t="s">
        <v>300</v>
      </c>
      <c r="K61" s="32" t="s">
        <v>52</v>
      </c>
      <c r="L61" s="33">
        <f>IFERROR(INDEX(Database!J:J,MATCH(PR[[#This Row],[Article Category]],Database!I:I,0)),"")</f>
        <v>30</v>
      </c>
      <c r="M61" s="32" t="s">
        <v>53</v>
      </c>
      <c r="N61" s="35">
        <v>3</v>
      </c>
      <c r="O61" s="32"/>
    </row>
    <row r="62" spans="1:15" ht="30" customHeight="1" x14ac:dyDescent="0.2">
      <c r="A62" s="20" t="str">
        <f t="shared" si="0"/>
        <v/>
      </c>
      <c r="B62" s="31">
        <v>44179</v>
      </c>
      <c r="C62" s="40">
        <f>PR[[#This Row],[Date]]</f>
        <v>44179</v>
      </c>
      <c r="D62" s="41" t="s">
        <v>469</v>
      </c>
      <c r="E62" s="32" t="s">
        <v>31</v>
      </c>
      <c r="F62" s="33" t="str">
        <f>IFERROR(INDEX(Database!C:C,MATCH(PR[[#This Row],[Journalist]],Database!B:B,0)),"")</f>
        <v>Email or Phone 4</v>
      </c>
      <c r="G62" s="32" t="s">
        <v>114</v>
      </c>
      <c r="H62" s="32" t="s">
        <v>44</v>
      </c>
      <c r="I62" s="32" t="s">
        <v>37</v>
      </c>
      <c r="J62" s="34" t="s">
        <v>301</v>
      </c>
      <c r="K62" s="32" t="s">
        <v>49</v>
      </c>
      <c r="L62" s="33">
        <f>IFERROR(INDEX(Database!J:J,MATCH(PR[[#This Row],[Article Category]],Database!I:I,0)),"")</f>
        <v>20</v>
      </c>
      <c r="M62" s="32" t="s">
        <v>55</v>
      </c>
      <c r="N62" s="35">
        <v>3</v>
      </c>
      <c r="O62" s="32"/>
    </row>
    <row r="63" spans="1:15" ht="30" customHeight="1" x14ac:dyDescent="0.2">
      <c r="A63" s="20" t="str">
        <f t="shared" si="0"/>
        <v/>
      </c>
      <c r="B63" s="31">
        <v>44104</v>
      </c>
      <c r="C63" s="40">
        <f>PR[[#This Row],[Date]]</f>
        <v>44104</v>
      </c>
      <c r="D63" s="41" t="s">
        <v>469</v>
      </c>
      <c r="E63" s="32" t="s">
        <v>35</v>
      </c>
      <c r="F63" s="33" t="str">
        <f>IFERROR(INDEX(Database!C:C,MATCH(PR[[#This Row],[Journalist]],Database!B:B,0)),"")</f>
        <v>Email or Phone 2</v>
      </c>
      <c r="G63" s="32" t="s">
        <v>115</v>
      </c>
      <c r="H63" s="32" t="s">
        <v>43</v>
      </c>
      <c r="I63" s="32" t="s">
        <v>38</v>
      </c>
      <c r="J63" s="34" t="s">
        <v>302</v>
      </c>
      <c r="K63" s="32" t="s">
        <v>48</v>
      </c>
      <c r="L63" s="33">
        <f>IFERROR(INDEX(Database!J:J,MATCH(PR[[#This Row],[Article Category]],Database!I:I,0)),"")</f>
        <v>20</v>
      </c>
      <c r="M63" s="32" t="s">
        <v>53</v>
      </c>
      <c r="N63" s="35">
        <v>4</v>
      </c>
      <c r="O63" s="32"/>
    </row>
    <row r="64" spans="1:15" ht="30" customHeight="1" x14ac:dyDescent="0.2">
      <c r="A64" s="20" t="str">
        <f t="shared" si="0"/>
        <v/>
      </c>
      <c r="B64" s="31">
        <v>44216</v>
      </c>
      <c r="C64" s="40">
        <f>PR[[#This Row],[Date]]</f>
        <v>44216</v>
      </c>
      <c r="D64" s="41" t="s">
        <v>468</v>
      </c>
      <c r="E64" s="32" t="s">
        <v>31</v>
      </c>
      <c r="F64" s="33" t="str">
        <f>IFERROR(INDEX(Database!C:C,MATCH(PR[[#This Row],[Journalist]],Database!B:B,0)),"")</f>
        <v>Email or Phone 4</v>
      </c>
      <c r="G64" s="32" t="s">
        <v>116</v>
      </c>
      <c r="H64" s="32" t="s">
        <v>41</v>
      </c>
      <c r="I64" s="32" t="s">
        <v>38</v>
      </c>
      <c r="J64" s="34" t="s">
        <v>303</v>
      </c>
      <c r="K64" s="32" t="s">
        <v>51</v>
      </c>
      <c r="L64" s="33">
        <f>IFERROR(INDEX(Database!J:J,MATCH(PR[[#This Row],[Article Category]],Database!I:I,0)),"")</f>
        <v>40</v>
      </c>
      <c r="M64" s="32" t="s">
        <v>54</v>
      </c>
      <c r="N64" s="35">
        <v>-1</v>
      </c>
      <c r="O64" s="32"/>
    </row>
    <row r="65" spans="1:15" ht="30" customHeight="1" x14ac:dyDescent="0.2">
      <c r="A65" s="20" t="str">
        <f t="shared" si="0"/>
        <v/>
      </c>
      <c r="B65" s="31">
        <v>44081</v>
      </c>
      <c r="C65" s="40">
        <f>PR[[#This Row],[Date]]</f>
        <v>44081</v>
      </c>
      <c r="D65" s="41" t="s">
        <v>466</v>
      </c>
      <c r="E65" s="32" t="s">
        <v>31</v>
      </c>
      <c r="F65" s="33" t="str">
        <f>IFERROR(INDEX(Database!C:C,MATCH(PR[[#This Row],[Journalist]],Database!B:B,0)),"")</f>
        <v>Email or Phone 4</v>
      </c>
      <c r="G65" s="32" t="s">
        <v>117</v>
      </c>
      <c r="H65" s="32" t="s">
        <v>43</v>
      </c>
      <c r="I65" s="32" t="s">
        <v>33</v>
      </c>
      <c r="J65" s="34" t="s">
        <v>304</v>
      </c>
      <c r="K65" s="32" t="s">
        <v>52</v>
      </c>
      <c r="L65" s="33">
        <f>IFERROR(INDEX(Database!J:J,MATCH(PR[[#This Row],[Article Category]],Database!I:I,0)),"")</f>
        <v>30</v>
      </c>
      <c r="M65" s="32" t="s">
        <v>54</v>
      </c>
      <c r="N65" s="35">
        <v>4</v>
      </c>
      <c r="O65" s="32"/>
    </row>
    <row r="66" spans="1:15" ht="30" customHeight="1" x14ac:dyDescent="0.2">
      <c r="A66" s="20" t="str">
        <f t="shared" si="0"/>
        <v/>
      </c>
      <c r="B66" s="31">
        <v>44153</v>
      </c>
      <c r="C66" s="40">
        <f>PR[[#This Row],[Date]]</f>
        <v>44153</v>
      </c>
      <c r="D66" s="41" t="s">
        <v>468</v>
      </c>
      <c r="E66" s="32" t="s">
        <v>32</v>
      </c>
      <c r="F66" s="33" t="str">
        <f>IFERROR(INDEX(Database!C:C,MATCH(PR[[#This Row],[Journalist]],Database!B:B,0)),"")</f>
        <v>Email or Phone 5</v>
      </c>
      <c r="G66" s="32" t="s">
        <v>118</v>
      </c>
      <c r="H66" s="32" t="s">
        <v>43</v>
      </c>
      <c r="I66" s="32" t="s">
        <v>38</v>
      </c>
      <c r="J66" s="34" t="s">
        <v>305</v>
      </c>
      <c r="K66" s="32" t="s">
        <v>52</v>
      </c>
      <c r="L66" s="33">
        <f>IFERROR(INDEX(Database!J:J,MATCH(PR[[#This Row],[Article Category]],Database!I:I,0)),"")</f>
        <v>30</v>
      </c>
      <c r="M66" s="32" t="s">
        <v>54</v>
      </c>
      <c r="N66" s="35">
        <v>-3</v>
      </c>
      <c r="O66" s="32"/>
    </row>
    <row r="67" spans="1:15" ht="30" customHeight="1" x14ac:dyDescent="0.2">
      <c r="A67" s="20" t="str">
        <f t="shared" si="0"/>
        <v/>
      </c>
      <c r="B67" s="31">
        <v>44149</v>
      </c>
      <c r="C67" s="40">
        <f>PR[[#This Row],[Date]]</f>
        <v>44149</v>
      </c>
      <c r="D67" s="41" t="s">
        <v>467</v>
      </c>
      <c r="E67" s="32" t="s">
        <v>31</v>
      </c>
      <c r="F67" s="33" t="str">
        <f>IFERROR(INDEX(Database!C:C,MATCH(PR[[#This Row],[Journalist]],Database!B:B,0)),"")</f>
        <v>Email or Phone 4</v>
      </c>
      <c r="G67" s="32" t="s">
        <v>119</v>
      </c>
      <c r="H67" s="32" t="s">
        <v>44</v>
      </c>
      <c r="I67" s="32" t="s">
        <v>38</v>
      </c>
      <c r="J67" s="34" t="s">
        <v>306</v>
      </c>
      <c r="K67" s="32" t="s">
        <v>46</v>
      </c>
      <c r="L67" s="33">
        <f>IFERROR(INDEX(Database!J:J,MATCH(PR[[#This Row],[Article Category]],Database!I:I,0)),"")</f>
        <v>20</v>
      </c>
      <c r="M67" s="32" t="s">
        <v>53</v>
      </c>
      <c r="N67" s="35">
        <v>4</v>
      </c>
      <c r="O67" s="32"/>
    </row>
    <row r="68" spans="1:15" ht="30" customHeight="1" x14ac:dyDescent="0.2">
      <c r="A68" s="20" t="str">
        <f t="shared" si="0"/>
        <v/>
      </c>
      <c r="B68" s="31">
        <v>44145</v>
      </c>
      <c r="C68" s="40">
        <f>PR[[#This Row],[Date]]</f>
        <v>44145</v>
      </c>
      <c r="D68" s="41" t="s">
        <v>469</v>
      </c>
      <c r="E68" s="32" t="s">
        <v>39</v>
      </c>
      <c r="F68" s="33" t="str">
        <f>IFERROR(INDEX(Database!C:C,MATCH(PR[[#This Row],[Journalist]],Database!B:B,0)),"")</f>
        <v>Email or Phone 6</v>
      </c>
      <c r="G68" s="32" t="s">
        <v>120</v>
      </c>
      <c r="H68" s="32" t="s">
        <v>44</v>
      </c>
      <c r="I68" s="32" t="s">
        <v>33</v>
      </c>
      <c r="J68" s="34" t="s">
        <v>307</v>
      </c>
      <c r="K68" s="32" t="s">
        <v>50</v>
      </c>
      <c r="L68" s="33">
        <f>IFERROR(INDEX(Database!J:J,MATCH(PR[[#This Row],[Article Category]],Database!I:I,0)),"")</f>
        <v>40</v>
      </c>
      <c r="M68" s="32" t="s">
        <v>54</v>
      </c>
      <c r="N68" s="35">
        <v>5</v>
      </c>
      <c r="O68" s="32"/>
    </row>
    <row r="69" spans="1:15" ht="30" customHeight="1" x14ac:dyDescent="0.2">
      <c r="A69" s="20" t="str">
        <f t="shared" si="0"/>
        <v/>
      </c>
      <c r="B69" s="31">
        <v>44112</v>
      </c>
      <c r="C69" s="40">
        <f>PR[[#This Row],[Date]]</f>
        <v>44112</v>
      </c>
      <c r="D69" s="41" t="s">
        <v>467</v>
      </c>
      <c r="E69" s="32" t="s">
        <v>34</v>
      </c>
      <c r="F69" s="33" t="str">
        <f>IFERROR(INDEX(Database!C:C,MATCH(PR[[#This Row],[Journalist]],Database!B:B,0)),"")</f>
        <v>Email or Phone 1</v>
      </c>
      <c r="G69" s="32" t="s">
        <v>121</v>
      </c>
      <c r="H69" s="32" t="s">
        <v>44</v>
      </c>
      <c r="I69" s="32" t="s">
        <v>33</v>
      </c>
      <c r="J69" s="34" t="s">
        <v>308</v>
      </c>
      <c r="K69" s="32" t="s">
        <v>52</v>
      </c>
      <c r="L69" s="33">
        <f>IFERROR(INDEX(Database!J:J,MATCH(PR[[#This Row],[Article Category]],Database!I:I,0)),"")</f>
        <v>30</v>
      </c>
      <c r="M69" s="32" t="s">
        <v>53</v>
      </c>
      <c r="N69" s="35">
        <v>-4</v>
      </c>
      <c r="O69" s="32"/>
    </row>
    <row r="70" spans="1:15" ht="30" customHeight="1" x14ac:dyDescent="0.2">
      <c r="A70" s="20" t="str">
        <f t="shared" si="0"/>
        <v/>
      </c>
      <c r="B70" s="31">
        <v>44173</v>
      </c>
      <c r="C70" s="40">
        <f>PR[[#This Row],[Date]]</f>
        <v>44173</v>
      </c>
      <c r="D70" s="41" t="s">
        <v>470</v>
      </c>
      <c r="E70" s="32" t="s">
        <v>34</v>
      </c>
      <c r="F70" s="33" t="str">
        <f>IFERROR(INDEX(Database!C:C,MATCH(PR[[#This Row],[Journalist]],Database!B:B,0)),"")</f>
        <v>Email or Phone 1</v>
      </c>
      <c r="G70" s="32" t="s">
        <v>122</v>
      </c>
      <c r="H70" s="32" t="s">
        <v>41</v>
      </c>
      <c r="I70" s="32" t="s">
        <v>38</v>
      </c>
      <c r="J70" s="34" t="s">
        <v>309</v>
      </c>
      <c r="K70" s="32" t="s">
        <v>49</v>
      </c>
      <c r="L70" s="33">
        <f>IFERROR(INDEX(Database!J:J,MATCH(PR[[#This Row],[Article Category]],Database!I:I,0)),"")</f>
        <v>20</v>
      </c>
      <c r="M70" s="32" t="s">
        <v>54</v>
      </c>
      <c r="N70" s="35">
        <v>0</v>
      </c>
      <c r="O70" s="32"/>
    </row>
    <row r="71" spans="1:15" ht="30" customHeight="1" x14ac:dyDescent="0.2">
      <c r="A71" s="20" t="str">
        <f t="shared" si="0"/>
        <v/>
      </c>
      <c r="B71" s="31">
        <v>44085</v>
      </c>
      <c r="C71" s="40">
        <f>PR[[#This Row],[Date]]</f>
        <v>44085</v>
      </c>
      <c r="D71" s="41" t="s">
        <v>468</v>
      </c>
      <c r="E71" s="32" t="s">
        <v>40</v>
      </c>
      <c r="F71" s="33" t="str">
        <f>IFERROR(INDEX(Database!C:C,MATCH(PR[[#This Row],[Journalist]],Database!B:B,0)),"")</f>
        <v>Email or Phone 7</v>
      </c>
      <c r="G71" s="32" t="s">
        <v>123</v>
      </c>
      <c r="H71" s="32" t="s">
        <v>42</v>
      </c>
      <c r="I71" s="32" t="s">
        <v>33</v>
      </c>
      <c r="J71" s="34" t="s">
        <v>310</v>
      </c>
      <c r="K71" s="32" t="s">
        <v>49</v>
      </c>
      <c r="L71" s="33">
        <f>IFERROR(INDEX(Database!J:J,MATCH(PR[[#This Row],[Article Category]],Database!I:I,0)),"")</f>
        <v>20</v>
      </c>
      <c r="M71" s="32" t="s">
        <v>55</v>
      </c>
      <c r="N71" s="35">
        <v>0</v>
      </c>
      <c r="O71" s="32"/>
    </row>
    <row r="72" spans="1:15" ht="30" customHeight="1" x14ac:dyDescent="0.2">
      <c r="A72" s="20" t="str">
        <f t="shared" si="0"/>
        <v/>
      </c>
      <c r="B72" s="31">
        <v>44135</v>
      </c>
      <c r="C72" s="40">
        <f>PR[[#This Row],[Date]]</f>
        <v>44135</v>
      </c>
      <c r="D72" s="41" t="s">
        <v>469</v>
      </c>
      <c r="E72" s="32" t="s">
        <v>32</v>
      </c>
      <c r="F72" s="33" t="str">
        <f>IFERROR(INDEX(Database!C:C,MATCH(PR[[#This Row],[Journalist]],Database!B:B,0)),"")</f>
        <v>Email or Phone 5</v>
      </c>
      <c r="G72" s="32" t="s">
        <v>124</v>
      </c>
      <c r="H72" s="32" t="s">
        <v>41</v>
      </c>
      <c r="I72" s="32" t="s">
        <v>36</v>
      </c>
      <c r="J72" s="34" t="s">
        <v>311</v>
      </c>
      <c r="K72" s="32" t="s">
        <v>52</v>
      </c>
      <c r="L72" s="33">
        <f>IFERROR(INDEX(Database!J:J,MATCH(PR[[#This Row],[Article Category]],Database!I:I,0)),"")</f>
        <v>30</v>
      </c>
      <c r="M72" s="32" t="s">
        <v>53</v>
      </c>
      <c r="N72" s="35">
        <v>-3</v>
      </c>
      <c r="O72" s="32"/>
    </row>
    <row r="73" spans="1:15" ht="30" customHeight="1" x14ac:dyDescent="0.2">
      <c r="A73" s="20" t="str">
        <f t="shared" si="0"/>
        <v/>
      </c>
      <c r="B73" s="31">
        <v>44095</v>
      </c>
      <c r="C73" s="40">
        <f>PR[[#This Row],[Date]]</f>
        <v>44095</v>
      </c>
      <c r="D73" s="41" t="s">
        <v>470</v>
      </c>
      <c r="E73" s="32" t="s">
        <v>40</v>
      </c>
      <c r="F73" s="33" t="str">
        <f>IFERROR(INDEX(Database!C:C,MATCH(PR[[#This Row],[Journalist]],Database!B:B,0)),"")</f>
        <v>Email or Phone 7</v>
      </c>
      <c r="G73" s="32" t="s">
        <v>125</v>
      </c>
      <c r="H73" s="32" t="s">
        <v>41</v>
      </c>
      <c r="I73" s="32" t="s">
        <v>37</v>
      </c>
      <c r="J73" s="34" t="s">
        <v>312</v>
      </c>
      <c r="K73" s="32" t="s">
        <v>47</v>
      </c>
      <c r="L73" s="33">
        <f>IFERROR(INDEX(Database!J:J,MATCH(PR[[#This Row],[Article Category]],Database!I:I,0)),"")</f>
        <v>30</v>
      </c>
      <c r="M73" s="32" t="s">
        <v>55</v>
      </c>
      <c r="N73" s="35">
        <v>5</v>
      </c>
      <c r="O73" s="32"/>
    </row>
    <row r="74" spans="1:15" ht="30" customHeight="1" x14ac:dyDescent="0.2">
      <c r="A74" s="20" t="str">
        <f t="shared" si="0"/>
        <v/>
      </c>
      <c r="B74" s="31">
        <v>44190</v>
      </c>
      <c r="C74" s="40">
        <f>PR[[#This Row],[Date]]</f>
        <v>44190</v>
      </c>
      <c r="D74" s="41" t="s">
        <v>470</v>
      </c>
      <c r="E74" s="32" t="s">
        <v>40</v>
      </c>
      <c r="F74" s="33" t="str">
        <f>IFERROR(INDEX(Database!C:C,MATCH(PR[[#This Row],[Journalist]],Database!B:B,0)),"")</f>
        <v>Email or Phone 7</v>
      </c>
      <c r="G74" s="32" t="s">
        <v>126</v>
      </c>
      <c r="H74" s="32" t="s">
        <v>42</v>
      </c>
      <c r="I74" s="32" t="s">
        <v>37</v>
      </c>
      <c r="J74" s="34" t="s">
        <v>313</v>
      </c>
      <c r="K74" s="32" t="s">
        <v>48</v>
      </c>
      <c r="L74" s="33">
        <f>IFERROR(INDEX(Database!J:J,MATCH(PR[[#This Row],[Article Category]],Database!I:I,0)),"")</f>
        <v>20</v>
      </c>
      <c r="M74" s="32" t="s">
        <v>53</v>
      </c>
      <c r="N74" s="35">
        <v>4</v>
      </c>
      <c r="O74" s="32"/>
    </row>
    <row r="75" spans="1:15" ht="30" customHeight="1" x14ac:dyDescent="0.2">
      <c r="A75" s="20" t="str">
        <f t="shared" si="0"/>
        <v/>
      </c>
      <c r="B75" s="31">
        <v>44128</v>
      </c>
      <c r="C75" s="40">
        <f>PR[[#This Row],[Date]]</f>
        <v>44128</v>
      </c>
      <c r="D75" s="41" t="s">
        <v>466</v>
      </c>
      <c r="E75" s="32" t="s">
        <v>35</v>
      </c>
      <c r="F75" s="33" t="str">
        <f>IFERROR(INDEX(Database!C:C,MATCH(PR[[#This Row],[Journalist]],Database!B:B,0)),"")</f>
        <v>Email or Phone 2</v>
      </c>
      <c r="G75" s="32" t="s">
        <v>127</v>
      </c>
      <c r="H75" s="32" t="s">
        <v>45</v>
      </c>
      <c r="I75" s="32" t="s">
        <v>38</v>
      </c>
      <c r="J75" s="34" t="s">
        <v>314</v>
      </c>
      <c r="K75" s="32" t="s">
        <v>52</v>
      </c>
      <c r="L75" s="33">
        <f>IFERROR(INDEX(Database!J:J,MATCH(PR[[#This Row],[Article Category]],Database!I:I,0)),"")</f>
        <v>30</v>
      </c>
      <c r="M75" s="32" t="s">
        <v>53</v>
      </c>
      <c r="N75" s="35">
        <v>2</v>
      </c>
      <c r="O75" s="32"/>
    </row>
    <row r="76" spans="1:15" ht="30" customHeight="1" x14ac:dyDescent="0.2">
      <c r="A76" s="20" t="str">
        <f t="shared" si="0"/>
        <v/>
      </c>
      <c r="B76" s="31">
        <v>44101</v>
      </c>
      <c r="C76" s="40">
        <f>PR[[#This Row],[Date]]</f>
        <v>44101</v>
      </c>
      <c r="D76" s="41" t="s">
        <v>466</v>
      </c>
      <c r="E76" s="32" t="s">
        <v>34</v>
      </c>
      <c r="F76" s="33" t="str">
        <f>IFERROR(INDEX(Database!C:C,MATCH(PR[[#This Row],[Journalist]],Database!B:B,0)),"")</f>
        <v>Email or Phone 1</v>
      </c>
      <c r="G76" s="32" t="s">
        <v>128</v>
      </c>
      <c r="H76" s="32" t="s">
        <v>43</v>
      </c>
      <c r="I76" s="32" t="s">
        <v>37</v>
      </c>
      <c r="J76" s="34" t="s">
        <v>315</v>
      </c>
      <c r="K76" s="32" t="s">
        <v>52</v>
      </c>
      <c r="L76" s="33">
        <f>IFERROR(INDEX(Database!J:J,MATCH(PR[[#This Row],[Article Category]],Database!I:I,0)),"")</f>
        <v>30</v>
      </c>
      <c r="M76" s="32" t="s">
        <v>54</v>
      </c>
      <c r="N76" s="35">
        <v>0</v>
      </c>
      <c r="O76" s="32"/>
    </row>
    <row r="77" spans="1:15" ht="30" customHeight="1" x14ac:dyDescent="0.2">
      <c r="A77" s="20" t="str">
        <f t="shared" si="0"/>
        <v/>
      </c>
      <c r="B77" s="31">
        <v>44207</v>
      </c>
      <c r="C77" s="40">
        <f>PR[[#This Row],[Date]]</f>
        <v>44207</v>
      </c>
      <c r="D77" s="41" t="s">
        <v>470</v>
      </c>
      <c r="E77" s="32" t="s">
        <v>40</v>
      </c>
      <c r="F77" s="33" t="str">
        <f>IFERROR(INDEX(Database!C:C,MATCH(PR[[#This Row],[Journalist]],Database!B:B,0)),"")</f>
        <v>Email or Phone 7</v>
      </c>
      <c r="G77" s="32" t="s">
        <v>129</v>
      </c>
      <c r="H77" s="32" t="s">
        <v>43</v>
      </c>
      <c r="I77" s="32" t="s">
        <v>37</v>
      </c>
      <c r="J77" s="34" t="s">
        <v>316</v>
      </c>
      <c r="K77" s="32" t="s">
        <v>51</v>
      </c>
      <c r="L77" s="33">
        <f>IFERROR(INDEX(Database!J:J,MATCH(PR[[#This Row],[Article Category]],Database!I:I,0)),"")</f>
        <v>40</v>
      </c>
      <c r="M77" s="32" t="s">
        <v>53</v>
      </c>
      <c r="N77" s="35">
        <v>-5</v>
      </c>
      <c r="O77" s="32"/>
    </row>
    <row r="78" spans="1:15" ht="30" customHeight="1" x14ac:dyDescent="0.2">
      <c r="A78" s="20" t="str">
        <f t="shared" si="0"/>
        <v/>
      </c>
      <c r="B78" s="31">
        <v>44167</v>
      </c>
      <c r="C78" s="40">
        <f>PR[[#This Row],[Date]]</f>
        <v>44167</v>
      </c>
      <c r="D78" s="41" t="s">
        <v>468</v>
      </c>
      <c r="E78" s="32" t="s">
        <v>35</v>
      </c>
      <c r="F78" s="33" t="str">
        <f>IFERROR(INDEX(Database!C:C,MATCH(PR[[#This Row],[Journalist]],Database!B:B,0)),"")</f>
        <v>Email or Phone 2</v>
      </c>
      <c r="G78" s="32" t="s">
        <v>130</v>
      </c>
      <c r="H78" s="32" t="s">
        <v>41</v>
      </c>
      <c r="I78" s="32" t="s">
        <v>36</v>
      </c>
      <c r="J78" s="34" t="s">
        <v>317</v>
      </c>
      <c r="K78" s="32" t="s">
        <v>52</v>
      </c>
      <c r="L78" s="33">
        <f>IFERROR(INDEX(Database!J:J,MATCH(PR[[#This Row],[Article Category]],Database!I:I,0)),"")</f>
        <v>30</v>
      </c>
      <c r="M78" s="32" t="s">
        <v>55</v>
      </c>
      <c r="N78" s="35">
        <v>2</v>
      </c>
      <c r="O78" s="32"/>
    </row>
    <row r="79" spans="1:15" ht="30" customHeight="1" x14ac:dyDescent="0.2">
      <c r="A79" s="20" t="str">
        <f t="shared" si="0"/>
        <v/>
      </c>
      <c r="B79" s="31">
        <v>44208</v>
      </c>
      <c r="C79" s="40">
        <f>PR[[#This Row],[Date]]</f>
        <v>44208</v>
      </c>
      <c r="D79" s="41" t="s">
        <v>469</v>
      </c>
      <c r="E79" s="32" t="s">
        <v>30</v>
      </c>
      <c r="F79" s="33" t="str">
        <f>IFERROR(INDEX(Database!C:C,MATCH(PR[[#This Row],[Journalist]],Database!B:B,0)),"")</f>
        <v>Email or Phone 3</v>
      </c>
      <c r="G79" s="32" t="s">
        <v>131</v>
      </c>
      <c r="H79" s="32" t="s">
        <v>45</v>
      </c>
      <c r="I79" s="32" t="s">
        <v>37</v>
      </c>
      <c r="J79" s="34" t="s">
        <v>318</v>
      </c>
      <c r="K79" s="32" t="s">
        <v>48</v>
      </c>
      <c r="L79" s="33">
        <f>IFERROR(INDEX(Database!J:J,MATCH(PR[[#This Row],[Article Category]],Database!I:I,0)),"")</f>
        <v>20</v>
      </c>
      <c r="M79" s="32" t="s">
        <v>54</v>
      </c>
      <c r="N79" s="35">
        <v>0</v>
      </c>
      <c r="O79" s="32"/>
    </row>
    <row r="80" spans="1:15" ht="30" customHeight="1" x14ac:dyDescent="0.2">
      <c r="A80" s="20" t="str">
        <f t="shared" si="0"/>
        <v/>
      </c>
      <c r="B80" s="31">
        <v>44197</v>
      </c>
      <c r="C80" s="40">
        <f>PR[[#This Row],[Date]]</f>
        <v>44197</v>
      </c>
      <c r="D80" s="41" t="s">
        <v>468</v>
      </c>
      <c r="E80" s="32" t="s">
        <v>31</v>
      </c>
      <c r="F80" s="33" t="str">
        <f>IFERROR(INDEX(Database!C:C,MATCH(PR[[#This Row],[Journalist]],Database!B:B,0)),"")</f>
        <v>Email or Phone 4</v>
      </c>
      <c r="G80" s="32" t="s">
        <v>132</v>
      </c>
      <c r="H80" s="32" t="s">
        <v>41</v>
      </c>
      <c r="I80" s="32" t="s">
        <v>38</v>
      </c>
      <c r="J80" s="34" t="s">
        <v>319</v>
      </c>
      <c r="K80" s="32" t="s">
        <v>52</v>
      </c>
      <c r="L80" s="33">
        <f>IFERROR(INDEX(Database!J:J,MATCH(PR[[#This Row],[Article Category]],Database!I:I,0)),"")</f>
        <v>30</v>
      </c>
      <c r="M80" s="32" t="s">
        <v>55</v>
      </c>
      <c r="N80" s="35">
        <v>2</v>
      </c>
      <c r="O80" s="32"/>
    </row>
    <row r="81" spans="1:15" ht="30" customHeight="1" x14ac:dyDescent="0.2">
      <c r="A81" s="20" t="str">
        <f t="shared" si="0"/>
        <v/>
      </c>
      <c r="B81" s="31">
        <v>44079</v>
      </c>
      <c r="C81" s="40">
        <f>PR[[#This Row],[Date]]</f>
        <v>44079</v>
      </c>
      <c r="D81" s="41" t="s">
        <v>470</v>
      </c>
      <c r="E81" s="32" t="s">
        <v>39</v>
      </c>
      <c r="F81" s="33" t="str">
        <f>IFERROR(INDEX(Database!C:C,MATCH(PR[[#This Row],[Journalist]],Database!B:B,0)),"")</f>
        <v>Email or Phone 6</v>
      </c>
      <c r="G81" s="32" t="s">
        <v>133</v>
      </c>
      <c r="H81" s="32" t="s">
        <v>42</v>
      </c>
      <c r="I81" s="32" t="s">
        <v>37</v>
      </c>
      <c r="J81" s="34" t="s">
        <v>320</v>
      </c>
      <c r="K81" s="32" t="s">
        <v>49</v>
      </c>
      <c r="L81" s="33">
        <f>IFERROR(INDEX(Database!J:J,MATCH(PR[[#This Row],[Article Category]],Database!I:I,0)),"")</f>
        <v>20</v>
      </c>
      <c r="M81" s="32" t="s">
        <v>54</v>
      </c>
      <c r="N81" s="35">
        <v>2</v>
      </c>
      <c r="O81" s="32"/>
    </row>
    <row r="82" spans="1:15" ht="30" customHeight="1" x14ac:dyDescent="0.2">
      <c r="A82" s="20" t="str">
        <f t="shared" si="0"/>
        <v/>
      </c>
      <c r="B82" s="31">
        <v>44115</v>
      </c>
      <c r="C82" s="40">
        <f>PR[[#This Row],[Date]]</f>
        <v>44115</v>
      </c>
      <c r="D82" s="41" t="s">
        <v>470</v>
      </c>
      <c r="E82" s="32" t="s">
        <v>32</v>
      </c>
      <c r="F82" s="33" t="str">
        <f>IFERROR(INDEX(Database!C:C,MATCH(PR[[#This Row],[Journalist]],Database!B:B,0)),"")</f>
        <v>Email or Phone 5</v>
      </c>
      <c r="G82" s="32" t="s">
        <v>134</v>
      </c>
      <c r="H82" s="32" t="s">
        <v>43</v>
      </c>
      <c r="I82" s="32" t="s">
        <v>37</v>
      </c>
      <c r="J82" s="34" t="s">
        <v>321</v>
      </c>
      <c r="K82" s="32" t="s">
        <v>52</v>
      </c>
      <c r="L82" s="33">
        <f>IFERROR(INDEX(Database!J:J,MATCH(PR[[#This Row],[Article Category]],Database!I:I,0)),"")</f>
        <v>30</v>
      </c>
      <c r="M82" s="32" t="s">
        <v>55</v>
      </c>
      <c r="N82" s="35">
        <v>-4</v>
      </c>
      <c r="O82" s="32"/>
    </row>
    <row r="83" spans="1:15" ht="30" customHeight="1" x14ac:dyDescent="0.2">
      <c r="A83" s="20" t="str">
        <f t="shared" si="0"/>
        <v/>
      </c>
      <c r="B83" s="31">
        <v>44130</v>
      </c>
      <c r="C83" s="40">
        <f>PR[[#This Row],[Date]]</f>
        <v>44130</v>
      </c>
      <c r="D83" s="41" t="s">
        <v>468</v>
      </c>
      <c r="E83" s="32" t="s">
        <v>34</v>
      </c>
      <c r="F83" s="33" t="str">
        <f>IFERROR(INDEX(Database!C:C,MATCH(PR[[#This Row],[Journalist]],Database!B:B,0)),"")</f>
        <v>Email or Phone 1</v>
      </c>
      <c r="G83" s="32" t="s">
        <v>135</v>
      </c>
      <c r="H83" s="32" t="s">
        <v>42</v>
      </c>
      <c r="I83" s="32" t="s">
        <v>33</v>
      </c>
      <c r="J83" s="34" t="s">
        <v>322</v>
      </c>
      <c r="K83" s="32" t="s">
        <v>49</v>
      </c>
      <c r="L83" s="33">
        <f>IFERROR(INDEX(Database!J:J,MATCH(PR[[#This Row],[Article Category]],Database!I:I,0)),"")</f>
        <v>20</v>
      </c>
      <c r="M83" s="32" t="s">
        <v>53</v>
      </c>
      <c r="N83" s="35">
        <v>-4</v>
      </c>
      <c r="O83" s="32"/>
    </row>
    <row r="84" spans="1:15" ht="30" customHeight="1" x14ac:dyDescent="0.2">
      <c r="A84" s="20" t="str">
        <f t="shared" si="0"/>
        <v/>
      </c>
      <c r="B84" s="31">
        <v>44159</v>
      </c>
      <c r="C84" s="40">
        <f>PR[[#This Row],[Date]]</f>
        <v>44159</v>
      </c>
      <c r="D84" s="41" t="s">
        <v>470</v>
      </c>
      <c r="E84" s="32" t="s">
        <v>39</v>
      </c>
      <c r="F84" s="33" t="str">
        <f>IFERROR(INDEX(Database!C:C,MATCH(PR[[#This Row],[Journalist]],Database!B:B,0)),"")</f>
        <v>Email or Phone 6</v>
      </c>
      <c r="G84" s="32" t="s">
        <v>136</v>
      </c>
      <c r="H84" s="32" t="s">
        <v>45</v>
      </c>
      <c r="I84" s="32" t="s">
        <v>38</v>
      </c>
      <c r="J84" s="34" t="s">
        <v>323</v>
      </c>
      <c r="K84" s="32" t="s">
        <v>52</v>
      </c>
      <c r="L84" s="33">
        <f>IFERROR(INDEX(Database!J:J,MATCH(PR[[#This Row],[Article Category]],Database!I:I,0)),"")</f>
        <v>30</v>
      </c>
      <c r="M84" s="32" t="s">
        <v>55</v>
      </c>
      <c r="N84" s="35">
        <v>-3</v>
      </c>
      <c r="O84" s="32"/>
    </row>
    <row r="85" spans="1:15" ht="30" customHeight="1" x14ac:dyDescent="0.2">
      <c r="A85" s="20" t="str">
        <f t="shared" si="0"/>
        <v/>
      </c>
      <c r="B85" s="31">
        <v>44140</v>
      </c>
      <c r="C85" s="40">
        <f>PR[[#This Row],[Date]]</f>
        <v>44140</v>
      </c>
      <c r="D85" s="41" t="s">
        <v>468</v>
      </c>
      <c r="E85" s="32" t="s">
        <v>30</v>
      </c>
      <c r="F85" s="33" t="str">
        <f>IFERROR(INDEX(Database!C:C,MATCH(PR[[#This Row],[Journalist]],Database!B:B,0)),"")</f>
        <v>Email or Phone 3</v>
      </c>
      <c r="G85" s="32" t="s">
        <v>137</v>
      </c>
      <c r="H85" s="32" t="s">
        <v>44</v>
      </c>
      <c r="I85" s="32" t="s">
        <v>36</v>
      </c>
      <c r="J85" s="34" t="s">
        <v>324</v>
      </c>
      <c r="K85" s="32" t="s">
        <v>49</v>
      </c>
      <c r="L85" s="33">
        <f>IFERROR(INDEX(Database!J:J,MATCH(PR[[#This Row],[Article Category]],Database!I:I,0)),"")</f>
        <v>20</v>
      </c>
      <c r="M85" s="32" t="s">
        <v>55</v>
      </c>
      <c r="N85" s="35">
        <v>-5</v>
      </c>
      <c r="O85" s="32"/>
    </row>
    <row r="86" spans="1:15" ht="30" customHeight="1" x14ac:dyDescent="0.2">
      <c r="A86" s="20" t="str">
        <f t="shared" si="0"/>
        <v/>
      </c>
      <c r="B86" s="31">
        <v>44104</v>
      </c>
      <c r="C86" s="40">
        <f>PR[[#This Row],[Date]]</f>
        <v>44104</v>
      </c>
      <c r="D86" s="41" t="s">
        <v>467</v>
      </c>
      <c r="E86" s="32" t="s">
        <v>32</v>
      </c>
      <c r="F86" s="33" t="str">
        <f>IFERROR(INDEX(Database!C:C,MATCH(PR[[#This Row],[Journalist]],Database!B:B,0)),"")</f>
        <v>Email or Phone 5</v>
      </c>
      <c r="G86" s="32" t="s">
        <v>138</v>
      </c>
      <c r="H86" s="32" t="s">
        <v>43</v>
      </c>
      <c r="I86" s="32" t="s">
        <v>37</v>
      </c>
      <c r="J86" s="34" t="s">
        <v>325</v>
      </c>
      <c r="K86" s="32" t="s">
        <v>47</v>
      </c>
      <c r="L86" s="33">
        <f>IFERROR(INDEX(Database!J:J,MATCH(PR[[#This Row],[Article Category]],Database!I:I,0)),"")</f>
        <v>30</v>
      </c>
      <c r="M86" s="32" t="s">
        <v>54</v>
      </c>
      <c r="N86" s="35">
        <v>3</v>
      </c>
      <c r="O86" s="32"/>
    </row>
    <row r="87" spans="1:15" ht="30" customHeight="1" x14ac:dyDescent="0.2">
      <c r="A87" s="20" t="str">
        <f t="shared" ref="A87:A150" si="1">IF(AND(B86&lt;&gt;"",B87=""),"Select Audit Point---&gt;","")</f>
        <v/>
      </c>
      <c r="B87" s="31">
        <v>44129</v>
      </c>
      <c r="C87" s="40">
        <f>PR[[#This Row],[Date]]</f>
        <v>44129</v>
      </c>
      <c r="D87" s="41" t="s">
        <v>467</v>
      </c>
      <c r="E87" s="32" t="s">
        <v>31</v>
      </c>
      <c r="F87" s="33" t="str">
        <f>IFERROR(INDEX(Database!C:C,MATCH(PR[[#This Row],[Journalist]],Database!B:B,0)),"")</f>
        <v>Email or Phone 4</v>
      </c>
      <c r="G87" s="32" t="s">
        <v>139</v>
      </c>
      <c r="H87" s="32" t="s">
        <v>42</v>
      </c>
      <c r="I87" s="32" t="s">
        <v>33</v>
      </c>
      <c r="J87" s="34" t="s">
        <v>326</v>
      </c>
      <c r="K87" s="32" t="s">
        <v>50</v>
      </c>
      <c r="L87" s="33">
        <f>IFERROR(INDEX(Database!J:J,MATCH(PR[[#This Row],[Article Category]],Database!I:I,0)),"")</f>
        <v>40</v>
      </c>
      <c r="M87" s="32" t="s">
        <v>53</v>
      </c>
      <c r="N87" s="35">
        <v>-4</v>
      </c>
      <c r="O87" s="32"/>
    </row>
    <row r="88" spans="1:15" ht="30" customHeight="1" x14ac:dyDescent="0.2">
      <c r="A88" s="20" t="str">
        <f t="shared" si="1"/>
        <v/>
      </c>
      <c r="B88" s="31">
        <v>44118</v>
      </c>
      <c r="C88" s="40">
        <f>PR[[#This Row],[Date]]</f>
        <v>44118</v>
      </c>
      <c r="D88" s="41" t="s">
        <v>468</v>
      </c>
      <c r="E88" s="32" t="s">
        <v>34</v>
      </c>
      <c r="F88" s="33" t="str">
        <f>IFERROR(INDEX(Database!C:C,MATCH(PR[[#This Row],[Journalist]],Database!B:B,0)),"")</f>
        <v>Email or Phone 1</v>
      </c>
      <c r="G88" s="32" t="s">
        <v>140</v>
      </c>
      <c r="H88" s="32" t="s">
        <v>42</v>
      </c>
      <c r="I88" s="32" t="s">
        <v>38</v>
      </c>
      <c r="J88" s="34" t="s">
        <v>327</v>
      </c>
      <c r="K88" s="32" t="s">
        <v>49</v>
      </c>
      <c r="L88" s="33">
        <f>IFERROR(INDEX(Database!J:J,MATCH(PR[[#This Row],[Article Category]],Database!I:I,0)),"")</f>
        <v>20</v>
      </c>
      <c r="M88" s="32" t="s">
        <v>54</v>
      </c>
      <c r="N88" s="35">
        <v>2</v>
      </c>
      <c r="O88" s="32"/>
    </row>
    <row r="89" spans="1:15" ht="30" customHeight="1" x14ac:dyDescent="0.2">
      <c r="A89" s="20" t="str">
        <f t="shared" si="1"/>
        <v/>
      </c>
      <c r="B89" s="31">
        <v>44126</v>
      </c>
      <c r="C89" s="40">
        <f>PR[[#This Row],[Date]]</f>
        <v>44126</v>
      </c>
      <c r="D89" s="41" t="s">
        <v>466</v>
      </c>
      <c r="E89" s="32" t="s">
        <v>39</v>
      </c>
      <c r="F89" s="33" t="str">
        <f>IFERROR(INDEX(Database!C:C,MATCH(PR[[#This Row],[Journalist]],Database!B:B,0)),"")</f>
        <v>Email or Phone 6</v>
      </c>
      <c r="G89" s="32" t="s">
        <v>141</v>
      </c>
      <c r="H89" s="32" t="s">
        <v>45</v>
      </c>
      <c r="I89" s="32" t="s">
        <v>37</v>
      </c>
      <c r="J89" s="34" t="s">
        <v>328</v>
      </c>
      <c r="K89" s="32" t="s">
        <v>51</v>
      </c>
      <c r="L89" s="33">
        <f>IFERROR(INDEX(Database!J:J,MATCH(PR[[#This Row],[Article Category]],Database!I:I,0)),"")</f>
        <v>40</v>
      </c>
      <c r="M89" s="32" t="s">
        <v>53</v>
      </c>
      <c r="N89" s="35">
        <v>0</v>
      </c>
      <c r="O89" s="32"/>
    </row>
    <row r="90" spans="1:15" ht="30" customHeight="1" x14ac:dyDescent="0.2">
      <c r="A90" s="20" t="str">
        <f t="shared" si="1"/>
        <v/>
      </c>
      <c r="B90" s="31">
        <v>44085</v>
      </c>
      <c r="C90" s="40">
        <f>PR[[#This Row],[Date]]</f>
        <v>44085</v>
      </c>
      <c r="D90" s="41" t="s">
        <v>468</v>
      </c>
      <c r="E90" s="32" t="s">
        <v>40</v>
      </c>
      <c r="F90" s="33" t="str">
        <f>IFERROR(INDEX(Database!C:C,MATCH(PR[[#This Row],[Journalist]],Database!B:B,0)),"")</f>
        <v>Email or Phone 7</v>
      </c>
      <c r="G90" s="32" t="s">
        <v>142</v>
      </c>
      <c r="H90" s="32" t="s">
        <v>41</v>
      </c>
      <c r="I90" s="32" t="s">
        <v>37</v>
      </c>
      <c r="J90" s="34" t="s">
        <v>329</v>
      </c>
      <c r="K90" s="32" t="s">
        <v>50</v>
      </c>
      <c r="L90" s="33">
        <f>IFERROR(INDEX(Database!J:J,MATCH(PR[[#This Row],[Article Category]],Database!I:I,0)),"")</f>
        <v>40</v>
      </c>
      <c r="M90" s="32" t="s">
        <v>53</v>
      </c>
      <c r="N90" s="35">
        <v>1</v>
      </c>
      <c r="O90" s="32"/>
    </row>
    <row r="91" spans="1:15" ht="30" customHeight="1" x14ac:dyDescent="0.2">
      <c r="A91" s="20" t="str">
        <f t="shared" si="1"/>
        <v/>
      </c>
      <c r="B91" s="31">
        <v>44164</v>
      </c>
      <c r="C91" s="40">
        <f>PR[[#This Row],[Date]]</f>
        <v>44164</v>
      </c>
      <c r="D91" s="41" t="s">
        <v>467</v>
      </c>
      <c r="E91" s="32" t="s">
        <v>30</v>
      </c>
      <c r="F91" s="33" t="str">
        <f>IFERROR(INDEX(Database!C:C,MATCH(PR[[#This Row],[Journalist]],Database!B:B,0)),"")</f>
        <v>Email or Phone 3</v>
      </c>
      <c r="G91" s="32" t="s">
        <v>143</v>
      </c>
      <c r="H91" s="32" t="s">
        <v>45</v>
      </c>
      <c r="I91" s="32" t="s">
        <v>36</v>
      </c>
      <c r="J91" s="34" t="s">
        <v>330</v>
      </c>
      <c r="K91" s="32" t="s">
        <v>51</v>
      </c>
      <c r="L91" s="33">
        <f>IFERROR(INDEX(Database!J:J,MATCH(PR[[#This Row],[Article Category]],Database!I:I,0)),"")</f>
        <v>40</v>
      </c>
      <c r="M91" s="32" t="s">
        <v>53</v>
      </c>
      <c r="N91" s="35">
        <v>0</v>
      </c>
      <c r="O91" s="32"/>
    </row>
    <row r="92" spans="1:15" ht="30" customHeight="1" x14ac:dyDescent="0.2">
      <c r="A92" s="20" t="str">
        <f t="shared" si="1"/>
        <v/>
      </c>
      <c r="B92" s="31">
        <v>44086</v>
      </c>
      <c r="C92" s="40">
        <f>PR[[#This Row],[Date]]</f>
        <v>44086</v>
      </c>
      <c r="D92" s="41" t="s">
        <v>468</v>
      </c>
      <c r="E92" s="32" t="s">
        <v>31</v>
      </c>
      <c r="F92" s="33" t="str">
        <f>IFERROR(INDEX(Database!C:C,MATCH(PR[[#This Row],[Journalist]],Database!B:B,0)),"")</f>
        <v>Email or Phone 4</v>
      </c>
      <c r="G92" s="32" t="s">
        <v>144</v>
      </c>
      <c r="H92" s="32" t="s">
        <v>45</v>
      </c>
      <c r="I92" s="32" t="s">
        <v>33</v>
      </c>
      <c r="J92" s="34" t="s">
        <v>331</v>
      </c>
      <c r="K92" s="32" t="s">
        <v>48</v>
      </c>
      <c r="L92" s="33">
        <f>IFERROR(INDEX(Database!J:J,MATCH(PR[[#This Row],[Article Category]],Database!I:I,0)),"")</f>
        <v>20</v>
      </c>
      <c r="M92" s="32" t="s">
        <v>55</v>
      </c>
      <c r="N92" s="35">
        <v>5</v>
      </c>
      <c r="O92" s="32"/>
    </row>
    <row r="93" spans="1:15" ht="30" customHeight="1" x14ac:dyDescent="0.2">
      <c r="A93" s="20" t="str">
        <f t="shared" si="1"/>
        <v/>
      </c>
      <c r="B93" s="31">
        <v>44189</v>
      </c>
      <c r="C93" s="40">
        <f>PR[[#This Row],[Date]]</f>
        <v>44189</v>
      </c>
      <c r="D93" s="41" t="s">
        <v>470</v>
      </c>
      <c r="E93" s="32" t="s">
        <v>39</v>
      </c>
      <c r="F93" s="33" t="str">
        <f>IFERROR(INDEX(Database!C:C,MATCH(PR[[#This Row],[Journalist]],Database!B:B,0)),"")</f>
        <v>Email or Phone 6</v>
      </c>
      <c r="G93" s="32" t="s">
        <v>145</v>
      </c>
      <c r="H93" s="32" t="s">
        <v>43</v>
      </c>
      <c r="I93" s="32" t="s">
        <v>38</v>
      </c>
      <c r="J93" s="34" t="s">
        <v>332</v>
      </c>
      <c r="K93" s="32" t="s">
        <v>46</v>
      </c>
      <c r="L93" s="33">
        <f>IFERROR(INDEX(Database!J:J,MATCH(PR[[#This Row],[Article Category]],Database!I:I,0)),"")</f>
        <v>20</v>
      </c>
      <c r="M93" s="32" t="s">
        <v>54</v>
      </c>
      <c r="N93" s="35">
        <v>2</v>
      </c>
      <c r="O93" s="32"/>
    </row>
    <row r="94" spans="1:15" ht="30" customHeight="1" x14ac:dyDescent="0.2">
      <c r="A94" s="20" t="str">
        <f t="shared" si="1"/>
        <v/>
      </c>
      <c r="B94" s="31">
        <v>44226</v>
      </c>
      <c r="C94" s="40">
        <f>PR[[#This Row],[Date]]</f>
        <v>44226</v>
      </c>
      <c r="D94" s="41" t="s">
        <v>468</v>
      </c>
      <c r="E94" s="32" t="s">
        <v>32</v>
      </c>
      <c r="F94" s="33" t="str">
        <f>IFERROR(INDEX(Database!C:C,MATCH(PR[[#This Row],[Journalist]],Database!B:B,0)),"")</f>
        <v>Email or Phone 5</v>
      </c>
      <c r="G94" s="32" t="s">
        <v>146</v>
      </c>
      <c r="H94" s="32" t="s">
        <v>43</v>
      </c>
      <c r="I94" s="32" t="s">
        <v>38</v>
      </c>
      <c r="J94" s="34" t="s">
        <v>333</v>
      </c>
      <c r="K94" s="32" t="s">
        <v>51</v>
      </c>
      <c r="L94" s="33">
        <f>IFERROR(INDEX(Database!J:J,MATCH(PR[[#This Row],[Article Category]],Database!I:I,0)),"")</f>
        <v>40</v>
      </c>
      <c r="M94" s="32" t="s">
        <v>55</v>
      </c>
      <c r="N94" s="35">
        <v>2</v>
      </c>
      <c r="O94" s="32"/>
    </row>
    <row r="95" spans="1:15" ht="30" customHeight="1" x14ac:dyDescent="0.2">
      <c r="A95" s="20" t="str">
        <f t="shared" si="1"/>
        <v/>
      </c>
      <c r="B95" s="31">
        <v>44138</v>
      </c>
      <c r="C95" s="40">
        <f>PR[[#This Row],[Date]]</f>
        <v>44138</v>
      </c>
      <c r="D95" s="41" t="s">
        <v>469</v>
      </c>
      <c r="E95" s="32" t="s">
        <v>35</v>
      </c>
      <c r="F95" s="33" t="str">
        <f>IFERROR(INDEX(Database!C:C,MATCH(PR[[#This Row],[Journalist]],Database!B:B,0)),"")</f>
        <v>Email or Phone 2</v>
      </c>
      <c r="G95" s="32" t="s">
        <v>147</v>
      </c>
      <c r="H95" s="32" t="s">
        <v>43</v>
      </c>
      <c r="I95" s="32" t="s">
        <v>38</v>
      </c>
      <c r="J95" s="34" t="s">
        <v>334</v>
      </c>
      <c r="K95" s="32" t="s">
        <v>52</v>
      </c>
      <c r="L95" s="33">
        <f>IFERROR(INDEX(Database!J:J,MATCH(PR[[#This Row],[Article Category]],Database!I:I,0)),"")</f>
        <v>30</v>
      </c>
      <c r="M95" s="32" t="s">
        <v>54</v>
      </c>
      <c r="N95" s="35">
        <v>3</v>
      </c>
      <c r="O95" s="32"/>
    </row>
    <row r="96" spans="1:15" ht="30" customHeight="1" x14ac:dyDescent="0.2">
      <c r="A96" s="20" t="str">
        <f t="shared" si="1"/>
        <v/>
      </c>
      <c r="B96" s="31">
        <v>44201</v>
      </c>
      <c r="C96" s="40">
        <f>PR[[#This Row],[Date]]</f>
        <v>44201</v>
      </c>
      <c r="D96" s="41" t="s">
        <v>470</v>
      </c>
      <c r="E96" s="32" t="s">
        <v>39</v>
      </c>
      <c r="F96" s="33" t="str">
        <f>IFERROR(INDEX(Database!C:C,MATCH(PR[[#This Row],[Journalist]],Database!B:B,0)),"")</f>
        <v>Email or Phone 6</v>
      </c>
      <c r="G96" s="32" t="s">
        <v>148</v>
      </c>
      <c r="H96" s="32" t="s">
        <v>43</v>
      </c>
      <c r="I96" s="32" t="s">
        <v>36</v>
      </c>
      <c r="J96" s="34" t="s">
        <v>335</v>
      </c>
      <c r="K96" s="32" t="s">
        <v>46</v>
      </c>
      <c r="L96" s="33">
        <f>IFERROR(INDEX(Database!J:J,MATCH(PR[[#This Row],[Article Category]],Database!I:I,0)),"")</f>
        <v>20</v>
      </c>
      <c r="M96" s="32" t="s">
        <v>55</v>
      </c>
      <c r="N96" s="35">
        <v>-3</v>
      </c>
      <c r="O96" s="32"/>
    </row>
    <row r="97" spans="1:15" ht="30" customHeight="1" x14ac:dyDescent="0.2">
      <c r="A97" s="20" t="str">
        <f t="shared" si="1"/>
        <v/>
      </c>
      <c r="B97" s="31">
        <v>44216</v>
      </c>
      <c r="C97" s="40">
        <f>PR[[#This Row],[Date]]</f>
        <v>44216</v>
      </c>
      <c r="D97" s="41" t="s">
        <v>467</v>
      </c>
      <c r="E97" s="32" t="s">
        <v>31</v>
      </c>
      <c r="F97" s="33" t="str">
        <f>IFERROR(INDEX(Database!C:C,MATCH(PR[[#This Row],[Journalist]],Database!B:B,0)),"")</f>
        <v>Email or Phone 4</v>
      </c>
      <c r="G97" s="32" t="s">
        <v>149</v>
      </c>
      <c r="H97" s="32" t="s">
        <v>43</v>
      </c>
      <c r="I97" s="32" t="s">
        <v>37</v>
      </c>
      <c r="J97" s="34" t="s">
        <v>336</v>
      </c>
      <c r="K97" s="32" t="s">
        <v>50</v>
      </c>
      <c r="L97" s="33">
        <f>IFERROR(INDEX(Database!J:J,MATCH(PR[[#This Row],[Article Category]],Database!I:I,0)),"")</f>
        <v>40</v>
      </c>
      <c r="M97" s="32" t="s">
        <v>55</v>
      </c>
      <c r="N97" s="35">
        <v>-5</v>
      </c>
      <c r="O97" s="32"/>
    </row>
    <row r="98" spans="1:15" ht="30" customHeight="1" x14ac:dyDescent="0.2">
      <c r="A98" s="20" t="str">
        <f t="shared" si="1"/>
        <v/>
      </c>
      <c r="B98" s="31">
        <v>44163</v>
      </c>
      <c r="C98" s="40">
        <f>PR[[#This Row],[Date]]</f>
        <v>44163</v>
      </c>
      <c r="D98" s="41" t="s">
        <v>466</v>
      </c>
      <c r="E98" s="32" t="s">
        <v>40</v>
      </c>
      <c r="F98" s="33" t="str">
        <f>IFERROR(INDEX(Database!C:C,MATCH(PR[[#This Row],[Journalist]],Database!B:B,0)),"")</f>
        <v>Email or Phone 7</v>
      </c>
      <c r="G98" s="32" t="s">
        <v>150</v>
      </c>
      <c r="H98" s="32" t="s">
        <v>44</v>
      </c>
      <c r="I98" s="32" t="s">
        <v>38</v>
      </c>
      <c r="J98" s="34" t="s">
        <v>337</v>
      </c>
      <c r="K98" s="32" t="s">
        <v>52</v>
      </c>
      <c r="L98" s="33">
        <f>IFERROR(INDEX(Database!J:J,MATCH(PR[[#This Row],[Article Category]],Database!I:I,0)),"")</f>
        <v>30</v>
      </c>
      <c r="M98" s="32" t="s">
        <v>54</v>
      </c>
      <c r="N98" s="35">
        <v>-4</v>
      </c>
      <c r="O98" s="32"/>
    </row>
    <row r="99" spans="1:15" ht="30" customHeight="1" x14ac:dyDescent="0.2">
      <c r="A99" s="20" t="str">
        <f t="shared" si="1"/>
        <v/>
      </c>
      <c r="B99" s="31">
        <v>44175</v>
      </c>
      <c r="C99" s="40">
        <f>PR[[#This Row],[Date]]</f>
        <v>44175</v>
      </c>
      <c r="D99" s="41" t="s">
        <v>470</v>
      </c>
      <c r="E99" s="32" t="s">
        <v>31</v>
      </c>
      <c r="F99" s="33" t="str">
        <f>IFERROR(INDEX(Database!C:C,MATCH(PR[[#This Row],[Journalist]],Database!B:B,0)),"")</f>
        <v>Email or Phone 4</v>
      </c>
      <c r="G99" s="32" t="s">
        <v>151</v>
      </c>
      <c r="H99" s="32" t="s">
        <v>41</v>
      </c>
      <c r="I99" s="32" t="s">
        <v>37</v>
      </c>
      <c r="J99" s="34" t="s">
        <v>338</v>
      </c>
      <c r="K99" s="32" t="s">
        <v>49</v>
      </c>
      <c r="L99" s="33">
        <f>IFERROR(INDEX(Database!J:J,MATCH(PR[[#This Row],[Article Category]],Database!I:I,0)),"")</f>
        <v>20</v>
      </c>
      <c r="M99" s="32" t="s">
        <v>54</v>
      </c>
      <c r="N99" s="35">
        <v>-3</v>
      </c>
      <c r="O99" s="32"/>
    </row>
    <row r="100" spans="1:15" ht="30" customHeight="1" x14ac:dyDescent="0.2">
      <c r="A100" s="20" t="str">
        <f t="shared" si="1"/>
        <v/>
      </c>
      <c r="B100" s="31">
        <v>44133</v>
      </c>
      <c r="C100" s="40">
        <f>PR[[#This Row],[Date]]</f>
        <v>44133</v>
      </c>
      <c r="D100" s="41" t="s">
        <v>467</v>
      </c>
      <c r="E100" s="32" t="s">
        <v>30</v>
      </c>
      <c r="F100" s="33" t="str">
        <f>IFERROR(INDEX(Database!C:C,MATCH(PR[[#This Row],[Journalist]],Database!B:B,0)),"")</f>
        <v>Email or Phone 3</v>
      </c>
      <c r="G100" s="32" t="s">
        <v>152</v>
      </c>
      <c r="H100" s="32" t="s">
        <v>45</v>
      </c>
      <c r="I100" s="32" t="s">
        <v>33</v>
      </c>
      <c r="J100" s="34" t="s">
        <v>339</v>
      </c>
      <c r="K100" s="32" t="s">
        <v>47</v>
      </c>
      <c r="L100" s="33">
        <f>IFERROR(INDEX(Database!J:J,MATCH(PR[[#This Row],[Article Category]],Database!I:I,0)),"")</f>
        <v>30</v>
      </c>
      <c r="M100" s="32" t="s">
        <v>55</v>
      </c>
      <c r="N100" s="35">
        <v>-5</v>
      </c>
      <c r="O100" s="32"/>
    </row>
    <row r="101" spans="1:15" ht="30" customHeight="1" x14ac:dyDescent="0.2">
      <c r="A101" s="20" t="str">
        <f t="shared" si="1"/>
        <v/>
      </c>
      <c r="B101" s="31">
        <v>44191</v>
      </c>
      <c r="C101" s="40">
        <f>PR[[#This Row],[Date]]</f>
        <v>44191</v>
      </c>
      <c r="D101" s="41" t="s">
        <v>467</v>
      </c>
      <c r="E101" s="32" t="s">
        <v>31</v>
      </c>
      <c r="F101" s="33" t="str">
        <f>IFERROR(INDEX(Database!C:C,MATCH(PR[[#This Row],[Journalist]],Database!B:B,0)),"")</f>
        <v>Email or Phone 4</v>
      </c>
      <c r="G101" s="32" t="s">
        <v>153</v>
      </c>
      <c r="H101" s="32" t="s">
        <v>42</v>
      </c>
      <c r="I101" s="32" t="s">
        <v>37</v>
      </c>
      <c r="J101" s="34" t="s">
        <v>340</v>
      </c>
      <c r="K101" s="32" t="s">
        <v>48</v>
      </c>
      <c r="L101" s="33">
        <f>IFERROR(INDEX(Database!J:J,MATCH(PR[[#This Row],[Article Category]],Database!I:I,0)),"")</f>
        <v>20</v>
      </c>
      <c r="M101" s="32" t="s">
        <v>53</v>
      </c>
      <c r="N101" s="35">
        <v>3</v>
      </c>
      <c r="O101" s="32"/>
    </row>
    <row r="102" spans="1:15" ht="30" customHeight="1" x14ac:dyDescent="0.2">
      <c r="A102" s="20" t="str">
        <f t="shared" si="1"/>
        <v/>
      </c>
      <c r="B102" s="31">
        <v>44152</v>
      </c>
      <c r="C102" s="40">
        <f>PR[[#This Row],[Date]]</f>
        <v>44152</v>
      </c>
      <c r="D102" s="41" t="s">
        <v>469</v>
      </c>
      <c r="E102" s="32" t="s">
        <v>40</v>
      </c>
      <c r="F102" s="33" t="str">
        <f>IFERROR(INDEX(Database!C:C,MATCH(PR[[#This Row],[Journalist]],Database!B:B,0)),"")</f>
        <v>Email or Phone 7</v>
      </c>
      <c r="G102" s="32" t="s">
        <v>154</v>
      </c>
      <c r="H102" s="32" t="s">
        <v>42</v>
      </c>
      <c r="I102" s="32" t="s">
        <v>38</v>
      </c>
      <c r="J102" s="34" t="s">
        <v>341</v>
      </c>
      <c r="K102" s="32" t="s">
        <v>47</v>
      </c>
      <c r="L102" s="33">
        <f>IFERROR(INDEX(Database!J:J,MATCH(PR[[#This Row],[Article Category]],Database!I:I,0)),"")</f>
        <v>30</v>
      </c>
      <c r="M102" s="32" t="s">
        <v>54</v>
      </c>
      <c r="N102" s="35">
        <v>-5</v>
      </c>
      <c r="O102" s="32"/>
    </row>
    <row r="103" spans="1:15" ht="30" customHeight="1" x14ac:dyDescent="0.2">
      <c r="A103" s="20" t="str">
        <f t="shared" si="1"/>
        <v/>
      </c>
      <c r="B103" s="31">
        <v>44207</v>
      </c>
      <c r="C103" s="40">
        <f>PR[[#This Row],[Date]]</f>
        <v>44207</v>
      </c>
      <c r="D103" s="41" t="s">
        <v>466</v>
      </c>
      <c r="E103" s="32" t="s">
        <v>40</v>
      </c>
      <c r="F103" s="33" t="str">
        <f>IFERROR(INDEX(Database!C:C,MATCH(PR[[#This Row],[Journalist]],Database!B:B,0)),"")</f>
        <v>Email or Phone 7</v>
      </c>
      <c r="G103" s="32" t="s">
        <v>155</v>
      </c>
      <c r="H103" s="32" t="s">
        <v>44</v>
      </c>
      <c r="I103" s="32" t="s">
        <v>36</v>
      </c>
      <c r="J103" s="34" t="s">
        <v>342</v>
      </c>
      <c r="K103" s="32" t="s">
        <v>50</v>
      </c>
      <c r="L103" s="33">
        <f>IFERROR(INDEX(Database!J:J,MATCH(PR[[#This Row],[Article Category]],Database!I:I,0)),"")</f>
        <v>40</v>
      </c>
      <c r="M103" s="32" t="s">
        <v>53</v>
      </c>
      <c r="N103" s="35">
        <v>3</v>
      </c>
      <c r="O103" s="32"/>
    </row>
    <row r="104" spans="1:15" ht="30" customHeight="1" x14ac:dyDescent="0.2">
      <c r="A104" s="20" t="str">
        <f t="shared" si="1"/>
        <v/>
      </c>
      <c r="B104" s="31">
        <v>44140</v>
      </c>
      <c r="C104" s="40">
        <f>PR[[#This Row],[Date]]</f>
        <v>44140</v>
      </c>
      <c r="D104" s="41" t="s">
        <v>470</v>
      </c>
      <c r="E104" s="32" t="s">
        <v>30</v>
      </c>
      <c r="F104" s="33" t="str">
        <f>IFERROR(INDEX(Database!C:C,MATCH(PR[[#This Row],[Journalist]],Database!B:B,0)),"")</f>
        <v>Email or Phone 3</v>
      </c>
      <c r="G104" s="32" t="s">
        <v>156</v>
      </c>
      <c r="H104" s="32" t="s">
        <v>43</v>
      </c>
      <c r="I104" s="32" t="s">
        <v>36</v>
      </c>
      <c r="J104" s="34" t="s">
        <v>343</v>
      </c>
      <c r="K104" s="32" t="s">
        <v>48</v>
      </c>
      <c r="L104" s="33">
        <f>IFERROR(INDEX(Database!J:J,MATCH(PR[[#This Row],[Article Category]],Database!I:I,0)),"")</f>
        <v>20</v>
      </c>
      <c r="M104" s="32" t="s">
        <v>53</v>
      </c>
      <c r="N104" s="35">
        <v>-5</v>
      </c>
      <c r="O104" s="32"/>
    </row>
    <row r="105" spans="1:15" ht="30" customHeight="1" x14ac:dyDescent="0.2">
      <c r="A105" s="20" t="str">
        <f t="shared" si="1"/>
        <v/>
      </c>
      <c r="B105" s="31">
        <v>44114</v>
      </c>
      <c r="C105" s="40">
        <f>PR[[#This Row],[Date]]</f>
        <v>44114</v>
      </c>
      <c r="D105" s="41" t="s">
        <v>468</v>
      </c>
      <c r="E105" s="32" t="s">
        <v>32</v>
      </c>
      <c r="F105" s="33" t="str">
        <f>IFERROR(INDEX(Database!C:C,MATCH(PR[[#This Row],[Journalist]],Database!B:B,0)),"")</f>
        <v>Email or Phone 5</v>
      </c>
      <c r="G105" s="32" t="s">
        <v>157</v>
      </c>
      <c r="H105" s="32" t="s">
        <v>45</v>
      </c>
      <c r="I105" s="32" t="s">
        <v>33</v>
      </c>
      <c r="J105" s="34" t="s">
        <v>344</v>
      </c>
      <c r="K105" s="32" t="s">
        <v>50</v>
      </c>
      <c r="L105" s="33">
        <f>IFERROR(INDEX(Database!J:J,MATCH(PR[[#This Row],[Article Category]],Database!I:I,0)),"")</f>
        <v>40</v>
      </c>
      <c r="M105" s="32" t="s">
        <v>53</v>
      </c>
      <c r="N105" s="35">
        <v>5</v>
      </c>
      <c r="O105" s="32"/>
    </row>
    <row r="106" spans="1:15" ht="30" customHeight="1" x14ac:dyDescent="0.2">
      <c r="A106" s="20" t="str">
        <f t="shared" si="1"/>
        <v/>
      </c>
      <c r="B106" s="31">
        <v>44192</v>
      </c>
      <c r="C106" s="40">
        <f>PR[[#This Row],[Date]]</f>
        <v>44192</v>
      </c>
      <c r="D106" s="41" t="s">
        <v>469</v>
      </c>
      <c r="E106" s="32" t="s">
        <v>32</v>
      </c>
      <c r="F106" s="33" t="str">
        <f>IFERROR(INDEX(Database!C:C,MATCH(PR[[#This Row],[Journalist]],Database!B:B,0)),"")</f>
        <v>Email or Phone 5</v>
      </c>
      <c r="G106" s="32" t="s">
        <v>158</v>
      </c>
      <c r="H106" s="32" t="s">
        <v>42</v>
      </c>
      <c r="I106" s="32" t="s">
        <v>33</v>
      </c>
      <c r="J106" s="34" t="s">
        <v>345</v>
      </c>
      <c r="K106" s="32" t="s">
        <v>52</v>
      </c>
      <c r="L106" s="33">
        <f>IFERROR(INDEX(Database!J:J,MATCH(PR[[#This Row],[Article Category]],Database!I:I,0)),"")</f>
        <v>30</v>
      </c>
      <c r="M106" s="32" t="s">
        <v>54</v>
      </c>
      <c r="N106" s="35">
        <v>0</v>
      </c>
      <c r="O106" s="32"/>
    </row>
    <row r="107" spans="1:15" ht="30" customHeight="1" x14ac:dyDescent="0.2">
      <c r="A107" s="20" t="str">
        <f t="shared" si="1"/>
        <v/>
      </c>
      <c r="B107" s="31">
        <v>44187</v>
      </c>
      <c r="C107" s="40">
        <f>PR[[#This Row],[Date]]</f>
        <v>44187</v>
      </c>
      <c r="D107" s="41" t="s">
        <v>469</v>
      </c>
      <c r="E107" s="32" t="s">
        <v>30</v>
      </c>
      <c r="F107" s="33" t="str">
        <f>IFERROR(INDEX(Database!C:C,MATCH(PR[[#This Row],[Journalist]],Database!B:B,0)),"")</f>
        <v>Email or Phone 3</v>
      </c>
      <c r="G107" s="32" t="s">
        <v>159</v>
      </c>
      <c r="H107" s="32" t="s">
        <v>45</v>
      </c>
      <c r="I107" s="32" t="s">
        <v>38</v>
      </c>
      <c r="J107" s="34" t="s">
        <v>346</v>
      </c>
      <c r="K107" s="32" t="s">
        <v>51</v>
      </c>
      <c r="L107" s="33">
        <f>IFERROR(INDEX(Database!J:J,MATCH(PR[[#This Row],[Article Category]],Database!I:I,0)),"")</f>
        <v>40</v>
      </c>
      <c r="M107" s="32" t="s">
        <v>55</v>
      </c>
      <c r="N107" s="35">
        <v>0</v>
      </c>
      <c r="O107" s="32"/>
    </row>
    <row r="108" spans="1:15" ht="30" customHeight="1" x14ac:dyDescent="0.2">
      <c r="A108" s="20" t="str">
        <f t="shared" si="1"/>
        <v/>
      </c>
      <c r="B108" s="31">
        <v>44177</v>
      </c>
      <c r="C108" s="40">
        <f>PR[[#This Row],[Date]]</f>
        <v>44177</v>
      </c>
      <c r="D108" s="41" t="s">
        <v>468</v>
      </c>
      <c r="E108" s="32" t="s">
        <v>35</v>
      </c>
      <c r="F108" s="33" t="str">
        <f>IFERROR(INDEX(Database!C:C,MATCH(PR[[#This Row],[Journalist]],Database!B:B,0)),"")</f>
        <v>Email or Phone 2</v>
      </c>
      <c r="G108" s="32" t="s">
        <v>160</v>
      </c>
      <c r="H108" s="32" t="s">
        <v>45</v>
      </c>
      <c r="I108" s="32" t="s">
        <v>38</v>
      </c>
      <c r="J108" s="34" t="s">
        <v>347</v>
      </c>
      <c r="K108" s="32" t="s">
        <v>52</v>
      </c>
      <c r="L108" s="33">
        <f>IFERROR(INDEX(Database!J:J,MATCH(PR[[#This Row],[Article Category]],Database!I:I,0)),"")</f>
        <v>30</v>
      </c>
      <c r="M108" s="32" t="s">
        <v>53</v>
      </c>
      <c r="N108" s="35">
        <v>5</v>
      </c>
      <c r="O108" s="32"/>
    </row>
    <row r="109" spans="1:15" ht="30" customHeight="1" x14ac:dyDescent="0.2">
      <c r="A109" s="20" t="str">
        <f t="shared" si="1"/>
        <v/>
      </c>
      <c r="B109" s="31">
        <v>44148</v>
      </c>
      <c r="C109" s="40">
        <f>PR[[#This Row],[Date]]</f>
        <v>44148</v>
      </c>
      <c r="D109" s="41" t="s">
        <v>466</v>
      </c>
      <c r="E109" s="32" t="s">
        <v>32</v>
      </c>
      <c r="F109" s="33" t="str">
        <f>IFERROR(INDEX(Database!C:C,MATCH(PR[[#This Row],[Journalist]],Database!B:B,0)),"")</f>
        <v>Email or Phone 5</v>
      </c>
      <c r="G109" s="32" t="s">
        <v>161</v>
      </c>
      <c r="H109" s="32" t="s">
        <v>44</v>
      </c>
      <c r="I109" s="32" t="s">
        <v>33</v>
      </c>
      <c r="J109" s="34" t="s">
        <v>348</v>
      </c>
      <c r="K109" s="32" t="s">
        <v>49</v>
      </c>
      <c r="L109" s="33">
        <f>IFERROR(INDEX(Database!J:J,MATCH(PR[[#This Row],[Article Category]],Database!I:I,0)),"")</f>
        <v>20</v>
      </c>
      <c r="M109" s="32" t="s">
        <v>55</v>
      </c>
      <c r="N109" s="35">
        <v>0</v>
      </c>
      <c r="O109" s="32"/>
    </row>
    <row r="110" spans="1:15" ht="30" customHeight="1" x14ac:dyDescent="0.2">
      <c r="A110" s="20" t="str">
        <f t="shared" si="1"/>
        <v/>
      </c>
      <c r="B110" s="31">
        <v>44187</v>
      </c>
      <c r="C110" s="40">
        <f>PR[[#This Row],[Date]]</f>
        <v>44187</v>
      </c>
      <c r="D110" s="41" t="s">
        <v>470</v>
      </c>
      <c r="E110" s="32" t="s">
        <v>31</v>
      </c>
      <c r="F110" s="33" t="str">
        <f>IFERROR(INDEX(Database!C:C,MATCH(PR[[#This Row],[Journalist]],Database!B:B,0)),"")</f>
        <v>Email or Phone 4</v>
      </c>
      <c r="G110" s="32" t="s">
        <v>162</v>
      </c>
      <c r="H110" s="32" t="s">
        <v>43</v>
      </c>
      <c r="I110" s="32" t="s">
        <v>38</v>
      </c>
      <c r="J110" s="34" t="s">
        <v>349</v>
      </c>
      <c r="K110" s="32" t="s">
        <v>49</v>
      </c>
      <c r="L110" s="33">
        <f>IFERROR(INDEX(Database!J:J,MATCH(PR[[#This Row],[Article Category]],Database!I:I,0)),"")</f>
        <v>20</v>
      </c>
      <c r="M110" s="32" t="s">
        <v>54</v>
      </c>
      <c r="N110" s="35">
        <v>-1</v>
      </c>
      <c r="O110" s="32"/>
    </row>
    <row r="111" spans="1:15" ht="30" customHeight="1" x14ac:dyDescent="0.2">
      <c r="A111" s="20" t="str">
        <f t="shared" si="1"/>
        <v/>
      </c>
      <c r="B111" s="31">
        <v>44076</v>
      </c>
      <c r="C111" s="40">
        <f>PR[[#This Row],[Date]]</f>
        <v>44076</v>
      </c>
      <c r="D111" s="41" t="s">
        <v>467</v>
      </c>
      <c r="E111" s="32" t="s">
        <v>39</v>
      </c>
      <c r="F111" s="33" t="str">
        <f>IFERROR(INDEX(Database!C:C,MATCH(PR[[#This Row],[Journalist]],Database!B:B,0)),"")</f>
        <v>Email or Phone 6</v>
      </c>
      <c r="G111" s="32" t="s">
        <v>163</v>
      </c>
      <c r="H111" s="32" t="s">
        <v>44</v>
      </c>
      <c r="I111" s="32" t="s">
        <v>37</v>
      </c>
      <c r="J111" s="34" t="s">
        <v>350</v>
      </c>
      <c r="K111" s="32" t="s">
        <v>49</v>
      </c>
      <c r="L111" s="33">
        <f>IFERROR(INDEX(Database!J:J,MATCH(PR[[#This Row],[Article Category]],Database!I:I,0)),"")</f>
        <v>20</v>
      </c>
      <c r="M111" s="32" t="s">
        <v>55</v>
      </c>
      <c r="N111" s="35">
        <v>2</v>
      </c>
      <c r="O111" s="32"/>
    </row>
    <row r="112" spans="1:15" ht="30" customHeight="1" x14ac:dyDescent="0.2">
      <c r="A112" s="20" t="str">
        <f t="shared" si="1"/>
        <v/>
      </c>
      <c r="B112" s="31">
        <v>44177</v>
      </c>
      <c r="C112" s="40">
        <f>PR[[#This Row],[Date]]</f>
        <v>44177</v>
      </c>
      <c r="D112" s="41" t="s">
        <v>466</v>
      </c>
      <c r="E112" s="32" t="s">
        <v>39</v>
      </c>
      <c r="F112" s="33" t="str">
        <f>IFERROR(INDEX(Database!C:C,MATCH(PR[[#This Row],[Journalist]],Database!B:B,0)),"")</f>
        <v>Email or Phone 6</v>
      </c>
      <c r="G112" s="32" t="s">
        <v>164</v>
      </c>
      <c r="H112" s="32" t="s">
        <v>41</v>
      </c>
      <c r="I112" s="32" t="s">
        <v>36</v>
      </c>
      <c r="J112" s="34" t="s">
        <v>351</v>
      </c>
      <c r="K112" s="32" t="s">
        <v>46</v>
      </c>
      <c r="L112" s="33">
        <f>IFERROR(INDEX(Database!J:J,MATCH(PR[[#This Row],[Article Category]],Database!I:I,0)),"")</f>
        <v>20</v>
      </c>
      <c r="M112" s="32" t="s">
        <v>53</v>
      </c>
      <c r="N112" s="35">
        <v>-3</v>
      </c>
      <c r="O112" s="32"/>
    </row>
    <row r="113" spans="1:15" ht="30" customHeight="1" x14ac:dyDescent="0.2">
      <c r="A113" s="20" t="str">
        <f t="shared" si="1"/>
        <v/>
      </c>
      <c r="B113" s="31">
        <v>44082</v>
      </c>
      <c r="C113" s="40">
        <f>PR[[#This Row],[Date]]</f>
        <v>44082</v>
      </c>
      <c r="D113" s="41" t="s">
        <v>470</v>
      </c>
      <c r="E113" s="32" t="s">
        <v>34</v>
      </c>
      <c r="F113" s="33" t="str">
        <f>IFERROR(INDEX(Database!C:C,MATCH(PR[[#This Row],[Journalist]],Database!B:B,0)),"")</f>
        <v>Email or Phone 1</v>
      </c>
      <c r="G113" s="32" t="s">
        <v>165</v>
      </c>
      <c r="H113" s="32" t="s">
        <v>42</v>
      </c>
      <c r="I113" s="32" t="s">
        <v>36</v>
      </c>
      <c r="J113" s="34" t="s">
        <v>352</v>
      </c>
      <c r="K113" s="32" t="s">
        <v>48</v>
      </c>
      <c r="L113" s="33">
        <f>IFERROR(INDEX(Database!J:J,MATCH(PR[[#This Row],[Article Category]],Database!I:I,0)),"")</f>
        <v>20</v>
      </c>
      <c r="M113" s="32" t="s">
        <v>54</v>
      </c>
      <c r="N113" s="35">
        <v>-4</v>
      </c>
      <c r="O113" s="32"/>
    </row>
    <row r="114" spans="1:15" ht="30" customHeight="1" x14ac:dyDescent="0.2">
      <c r="A114" s="20" t="str">
        <f t="shared" si="1"/>
        <v/>
      </c>
      <c r="B114" s="31">
        <v>44088</v>
      </c>
      <c r="C114" s="40">
        <f>PR[[#This Row],[Date]]</f>
        <v>44088</v>
      </c>
      <c r="D114" s="41" t="s">
        <v>467</v>
      </c>
      <c r="E114" s="32" t="s">
        <v>34</v>
      </c>
      <c r="F114" s="33" t="str">
        <f>IFERROR(INDEX(Database!C:C,MATCH(PR[[#This Row],[Journalist]],Database!B:B,0)),"")</f>
        <v>Email or Phone 1</v>
      </c>
      <c r="G114" s="32" t="s">
        <v>166</v>
      </c>
      <c r="H114" s="32" t="s">
        <v>43</v>
      </c>
      <c r="I114" s="32" t="s">
        <v>37</v>
      </c>
      <c r="J114" s="34" t="s">
        <v>353</v>
      </c>
      <c r="K114" s="32" t="s">
        <v>47</v>
      </c>
      <c r="L114" s="33">
        <f>IFERROR(INDEX(Database!J:J,MATCH(PR[[#This Row],[Article Category]],Database!I:I,0)),"")</f>
        <v>30</v>
      </c>
      <c r="M114" s="32" t="s">
        <v>53</v>
      </c>
      <c r="N114" s="35">
        <v>0</v>
      </c>
      <c r="O114" s="32"/>
    </row>
    <row r="115" spans="1:15" ht="30" customHeight="1" x14ac:dyDescent="0.2">
      <c r="A115" s="20" t="str">
        <f t="shared" si="1"/>
        <v/>
      </c>
      <c r="B115" s="31">
        <v>44116</v>
      </c>
      <c r="C115" s="40">
        <f>PR[[#This Row],[Date]]</f>
        <v>44116</v>
      </c>
      <c r="D115" s="41" t="s">
        <v>470</v>
      </c>
      <c r="E115" s="32" t="s">
        <v>34</v>
      </c>
      <c r="F115" s="33" t="str">
        <f>IFERROR(INDEX(Database!C:C,MATCH(PR[[#This Row],[Journalist]],Database!B:B,0)),"")</f>
        <v>Email or Phone 1</v>
      </c>
      <c r="G115" s="32" t="s">
        <v>167</v>
      </c>
      <c r="H115" s="32" t="s">
        <v>45</v>
      </c>
      <c r="I115" s="32" t="s">
        <v>33</v>
      </c>
      <c r="J115" s="34" t="s">
        <v>354</v>
      </c>
      <c r="K115" s="32" t="s">
        <v>46</v>
      </c>
      <c r="L115" s="33">
        <f>IFERROR(INDEX(Database!J:J,MATCH(PR[[#This Row],[Article Category]],Database!I:I,0)),"")</f>
        <v>20</v>
      </c>
      <c r="M115" s="32" t="s">
        <v>55</v>
      </c>
      <c r="N115" s="35">
        <v>-4</v>
      </c>
      <c r="O115" s="32"/>
    </row>
    <row r="116" spans="1:15" ht="30" customHeight="1" x14ac:dyDescent="0.2">
      <c r="A116" s="20" t="str">
        <f t="shared" si="1"/>
        <v/>
      </c>
      <c r="B116" s="31">
        <v>44142</v>
      </c>
      <c r="C116" s="40">
        <f>PR[[#This Row],[Date]]</f>
        <v>44142</v>
      </c>
      <c r="D116" s="41" t="s">
        <v>469</v>
      </c>
      <c r="E116" s="32" t="s">
        <v>34</v>
      </c>
      <c r="F116" s="33" t="str">
        <f>IFERROR(INDEX(Database!C:C,MATCH(PR[[#This Row],[Journalist]],Database!B:B,0)),"")</f>
        <v>Email or Phone 1</v>
      </c>
      <c r="G116" s="32" t="s">
        <v>168</v>
      </c>
      <c r="H116" s="32" t="s">
        <v>43</v>
      </c>
      <c r="I116" s="32" t="s">
        <v>38</v>
      </c>
      <c r="J116" s="34" t="s">
        <v>355</v>
      </c>
      <c r="K116" s="32" t="s">
        <v>47</v>
      </c>
      <c r="L116" s="33">
        <f>IFERROR(INDEX(Database!J:J,MATCH(PR[[#This Row],[Article Category]],Database!I:I,0)),"")</f>
        <v>30</v>
      </c>
      <c r="M116" s="32" t="s">
        <v>53</v>
      </c>
      <c r="N116" s="35">
        <v>5</v>
      </c>
      <c r="O116" s="32"/>
    </row>
    <row r="117" spans="1:15" ht="30" customHeight="1" x14ac:dyDescent="0.2">
      <c r="A117" s="20" t="str">
        <f t="shared" si="1"/>
        <v/>
      </c>
      <c r="B117" s="31">
        <v>44080</v>
      </c>
      <c r="C117" s="40">
        <f>PR[[#This Row],[Date]]</f>
        <v>44080</v>
      </c>
      <c r="D117" s="41" t="s">
        <v>466</v>
      </c>
      <c r="E117" s="32" t="s">
        <v>39</v>
      </c>
      <c r="F117" s="33" t="str">
        <f>IFERROR(INDEX(Database!C:C,MATCH(PR[[#This Row],[Journalist]],Database!B:B,0)),"")</f>
        <v>Email or Phone 6</v>
      </c>
      <c r="G117" s="32" t="s">
        <v>169</v>
      </c>
      <c r="H117" s="32" t="s">
        <v>44</v>
      </c>
      <c r="I117" s="32" t="s">
        <v>36</v>
      </c>
      <c r="J117" s="34" t="s">
        <v>356</v>
      </c>
      <c r="K117" s="32" t="s">
        <v>47</v>
      </c>
      <c r="L117" s="33">
        <f>IFERROR(INDEX(Database!J:J,MATCH(PR[[#This Row],[Article Category]],Database!I:I,0)),"")</f>
        <v>30</v>
      </c>
      <c r="M117" s="32" t="s">
        <v>55</v>
      </c>
      <c r="N117" s="35">
        <v>-5</v>
      </c>
      <c r="O117" s="32"/>
    </row>
    <row r="118" spans="1:15" ht="30" customHeight="1" x14ac:dyDescent="0.2">
      <c r="A118" s="20" t="str">
        <f t="shared" si="1"/>
        <v/>
      </c>
      <c r="B118" s="31">
        <v>44140</v>
      </c>
      <c r="C118" s="40">
        <f>PR[[#This Row],[Date]]</f>
        <v>44140</v>
      </c>
      <c r="D118" s="41" t="s">
        <v>467</v>
      </c>
      <c r="E118" s="32" t="s">
        <v>32</v>
      </c>
      <c r="F118" s="33" t="str">
        <f>IFERROR(INDEX(Database!C:C,MATCH(PR[[#This Row],[Journalist]],Database!B:B,0)),"")</f>
        <v>Email or Phone 5</v>
      </c>
      <c r="G118" s="32" t="s">
        <v>170</v>
      </c>
      <c r="H118" s="32" t="s">
        <v>42</v>
      </c>
      <c r="I118" s="32" t="s">
        <v>33</v>
      </c>
      <c r="J118" s="34" t="s">
        <v>357</v>
      </c>
      <c r="K118" s="32" t="s">
        <v>46</v>
      </c>
      <c r="L118" s="33">
        <f>IFERROR(INDEX(Database!J:J,MATCH(PR[[#This Row],[Article Category]],Database!I:I,0)),"")</f>
        <v>20</v>
      </c>
      <c r="M118" s="32" t="s">
        <v>53</v>
      </c>
      <c r="N118" s="35">
        <v>-5</v>
      </c>
      <c r="O118" s="32"/>
    </row>
    <row r="119" spans="1:15" ht="30" customHeight="1" x14ac:dyDescent="0.2">
      <c r="A119" s="20" t="str">
        <f t="shared" si="1"/>
        <v/>
      </c>
      <c r="B119" s="31">
        <v>44081</v>
      </c>
      <c r="C119" s="40">
        <f>PR[[#This Row],[Date]]</f>
        <v>44081</v>
      </c>
      <c r="D119" s="41" t="s">
        <v>466</v>
      </c>
      <c r="E119" s="32" t="s">
        <v>30</v>
      </c>
      <c r="F119" s="33" t="str">
        <f>IFERROR(INDEX(Database!C:C,MATCH(PR[[#This Row],[Journalist]],Database!B:B,0)),"")</f>
        <v>Email or Phone 3</v>
      </c>
      <c r="G119" s="32" t="s">
        <v>171</v>
      </c>
      <c r="H119" s="32" t="s">
        <v>42</v>
      </c>
      <c r="I119" s="32" t="s">
        <v>37</v>
      </c>
      <c r="J119" s="34" t="s">
        <v>358</v>
      </c>
      <c r="K119" s="32" t="s">
        <v>49</v>
      </c>
      <c r="L119" s="33">
        <f>IFERROR(INDEX(Database!J:J,MATCH(PR[[#This Row],[Article Category]],Database!I:I,0)),"")</f>
        <v>20</v>
      </c>
      <c r="M119" s="32" t="s">
        <v>55</v>
      </c>
      <c r="N119" s="35">
        <v>4</v>
      </c>
      <c r="O119" s="32"/>
    </row>
    <row r="120" spans="1:15" ht="30" customHeight="1" x14ac:dyDescent="0.2">
      <c r="A120" s="20" t="str">
        <f t="shared" si="1"/>
        <v/>
      </c>
      <c r="B120" s="31">
        <v>44226</v>
      </c>
      <c r="C120" s="40">
        <f>PR[[#This Row],[Date]]</f>
        <v>44226</v>
      </c>
      <c r="D120" s="41" t="s">
        <v>467</v>
      </c>
      <c r="E120" s="32" t="s">
        <v>39</v>
      </c>
      <c r="F120" s="33" t="str">
        <f>IFERROR(INDEX(Database!C:C,MATCH(PR[[#This Row],[Journalist]],Database!B:B,0)),"")</f>
        <v>Email or Phone 6</v>
      </c>
      <c r="G120" s="32" t="s">
        <v>172</v>
      </c>
      <c r="H120" s="32" t="s">
        <v>42</v>
      </c>
      <c r="I120" s="32" t="s">
        <v>36</v>
      </c>
      <c r="J120" s="34" t="s">
        <v>359</v>
      </c>
      <c r="K120" s="32" t="s">
        <v>48</v>
      </c>
      <c r="L120" s="33">
        <f>IFERROR(INDEX(Database!J:J,MATCH(PR[[#This Row],[Article Category]],Database!I:I,0)),"")</f>
        <v>20</v>
      </c>
      <c r="M120" s="32" t="s">
        <v>54</v>
      </c>
      <c r="N120" s="35">
        <v>-1</v>
      </c>
      <c r="O120" s="32"/>
    </row>
    <row r="121" spans="1:15" ht="30" customHeight="1" x14ac:dyDescent="0.2">
      <c r="A121" s="20" t="str">
        <f t="shared" si="1"/>
        <v/>
      </c>
      <c r="B121" s="31">
        <v>44130</v>
      </c>
      <c r="C121" s="40">
        <f>PR[[#This Row],[Date]]</f>
        <v>44130</v>
      </c>
      <c r="D121" s="41" t="s">
        <v>467</v>
      </c>
      <c r="E121" s="32" t="s">
        <v>40</v>
      </c>
      <c r="F121" s="33" t="str">
        <f>IFERROR(INDEX(Database!C:C,MATCH(PR[[#This Row],[Journalist]],Database!B:B,0)),"")</f>
        <v>Email or Phone 7</v>
      </c>
      <c r="G121" s="32" t="s">
        <v>173</v>
      </c>
      <c r="H121" s="32" t="s">
        <v>42</v>
      </c>
      <c r="I121" s="32" t="s">
        <v>37</v>
      </c>
      <c r="J121" s="34" t="s">
        <v>360</v>
      </c>
      <c r="K121" s="32" t="s">
        <v>47</v>
      </c>
      <c r="L121" s="33">
        <f>IFERROR(INDEX(Database!J:J,MATCH(PR[[#This Row],[Article Category]],Database!I:I,0)),"")</f>
        <v>30</v>
      </c>
      <c r="M121" s="32" t="s">
        <v>53</v>
      </c>
      <c r="N121" s="35">
        <v>-2</v>
      </c>
      <c r="O121" s="32"/>
    </row>
    <row r="122" spans="1:15" ht="30" customHeight="1" x14ac:dyDescent="0.2">
      <c r="A122" s="20" t="str">
        <f t="shared" si="1"/>
        <v/>
      </c>
      <c r="B122" s="31">
        <v>44154</v>
      </c>
      <c r="C122" s="40">
        <f>PR[[#This Row],[Date]]</f>
        <v>44154</v>
      </c>
      <c r="D122" s="41" t="s">
        <v>468</v>
      </c>
      <c r="E122" s="32" t="s">
        <v>35</v>
      </c>
      <c r="F122" s="33" t="str">
        <f>IFERROR(INDEX(Database!C:C,MATCH(PR[[#This Row],[Journalist]],Database!B:B,0)),"")</f>
        <v>Email or Phone 2</v>
      </c>
      <c r="G122" s="32" t="s">
        <v>174</v>
      </c>
      <c r="H122" s="32" t="s">
        <v>41</v>
      </c>
      <c r="I122" s="32" t="s">
        <v>36</v>
      </c>
      <c r="J122" s="34" t="s">
        <v>361</v>
      </c>
      <c r="K122" s="32" t="s">
        <v>47</v>
      </c>
      <c r="L122" s="33">
        <f>IFERROR(INDEX(Database!J:J,MATCH(PR[[#This Row],[Article Category]],Database!I:I,0)),"")</f>
        <v>30</v>
      </c>
      <c r="M122" s="32" t="s">
        <v>53</v>
      </c>
      <c r="N122" s="35">
        <v>0</v>
      </c>
      <c r="O122" s="32"/>
    </row>
    <row r="123" spans="1:15" ht="30" customHeight="1" x14ac:dyDescent="0.2">
      <c r="A123" s="20" t="str">
        <f t="shared" si="1"/>
        <v/>
      </c>
      <c r="B123" s="31">
        <v>44117</v>
      </c>
      <c r="C123" s="40">
        <f>PR[[#This Row],[Date]]</f>
        <v>44117</v>
      </c>
      <c r="D123" s="41" t="s">
        <v>466</v>
      </c>
      <c r="E123" s="32" t="s">
        <v>39</v>
      </c>
      <c r="F123" s="33" t="str">
        <f>IFERROR(INDEX(Database!C:C,MATCH(PR[[#This Row],[Journalist]],Database!B:B,0)),"")</f>
        <v>Email or Phone 6</v>
      </c>
      <c r="G123" s="32" t="s">
        <v>175</v>
      </c>
      <c r="H123" s="32" t="s">
        <v>44</v>
      </c>
      <c r="I123" s="32" t="s">
        <v>33</v>
      </c>
      <c r="J123" s="34" t="s">
        <v>362</v>
      </c>
      <c r="K123" s="32" t="s">
        <v>51</v>
      </c>
      <c r="L123" s="33">
        <f>IFERROR(INDEX(Database!J:J,MATCH(PR[[#This Row],[Article Category]],Database!I:I,0)),"")</f>
        <v>40</v>
      </c>
      <c r="M123" s="32" t="s">
        <v>53</v>
      </c>
      <c r="N123" s="35">
        <v>2</v>
      </c>
      <c r="O123" s="32"/>
    </row>
    <row r="124" spans="1:15" ht="30" customHeight="1" x14ac:dyDescent="0.2">
      <c r="A124" s="20" t="str">
        <f t="shared" si="1"/>
        <v/>
      </c>
      <c r="B124" s="31">
        <v>44088</v>
      </c>
      <c r="C124" s="40">
        <f>PR[[#This Row],[Date]]</f>
        <v>44088</v>
      </c>
      <c r="D124" s="41" t="s">
        <v>468</v>
      </c>
      <c r="E124" s="32" t="s">
        <v>35</v>
      </c>
      <c r="F124" s="33" t="str">
        <f>IFERROR(INDEX(Database!C:C,MATCH(PR[[#This Row],[Journalist]],Database!B:B,0)),"")</f>
        <v>Email or Phone 2</v>
      </c>
      <c r="G124" s="32" t="s">
        <v>176</v>
      </c>
      <c r="H124" s="32" t="s">
        <v>42</v>
      </c>
      <c r="I124" s="32" t="s">
        <v>33</v>
      </c>
      <c r="J124" s="34" t="s">
        <v>363</v>
      </c>
      <c r="K124" s="32" t="s">
        <v>46</v>
      </c>
      <c r="L124" s="33">
        <f>IFERROR(INDEX(Database!J:J,MATCH(PR[[#This Row],[Article Category]],Database!I:I,0)),"")</f>
        <v>20</v>
      </c>
      <c r="M124" s="32" t="s">
        <v>55</v>
      </c>
      <c r="N124" s="35">
        <v>-4</v>
      </c>
      <c r="O124" s="32"/>
    </row>
    <row r="125" spans="1:15" ht="30" customHeight="1" x14ac:dyDescent="0.2">
      <c r="A125" s="20" t="str">
        <f t="shared" si="1"/>
        <v/>
      </c>
      <c r="B125" s="31">
        <v>44179</v>
      </c>
      <c r="C125" s="40">
        <f>PR[[#This Row],[Date]]</f>
        <v>44179</v>
      </c>
      <c r="D125" s="41" t="s">
        <v>466</v>
      </c>
      <c r="E125" s="32" t="s">
        <v>30</v>
      </c>
      <c r="F125" s="33" t="str">
        <f>IFERROR(INDEX(Database!C:C,MATCH(PR[[#This Row],[Journalist]],Database!B:B,0)),"")</f>
        <v>Email or Phone 3</v>
      </c>
      <c r="G125" s="32" t="s">
        <v>177</v>
      </c>
      <c r="H125" s="32" t="s">
        <v>44</v>
      </c>
      <c r="I125" s="32" t="s">
        <v>33</v>
      </c>
      <c r="J125" s="34" t="s">
        <v>364</v>
      </c>
      <c r="K125" s="32" t="s">
        <v>52</v>
      </c>
      <c r="L125" s="33">
        <f>IFERROR(INDEX(Database!J:J,MATCH(PR[[#This Row],[Article Category]],Database!I:I,0)),"")</f>
        <v>30</v>
      </c>
      <c r="M125" s="32" t="s">
        <v>54</v>
      </c>
      <c r="N125" s="35">
        <v>-5</v>
      </c>
      <c r="O125" s="32"/>
    </row>
    <row r="126" spans="1:15" ht="30" customHeight="1" x14ac:dyDescent="0.2">
      <c r="A126" s="20" t="str">
        <f t="shared" si="1"/>
        <v/>
      </c>
      <c r="B126" s="31">
        <v>44134</v>
      </c>
      <c r="C126" s="40">
        <f>PR[[#This Row],[Date]]</f>
        <v>44134</v>
      </c>
      <c r="D126" s="41" t="s">
        <v>469</v>
      </c>
      <c r="E126" s="32" t="s">
        <v>35</v>
      </c>
      <c r="F126" s="33" t="str">
        <f>IFERROR(INDEX(Database!C:C,MATCH(PR[[#This Row],[Journalist]],Database!B:B,0)),"")</f>
        <v>Email or Phone 2</v>
      </c>
      <c r="G126" s="32" t="s">
        <v>178</v>
      </c>
      <c r="H126" s="32" t="s">
        <v>43</v>
      </c>
      <c r="I126" s="32" t="s">
        <v>36</v>
      </c>
      <c r="J126" s="34" t="s">
        <v>365</v>
      </c>
      <c r="K126" s="32" t="s">
        <v>46</v>
      </c>
      <c r="L126" s="33">
        <f>IFERROR(INDEX(Database!J:J,MATCH(PR[[#This Row],[Article Category]],Database!I:I,0)),"")</f>
        <v>20</v>
      </c>
      <c r="M126" s="32" t="s">
        <v>54</v>
      </c>
      <c r="N126" s="35">
        <v>-4</v>
      </c>
      <c r="O126" s="32"/>
    </row>
    <row r="127" spans="1:15" ht="30" customHeight="1" x14ac:dyDescent="0.2">
      <c r="A127" s="20" t="str">
        <f t="shared" si="1"/>
        <v/>
      </c>
      <c r="B127" s="31">
        <v>44081</v>
      </c>
      <c r="C127" s="40">
        <f>PR[[#This Row],[Date]]</f>
        <v>44081</v>
      </c>
      <c r="D127" s="41" t="s">
        <v>468</v>
      </c>
      <c r="E127" s="32" t="s">
        <v>34</v>
      </c>
      <c r="F127" s="33" t="str">
        <f>IFERROR(INDEX(Database!C:C,MATCH(PR[[#This Row],[Journalist]],Database!B:B,0)),"")</f>
        <v>Email or Phone 1</v>
      </c>
      <c r="G127" s="32" t="s">
        <v>179</v>
      </c>
      <c r="H127" s="32" t="s">
        <v>41</v>
      </c>
      <c r="I127" s="32" t="s">
        <v>38</v>
      </c>
      <c r="J127" s="34" t="s">
        <v>366</v>
      </c>
      <c r="K127" s="32" t="s">
        <v>47</v>
      </c>
      <c r="L127" s="33">
        <f>IFERROR(INDEX(Database!J:J,MATCH(PR[[#This Row],[Article Category]],Database!I:I,0)),"")</f>
        <v>30</v>
      </c>
      <c r="M127" s="32" t="s">
        <v>55</v>
      </c>
      <c r="N127" s="35">
        <v>3</v>
      </c>
      <c r="O127" s="32"/>
    </row>
    <row r="128" spans="1:15" ht="30" customHeight="1" x14ac:dyDescent="0.2">
      <c r="A128" s="20" t="str">
        <f t="shared" si="1"/>
        <v/>
      </c>
      <c r="B128" s="31">
        <v>44092</v>
      </c>
      <c r="C128" s="40">
        <f>PR[[#This Row],[Date]]</f>
        <v>44092</v>
      </c>
      <c r="D128" s="41" t="s">
        <v>469</v>
      </c>
      <c r="E128" s="32" t="s">
        <v>30</v>
      </c>
      <c r="F128" s="33" t="str">
        <f>IFERROR(INDEX(Database!C:C,MATCH(PR[[#This Row],[Journalist]],Database!B:B,0)),"")</f>
        <v>Email or Phone 3</v>
      </c>
      <c r="G128" s="32" t="s">
        <v>180</v>
      </c>
      <c r="H128" s="32" t="s">
        <v>45</v>
      </c>
      <c r="I128" s="32" t="s">
        <v>36</v>
      </c>
      <c r="J128" s="34" t="s">
        <v>367</v>
      </c>
      <c r="K128" s="32" t="s">
        <v>46</v>
      </c>
      <c r="L128" s="33">
        <f>IFERROR(INDEX(Database!J:J,MATCH(PR[[#This Row],[Article Category]],Database!I:I,0)),"")</f>
        <v>20</v>
      </c>
      <c r="M128" s="32" t="s">
        <v>55</v>
      </c>
      <c r="N128" s="35">
        <v>1</v>
      </c>
      <c r="O128" s="32"/>
    </row>
    <row r="129" spans="1:15" ht="30" customHeight="1" x14ac:dyDescent="0.2">
      <c r="A129" s="20" t="str">
        <f t="shared" si="1"/>
        <v/>
      </c>
      <c r="B129" s="31">
        <v>44140</v>
      </c>
      <c r="C129" s="40">
        <f>PR[[#This Row],[Date]]</f>
        <v>44140</v>
      </c>
      <c r="D129" s="41" t="s">
        <v>467</v>
      </c>
      <c r="E129" s="32" t="s">
        <v>35</v>
      </c>
      <c r="F129" s="33" t="str">
        <f>IFERROR(INDEX(Database!C:C,MATCH(PR[[#This Row],[Journalist]],Database!B:B,0)),"")</f>
        <v>Email or Phone 2</v>
      </c>
      <c r="G129" s="32" t="s">
        <v>181</v>
      </c>
      <c r="H129" s="32" t="s">
        <v>45</v>
      </c>
      <c r="I129" s="32" t="s">
        <v>33</v>
      </c>
      <c r="J129" s="34" t="s">
        <v>368</v>
      </c>
      <c r="K129" s="32" t="s">
        <v>52</v>
      </c>
      <c r="L129" s="33">
        <f>IFERROR(INDEX(Database!J:J,MATCH(PR[[#This Row],[Article Category]],Database!I:I,0)),"")</f>
        <v>30</v>
      </c>
      <c r="M129" s="32" t="s">
        <v>54</v>
      </c>
      <c r="N129" s="35">
        <v>-4</v>
      </c>
      <c r="O129" s="32"/>
    </row>
    <row r="130" spans="1:15" ht="30" customHeight="1" x14ac:dyDescent="0.2">
      <c r="A130" s="20" t="str">
        <f t="shared" si="1"/>
        <v/>
      </c>
      <c r="B130" s="31">
        <v>44137</v>
      </c>
      <c r="C130" s="40">
        <f>PR[[#This Row],[Date]]</f>
        <v>44137</v>
      </c>
      <c r="D130" s="41" t="s">
        <v>468</v>
      </c>
      <c r="E130" s="32" t="s">
        <v>32</v>
      </c>
      <c r="F130" s="33" t="str">
        <f>IFERROR(INDEX(Database!C:C,MATCH(PR[[#This Row],[Journalist]],Database!B:B,0)),"")</f>
        <v>Email or Phone 5</v>
      </c>
      <c r="G130" s="32" t="s">
        <v>182</v>
      </c>
      <c r="H130" s="32" t="s">
        <v>45</v>
      </c>
      <c r="I130" s="32" t="s">
        <v>38</v>
      </c>
      <c r="J130" s="34" t="s">
        <v>369</v>
      </c>
      <c r="K130" s="32" t="s">
        <v>46</v>
      </c>
      <c r="L130" s="33">
        <f>IFERROR(INDEX(Database!J:J,MATCH(PR[[#This Row],[Article Category]],Database!I:I,0)),"")</f>
        <v>20</v>
      </c>
      <c r="M130" s="32" t="s">
        <v>53</v>
      </c>
      <c r="N130" s="35">
        <v>-5</v>
      </c>
      <c r="O130" s="32"/>
    </row>
    <row r="131" spans="1:15" ht="30" customHeight="1" x14ac:dyDescent="0.2">
      <c r="A131" s="20" t="str">
        <f t="shared" si="1"/>
        <v/>
      </c>
      <c r="B131" s="31">
        <v>44129</v>
      </c>
      <c r="C131" s="40">
        <f>PR[[#This Row],[Date]]</f>
        <v>44129</v>
      </c>
      <c r="D131" s="41" t="s">
        <v>466</v>
      </c>
      <c r="E131" s="32" t="s">
        <v>39</v>
      </c>
      <c r="F131" s="33" t="str">
        <f>IFERROR(INDEX(Database!C:C,MATCH(PR[[#This Row],[Journalist]],Database!B:B,0)),"")</f>
        <v>Email or Phone 6</v>
      </c>
      <c r="G131" s="32" t="s">
        <v>183</v>
      </c>
      <c r="H131" s="32" t="s">
        <v>44</v>
      </c>
      <c r="I131" s="32" t="s">
        <v>38</v>
      </c>
      <c r="J131" s="34" t="s">
        <v>370</v>
      </c>
      <c r="K131" s="32" t="s">
        <v>48</v>
      </c>
      <c r="L131" s="33">
        <f>IFERROR(INDEX(Database!J:J,MATCH(PR[[#This Row],[Article Category]],Database!I:I,0)),"")</f>
        <v>20</v>
      </c>
      <c r="M131" s="32" t="s">
        <v>54</v>
      </c>
      <c r="N131" s="35">
        <v>4</v>
      </c>
      <c r="O131" s="32"/>
    </row>
    <row r="132" spans="1:15" ht="30" customHeight="1" x14ac:dyDescent="0.2">
      <c r="A132" s="20" t="str">
        <f t="shared" si="1"/>
        <v/>
      </c>
      <c r="B132" s="31">
        <v>44204</v>
      </c>
      <c r="C132" s="40">
        <f>PR[[#This Row],[Date]]</f>
        <v>44204</v>
      </c>
      <c r="D132" s="41" t="s">
        <v>468</v>
      </c>
      <c r="E132" s="32" t="s">
        <v>40</v>
      </c>
      <c r="F132" s="33" t="str">
        <f>IFERROR(INDEX(Database!C:C,MATCH(PR[[#This Row],[Journalist]],Database!B:B,0)),"")</f>
        <v>Email or Phone 7</v>
      </c>
      <c r="G132" s="32" t="s">
        <v>184</v>
      </c>
      <c r="H132" s="32" t="s">
        <v>43</v>
      </c>
      <c r="I132" s="32" t="s">
        <v>38</v>
      </c>
      <c r="J132" s="34" t="s">
        <v>371</v>
      </c>
      <c r="K132" s="32" t="s">
        <v>47</v>
      </c>
      <c r="L132" s="33">
        <f>IFERROR(INDEX(Database!J:J,MATCH(PR[[#This Row],[Article Category]],Database!I:I,0)),"")</f>
        <v>30</v>
      </c>
      <c r="M132" s="32" t="s">
        <v>53</v>
      </c>
      <c r="N132" s="35">
        <v>5</v>
      </c>
      <c r="O132" s="32"/>
    </row>
    <row r="133" spans="1:15" ht="30" customHeight="1" x14ac:dyDescent="0.2">
      <c r="A133" s="20" t="str">
        <f t="shared" si="1"/>
        <v/>
      </c>
      <c r="B133" s="31">
        <v>44080</v>
      </c>
      <c r="C133" s="40">
        <f>PR[[#This Row],[Date]]</f>
        <v>44080</v>
      </c>
      <c r="D133" s="41" t="s">
        <v>466</v>
      </c>
      <c r="E133" s="32" t="s">
        <v>31</v>
      </c>
      <c r="F133" s="33" t="str">
        <f>IFERROR(INDEX(Database!C:C,MATCH(PR[[#This Row],[Journalist]],Database!B:B,0)),"")</f>
        <v>Email or Phone 4</v>
      </c>
      <c r="G133" s="32" t="s">
        <v>185</v>
      </c>
      <c r="H133" s="32" t="s">
        <v>41</v>
      </c>
      <c r="I133" s="32" t="s">
        <v>38</v>
      </c>
      <c r="J133" s="34" t="s">
        <v>372</v>
      </c>
      <c r="K133" s="32" t="s">
        <v>52</v>
      </c>
      <c r="L133" s="33">
        <f>IFERROR(INDEX(Database!J:J,MATCH(PR[[#This Row],[Article Category]],Database!I:I,0)),"")</f>
        <v>30</v>
      </c>
      <c r="M133" s="32" t="s">
        <v>53</v>
      </c>
      <c r="N133" s="35">
        <v>5</v>
      </c>
      <c r="O133" s="32"/>
    </row>
    <row r="134" spans="1:15" ht="30" customHeight="1" x14ac:dyDescent="0.2">
      <c r="A134" s="20" t="str">
        <f t="shared" si="1"/>
        <v/>
      </c>
      <c r="B134" s="31">
        <v>44098</v>
      </c>
      <c r="C134" s="40">
        <f>PR[[#This Row],[Date]]</f>
        <v>44098</v>
      </c>
      <c r="D134" s="41" t="s">
        <v>468</v>
      </c>
      <c r="E134" s="32" t="s">
        <v>31</v>
      </c>
      <c r="F134" s="33" t="str">
        <f>IFERROR(INDEX(Database!C:C,MATCH(PR[[#This Row],[Journalist]],Database!B:B,0)),"")</f>
        <v>Email or Phone 4</v>
      </c>
      <c r="G134" s="32" t="s">
        <v>186</v>
      </c>
      <c r="H134" s="32" t="s">
        <v>41</v>
      </c>
      <c r="I134" s="32" t="s">
        <v>33</v>
      </c>
      <c r="J134" s="34" t="s">
        <v>373</v>
      </c>
      <c r="K134" s="32" t="s">
        <v>46</v>
      </c>
      <c r="L134" s="33">
        <f>IFERROR(INDEX(Database!J:J,MATCH(PR[[#This Row],[Article Category]],Database!I:I,0)),"")</f>
        <v>20</v>
      </c>
      <c r="M134" s="32" t="s">
        <v>53</v>
      </c>
      <c r="N134" s="35">
        <v>-2</v>
      </c>
      <c r="O134" s="32"/>
    </row>
    <row r="135" spans="1:15" ht="30" customHeight="1" x14ac:dyDescent="0.2">
      <c r="A135" s="20" t="str">
        <f t="shared" si="1"/>
        <v/>
      </c>
      <c r="B135" s="31">
        <v>44224</v>
      </c>
      <c r="C135" s="40">
        <f>PR[[#This Row],[Date]]</f>
        <v>44224</v>
      </c>
      <c r="D135" s="41" t="s">
        <v>470</v>
      </c>
      <c r="E135" s="32" t="s">
        <v>32</v>
      </c>
      <c r="F135" s="33" t="str">
        <f>IFERROR(INDEX(Database!C:C,MATCH(PR[[#This Row],[Journalist]],Database!B:B,0)),"")</f>
        <v>Email or Phone 5</v>
      </c>
      <c r="G135" s="32" t="s">
        <v>187</v>
      </c>
      <c r="H135" s="32" t="s">
        <v>42</v>
      </c>
      <c r="I135" s="32" t="s">
        <v>36</v>
      </c>
      <c r="J135" s="34" t="s">
        <v>374</v>
      </c>
      <c r="K135" s="32" t="s">
        <v>50</v>
      </c>
      <c r="L135" s="33">
        <f>IFERROR(INDEX(Database!J:J,MATCH(PR[[#This Row],[Article Category]],Database!I:I,0)),"")</f>
        <v>40</v>
      </c>
      <c r="M135" s="32" t="s">
        <v>54</v>
      </c>
      <c r="N135" s="35">
        <v>4</v>
      </c>
      <c r="O135" s="32"/>
    </row>
    <row r="136" spans="1:15" ht="30" customHeight="1" x14ac:dyDescent="0.2">
      <c r="A136" s="20" t="str">
        <f t="shared" si="1"/>
        <v/>
      </c>
      <c r="B136" s="31">
        <v>44197</v>
      </c>
      <c r="C136" s="40">
        <f>PR[[#This Row],[Date]]</f>
        <v>44197</v>
      </c>
      <c r="D136" s="41" t="s">
        <v>469</v>
      </c>
      <c r="E136" s="32" t="s">
        <v>31</v>
      </c>
      <c r="F136" s="33" t="str">
        <f>IFERROR(INDEX(Database!C:C,MATCH(PR[[#This Row],[Journalist]],Database!B:B,0)),"")</f>
        <v>Email or Phone 4</v>
      </c>
      <c r="G136" s="32" t="s">
        <v>188</v>
      </c>
      <c r="H136" s="32" t="s">
        <v>43</v>
      </c>
      <c r="I136" s="32" t="s">
        <v>37</v>
      </c>
      <c r="J136" s="34" t="s">
        <v>375</v>
      </c>
      <c r="K136" s="32" t="s">
        <v>46</v>
      </c>
      <c r="L136" s="33">
        <f>IFERROR(INDEX(Database!J:J,MATCH(PR[[#This Row],[Article Category]],Database!I:I,0)),"")</f>
        <v>20</v>
      </c>
      <c r="M136" s="32" t="s">
        <v>54</v>
      </c>
      <c r="N136" s="35">
        <v>-2</v>
      </c>
      <c r="O136" s="32"/>
    </row>
    <row r="137" spans="1:15" ht="30" customHeight="1" x14ac:dyDescent="0.2">
      <c r="A137" s="20" t="str">
        <f t="shared" si="1"/>
        <v/>
      </c>
      <c r="B137" s="31">
        <v>44220</v>
      </c>
      <c r="C137" s="40">
        <f>PR[[#This Row],[Date]]</f>
        <v>44220</v>
      </c>
      <c r="D137" s="41" t="s">
        <v>466</v>
      </c>
      <c r="E137" s="32" t="s">
        <v>34</v>
      </c>
      <c r="F137" s="33" t="str">
        <f>IFERROR(INDEX(Database!C:C,MATCH(PR[[#This Row],[Journalist]],Database!B:B,0)),"")</f>
        <v>Email or Phone 1</v>
      </c>
      <c r="G137" s="32" t="s">
        <v>189</v>
      </c>
      <c r="H137" s="32" t="s">
        <v>45</v>
      </c>
      <c r="I137" s="32" t="s">
        <v>33</v>
      </c>
      <c r="J137" s="34" t="s">
        <v>376</v>
      </c>
      <c r="K137" s="32" t="s">
        <v>48</v>
      </c>
      <c r="L137" s="33">
        <f>IFERROR(INDEX(Database!J:J,MATCH(PR[[#This Row],[Article Category]],Database!I:I,0)),"")</f>
        <v>20</v>
      </c>
      <c r="M137" s="32" t="s">
        <v>55</v>
      </c>
      <c r="N137" s="35">
        <v>4</v>
      </c>
      <c r="O137" s="32"/>
    </row>
    <row r="138" spans="1:15" ht="30" customHeight="1" x14ac:dyDescent="0.2">
      <c r="A138" s="20" t="str">
        <f t="shared" si="1"/>
        <v/>
      </c>
      <c r="B138" s="31">
        <v>44210</v>
      </c>
      <c r="C138" s="40">
        <f>PR[[#This Row],[Date]]</f>
        <v>44210</v>
      </c>
      <c r="D138" s="41" t="s">
        <v>468</v>
      </c>
      <c r="E138" s="32" t="s">
        <v>40</v>
      </c>
      <c r="F138" s="33" t="str">
        <f>IFERROR(INDEX(Database!C:C,MATCH(PR[[#This Row],[Journalist]],Database!B:B,0)),"")</f>
        <v>Email or Phone 7</v>
      </c>
      <c r="G138" s="32" t="s">
        <v>190</v>
      </c>
      <c r="H138" s="32" t="s">
        <v>44</v>
      </c>
      <c r="I138" s="32" t="s">
        <v>38</v>
      </c>
      <c r="J138" s="34" t="s">
        <v>377</v>
      </c>
      <c r="K138" s="32" t="s">
        <v>47</v>
      </c>
      <c r="L138" s="33">
        <f>IFERROR(INDEX(Database!J:J,MATCH(PR[[#This Row],[Article Category]],Database!I:I,0)),"")</f>
        <v>30</v>
      </c>
      <c r="M138" s="32" t="s">
        <v>53</v>
      </c>
      <c r="N138" s="35">
        <v>4</v>
      </c>
      <c r="O138" s="32"/>
    </row>
    <row r="139" spans="1:15" ht="30" customHeight="1" x14ac:dyDescent="0.2">
      <c r="A139" s="20" t="str">
        <f t="shared" si="1"/>
        <v/>
      </c>
      <c r="B139" s="31">
        <v>44077</v>
      </c>
      <c r="C139" s="40">
        <f>PR[[#This Row],[Date]]</f>
        <v>44077</v>
      </c>
      <c r="D139" s="41" t="s">
        <v>466</v>
      </c>
      <c r="E139" s="32" t="s">
        <v>39</v>
      </c>
      <c r="F139" s="33" t="str">
        <f>IFERROR(INDEX(Database!C:C,MATCH(PR[[#This Row],[Journalist]],Database!B:B,0)),"")</f>
        <v>Email or Phone 6</v>
      </c>
      <c r="G139" s="32" t="s">
        <v>191</v>
      </c>
      <c r="H139" s="32" t="s">
        <v>43</v>
      </c>
      <c r="I139" s="32" t="s">
        <v>37</v>
      </c>
      <c r="J139" s="34" t="s">
        <v>378</v>
      </c>
      <c r="K139" s="32" t="s">
        <v>50</v>
      </c>
      <c r="L139" s="33">
        <f>IFERROR(INDEX(Database!J:J,MATCH(PR[[#This Row],[Article Category]],Database!I:I,0)),"")</f>
        <v>40</v>
      </c>
      <c r="M139" s="32" t="s">
        <v>55</v>
      </c>
      <c r="N139" s="35">
        <v>-4</v>
      </c>
      <c r="O139" s="32"/>
    </row>
    <row r="140" spans="1:15" ht="30" customHeight="1" x14ac:dyDescent="0.2">
      <c r="A140" s="20" t="str">
        <f t="shared" si="1"/>
        <v/>
      </c>
      <c r="B140" s="31">
        <v>44153</v>
      </c>
      <c r="C140" s="40">
        <f>PR[[#This Row],[Date]]</f>
        <v>44153</v>
      </c>
      <c r="D140" s="41" t="s">
        <v>468</v>
      </c>
      <c r="E140" s="32" t="s">
        <v>30</v>
      </c>
      <c r="F140" s="33" t="str">
        <f>IFERROR(INDEX(Database!C:C,MATCH(PR[[#This Row],[Journalist]],Database!B:B,0)),"")</f>
        <v>Email or Phone 3</v>
      </c>
      <c r="G140" s="32" t="s">
        <v>192</v>
      </c>
      <c r="H140" s="32" t="s">
        <v>42</v>
      </c>
      <c r="I140" s="32" t="s">
        <v>33</v>
      </c>
      <c r="J140" s="34" t="s">
        <v>379</v>
      </c>
      <c r="K140" s="32" t="s">
        <v>50</v>
      </c>
      <c r="L140" s="33">
        <f>IFERROR(INDEX(Database!J:J,MATCH(PR[[#This Row],[Article Category]],Database!I:I,0)),"")</f>
        <v>40</v>
      </c>
      <c r="M140" s="32" t="s">
        <v>53</v>
      </c>
      <c r="N140" s="35">
        <v>5</v>
      </c>
      <c r="O140" s="32"/>
    </row>
    <row r="141" spans="1:15" ht="30" customHeight="1" x14ac:dyDescent="0.2">
      <c r="A141" s="20" t="str">
        <f t="shared" si="1"/>
        <v/>
      </c>
      <c r="B141" s="31">
        <v>44148</v>
      </c>
      <c r="C141" s="40">
        <f>PR[[#This Row],[Date]]</f>
        <v>44148</v>
      </c>
      <c r="D141" s="41" t="s">
        <v>469</v>
      </c>
      <c r="E141" s="32" t="s">
        <v>31</v>
      </c>
      <c r="F141" s="33" t="str">
        <f>IFERROR(INDEX(Database!C:C,MATCH(PR[[#This Row],[Journalist]],Database!B:B,0)),"")</f>
        <v>Email or Phone 4</v>
      </c>
      <c r="G141" s="32" t="s">
        <v>193</v>
      </c>
      <c r="H141" s="32" t="s">
        <v>45</v>
      </c>
      <c r="I141" s="32" t="s">
        <v>37</v>
      </c>
      <c r="J141" s="34" t="s">
        <v>380</v>
      </c>
      <c r="K141" s="32" t="s">
        <v>49</v>
      </c>
      <c r="L141" s="33">
        <f>IFERROR(INDEX(Database!J:J,MATCH(PR[[#This Row],[Article Category]],Database!I:I,0)),"")</f>
        <v>20</v>
      </c>
      <c r="M141" s="32" t="s">
        <v>55</v>
      </c>
      <c r="N141" s="35">
        <v>1</v>
      </c>
      <c r="O141" s="32"/>
    </row>
    <row r="142" spans="1:15" ht="30" customHeight="1" x14ac:dyDescent="0.2">
      <c r="A142" s="20" t="str">
        <f t="shared" si="1"/>
        <v/>
      </c>
      <c r="B142" s="31">
        <v>44141</v>
      </c>
      <c r="C142" s="40">
        <f>PR[[#This Row],[Date]]</f>
        <v>44141</v>
      </c>
      <c r="D142" s="41" t="s">
        <v>467</v>
      </c>
      <c r="E142" s="32" t="s">
        <v>34</v>
      </c>
      <c r="F142" s="33" t="str">
        <f>IFERROR(INDEX(Database!C:C,MATCH(PR[[#This Row],[Journalist]],Database!B:B,0)),"")</f>
        <v>Email or Phone 1</v>
      </c>
      <c r="G142" s="32" t="s">
        <v>194</v>
      </c>
      <c r="H142" s="32" t="s">
        <v>44</v>
      </c>
      <c r="I142" s="32" t="s">
        <v>38</v>
      </c>
      <c r="J142" s="34" t="s">
        <v>381</v>
      </c>
      <c r="K142" s="32" t="s">
        <v>48</v>
      </c>
      <c r="L142" s="33">
        <f>IFERROR(INDEX(Database!J:J,MATCH(PR[[#This Row],[Article Category]],Database!I:I,0)),"")</f>
        <v>20</v>
      </c>
      <c r="M142" s="32" t="s">
        <v>54</v>
      </c>
      <c r="N142" s="35">
        <v>-1</v>
      </c>
      <c r="O142" s="32"/>
    </row>
    <row r="143" spans="1:15" ht="30" customHeight="1" x14ac:dyDescent="0.2">
      <c r="A143" s="20" t="str">
        <f t="shared" si="1"/>
        <v/>
      </c>
      <c r="B143" s="31">
        <v>44207</v>
      </c>
      <c r="C143" s="40">
        <f>PR[[#This Row],[Date]]</f>
        <v>44207</v>
      </c>
      <c r="D143" s="41" t="s">
        <v>468</v>
      </c>
      <c r="E143" s="32" t="s">
        <v>32</v>
      </c>
      <c r="F143" s="33" t="str">
        <f>IFERROR(INDEX(Database!C:C,MATCH(PR[[#This Row],[Journalist]],Database!B:B,0)),"")</f>
        <v>Email or Phone 5</v>
      </c>
      <c r="G143" s="32" t="s">
        <v>195</v>
      </c>
      <c r="H143" s="32" t="s">
        <v>44</v>
      </c>
      <c r="I143" s="32" t="s">
        <v>33</v>
      </c>
      <c r="J143" s="34" t="s">
        <v>382</v>
      </c>
      <c r="K143" s="32" t="s">
        <v>47</v>
      </c>
      <c r="L143" s="33">
        <f>IFERROR(INDEX(Database!J:J,MATCH(PR[[#This Row],[Article Category]],Database!I:I,0)),"")</f>
        <v>30</v>
      </c>
      <c r="M143" s="32" t="s">
        <v>53</v>
      </c>
      <c r="N143" s="35">
        <v>0</v>
      </c>
      <c r="O143" s="32"/>
    </row>
    <row r="144" spans="1:15" ht="30" customHeight="1" x14ac:dyDescent="0.2">
      <c r="A144" s="20" t="str">
        <f t="shared" si="1"/>
        <v/>
      </c>
      <c r="B144" s="31">
        <v>44215</v>
      </c>
      <c r="C144" s="40">
        <f>PR[[#This Row],[Date]]</f>
        <v>44215</v>
      </c>
      <c r="D144" s="41" t="s">
        <v>468</v>
      </c>
      <c r="E144" s="32" t="s">
        <v>39</v>
      </c>
      <c r="F144" s="33" t="str">
        <f>IFERROR(INDEX(Database!C:C,MATCH(PR[[#This Row],[Journalist]],Database!B:B,0)),"")</f>
        <v>Email or Phone 6</v>
      </c>
      <c r="G144" s="32" t="s">
        <v>196</v>
      </c>
      <c r="H144" s="32" t="s">
        <v>44</v>
      </c>
      <c r="I144" s="32" t="s">
        <v>37</v>
      </c>
      <c r="J144" s="34" t="s">
        <v>383</v>
      </c>
      <c r="K144" s="32" t="s">
        <v>50</v>
      </c>
      <c r="L144" s="33">
        <f>IFERROR(INDEX(Database!J:J,MATCH(PR[[#This Row],[Article Category]],Database!I:I,0)),"")</f>
        <v>40</v>
      </c>
      <c r="M144" s="32" t="s">
        <v>53</v>
      </c>
      <c r="N144" s="35">
        <v>2</v>
      </c>
      <c r="O144" s="32"/>
    </row>
    <row r="145" spans="1:15" ht="30" customHeight="1" x14ac:dyDescent="0.2">
      <c r="A145" s="20" t="str">
        <f t="shared" si="1"/>
        <v/>
      </c>
      <c r="B145" s="31">
        <v>44191</v>
      </c>
      <c r="C145" s="40">
        <f>PR[[#This Row],[Date]]</f>
        <v>44191</v>
      </c>
      <c r="D145" s="41" t="s">
        <v>466</v>
      </c>
      <c r="E145" s="32" t="s">
        <v>40</v>
      </c>
      <c r="F145" s="33" t="str">
        <f>IFERROR(INDEX(Database!C:C,MATCH(PR[[#This Row],[Journalist]],Database!B:B,0)),"")</f>
        <v>Email or Phone 7</v>
      </c>
      <c r="G145" s="32" t="s">
        <v>197</v>
      </c>
      <c r="H145" s="32" t="s">
        <v>44</v>
      </c>
      <c r="I145" s="32" t="s">
        <v>36</v>
      </c>
      <c r="J145" s="34" t="s">
        <v>384</v>
      </c>
      <c r="K145" s="32" t="s">
        <v>49</v>
      </c>
      <c r="L145" s="33">
        <f>IFERROR(INDEX(Database!J:J,MATCH(PR[[#This Row],[Article Category]],Database!I:I,0)),"")</f>
        <v>20</v>
      </c>
      <c r="M145" s="32" t="s">
        <v>55</v>
      </c>
      <c r="N145" s="35">
        <v>0</v>
      </c>
      <c r="O145" s="32"/>
    </row>
    <row r="146" spans="1:15" ht="30" customHeight="1" x14ac:dyDescent="0.2">
      <c r="A146" s="20" t="str">
        <f t="shared" si="1"/>
        <v/>
      </c>
      <c r="B146" s="31">
        <v>44162</v>
      </c>
      <c r="C146" s="40">
        <f>PR[[#This Row],[Date]]</f>
        <v>44162</v>
      </c>
      <c r="D146" s="41" t="s">
        <v>466</v>
      </c>
      <c r="E146" s="32" t="s">
        <v>32</v>
      </c>
      <c r="F146" s="33" t="str">
        <f>IFERROR(INDEX(Database!C:C,MATCH(PR[[#This Row],[Journalist]],Database!B:B,0)),"")</f>
        <v>Email or Phone 5</v>
      </c>
      <c r="G146" s="32" t="s">
        <v>198</v>
      </c>
      <c r="H146" s="32" t="s">
        <v>42</v>
      </c>
      <c r="I146" s="32" t="s">
        <v>36</v>
      </c>
      <c r="J146" s="34" t="s">
        <v>385</v>
      </c>
      <c r="K146" s="32" t="s">
        <v>48</v>
      </c>
      <c r="L146" s="33">
        <f>IFERROR(INDEX(Database!J:J,MATCH(PR[[#This Row],[Article Category]],Database!I:I,0)),"")</f>
        <v>20</v>
      </c>
      <c r="M146" s="32" t="s">
        <v>53</v>
      </c>
      <c r="N146" s="35">
        <v>-5</v>
      </c>
      <c r="O146" s="32"/>
    </row>
    <row r="147" spans="1:15" ht="30" customHeight="1" x14ac:dyDescent="0.2">
      <c r="A147" s="20" t="str">
        <f t="shared" si="1"/>
        <v/>
      </c>
      <c r="B147" s="31">
        <v>44202</v>
      </c>
      <c r="C147" s="40">
        <f>PR[[#This Row],[Date]]</f>
        <v>44202</v>
      </c>
      <c r="D147" s="41" t="s">
        <v>467</v>
      </c>
      <c r="E147" s="32" t="s">
        <v>32</v>
      </c>
      <c r="F147" s="33" t="str">
        <f>IFERROR(INDEX(Database!C:C,MATCH(PR[[#This Row],[Journalist]],Database!B:B,0)),"")</f>
        <v>Email or Phone 5</v>
      </c>
      <c r="G147" s="32" t="s">
        <v>199</v>
      </c>
      <c r="H147" s="32" t="s">
        <v>43</v>
      </c>
      <c r="I147" s="32" t="s">
        <v>38</v>
      </c>
      <c r="J147" s="34" t="s">
        <v>386</v>
      </c>
      <c r="K147" s="32" t="s">
        <v>49</v>
      </c>
      <c r="L147" s="33">
        <f>IFERROR(INDEX(Database!J:J,MATCH(PR[[#This Row],[Article Category]],Database!I:I,0)),"")</f>
        <v>20</v>
      </c>
      <c r="M147" s="32" t="s">
        <v>54</v>
      </c>
      <c r="N147" s="35">
        <v>3</v>
      </c>
      <c r="O147" s="32"/>
    </row>
    <row r="148" spans="1:15" ht="30" customHeight="1" x14ac:dyDescent="0.2">
      <c r="A148" s="20" t="str">
        <f t="shared" si="1"/>
        <v/>
      </c>
      <c r="B148" s="31">
        <v>44146</v>
      </c>
      <c r="C148" s="40">
        <f>PR[[#This Row],[Date]]</f>
        <v>44146</v>
      </c>
      <c r="D148" s="41" t="s">
        <v>469</v>
      </c>
      <c r="E148" s="32" t="s">
        <v>39</v>
      </c>
      <c r="F148" s="33" t="str">
        <f>IFERROR(INDEX(Database!C:C,MATCH(PR[[#This Row],[Journalist]],Database!B:B,0)),"")</f>
        <v>Email or Phone 6</v>
      </c>
      <c r="G148" s="32" t="s">
        <v>200</v>
      </c>
      <c r="H148" s="32" t="s">
        <v>44</v>
      </c>
      <c r="I148" s="32" t="s">
        <v>33</v>
      </c>
      <c r="J148" s="34" t="s">
        <v>387</v>
      </c>
      <c r="K148" s="32" t="s">
        <v>48</v>
      </c>
      <c r="L148" s="33">
        <f>IFERROR(INDEX(Database!J:J,MATCH(PR[[#This Row],[Article Category]],Database!I:I,0)),"")</f>
        <v>20</v>
      </c>
      <c r="M148" s="32" t="s">
        <v>55</v>
      </c>
      <c r="N148" s="35">
        <v>-3</v>
      </c>
      <c r="O148" s="32"/>
    </row>
    <row r="149" spans="1:15" ht="30" customHeight="1" x14ac:dyDescent="0.2">
      <c r="A149" s="20" t="str">
        <f t="shared" si="1"/>
        <v/>
      </c>
      <c r="B149" s="31">
        <v>44144</v>
      </c>
      <c r="C149" s="40">
        <f>PR[[#This Row],[Date]]</f>
        <v>44144</v>
      </c>
      <c r="D149" s="41" t="s">
        <v>467</v>
      </c>
      <c r="E149" s="32" t="s">
        <v>40</v>
      </c>
      <c r="F149" s="33" t="str">
        <f>IFERROR(INDEX(Database!C:C,MATCH(PR[[#This Row],[Journalist]],Database!B:B,0)),"")</f>
        <v>Email or Phone 7</v>
      </c>
      <c r="G149" s="32" t="s">
        <v>201</v>
      </c>
      <c r="H149" s="32" t="s">
        <v>43</v>
      </c>
      <c r="I149" s="32" t="s">
        <v>36</v>
      </c>
      <c r="J149" s="34" t="s">
        <v>388</v>
      </c>
      <c r="K149" s="32" t="s">
        <v>47</v>
      </c>
      <c r="L149" s="33">
        <f>IFERROR(INDEX(Database!J:J,MATCH(PR[[#This Row],[Article Category]],Database!I:I,0)),"")</f>
        <v>30</v>
      </c>
      <c r="M149" s="32" t="s">
        <v>53</v>
      </c>
      <c r="N149" s="35">
        <v>-3</v>
      </c>
      <c r="O149" s="32"/>
    </row>
    <row r="150" spans="1:15" ht="30" customHeight="1" x14ac:dyDescent="0.2">
      <c r="A150" s="20" t="str">
        <f t="shared" si="1"/>
        <v/>
      </c>
      <c r="B150" s="31">
        <v>44075</v>
      </c>
      <c r="C150" s="40">
        <f>PR[[#This Row],[Date]]</f>
        <v>44075</v>
      </c>
      <c r="D150" s="41" t="s">
        <v>468</v>
      </c>
      <c r="E150" s="32" t="s">
        <v>40</v>
      </c>
      <c r="F150" s="33" t="str">
        <f>IFERROR(INDEX(Database!C:C,MATCH(PR[[#This Row],[Journalist]],Database!B:B,0)),"")</f>
        <v>Email or Phone 7</v>
      </c>
      <c r="G150" s="32" t="s">
        <v>202</v>
      </c>
      <c r="H150" s="32" t="s">
        <v>44</v>
      </c>
      <c r="I150" s="32" t="s">
        <v>33</v>
      </c>
      <c r="J150" s="34" t="s">
        <v>389</v>
      </c>
      <c r="K150" s="32" t="s">
        <v>47</v>
      </c>
      <c r="L150" s="33">
        <f>IFERROR(INDEX(Database!J:J,MATCH(PR[[#This Row],[Article Category]],Database!I:I,0)),"")</f>
        <v>30</v>
      </c>
      <c r="M150" s="32" t="s">
        <v>54</v>
      </c>
      <c r="N150" s="35">
        <v>-2</v>
      </c>
      <c r="O150" s="32"/>
    </row>
    <row r="151" spans="1:15" ht="30" customHeight="1" x14ac:dyDescent="0.2">
      <c r="A151" s="20" t="str">
        <f t="shared" ref="A151:A214" si="2">IF(AND(B150&lt;&gt;"",B151=""),"Select Audit Point---&gt;","")</f>
        <v/>
      </c>
      <c r="B151" s="31">
        <v>44195</v>
      </c>
      <c r="C151" s="40">
        <f>PR[[#This Row],[Date]]</f>
        <v>44195</v>
      </c>
      <c r="D151" s="41" t="s">
        <v>468</v>
      </c>
      <c r="E151" s="32" t="s">
        <v>31</v>
      </c>
      <c r="F151" s="33" t="str">
        <f>IFERROR(INDEX(Database!C:C,MATCH(PR[[#This Row],[Journalist]],Database!B:B,0)),"")</f>
        <v>Email or Phone 4</v>
      </c>
      <c r="G151" s="32" t="s">
        <v>203</v>
      </c>
      <c r="H151" s="32" t="s">
        <v>43</v>
      </c>
      <c r="I151" s="32" t="s">
        <v>38</v>
      </c>
      <c r="J151" s="34" t="s">
        <v>390</v>
      </c>
      <c r="K151" s="32" t="s">
        <v>48</v>
      </c>
      <c r="L151" s="33">
        <f>IFERROR(INDEX(Database!J:J,MATCH(PR[[#This Row],[Article Category]],Database!I:I,0)),"")</f>
        <v>20</v>
      </c>
      <c r="M151" s="32" t="s">
        <v>53</v>
      </c>
      <c r="N151" s="35">
        <v>-2</v>
      </c>
      <c r="O151" s="32"/>
    </row>
    <row r="152" spans="1:15" ht="30" customHeight="1" x14ac:dyDescent="0.2">
      <c r="A152" s="20" t="str">
        <f t="shared" si="2"/>
        <v/>
      </c>
      <c r="B152" s="31">
        <v>44168</v>
      </c>
      <c r="C152" s="40">
        <f>PR[[#This Row],[Date]]</f>
        <v>44168</v>
      </c>
      <c r="D152" s="41" t="s">
        <v>470</v>
      </c>
      <c r="E152" s="32" t="s">
        <v>31</v>
      </c>
      <c r="F152" s="33" t="str">
        <f>IFERROR(INDEX(Database!C:C,MATCH(PR[[#This Row],[Journalist]],Database!B:B,0)),"")</f>
        <v>Email or Phone 4</v>
      </c>
      <c r="G152" s="32" t="s">
        <v>204</v>
      </c>
      <c r="H152" s="32" t="s">
        <v>43</v>
      </c>
      <c r="I152" s="32" t="s">
        <v>36</v>
      </c>
      <c r="J152" s="34" t="s">
        <v>391</v>
      </c>
      <c r="K152" s="32" t="s">
        <v>47</v>
      </c>
      <c r="L152" s="33">
        <f>IFERROR(INDEX(Database!J:J,MATCH(PR[[#This Row],[Article Category]],Database!I:I,0)),"")</f>
        <v>30</v>
      </c>
      <c r="M152" s="32" t="s">
        <v>55</v>
      </c>
      <c r="N152" s="35">
        <v>-3</v>
      </c>
      <c r="O152" s="32"/>
    </row>
    <row r="153" spans="1:15" ht="30" customHeight="1" x14ac:dyDescent="0.2">
      <c r="A153" s="20" t="str">
        <f t="shared" si="2"/>
        <v/>
      </c>
      <c r="B153" s="31">
        <v>44199</v>
      </c>
      <c r="C153" s="40">
        <f>PR[[#This Row],[Date]]</f>
        <v>44199</v>
      </c>
      <c r="D153" s="41" t="s">
        <v>468</v>
      </c>
      <c r="E153" s="32" t="s">
        <v>30</v>
      </c>
      <c r="F153" s="33" t="str">
        <f>IFERROR(INDEX(Database!C:C,MATCH(PR[[#This Row],[Journalist]],Database!B:B,0)),"")</f>
        <v>Email or Phone 3</v>
      </c>
      <c r="G153" s="32" t="s">
        <v>205</v>
      </c>
      <c r="H153" s="32" t="s">
        <v>44</v>
      </c>
      <c r="I153" s="32" t="s">
        <v>38</v>
      </c>
      <c r="J153" s="34" t="s">
        <v>392</v>
      </c>
      <c r="K153" s="32" t="s">
        <v>50</v>
      </c>
      <c r="L153" s="33">
        <f>IFERROR(INDEX(Database!J:J,MATCH(PR[[#This Row],[Article Category]],Database!I:I,0)),"")</f>
        <v>40</v>
      </c>
      <c r="M153" s="32" t="s">
        <v>54</v>
      </c>
      <c r="N153" s="35">
        <v>-5</v>
      </c>
      <c r="O153" s="32"/>
    </row>
    <row r="154" spans="1:15" ht="30" customHeight="1" x14ac:dyDescent="0.2">
      <c r="A154" s="20" t="str">
        <f t="shared" si="2"/>
        <v/>
      </c>
      <c r="B154" s="31">
        <v>44080</v>
      </c>
      <c r="C154" s="40">
        <f>PR[[#This Row],[Date]]</f>
        <v>44080</v>
      </c>
      <c r="D154" s="41" t="s">
        <v>468</v>
      </c>
      <c r="E154" s="32" t="s">
        <v>39</v>
      </c>
      <c r="F154" s="33" t="str">
        <f>IFERROR(INDEX(Database!C:C,MATCH(PR[[#This Row],[Journalist]],Database!B:B,0)),"")</f>
        <v>Email or Phone 6</v>
      </c>
      <c r="G154" s="32" t="s">
        <v>206</v>
      </c>
      <c r="H154" s="32" t="s">
        <v>41</v>
      </c>
      <c r="I154" s="32" t="s">
        <v>33</v>
      </c>
      <c r="J154" s="34" t="s">
        <v>393</v>
      </c>
      <c r="K154" s="32" t="s">
        <v>49</v>
      </c>
      <c r="L154" s="33">
        <f>IFERROR(INDEX(Database!J:J,MATCH(PR[[#This Row],[Article Category]],Database!I:I,0)),"")</f>
        <v>20</v>
      </c>
      <c r="M154" s="32" t="s">
        <v>53</v>
      </c>
      <c r="N154" s="35">
        <v>4</v>
      </c>
      <c r="O154" s="32"/>
    </row>
    <row r="155" spans="1:15" ht="30" customHeight="1" x14ac:dyDescent="0.2">
      <c r="A155" s="20" t="str">
        <f t="shared" si="2"/>
        <v/>
      </c>
      <c r="B155" s="31">
        <v>44194</v>
      </c>
      <c r="C155" s="40">
        <f>PR[[#This Row],[Date]]</f>
        <v>44194</v>
      </c>
      <c r="D155" s="41" t="s">
        <v>467</v>
      </c>
      <c r="E155" s="32" t="s">
        <v>31</v>
      </c>
      <c r="F155" s="33" t="str">
        <f>IFERROR(INDEX(Database!C:C,MATCH(PR[[#This Row],[Journalist]],Database!B:B,0)),"")</f>
        <v>Email or Phone 4</v>
      </c>
      <c r="G155" s="32" t="s">
        <v>207</v>
      </c>
      <c r="H155" s="32" t="s">
        <v>45</v>
      </c>
      <c r="I155" s="32" t="s">
        <v>33</v>
      </c>
      <c r="J155" s="34" t="s">
        <v>394</v>
      </c>
      <c r="K155" s="32" t="s">
        <v>52</v>
      </c>
      <c r="L155" s="33">
        <f>IFERROR(INDEX(Database!J:J,MATCH(PR[[#This Row],[Article Category]],Database!I:I,0)),"")</f>
        <v>30</v>
      </c>
      <c r="M155" s="32" t="s">
        <v>55</v>
      </c>
      <c r="N155" s="35">
        <v>2</v>
      </c>
      <c r="O155" s="32"/>
    </row>
    <row r="156" spans="1:15" ht="30" customHeight="1" x14ac:dyDescent="0.2">
      <c r="A156" s="20" t="str">
        <f t="shared" si="2"/>
        <v/>
      </c>
      <c r="B156" s="31">
        <v>44189</v>
      </c>
      <c r="C156" s="40">
        <f>PR[[#This Row],[Date]]</f>
        <v>44189</v>
      </c>
      <c r="D156" s="41" t="s">
        <v>467</v>
      </c>
      <c r="E156" s="32" t="s">
        <v>34</v>
      </c>
      <c r="F156" s="33" t="str">
        <f>IFERROR(INDEX(Database!C:C,MATCH(PR[[#This Row],[Journalist]],Database!B:B,0)),"")</f>
        <v>Email or Phone 1</v>
      </c>
      <c r="G156" s="32" t="s">
        <v>208</v>
      </c>
      <c r="H156" s="32" t="s">
        <v>45</v>
      </c>
      <c r="I156" s="32" t="s">
        <v>38</v>
      </c>
      <c r="J156" s="34" t="s">
        <v>395</v>
      </c>
      <c r="K156" s="32" t="s">
        <v>51</v>
      </c>
      <c r="L156" s="33">
        <f>IFERROR(INDEX(Database!J:J,MATCH(PR[[#This Row],[Article Category]],Database!I:I,0)),"")</f>
        <v>40</v>
      </c>
      <c r="M156" s="32" t="s">
        <v>55</v>
      </c>
      <c r="N156" s="35">
        <v>-1</v>
      </c>
      <c r="O156" s="32"/>
    </row>
    <row r="157" spans="1:15" ht="30" customHeight="1" x14ac:dyDescent="0.2">
      <c r="A157" s="20" t="str">
        <f t="shared" si="2"/>
        <v/>
      </c>
      <c r="B157" s="31">
        <v>44218</v>
      </c>
      <c r="C157" s="40">
        <f>PR[[#This Row],[Date]]</f>
        <v>44218</v>
      </c>
      <c r="D157" s="41" t="s">
        <v>470</v>
      </c>
      <c r="E157" s="32" t="s">
        <v>40</v>
      </c>
      <c r="F157" s="33" t="str">
        <f>IFERROR(INDEX(Database!C:C,MATCH(PR[[#This Row],[Journalist]],Database!B:B,0)),"")</f>
        <v>Email or Phone 7</v>
      </c>
      <c r="G157" s="32" t="s">
        <v>209</v>
      </c>
      <c r="H157" s="32" t="s">
        <v>41</v>
      </c>
      <c r="I157" s="32" t="s">
        <v>37</v>
      </c>
      <c r="J157" s="34" t="s">
        <v>396</v>
      </c>
      <c r="K157" s="32" t="s">
        <v>47</v>
      </c>
      <c r="L157" s="33">
        <f>IFERROR(INDEX(Database!J:J,MATCH(PR[[#This Row],[Article Category]],Database!I:I,0)),"")</f>
        <v>30</v>
      </c>
      <c r="M157" s="32" t="s">
        <v>54</v>
      </c>
      <c r="N157" s="35">
        <v>5</v>
      </c>
      <c r="O157" s="32"/>
    </row>
    <row r="158" spans="1:15" ht="30" customHeight="1" x14ac:dyDescent="0.2">
      <c r="A158" s="20" t="str">
        <f t="shared" si="2"/>
        <v/>
      </c>
      <c r="B158" s="31">
        <v>44116</v>
      </c>
      <c r="C158" s="40">
        <f>PR[[#This Row],[Date]]</f>
        <v>44116</v>
      </c>
      <c r="D158" s="41" t="s">
        <v>469</v>
      </c>
      <c r="E158" s="32" t="s">
        <v>40</v>
      </c>
      <c r="F158" s="33" t="str">
        <f>IFERROR(INDEX(Database!C:C,MATCH(PR[[#This Row],[Journalist]],Database!B:B,0)),"")</f>
        <v>Email or Phone 7</v>
      </c>
      <c r="G158" s="32" t="s">
        <v>210</v>
      </c>
      <c r="H158" s="32" t="s">
        <v>44</v>
      </c>
      <c r="I158" s="32" t="s">
        <v>37</v>
      </c>
      <c r="J158" s="34" t="s">
        <v>397</v>
      </c>
      <c r="K158" s="32" t="s">
        <v>49</v>
      </c>
      <c r="L158" s="33">
        <f>IFERROR(INDEX(Database!J:J,MATCH(PR[[#This Row],[Article Category]],Database!I:I,0)),"")</f>
        <v>20</v>
      </c>
      <c r="M158" s="32" t="s">
        <v>53</v>
      </c>
      <c r="N158" s="35">
        <v>4</v>
      </c>
      <c r="O158" s="32"/>
    </row>
    <row r="159" spans="1:15" ht="30" customHeight="1" x14ac:dyDescent="0.2">
      <c r="A159" s="20" t="str">
        <f t="shared" si="2"/>
        <v/>
      </c>
      <c r="B159" s="31">
        <v>44086</v>
      </c>
      <c r="C159" s="40">
        <f>PR[[#This Row],[Date]]</f>
        <v>44086</v>
      </c>
      <c r="D159" s="41" t="s">
        <v>468</v>
      </c>
      <c r="E159" s="32" t="s">
        <v>31</v>
      </c>
      <c r="F159" s="33" t="str">
        <f>IFERROR(INDEX(Database!C:C,MATCH(PR[[#This Row],[Journalist]],Database!B:B,0)),"")</f>
        <v>Email or Phone 4</v>
      </c>
      <c r="G159" s="32" t="s">
        <v>211</v>
      </c>
      <c r="H159" s="32" t="s">
        <v>42</v>
      </c>
      <c r="I159" s="32" t="s">
        <v>33</v>
      </c>
      <c r="J159" s="34" t="s">
        <v>398</v>
      </c>
      <c r="K159" s="32" t="s">
        <v>48</v>
      </c>
      <c r="L159" s="33">
        <f>IFERROR(INDEX(Database!J:J,MATCH(PR[[#This Row],[Article Category]],Database!I:I,0)),"")</f>
        <v>20</v>
      </c>
      <c r="M159" s="32" t="s">
        <v>55</v>
      </c>
      <c r="N159" s="35">
        <v>-5</v>
      </c>
      <c r="O159" s="32"/>
    </row>
    <row r="160" spans="1:15" ht="30" customHeight="1" x14ac:dyDescent="0.2">
      <c r="A160" s="20" t="str">
        <f t="shared" si="2"/>
        <v/>
      </c>
      <c r="B160" s="31">
        <v>44217</v>
      </c>
      <c r="C160" s="40">
        <f>PR[[#This Row],[Date]]</f>
        <v>44217</v>
      </c>
      <c r="D160" s="41" t="s">
        <v>469</v>
      </c>
      <c r="E160" s="32" t="s">
        <v>34</v>
      </c>
      <c r="F160" s="33" t="str">
        <f>IFERROR(INDEX(Database!C:C,MATCH(PR[[#This Row],[Journalist]],Database!B:B,0)),"")</f>
        <v>Email or Phone 1</v>
      </c>
      <c r="G160" s="32" t="s">
        <v>212</v>
      </c>
      <c r="H160" s="32" t="s">
        <v>43</v>
      </c>
      <c r="I160" s="32" t="s">
        <v>33</v>
      </c>
      <c r="J160" s="34" t="s">
        <v>399</v>
      </c>
      <c r="K160" s="32" t="s">
        <v>52</v>
      </c>
      <c r="L160" s="33">
        <f>IFERROR(INDEX(Database!J:J,MATCH(PR[[#This Row],[Article Category]],Database!I:I,0)),"")</f>
        <v>30</v>
      </c>
      <c r="M160" s="32" t="s">
        <v>53</v>
      </c>
      <c r="N160" s="35">
        <v>2</v>
      </c>
      <c r="O160" s="32"/>
    </row>
    <row r="161" spans="1:15" ht="30" customHeight="1" x14ac:dyDescent="0.2">
      <c r="A161" s="20" t="str">
        <f t="shared" si="2"/>
        <v/>
      </c>
      <c r="B161" s="31">
        <v>44076</v>
      </c>
      <c r="C161" s="40">
        <f>PR[[#This Row],[Date]]</f>
        <v>44076</v>
      </c>
      <c r="D161" s="41" t="s">
        <v>468</v>
      </c>
      <c r="E161" s="32" t="s">
        <v>35</v>
      </c>
      <c r="F161" s="33" t="str">
        <f>IFERROR(INDEX(Database!C:C,MATCH(PR[[#This Row],[Journalist]],Database!B:B,0)),"")</f>
        <v>Email or Phone 2</v>
      </c>
      <c r="G161" s="32" t="s">
        <v>213</v>
      </c>
      <c r="H161" s="32" t="s">
        <v>45</v>
      </c>
      <c r="I161" s="32" t="s">
        <v>37</v>
      </c>
      <c r="J161" s="34" t="s">
        <v>400</v>
      </c>
      <c r="K161" s="32" t="s">
        <v>47</v>
      </c>
      <c r="L161" s="33">
        <f>IFERROR(INDEX(Database!J:J,MATCH(PR[[#This Row],[Article Category]],Database!I:I,0)),"")</f>
        <v>30</v>
      </c>
      <c r="M161" s="32" t="s">
        <v>54</v>
      </c>
      <c r="N161" s="35">
        <v>-5</v>
      </c>
      <c r="O161" s="32"/>
    </row>
    <row r="162" spans="1:15" ht="30" customHeight="1" x14ac:dyDescent="0.2">
      <c r="A162" s="20" t="str">
        <f t="shared" si="2"/>
        <v/>
      </c>
      <c r="B162" s="31">
        <v>44150</v>
      </c>
      <c r="C162" s="40">
        <f>PR[[#This Row],[Date]]</f>
        <v>44150</v>
      </c>
      <c r="D162" s="41" t="s">
        <v>470</v>
      </c>
      <c r="E162" s="32" t="s">
        <v>34</v>
      </c>
      <c r="F162" s="33" t="str">
        <f>IFERROR(INDEX(Database!C:C,MATCH(PR[[#This Row],[Journalist]],Database!B:B,0)),"")</f>
        <v>Email or Phone 1</v>
      </c>
      <c r="G162" s="32" t="s">
        <v>214</v>
      </c>
      <c r="H162" s="32" t="s">
        <v>44</v>
      </c>
      <c r="I162" s="32" t="s">
        <v>38</v>
      </c>
      <c r="J162" s="34" t="s">
        <v>401</v>
      </c>
      <c r="K162" s="32" t="s">
        <v>47</v>
      </c>
      <c r="L162" s="33">
        <f>IFERROR(INDEX(Database!J:J,MATCH(PR[[#This Row],[Article Category]],Database!I:I,0)),"")</f>
        <v>30</v>
      </c>
      <c r="M162" s="32" t="s">
        <v>55</v>
      </c>
      <c r="N162" s="35">
        <v>-2</v>
      </c>
      <c r="O162" s="32"/>
    </row>
    <row r="163" spans="1:15" ht="30" customHeight="1" x14ac:dyDescent="0.2">
      <c r="A163" s="20" t="str">
        <f t="shared" si="2"/>
        <v/>
      </c>
      <c r="B163" s="31">
        <v>44220</v>
      </c>
      <c r="C163" s="40">
        <f>PR[[#This Row],[Date]]</f>
        <v>44220</v>
      </c>
      <c r="D163" s="41" t="s">
        <v>469</v>
      </c>
      <c r="E163" s="32" t="s">
        <v>39</v>
      </c>
      <c r="F163" s="33" t="str">
        <f>IFERROR(INDEX(Database!C:C,MATCH(PR[[#This Row],[Journalist]],Database!B:B,0)),"")</f>
        <v>Email or Phone 6</v>
      </c>
      <c r="G163" s="32" t="s">
        <v>215</v>
      </c>
      <c r="H163" s="32" t="s">
        <v>43</v>
      </c>
      <c r="I163" s="32" t="s">
        <v>33</v>
      </c>
      <c r="J163" s="34" t="s">
        <v>402</v>
      </c>
      <c r="K163" s="32" t="s">
        <v>48</v>
      </c>
      <c r="L163" s="33">
        <f>IFERROR(INDEX(Database!J:J,MATCH(PR[[#This Row],[Article Category]],Database!I:I,0)),"")</f>
        <v>20</v>
      </c>
      <c r="M163" s="32" t="s">
        <v>54</v>
      </c>
      <c r="N163" s="35">
        <v>3</v>
      </c>
      <c r="O163" s="32"/>
    </row>
    <row r="164" spans="1:15" ht="30" customHeight="1" x14ac:dyDescent="0.2">
      <c r="A164" s="20" t="str">
        <f t="shared" si="2"/>
        <v/>
      </c>
      <c r="B164" s="31">
        <v>44077</v>
      </c>
      <c r="C164" s="40">
        <f>PR[[#This Row],[Date]]</f>
        <v>44077</v>
      </c>
      <c r="D164" s="41" t="s">
        <v>468</v>
      </c>
      <c r="E164" s="32" t="s">
        <v>32</v>
      </c>
      <c r="F164" s="33" t="str">
        <f>IFERROR(INDEX(Database!C:C,MATCH(PR[[#This Row],[Journalist]],Database!B:B,0)),"")</f>
        <v>Email or Phone 5</v>
      </c>
      <c r="G164" s="32" t="s">
        <v>216</v>
      </c>
      <c r="H164" s="32" t="s">
        <v>44</v>
      </c>
      <c r="I164" s="32" t="s">
        <v>38</v>
      </c>
      <c r="J164" s="34" t="s">
        <v>403</v>
      </c>
      <c r="K164" s="32" t="s">
        <v>50</v>
      </c>
      <c r="L164" s="33">
        <f>IFERROR(INDEX(Database!J:J,MATCH(PR[[#This Row],[Article Category]],Database!I:I,0)),"")</f>
        <v>40</v>
      </c>
      <c r="M164" s="32" t="s">
        <v>55</v>
      </c>
      <c r="N164" s="35">
        <v>1</v>
      </c>
      <c r="O164" s="32"/>
    </row>
    <row r="165" spans="1:15" ht="30" customHeight="1" x14ac:dyDescent="0.2">
      <c r="A165" s="20" t="str">
        <f t="shared" si="2"/>
        <v/>
      </c>
      <c r="B165" s="31">
        <v>44099</v>
      </c>
      <c r="C165" s="40">
        <f>PR[[#This Row],[Date]]</f>
        <v>44099</v>
      </c>
      <c r="D165" s="41" t="s">
        <v>468</v>
      </c>
      <c r="E165" s="32" t="s">
        <v>34</v>
      </c>
      <c r="F165" s="33" t="str">
        <f>IFERROR(INDEX(Database!C:C,MATCH(PR[[#This Row],[Journalist]],Database!B:B,0)),"")</f>
        <v>Email or Phone 1</v>
      </c>
      <c r="G165" s="32" t="s">
        <v>217</v>
      </c>
      <c r="H165" s="32" t="s">
        <v>45</v>
      </c>
      <c r="I165" s="32" t="s">
        <v>37</v>
      </c>
      <c r="J165" s="34" t="s">
        <v>404</v>
      </c>
      <c r="K165" s="32" t="s">
        <v>51</v>
      </c>
      <c r="L165" s="33">
        <f>IFERROR(INDEX(Database!J:J,MATCH(PR[[#This Row],[Article Category]],Database!I:I,0)),"")</f>
        <v>40</v>
      </c>
      <c r="M165" s="32" t="s">
        <v>53</v>
      </c>
      <c r="N165" s="35">
        <v>1</v>
      </c>
      <c r="O165" s="32"/>
    </row>
    <row r="166" spans="1:15" ht="30" customHeight="1" x14ac:dyDescent="0.2">
      <c r="A166" s="20" t="str">
        <f t="shared" si="2"/>
        <v/>
      </c>
      <c r="B166" s="31">
        <v>44115</v>
      </c>
      <c r="C166" s="40">
        <f>PR[[#This Row],[Date]]</f>
        <v>44115</v>
      </c>
      <c r="D166" s="41" t="s">
        <v>470</v>
      </c>
      <c r="E166" s="32" t="s">
        <v>40</v>
      </c>
      <c r="F166" s="33" t="str">
        <f>IFERROR(INDEX(Database!C:C,MATCH(PR[[#This Row],[Journalist]],Database!B:B,0)),"")</f>
        <v>Email or Phone 7</v>
      </c>
      <c r="G166" s="32" t="s">
        <v>218</v>
      </c>
      <c r="H166" s="32" t="s">
        <v>42</v>
      </c>
      <c r="I166" s="32" t="s">
        <v>36</v>
      </c>
      <c r="J166" s="34" t="s">
        <v>405</v>
      </c>
      <c r="K166" s="32" t="s">
        <v>51</v>
      </c>
      <c r="L166" s="33">
        <f>IFERROR(INDEX(Database!J:J,MATCH(PR[[#This Row],[Article Category]],Database!I:I,0)),"")</f>
        <v>40</v>
      </c>
      <c r="M166" s="32" t="s">
        <v>53</v>
      </c>
      <c r="N166" s="35">
        <v>5</v>
      </c>
      <c r="O166" s="32"/>
    </row>
    <row r="167" spans="1:15" ht="30" customHeight="1" x14ac:dyDescent="0.2">
      <c r="A167" s="20" t="str">
        <f t="shared" si="2"/>
        <v/>
      </c>
      <c r="B167" s="31">
        <v>44164</v>
      </c>
      <c r="C167" s="40">
        <f>PR[[#This Row],[Date]]</f>
        <v>44164</v>
      </c>
      <c r="D167" s="41" t="s">
        <v>469</v>
      </c>
      <c r="E167" s="32" t="s">
        <v>32</v>
      </c>
      <c r="F167" s="33" t="str">
        <f>IFERROR(INDEX(Database!C:C,MATCH(PR[[#This Row],[Journalist]],Database!B:B,0)),"")</f>
        <v>Email or Phone 5</v>
      </c>
      <c r="G167" s="32" t="s">
        <v>219</v>
      </c>
      <c r="H167" s="32" t="s">
        <v>45</v>
      </c>
      <c r="I167" s="32" t="s">
        <v>38</v>
      </c>
      <c r="J167" s="34" t="s">
        <v>406</v>
      </c>
      <c r="K167" s="32" t="s">
        <v>46</v>
      </c>
      <c r="L167" s="33">
        <f>IFERROR(INDEX(Database!J:J,MATCH(PR[[#This Row],[Article Category]],Database!I:I,0)),"")</f>
        <v>20</v>
      </c>
      <c r="M167" s="32" t="s">
        <v>53</v>
      </c>
      <c r="N167" s="35">
        <v>5</v>
      </c>
      <c r="O167" s="32"/>
    </row>
    <row r="168" spans="1:15" ht="30" customHeight="1" x14ac:dyDescent="0.2">
      <c r="A168" s="20" t="str">
        <f t="shared" si="2"/>
        <v/>
      </c>
      <c r="B168" s="31">
        <v>44111</v>
      </c>
      <c r="C168" s="40">
        <f>PR[[#This Row],[Date]]</f>
        <v>44111</v>
      </c>
      <c r="D168" s="41" t="s">
        <v>467</v>
      </c>
      <c r="E168" s="32" t="s">
        <v>35</v>
      </c>
      <c r="F168" s="33" t="str">
        <f>IFERROR(INDEX(Database!C:C,MATCH(PR[[#This Row],[Journalist]],Database!B:B,0)),"")</f>
        <v>Email or Phone 2</v>
      </c>
      <c r="G168" s="32" t="s">
        <v>220</v>
      </c>
      <c r="H168" s="32" t="s">
        <v>43</v>
      </c>
      <c r="I168" s="32" t="s">
        <v>38</v>
      </c>
      <c r="J168" s="34" t="s">
        <v>407</v>
      </c>
      <c r="K168" s="32" t="s">
        <v>51</v>
      </c>
      <c r="L168" s="33">
        <f>IFERROR(INDEX(Database!J:J,MATCH(PR[[#This Row],[Article Category]],Database!I:I,0)),"")</f>
        <v>40</v>
      </c>
      <c r="M168" s="32" t="s">
        <v>53</v>
      </c>
      <c r="N168" s="35">
        <v>-1</v>
      </c>
      <c r="O168" s="32"/>
    </row>
    <row r="169" spans="1:15" ht="30" customHeight="1" x14ac:dyDescent="0.2">
      <c r="A169" s="20" t="str">
        <f t="shared" si="2"/>
        <v/>
      </c>
      <c r="B169" s="31">
        <v>44219</v>
      </c>
      <c r="C169" s="40">
        <f>PR[[#This Row],[Date]]</f>
        <v>44219</v>
      </c>
      <c r="D169" s="41" t="s">
        <v>468</v>
      </c>
      <c r="E169" s="32" t="s">
        <v>40</v>
      </c>
      <c r="F169" s="33" t="str">
        <f>IFERROR(INDEX(Database!C:C,MATCH(PR[[#This Row],[Journalist]],Database!B:B,0)),"")</f>
        <v>Email or Phone 7</v>
      </c>
      <c r="G169" s="32" t="s">
        <v>221</v>
      </c>
      <c r="H169" s="32" t="s">
        <v>44</v>
      </c>
      <c r="I169" s="32" t="s">
        <v>33</v>
      </c>
      <c r="J169" s="34" t="s">
        <v>408</v>
      </c>
      <c r="K169" s="32" t="s">
        <v>47</v>
      </c>
      <c r="L169" s="33">
        <f>IFERROR(INDEX(Database!J:J,MATCH(PR[[#This Row],[Article Category]],Database!I:I,0)),"")</f>
        <v>30</v>
      </c>
      <c r="M169" s="32" t="s">
        <v>55</v>
      </c>
      <c r="N169" s="35">
        <v>3</v>
      </c>
      <c r="O169" s="32"/>
    </row>
    <row r="170" spans="1:15" ht="30" customHeight="1" x14ac:dyDescent="0.2">
      <c r="A170" s="20" t="str">
        <f t="shared" si="2"/>
        <v/>
      </c>
      <c r="B170" s="31">
        <v>44089</v>
      </c>
      <c r="C170" s="40">
        <f>PR[[#This Row],[Date]]</f>
        <v>44089</v>
      </c>
      <c r="D170" s="41" t="s">
        <v>468</v>
      </c>
      <c r="E170" s="32" t="s">
        <v>34</v>
      </c>
      <c r="F170" s="33" t="str">
        <f>IFERROR(INDEX(Database!C:C,MATCH(PR[[#This Row],[Journalist]],Database!B:B,0)),"")</f>
        <v>Email or Phone 1</v>
      </c>
      <c r="G170" s="32" t="s">
        <v>222</v>
      </c>
      <c r="H170" s="32" t="s">
        <v>44</v>
      </c>
      <c r="I170" s="32" t="s">
        <v>37</v>
      </c>
      <c r="J170" s="34" t="s">
        <v>409</v>
      </c>
      <c r="K170" s="32" t="s">
        <v>51</v>
      </c>
      <c r="L170" s="33">
        <f>IFERROR(INDEX(Database!J:J,MATCH(PR[[#This Row],[Article Category]],Database!I:I,0)),"")</f>
        <v>40</v>
      </c>
      <c r="M170" s="32" t="s">
        <v>54</v>
      </c>
      <c r="N170" s="35">
        <v>-4</v>
      </c>
      <c r="O170" s="32"/>
    </row>
    <row r="171" spans="1:15" ht="30" customHeight="1" x14ac:dyDescent="0.2">
      <c r="A171" s="20" t="str">
        <f t="shared" si="2"/>
        <v/>
      </c>
      <c r="B171" s="31">
        <v>44195</v>
      </c>
      <c r="C171" s="40">
        <f>PR[[#This Row],[Date]]</f>
        <v>44195</v>
      </c>
      <c r="D171" s="41" t="s">
        <v>466</v>
      </c>
      <c r="E171" s="32" t="s">
        <v>35</v>
      </c>
      <c r="F171" s="33" t="str">
        <f>IFERROR(INDEX(Database!C:C,MATCH(PR[[#This Row],[Journalist]],Database!B:B,0)),"")</f>
        <v>Email or Phone 2</v>
      </c>
      <c r="G171" s="32" t="s">
        <v>223</v>
      </c>
      <c r="H171" s="32" t="s">
        <v>45</v>
      </c>
      <c r="I171" s="32" t="s">
        <v>36</v>
      </c>
      <c r="J171" s="34" t="s">
        <v>410</v>
      </c>
      <c r="K171" s="32" t="s">
        <v>47</v>
      </c>
      <c r="L171" s="33">
        <f>IFERROR(INDEX(Database!J:J,MATCH(PR[[#This Row],[Article Category]],Database!I:I,0)),"")</f>
        <v>30</v>
      </c>
      <c r="M171" s="32" t="s">
        <v>54</v>
      </c>
      <c r="N171" s="35">
        <v>-2</v>
      </c>
      <c r="O171" s="32"/>
    </row>
    <row r="172" spans="1:15" ht="30" customHeight="1" x14ac:dyDescent="0.2">
      <c r="A172" s="20" t="str">
        <f t="shared" si="2"/>
        <v/>
      </c>
      <c r="B172" s="31">
        <v>44163</v>
      </c>
      <c r="C172" s="40">
        <f>PR[[#This Row],[Date]]</f>
        <v>44163</v>
      </c>
      <c r="D172" s="41" t="s">
        <v>467</v>
      </c>
      <c r="E172" s="32" t="s">
        <v>31</v>
      </c>
      <c r="F172" s="33" t="str">
        <f>IFERROR(INDEX(Database!C:C,MATCH(PR[[#This Row],[Journalist]],Database!B:B,0)),"")</f>
        <v>Email or Phone 4</v>
      </c>
      <c r="G172" s="32" t="s">
        <v>224</v>
      </c>
      <c r="H172" s="32" t="s">
        <v>43</v>
      </c>
      <c r="I172" s="32" t="s">
        <v>37</v>
      </c>
      <c r="J172" s="34" t="s">
        <v>411</v>
      </c>
      <c r="K172" s="32" t="s">
        <v>49</v>
      </c>
      <c r="L172" s="33">
        <f>IFERROR(INDEX(Database!J:J,MATCH(PR[[#This Row],[Article Category]],Database!I:I,0)),"")</f>
        <v>20</v>
      </c>
      <c r="M172" s="32" t="s">
        <v>53</v>
      </c>
      <c r="N172" s="35">
        <v>1</v>
      </c>
      <c r="O172" s="32"/>
    </row>
    <row r="173" spans="1:15" ht="30" customHeight="1" x14ac:dyDescent="0.2">
      <c r="A173" s="20" t="str">
        <f t="shared" si="2"/>
        <v/>
      </c>
      <c r="B173" s="31">
        <v>44137</v>
      </c>
      <c r="C173" s="40">
        <f>PR[[#This Row],[Date]]</f>
        <v>44137</v>
      </c>
      <c r="D173" s="41" t="s">
        <v>467</v>
      </c>
      <c r="E173" s="32" t="s">
        <v>31</v>
      </c>
      <c r="F173" s="33" t="str">
        <f>IFERROR(INDEX(Database!C:C,MATCH(PR[[#This Row],[Journalist]],Database!B:B,0)),"")</f>
        <v>Email or Phone 4</v>
      </c>
      <c r="G173" s="32" t="s">
        <v>225</v>
      </c>
      <c r="H173" s="32" t="s">
        <v>42</v>
      </c>
      <c r="I173" s="32" t="s">
        <v>38</v>
      </c>
      <c r="J173" s="34" t="s">
        <v>412</v>
      </c>
      <c r="K173" s="32" t="s">
        <v>47</v>
      </c>
      <c r="L173" s="33">
        <f>IFERROR(INDEX(Database!J:J,MATCH(PR[[#This Row],[Article Category]],Database!I:I,0)),"")</f>
        <v>30</v>
      </c>
      <c r="M173" s="32" t="s">
        <v>54</v>
      </c>
      <c r="N173" s="35">
        <v>-1</v>
      </c>
      <c r="O173" s="32"/>
    </row>
    <row r="174" spans="1:15" ht="30" customHeight="1" x14ac:dyDescent="0.2">
      <c r="A174" s="20" t="str">
        <f t="shared" si="2"/>
        <v/>
      </c>
      <c r="B174" s="31">
        <v>44175</v>
      </c>
      <c r="C174" s="40">
        <f>PR[[#This Row],[Date]]</f>
        <v>44175</v>
      </c>
      <c r="D174" s="41" t="s">
        <v>470</v>
      </c>
      <c r="E174" s="32" t="s">
        <v>34</v>
      </c>
      <c r="F174" s="33" t="str">
        <f>IFERROR(INDEX(Database!C:C,MATCH(PR[[#This Row],[Journalist]],Database!B:B,0)),"")</f>
        <v>Email or Phone 1</v>
      </c>
      <c r="G174" s="32" t="s">
        <v>226</v>
      </c>
      <c r="H174" s="32" t="s">
        <v>45</v>
      </c>
      <c r="I174" s="32" t="s">
        <v>36</v>
      </c>
      <c r="J174" s="34" t="s">
        <v>413</v>
      </c>
      <c r="K174" s="32" t="s">
        <v>46</v>
      </c>
      <c r="L174" s="33">
        <f>IFERROR(INDEX(Database!J:J,MATCH(PR[[#This Row],[Article Category]],Database!I:I,0)),"")</f>
        <v>20</v>
      </c>
      <c r="M174" s="32" t="s">
        <v>53</v>
      </c>
      <c r="N174" s="35">
        <v>2</v>
      </c>
      <c r="O174" s="32"/>
    </row>
    <row r="175" spans="1:15" ht="30" customHeight="1" x14ac:dyDescent="0.2">
      <c r="A175" s="20" t="str">
        <f t="shared" si="2"/>
        <v/>
      </c>
      <c r="B175" s="31">
        <v>44204</v>
      </c>
      <c r="C175" s="40">
        <f>PR[[#This Row],[Date]]</f>
        <v>44204</v>
      </c>
      <c r="D175" s="41" t="s">
        <v>468</v>
      </c>
      <c r="E175" s="32" t="s">
        <v>34</v>
      </c>
      <c r="F175" s="33" t="str">
        <f>IFERROR(INDEX(Database!C:C,MATCH(PR[[#This Row],[Journalist]],Database!B:B,0)),"")</f>
        <v>Email or Phone 1</v>
      </c>
      <c r="G175" s="32" t="s">
        <v>227</v>
      </c>
      <c r="H175" s="32" t="s">
        <v>45</v>
      </c>
      <c r="I175" s="32" t="s">
        <v>36</v>
      </c>
      <c r="J175" s="34" t="s">
        <v>414</v>
      </c>
      <c r="K175" s="32" t="s">
        <v>49</v>
      </c>
      <c r="L175" s="33">
        <f>IFERROR(INDEX(Database!J:J,MATCH(PR[[#This Row],[Article Category]],Database!I:I,0)),"")</f>
        <v>20</v>
      </c>
      <c r="M175" s="32" t="s">
        <v>55</v>
      </c>
      <c r="N175" s="35">
        <v>4</v>
      </c>
      <c r="O175" s="32"/>
    </row>
    <row r="176" spans="1:15" ht="30" customHeight="1" x14ac:dyDescent="0.2">
      <c r="A176" s="20" t="str">
        <f t="shared" si="2"/>
        <v/>
      </c>
      <c r="B176" s="31">
        <v>44074</v>
      </c>
      <c r="C176" s="40">
        <f>PR[[#This Row],[Date]]</f>
        <v>44074</v>
      </c>
      <c r="D176" s="41" t="s">
        <v>468</v>
      </c>
      <c r="E176" s="32" t="s">
        <v>32</v>
      </c>
      <c r="F176" s="33" t="str">
        <f>IFERROR(INDEX(Database!C:C,MATCH(PR[[#This Row],[Journalist]],Database!B:B,0)),"")</f>
        <v>Email or Phone 5</v>
      </c>
      <c r="G176" s="32" t="s">
        <v>228</v>
      </c>
      <c r="H176" s="32" t="s">
        <v>41</v>
      </c>
      <c r="I176" s="32" t="s">
        <v>38</v>
      </c>
      <c r="J176" s="34" t="s">
        <v>415</v>
      </c>
      <c r="K176" s="32" t="s">
        <v>46</v>
      </c>
      <c r="L176" s="33">
        <f>IFERROR(INDEX(Database!J:J,MATCH(PR[[#This Row],[Article Category]],Database!I:I,0)),"")</f>
        <v>20</v>
      </c>
      <c r="M176" s="32" t="s">
        <v>53</v>
      </c>
      <c r="N176" s="35">
        <v>-5</v>
      </c>
      <c r="O176" s="32"/>
    </row>
    <row r="177" spans="1:15" ht="30" customHeight="1" x14ac:dyDescent="0.2">
      <c r="A177" s="20" t="str">
        <f t="shared" si="2"/>
        <v/>
      </c>
      <c r="B177" s="31">
        <v>44210</v>
      </c>
      <c r="C177" s="40">
        <f>PR[[#This Row],[Date]]</f>
        <v>44210</v>
      </c>
      <c r="D177" s="41" t="s">
        <v>470</v>
      </c>
      <c r="E177" s="32" t="s">
        <v>34</v>
      </c>
      <c r="F177" s="33" t="str">
        <f>IFERROR(INDEX(Database!C:C,MATCH(PR[[#This Row],[Journalist]],Database!B:B,0)),"")</f>
        <v>Email or Phone 1</v>
      </c>
      <c r="G177" s="32" t="s">
        <v>229</v>
      </c>
      <c r="H177" s="32" t="s">
        <v>45</v>
      </c>
      <c r="I177" s="32" t="s">
        <v>37</v>
      </c>
      <c r="J177" s="34" t="s">
        <v>416</v>
      </c>
      <c r="K177" s="32" t="s">
        <v>48</v>
      </c>
      <c r="L177" s="33">
        <f>IFERROR(INDEX(Database!J:J,MATCH(PR[[#This Row],[Article Category]],Database!I:I,0)),"")</f>
        <v>20</v>
      </c>
      <c r="M177" s="32" t="s">
        <v>53</v>
      </c>
      <c r="N177" s="35">
        <v>-1</v>
      </c>
      <c r="O177" s="32"/>
    </row>
    <row r="178" spans="1:15" ht="30" customHeight="1" x14ac:dyDescent="0.2">
      <c r="A178" s="20" t="str">
        <f t="shared" si="2"/>
        <v/>
      </c>
      <c r="B178" s="31">
        <v>44193</v>
      </c>
      <c r="C178" s="40">
        <f>PR[[#This Row],[Date]]</f>
        <v>44193</v>
      </c>
      <c r="D178" s="41" t="s">
        <v>467</v>
      </c>
      <c r="E178" s="32" t="s">
        <v>32</v>
      </c>
      <c r="F178" s="33" t="str">
        <f>IFERROR(INDEX(Database!C:C,MATCH(PR[[#This Row],[Journalist]],Database!B:B,0)),"")</f>
        <v>Email or Phone 5</v>
      </c>
      <c r="G178" s="32" t="s">
        <v>230</v>
      </c>
      <c r="H178" s="32" t="s">
        <v>44</v>
      </c>
      <c r="I178" s="32" t="s">
        <v>36</v>
      </c>
      <c r="J178" s="34" t="s">
        <v>417</v>
      </c>
      <c r="K178" s="32" t="s">
        <v>48</v>
      </c>
      <c r="L178" s="33">
        <f>IFERROR(INDEX(Database!J:J,MATCH(PR[[#This Row],[Article Category]],Database!I:I,0)),"")</f>
        <v>20</v>
      </c>
      <c r="M178" s="32" t="s">
        <v>55</v>
      </c>
      <c r="N178" s="35">
        <v>-3</v>
      </c>
      <c r="O178" s="32"/>
    </row>
    <row r="179" spans="1:15" ht="30" customHeight="1" x14ac:dyDescent="0.2">
      <c r="A179" s="20" t="str">
        <f t="shared" si="2"/>
        <v/>
      </c>
      <c r="B179" s="31">
        <v>44212</v>
      </c>
      <c r="C179" s="40">
        <f>PR[[#This Row],[Date]]</f>
        <v>44212</v>
      </c>
      <c r="D179" s="41" t="s">
        <v>469</v>
      </c>
      <c r="E179" s="32" t="s">
        <v>40</v>
      </c>
      <c r="F179" s="33" t="str">
        <f>IFERROR(INDEX(Database!C:C,MATCH(PR[[#This Row],[Journalist]],Database!B:B,0)),"")</f>
        <v>Email or Phone 7</v>
      </c>
      <c r="G179" s="32" t="s">
        <v>231</v>
      </c>
      <c r="H179" s="32" t="s">
        <v>45</v>
      </c>
      <c r="I179" s="32" t="s">
        <v>33</v>
      </c>
      <c r="J179" s="34" t="s">
        <v>418</v>
      </c>
      <c r="K179" s="32" t="s">
        <v>49</v>
      </c>
      <c r="L179" s="33">
        <f>IFERROR(INDEX(Database!J:J,MATCH(PR[[#This Row],[Article Category]],Database!I:I,0)),"")</f>
        <v>20</v>
      </c>
      <c r="M179" s="32" t="s">
        <v>55</v>
      </c>
      <c r="N179" s="35">
        <v>1</v>
      </c>
      <c r="O179" s="32"/>
    </row>
    <row r="180" spans="1:15" ht="30" customHeight="1" x14ac:dyDescent="0.2">
      <c r="A180" s="20" t="str">
        <f t="shared" si="2"/>
        <v/>
      </c>
      <c r="B180" s="31">
        <v>44109</v>
      </c>
      <c r="C180" s="40">
        <f>PR[[#This Row],[Date]]</f>
        <v>44109</v>
      </c>
      <c r="D180" s="41" t="s">
        <v>470</v>
      </c>
      <c r="E180" s="32" t="s">
        <v>30</v>
      </c>
      <c r="F180" s="33" t="str">
        <f>IFERROR(INDEX(Database!C:C,MATCH(PR[[#This Row],[Journalist]],Database!B:B,0)),"")</f>
        <v>Email or Phone 3</v>
      </c>
      <c r="G180" s="32" t="s">
        <v>232</v>
      </c>
      <c r="H180" s="32" t="s">
        <v>44</v>
      </c>
      <c r="I180" s="32" t="s">
        <v>37</v>
      </c>
      <c r="J180" s="34" t="s">
        <v>419</v>
      </c>
      <c r="K180" s="32" t="s">
        <v>51</v>
      </c>
      <c r="L180" s="33">
        <f>IFERROR(INDEX(Database!J:J,MATCH(PR[[#This Row],[Article Category]],Database!I:I,0)),"")</f>
        <v>40</v>
      </c>
      <c r="M180" s="32" t="s">
        <v>55</v>
      </c>
      <c r="N180" s="35">
        <v>1</v>
      </c>
      <c r="O180" s="32"/>
    </row>
    <row r="181" spans="1:15" ht="30" customHeight="1" x14ac:dyDescent="0.2">
      <c r="A181" s="20" t="str">
        <f t="shared" si="2"/>
        <v/>
      </c>
      <c r="B181" s="31">
        <v>44127</v>
      </c>
      <c r="C181" s="40">
        <f>PR[[#This Row],[Date]]</f>
        <v>44127</v>
      </c>
      <c r="D181" s="41" t="s">
        <v>466</v>
      </c>
      <c r="E181" s="32" t="s">
        <v>40</v>
      </c>
      <c r="F181" s="33" t="str">
        <f>IFERROR(INDEX(Database!C:C,MATCH(PR[[#This Row],[Journalist]],Database!B:B,0)),"")</f>
        <v>Email or Phone 7</v>
      </c>
      <c r="G181" s="32" t="s">
        <v>233</v>
      </c>
      <c r="H181" s="32" t="s">
        <v>44</v>
      </c>
      <c r="I181" s="32" t="s">
        <v>37</v>
      </c>
      <c r="J181" s="34" t="s">
        <v>420</v>
      </c>
      <c r="K181" s="32" t="s">
        <v>50</v>
      </c>
      <c r="L181" s="33">
        <f>IFERROR(INDEX(Database!J:J,MATCH(PR[[#This Row],[Article Category]],Database!I:I,0)),"")</f>
        <v>40</v>
      </c>
      <c r="M181" s="32" t="s">
        <v>55</v>
      </c>
      <c r="N181" s="35">
        <v>-1</v>
      </c>
      <c r="O181" s="32"/>
    </row>
    <row r="182" spans="1:15" ht="30" customHeight="1" x14ac:dyDescent="0.2">
      <c r="A182" s="20" t="str">
        <f t="shared" si="2"/>
        <v/>
      </c>
      <c r="B182" s="31">
        <v>44125</v>
      </c>
      <c r="C182" s="40">
        <f>PR[[#This Row],[Date]]</f>
        <v>44125</v>
      </c>
      <c r="D182" s="41" t="s">
        <v>470</v>
      </c>
      <c r="E182" s="32" t="s">
        <v>30</v>
      </c>
      <c r="F182" s="33" t="str">
        <f>IFERROR(INDEX(Database!C:C,MATCH(PR[[#This Row],[Journalist]],Database!B:B,0)),"")</f>
        <v>Email or Phone 3</v>
      </c>
      <c r="G182" s="32" t="s">
        <v>234</v>
      </c>
      <c r="H182" s="32" t="s">
        <v>41</v>
      </c>
      <c r="I182" s="32" t="s">
        <v>38</v>
      </c>
      <c r="J182" s="34" t="s">
        <v>421</v>
      </c>
      <c r="K182" s="32" t="s">
        <v>46</v>
      </c>
      <c r="L182" s="33">
        <f>IFERROR(INDEX(Database!J:J,MATCH(PR[[#This Row],[Article Category]],Database!I:I,0)),"")</f>
        <v>20</v>
      </c>
      <c r="M182" s="32" t="s">
        <v>54</v>
      </c>
      <c r="N182" s="35">
        <v>3</v>
      </c>
      <c r="O182" s="32"/>
    </row>
    <row r="183" spans="1:15" ht="30" customHeight="1" x14ac:dyDescent="0.2">
      <c r="A183" s="20" t="str">
        <f t="shared" si="2"/>
        <v/>
      </c>
      <c r="B183" s="31">
        <v>44170</v>
      </c>
      <c r="C183" s="40">
        <f>PR[[#This Row],[Date]]</f>
        <v>44170</v>
      </c>
      <c r="D183" s="41" t="s">
        <v>467</v>
      </c>
      <c r="E183" s="32" t="s">
        <v>30</v>
      </c>
      <c r="F183" s="33" t="str">
        <f>IFERROR(INDEX(Database!C:C,MATCH(PR[[#This Row],[Journalist]],Database!B:B,0)),"")</f>
        <v>Email or Phone 3</v>
      </c>
      <c r="G183" s="32" t="s">
        <v>235</v>
      </c>
      <c r="H183" s="32" t="s">
        <v>42</v>
      </c>
      <c r="I183" s="32" t="s">
        <v>36</v>
      </c>
      <c r="J183" s="34" t="s">
        <v>422</v>
      </c>
      <c r="K183" s="32" t="s">
        <v>49</v>
      </c>
      <c r="L183" s="33">
        <f>IFERROR(INDEX(Database!J:J,MATCH(PR[[#This Row],[Article Category]],Database!I:I,0)),"")</f>
        <v>20</v>
      </c>
      <c r="M183" s="32" t="s">
        <v>53</v>
      </c>
      <c r="N183" s="35">
        <v>-4</v>
      </c>
      <c r="O183" s="32"/>
    </row>
    <row r="184" spans="1:15" ht="30" customHeight="1" x14ac:dyDescent="0.2">
      <c r="A184" s="20" t="str">
        <f t="shared" si="2"/>
        <v/>
      </c>
      <c r="B184" s="31">
        <v>44175</v>
      </c>
      <c r="C184" s="40">
        <f>PR[[#This Row],[Date]]</f>
        <v>44175</v>
      </c>
      <c r="D184" s="41" t="s">
        <v>468</v>
      </c>
      <c r="E184" s="32" t="s">
        <v>40</v>
      </c>
      <c r="F184" s="33" t="str">
        <f>IFERROR(INDEX(Database!C:C,MATCH(PR[[#This Row],[Journalist]],Database!B:B,0)),"")</f>
        <v>Email or Phone 7</v>
      </c>
      <c r="G184" s="32" t="s">
        <v>236</v>
      </c>
      <c r="H184" s="32" t="s">
        <v>45</v>
      </c>
      <c r="I184" s="32" t="s">
        <v>36</v>
      </c>
      <c r="J184" s="34" t="s">
        <v>423</v>
      </c>
      <c r="K184" s="32" t="s">
        <v>46</v>
      </c>
      <c r="L184" s="33">
        <f>IFERROR(INDEX(Database!J:J,MATCH(PR[[#This Row],[Article Category]],Database!I:I,0)),"")</f>
        <v>20</v>
      </c>
      <c r="M184" s="32" t="s">
        <v>54</v>
      </c>
      <c r="N184" s="35">
        <v>4</v>
      </c>
      <c r="O184" s="32"/>
    </row>
    <row r="185" spans="1:15" ht="30" customHeight="1" x14ac:dyDescent="0.2">
      <c r="A185" s="20" t="str">
        <f t="shared" si="2"/>
        <v/>
      </c>
      <c r="B185" s="31">
        <v>44171</v>
      </c>
      <c r="C185" s="40">
        <f>PR[[#This Row],[Date]]</f>
        <v>44171</v>
      </c>
      <c r="D185" s="41" t="s">
        <v>470</v>
      </c>
      <c r="E185" s="32" t="s">
        <v>35</v>
      </c>
      <c r="F185" s="33" t="str">
        <f>IFERROR(INDEX(Database!C:C,MATCH(PR[[#This Row],[Journalist]],Database!B:B,0)),"")</f>
        <v>Email or Phone 2</v>
      </c>
      <c r="G185" s="32" t="s">
        <v>237</v>
      </c>
      <c r="H185" s="32" t="s">
        <v>43</v>
      </c>
      <c r="I185" s="32" t="s">
        <v>33</v>
      </c>
      <c r="J185" s="34" t="s">
        <v>424</v>
      </c>
      <c r="K185" s="32" t="s">
        <v>49</v>
      </c>
      <c r="L185" s="33">
        <f>IFERROR(INDEX(Database!J:J,MATCH(PR[[#This Row],[Article Category]],Database!I:I,0)),"")</f>
        <v>20</v>
      </c>
      <c r="M185" s="32" t="s">
        <v>53</v>
      </c>
      <c r="N185" s="35">
        <v>-4</v>
      </c>
      <c r="O185" s="32"/>
    </row>
    <row r="186" spans="1:15" ht="30" customHeight="1" x14ac:dyDescent="0.2">
      <c r="A186" s="20" t="str">
        <f t="shared" si="2"/>
        <v/>
      </c>
      <c r="B186" s="31">
        <v>44074</v>
      </c>
      <c r="C186" s="40">
        <f>PR[[#This Row],[Date]]</f>
        <v>44074</v>
      </c>
      <c r="D186" s="41" t="s">
        <v>468</v>
      </c>
      <c r="E186" s="32" t="s">
        <v>32</v>
      </c>
      <c r="F186" s="33" t="str">
        <f>IFERROR(INDEX(Database!C:C,MATCH(PR[[#This Row],[Journalist]],Database!B:B,0)),"")</f>
        <v>Email or Phone 5</v>
      </c>
      <c r="G186" s="32" t="s">
        <v>238</v>
      </c>
      <c r="H186" s="32" t="s">
        <v>43</v>
      </c>
      <c r="I186" s="32" t="s">
        <v>38</v>
      </c>
      <c r="J186" s="34" t="s">
        <v>425</v>
      </c>
      <c r="K186" s="32" t="s">
        <v>46</v>
      </c>
      <c r="L186" s="33">
        <f>IFERROR(INDEX(Database!J:J,MATCH(PR[[#This Row],[Article Category]],Database!I:I,0)),"")</f>
        <v>20</v>
      </c>
      <c r="M186" s="32" t="s">
        <v>55</v>
      </c>
      <c r="N186" s="35">
        <v>-3</v>
      </c>
      <c r="O186" s="32"/>
    </row>
    <row r="187" spans="1:15" ht="30" customHeight="1" x14ac:dyDescent="0.2">
      <c r="A187" s="20" t="str">
        <f t="shared" si="2"/>
        <v/>
      </c>
      <c r="B187" s="31">
        <v>44122</v>
      </c>
      <c r="C187" s="40">
        <f>PR[[#This Row],[Date]]</f>
        <v>44122</v>
      </c>
      <c r="D187" s="41" t="s">
        <v>468</v>
      </c>
      <c r="E187" s="32" t="s">
        <v>39</v>
      </c>
      <c r="F187" s="33" t="str">
        <f>IFERROR(INDEX(Database!C:C,MATCH(PR[[#This Row],[Journalist]],Database!B:B,0)),"")</f>
        <v>Email or Phone 6</v>
      </c>
      <c r="G187" s="32" t="s">
        <v>239</v>
      </c>
      <c r="H187" s="32" t="s">
        <v>45</v>
      </c>
      <c r="I187" s="32" t="s">
        <v>33</v>
      </c>
      <c r="J187" s="34" t="s">
        <v>426</v>
      </c>
      <c r="K187" s="32" t="s">
        <v>52</v>
      </c>
      <c r="L187" s="33">
        <f>IFERROR(INDEX(Database!J:J,MATCH(PR[[#This Row],[Article Category]],Database!I:I,0)),"")</f>
        <v>30</v>
      </c>
      <c r="M187" s="32" t="s">
        <v>54</v>
      </c>
      <c r="N187" s="35">
        <v>-5</v>
      </c>
      <c r="O187" s="32"/>
    </row>
    <row r="188" spans="1:15" ht="30" customHeight="1" x14ac:dyDescent="0.2">
      <c r="A188" s="20" t="str">
        <f t="shared" si="2"/>
        <v/>
      </c>
      <c r="B188" s="31">
        <v>44125</v>
      </c>
      <c r="C188" s="40">
        <f>PR[[#This Row],[Date]]</f>
        <v>44125</v>
      </c>
      <c r="D188" s="41" t="s">
        <v>468</v>
      </c>
      <c r="E188" s="32" t="s">
        <v>39</v>
      </c>
      <c r="F188" s="33" t="str">
        <f>IFERROR(INDEX(Database!C:C,MATCH(PR[[#This Row],[Journalist]],Database!B:B,0)),"")</f>
        <v>Email or Phone 6</v>
      </c>
      <c r="G188" s="32" t="s">
        <v>240</v>
      </c>
      <c r="H188" s="32" t="s">
        <v>42</v>
      </c>
      <c r="I188" s="32" t="s">
        <v>36</v>
      </c>
      <c r="J188" s="34" t="s">
        <v>427</v>
      </c>
      <c r="K188" s="32" t="s">
        <v>48</v>
      </c>
      <c r="L188" s="33">
        <f>IFERROR(INDEX(Database!J:J,MATCH(PR[[#This Row],[Article Category]],Database!I:I,0)),"")</f>
        <v>20</v>
      </c>
      <c r="M188" s="32" t="s">
        <v>53</v>
      </c>
      <c r="N188" s="35">
        <v>-2</v>
      </c>
      <c r="O188" s="32"/>
    </row>
    <row r="189" spans="1:15" ht="30" customHeight="1" x14ac:dyDescent="0.2">
      <c r="A189" s="20" t="str">
        <f t="shared" si="2"/>
        <v/>
      </c>
      <c r="B189" s="31">
        <v>44157</v>
      </c>
      <c r="C189" s="40">
        <f>PR[[#This Row],[Date]]</f>
        <v>44157</v>
      </c>
      <c r="D189" s="41" t="s">
        <v>470</v>
      </c>
      <c r="E189" s="32" t="s">
        <v>31</v>
      </c>
      <c r="F189" s="33" t="str">
        <f>IFERROR(INDEX(Database!C:C,MATCH(PR[[#This Row],[Journalist]],Database!B:B,0)),"")</f>
        <v>Email or Phone 4</v>
      </c>
      <c r="G189" s="32" t="s">
        <v>241</v>
      </c>
      <c r="H189" s="32" t="s">
        <v>42</v>
      </c>
      <c r="I189" s="32" t="s">
        <v>38</v>
      </c>
      <c r="J189" s="34" t="s">
        <v>428</v>
      </c>
      <c r="K189" s="32" t="s">
        <v>49</v>
      </c>
      <c r="L189" s="33">
        <f>IFERROR(INDEX(Database!J:J,MATCH(PR[[#This Row],[Article Category]],Database!I:I,0)),"")</f>
        <v>20</v>
      </c>
      <c r="M189" s="32" t="s">
        <v>55</v>
      </c>
      <c r="N189" s="35">
        <v>1</v>
      </c>
      <c r="O189" s="32"/>
    </row>
    <row r="190" spans="1:15" ht="30" customHeight="1" x14ac:dyDescent="0.2">
      <c r="A190" s="20" t="str">
        <f t="shared" si="2"/>
        <v/>
      </c>
      <c r="B190" s="31">
        <v>44172</v>
      </c>
      <c r="C190" s="40">
        <f>PR[[#This Row],[Date]]</f>
        <v>44172</v>
      </c>
      <c r="D190" s="41" t="s">
        <v>469</v>
      </c>
      <c r="E190" s="32" t="s">
        <v>32</v>
      </c>
      <c r="F190" s="33" t="str">
        <f>IFERROR(INDEX(Database!C:C,MATCH(PR[[#This Row],[Journalist]],Database!B:B,0)),"")</f>
        <v>Email or Phone 5</v>
      </c>
      <c r="G190" s="32" t="s">
        <v>242</v>
      </c>
      <c r="H190" s="32" t="s">
        <v>45</v>
      </c>
      <c r="I190" s="32" t="s">
        <v>33</v>
      </c>
      <c r="J190" s="34" t="s">
        <v>429</v>
      </c>
      <c r="K190" s="32" t="s">
        <v>46</v>
      </c>
      <c r="L190" s="33">
        <f>IFERROR(INDEX(Database!J:J,MATCH(PR[[#This Row],[Article Category]],Database!I:I,0)),"")</f>
        <v>20</v>
      </c>
      <c r="M190" s="32" t="s">
        <v>53</v>
      </c>
      <c r="N190" s="35">
        <v>-5</v>
      </c>
      <c r="O190" s="32"/>
    </row>
    <row r="191" spans="1:15" ht="30" customHeight="1" x14ac:dyDescent="0.2">
      <c r="A191" s="20" t="str">
        <f t="shared" si="2"/>
        <v/>
      </c>
      <c r="B191" s="31">
        <v>44197</v>
      </c>
      <c r="C191" s="40">
        <f>PR[[#This Row],[Date]]</f>
        <v>44197</v>
      </c>
      <c r="D191" s="41" t="s">
        <v>467</v>
      </c>
      <c r="E191" s="32" t="s">
        <v>34</v>
      </c>
      <c r="F191" s="33" t="str">
        <f>IFERROR(INDEX(Database!C:C,MATCH(PR[[#This Row],[Journalist]],Database!B:B,0)),"")</f>
        <v>Email or Phone 1</v>
      </c>
      <c r="G191" s="32" t="s">
        <v>243</v>
      </c>
      <c r="H191" s="32" t="s">
        <v>44</v>
      </c>
      <c r="I191" s="32" t="s">
        <v>36</v>
      </c>
      <c r="J191" s="34" t="s">
        <v>430</v>
      </c>
      <c r="K191" s="32" t="s">
        <v>50</v>
      </c>
      <c r="L191" s="33">
        <f>IFERROR(INDEX(Database!J:J,MATCH(PR[[#This Row],[Article Category]],Database!I:I,0)),"")</f>
        <v>40</v>
      </c>
      <c r="M191" s="32" t="s">
        <v>54</v>
      </c>
      <c r="N191" s="35">
        <v>2</v>
      </c>
      <c r="O191" s="32"/>
    </row>
    <row r="192" spans="1:15" ht="30" customHeight="1" x14ac:dyDescent="0.2">
      <c r="A192" s="20" t="str">
        <f t="shared" si="2"/>
        <v/>
      </c>
      <c r="B192" s="31">
        <v>44112</v>
      </c>
      <c r="C192" s="40">
        <f>PR[[#This Row],[Date]]</f>
        <v>44112</v>
      </c>
      <c r="D192" s="41" t="s">
        <v>468</v>
      </c>
      <c r="E192" s="32" t="s">
        <v>34</v>
      </c>
      <c r="F192" s="33" t="str">
        <f>IFERROR(INDEX(Database!C:C,MATCH(PR[[#This Row],[Journalist]],Database!B:B,0)),"")</f>
        <v>Email or Phone 1</v>
      </c>
      <c r="G192" s="32" t="s">
        <v>244</v>
      </c>
      <c r="H192" s="32" t="s">
        <v>43</v>
      </c>
      <c r="I192" s="32" t="s">
        <v>36</v>
      </c>
      <c r="J192" s="34" t="s">
        <v>431</v>
      </c>
      <c r="K192" s="32" t="s">
        <v>51</v>
      </c>
      <c r="L192" s="33">
        <f>IFERROR(INDEX(Database!J:J,MATCH(PR[[#This Row],[Article Category]],Database!I:I,0)),"")</f>
        <v>40</v>
      </c>
      <c r="M192" s="32" t="s">
        <v>54</v>
      </c>
      <c r="N192" s="35">
        <v>-2</v>
      </c>
      <c r="O192" s="32"/>
    </row>
    <row r="193" spans="1:15" ht="30" customHeight="1" x14ac:dyDescent="0.2">
      <c r="A193" s="20" t="str">
        <f t="shared" si="2"/>
        <v/>
      </c>
      <c r="B193" s="31">
        <v>44175</v>
      </c>
      <c r="C193" s="40">
        <f>PR[[#This Row],[Date]]</f>
        <v>44175</v>
      </c>
      <c r="D193" s="41" t="s">
        <v>468</v>
      </c>
      <c r="E193" s="32" t="s">
        <v>39</v>
      </c>
      <c r="F193" s="33" t="str">
        <f>IFERROR(INDEX(Database!C:C,MATCH(PR[[#This Row],[Journalist]],Database!B:B,0)),"")</f>
        <v>Email or Phone 6</v>
      </c>
      <c r="G193" s="32" t="s">
        <v>245</v>
      </c>
      <c r="H193" s="32" t="s">
        <v>44</v>
      </c>
      <c r="I193" s="32" t="s">
        <v>33</v>
      </c>
      <c r="J193" s="34" t="s">
        <v>432</v>
      </c>
      <c r="K193" s="32" t="s">
        <v>48</v>
      </c>
      <c r="L193" s="33">
        <f>IFERROR(INDEX(Database!J:J,MATCH(PR[[#This Row],[Article Category]],Database!I:I,0)),"")</f>
        <v>20</v>
      </c>
      <c r="M193" s="32" t="s">
        <v>54</v>
      </c>
      <c r="N193" s="35">
        <v>-3</v>
      </c>
      <c r="O193" s="32"/>
    </row>
    <row r="194" spans="1:15" ht="30" customHeight="1" x14ac:dyDescent="0.2">
      <c r="A194" s="20" t="str">
        <f t="shared" si="2"/>
        <v/>
      </c>
      <c r="B194" s="31">
        <v>44104</v>
      </c>
      <c r="C194" s="40">
        <f>PR[[#This Row],[Date]]</f>
        <v>44104</v>
      </c>
      <c r="D194" s="41" t="s">
        <v>468</v>
      </c>
      <c r="E194" s="32" t="s">
        <v>34</v>
      </c>
      <c r="F194" s="33" t="str">
        <f>IFERROR(INDEX(Database!C:C,MATCH(PR[[#This Row],[Journalist]],Database!B:B,0)),"")</f>
        <v>Email or Phone 1</v>
      </c>
      <c r="G194" s="32" t="s">
        <v>246</v>
      </c>
      <c r="H194" s="32" t="s">
        <v>43</v>
      </c>
      <c r="I194" s="32" t="s">
        <v>38</v>
      </c>
      <c r="J194" s="34" t="s">
        <v>433</v>
      </c>
      <c r="K194" s="32" t="s">
        <v>48</v>
      </c>
      <c r="L194" s="33">
        <f>IFERROR(INDEX(Database!J:J,MATCH(PR[[#This Row],[Article Category]],Database!I:I,0)),"")</f>
        <v>20</v>
      </c>
      <c r="M194" s="32" t="s">
        <v>55</v>
      </c>
      <c r="N194" s="35">
        <v>5</v>
      </c>
      <c r="O194" s="32"/>
    </row>
    <row r="195" spans="1:15" ht="30" customHeight="1" x14ac:dyDescent="0.2">
      <c r="A195" s="20" t="str">
        <f t="shared" si="2"/>
        <v/>
      </c>
      <c r="B195" s="31">
        <v>44158</v>
      </c>
      <c r="C195" s="40">
        <f>PR[[#This Row],[Date]]</f>
        <v>44158</v>
      </c>
      <c r="D195" s="41" t="s">
        <v>466</v>
      </c>
      <c r="E195" s="32" t="s">
        <v>35</v>
      </c>
      <c r="F195" s="33" t="str">
        <f>IFERROR(INDEX(Database!C:C,MATCH(PR[[#This Row],[Journalist]],Database!B:B,0)),"")</f>
        <v>Email or Phone 2</v>
      </c>
      <c r="G195" s="32" t="s">
        <v>247</v>
      </c>
      <c r="H195" s="32" t="s">
        <v>41</v>
      </c>
      <c r="I195" s="32" t="s">
        <v>36</v>
      </c>
      <c r="J195" s="34" t="s">
        <v>434</v>
      </c>
      <c r="K195" s="32" t="s">
        <v>46</v>
      </c>
      <c r="L195" s="33">
        <f>IFERROR(INDEX(Database!J:J,MATCH(PR[[#This Row],[Article Category]],Database!I:I,0)),"")</f>
        <v>20</v>
      </c>
      <c r="M195" s="32" t="s">
        <v>53</v>
      </c>
      <c r="N195" s="35">
        <v>3</v>
      </c>
      <c r="O195" s="32"/>
    </row>
    <row r="196" spans="1:15" ht="30" customHeight="1" x14ac:dyDescent="0.2">
      <c r="A196" s="20" t="str">
        <f t="shared" si="2"/>
        <v/>
      </c>
      <c r="B196" s="31">
        <v>44088</v>
      </c>
      <c r="C196" s="40">
        <f>PR[[#This Row],[Date]]</f>
        <v>44088</v>
      </c>
      <c r="D196" s="41" t="s">
        <v>470</v>
      </c>
      <c r="E196" s="32" t="s">
        <v>30</v>
      </c>
      <c r="F196" s="33" t="str">
        <f>IFERROR(INDEX(Database!C:C,MATCH(PR[[#This Row],[Journalist]],Database!B:B,0)),"")</f>
        <v>Email or Phone 3</v>
      </c>
      <c r="G196" s="32" t="s">
        <v>248</v>
      </c>
      <c r="H196" s="32" t="s">
        <v>41</v>
      </c>
      <c r="I196" s="32" t="s">
        <v>37</v>
      </c>
      <c r="J196" s="34" t="s">
        <v>435</v>
      </c>
      <c r="K196" s="32" t="s">
        <v>48</v>
      </c>
      <c r="L196" s="33">
        <f>IFERROR(INDEX(Database!J:J,MATCH(PR[[#This Row],[Article Category]],Database!I:I,0)),"")</f>
        <v>20</v>
      </c>
      <c r="M196" s="32" t="s">
        <v>53</v>
      </c>
      <c r="N196" s="35">
        <v>-5</v>
      </c>
      <c r="O196" s="32"/>
    </row>
    <row r="197" spans="1:15" ht="30" customHeight="1" x14ac:dyDescent="0.2">
      <c r="A197" s="20" t="str">
        <f t="shared" si="2"/>
        <v/>
      </c>
      <c r="B197" s="31">
        <v>44137</v>
      </c>
      <c r="C197" s="40">
        <f>PR[[#This Row],[Date]]</f>
        <v>44137</v>
      </c>
      <c r="D197" s="41" t="s">
        <v>469</v>
      </c>
      <c r="E197" s="32" t="s">
        <v>30</v>
      </c>
      <c r="F197" s="33" t="str">
        <f>IFERROR(INDEX(Database!C:C,MATCH(PR[[#This Row],[Journalist]],Database!B:B,0)),"")</f>
        <v>Email or Phone 3</v>
      </c>
      <c r="G197" s="32" t="s">
        <v>249</v>
      </c>
      <c r="H197" s="32" t="s">
        <v>45</v>
      </c>
      <c r="I197" s="32" t="s">
        <v>36</v>
      </c>
      <c r="J197" s="34" t="s">
        <v>436</v>
      </c>
      <c r="K197" s="32" t="s">
        <v>50</v>
      </c>
      <c r="L197" s="33">
        <f>IFERROR(INDEX(Database!J:J,MATCH(PR[[#This Row],[Article Category]],Database!I:I,0)),"")</f>
        <v>40</v>
      </c>
      <c r="M197" s="32" t="s">
        <v>53</v>
      </c>
      <c r="N197" s="35">
        <v>-3</v>
      </c>
      <c r="O197" s="32"/>
    </row>
    <row r="198" spans="1:15" ht="30" customHeight="1" x14ac:dyDescent="0.2">
      <c r="A198" s="20" t="str">
        <f t="shared" si="2"/>
        <v/>
      </c>
      <c r="B198" s="31">
        <v>44213</v>
      </c>
      <c r="C198" s="40">
        <f>PR[[#This Row],[Date]]</f>
        <v>44213</v>
      </c>
      <c r="D198" s="41" t="s">
        <v>469</v>
      </c>
      <c r="E198" s="32" t="s">
        <v>31</v>
      </c>
      <c r="F198" s="33" t="str">
        <f>IFERROR(INDEX(Database!C:C,MATCH(PR[[#This Row],[Journalist]],Database!B:B,0)),"")</f>
        <v>Email or Phone 4</v>
      </c>
      <c r="G198" s="32" t="s">
        <v>250</v>
      </c>
      <c r="H198" s="32" t="s">
        <v>41</v>
      </c>
      <c r="I198" s="32" t="s">
        <v>38</v>
      </c>
      <c r="J198" s="34" t="s">
        <v>437</v>
      </c>
      <c r="K198" s="32" t="s">
        <v>50</v>
      </c>
      <c r="L198" s="33">
        <f>IFERROR(INDEX(Database!J:J,MATCH(PR[[#This Row],[Article Category]],Database!I:I,0)),"")</f>
        <v>40</v>
      </c>
      <c r="M198" s="32" t="s">
        <v>53</v>
      </c>
      <c r="N198" s="35">
        <v>1</v>
      </c>
      <c r="O198" s="32"/>
    </row>
    <row r="199" spans="1:15" ht="30" customHeight="1" x14ac:dyDescent="0.2">
      <c r="A199" s="20" t="str">
        <f t="shared" si="2"/>
        <v/>
      </c>
      <c r="B199" s="31">
        <v>44106</v>
      </c>
      <c r="C199" s="40">
        <f>PR[[#This Row],[Date]]</f>
        <v>44106</v>
      </c>
      <c r="D199" s="41" t="s">
        <v>467</v>
      </c>
      <c r="E199" s="32" t="s">
        <v>30</v>
      </c>
      <c r="F199" s="33" t="str">
        <f>IFERROR(INDEX(Database!C:C,MATCH(PR[[#This Row],[Journalist]],Database!B:B,0)),"")</f>
        <v>Email or Phone 3</v>
      </c>
      <c r="G199" s="32" t="s">
        <v>251</v>
      </c>
      <c r="H199" s="32" t="s">
        <v>41</v>
      </c>
      <c r="I199" s="32" t="s">
        <v>38</v>
      </c>
      <c r="J199" s="34" t="s">
        <v>438</v>
      </c>
      <c r="K199" s="32" t="s">
        <v>51</v>
      </c>
      <c r="L199" s="33">
        <f>IFERROR(INDEX(Database!J:J,MATCH(PR[[#This Row],[Article Category]],Database!I:I,0)),"")</f>
        <v>40</v>
      </c>
      <c r="M199" s="32" t="s">
        <v>54</v>
      </c>
      <c r="N199" s="35">
        <v>1</v>
      </c>
      <c r="O199" s="32"/>
    </row>
    <row r="200" spans="1:15" ht="30" customHeight="1" x14ac:dyDescent="0.2">
      <c r="A200" s="20" t="str">
        <f t="shared" si="2"/>
        <v/>
      </c>
      <c r="B200" s="31">
        <v>44210</v>
      </c>
      <c r="C200" s="40">
        <f>PR[[#This Row],[Date]]</f>
        <v>44210</v>
      </c>
      <c r="D200" s="41" t="s">
        <v>469</v>
      </c>
      <c r="E200" s="32" t="s">
        <v>32</v>
      </c>
      <c r="F200" s="33" t="str">
        <f>IFERROR(INDEX(Database!C:C,MATCH(PR[[#This Row],[Journalist]],Database!B:B,0)),"")</f>
        <v>Email or Phone 5</v>
      </c>
      <c r="G200" s="32" t="s">
        <v>252</v>
      </c>
      <c r="H200" s="32" t="s">
        <v>43</v>
      </c>
      <c r="I200" s="32" t="s">
        <v>37</v>
      </c>
      <c r="J200" s="34" t="s">
        <v>439</v>
      </c>
      <c r="K200" s="32" t="s">
        <v>50</v>
      </c>
      <c r="L200" s="33">
        <f>IFERROR(INDEX(Database!J:J,MATCH(PR[[#This Row],[Article Category]],Database!I:I,0)),"")</f>
        <v>40</v>
      </c>
      <c r="M200" s="32" t="s">
        <v>55</v>
      </c>
      <c r="N200" s="35">
        <v>-4</v>
      </c>
      <c r="O200" s="32"/>
    </row>
    <row r="201" spans="1:15" ht="30" customHeight="1" x14ac:dyDescent="0.2">
      <c r="A201" s="20" t="str">
        <f t="shared" si="2"/>
        <v/>
      </c>
      <c r="B201" s="31">
        <v>44176</v>
      </c>
      <c r="C201" s="40">
        <f>PR[[#This Row],[Date]]</f>
        <v>44176</v>
      </c>
      <c r="D201" s="41" t="s">
        <v>466</v>
      </c>
      <c r="E201" s="32" t="s">
        <v>35</v>
      </c>
      <c r="F201" s="33" t="str">
        <f>IFERROR(INDEX(Database!C:C,MATCH(PR[[#This Row],[Journalist]],Database!B:B,0)),"")</f>
        <v>Email or Phone 2</v>
      </c>
      <c r="G201" s="32" t="s">
        <v>253</v>
      </c>
      <c r="H201" s="32" t="s">
        <v>42</v>
      </c>
      <c r="I201" s="32" t="s">
        <v>36</v>
      </c>
      <c r="J201" s="34" t="s">
        <v>440</v>
      </c>
      <c r="K201" s="32" t="s">
        <v>52</v>
      </c>
      <c r="L201" s="33">
        <f>IFERROR(INDEX(Database!J:J,MATCH(PR[[#This Row],[Article Category]],Database!I:I,0)),"")</f>
        <v>30</v>
      </c>
      <c r="M201" s="32" t="s">
        <v>54</v>
      </c>
      <c r="N201" s="35">
        <v>5</v>
      </c>
      <c r="O201" s="32"/>
    </row>
    <row r="202" spans="1:15" ht="30" customHeight="1" x14ac:dyDescent="0.2">
      <c r="A202" s="20" t="str">
        <f t="shared" si="2"/>
        <v/>
      </c>
      <c r="B202" s="31">
        <v>44132</v>
      </c>
      <c r="C202" s="40">
        <f>PR[[#This Row],[Date]]</f>
        <v>44132</v>
      </c>
      <c r="D202" s="41" t="s">
        <v>470</v>
      </c>
      <c r="E202" s="32" t="s">
        <v>31</v>
      </c>
      <c r="F202" s="33" t="str">
        <f>IFERROR(INDEX(Database!C:C,MATCH(PR[[#This Row],[Journalist]],Database!B:B,0)),"")</f>
        <v>Email or Phone 4</v>
      </c>
      <c r="G202" s="32" t="s">
        <v>254</v>
      </c>
      <c r="H202" s="32" t="s">
        <v>42</v>
      </c>
      <c r="I202" s="32" t="s">
        <v>36</v>
      </c>
      <c r="J202" s="34" t="s">
        <v>441</v>
      </c>
      <c r="K202" s="32" t="s">
        <v>50</v>
      </c>
      <c r="L202" s="33">
        <f>IFERROR(INDEX(Database!J:J,MATCH(PR[[#This Row],[Article Category]],Database!I:I,0)),"")</f>
        <v>40</v>
      </c>
      <c r="M202" s="32" t="s">
        <v>53</v>
      </c>
      <c r="N202" s="35">
        <v>3</v>
      </c>
      <c r="O202" s="32"/>
    </row>
    <row r="203" spans="1:15" ht="30" customHeight="1" x14ac:dyDescent="0.2">
      <c r="A203" s="20" t="str">
        <f t="shared" si="2"/>
        <v/>
      </c>
      <c r="B203" s="31">
        <v>44207</v>
      </c>
      <c r="C203" s="40">
        <f>PR[[#This Row],[Date]]</f>
        <v>44207</v>
      </c>
      <c r="D203" s="41" t="s">
        <v>469</v>
      </c>
      <c r="E203" s="32" t="s">
        <v>40</v>
      </c>
      <c r="F203" s="33" t="str">
        <f>IFERROR(INDEX(Database!C:C,MATCH(PR[[#This Row],[Journalist]],Database!B:B,0)),"")</f>
        <v>Email or Phone 7</v>
      </c>
      <c r="G203" s="32" t="s">
        <v>255</v>
      </c>
      <c r="H203" s="32" t="s">
        <v>44</v>
      </c>
      <c r="I203" s="32" t="s">
        <v>36</v>
      </c>
      <c r="J203" s="34" t="s">
        <v>442</v>
      </c>
      <c r="K203" s="32" t="s">
        <v>51</v>
      </c>
      <c r="L203" s="33">
        <f>IFERROR(INDEX(Database!J:J,MATCH(PR[[#This Row],[Article Category]],Database!I:I,0)),"")</f>
        <v>40</v>
      </c>
      <c r="M203" s="32" t="s">
        <v>54</v>
      </c>
      <c r="N203" s="35">
        <v>4</v>
      </c>
      <c r="O203" s="32"/>
    </row>
    <row r="204" spans="1:15" ht="30" customHeight="1" x14ac:dyDescent="0.2">
      <c r="A204" s="20" t="str">
        <f t="shared" si="2"/>
        <v/>
      </c>
      <c r="B204" s="31">
        <v>44110</v>
      </c>
      <c r="C204" s="40">
        <f>PR[[#This Row],[Date]]</f>
        <v>44110</v>
      </c>
      <c r="D204" s="41" t="s">
        <v>467</v>
      </c>
      <c r="E204" s="32" t="s">
        <v>32</v>
      </c>
      <c r="F204" s="33" t="str">
        <f>IFERROR(INDEX(Database!C:C,MATCH(PR[[#This Row],[Journalist]],Database!B:B,0)),"")</f>
        <v>Email or Phone 5</v>
      </c>
      <c r="G204" s="32" t="s">
        <v>256</v>
      </c>
      <c r="H204" s="32" t="s">
        <v>43</v>
      </c>
      <c r="I204" s="32" t="s">
        <v>33</v>
      </c>
      <c r="J204" s="34" t="s">
        <v>443</v>
      </c>
      <c r="K204" s="32" t="s">
        <v>47</v>
      </c>
      <c r="L204" s="33">
        <f>IFERROR(INDEX(Database!J:J,MATCH(PR[[#This Row],[Article Category]],Database!I:I,0)),"")</f>
        <v>30</v>
      </c>
      <c r="M204" s="32" t="s">
        <v>55</v>
      </c>
      <c r="N204" s="35">
        <v>0</v>
      </c>
      <c r="O204" s="32"/>
    </row>
    <row r="205" spans="1:15" ht="30" customHeight="1" x14ac:dyDescent="0.2">
      <c r="A205" s="20" t="str">
        <f t="shared" si="2"/>
        <v/>
      </c>
      <c r="B205" s="31">
        <v>44204</v>
      </c>
      <c r="C205" s="40">
        <f>PR[[#This Row],[Date]]</f>
        <v>44204</v>
      </c>
      <c r="D205" s="41" t="s">
        <v>466</v>
      </c>
      <c r="E205" s="32" t="s">
        <v>32</v>
      </c>
      <c r="F205" s="33" t="str">
        <f>IFERROR(INDEX(Database!C:C,MATCH(PR[[#This Row],[Journalist]],Database!B:B,0)),"")</f>
        <v>Email or Phone 5</v>
      </c>
      <c r="G205" s="32" t="s">
        <v>257</v>
      </c>
      <c r="H205" s="32" t="s">
        <v>41</v>
      </c>
      <c r="I205" s="32" t="s">
        <v>36</v>
      </c>
      <c r="J205" s="34" t="s">
        <v>444</v>
      </c>
      <c r="K205" s="32" t="s">
        <v>47</v>
      </c>
      <c r="L205" s="33">
        <f>IFERROR(INDEX(Database!J:J,MATCH(PR[[#This Row],[Article Category]],Database!I:I,0)),"")</f>
        <v>30</v>
      </c>
      <c r="M205" s="32" t="s">
        <v>53</v>
      </c>
      <c r="N205" s="35">
        <v>-4</v>
      </c>
      <c r="O205" s="32"/>
    </row>
    <row r="206" spans="1:15" ht="30" customHeight="1" x14ac:dyDescent="0.2">
      <c r="A206" s="20" t="str">
        <f t="shared" si="2"/>
        <v/>
      </c>
      <c r="B206" s="31">
        <v>44223</v>
      </c>
      <c r="C206" s="40">
        <f>PR[[#This Row],[Date]]</f>
        <v>44223</v>
      </c>
      <c r="D206" s="41" t="s">
        <v>470</v>
      </c>
      <c r="E206" s="32" t="s">
        <v>35</v>
      </c>
      <c r="F206" s="33" t="str">
        <f>IFERROR(INDEX(Database!C:C,MATCH(PR[[#This Row],[Journalist]],Database!B:B,0)),"")</f>
        <v>Email or Phone 2</v>
      </c>
      <c r="G206" s="32" t="s">
        <v>258</v>
      </c>
      <c r="H206" s="32" t="s">
        <v>44</v>
      </c>
      <c r="I206" s="32" t="s">
        <v>36</v>
      </c>
      <c r="J206" s="34" t="s">
        <v>445</v>
      </c>
      <c r="K206" s="32" t="s">
        <v>50</v>
      </c>
      <c r="L206" s="33">
        <f>IFERROR(INDEX(Database!J:J,MATCH(PR[[#This Row],[Article Category]],Database!I:I,0)),"")</f>
        <v>40</v>
      </c>
      <c r="M206" s="32" t="s">
        <v>55</v>
      </c>
      <c r="N206" s="35">
        <v>-4</v>
      </c>
      <c r="O206" s="32"/>
    </row>
    <row r="207" spans="1:15" ht="30" customHeight="1" x14ac:dyDescent="0.2">
      <c r="A207" s="20" t="str">
        <f t="shared" si="2"/>
        <v/>
      </c>
      <c r="B207" s="31">
        <v>44160</v>
      </c>
      <c r="C207" s="40">
        <f>PR[[#This Row],[Date]]</f>
        <v>44160</v>
      </c>
      <c r="D207" s="41" t="s">
        <v>467</v>
      </c>
      <c r="E207" s="32" t="s">
        <v>35</v>
      </c>
      <c r="F207" s="33" t="str">
        <f>IFERROR(INDEX(Database!C:C,MATCH(PR[[#This Row],[Journalist]],Database!B:B,0)),"")</f>
        <v>Email or Phone 2</v>
      </c>
      <c r="G207" s="32" t="s">
        <v>259</v>
      </c>
      <c r="H207" s="32" t="s">
        <v>44</v>
      </c>
      <c r="I207" s="32" t="s">
        <v>36</v>
      </c>
      <c r="J207" s="34" t="s">
        <v>446</v>
      </c>
      <c r="K207" s="32" t="s">
        <v>51</v>
      </c>
      <c r="L207" s="33">
        <f>IFERROR(INDEX(Database!J:J,MATCH(PR[[#This Row],[Article Category]],Database!I:I,0)),"")</f>
        <v>40</v>
      </c>
      <c r="M207" s="32" t="s">
        <v>54</v>
      </c>
      <c r="N207" s="35">
        <v>5</v>
      </c>
      <c r="O207" s="32"/>
    </row>
    <row r="208" spans="1:15" ht="30" customHeight="1" x14ac:dyDescent="0.2">
      <c r="A208" s="20" t="str">
        <f t="shared" si="2"/>
        <v/>
      </c>
      <c r="B208" s="31">
        <v>44193</v>
      </c>
      <c r="C208" s="40">
        <f>PR[[#This Row],[Date]]</f>
        <v>44193</v>
      </c>
      <c r="D208" s="41" t="s">
        <v>467</v>
      </c>
      <c r="E208" s="32" t="s">
        <v>35</v>
      </c>
      <c r="F208" s="33" t="str">
        <f>IFERROR(INDEX(Database!C:C,MATCH(PR[[#This Row],[Journalist]],Database!B:B,0)),"")</f>
        <v>Email or Phone 2</v>
      </c>
      <c r="G208" s="32" t="s">
        <v>260</v>
      </c>
      <c r="H208" s="32" t="s">
        <v>43</v>
      </c>
      <c r="I208" s="32" t="s">
        <v>37</v>
      </c>
      <c r="J208" s="34" t="s">
        <v>447</v>
      </c>
      <c r="K208" s="32" t="s">
        <v>49</v>
      </c>
      <c r="L208" s="33">
        <f>IFERROR(INDEX(Database!J:J,MATCH(PR[[#This Row],[Article Category]],Database!I:I,0)),"")</f>
        <v>20</v>
      </c>
      <c r="M208" s="32" t="s">
        <v>53</v>
      </c>
      <c r="N208" s="35">
        <v>5</v>
      </c>
      <c r="O208" s="32"/>
    </row>
    <row r="209" spans="1:1" ht="30" customHeight="1" x14ac:dyDescent="0.2">
      <c r="A209" s="20" t="str">
        <f t="shared" si="2"/>
        <v>Select Audit Point---&gt;</v>
      </c>
    </row>
    <row r="210" spans="1:1" ht="30" customHeight="1" x14ac:dyDescent="0.2">
      <c r="A210" s="20" t="str">
        <f t="shared" si="2"/>
        <v/>
      </c>
    </row>
    <row r="211" spans="1:1" ht="30" customHeight="1" x14ac:dyDescent="0.2">
      <c r="A211" s="20" t="str">
        <f t="shared" si="2"/>
        <v/>
      </c>
    </row>
    <row r="212" spans="1:1" ht="30" customHeight="1" x14ac:dyDescent="0.2">
      <c r="A212" s="20" t="str">
        <f t="shared" si="2"/>
        <v/>
      </c>
    </row>
    <row r="213" spans="1:1" ht="30" customHeight="1" x14ac:dyDescent="0.2">
      <c r="A213" s="20" t="str">
        <f t="shared" si="2"/>
        <v/>
      </c>
    </row>
    <row r="214" spans="1:1" ht="30" customHeight="1" x14ac:dyDescent="0.2">
      <c r="A214" s="20" t="str">
        <f t="shared" si="2"/>
        <v/>
      </c>
    </row>
    <row r="215" spans="1:1" ht="30" customHeight="1" x14ac:dyDescent="0.2">
      <c r="A215" s="20" t="str">
        <f t="shared" ref="A215:A278" si="3">IF(AND(B214&lt;&gt;"",B215=""),"Select Audit Point---&gt;","")</f>
        <v/>
      </c>
    </row>
    <row r="216" spans="1:1" ht="30" customHeight="1" x14ac:dyDescent="0.2">
      <c r="A216" s="20" t="str">
        <f t="shared" si="3"/>
        <v/>
      </c>
    </row>
    <row r="217" spans="1:1" ht="30" customHeight="1" x14ac:dyDescent="0.2">
      <c r="A217" s="20" t="str">
        <f t="shared" si="3"/>
        <v/>
      </c>
    </row>
    <row r="218" spans="1:1" ht="30" customHeight="1" x14ac:dyDescent="0.2">
      <c r="A218" s="20" t="str">
        <f t="shared" si="3"/>
        <v/>
      </c>
    </row>
    <row r="219" spans="1:1" ht="30" customHeight="1" x14ac:dyDescent="0.2">
      <c r="A219" s="20" t="str">
        <f t="shared" si="3"/>
        <v/>
      </c>
    </row>
    <row r="220" spans="1:1" ht="30" customHeight="1" x14ac:dyDescent="0.2">
      <c r="A220" s="20" t="str">
        <f t="shared" si="3"/>
        <v/>
      </c>
    </row>
    <row r="221" spans="1:1" ht="30" customHeight="1" x14ac:dyDescent="0.2">
      <c r="A221" s="20" t="str">
        <f t="shared" si="3"/>
        <v/>
      </c>
    </row>
    <row r="222" spans="1:1" ht="30" customHeight="1" x14ac:dyDescent="0.2">
      <c r="A222" s="20" t="str">
        <f t="shared" si="3"/>
        <v/>
      </c>
    </row>
    <row r="223" spans="1:1" ht="30" customHeight="1" x14ac:dyDescent="0.2">
      <c r="A223" s="20" t="str">
        <f t="shared" si="3"/>
        <v/>
      </c>
    </row>
    <row r="224" spans="1:1" ht="30" customHeight="1" x14ac:dyDescent="0.2">
      <c r="A224" s="20" t="str">
        <f t="shared" si="3"/>
        <v/>
      </c>
    </row>
    <row r="225" spans="1:1" ht="30" customHeight="1" x14ac:dyDescent="0.2">
      <c r="A225" s="20" t="str">
        <f t="shared" si="3"/>
        <v/>
      </c>
    </row>
    <row r="226" spans="1:1" ht="30" customHeight="1" x14ac:dyDescent="0.2">
      <c r="A226" s="20" t="str">
        <f t="shared" si="3"/>
        <v/>
      </c>
    </row>
    <row r="227" spans="1:1" ht="30" customHeight="1" x14ac:dyDescent="0.2">
      <c r="A227" s="20" t="str">
        <f t="shared" si="3"/>
        <v/>
      </c>
    </row>
    <row r="228" spans="1:1" ht="30" customHeight="1" x14ac:dyDescent="0.2">
      <c r="A228" s="20" t="str">
        <f t="shared" si="3"/>
        <v/>
      </c>
    </row>
    <row r="229" spans="1:1" ht="30" customHeight="1" x14ac:dyDescent="0.2">
      <c r="A229" s="20" t="str">
        <f t="shared" si="3"/>
        <v/>
      </c>
    </row>
    <row r="230" spans="1:1" ht="30" customHeight="1" x14ac:dyDescent="0.2">
      <c r="A230" s="20" t="str">
        <f t="shared" si="3"/>
        <v/>
      </c>
    </row>
    <row r="231" spans="1:1" ht="30" customHeight="1" x14ac:dyDescent="0.2">
      <c r="A231" s="20" t="str">
        <f t="shared" si="3"/>
        <v/>
      </c>
    </row>
    <row r="232" spans="1:1" ht="30" customHeight="1" x14ac:dyDescent="0.2">
      <c r="A232" s="20" t="str">
        <f t="shared" si="3"/>
        <v/>
      </c>
    </row>
    <row r="233" spans="1:1" ht="30" customHeight="1" x14ac:dyDescent="0.2">
      <c r="A233" s="20" t="str">
        <f t="shared" si="3"/>
        <v/>
      </c>
    </row>
    <row r="234" spans="1:1" ht="30" customHeight="1" x14ac:dyDescent="0.2">
      <c r="A234" s="20" t="str">
        <f t="shared" si="3"/>
        <v/>
      </c>
    </row>
    <row r="235" spans="1:1" ht="30" customHeight="1" x14ac:dyDescent="0.2">
      <c r="A235" s="20" t="str">
        <f t="shared" si="3"/>
        <v/>
      </c>
    </row>
    <row r="236" spans="1:1" ht="30" customHeight="1" x14ac:dyDescent="0.2">
      <c r="A236" s="20" t="str">
        <f t="shared" si="3"/>
        <v/>
      </c>
    </row>
    <row r="237" spans="1:1" ht="30" customHeight="1" x14ac:dyDescent="0.2">
      <c r="A237" s="20" t="str">
        <f t="shared" si="3"/>
        <v/>
      </c>
    </row>
    <row r="238" spans="1:1" ht="30" customHeight="1" x14ac:dyDescent="0.2">
      <c r="A238" s="20" t="str">
        <f t="shared" si="3"/>
        <v/>
      </c>
    </row>
    <row r="239" spans="1:1" ht="30" customHeight="1" x14ac:dyDescent="0.2">
      <c r="A239" s="20" t="str">
        <f t="shared" si="3"/>
        <v/>
      </c>
    </row>
    <row r="240" spans="1:1" ht="30" customHeight="1" x14ac:dyDescent="0.2">
      <c r="A240" s="20" t="str">
        <f t="shared" si="3"/>
        <v/>
      </c>
    </row>
    <row r="241" spans="1:1" ht="30" customHeight="1" x14ac:dyDescent="0.2">
      <c r="A241" s="20" t="str">
        <f t="shared" si="3"/>
        <v/>
      </c>
    </row>
    <row r="242" spans="1:1" ht="30" customHeight="1" x14ac:dyDescent="0.2">
      <c r="A242" s="20" t="str">
        <f t="shared" si="3"/>
        <v/>
      </c>
    </row>
    <row r="243" spans="1:1" ht="30" customHeight="1" x14ac:dyDescent="0.2">
      <c r="A243" s="20" t="str">
        <f t="shared" si="3"/>
        <v/>
      </c>
    </row>
    <row r="244" spans="1:1" ht="30" customHeight="1" x14ac:dyDescent="0.2">
      <c r="A244" s="20" t="str">
        <f t="shared" si="3"/>
        <v/>
      </c>
    </row>
    <row r="245" spans="1:1" ht="30" customHeight="1" x14ac:dyDescent="0.2">
      <c r="A245" s="20" t="str">
        <f t="shared" si="3"/>
        <v/>
      </c>
    </row>
    <row r="246" spans="1:1" ht="30" customHeight="1" x14ac:dyDescent="0.2">
      <c r="A246" s="20" t="str">
        <f t="shared" si="3"/>
        <v/>
      </c>
    </row>
    <row r="247" spans="1:1" ht="30" customHeight="1" x14ac:dyDescent="0.2">
      <c r="A247" s="20" t="str">
        <f t="shared" si="3"/>
        <v/>
      </c>
    </row>
    <row r="248" spans="1:1" ht="30" customHeight="1" x14ac:dyDescent="0.2">
      <c r="A248" s="20" t="str">
        <f t="shared" si="3"/>
        <v/>
      </c>
    </row>
    <row r="249" spans="1:1" ht="30" customHeight="1" x14ac:dyDescent="0.2">
      <c r="A249" s="20" t="str">
        <f t="shared" si="3"/>
        <v/>
      </c>
    </row>
    <row r="250" spans="1:1" ht="30" customHeight="1" x14ac:dyDescent="0.2">
      <c r="A250" s="20" t="str">
        <f t="shared" si="3"/>
        <v/>
      </c>
    </row>
    <row r="251" spans="1:1" ht="30" customHeight="1" x14ac:dyDescent="0.2">
      <c r="A251" s="20" t="str">
        <f t="shared" si="3"/>
        <v/>
      </c>
    </row>
    <row r="252" spans="1:1" ht="30" customHeight="1" x14ac:dyDescent="0.2">
      <c r="A252" s="20" t="str">
        <f t="shared" si="3"/>
        <v/>
      </c>
    </row>
    <row r="253" spans="1:1" ht="30" customHeight="1" x14ac:dyDescent="0.2">
      <c r="A253" s="20" t="str">
        <f t="shared" si="3"/>
        <v/>
      </c>
    </row>
    <row r="254" spans="1:1" ht="30" customHeight="1" x14ac:dyDescent="0.2">
      <c r="A254" s="20" t="str">
        <f t="shared" si="3"/>
        <v/>
      </c>
    </row>
    <row r="255" spans="1:1" ht="30" customHeight="1" x14ac:dyDescent="0.2">
      <c r="A255" s="20" t="str">
        <f t="shared" si="3"/>
        <v/>
      </c>
    </row>
    <row r="256" spans="1:1" ht="30" customHeight="1" x14ac:dyDescent="0.2">
      <c r="A256" s="20" t="str">
        <f t="shared" si="3"/>
        <v/>
      </c>
    </row>
    <row r="257" spans="1:1" ht="30" customHeight="1" x14ac:dyDescent="0.2">
      <c r="A257" s="20" t="str">
        <f t="shared" si="3"/>
        <v/>
      </c>
    </row>
    <row r="258" spans="1:1" ht="30" customHeight="1" x14ac:dyDescent="0.2">
      <c r="A258" s="20" t="str">
        <f t="shared" si="3"/>
        <v/>
      </c>
    </row>
    <row r="259" spans="1:1" ht="30" customHeight="1" x14ac:dyDescent="0.2">
      <c r="A259" s="20" t="str">
        <f t="shared" si="3"/>
        <v/>
      </c>
    </row>
    <row r="260" spans="1:1" ht="30" customHeight="1" x14ac:dyDescent="0.2">
      <c r="A260" s="20" t="str">
        <f t="shared" si="3"/>
        <v/>
      </c>
    </row>
    <row r="261" spans="1:1" ht="30" customHeight="1" x14ac:dyDescent="0.2">
      <c r="A261" s="20" t="str">
        <f t="shared" si="3"/>
        <v/>
      </c>
    </row>
    <row r="262" spans="1:1" ht="30" customHeight="1" x14ac:dyDescent="0.2">
      <c r="A262" s="20" t="str">
        <f t="shared" si="3"/>
        <v/>
      </c>
    </row>
    <row r="263" spans="1:1" ht="30" customHeight="1" x14ac:dyDescent="0.2">
      <c r="A263" s="20" t="str">
        <f t="shared" si="3"/>
        <v/>
      </c>
    </row>
    <row r="264" spans="1:1" ht="30" customHeight="1" x14ac:dyDescent="0.2">
      <c r="A264" s="20" t="str">
        <f t="shared" si="3"/>
        <v/>
      </c>
    </row>
    <row r="265" spans="1:1" ht="30" customHeight="1" x14ac:dyDescent="0.2">
      <c r="A265" s="20" t="str">
        <f t="shared" si="3"/>
        <v/>
      </c>
    </row>
    <row r="266" spans="1:1" ht="30" customHeight="1" x14ac:dyDescent="0.2">
      <c r="A266" s="20" t="str">
        <f t="shared" si="3"/>
        <v/>
      </c>
    </row>
    <row r="267" spans="1:1" ht="30" customHeight="1" x14ac:dyDescent="0.2">
      <c r="A267" s="20" t="str">
        <f t="shared" si="3"/>
        <v/>
      </c>
    </row>
    <row r="268" spans="1:1" ht="30" customHeight="1" x14ac:dyDescent="0.2">
      <c r="A268" s="20" t="str">
        <f t="shared" si="3"/>
        <v/>
      </c>
    </row>
    <row r="269" spans="1:1" ht="30" customHeight="1" x14ac:dyDescent="0.2">
      <c r="A269" s="20" t="str">
        <f t="shared" si="3"/>
        <v/>
      </c>
    </row>
    <row r="270" spans="1:1" ht="30" customHeight="1" x14ac:dyDescent="0.2">
      <c r="A270" s="20" t="str">
        <f t="shared" si="3"/>
        <v/>
      </c>
    </row>
    <row r="271" spans="1:1" ht="30" customHeight="1" x14ac:dyDescent="0.2">
      <c r="A271" s="20" t="str">
        <f t="shared" si="3"/>
        <v/>
      </c>
    </row>
    <row r="272" spans="1:1" ht="30" customHeight="1" x14ac:dyDescent="0.2">
      <c r="A272" s="20" t="str">
        <f t="shared" si="3"/>
        <v/>
      </c>
    </row>
    <row r="273" spans="1:1" ht="30" customHeight="1" x14ac:dyDescent="0.2">
      <c r="A273" s="20" t="str">
        <f t="shared" si="3"/>
        <v/>
      </c>
    </row>
    <row r="274" spans="1:1" ht="30" customHeight="1" x14ac:dyDescent="0.2">
      <c r="A274" s="20" t="str">
        <f t="shared" si="3"/>
        <v/>
      </c>
    </row>
    <row r="275" spans="1:1" ht="30" customHeight="1" x14ac:dyDescent="0.2">
      <c r="A275" s="20" t="str">
        <f t="shared" si="3"/>
        <v/>
      </c>
    </row>
    <row r="276" spans="1:1" ht="30" customHeight="1" x14ac:dyDescent="0.2">
      <c r="A276" s="20" t="str">
        <f t="shared" si="3"/>
        <v/>
      </c>
    </row>
    <row r="277" spans="1:1" ht="30" customHeight="1" x14ac:dyDescent="0.2">
      <c r="A277" s="20" t="str">
        <f t="shared" si="3"/>
        <v/>
      </c>
    </row>
    <row r="278" spans="1:1" ht="30" customHeight="1" x14ac:dyDescent="0.2">
      <c r="A278" s="20" t="str">
        <f t="shared" si="3"/>
        <v/>
      </c>
    </row>
    <row r="279" spans="1:1" ht="30" customHeight="1" x14ac:dyDescent="0.2">
      <c r="A279" s="20" t="str">
        <f t="shared" ref="A279:A342" si="4">IF(AND(B278&lt;&gt;"",B279=""),"Select Audit Point---&gt;","")</f>
        <v/>
      </c>
    </row>
    <row r="280" spans="1:1" ht="30" customHeight="1" x14ac:dyDescent="0.2">
      <c r="A280" s="20" t="str">
        <f t="shared" si="4"/>
        <v/>
      </c>
    </row>
    <row r="281" spans="1:1" ht="30" customHeight="1" x14ac:dyDescent="0.2">
      <c r="A281" s="20" t="str">
        <f t="shared" si="4"/>
        <v/>
      </c>
    </row>
    <row r="282" spans="1:1" ht="30" customHeight="1" x14ac:dyDescent="0.2">
      <c r="A282" s="20" t="str">
        <f t="shared" si="4"/>
        <v/>
      </c>
    </row>
    <row r="283" spans="1:1" ht="30" customHeight="1" x14ac:dyDescent="0.2">
      <c r="A283" s="20" t="str">
        <f t="shared" si="4"/>
        <v/>
      </c>
    </row>
    <row r="284" spans="1:1" ht="30" customHeight="1" x14ac:dyDescent="0.2">
      <c r="A284" s="20" t="str">
        <f t="shared" si="4"/>
        <v/>
      </c>
    </row>
    <row r="285" spans="1:1" ht="30" customHeight="1" x14ac:dyDescent="0.2">
      <c r="A285" s="20" t="str">
        <f t="shared" si="4"/>
        <v/>
      </c>
    </row>
    <row r="286" spans="1:1" ht="30" customHeight="1" x14ac:dyDescent="0.2">
      <c r="A286" s="20" t="str">
        <f t="shared" si="4"/>
        <v/>
      </c>
    </row>
    <row r="287" spans="1:1" ht="30" customHeight="1" x14ac:dyDescent="0.2">
      <c r="A287" s="20" t="str">
        <f t="shared" si="4"/>
        <v/>
      </c>
    </row>
    <row r="288" spans="1:1" ht="30" customHeight="1" x14ac:dyDescent="0.2">
      <c r="A288" s="20" t="str">
        <f t="shared" si="4"/>
        <v/>
      </c>
    </row>
    <row r="289" spans="1:1" ht="30" customHeight="1" x14ac:dyDescent="0.2">
      <c r="A289" s="20" t="str">
        <f t="shared" si="4"/>
        <v/>
      </c>
    </row>
    <row r="290" spans="1:1" ht="30" customHeight="1" x14ac:dyDescent="0.2">
      <c r="A290" s="20" t="str">
        <f t="shared" si="4"/>
        <v/>
      </c>
    </row>
    <row r="291" spans="1:1" ht="30" customHeight="1" x14ac:dyDescent="0.2">
      <c r="A291" s="20" t="str">
        <f t="shared" si="4"/>
        <v/>
      </c>
    </row>
    <row r="292" spans="1:1" ht="30" customHeight="1" x14ac:dyDescent="0.2">
      <c r="A292" s="20" t="str">
        <f t="shared" si="4"/>
        <v/>
      </c>
    </row>
    <row r="293" spans="1:1" ht="30" customHeight="1" x14ac:dyDescent="0.2">
      <c r="A293" s="20" t="str">
        <f t="shared" si="4"/>
        <v/>
      </c>
    </row>
    <row r="294" spans="1:1" ht="30" customHeight="1" x14ac:dyDescent="0.2">
      <c r="A294" s="20" t="str">
        <f t="shared" si="4"/>
        <v/>
      </c>
    </row>
    <row r="295" spans="1:1" ht="30" customHeight="1" x14ac:dyDescent="0.2">
      <c r="A295" s="20" t="str">
        <f t="shared" si="4"/>
        <v/>
      </c>
    </row>
    <row r="296" spans="1:1" ht="30" customHeight="1" x14ac:dyDescent="0.2">
      <c r="A296" s="20" t="str">
        <f t="shared" si="4"/>
        <v/>
      </c>
    </row>
    <row r="297" spans="1:1" ht="30" customHeight="1" x14ac:dyDescent="0.2">
      <c r="A297" s="20" t="str">
        <f t="shared" si="4"/>
        <v/>
      </c>
    </row>
    <row r="298" spans="1:1" ht="30" customHeight="1" x14ac:dyDescent="0.2">
      <c r="A298" s="20" t="str">
        <f t="shared" si="4"/>
        <v/>
      </c>
    </row>
    <row r="299" spans="1:1" ht="30" customHeight="1" x14ac:dyDescent="0.2">
      <c r="A299" s="20" t="str">
        <f t="shared" si="4"/>
        <v/>
      </c>
    </row>
    <row r="300" spans="1:1" ht="30" customHeight="1" x14ac:dyDescent="0.2">
      <c r="A300" s="20" t="str">
        <f t="shared" si="4"/>
        <v/>
      </c>
    </row>
    <row r="301" spans="1:1" ht="30" customHeight="1" x14ac:dyDescent="0.2">
      <c r="A301" s="20" t="str">
        <f t="shared" si="4"/>
        <v/>
      </c>
    </row>
    <row r="302" spans="1:1" ht="30" customHeight="1" x14ac:dyDescent="0.2">
      <c r="A302" s="20" t="str">
        <f t="shared" si="4"/>
        <v/>
      </c>
    </row>
    <row r="303" spans="1:1" ht="30" customHeight="1" x14ac:dyDescent="0.2">
      <c r="A303" s="20" t="str">
        <f t="shared" si="4"/>
        <v/>
      </c>
    </row>
    <row r="304" spans="1:1" ht="30" customHeight="1" x14ac:dyDescent="0.2">
      <c r="A304" s="20" t="str">
        <f t="shared" si="4"/>
        <v/>
      </c>
    </row>
    <row r="305" spans="1:1" ht="30" customHeight="1" x14ac:dyDescent="0.2">
      <c r="A305" s="20" t="str">
        <f t="shared" si="4"/>
        <v/>
      </c>
    </row>
    <row r="306" spans="1:1" ht="30" customHeight="1" x14ac:dyDescent="0.2">
      <c r="A306" s="20" t="str">
        <f t="shared" si="4"/>
        <v/>
      </c>
    </row>
    <row r="307" spans="1:1" ht="30" customHeight="1" x14ac:dyDescent="0.2">
      <c r="A307" s="20" t="str">
        <f t="shared" si="4"/>
        <v/>
      </c>
    </row>
    <row r="308" spans="1:1" ht="30" customHeight="1" x14ac:dyDescent="0.2">
      <c r="A308" s="20" t="str">
        <f t="shared" si="4"/>
        <v/>
      </c>
    </row>
    <row r="309" spans="1:1" ht="30" customHeight="1" x14ac:dyDescent="0.2">
      <c r="A309" s="20" t="str">
        <f t="shared" si="4"/>
        <v/>
      </c>
    </row>
    <row r="310" spans="1:1" ht="30" customHeight="1" x14ac:dyDescent="0.2">
      <c r="A310" s="20" t="str">
        <f t="shared" si="4"/>
        <v/>
      </c>
    </row>
    <row r="311" spans="1:1" ht="30" customHeight="1" x14ac:dyDescent="0.2">
      <c r="A311" s="20" t="str">
        <f t="shared" si="4"/>
        <v/>
      </c>
    </row>
    <row r="312" spans="1:1" ht="30" customHeight="1" x14ac:dyDescent="0.2">
      <c r="A312" s="20" t="str">
        <f t="shared" si="4"/>
        <v/>
      </c>
    </row>
    <row r="313" spans="1:1" ht="30" customHeight="1" x14ac:dyDescent="0.2">
      <c r="A313" s="20" t="str">
        <f t="shared" si="4"/>
        <v/>
      </c>
    </row>
    <row r="314" spans="1:1" ht="30" customHeight="1" x14ac:dyDescent="0.2">
      <c r="A314" s="20" t="str">
        <f t="shared" si="4"/>
        <v/>
      </c>
    </row>
    <row r="315" spans="1:1" ht="30" customHeight="1" x14ac:dyDescent="0.2">
      <c r="A315" s="20" t="str">
        <f t="shared" si="4"/>
        <v/>
      </c>
    </row>
    <row r="316" spans="1:1" ht="30" customHeight="1" x14ac:dyDescent="0.2">
      <c r="A316" s="20" t="str">
        <f t="shared" si="4"/>
        <v/>
      </c>
    </row>
    <row r="317" spans="1:1" ht="30" customHeight="1" x14ac:dyDescent="0.2">
      <c r="A317" s="20" t="str">
        <f t="shared" si="4"/>
        <v/>
      </c>
    </row>
    <row r="318" spans="1:1" ht="30" customHeight="1" x14ac:dyDescent="0.2">
      <c r="A318" s="20" t="str">
        <f t="shared" si="4"/>
        <v/>
      </c>
    </row>
    <row r="319" spans="1:1" ht="30" customHeight="1" x14ac:dyDescent="0.2">
      <c r="A319" s="20" t="str">
        <f t="shared" si="4"/>
        <v/>
      </c>
    </row>
    <row r="320" spans="1:1" ht="30" customHeight="1" x14ac:dyDescent="0.2">
      <c r="A320" s="20" t="str">
        <f t="shared" si="4"/>
        <v/>
      </c>
    </row>
    <row r="321" spans="1:1" ht="30" customHeight="1" x14ac:dyDescent="0.2">
      <c r="A321" s="20" t="str">
        <f t="shared" si="4"/>
        <v/>
      </c>
    </row>
    <row r="322" spans="1:1" ht="30" customHeight="1" x14ac:dyDescent="0.2">
      <c r="A322" s="20" t="str">
        <f t="shared" si="4"/>
        <v/>
      </c>
    </row>
    <row r="323" spans="1:1" ht="30" customHeight="1" x14ac:dyDescent="0.2">
      <c r="A323" s="20" t="str">
        <f t="shared" si="4"/>
        <v/>
      </c>
    </row>
    <row r="324" spans="1:1" ht="30" customHeight="1" x14ac:dyDescent="0.2">
      <c r="A324" s="20" t="str">
        <f t="shared" si="4"/>
        <v/>
      </c>
    </row>
    <row r="325" spans="1:1" ht="30" customHeight="1" x14ac:dyDescent="0.2">
      <c r="A325" s="20" t="str">
        <f t="shared" si="4"/>
        <v/>
      </c>
    </row>
    <row r="326" spans="1:1" ht="30" customHeight="1" x14ac:dyDescent="0.2">
      <c r="A326" s="20" t="str">
        <f t="shared" si="4"/>
        <v/>
      </c>
    </row>
    <row r="327" spans="1:1" ht="30" customHeight="1" x14ac:dyDescent="0.2">
      <c r="A327" s="20" t="str">
        <f t="shared" si="4"/>
        <v/>
      </c>
    </row>
    <row r="328" spans="1:1" ht="30" customHeight="1" x14ac:dyDescent="0.2">
      <c r="A328" s="20" t="str">
        <f t="shared" si="4"/>
        <v/>
      </c>
    </row>
    <row r="329" spans="1:1" ht="30" customHeight="1" x14ac:dyDescent="0.2">
      <c r="A329" s="20" t="str">
        <f t="shared" si="4"/>
        <v/>
      </c>
    </row>
    <row r="330" spans="1:1" ht="30" customHeight="1" x14ac:dyDescent="0.2">
      <c r="A330" s="20" t="str">
        <f t="shared" si="4"/>
        <v/>
      </c>
    </row>
    <row r="331" spans="1:1" ht="30" customHeight="1" x14ac:dyDescent="0.2">
      <c r="A331" s="20" t="str">
        <f t="shared" si="4"/>
        <v/>
      </c>
    </row>
    <row r="332" spans="1:1" ht="30" customHeight="1" x14ac:dyDescent="0.2">
      <c r="A332" s="20" t="str">
        <f t="shared" si="4"/>
        <v/>
      </c>
    </row>
    <row r="333" spans="1:1" ht="30" customHeight="1" x14ac:dyDescent="0.2">
      <c r="A333" s="20" t="str">
        <f t="shared" si="4"/>
        <v/>
      </c>
    </row>
    <row r="334" spans="1:1" ht="30" customHeight="1" x14ac:dyDescent="0.2">
      <c r="A334" s="20" t="str">
        <f t="shared" si="4"/>
        <v/>
      </c>
    </row>
    <row r="335" spans="1:1" ht="30" customHeight="1" x14ac:dyDescent="0.2">
      <c r="A335" s="20" t="str">
        <f t="shared" si="4"/>
        <v/>
      </c>
    </row>
    <row r="336" spans="1:1" ht="30" customHeight="1" x14ac:dyDescent="0.2">
      <c r="A336" s="20" t="str">
        <f t="shared" si="4"/>
        <v/>
      </c>
    </row>
    <row r="337" spans="1:1" ht="30" customHeight="1" x14ac:dyDescent="0.2">
      <c r="A337" s="20" t="str">
        <f t="shared" si="4"/>
        <v/>
      </c>
    </row>
    <row r="338" spans="1:1" ht="30" customHeight="1" x14ac:dyDescent="0.2">
      <c r="A338" s="20" t="str">
        <f t="shared" si="4"/>
        <v/>
      </c>
    </row>
    <row r="339" spans="1:1" ht="30" customHeight="1" x14ac:dyDescent="0.2">
      <c r="A339" s="20" t="str">
        <f t="shared" si="4"/>
        <v/>
      </c>
    </row>
    <row r="340" spans="1:1" ht="30" customHeight="1" x14ac:dyDescent="0.2">
      <c r="A340" s="20" t="str">
        <f t="shared" si="4"/>
        <v/>
      </c>
    </row>
    <row r="341" spans="1:1" ht="30" customHeight="1" x14ac:dyDescent="0.2">
      <c r="A341" s="20" t="str">
        <f t="shared" si="4"/>
        <v/>
      </c>
    </row>
    <row r="342" spans="1:1" ht="30" customHeight="1" x14ac:dyDescent="0.2">
      <c r="A342" s="20" t="str">
        <f t="shared" si="4"/>
        <v/>
      </c>
    </row>
    <row r="343" spans="1:1" ht="30" customHeight="1" x14ac:dyDescent="0.2">
      <c r="A343" s="20" t="str">
        <f t="shared" ref="A343:A406" si="5">IF(AND(B342&lt;&gt;"",B343=""),"Select Audit Point---&gt;","")</f>
        <v/>
      </c>
    </row>
    <row r="344" spans="1:1" ht="30" customHeight="1" x14ac:dyDescent="0.2">
      <c r="A344" s="20" t="str">
        <f t="shared" si="5"/>
        <v/>
      </c>
    </row>
    <row r="345" spans="1:1" ht="30" customHeight="1" x14ac:dyDescent="0.2">
      <c r="A345" s="20" t="str">
        <f t="shared" si="5"/>
        <v/>
      </c>
    </row>
    <row r="346" spans="1:1" ht="30" customHeight="1" x14ac:dyDescent="0.2">
      <c r="A346" s="20" t="str">
        <f t="shared" si="5"/>
        <v/>
      </c>
    </row>
    <row r="347" spans="1:1" ht="30" customHeight="1" x14ac:dyDescent="0.2">
      <c r="A347" s="20" t="str">
        <f t="shared" si="5"/>
        <v/>
      </c>
    </row>
    <row r="348" spans="1:1" ht="30" customHeight="1" x14ac:dyDescent="0.2">
      <c r="A348" s="20" t="str">
        <f t="shared" si="5"/>
        <v/>
      </c>
    </row>
    <row r="349" spans="1:1" ht="30" customHeight="1" x14ac:dyDescent="0.2">
      <c r="A349" s="20" t="str">
        <f t="shared" si="5"/>
        <v/>
      </c>
    </row>
    <row r="350" spans="1:1" ht="30" customHeight="1" x14ac:dyDescent="0.2">
      <c r="A350" s="20" t="str">
        <f t="shared" si="5"/>
        <v/>
      </c>
    </row>
    <row r="351" spans="1:1" ht="30" customHeight="1" x14ac:dyDescent="0.2">
      <c r="A351" s="20" t="str">
        <f t="shared" si="5"/>
        <v/>
      </c>
    </row>
    <row r="352" spans="1:1" ht="30" customHeight="1" x14ac:dyDescent="0.2">
      <c r="A352" s="20" t="str">
        <f t="shared" si="5"/>
        <v/>
      </c>
    </row>
    <row r="353" spans="1:1" ht="30" customHeight="1" x14ac:dyDescent="0.2">
      <c r="A353" s="20" t="str">
        <f t="shared" si="5"/>
        <v/>
      </c>
    </row>
    <row r="354" spans="1:1" ht="30" customHeight="1" x14ac:dyDescent="0.2">
      <c r="A354" s="20" t="str">
        <f t="shared" si="5"/>
        <v/>
      </c>
    </row>
    <row r="355" spans="1:1" ht="30" customHeight="1" x14ac:dyDescent="0.2">
      <c r="A355" s="20" t="str">
        <f t="shared" si="5"/>
        <v/>
      </c>
    </row>
    <row r="356" spans="1:1" ht="30" customHeight="1" x14ac:dyDescent="0.2">
      <c r="A356" s="20" t="str">
        <f t="shared" si="5"/>
        <v/>
      </c>
    </row>
    <row r="357" spans="1:1" ht="30" customHeight="1" x14ac:dyDescent="0.2">
      <c r="A357" s="20" t="str">
        <f t="shared" si="5"/>
        <v/>
      </c>
    </row>
    <row r="358" spans="1:1" ht="30" customHeight="1" x14ac:dyDescent="0.2">
      <c r="A358" s="20" t="str">
        <f t="shared" si="5"/>
        <v/>
      </c>
    </row>
    <row r="359" spans="1:1" ht="30" customHeight="1" x14ac:dyDescent="0.2">
      <c r="A359" s="20" t="str">
        <f t="shared" si="5"/>
        <v/>
      </c>
    </row>
    <row r="360" spans="1:1" ht="30" customHeight="1" x14ac:dyDescent="0.2">
      <c r="A360" s="20" t="str">
        <f t="shared" si="5"/>
        <v/>
      </c>
    </row>
    <row r="361" spans="1:1" ht="30" customHeight="1" x14ac:dyDescent="0.2">
      <c r="A361" s="20" t="str">
        <f t="shared" si="5"/>
        <v/>
      </c>
    </row>
    <row r="362" spans="1:1" ht="30" customHeight="1" x14ac:dyDescent="0.2">
      <c r="A362" s="20" t="str">
        <f t="shared" si="5"/>
        <v/>
      </c>
    </row>
    <row r="363" spans="1:1" ht="30" customHeight="1" x14ac:dyDescent="0.2">
      <c r="A363" s="20" t="str">
        <f t="shared" si="5"/>
        <v/>
      </c>
    </row>
    <row r="364" spans="1:1" ht="30" customHeight="1" x14ac:dyDescent="0.2">
      <c r="A364" s="20" t="str">
        <f t="shared" si="5"/>
        <v/>
      </c>
    </row>
    <row r="365" spans="1:1" ht="30" customHeight="1" x14ac:dyDescent="0.2">
      <c r="A365" s="20" t="str">
        <f t="shared" si="5"/>
        <v/>
      </c>
    </row>
    <row r="366" spans="1:1" ht="30" customHeight="1" x14ac:dyDescent="0.2">
      <c r="A366" s="20" t="str">
        <f t="shared" si="5"/>
        <v/>
      </c>
    </row>
    <row r="367" spans="1:1" ht="30" customHeight="1" x14ac:dyDescent="0.2">
      <c r="A367" s="20" t="str">
        <f t="shared" si="5"/>
        <v/>
      </c>
    </row>
    <row r="368" spans="1:1" ht="30" customHeight="1" x14ac:dyDescent="0.2">
      <c r="A368" s="20" t="str">
        <f t="shared" si="5"/>
        <v/>
      </c>
    </row>
    <row r="369" spans="1:1" ht="30" customHeight="1" x14ac:dyDescent="0.2">
      <c r="A369" s="20" t="str">
        <f t="shared" si="5"/>
        <v/>
      </c>
    </row>
    <row r="370" spans="1:1" ht="30" customHeight="1" x14ac:dyDescent="0.2">
      <c r="A370" s="20" t="str">
        <f t="shared" si="5"/>
        <v/>
      </c>
    </row>
    <row r="371" spans="1:1" ht="30" customHeight="1" x14ac:dyDescent="0.2">
      <c r="A371" s="20" t="str">
        <f t="shared" si="5"/>
        <v/>
      </c>
    </row>
    <row r="372" spans="1:1" ht="30" customHeight="1" x14ac:dyDescent="0.2">
      <c r="A372" s="20" t="str">
        <f t="shared" si="5"/>
        <v/>
      </c>
    </row>
    <row r="373" spans="1:1" ht="30" customHeight="1" x14ac:dyDescent="0.2">
      <c r="A373" s="20" t="str">
        <f t="shared" si="5"/>
        <v/>
      </c>
    </row>
    <row r="374" spans="1:1" ht="30" customHeight="1" x14ac:dyDescent="0.2">
      <c r="A374" s="20" t="str">
        <f t="shared" si="5"/>
        <v/>
      </c>
    </row>
    <row r="375" spans="1:1" ht="30" customHeight="1" x14ac:dyDescent="0.2">
      <c r="A375" s="20" t="str">
        <f t="shared" si="5"/>
        <v/>
      </c>
    </row>
    <row r="376" spans="1:1" ht="30" customHeight="1" x14ac:dyDescent="0.2">
      <c r="A376" s="20" t="str">
        <f t="shared" si="5"/>
        <v/>
      </c>
    </row>
    <row r="377" spans="1:1" ht="30" customHeight="1" x14ac:dyDescent="0.2">
      <c r="A377" s="20" t="str">
        <f t="shared" si="5"/>
        <v/>
      </c>
    </row>
    <row r="378" spans="1:1" ht="30" customHeight="1" x14ac:dyDescent="0.2">
      <c r="A378" s="20" t="str">
        <f t="shared" si="5"/>
        <v/>
      </c>
    </row>
    <row r="379" spans="1:1" ht="30" customHeight="1" x14ac:dyDescent="0.2">
      <c r="A379" s="20" t="str">
        <f t="shared" si="5"/>
        <v/>
      </c>
    </row>
    <row r="380" spans="1:1" ht="30" customHeight="1" x14ac:dyDescent="0.2">
      <c r="A380" s="20" t="str">
        <f t="shared" si="5"/>
        <v/>
      </c>
    </row>
    <row r="381" spans="1:1" ht="30" customHeight="1" x14ac:dyDescent="0.2">
      <c r="A381" s="20" t="str">
        <f t="shared" si="5"/>
        <v/>
      </c>
    </row>
    <row r="382" spans="1:1" ht="30" customHeight="1" x14ac:dyDescent="0.2">
      <c r="A382" s="20" t="str">
        <f t="shared" si="5"/>
        <v/>
      </c>
    </row>
    <row r="383" spans="1:1" ht="30" customHeight="1" x14ac:dyDescent="0.2">
      <c r="A383" s="20" t="str">
        <f t="shared" si="5"/>
        <v/>
      </c>
    </row>
    <row r="384" spans="1:1" ht="30" customHeight="1" x14ac:dyDescent="0.2">
      <c r="A384" s="20" t="str">
        <f t="shared" si="5"/>
        <v/>
      </c>
    </row>
    <row r="385" spans="1:1" ht="30" customHeight="1" x14ac:dyDescent="0.2">
      <c r="A385" s="20" t="str">
        <f t="shared" si="5"/>
        <v/>
      </c>
    </row>
    <row r="386" spans="1:1" ht="30" customHeight="1" x14ac:dyDescent="0.2">
      <c r="A386" s="20" t="str">
        <f t="shared" si="5"/>
        <v/>
      </c>
    </row>
    <row r="387" spans="1:1" ht="30" customHeight="1" x14ac:dyDescent="0.2">
      <c r="A387" s="20" t="str">
        <f t="shared" si="5"/>
        <v/>
      </c>
    </row>
    <row r="388" spans="1:1" ht="30" customHeight="1" x14ac:dyDescent="0.2">
      <c r="A388" s="20" t="str">
        <f t="shared" si="5"/>
        <v/>
      </c>
    </row>
    <row r="389" spans="1:1" ht="30" customHeight="1" x14ac:dyDescent="0.2">
      <c r="A389" s="20" t="str">
        <f t="shared" si="5"/>
        <v/>
      </c>
    </row>
    <row r="390" spans="1:1" ht="30" customHeight="1" x14ac:dyDescent="0.2">
      <c r="A390" s="20" t="str">
        <f t="shared" si="5"/>
        <v/>
      </c>
    </row>
    <row r="391" spans="1:1" ht="30" customHeight="1" x14ac:dyDescent="0.2">
      <c r="A391" s="20" t="str">
        <f t="shared" si="5"/>
        <v/>
      </c>
    </row>
    <row r="392" spans="1:1" ht="30" customHeight="1" x14ac:dyDescent="0.2">
      <c r="A392" s="20" t="str">
        <f t="shared" si="5"/>
        <v/>
      </c>
    </row>
    <row r="393" spans="1:1" ht="30" customHeight="1" x14ac:dyDescent="0.2">
      <c r="A393" s="20" t="str">
        <f t="shared" si="5"/>
        <v/>
      </c>
    </row>
    <row r="394" spans="1:1" ht="30" customHeight="1" x14ac:dyDescent="0.2">
      <c r="A394" s="20" t="str">
        <f t="shared" si="5"/>
        <v/>
      </c>
    </row>
    <row r="395" spans="1:1" ht="30" customHeight="1" x14ac:dyDescent="0.2">
      <c r="A395" s="20" t="str">
        <f t="shared" si="5"/>
        <v/>
      </c>
    </row>
    <row r="396" spans="1:1" ht="30" customHeight="1" x14ac:dyDescent="0.2">
      <c r="A396" s="20" t="str">
        <f t="shared" si="5"/>
        <v/>
      </c>
    </row>
    <row r="397" spans="1:1" ht="30" customHeight="1" x14ac:dyDescent="0.2">
      <c r="A397" s="20" t="str">
        <f t="shared" si="5"/>
        <v/>
      </c>
    </row>
    <row r="398" spans="1:1" ht="30" customHeight="1" x14ac:dyDescent="0.2">
      <c r="A398" s="20" t="str">
        <f t="shared" si="5"/>
        <v/>
      </c>
    </row>
    <row r="399" spans="1:1" ht="30" customHeight="1" x14ac:dyDescent="0.2">
      <c r="A399" s="20" t="str">
        <f t="shared" si="5"/>
        <v/>
      </c>
    </row>
    <row r="400" spans="1:1" ht="30" customHeight="1" x14ac:dyDescent="0.2">
      <c r="A400" s="20" t="str">
        <f t="shared" si="5"/>
        <v/>
      </c>
    </row>
    <row r="401" spans="1:1" ht="30" customHeight="1" x14ac:dyDescent="0.2">
      <c r="A401" s="20" t="str">
        <f t="shared" si="5"/>
        <v/>
      </c>
    </row>
    <row r="402" spans="1:1" ht="30" customHeight="1" x14ac:dyDescent="0.2">
      <c r="A402" s="20" t="str">
        <f t="shared" si="5"/>
        <v/>
      </c>
    </row>
    <row r="403" spans="1:1" ht="30" customHeight="1" x14ac:dyDescent="0.2">
      <c r="A403" s="20" t="str">
        <f t="shared" si="5"/>
        <v/>
      </c>
    </row>
    <row r="404" spans="1:1" ht="30" customHeight="1" x14ac:dyDescent="0.2">
      <c r="A404" s="20" t="str">
        <f t="shared" si="5"/>
        <v/>
      </c>
    </row>
    <row r="405" spans="1:1" ht="30" customHeight="1" x14ac:dyDescent="0.2">
      <c r="A405" s="20" t="str">
        <f t="shared" si="5"/>
        <v/>
      </c>
    </row>
    <row r="406" spans="1:1" ht="30" customHeight="1" x14ac:dyDescent="0.2">
      <c r="A406" s="20" t="str">
        <f t="shared" si="5"/>
        <v/>
      </c>
    </row>
    <row r="407" spans="1:1" ht="30" customHeight="1" x14ac:dyDescent="0.2">
      <c r="A407" s="20" t="str">
        <f t="shared" ref="A407:A470" si="6">IF(AND(B406&lt;&gt;"",B407=""),"Select Audit Point---&gt;","")</f>
        <v/>
      </c>
    </row>
    <row r="408" spans="1:1" ht="30" customHeight="1" x14ac:dyDescent="0.2">
      <c r="A408" s="20" t="str">
        <f t="shared" si="6"/>
        <v/>
      </c>
    </row>
    <row r="409" spans="1:1" ht="30" customHeight="1" x14ac:dyDescent="0.2">
      <c r="A409" s="20" t="str">
        <f t="shared" si="6"/>
        <v/>
      </c>
    </row>
    <row r="410" spans="1:1" ht="30" customHeight="1" x14ac:dyDescent="0.2">
      <c r="A410" s="20" t="str">
        <f t="shared" si="6"/>
        <v/>
      </c>
    </row>
    <row r="411" spans="1:1" ht="30" customHeight="1" x14ac:dyDescent="0.2">
      <c r="A411" s="20" t="str">
        <f t="shared" si="6"/>
        <v/>
      </c>
    </row>
    <row r="412" spans="1:1" ht="30" customHeight="1" x14ac:dyDescent="0.2">
      <c r="A412" s="20" t="str">
        <f t="shared" si="6"/>
        <v/>
      </c>
    </row>
    <row r="413" spans="1:1" ht="30" customHeight="1" x14ac:dyDescent="0.2">
      <c r="A413" s="20" t="str">
        <f t="shared" si="6"/>
        <v/>
      </c>
    </row>
    <row r="414" spans="1:1" ht="30" customHeight="1" x14ac:dyDescent="0.2">
      <c r="A414" s="20" t="str">
        <f t="shared" si="6"/>
        <v/>
      </c>
    </row>
    <row r="415" spans="1:1" ht="30" customHeight="1" x14ac:dyDescent="0.2">
      <c r="A415" s="20" t="str">
        <f t="shared" si="6"/>
        <v/>
      </c>
    </row>
    <row r="416" spans="1:1" ht="30" customHeight="1" x14ac:dyDescent="0.2">
      <c r="A416" s="20" t="str">
        <f t="shared" si="6"/>
        <v/>
      </c>
    </row>
    <row r="417" spans="1:1" ht="30" customHeight="1" x14ac:dyDescent="0.2">
      <c r="A417" s="20" t="str">
        <f t="shared" si="6"/>
        <v/>
      </c>
    </row>
    <row r="418" spans="1:1" ht="30" customHeight="1" x14ac:dyDescent="0.2">
      <c r="A418" s="20" t="str">
        <f t="shared" si="6"/>
        <v/>
      </c>
    </row>
    <row r="419" spans="1:1" ht="30" customHeight="1" x14ac:dyDescent="0.2">
      <c r="A419" s="20" t="str">
        <f t="shared" si="6"/>
        <v/>
      </c>
    </row>
    <row r="420" spans="1:1" ht="30" customHeight="1" x14ac:dyDescent="0.2">
      <c r="A420" s="20" t="str">
        <f t="shared" si="6"/>
        <v/>
      </c>
    </row>
    <row r="421" spans="1:1" ht="30" customHeight="1" x14ac:dyDescent="0.2">
      <c r="A421" s="20" t="str">
        <f t="shared" si="6"/>
        <v/>
      </c>
    </row>
    <row r="422" spans="1:1" ht="30" customHeight="1" x14ac:dyDescent="0.2">
      <c r="A422" s="20" t="str">
        <f t="shared" si="6"/>
        <v/>
      </c>
    </row>
    <row r="423" spans="1:1" ht="30" customHeight="1" x14ac:dyDescent="0.2">
      <c r="A423" s="20" t="str">
        <f t="shared" si="6"/>
        <v/>
      </c>
    </row>
    <row r="424" spans="1:1" ht="30" customHeight="1" x14ac:dyDescent="0.2">
      <c r="A424" s="20" t="str">
        <f t="shared" si="6"/>
        <v/>
      </c>
    </row>
    <row r="425" spans="1:1" ht="30" customHeight="1" x14ac:dyDescent="0.2">
      <c r="A425" s="20" t="str">
        <f t="shared" si="6"/>
        <v/>
      </c>
    </row>
    <row r="426" spans="1:1" ht="30" customHeight="1" x14ac:dyDescent="0.2">
      <c r="A426" s="20" t="str">
        <f t="shared" si="6"/>
        <v/>
      </c>
    </row>
    <row r="427" spans="1:1" ht="30" customHeight="1" x14ac:dyDescent="0.2">
      <c r="A427" s="20" t="str">
        <f t="shared" si="6"/>
        <v/>
      </c>
    </row>
    <row r="428" spans="1:1" ht="30" customHeight="1" x14ac:dyDescent="0.2">
      <c r="A428" s="20" t="str">
        <f t="shared" si="6"/>
        <v/>
      </c>
    </row>
    <row r="429" spans="1:1" ht="30" customHeight="1" x14ac:dyDescent="0.2">
      <c r="A429" s="20" t="str">
        <f t="shared" si="6"/>
        <v/>
      </c>
    </row>
    <row r="430" spans="1:1" ht="30" customHeight="1" x14ac:dyDescent="0.2">
      <c r="A430" s="20" t="str">
        <f t="shared" si="6"/>
        <v/>
      </c>
    </row>
    <row r="431" spans="1:1" ht="30" customHeight="1" x14ac:dyDescent="0.2">
      <c r="A431" s="20" t="str">
        <f t="shared" si="6"/>
        <v/>
      </c>
    </row>
    <row r="432" spans="1:1" ht="30" customHeight="1" x14ac:dyDescent="0.2">
      <c r="A432" s="20" t="str">
        <f t="shared" si="6"/>
        <v/>
      </c>
    </row>
    <row r="433" spans="1:1" ht="30" customHeight="1" x14ac:dyDescent="0.2">
      <c r="A433" s="20" t="str">
        <f t="shared" si="6"/>
        <v/>
      </c>
    </row>
    <row r="434" spans="1:1" ht="30" customHeight="1" x14ac:dyDescent="0.2">
      <c r="A434" s="20" t="str">
        <f t="shared" si="6"/>
        <v/>
      </c>
    </row>
    <row r="435" spans="1:1" ht="30" customHeight="1" x14ac:dyDescent="0.2">
      <c r="A435" s="20" t="str">
        <f t="shared" si="6"/>
        <v/>
      </c>
    </row>
    <row r="436" spans="1:1" ht="30" customHeight="1" x14ac:dyDescent="0.2">
      <c r="A436" s="20" t="str">
        <f t="shared" si="6"/>
        <v/>
      </c>
    </row>
    <row r="437" spans="1:1" ht="30" customHeight="1" x14ac:dyDescent="0.2">
      <c r="A437" s="20" t="str">
        <f t="shared" si="6"/>
        <v/>
      </c>
    </row>
    <row r="438" spans="1:1" ht="30" customHeight="1" x14ac:dyDescent="0.2">
      <c r="A438" s="20" t="str">
        <f t="shared" si="6"/>
        <v/>
      </c>
    </row>
    <row r="439" spans="1:1" ht="30" customHeight="1" x14ac:dyDescent="0.2">
      <c r="A439" s="20" t="str">
        <f t="shared" si="6"/>
        <v/>
      </c>
    </row>
    <row r="440" spans="1:1" ht="30" customHeight="1" x14ac:dyDescent="0.2">
      <c r="A440" s="20" t="str">
        <f t="shared" si="6"/>
        <v/>
      </c>
    </row>
    <row r="441" spans="1:1" ht="30" customHeight="1" x14ac:dyDescent="0.2">
      <c r="A441" s="20" t="str">
        <f t="shared" si="6"/>
        <v/>
      </c>
    </row>
    <row r="442" spans="1:1" ht="30" customHeight="1" x14ac:dyDescent="0.2">
      <c r="A442" s="20" t="str">
        <f t="shared" si="6"/>
        <v/>
      </c>
    </row>
    <row r="443" spans="1:1" ht="30" customHeight="1" x14ac:dyDescent="0.2">
      <c r="A443" s="20" t="str">
        <f t="shared" si="6"/>
        <v/>
      </c>
    </row>
    <row r="444" spans="1:1" ht="30" customHeight="1" x14ac:dyDescent="0.2">
      <c r="A444" s="20" t="str">
        <f t="shared" si="6"/>
        <v/>
      </c>
    </row>
    <row r="445" spans="1:1" ht="30" customHeight="1" x14ac:dyDescent="0.2">
      <c r="A445" s="20" t="str">
        <f t="shared" si="6"/>
        <v/>
      </c>
    </row>
    <row r="446" spans="1:1" ht="30" customHeight="1" x14ac:dyDescent="0.2">
      <c r="A446" s="20" t="str">
        <f t="shared" si="6"/>
        <v/>
      </c>
    </row>
    <row r="447" spans="1:1" ht="30" customHeight="1" x14ac:dyDescent="0.2">
      <c r="A447" s="20" t="str">
        <f t="shared" si="6"/>
        <v/>
      </c>
    </row>
    <row r="448" spans="1:1" ht="30" customHeight="1" x14ac:dyDescent="0.2">
      <c r="A448" s="20" t="str">
        <f t="shared" si="6"/>
        <v/>
      </c>
    </row>
    <row r="449" spans="1:1" ht="30" customHeight="1" x14ac:dyDescent="0.2">
      <c r="A449" s="20" t="str">
        <f t="shared" si="6"/>
        <v/>
      </c>
    </row>
    <row r="450" spans="1:1" ht="30" customHeight="1" x14ac:dyDescent="0.2">
      <c r="A450" s="20" t="str">
        <f t="shared" si="6"/>
        <v/>
      </c>
    </row>
    <row r="451" spans="1:1" ht="30" customHeight="1" x14ac:dyDescent="0.2">
      <c r="A451" s="20" t="str">
        <f t="shared" si="6"/>
        <v/>
      </c>
    </row>
    <row r="452" spans="1:1" ht="30" customHeight="1" x14ac:dyDescent="0.2">
      <c r="A452" s="20" t="str">
        <f t="shared" si="6"/>
        <v/>
      </c>
    </row>
    <row r="453" spans="1:1" ht="30" customHeight="1" x14ac:dyDescent="0.2">
      <c r="A453" s="20" t="str">
        <f t="shared" si="6"/>
        <v/>
      </c>
    </row>
    <row r="454" spans="1:1" ht="30" customHeight="1" x14ac:dyDescent="0.2">
      <c r="A454" s="20" t="str">
        <f t="shared" si="6"/>
        <v/>
      </c>
    </row>
    <row r="455" spans="1:1" ht="30" customHeight="1" x14ac:dyDescent="0.2">
      <c r="A455" s="20" t="str">
        <f t="shared" si="6"/>
        <v/>
      </c>
    </row>
    <row r="456" spans="1:1" ht="30" customHeight="1" x14ac:dyDescent="0.2">
      <c r="A456" s="20" t="str">
        <f t="shared" si="6"/>
        <v/>
      </c>
    </row>
    <row r="457" spans="1:1" ht="30" customHeight="1" x14ac:dyDescent="0.2">
      <c r="A457" s="20" t="str">
        <f t="shared" si="6"/>
        <v/>
      </c>
    </row>
    <row r="458" spans="1:1" ht="30" customHeight="1" x14ac:dyDescent="0.2">
      <c r="A458" s="20" t="str">
        <f t="shared" si="6"/>
        <v/>
      </c>
    </row>
    <row r="459" spans="1:1" ht="30" customHeight="1" x14ac:dyDescent="0.2">
      <c r="A459" s="20" t="str">
        <f t="shared" si="6"/>
        <v/>
      </c>
    </row>
    <row r="460" spans="1:1" ht="30" customHeight="1" x14ac:dyDescent="0.2">
      <c r="A460" s="20" t="str">
        <f t="shared" si="6"/>
        <v/>
      </c>
    </row>
    <row r="461" spans="1:1" ht="30" customHeight="1" x14ac:dyDescent="0.2">
      <c r="A461" s="20" t="str">
        <f t="shared" si="6"/>
        <v/>
      </c>
    </row>
    <row r="462" spans="1:1" ht="30" customHeight="1" x14ac:dyDescent="0.2">
      <c r="A462" s="20" t="str">
        <f t="shared" si="6"/>
        <v/>
      </c>
    </row>
    <row r="463" spans="1:1" ht="30" customHeight="1" x14ac:dyDescent="0.2">
      <c r="A463" s="20" t="str">
        <f t="shared" si="6"/>
        <v/>
      </c>
    </row>
    <row r="464" spans="1:1" ht="30" customHeight="1" x14ac:dyDescent="0.2">
      <c r="A464" s="20" t="str">
        <f t="shared" si="6"/>
        <v/>
      </c>
    </row>
    <row r="465" spans="1:1" ht="30" customHeight="1" x14ac:dyDescent="0.2">
      <c r="A465" s="20" t="str">
        <f t="shared" si="6"/>
        <v/>
      </c>
    </row>
    <row r="466" spans="1:1" ht="30" customHeight="1" x14ac:dyDescent="0.2">
      <c r="A466" s="20" t="str">
        <f t="shared" si="6"/>
        <v/>
      </c>
    </row>
    <row r="467" spans="1:1" ht="30" customHeight="1" x14ac:dyDescent="0.2">
      <c r="A467" s="20" t="str">
        <f t="shared" si="6"/>
        <v/>
      </c>
    </row>
    <row r="468" spans="1:1" ht="30" customHeight="1" x14ac:dyDescent="0.2">
      <c r="A468" s="20" t="str">
        <f t="shared" si="6"/>
        <v/>
      </c>
    </row>
    <row r="469" spans="1:1" ht="30" customHeight="1" x14ac:dyDescent="0.2">
      <c r="A469" s="20" t="str">
        <f t="shared" si="6"/>
        <v/>
      </c>
    </row>
    <row r="470" spans="1:1" ht="30" customHeight="1" x14ac:dyDescent="0.2">
      <c r="A470" s="20" t="str">
        <f t="shared" si="6"/>
        <v/>
      </c>
    </row>
    <row r="471" spans="1:1" ht="30" customHeight="1" x14ac:dyDescent="0.2">
      <c r="A471" s="20" t="str">
        <f t="shared" ref="A471:A534" si="7">IF(AND(B470&lt;&gt;"",B471=""),"Select Audit Point---&gt;","")</f>
        <v/>
      </c>
    </row>
    <row r="472" spans="1:1" ht="30" customHeight="1" x14ac:dyDescent="0.2">
      <c r="A472" s="20" t="str">
        <f t="shared" si="7"/>
        <v/>
      </c>
    </row>
    <row r="473" spans="1:1" ht="30" customHeight="1" x14ac:dyDescent="0.2">
      <c r="A473" s="20" t="str">
        <f t="shared" si="7"/>
        <v/>
      </c>
    </row>
    <row r="474" spans="1:1" ht="30" customHeight="1" x14ac:dyDescent="0.2">
      <c r="A474" s="20" t="str">
        <f t="shared" si="7"/>
        <v/>
      </c>
    </row>
    <row r="475" spans="1:1" ht="30" customHeight="1" x14ac:dyDescent="0.2">
      <c r="A475" s="20" t="str">
        <f t="shared" si="7"/>
        <v/>
      </c>
    </row>
    <row r="476" spans="1:1" ht="30" customHeight="1" x14ac:dyDescent="0.2">
      <c r="A476" s="20" t="str">
        <f t="shared" si="7"/>
        <v/>
      </c>
    </row>
    <row r="477" spans="1:1" ht="30" customHeight="1" x14ac:dyDescent="0.2">
      <c r="A477" s="20" t="str">
        <f t="shared" si="7"/>
        <v/>
      </c>
    </row>
    <row r="478" spans="1:1" ht="30" customHeight="1" x14ac:dyDescent="0.2">
      <c r="A478" s="20" t="str">
        <f t="shared" si="7"/>
        <v/>
      </c>
    </row>
    <row r="479" spans="1:1" ht="30" customHeight="1" x14ac:dyDescent="0.2">
      <c r="A479" s="20" t="str">
        <f t="shared" si="7"/>
        <v/>
      </c>
    </row>
    <row r="480" spans="1:1" ht="30" customHeight="1" x14ac:dyDescent="0.2">
      <c r="A480" s="20" t="str">
        <f t="shared" si="7"/>
        <v/>
      </c>
    </row>
    <row r="481" spans="1:1" ht="30" customHeight="1" x14ac:dyDescent="0.2">
      <c r="A481" s="20" t="str">
        <f t="shared" si="7"/>
        <v/>
      </c>
    </row>
    <row r="482" spans="1:1" ht="30" customHeight="1" x14ac:dyDescent="0.2">
      <c r="A482" s="20" t="str">
        <f t="shared" si="7"/>
        <v/>
      </c>
    </row>
    <row r="483" spans="1:1" ht="30" customHeight="1" x14ac:dyDescent="0.2">
      <c r="A483" s="20" t="str">
        <f t="shared" si="7"/>
        <v/>
      </c>
    </row>
    <row r="484" spans="1:1" ht="30" customHeight="1" x14ac:dyDescent="0.2">
      <c r="A484" s="20" t="str">
        <f t="shared" si="7"/>
        <v/>
      </c>
    </row>
    <row r="485" spans="1:1" ht="30" customHeight="1" x14ac:dyDescent="0.2">
      <c r="A485" s="20" t="str">
        <f t="shared" si="7"/>
        <v/>
      </c>
    </row>
    <row r="486" spans="1:1" ht="30" customHeight="1" x14ac:dyDescent="0.2">
      <c r="A486" s="20" t="str">
        <f t="shared" si="7"/>
        <v/>
      </c>
    </row>
    <row r="487" spans="1:1" ht="30" customHeight="1" x14ac:dyDescent="0.2">
      <c r="A487" s="20" t="str">
        <f t="shared" si="7"/>
        <v/>
      </c>
    </row>
    <row r="488" spans="1:1" ht="30" customHeight="1" x14ac:dyDescent="0.2">
      <c r="A488" s="20" t="str">
        <f t="shared" si="7"/>
        <v/>
      </c>
    </row>
    <row r="489" spans="1:1" ht="30" customHeight="1" x14ac:dyDescent="0.2">
      <c r="A489" s="20" t="str">
        <f t="shared" si="7"/>
        <v/>
      </c>
    </row>
    <row r="490" spans="1:1" ht="30" customHeight="1" x14ac:dyDescent="0.2">
      <c r="A490" s="20" t="str">
        <f t="shared" si="7"/>
        <v/>
      </c>
    </row>
    <row r="491" spans="1:1" ht="30" customHeight="1" x14ac:dyDescent="0.2">
      <c r="A491" s="20" t="str">
        <f t="shared" si="7"/>
        <v/>
      </c>
    </row>
    <row r="492" spans="1:1" ht="30" customHeight="1" x14ac:dyDescent="0.2">
      <c r="A492" s="20" t="str">
        <f t="shared" si="7"/>
        <v/>
      </c>
    </row>
    <row r="493" spans="1:1" ht="30" customHeight="1" x14ac:dyDescent="0.2">
      <c r="A493" s="20" t="str">
        <f t="shared" si="7"/>
        <v/>
      </c>
    </row>
    <row r="494" spans="1:1" ht="30" customHeight="1" x14ac:dyDescent="0.2">
      <c r="A494" s="20" t="str">
        <f t="shared" si="7"/>
        <v/>
      </c>
    </row>
    <row r="495" spans="1:1" ht="30" customHeight="1" x14ac:dyDescent="0.2">
      <c r="A495" s="20" t="str">
        <f t="shared" si="7"/>
        <v/>
      </c>
    </row>
    <row r="496" spans="1:1" ht="30" customHeight="1" x14ac:dyDescent="0.2">
      <c r="A496" s="20" t="str">
        <f t="shared" si="7"/>
        <v/>
      </c>
    </row>
    <row r="497" spans="1:1" ht="30" customHeight="1" x14ac:dyDescent="0.2">
      <c r="A497" s="20" t="str">
        <f t="shared" si="7"/>
        <v/>
      </c>
    </row>
    <row r="498" spans="1:1" ht="30" customHeight="1" x14ac:dyDescent="0.2">
      <c r="A498" s="20" t="str">
        <f t="shared" si="7"/>
        <v/>
      </c>
    </row>
    <row r="499" spans="1:1" ht="30" customHeight="1" x14ac:dyDescent="0.2">
      <c r="A499" s="20" t="str">
        <f t="shared" si="7"/>
        <v/>
      </c>
    </row>
    <row r="500" spans="1:1" ht="30" customHeight="1" x14ac:dyDescent="0.2">
      <c r="A500" s="20" t="str">
        <f t="shared" si="7"/>
        <v/>
      </c>
    </row>
    <row r="501" spans="1:1" ht="30" customHeight="1" x14ac:dyDescent="0.2">
      <c r="A501" s="20" t="str">
        <f t="shared" si="7"/>
        <v/>
      </c>
    </row>
    <row r="502" spans="1:1" ht="30" customHeight="1" x14ac:dyDescent="0.2">
      <c r="A502" s="20" t="str">
        <f t="shared" si="7"/>
        <v/>
      </c>
    </row>
    <row r="503" spans="1:1" ht="30" customHeight="1" x14ac:dyDescent="0.2">
      <c r="A503" s="20" t="str">
        <f t="shared" si="7"/>
        <v/>
      </c>
    </row>
    <row r="504" spans="1:1" ht="30" customHeight="1" x14ac:dyDescent="0.2">
      <c r="A504" s="20" t="str">
        <f t="shared" si="7"/>
        <v/>
      </c>
    </row>
    <row r="505" spans="1:1" ht="30" customHeight="1" x14ac:dyDescent="0.2">
      <c r="A505" s="20" t="str">
        <f t="shared" si="7"/>
        <v/>
      </c>
    </row>
    <row r="506" spans="1:1" ht="30" customHeight="1" x14ac:dyDescent="0.2">
      <c r="A506" s="20" t="str">
        <f t="shared" si="7"/>
        <v/>
      </c>
    </row>
    <row r="507" spans="1:1" ht="30" customHeight="1" x14ac:dyDescent="0.2">
      <c r="A507" s="20" t="str">
        <f t="shared" si="7"/>
        <v/>
      </c>
    </row>
    <row r="508" spans="1:1" ht="30" customHeight="1" x14ac:dyDescent="0.2">
      <c r="A508" s="20" t="str">
        <f t="shared" si="7"/>
        <v/>
      </c>
    </row>
    <row r="509" spans="1:1" ht="30" customHeight="1" x14ac:dyDescent="0.2">
      <c r="A509" s="20" t="str">
        <f t="shared" si="7"/>
        <v/>
      </c>
    </row>
    <row r="510" spans="1:1" ht="30" customHeight="1" x14ac:dyDescent="0.2">
      <c r="A510" s="20" t="str">
        <f t="shared" si="7"/>
        <v/>
      </c>
    </row>
    <row r="511" spans="1:1" ht="30" customHeight="1" x14ac:dyDescent="0.2">
      <c r="A511" s="20" t="str">
        <f t="shared" si="7"/>
        <v/>
      </c>
    </row>
    <row r="512" spans="1:1" ht="30" customHeight="1" x14ac:dyDescent="0.2">
      <c r="A512" s="20" t="str">
        <f t="shared" si="7"/>
        <v/>
      </c>
    </row>
    <row r="513" spans="1:1" ht="30" customHeight="1" x14ac:dyDescent="0.2">
      <c r="A513" s="20" t="str">
        <f t="shared" si="7"/>
        <v/>
      </c>
    </row>
    <row r="514" spans="1:1" ht="30" customHeight="1" x14ac:dyDescent="0.2">
      <c r="A514" s="20" t="str">
        <f t="shared" si="7"/>
        <v/>
      </c>
    </row>
    <row r="515" spans="1:1" ht="30" customHeight="1" x14ac:dyDescent="0.2">
      <c r="A515" s="20" t="str">
        <f t="shared" si="7"/>
        <v/>
      </c>
    </row>
    <row r="516" spans="1:1" ht="30" customHeight="1" x14ac:dyDescent="0.2">
      <c r="A516" s="20" t="str">
        <f t="shared" si="7"/>
        <v/>
      </c>
    </row>
    <row r="517" spans="1:1" ht="30" customHeight="1" x14ac:dyDescent="0.2">
      <c r="A517" s="20" t="str">
        <f t="shared" si="7"/>
        <v/>
      </c>
    </row>
    <row r="518" spans="1:1" ht="30" customHeight="1" x14ac:dyDescent="0.2">
      <c r="A518" s="20" t="str">
        <f t="shared" si="7"/>
        <v/>
      </c>
    </row>
    <row r="519" spans="1:1" ht="30" customHeight="1" x14ac:dyDescent="0.2">
      <c r="A519" s="20" t="str">
        <f t="shared" si="7"/>
        <v/>
      </c>
    </row>
    <row r="520" spans="1:1" ht="30" customHeight="1" x14ac:dyDescent="0.2">
      <c r="A520" s="20" t="str">
        <f t="shared" si="7"/>
        <v/>
      </c>
    </row>
    <row r="521" spans="1:1" ht="30" customHeight="1" x14ac:dyDescent="0.2">
      <c r="A521" s="20" t="str">
        <f t="shared" si="7"/>
        <v/>
      </c>
    </row>
    <row r="522" spans="1:1" ht="30" customHeight="1" x14ac:dyDescent="0.2">
      <c r="A522" s="20" t="str">
        <f t="shared" si="7"/>
        <v/>
      </c>
    </row>
    <row r="523" spans="1:1" ht="30" customHeight="1" x14ac:dyDescent="0.2">
      <c r="A523" s="20" t="str">
        <f t="shared" si="7"/>
        <v/>
      </c>
    </row>
    <row r="524" spans="1:1" ht="30" customHeight="1" x14ac:dyDescent="0.2">
      <c r="A524" s="20" t="str">
        <f t="shared" si="7"/>
        <v/>
      </c>
    </row>
    <row r="525" spans="1:1" ht="30" customHeight="1" x14ac:dyDescent="0.2">
      <c r="A525" s="20" t="str">
        <f t="shared" si="7"/>
        <v/>
      </c>
    </row>
    <row r="526" spans="1:1" ht="30" customHeight="1" x14ac:dyDescent="0.2">
      <c r="A526" s="20" t="str">
        <f t="shared" si="7"/>
        <v/>
      </c>
    </row>
    <row r="527" spans="1:1" ht="30" customHeight="1" x14ac:dyDescent="0.2">
      <c r="A527" s="20" t="str">
        <f t="shared" si="7"/>
        <v/>
      </c>
    </row>
    <row r="528" spans="1:1" ht="30" customHeight="1" x14ac:dyDescent="0.2">
      <c r="A528" s="20" t="str">
        <f t="shared" si="7"/>
        <v/>
      </c>
    </row>
    <row r="529" spans="1:1" ht="30" customHeight="1" x14ac:dyDescent="0.2">
      <c r="A529" s="20" t="str">
        <f t="shared" si="7"/>
        <v/>
      </c>
    </row>
    <row r="530" spans="1:1" ht="30" customHeight="1" x14ac:dyDescent="0.2">
      <c r="A530" s="20" t="str">
        <f t="shared" si="7"/>
        <v/>
      </c>
    </row>
    <row r="531" spans="1:1" ht="30" customHeight="1" x14ac:dyDescent="0.2">
      <c r="A531" s="20" t="str">
        <f t="shared" si="7"/>
        <v/>
      </c>
    </row>
    <row r="532" spans="1:1" ht="30" customHeight="1" x14ac:dyDescent="0.2">
      <c r="A532" s="20" t="str">
        <f t="shared" si="7"/>
        <v/>
      </c>
    </row>
    <row r="533" spans="1:1" ht="30" customHeight="1" x14ac:dyDescent="0.2">
      <c r="A533" s="20" t="str">
        <f t="shared" si="7"/>
        <v/>
      </c>
    </row>
    <row r="534" spans="1:1" ht="30" customHeight="1" x14ac:dyDescent="0.2">
      <c r="A534" s="20" t="str">
        <f t="shared" si="7"/>
        <v/>
      </c>
    </row>
    <row r="535" spans="1:1" ht="30" customHeight="1" x14ac:dyDescent="0.2">
      <c r="A535" s="20" t="str">
        <f t="shared" ref="A535:A598" si="8">IF(AND(B534&lt;&gt;"",B535=""),"Select Audit Point---&gt;","")</f>
        <v/>
      </c>
    </row>
    <row r="536" spans="1:1" ht="30" customHeight="1" x14ac:dyDescent="0.2">
      <c r="A536" s="20" t="str">
        <f t="shared" si="8"/>
        <v/>
      </c>
    </row>
    <row r="537" spans="1:1" ht="30" customHeight="1" x14ac:dyDescent="0.2">
      <c r="A537" s="20" t="str">
        <f t="shared" si="8"/>
        <v/>
      </c>
    </row>
    <row r="538" spans="1:1" ht="30" customHeight="1" x14ac:dyDescent="0.2">
      <c r="A538" s="20" t="str">
        <f t="shared" si="8"/>
        <v/>
      </c>
    </row>
    <row r="539" spans="1:1" ht="30" customHeight="1" x14ac:dyDescent="0.2">
      <c r="A539" s="20" t="str">
        <f t="shared" si="8"/>
        <v/>
      </c>
    </row>
    <row r="540" spans="1:1" ht="30" customHeight="1" x14ac:dyDescent="0.2">
      <c r="A540" s="20" t="str">
        <f t="shared" si="8"/>
        <v/>
      </c>
    </row>
    <row r="541" spans="1:1" ht="30" customHeight="1" x14ac:dyDescent="0.2">
      <c r="A541" s="20" t="str">
        <f t="shared" si="8"/>
        <v/>
      </c>
    </row>
    <row r="542" spans="1:1" ht="30" customHeight="1" x14ac:dyDescent="0.2">
      <c r="A542" s="20" t="str">
        <f t="shared" si="8"/>
        <v/>
      </c>
    </row>
    <row r="543" spans="1:1" ht="30" customHeight="1" x14ac:dyDescent="0.2">
      <c r="A543" s="20" t="str">
        <f t="shared" si="8"/>
        <v/>
      </c>
    </row>
    <row r="544" spans="1:1" ht="30" customHeight="1" x14ac:dyDescent="0.2">
      <c r="A544" s="20" t="str">
        <f t="shared" si="8"/>
        <v/>
      </c>
    </row>
    <row r="545" spans="1:1" ht="30" customHeight="1" x14ac:dyDescent="0.2">
      <c r="A545" s="20" t="str">
        <f t="shared" si="8"/>
        <v/>
      </c>
    </row>
    <row r="546" spans="1:1" ht="30" customHeight="1" x14ac:dyDescent="0.2">
      <c r="A546" s="20" t="str">
        <f t="shared" si="8"/>
        <v/>
      </c>
    </row>
    <row r="547" spans="1:1" ht="30" customHeight="1" x14ac:dyDescent="0.2">
      <c r="A547" s="20" t="str">
        <f t="shared" si="8"/>
        <v/>
      </c>
    </row>
    <row r="548" spans="1:1" ht="30" customHeight="1" x14ac:dyDescent="0.2">
      <c r="A548" s="20" t="str">
        <f t="shared" si="8"/>
        <v/>
      </c>
    </row>
    <row r="549" spans="1:1" ht="30" customHeight="1" x14ac:dyDescent="0.2">
      <c r="A549" s="20" t="str">
        <f t="shared" si="8"/>
        <v/>
      </c>
    </row>
    <row r="550" spans="1:1" ht="30" customHeight="1" x14ac:dyDescent="0.2">
      <c r="A550" s="20" t="str">
        <f t="shared" si="8"/>
        <v/>
      </c>
    </row>
    <row r="551" spans="1:1" ht="30" customHeight="1" x14ac:dyDescent="0.2">
      <c r="A551" s="20" t="str">
        <f t="shared" si="8"/>
        <v/>
      </c>
    </row>
    <row r="552" spans="1:1" ht="30" customHeight="1" x14ac:dyDescent="0.2">
      <c r="A552" s="20" t="str">
        <f t="shared" si="8"/>
        <v/>
      </c>
    </row>
    <row r="553" spans="1:1" ht="30" customHeight="1" x14ac:dyDescent="0.2">
      <c r="A553" s="20" t="str">
        <f t="shared" si="8"/>
        <v/>
      </c>
    </row>
    <row r="554" spans="1:1" ht="30" customHeight="1" x14ac:dyDescent="0.2">
      <c r="A554" s="20" t="str">
        <f t="shared" si="8"/>
        <v/>
      </c>
    </row>
    <row r="555" spans="1:1" ht="30" customHeight="1" x14ac:dyDescent="0.2">
      <c r="A555" s="20" t="str">
        <f t="shared" si="8"/>
        <v/>
      </c>
    </row>
    <row r="556" spans="1:1" ht="30" customHeight="1" x14ac:dyDescent="0.2">
      <c r="A556" s="20" t="str">
        <f t="shared" si="8"/>
        <v/>
      </c>
    </row>
    <row r="557" spans="1:1" ht="30" customHeight="1" x14ac:dyDescent="0.2">
      <c r="A557" s="20" t="str">
        <f t="shared" si="8"/>
        <v/>
      </c>
    </row>
    <row r="558" spans="1:1" ht="30" customHeight="1" x14ac:dyDescent="0.2">
      <c r="A558" s="20" t="str">
        <f t="shared" si="8"/>
        <v/>
      </c>
    </row>
    <row r="559" spans="1:1" ht="30" customHeight="1" x14ac:dyDescent="0.2">
      <c r="A559" s="20" t="str">
        <f t="shared" si="8"/>
        <v/>
      </c>
    </row>
    <row r="560" spans="1:1" ht="30" customHeight="1" x14ac:dyDescent="0.2">
      <c r="A560" s="20" t="str">
        <f t="shared" si="8"/>
        <v/>
      </c>
    </row>
    <row r="561" spans="1:1" ht="30" customHeight="1" x14ac:dyDescent="0.2">
      <c r="A561" s="20" t="str">
        <f t="shared" si="8"/>
        <v/>
      </c>
    </row>
    <row r="562" spans="1:1" ht="30" customHeight="1" x14ac:dyDescent="0.2">
      <c r="A562" s="20" t="str">
        <f t="shared" si="8"/>
        <v/>
      </c>
    </row>
    <row r="563" spans="1:1" ht="30" customHeight="1" x14ac:dyDescent="0.2">
      <c r="A563" s="20" t="str">
        <f t="shared" si="8"/>
        <v/>
      </c>
    </row>
    <row r="564" spans="1:1" ht="30" customHeight="1" x14ac:dyDescent="0.2">
      <c r="A564" s="20" t="str">
        <f t="shared" si="8"/>
        <v/>
      </c>
    </row>
    <row r="565" spans="1:1" ht="30" customHeight="1" x14ac:dyDescent="0.2">
      <c r="A565" s="20" t="str">
        <f t="shared" si="8"/>
        <v/>
      </c>
    </row>
    <row r="566" spans="1:1" ht="30" customHeight="1" x14ac:dyDescent="0.2">
      <c r="A566" s="20" t="str">
        <f t="shared" si="8"/>
        <v/>
      </c>
    </row>
    <row r="567" spans="1:1" ht="30" customHeight="1" x14ac:dyDescent="0.2">
      <c r="A567" s="20" t="str">
        <f t="shared" si="8"/>
        <v/>
      </c>
    </row>
    <row r="568" spans="1:1" ht="30" customHeight="1" x14ac:dyDescent="0.2">
      <c r="A568" s="20" t="str">
        <f t="shared" si="8"/>
        <v/>
      </c>
    </row>
    <row r="569" spans="1:1" ht="30" customHeight="1" x14ac:dyDescent="0.2">
      <c r="A569" s="20" t="str">
        <f t="shared" si="8"/>
        <v/>
      </c>
    </row>
    <row r="570" spans="1:1" ht="30" customHeight="1" x14ac:dyDescent="0.2">
      <c r="A570" s="20" t="str">
        <f t="shared" si="8"/>
        <v/>
      </c>
    </row>
    <row r="571" spans="1:1" ht="30" customHeight="1" x14ac:dyDescent="0.2">
      <c r="A571" s="20" t="str">
        <f t="shared" si="8"/>
        <v/>
      </c>
    </row>
    <row r="572" spans="1:1" ht="30" customHeight="1" x14ac:dyDescent="0.2">
      <c r="A572" s="20" t="str">
        <f t="shared" si="8"/>
        <v/>
      </c>
    </row>
    <row r="573" spans="1:1" ht="30" customHeight="1" x14ac:dyDescent="0.2">
      <c r="A573" s="20" t="str">
        <f t="shared" si="8"/>
        <v/>
      </c>
    </row>
    <row r="574" spans="1:1" ht="30" customHeight="1" x14ac:dyDescent="0.2">
      <c r="A574" s="20" t="str">
        <f t="shared" si="8"/>
        <v/>
      </c>
    </row>
    <row r="575" spans="1:1" ht="30" customHeight="1" x14ac:dyDescent="0.2">
      <c r="A575" s="20" t="str">
        <f t="shared" si="8"/>
        <v/>
      </c>
    </row>
    <row r="576" spans="1:1" ht="30" customHeight="1" x14ac:dyDescent="0.2">
      <c r="A576" s="20" t="str">
        <f t="shared" si="8"/>
        <v/>
      </c>
    </row>
    <row r="577" spans="1:1" ht="30" customHeight="1" x14ac:dyDescent="0.2">
      <c r="A577" s="20" t="str">
        <f t="shared" si="8"/>
        <v/>
      </c>
    </row>
    <row r="578" spans="1:1" ht="30" customHeight="1" x14ac:dyDescent="0.2">
      <c r="A578" s="20" t="str">
        <f t="shared" si="8"/>
        <v/>
      </c>
    </row>
    <row r="579" spans="1:1" ht="30" customHeight="1" x14ac:dyDescent="0.2">
      <c r="A579" s="20" t="str">
        <f t="shared" si="8"/>
        <v/>
      </c>
    </row>
    <row r="580" spans="1:1" ht="30" customHeight="1" x14ac:dyDescent="0.2">
      <c r="A580" s="20" t="str">
        <f t="shared" si="8"/>
        <v/>
      </c>
    </row>
    <row r="581" spans="1:1" ht="30" customHeight="1" x14ac:dyDescent="0.2">
      <c r="A581" s="20" t="str">
        <f t="shared" si="8"/>
        <v/>
      </c>
    </row>
    <row r="582" spans="1:1" ht="30" customHeight="1" x14ac:dyDescent="0.2">
      <c r="A582" s="20" t="str">
        <f t="shared" si="8"/>
        <v/>
      </c>
    </row>
    <row r="583" spans="1:1" ht="30" customHeight="1" x14ac:dyDescent="0.2">
      <c r="A583" s="20" t="str">
        <f t="shared" si="8"/>
        <v/>
      </c>
    </row>
    <row r="584" spans="1:1" ht="30" customHeight="1" x14ac:dyDescent="0.2">
      <c r="A584" s="20" t="str">
        <f t="shared" si="8"/>
        <v/>
      </c>
    </row>
    <row r="585" spans="1:1" ht="30" customHeight="1" x14ac:dyDescent="0.2">
      <c r="A585" s="20" t="str">
        <f t="shared" si="8"/>
        <v/>
      </c>
    </row>
    <row r="586" spans="1:1" ht="30" customHeight="1" x14ac:dyDescent="0.2">
      <c r="A586" s="20" t="str">
        <f t="shared" si="8"/>
        <v/>
      </c>
    </row>
    <row r="587" spans="1:1" ht="30" customHeight="1" x14ac:dyDescent="0.2">
      <c r="A587" s="20" t="str">
        <f t="shared" si="8"/>
        <v/>
      </c>
    </row>
    <row r="588" spans="1:1" ht="30" customHeight="1" x14ac:dyDescent="0.2">
      <c r="A588" s="20" t="str">
        <f t="shared" si="8"/>
        <v/>
      </c>
    </row>
    <row r="589" spans="1:1" ht="30" customHeight="1" x14ac:dyDescent="0.2">
      <c r="A589" s="20" t="str">
        <f t="shared" si="8"/>
        <v/>
      </c>
    </row>
    <row r="590" spans="1:1" ht="30" customHeight="1" x14ac:dyDescent="0.2">
      <c r="A590" s="20" t="str">
        <f t="shared" si="8"/>
        <v/>
      </c>
    </row>
    <row r="591" spans="1:1" ht="30" customHeight="1" x14ac:dyDescent="0.2">
      <c r="A591" s="20" t="str">
        <f t="shared" si="8"/>
        <v/>
      </c>
    </row>
    <row r="592" spans="1:1" ht="30" customHeight="1" x14ac:dyDescent="0.2">
      <c r="A592" s="20" t="str">
        <f t="shared" si="8"/>
        <v/>
      </c>
    </row>
    <row r="593" spans="1:1" ht="30" customHeight="1" x14ac:dyDescent="0.2">
      <c r="A593" s="20" t="str">
        <f t="shared" si="8"/>
        <v/>
      </c>
    </row>
    <row r="594" spans="1:1" ht="30" customHeight="1" x14ac:dyDescent="0.2">
      <c r="A594" s="20" t="str">
        <f t="shared" si="8"/>
        <v/>
      </c>
    </row>
    <row r="595" spans="1:1" ht="30" customHeight="1" x14ac:dyDescent="0.2">
      <c r="A595" s="20" t="str">
        <f t="shared" si="8"/>
        <v/>
      </c>
    </row>
    <row r="596" spans="1:1" ht="30" customHeight="1" x14ac:dyDescent="0.2">
      <c r="A596" s="20" t="str">
        <f t="shared" si="8"/>
        <v/>
      </c>
    </row>
    <row r="597" spans="1:1" ht="30" customHeight="1" x14ac:dyDescent="0.2">
      <c r="A597" s="20" t="str">
        <f t="shared" si="8"/>
        <v/>
      </c>
    </row>
    <row r="598" spans="1:1" ht="30" customHeight="1" x14ac:dyDescent="0.2">
      <c r="A598" s="20" t="str">
        <f t="shared" si="8"/>
        <v/>
      </c>
    </row>
    <row r="599" spans="1:1" ht="30" customHeight="1" x14ac:dyDescent="0.2">
      <c r="A599" s="20" t="str">
        <f t="shared" ref="A599:A662" si="9">IF(AND(B598&lt;&gt;"",B599=""),"Select Audit Point---&gt;","")</f>
        <v/>
      </c>
    </row>
    <row r="600" spans="1:1" ht="30" customHeight="1" x14ac:dyDescent="0.2">
      <c r="A600" s="20" t="str">
        <f t="shared" si="9"/>
        <v/>
      </c>
    </row>
    <row r="601" spans="1:1" ht="30" customHeight="1" x14ac:dyDescent="0.2">
      <c r="A601" s="20" t="str">
        <f t="shared" si="9"/>
        <v/>
      </c>
    </row>
    <row r="602" spans="1:1" ht="30" customHeight="1" x14ac:dyDescent="0.2">
      <c r="A602" s="20" t="str">
        <f t="shared" si="9"/>
        <v/>
      </c>
    </row>
    <row r="603" spans="1:1" ht="30" customHeight="1" x14ac:dyDescent="0.2">
      <c r="A603" s="20" t="str">
        <f t="shared" si="9"/>
        <v/>
      </c>
    </row>
    <row r="604" spans="1:1" ht="30" customHeight="1" x14ac:dyDescent="0.2">
      <c r="A604" s="20" t="str">
        <f t="shared" si="9"/>
        <v/>
      </c>
    </row>
    <row r="605" spans="1:1" ht="30" customHeight="1" x14ac:dyDescent="0.2">
      <c r="A605" s="20" t="str">
        <f t="shared" si="9"/>
        <v/>
      </c>
    </row>
    <row r="606" spans="1:1" ht="30" customHeight="1" x14ac:dyDescent="0.2">
      <c r="A606" s="20" t="str">
        <f t="shared" si="9"/>
        <v/>
      </c>
    </row>
    <row r="607" spans="1:1" ht="30" customHeight="1" x14ac:dyDescent="0.2">
      <c r="A607" s="20" t="str">
        <f t="shared" si="9"/>
        <v/>
      </c>
    </row>
    <row r="608" spans="1:1" ht="30" customHeight="1" x14ac:dyDescent="0.2">
      <c r="A608" s="20" t="str">
        <f t="shared" si="9"/>
        <v/>
      </c>
    </row>
    <row r="609" spans="1:1" ht="30" customHeight="1" x14ac:dyDescent="0.2">
      <c r="A609" s="20" t="str">
        <f t="shared" si="9"/>
        <v/>
      </c>
    </row>
    <row r="610" spans="1:1" ht="30" customHeight="1" x14ac:dyDescent="0.2">
      <c r="A610" s="20" t="str">
        <f t="shared" si="9"/>
        <v/>
      </c>
    </row>
    <row r="611" spans="1:1" ht="30" customHeight="1" x14ac:dyDescent="0.2">
      <c r="A611" s="20" t="str">
        <f t="shared" si="9"/>
        <v/>
      </c>
    </row>
    <row r="612" spans="1:1" ht="30" customHeight="1" x14ac:dyDescent="0.2">
      <c r="A612" s="20" t="str">
        <f t="shared" si="9"/>
        <v/>
      </c>
    </row>
    <row r="613" spans="1:1" ht="30" customHeight="1" x14ac:dyDescent="0.2">
      <c r="A613" s="20" t="str">
        <f t="shared" si="9"/>
        <v/>
      </c>
    </row>
    <row r="614" spans="1:1" ht="30" customHeight="1" x14ac:dyDescent="0.2">
      <c r="A614" s="20" t="str">
        <f t="shared" si="9"/>
        <v/>
      </c>
    </row>
    <row r="615" spans="1:1" ht="30" customHeight="1" x14ac:dyDescent="0.2">
      <c r="A615" s="20" t="str">
        <f t="shared" si="9"/>
        <v/>
      </c>
    </row>
    <row r="616" spans="1:1" ht="30" customHeight="1" x14ac:dyDescent="0.2">
      <c r="A616" s="20" t="str">
        <f t="shared" si="9"/>
        <v/>
      </c>
    </row>
    <row r="617" spans="1:1" ht="30" customHeight="1" x14ac:dyDescent="0.2">
      <c r="A617" s="20" t="str">
        <f t="shared" si="9"/>
        <v/>
      </c>
    </row>
    <row r="618" spans="1:1" ht="30" customHeight="1" x14ac:dyDescent="0.2">
      <c r="A618" s="20" t="str">
        <f t="shared" si="9"/>
        <v/>
      </c>
    </row>
    <row r="619" spans="1:1" ht="30" customHeight="1" x14ac:dyDescent="0.2">
      <c r="A619" s="20" t="str">
        <f t="shared" si="9"/>
        <v/>
      </c>
    </row>
    <row r="620" spans="1:1" ht="30" customHeight="1" x14ac:dyDescent="0.2">
      <c r="A620" s="20" t="str">
        <f t="shared" si="9"/>
        <v/>
      </c>
    </row>
    <row r="621" spans="1:1" ht="30" customHeight="1" x14ac:dyDescent="0.2">
      <c r="A621" s="20" t="str">
        <f t="shared" si="9"/>
        <v/>
      </c>
    </row>
    <row r="622" spans="1:1" ht="30" customHeight="1" x14ac:dyDescent="0.2">
      <c r="A622" s="20" t="str">
        <f t="shared" si="9"/>
        <v/>
      </c>
    </row>
    <row r="623" spans="1:1" ht="30" customHeight="1" x14ac:dyDescent="0.2">
      <c r="A623" s="20" t="str">
        <f t="shared" si="9"/>
        <v/>
      </c>
    </row>
    <row r="624" spans="1:1" ht="30" customHeight="1" x14ac:dyDescent="0.2">
      <c r="A624" s="20" t="str">
        <f t="shared" si="9"/>
        <v/>
      </c>
    </row>
    <row r="625" spans="1:1" ht="30" customHeight="1" x14ac:dyDescent="0.2">
      <c r="A625" s="20" t="str">
        <f t="shared" si="9"/>
        <v/>
      </c>
    </row>
    <row r="626" spans="1:1" ht="30" customHeight="1" x14ac:dyDescent="0.2">
      <c r="A626" s="20" t="str">
        <f t="shared" si="9"/>
        <v/>
      </c>
    </row>
    <row r="627" spans="1:1" ht="30" customHeight="1" x14ac:dyDescent="0.2">
      <c r="A627" s="20" t="str">
        <f t="shared" si="9"/>
        <v/>
      </c>
    </row>
    <row r="628" spans="1:1" ht="30" customHeight="1" x14ac:dyDescent="0.2">
      <c r="A628" s="20" t="str">
        <f t="shared" si="9"/>
        <v/>
      </c>
    </row>
    <row r="629" spans="1:1" ht="30" customHeight="1" x14ac:dyDescent="0.2">
      <c r="A629" s="20" t="str">
        <f t="shared" si="9"/>
        <v/>
      </c>
    </row>
    <row r="630" spans="1:1" ht="30" customHeight="1" x14ac:dyDescent="0.2">
      <c r="A630" s="20" t="str">
        <f t="shared" si="9"/>
        <v/>
      </c>
    </row>
    <row r="631" spans="1:1" ht="30" customHeight="1" x14ac:dyDescent="0.2">
      <c r="A631" s="20" t="str">
        <f t="shared" si="9"/>
        <v/>
      </c>
    </row>
    <row r="632" spans="1:1" ht="30" customHeight="1" x14ac:dyDescent="0.2">
      <c r="A632" s="20" t="str">
        <f t="shared" si="9"/>
        <v/>
      </c>
    </row>
    <row r="633" spans="1:1" ht="30" customHeight="1" x14ac:dyDescent="0.2">
      <c r="A633" s="20" t="str">
        <f t="shared" si="9"/>
        <v/>
      </c>
    </row>
    <row r="634" spans="1:1" ht="30" customHeight="1" x14ac:dyDescent="0.2">
      <c r="A634" s="20" t="str">
        <f t="shared" si="9"/>
        <v/>
      </c>
    </row>
    <row r="635" spans="1:1" ht="30" customHeight="1" x14ac:dyDescent="0.2">
      <c r="A635" s="20" t="str">
        <f t="shared" si="9"/>
        <v/>
      </c>
    </row>
    <row r="636" spans="1:1" ht="30" customHeight="1" x14ac:dyDescent="0.2">
      <c r="A636" s="20" t="str">
        <f t="shared" si="9"/>
        <v/>
      </c>
    </row>
    <row r="637" spans="1:1" ht="30" customHeight="1" x14ac:dyDescent="0.2">
      <c r="A637" s="20" t="str">
        <f t="shared" si="9"/>
        <v/>
      </c>
    </row>
    <row r="638" spans="1:1" ht="30" customHeight="1" x14ac:dyDescent="0.2">
      <c r="A638" s="20" t="str">
        <f t="shared" si="9"/>
        <v/>
      </c>
    </row>
    <row r="639" spans="1:1" ht="30" customHeight="1" x14ac:dyDescent="0.2">
      <c r="A639" s="20" t="str">
        <f t="shared" si="9"/>
        <v/>
      </c>
    </row>
    <row r="640" spans="1:1" ht="30" customHeight="1" x14ac:dyDescent="0.2">
      <c r="A640" s="20" t="str">
        <f t="shared" si="9"/>
        <v/>
      </c>
    </row>
    <row r="641" spans="1:1" ht="30" customHeight="1" x14ac:dyDescent="0.2">
      <c r="A641" s="20" t="str">
        <f t="shared" si="9"/>
        <v/>
      </c>
    </row>
    <row r="642" spans="1:1" ht="30" customHeight="1" x14ac:dyDescent="0.2">
      <c r="A642" s="20" t="str">
        <f t="shared" si="9"/>
        <v/>
      </c>
    </row>
    <row r="643" spans="1:1" ht="30" customHeight="1" x14ac:dyDescent="0.2">
      <c r="A643" s="20" t="str">
        <f t="shared" si="9"/>
        <v/>
      </c>
    </row>
    <row r="644" spans="1:1" ht="30" customHeight="1" x14ac:dyDescent="0.2">
      <c r="A644" s="20" t="str">
        <f t="shared" si="9"/>
        <v/>
      </c>
    </row>
    <row r="645" spans="1:1" ht="30" customHeight="1" x14ac:dyDescent="0.2">
      <c r="A645" s="20" t="str">
        <f t="shared" si="9"/>
        <v/>
      </c>
    </row>
    <row r="646" spans="1:1" ht="30" customHeight="1" x14ac:dyDescent="0.2">
      <c r="A646" s="20" t="str">
        <f t="shared" si="9"/>
        <v/>
      </c>
    </row>
    <row r="647" spans="1:1" ht="30" customHeight="1" x14ac:dyDescent="0.2">
      <c r="A647" s="20" t="str">
        <f t="shared" si="9"/>
        <v/>
      </c>
    </row>
    <row r="648" spans="1:1" ht="30" customHeight="1" x14ac:dyDescent="0.2">
      <c r="A648" s="20" t="str">
        <f t="shared" si="9"/>
        <v/>
      </c>
    </row>
    <row r="649" spans="1:1" ht="30" customHeight="1" x14ac:dyDescent="0.2">
      <c r="A649" s="20" t="str">
        <f t="shared" si="9"/>
        <v/>
      </c>
    </row>
    <row r="650" spans="1:1" ht="30" customHeight="1" x14ac:dyDescent="0.2">
      <c r="A650" s="20" t="str">
        <f t="shared" si="9"/>
        <v/>
      </c>
    </row>
    <row r="651" spans="1:1" ht="30" customHeight="1" x14ac:dyDescent="0.2">
      <c r="A651" s="20" t="str">
        <f t="shared" si="9"/>
        <v/>
      </c>
    </row>
    <row r="652" spans="1:1" ht="30" customHeight="1" x14ac:dyDescent="0.2">
      <c r="A652" s="20" t="str">
        <f t="shared" si="9"/>
        <v/>
      </c>
    </row>
    <row r="653" spans="1:1" ht="30" customHeight="1" x14ac:dyDescent="0.2">
      <c r="A653" s="20" t="str">
        <f t="shared" si="9"/>
        <v/>
      </c>
    </row>
    <row r="654" spans="1:1" ht="30" customHeight="1" x14ac:dyDescent="0.2">
      <c r="A654" s="20" t="str">
        <f t="shared" si="9"/>
        <v/>
      </c>
    </row>
    <row r="655" spans="1:1" ht="30" customHeight="1" x14ac:dyDescent="0.2">
      <c r="A655" s="20" t="str">
        <f t="shared" si="9"/>
        <v/>
      </c>
    </row>
    <row r="656" spans="1:1" ht="30" customHeight="1" x14ac:dyDescent="0.2">
      <c r="A656" s="20" t="str">
        <f t="shared" si="9"/>
        <v/>
      </c>
    </row>
    <row r="657" spans="1:1" ht="30" customHeight="1" x14ac:dyDescent="0.2">
      <c r="A657" s="20" t="str">
        <f t="shared" si="9"/>
        <v/>
      </c>
    </row>
    <row r="658" spans="1:1" ht="30" customHeight="1" x14ac:dyDescent="0.2">
      <c r="A658" s="20" t="str">
        <f t="shared" si="9"/>
        <v/>
      </c>
    </row>
    <row r="659" spans="1:1" ht="30" customHeight="1" x14ac:dyDescent="0.2">
      <c r="A659" s="20" t="str">
        <f t="shared" si="9"/>
        <v/>
      </c>
    </row>
    <row r="660" spans="1:1" ht="30" customHeight="1" x14ac:dyDescent="0.2">
      <c r="A660" s="20" t="str">
        <f t="shared" si="9"/>
        <v/>
      </c>
    </row>
    <row r="661" spans="1:1" ht="30" customHeight="1" x14ac:dyDescent="0.2">
      <c r="A661" s="20" t="str">
        <f t="shared" si="9"/>
        <v/>
      </c>
    </row>
    <row r="662" spans="1:1" ht="30" customHeight="1" x14ac:dyDescent="0.2">
      <c r="A662" s="20" t="str">
        <f t="shared" si="9"/>
        <v/>
      </c>
    </row>
    <row r="663" spans="1:1" ht="30" customHeight="1" x14ac:dyDescent="0.2">
      <c r="A663" s="20" t="str">
        <f t="shared" ref="A663:A726" si="10">IF(AND(B662&lt;&gt;"",B663=""),"Select Audit Point---&gt;","")</f>
        <v/>
      </c>
    </row>
    <row r="664" spans="1:1" ht="30" customHeight="1" x14ac:dyDescent="0.2">
      <c r="A664" s="20" t="str">
        <f t="shared" si="10"/>
        <v/>
      </c>
    </row>
    <row r="665" spans="1:1" ht="30" customHeight="1" x14ac:dyDescent="0.2">
      <c r="A665" s="20" t="str">
        <f t="shared" si="10"/>
        <v/>
      </c>
    </row>
    <row r="666" spans="1:1" ht="30" customHeight="1" x14ac:dyDescent="0.2">
      <c r="A666" s="20" t="str">
        <f t="shared" si="10"/>
        <v/>
      </c>
    </row>
    <row r="667" spans="1:1" ht="30" customHeight="1" x14ac:dyDescent="0.2">
      <c r="A667" s="20" t="str">
        <f t="shared" si="10"/>
        <v/>
      </c>
    </row>
    <row r="668" spans="1:1" ht="30" customHeight="1" x14ac:dyDescent="0.2">
      <c r="A668" s="20" t="str">
        <f t="shared" si="10"/>
        <v/>
      </c>
    </row>
    <row r="669" spans="1:1" ht="30" customHeight="1" x14ac:dyDescent="0.2">
      <c r="A669" s="20" t="str">
        <f t="shared" si="10"/>
        <v/>
      </c>
    </row>
    <row r="670" spans="1:1" ht="30" customHeight="1" x14ac:dyDescent="0.2">
      <c r="A670" s="20" t="str">
        <f t="shared" si="10"/>
        <v/>
      </c>
    </row>
    <row r="671" spans="1:1" ht="30" customHeight="1" x14ac:dyDescent="0.2">
      <c r="A671" s="20" t="str">
        <f t="shared" si="10"/>
        <v/>
      </c>
    </row>
    <row r="672" spans="1:1" ht="30" customHeight="1" x14ac:dyDescent="0.2">
      <c r="A672" s="20" t="str">
        <f t="shared" si="10"/>
        <v/>
      </c>
    </row>
    <row r="673" spans="1:1" ht="30" customHeight="1" x14ac:dyDescent="0.2">
      <c r="A673" s="20" t="str">
        <f t="shared" si="10"/>
        <v/>
      </c>
    </row>
    <row r="674" spans="1:1" ht="30" customHeight="1" x14ac:dyDescent="0.2">
      <c r="A674" s="20" t="str">
        <f t="shared" si="10"/>
        <v/>
      </c>
    </row>
    <row r="675" spans="1:1" ht="30" customHeight="1" x14ac:dyDescent="0.2">
      <c r="A675" s="20" t="str">
        <f t="shared" si="10"/>
        <v/>
      </c>
    </row>
    <row r="676" spans="1:1" ht="30" customHeight="1" x14ac:dyDescent="0.2">
      <c r="A676" s="20" t="str">
        <f t="shared" si="10"/>
        <v/>
      </c>
    </row>
    <row r="677" spans="1:1" ht="30" customHeight="1" x14ac:dyDescent="0.2">
      <c r="A677" s="20" t="str">
        <f t="shared" si="10"/>
        <v/>
      </c>
    </row>
    <row r="678" spans="1:1" ht="30" customHeight="1" x14ac:dyDescent="0.2">
      <c r="A678" s="20" t="str">
        <f t="shared" si="10"/>
        <v/>
      </c>
    </row>
    <row r="679" spans="1:1" ht="30" customHeight="1" x14ac:dyDescent="0.2">
      <c r="A679" s="20" t="str">
        <f t="shared" si="10"/>
        <v/>
      </c>
    </row>
    <row r="680" spans="1:1" ht="30" customHeight="1" x14ac:dyDescent="0.2">
      <c r="A680" s="20" t="str">
        <f t="shared" si="10"/>
        <v/>
      </c>
    </row>
    <row r="681" spans="1:1" ht="30" customHeight="1" x14ac:dyDescent="0.2">
      <c r="A681" s="20" t="str">
        <f t="shared" si="10"/>
        <v/>
      </c>
    </row>
    <row r="682" spans="1:1" ht="30" customHeight="1" x14ac:dyDescent="0.2">
      <c r="A682" s="20" t="str">
        <f t="shared" si="10"/>
        <v/>
      </c>
    </row>
    <row r="683" spans="1:1" ht="30" customHeight="1" x14ac:dyDescent="0.2">
      <c r="A683" s="20" t="str">
        <f t="shared" si="10"/>
        <v/>
      </c>
    </row>
    <row r="684" spans="1:1" ht="30" customHeight="1" x14ac:dyDescent="0.2">
      <c r="A684" s="20" t="str">
        <f t="shared" si="10"/>
        <v/>
      </c>
    </row>
    <row r="685" spans="1:1" ht="30" customHeight="1" x14ac:dyDescent="0.2">
      <c r="A685" s="20" t="str">
        <f t="shared" si="10"/>
        <v/>
      </c>
    </row>
    <row r="686" spans="1:1" ht="30" customHeight="1" x14ac:dyDescent="0.2">
      <c r="A686" s="20" t="str">
        <f t="shared" si="10"/>
        <v/>
      </c>
    </row>
    <row r="687" spans="1:1" ht="30" customHeight="1" x14ac:dyDescent="0.2">
      <c r="A687" s="20" t="str">
        <f t="shared" si="10"/>
        <v/>
      </c>
    </row>
    <row r="688" spans="1:1" ht="30" customHeight="1" x14ac:dyDescent="0.2">
      <c r="A688" s="20" t="str">
        <f t="shared" si="10"/>
        <v/>
      </c>
    </row>
    <row r="689" spans="1:1" ht="30" customHeight="1" x14ac:dyDescent="0.2">
      <c r="A689" s="20" t="str">
        <f t="shared" si="10"/>
        <v/>
      </c>
    </row>
    <row r="690" spans="1:1" ht="30" customHeight="1" x14ac:dyDescent="0.2">
      <c r="A690" s="20" t="str">
        <f t="shared" si="10"/>
        <v/>
      </c>
    </row>
    <row r="691" spans="1:1" ht="30" customHeight="1" x14ac:dyDescent="0.2">
      <c r="A691" s="20" t="str">
        <f t="shared" si="10"/>
        <v/>
      </c>
    </row>
    <row r="692" spans="1:1" ht="30" customHeight="1" x14ac:dyDescent="0.2">
      <c r="A692" s="20" t="str">
        <f t="shared" si="10"/>
        <v/>
      </c>
    </row>
    <row r="693" spans="1:1" ht="30" customHeight="1" x14ac:dyDescent="0.2">
      <c r="A693" s="20" t="str">
        <f t="shared" si="10"/>
        <v/>
      </c>
    </row>
    <row r="694" spans="1:1" ht="30" customHeight="1" x14ac:dyDescent="0.2">
      <c r="A694" s="20" t="str">
        <f t="shared" si="10"/>
        <v/>
      </c>
    </row>
    <row r="695" spans="1:1" ht="30" customHeight="1" x14ac:dyDescent="0.2">
      <c r="A695" s="20" t="str">
        <f t="shared" si="10"/>
        <v/>
      </c>
    </row>
    <row r="696" spans="1:1" ht="30" customHeight="1" x14ac:dyDescent="0.2">
      <c r="A696" s="20" t="str">
        <f t="shared" si="10"/>
        <v/>
      </c>
    </row>
    <row r="697" spans="1:1" ht="30" customHeight="1" x14ac:dyDescent="0.2">
      <c r="A697" s="20" t="str">
        <f t="shared" si="10"/>
        <v/>
      </c>
    </row>
    <row r="698" spans="1:1" ht="30" customHeight="1" x14ac:dyDescent="0.2">
      <c r="A698" s="20" t="str">
        <f t="shared" si="10"/>
        <v/>
      </c>
    </row>
    <row r="699" spans="1:1" ht="30" customHeight="1" x14ac:dyDescent="0.2">
      <c r="A699" s="20" t="str">
        <f t="shared" si="10"/>
        <v/>
      </c>
    </row>
    <row r="700" spans="1:1" ht="30" customHeight="1" x14ac:dyDescent="0.2">
      <c r="A700" s="20" t="str">
        <f t="shared" si="10"/>
        <v/>
      </c>
    </row>
    <row r="701" spans="1:1" ht="30" customHeight="1" x14ac:dyDescent="0.2">
      <c r="A701" s="20" t="str">
        <f t="shared" si="10"/>
        <v/>
      </c>
    </row>
    <row r="702" spans="1:1" ht="30" customHeight="1" x14ac:dyDescent="0.2">
      <c r="A702" s="20" t="str">
        <f t="shared" si="10"/>
        <v/>
      </c>
    </row>
    <row r="703" spans="1:1" ht="30" customHeight="1" x14ac:dyDescent="0.2">
      <c r="A703" s="20" t="str">
        <f t="shared" si="10"/>
        <v/>
      </c>
    </row>
    <row r="704" spans="1:1" ht="30" customHeight="1" x14ac:dyDescent="0.2">
      <c r="A704" s="20" t="str">
        <f t="shared" si="10"/>
        <v/>
      </c>
    </row>
    <row r="705" spans="1:1" ht="30" customHeight="1" x14ac:dyDescent="0.2">
      <c r="A705" s="20" t="str">
        <f t="shared" si="10"/>
        <v/>
      </c>
    </row>
    <row r="706" spans="1:1" ht="30" customHeight="1" x14ac:dyDescent="0.2">
      <c r="A706" s="20" t="str">
        <f t="shared" si="10"/>
        <v/>
      </c>
    </row>
    <row r="707" spans="1:1" ht="30" customHeight="1" x14ac:dyDescent="0.2">
      <c r="A707" s="20" t="str">
        <f t="shared" si="10"/>
        <v/>
      </c>
    </row>
    <row r="708" spans="1:1" ht="30" customHeight="1" x14ac:dyDescent="0.2">
      <c r="A708" s="20" t="str">
        <f t="shared" si="10"/>
        <v/>
      </c>
    </row>
    <row r="709" spans="1:1" ht="30" customHeight="1" x14ac:dyDescent="0.2">
      <c r="A709" s="20" t="str">
        <f t="shared" si="10"/>
        <v/>
      </c>
    </row>
    <row r="710" spans="1:1" ht="30" customHeight="1" x14ac:dyDescent="0.2">
      <c r="A710" s="20" t="str">
        <f t="shared" si="10"/>
        <v/>
      </c>
    </row>
    <row r="711" spans="1:1" ht="30" customHeight="1" x14ac:dyDescent="0.2">
      <c r="A711" s="20" t="str">
        <f t="shared" si="10"/>
        <v/>
      </c>
    </row>
    <row r="712" spans="1:1" ht="30" customHeight="1" x14ac:dyDescent="0.2">
      <c r="A712" s="20" t="str">
        <f t="shared" si="10"/>
        <v/>
      </c>
    </row>
    <row r="713" spans="1:1" ht="30" customHeight="1" x14ac:dyDescent="0.2">
      <c r="A713" s="20" t="str">
        <f t="shared" si="10"/>
        <v/>
      </c>
    </row>
    <row r="714" spans="1:1" ht="30" customHeight="1" x14ac:dyDescent="0.2">
      <c r="A714" s="20" t="str">
        <f t="shared" si="10"/>
        <v/>
      </c>
    </row>
    <row r="715" spans="1:1" ht="30" customHeight="1" x14ac:dyDescent="0.2">
      <c r="A715" s="20" t="str">
        <f t="shared" si="10"/>
        <v/>
      </c>
    </row>
    <row r="716" spans="1:1" ht="30" customHeight="1" x14ac:dyDescent="0.2">
      <c r="A716" s="20" t="str">
        <f t="shared" si="10"/>
        <v/>
      </c>
    </row>
    <row r="717" spans="1:1" ht="30" customHeight="1" x14ac:dyDescent="0.2">
      <c r="A717" s="20" t="str">
        <f t="shared" si="10"/>
        <v/>
      </c>
    </row>
    <row r="718" spans="1:1" ht="30" customHeight="1" x14ac:dyDescent="0.2">
      <c r="A718" s="20" t="str">
        <f t="shared" si="10"/>
        <v/>
      </c>
    </row>
    <row r="719" spans="1:1" ht="30" customHeight="1" x14ac:dyDescent="0.2">
      <c r="A719" s="20" t="str">
        <f t="shared" si="10"/>
        <v/>
      </c>
    </row>
    <row r="720" spans="1:1" ht="30" customHeight="1" x14ac:dyDescent="0.2">
      <c r="A720" s="20" t="str">
        <f t="shared" si="10"/>
        <v/>
      </c>
    </row>
    <row r="721" spans="1:1" ht="30" customHeight="1" x14ac:dyDescent="0.2">
      <c r="A721" s="20" t="str">
        <f t="shared" si="10"/>
        <v/>
      </c>
    </row>
    <row r="722" spans="1:1" ht="30" customHeight="1" x14ac:dyDescent="0.2">
      <c r="A722" s="20" t="str">
        <f t="shared" si="10"/>
        <v/>
      </c>
    </row>
    <row r="723" spans="1:1" ht="30" customHeight="1" x14ac:dyDescent="0.2">
      <c r="A723" s="20" t="str">
        <f t="shared" si="10"/>
        <v/>
      </c>
    </row>
    <row r="724" spans="1:1" ht="30" customHeight="1" x14ac:dyDescent="0.2">
      <c r="A724" s="20" t="str">
        <f t="shared" si="10"/>
        <v/>
      </c>
    </row>
    <row r="725" spans="1:1" ht="30" customHeight="1" x14ac:dyDescent="0.2">
      <c r="A725" s="20" t="str">
        <f t="shared" si="10"/>
        <v/>
      </c>
    </row>
    <row r="726" spans="1:1" ht="30" customHeight="1" x14ac:dyDescent="0.2">
      <c r="A726" s="20" t="str">
        <f t="shared" si="10"/>
        <v/>
      </c>
    </row>
    <row r="727" spans="1:1" ht="30" customHeight="1" x14ac:dyDescent="0.2">
      <c r="A727" s="20" t="str">
        <f t="shared" ref="A727:A790" si="11">IF(AND(B726&lt;&gt;"",B727=""),"Select Audit Point---&gt;","")</f>
        <v/>
      </c>
    </row>
    <row r="728" spans="1:1" ht="30" customHeight="1" x14ac:dyDescent="0.2">
      <c r="A728" s="20" t="str">
        <f t="shared" si="11"/>
        <v/>
      </c>
    </row>
    <row r="729" spans="1:1" ht="30" customHeight="1" x14ac:dyDescent="0.2">
      <c r="A729" s="20" t="str">
        <f t="shared" si="11"/>
        <v/>
      </c>
    </row>
    <row r="730" spans="1:1" ht="30" customHeight="1" x14ac:dyDescent="0.2">
      <c r="A730" s="20" t="str">
        <f t="shared" si="11"/>
        <v/>
      </c>
    </row>
    <row r="731" spans="1:1" ht="30" customHeight="1" x14ac:dyDescent="0.2">
      <c r="A731" s="20" t="str">
        <f t="shared" si="11"/>
        <v/>
      </c>
    </row>
    <row r="732" spans="1:1" ht="30" customHeight="1" x14ac:dyDescent="0.2">
      <c r="A732" s="20" t="str">
        <f t="shared" si="11"/>
        <v/>
      </c>
    </row>
    <row r="733" spans="1:1" ht="30" customHeight="1" x14ac:dyDescent="0.2">
      <c r="A733" s="20" t="str">
        <f t="shared" si="11"/>
        <v/>
      </c>
    </row>
    <row r="734" spans="1:1" ht="30" customHeight="1" x14ac:dyDescent="0.2">
      <c r="A734" s="20" t="str">
        <f t="shared" si="11"/>
        <v/>
      </c>
    </row>
    <row r="735" spans="1:1" ht="30" customHeight="1" x14ac:dyDescent="0.2">
      <c r="A735" s="20" t="str">
        <f t="shared" si="11"/>
        <v/>
      </c>
    </row>
    <row r="736" spans="1:1" ht="30" customHeight="1" x14ac:dyDescent="0.2">
      <c r="A736" s="20" t="str">
        <f t="shared" si="11"/>
        <v/>
      </c>
    </row>
    <row r="737" spans="1:1" ht="30" customHeight="1" x14ac:dyDescent="0.2">
      <c r="A737" s="20" t="str">
        <f t="shared" si="11"/>
        <v/>
      </c>
    </row>
    <row r="738" spans="1:1" ht="30" customHeight="1" x14ac:dyDescent="0.2">
      <c r="A738" s="20" t="str">
        <f t="shared" si="11"/>
        <v/>
      </c>
    </row>
    <row r="739" spans="1:1" ht="30" customHeight="1" x14ac:dyDescent="0.2">
      <c r="A739" s="20" t="str">
        <f t="shared" si="11"/>
        <v/>
      </c>
    </row>
    <row r="740" spans="1:1" ht="30" customHeight="1" x14ac:dyDescent="0.2">
      <c r="A740" s="20" t="str">
        <f t="shared" si="11"/>
        <v/>
      </c>
    </row>
    <row r="741" spans="1:1" ht="30" customHeight="1" x14ac:dyDescent="0.2">
      <c r="A741" s="20" t="str">
        <f t="shared" si="11"/>
        <v/>
      </c>
    </row>
    <row r="742" spans="1:1" ht="30" customHeight="1" x14ac:dyDescent="0.2">
      <c r="A742" s="20" t="str">
        <f t="shared" si="11"/>
        <v/>
      </c>
    </row>
    <row r="743" spans="1:1" ht="30" customHeight="1" x14ac:dyDescent="0.2">
      <c r="A743" s="20" t="str">
        <f t="shared" si="11"/>
        <v/>
      </c>
    </row>
    <row r="744" spans="1:1" ht="30" customHeight="1" x14ac:dyDescent="0.2">
      <c r="A744" s="20" t="str">
        <f t="shared" si="11"/>
        <v/>
      </c>
    </row>
    <row r="745" spans="1:1" ht="30" customHeight="1" x14ac:dyDescent="0.2">
      <c r="A745" s="20" t="str">
        <f t="shared" si="11"/>
        <v/>
      </c>
    </row>
    <row r="746" spans="1:1" ht="30" customHeight="1" x14ac:dyDescent="0.2">
      <c r="A746" s="20" t="str">
        <f t="shared" si="11"/>
        <v/>
      </c>
    </row>
    <row r="747" spans="1:1" ht="30" customHeight="1" x14ac:dyDescent="0.2">
      <c r="A747" s="20" t="str">
        <f t="shared" si="11"/>
        <v/>
      </c>
    </row>
    <row r="748" spans="1:1" ht="30" customHeight="1" x14ac:dyDescent="0.2">
      <c r="A748" s="20" t="str">
        <f t="shared" si="11"/>
        <v/>
      </c>
    </row>
    <row r="749" spans="1:1" ht="30" customHeight="1" x14ac:dyDescent="0.2">
      <c r="A749" s="20" t="str">
        <f t="shared" si="11"/>
        <v/>
      </c>
    </row>
    <row r="750" spans="1:1" ht="30" customHeight="1" x14ac:dyDescent="0.2">
      <c r="A750" s="20" t="str">
        <f t="shared" si="11"/>
        <v/>
      </c>
    </row>
    <row r="751" spans="1:1" ht="30" customHeight="1" x14ac:dyDescent="0.2">
      <c r="A751" s="20" t="str">
        <f t="shared" si="11"/>
        <v/>
      </c>
    </row>
    <row r="752" spans="1:1" ht="30" customHeight="1" x14ac:dyDescent="0.2">
      <c r="A752" s="20" t="str">
        <f t="shared" si="11"/>
        <v/>
      </c>
    </row>
    <row r="753" spans="1:1" ht="30" customHeight="1" x14ac:dyDescent="0.2">
      <c r="A753" s="20" t="str">
        <f t="shared" si="11"/>
        <v/>
      </c>
    </row>
    <row r="754" spans="1:1" ht="30" customHeight="1" x14ac:dyDescent="0.2">
      <c r="A754" s="20" t="str">
        <f t="shared" si="11"/>
        <v/>
      </c>
    </row>
    <row r="755" spans="1:1" ht="30" customHeight="1" x14ac:dyDescent="0.2">
      <c r="A755" s="20" t="str">
        <f t="shared" si="11"/>
        <v/>
      </c>
    </row>
    <row r="756" spans="1:1" ht="30" customHeight="1" x14ac:dyDescent="0.2">
      <c r="A756" s="20" t="str">
        <f t="shared" si="11"/>
        <v/>
      </c>
    </row>
    <row r="757" spans="1:1" ht="30" customHeight="1" x14ac:dyDescent="0.2">
      <c r="A757" s="20" t="str">
        <f t="shared" si="11"/>
        <v/>
      </c>
    </row>
    <row r="758" spans="1:1" ht="30" customHeight="1" x14ac:dyDescent="0.2">
      <c r="A758" s="20" t="str">
        <f t="shared" si="11"/>
        <v/>
      </c>
    </row>
    <row r="759" spans="1:1" ht="30" customHeight="1" x14ac:dyDescent="0.2">
      <c r="A759" s="20" t="str">
        <f t="shared" si="11"/>
        <v/>
      </c>
    </row>
    <row r="760" spans="1:1" ht="30" customHeight="1" x14ac:dyDescent="0.2">
      <c r="A760" s="20" t="str">
        <f t="shared" si="11"/>
        <v/>
      </c>
    </row>
    <row r="761" spans="1:1" ht="30" customHeight="1" x14ac:dyDescent="0.2">
      <c r="A761" s="20" t="str">
        <f t="shared" si="11"/>
        <v/>
      </c>
    </row>
    <row r="762" spans="1:1" ht="30" customHeight="1" x14ac:dyDescent="0.2">
      <c r="A762" s="20" t="str">
        <f t="shared" si="11"/>
        <v/>
      </c>
    </row>
    <row r="763" spans="1:1" ht="30" customHeight="1" x14ac:dyDescent="0.2">
      <c r="A763" s="20" t="str">
        <f t="shared" si="11"/>
        <v/>
      </c>
    </row>
    <row r="764" spans="1:1" ht="30" customHeight="1" x14ac:dyDescent="0.2">
      <c r="A764" s="20" t="str">
        <f t="shared" si="11"/>
        <v/>
      </c>
    </row>
    <row r="765" spans="1:1" ht="30" customHeight="1" x14ac:dyDescent="0.2">
      <c r="A765" s="20" t="str">
        <f t="shared" si="11"/>
        <v/>
      </c>
    </row>
    <row r="766" spans="1:1" ht="30" customHeight="1" x14ac:dyDescent="0.2">
      <c r="A766" s="20" t="str">
        <f t="shared" si="11"/>
        <v/>
      </c>
    </row>
    <row r="767" spans="1:1" ht="30" customHeight="1" x14ac:dyDescent="0.2">
      <c r="A767" s="20" t="str">
        <f t="shared" si="11"/>
        <v/>
      </c>
    </row>
    <row r="768" spans="1:1" ht="30" customHeight="1" x14ac:dyDescent="0.2">
      <c r="A768" s="20" t="str">
        <f t="shared" si="11"/>
        <v/>
      </c>
    </row>
    <row r="769" spans="1:1" ht="30" customHeight="1" x14ac:dyDescent="0.2">
      <c r="A769" s="20" t="str">
        <f t="shared" si="11"/>
        <v/>
      </c>
    </row>
    <row r="770" spans="1:1" ht="30" customHeight="1" x14ac:dyDescent="0.2">
      <c r="A770" s="20" t="str">
        <f t="shared" si="11"/>
        <v/>
      </c>
    </row>
    <row r="771" spans="1:1" ht="30" customHeight="1" x14ac:dyDescent="0.2">
      <c r="A771" s="20" t="str">
        <f t="shared" si="11"/>
        <v/>
      </c>
    </row>
    <row r="772" spans="1:1" ht="30" customHeight="1" x14ac:dyDescent="0.2">
      <c r="A772" s="20" t="str">
        <f t="shared" si="11"/>
        <v/>
      </c>
    </row>
    <row r="773" spans="1:1" ht="30" customHeight="1" x14ac:dyDescent="0.2">
      <c r="A773" s="20" t="str">
        <f t="shared" si="11"/>
        <v/>
      </c>
    </row>
    <row r="774" spans="1:1" ht="30" customHeight="1" x14ac:dyDescent="0.2">
      <c r="A774" s="20" t="str">
        <f t="shared" si="11"/>
        <v/>
      </c>
    </row>
    <row r="775" spans="1:1" ht="30" customHeight="1" x14ac:dyDescent="0.2">
      <c r="A775" s="20" t="str">
        <f t="shared" si="11"/>
        <v/>
      </c>
    </row>
    <row r="776" spans="1:1" ht="30" customHeight="1" x14ac:dyDescent="0.2">
      <c r="A776" s="20" t="str">
        <f t="shared" si="11"/>
        <v/>
      </c>
    </row>
    <row r="777" spans="1:1" ht="30" customHeight="1" x14ac:dyDescent="0.2">
      <c r="A777" s="20" t="str">
        <f t="shared" si="11"/>
        <v/>
      </c>
    </row>
    <row r="778" spans="1:1" ht="30" customHeight="1" x14ac:dyDescent="0.2">
      <c r="A778" s="20" t="str">
        <f t="shared" si="11"/>
        <v/>
      </c>
    </row>
    <row r="779" spans="1:1" ht="30" customHeight="1" x14ac:dyDescent="0.2">
      <c r="A779" s="20" t="str">
        <f t="shared" si="11"/>
        <v/>
      </c>
    </row>
    <row r="780" spans="1:1" ht="30" customHeight="1" x14ac:dyDescent="0.2">
      <c r="A780" s="20" t="str">
        <f t="shared" si="11"/>
        <v/>
      </c>
    </row>
    <row r="781" spans="1:1" ht="30" customHeight="1" x14ac:dyDescent="0.2">
      <c r="A781" s="20" t="str">
        <f t="shared" si="11"/>
        <v/>
      </c>
    </row>
    <row r="782" spans="1:1" ht="30" customHeight="1" x14ac:dyDescent="0.2">
      <c r="A782" s="20" t="str">
        <f t="shared" si="11"/>
        <v/>
      </c>
    </row>
    <row r="783" spans="1:1" ht="30" customHeight="1" x14ac:dyDescent="0.2">
      <c r="A783" s="20" t="str">
        <f t="shared" si="11"/>
        <v/>
      </c>
    </row>
    <row r="784" spans="1:1" ht="30" customHeight="1" x14ac:dyDescent="0.2">
      <c r="A784" s="20" t="str">
        <f t="shared" si="11"/>
        <v/>
      </c>
    </row>
    <row r="785" spans="1:1" ht="30" customHeight="1" x14ac:dyDescent="0.2">
      <c r="A785" s="20" t="str">
        <f t="shared" si="11"/>
        <v/>
      </c>
    </row>
    <row r="786" spans="1:1" ht="30" customHeight="1" x14ac:dyDescent="0.2">
      <c r="A786" s="20" t="str">
        <f t="shared" si="11"/>
        <v/>
      </c>
    </row>
    <row r="787" spans="1:1" ht="30" customHeight="1" x14ac:dyDescent="0.2">
      <c r="A787" s="20" t="str">
        <f t="shared" si="11"/>
        <v/>
      </c>
    </row>
    <row r="788" spans="1:1" ht="30" customHeight="1" x14ac:dyDescent="0.2">
      <c r="A788" s="20" t="str">
        <f t="shared" si="11"/>
        <v/>
      </c>
    </row>
    <row r="789" spans="1:1" ht="30" customHeight="1" x14ac:dyDescent="0.2">
      <c r="A789" s="20" t="str">
        <f t="shared" si="11"/>
        <v/>
      </c>
    </row>
    <row r="790" spans="1:1" ht="30" customHeight="1" x14ac:dyDescent="0.2">
      <c r="A790" s="20" t="str">
        <f t="shared" si="11"/>
        <v/>
      </c>
    </row>
    <row r="791" spans="1:1" ht="30" customHeight="1" x14ac:dyDescent="0.2">
      <c r="A791" s="20" t="str">
        <f t="shared" ref="A791:A854" si="12">IF(AND(B790&lt;&gt;"",B791=""),"Select Audit Point---&gt;","")</f>
        <v/>
      </c>
    </row>
    <row r="792" spans="1:1" ht="30" customHeight="1" x14ac:dyDescent="0.2">
      <c r="A792" s="20" t="str">
        <f t="shared" si="12"/>
        <v/>
      </c>
    </row>
    <row r="793" spans="1:1" ht="30" customHeight="1" x14ac:dyDescent="0.2">
      <c r="A793" s="20" t="str">
        <f t="shared" si="12"/>
        <v/>
      </c>
    </row>
    <row r="794" spans="1:1" ht="30" customHeight="1" x14ac:dyDescent="0.2">
      <c r="A794" s="20" t="str">
        <f t="shared" si="12"/>
        <v/>
      </c>
    </row>
    <row r="795" spans="1:1" ht="30" customHeight="1" x14ac:dyDescent="0.2">
      <c r="A795" s="20" t="str">
        <f t="shared" si="12"/>
        <v/>
      </c>
    </row>
    <row r="796" spans="1:1" ht="30" customHeight="1" x14ac:dyDescent="0.2">
      <c r="A796" s="20" t="str">
        <f t="shared" si="12"/>
        <v/>
      </c>
    </row>
    <row r="797" spans="1:1" ht="30" customHeight="1" x14ac:dyDescent="0.2">
      <c r="A797" s="20" t="str">
        <f t="shared" si="12"/>
        <v/>
      </c>
    </row>
    <row r="798" spans="1:1" ht="30" customHeight="1" x14ac:dyDescent="0.2">
      <c r="A798" s="20" t="str">
        <f t="shared" si="12"/>
        <v/>
      </c>
    </row>
    <row r="799" spans="1:1" ht="30" customHeight="1" x14ac:dyDescent="0.2">
      <c r="A799" s="20" t="str">
        <f t="shared" si="12"/>
        <v/>
      </c>
    </row>
    <row r="800" spans="1:1" ht="30" customHeight="1" x14ac:dyDescent="0.2">
      <c r="A800" s="20" t="str">
        <f t="shared" si="12"/>
        <v/>
      </c>
    </row>
    <row r="801" spans="1:1" ht="30" customHeight="1" x14ac:dyDescent="0.2">
      <c r="A801" s="20" t="str">
        <f t="shared" si="12"/>
        <v/>
      </c>
    </row>
    <row r="802" spans="1:1" ht="30" customHeight="1" x14ac:dyDescent="0.2">
      <c r="A802" s="20" t="str">
        <f t="shared" si="12"/>
        <v/>
      </c>
    </row>
    <row r="803" spans="1:1" ht="30" customHeight="1" x14ac:dyDescent="0.2">
      <c r="A803" s="20" t="str">
        <f t="shared" si="12"/>
        <v/>
      </c>
    </row>
    <row r="804" spans="1:1" ht="30" customHeight="1" x14ac:dyDescent="0.2">
      <c r="A804" s="20" t="str">
        <f t="shared" si="12"/>
        <v/>
      </c>
    </row>
    <row r="805" spans="1:1" ht="30" customHeight="1" x14ac:dyDescent="0.2">
      <c r="A805" s="20" t="str">
        <f t="shared" si="12"/>
        <v/>
      </c>
    </row>
    <row r="806" spans="1:1" ht="30" customHeight="1" x14ac:dyDescent="0.2">
      <c r="A806" s="20" t="str">
        <f t="shared" si="12"/>
        <v/>
      </c>
    </row>
    <row r="807" spans="1:1" ht="30" customHeight="1" x14ac:dyDescent="0.2">
      <c r="A807" s="20" t="str">
        <f t="shared" si="12"/>
        <v/>
      </c>
    </row>
    <row r="808" spans="1:1" ht="30" customHeight="1" x14ac:dyDescent="0.2">
      <c r="A808" s="20" t="str">
        <f t="shared" si="12"/>
        <v/>
      </c>
    </row>
    <row r="809" spans="1:1" ht="30" customHeight="1" x14ac:dyDescent="0.2">
      <c r="A809" s="20" t="str">
        <f t="shared" si="12"/>
        <v/>
      </c>
    </row>
    <row r="810" spans="1:1" ht="30" customHeight="1" x14ac:dyDescent="0.2">
      <c r="A810" s="20" t="str">
        <f t="shared" si="12"/>
        <v/>
      </c>
    </row>
    <row r="811" spans="1:1" ht="30" customHeight="1" x14ac:dyDescent="0.2">
      <c r="A811" s="20" t="str">
        <f t="shared" si="12"/>
        <v/>
      </c>
    </row>
    <row r="812" spans="1:1" ht="30" customHeight="1" x14ac:dyDescent="0.2">
      <c r="A812" s="20" t="str">
        <f t="shared" si="12"/>
        <v/>
      </c>
    </row>
    <row r="813" spans="1:1" ht="30" customHeight="1" x14ac:dyDescent="0.2">
      <c r="A813" s="20" t="str">
        <f t="shared" si="12"/>
        <v/>
      </c>
    </row>
    <row r="814" spans="1:1" ht="30" customHeight="1" x14ac:dyDescent="0.2">
      <c r="A814" s="20" t="str">
        <f t="shared" si="12"/>
        <v/>
      </c>
    </row>
    <row r="815" spans="1:1" ht="30" customHeight="1" x14ac:dyDescent="0.2">
      <c r="A815" s="20" t="str">
        <f t="shared" si="12"/>
        <v/>
      </c>
    </row>
    <row r="816" spans="1:1" ht="30" customHeight="1" x14ac:dyDescent="0.2">
      <c r="A816" s="20" t="str">
        <f t="shared" si="12"/>
        <v/>
      </c>
    </row>
    <row r="817" spans="1:1" ht="30" customHeight="1" x14ac:dyDescent="0.2">
      <c r="A817" s="20" t="str">
        <f t="shared" si="12"/>
        <v/>
      </c>
    </row>
    <row r="818" spans="1:1" ht="30" customHeight="1" x14ac:dyDescent="0.2">
      <c r="A818" s="20" t="str">
        <f t="shared" si="12"/>
        <v/>
      </c>
    </row>
    <row r="819" spans="1:1" ht="30" customHeight="1" x14ac:dyDescent="0.2">
      <c r="A819" s="20" t="str">
        <f t="shared" si="12"/>
        <v/>
      </c>
    </row>
    <row r="820" spans="1:1" ht="30" customHeight="1" x14ac:dyDescent="0.2">
      <c r="A820" s="20" t="str">
        <f t="shared" si="12"/>
        <v/>
      </c>
    </row>
    <row r="821" spans="1:1" ht="30" customHeight="1" x14ac:dyDescent="0.2">
      <c r="A821" s="20" t="str">
        <f t="shared" si="12"/>
        <v/>
      </c>
    </row>
    <row r="822" spans="1:1" ht="30" customHeight="1" x14ac:dyDescent="0.2">
      <c r="A822" s="20" t="str">
        <f t="shared" si="12"/>
        <v/>
      </c>
    </row>
    <row r="823" spans="1:1" ht="30" customHeight="1" x14ac:dyDescent="0.2">
      <c r="A823" s="20" t="str">
        <f t="shared" si="12"/>
        <v/>
      </c>
    </row>
    <row r="824" spans="1:1" ht="30" customHeight="1" x14ac:dyDescent="0.2">
      <c r="A824" s="20" t="str">
        <f t="shared" si="12"/>
        <v/>
      </c>
    </row>
    <row r="825" spans="1:1" ht="30" customHeight="1" x14ac:dyDescent="0.2">
      <c r="A825" s="20" t="str">
        <f t="shared" si="12"/>
        <v/>
      </c>
    </row>
    <row r="826" spans="1:1" ht="30" customHeight="1" x14ac:dyDescent="0.2">
      <c r="A826" s="20" t="str">
        <f t="shared" si="12"/>
        <v/>
      </c>
    </row>
    <row r="827" spans="1:1" ht="30" customHeight="1" x14ac:dyDescent="0.2">
      <c r="A827" s="20" t="str">
        <f t="shared" si="12"/>
        <v/>
      </c>
    </row>
    <row r="828" spans="1:1" ht="30" customHeight="1" x14ac:dyDescent="0.2">
      <c r="A828" s="20" t="str">
        <f t="shared" si="12"/>
        <v/>
      </c>
    </row>
    <row r="829" spans="1:1" ht="30" customHeight="1" x14ac:dyDescent="0.2">
      <c r="A829" s="20" t="str">
        <f t="shared" si="12"/>
        <v/>
      </c>
    </row>
    <row r="830" spans="1:1" ht="30" customHeight="1" x14ac:dyDescent="0.2">
      <c r="A830" s="20" t="str">
        <f t="shared" si="12"/>
        <v/>
      </c>
    </row>
    <row r="831" spans="1:1" ht="30" customHeight="1" x14ac:dyDescent="0.2">
      <c r="A831" s="20" t="str">
        <f t="shared" si="12"/>
        <v/>
      </c>
    </row>
    <row r="832" spans="1:1" ht="30" customHeight="1" x14ac:dyDescent="0.2">
      <c r="A832" s="20" t="str">
        <f t="shared" si="12"/>
        <v/>
      </c>
    </row>
    <row r="833" spans="1:1" ht="30" customHeight="1" x14ac:dyDescent="0.2">
      <c r="A833" s="20" t="str">
        <f t="shared" si="12"/>
        <v/>
      </c>
    </row>
    <row r="834" spans="1:1" ht="30" customHeight="1" x14ac:dyDescent="0.2">
      <c r="A834" s="20" t="str">
        <f t="shared" si="12"/>
        <v/>
      </c>
    </row>
    <row r="835" spans="1:1" ht="30" customHeight="1" x14ac:dyDescent="0.2">
      <c r="A835" s="20" t="str">
        <f t="shared" si="12"/>
        <v/>
      </c>
    </row>
    <row r="836" spans="1:1" ht="30" customHeight="1" x14ac:dyDescent="0.2">
      <c r="A836" s="20" t="str">
        <f t="shared" si="12"/>
        <v/>
      </c>
    </row>
    <row r="837" spans="1:1" ht="30" customHeight="1" x14ac:dyDescent="0.2">
      <c r="A837" s="20" t="str">
        <f t="shared" si="12"/>
        <v/>
      </c>
    </row>
    <row r="838" spans="1:1" ht="30" customHeight="1" x14ac:dyDescent="0.2">
      <c r="A838" s="20" t="str">
        <f t="shared" si="12"/>
        <v/>
      </c>
    </row>
    <row r="839" spans="1:1" ht="30" customHeight="1" x14ac:dyDescent="0.2">
      <c r="A839" s="20" t="str">
        <f t="shared" si="12"/>
        <v/>
      </c>
    </row>
    <row r="840" spans="1:1" ht="30" customHeight="1" x14ac:dyDescent="0.2">
      <c r="A840" s="20" t="str">
        <f t="shared" si="12"/>
        <v/>
      </c>
    </row>
    <row r="841" spans="1:1" ht="30" customHeight="1" x14ac:dyDescent="0.2">
      <c r="A841" s="20" t="str">
        <f t="shared" si="12"/>
        <v/>
      </c>
    </row>
    <row r="842" spans="1:1" ht="30" customHeight="1" x14ac:dyDescent="0.2">
      <c r="A842" s="20" t="str">
        <f t="shared" si="12"/>
        <v/>
      </c>
    </row>
    <row r="843" spans="1:1" ht="30" customHeight="1" x14ac:dyDescent="0.2">
      <c r="A843" s="20" t="str">
        <f t="shared" si="12"/>
        <v/>
      </c>
    </row>
    <row r="844" spans="1:1" ht="30" customHeight="1" x14ac:dyDescent="0.2">
      <c r="A844" s="20" t="str">
        <f t="shared" si="12"/>
        <v/>
      </c>
    </row>
    <row r="845" spans="1:1" ht="30" customHeight="1" x14ac:dyDescent="0.2">
      <c r="A845" s="20" t="str">
        <f t="shared" si="12"/>
        <v/>
      </c>
    </row>
    <row r="846" spans="1:1" ht="30" customHeight="1" x14ac:dyDescent="0.2">
      <c r="A846" s="20" t="str">
        <f t="shared" si="12"/>
        <v/>
      </c>
    </row>
    <row r="847" spans="1:1" ht="30" customHeight="1" x14ac:dyDescent="0.2">
      <c r="A847" s="20" t="str">
        <f t="shared" si="12"/>
        <v/>
      </c>
    </row>
    <row r="848" spans="1:1" ht="30" customHeight="1" x14ac:dyDescent="0.2">
      <c r="A848" s="20" t="str">
        <f t="shared" si="12"/>
        <v/>
      </c>
    </row>
    <row r="849" spans="1:1" ht="30" customHeight="1" x14ac:dyDescent="0.2">
      <c r="A849" s="20" t="str">
        <f t="shared" si="12"/>
        <v/>
      </c>
    </row>
    <row r="850" spans="1:1" ht="30" customHeight="1" x14ac:dyDescent="0.2">
      <c r="A850" s="20" t="str">
        <f t="shared" si="12"/>
        <v/>
      </c>
    </row>
    <row r="851" spans="1:1" ht="30" customHeight="1" x14ac:dyDescent="0.2">
      <c r="A851" s="20" t="str">
        <f t="shared" si="12"/>
        <v/>
      </c>
    </row>
    <row r="852" spans="1:1" ht="30" customHeight="1" x14ac:dyDescent="0.2">
      <c r="A852" s="20" t="str">
        <f t="shared" si="12"/>
        <v/>
      </c>
    </row>
    <row r="853" spans="1:1" ht="30" customHeight="1" x14ac:dyDescent="0.2">
      <c r="A853" s="20" t="str">
        <f t="shared" si="12"/>
        <v/>
      </c>
    </row>
    <row r="854" spans="1:1" ht="30" customHeight="1" x14ac:dyDescent="0.2">
      <c r="A854" s="20" t="str">
        <f t="shared" si="12"/>
        <v/>
      </c>
    </row>
    <row r="855" spans="1:1" ht="30" customHeight="1" x14ac:dyDescent="0.2">
      <c r="A855" s="20" t="str">
        <f t="shared" ref="A855:A918" si="13">IF(AND(B854&lt;&gt;"",B855=""),"Select Audit Point---&gt;","")</f>
        <v/>
      </c>
    </row>
    <row r="856" spans="1:1" ht="30" customHeight="1" x14ac:dyDescent="0.2">
      <c r="A856" s="20" t="str">
        <f t="shared" si="13"/>
        <v/>
      </c>
    </row>
    <row r="857" spans="1:1" ht="30" customHeight="1" x14ac:dyDescent="0.2">
      <c r="A857" s="20" t="str">
        <f t="shared" si="13"/>
        <v/>
      </c>
    </row>
    <row r="858" spans="1:1" ht="30" customHeight="1" x14ac:dyDescent="0.2">
      <c r="A858" s="20" t="str">
        <f t="shared" si="13"/>
        <v/>
      </c>
    </row>
    <row r="859" spans="1:1" ht="30" customHeight="1" x14ac:dyDescent="0.2">
      <c r="A859" s="20" t="str">
        <f t="shared" si="13"/>
        <v/>
      </c>
    </row>
    <row r="860" spans="1:1" ht="30" customHeight="1" x14ac:dyDescent="0.2">
      <c r="A860" s="20" t="str">
        <f t="shared" si="13"/>
        <v/>
      </c>
    </row>
    <row r="861" spans="1:1" ht="30" customHeight="1" x14ac:dyDescent="0.2">
      <c r="A861" s="20" t="str">
        <f t="shared" si="13"/>
        <v/>
      </c>
    </row>
    <row r="862" spans="1:1" ht="30" customHeight="1" x14ac:dyDescent="0.2">
      <c r="A862" s="20" t="str">
        <f t="shared" si="13"/>
        <v/>
      </c>
    </row>
    <row r="863" spans="1:1" ht="30" customHeight="1" x14ac:dyDescent="0.2">
      <c r="A863" s="20" t="str">
        <f t="shared" si="13"/>
        <v/>
      </c>
    </row>
    <row r="864" spans="1:1" ht="30" customHeight="1" x14ac:dyDescent="0.2">
      <c r="A864" s="20" t="str">
        <f t="shared" si="13"/>
        <v/>
      </c>
    </row>
    <row r="865" spans="1:1" ht="30" customHeight="1" x14ac:dyDescent="0.2">
      <c r="A865" s="20" t="str">
        <f t="shared" si="13"/>
        <v/>
      </c>
    </row>
    <row r="866" spans="1:1" ht="30" customHeight="1" x14ac:dyDescent="0.2">
      <c r="A866" s="20" t="str">
        <f t="shared" si="13"/>
        <v/>
      </c>
    </row>
    <row r="867" spans="1:1" ht="30" customHeight="1" x14ac:dyDescent="0.2">
      <c r="A867" s="20" t="str">
        <f t="shared" si="13"/>
        <v/>
      </c>
    </row>
    <row r="868" spans="1:1" ht="30" customHeight="1" x14ac:dyDescent="0.2">
      <c r="A868" s="20" t="str">
        <f t="shared" si="13"/>
        <v/>
      </c>
    </row>
    <row r="869" spans="1:1" ht="30" customHeight="1" x14ac:dyDescent="0.2">
      <c r="A869" s="20" t="str">
        <f t="shared" si="13"/>
        <v/>
      </c>
    </row>
    <row r="870" spans="1:1" ht="30" customHeight="1" x14ac:dyDescent="0.2">
      <c r="A870" s="20" t="str">
        <f t="shared" si="13"/>
        <v/>
      </c>
    </row>
    <row r="871" spans="1:1" ht="30" customHeight="1" x14ac:dyDescent="0.2">
      <c r="A871" s="20" t="str">
        <f t="shared" si="13"/>
        <v/>
      </c>
    </row>
    <row r="872" spans="1:1" ht="30" customHeight="1" x14ac:dyDescent="0.2">
      <c r="A872" s="20" t="str">
        <f t="shared" si="13"/>
        <v/>
      </c>
    </row>
    <row r="873" spans="1:1" ht="30" customHeight="1" x14ac:dyDescent="0.2">
      <c r="A873" s="20" t="str">
        <f t="shared" si="13"/>
        <v/>
      </c>
    </row>
    <row r="874" spans="1:1" ht="30" customHeight="1" x14ac:dyDescent="0.2">
      <c r="A874" s="20" t="str">
        <f t="shared" si="13"/>
        <v/>
      </c>
    </row>
    <row r="875" spans="1:1" ht="30" customHeight="1" x14ac:dyDescent="0.2">
      <c r="A875" s="20" t="str">
        <f t="shared" si="13"/>
        <v/>
      </c>
    </row>
    <row r="876" spans="1:1" ht="30" customHeight="1" x14ac:dyDescent="0.2">
      <c r="A876" s="20" t="str">
        <f t="shared" si="13"/>
        <v/>
      </c>
    </row>
    <row r="877" spans="1:1" ht="30" customHeight="1" x14ac:dyDescent="0.2">
      <c r="A877" s="20" t="str">
        <f t="shared" si="13"/>
        <v/>
      </c>
    </row>
    <row r="878" spans="1:1" ht="30" customHeight="1" x14ac:dyDescent="0.2">
      <c r="A878" s="20" t="str">
        <f t="shared" si="13"/>
        <v/>
      </c>
    </row>
    <row r="879" spans="1:1" ht="30" customHeight="1" x14ac:dyDescent="0.2">
      <c r="A879" s="20" t="str">
        <f t="shared" si="13"/>
        <v/>
      </c>
    </row>
    <row r="880" spans="1:1" ht="30" customHeight="1" x14ac:dyDescent="0.2">
      <c r="A880" s="20" t="str">
        <f t="shared" si="13"/>
        <v/>
      </c>
    </row>
    <row r="881" spans="1:1" ht="30" customHeight="1" x14ac:dyDescent="0.2">
      <c r="A881" s="20" t="str">
        <f t="shared" si="13"/>
        <v/>
      </c>
    </row>
    <row r="882" spans="1:1" ht="30" customHeight="1" x14ac:dyDescent="0.2">
      <c r="A882" s="20" t="str">
        <f t="shared" si="13"/>
        <v/>
      </c>
    </row>
    <row r="883" spans="1:1" ht="30" customHeight="1" x14ac:dyDescent="0.2">
      <c r="A883" s="20" t="str">
        <f t="shared" si="13"/>
        <v/>
      </c>
    </row>
    <row r="884" spans="1:1" ht="30" customHeight="1" x14ac:dyDescent="0.2">
      <c r="A884" s="20" t="str">
        <f t="shared" si="13"/>
        <v/>
      </c>
    </row>
    <row r="885" spans="1:1" ht="30" customHeight="1" x14ac:dyDescent="0.2">
      <c r="A885" s="20" t="str">
        <f t="shared" si="13"/>
        <v/>
      </c>
    </row>
    <row r="886" spans="1:1" ht="30" customHeight="1" x14ac:dyDescent="0.2">
      <c r="A886" s="20" t="str">
        <f t="shared" si="13"/>
        <v/>
      </c>
    </row>
    <row r="887" spans="1:1" ht="30" customHeight="1" x14ac:dyDescent="0.2">
      <c r="A887" s="20" t="str">
        <f t="shared" si="13"/>
        <v/>
      </c>
    </row>
    <row r="888" spans="1:1" ht="30" customHeight="1" x14ac:dyDescent="0.2">
      <c r="A888" s="20" t="str">
        <f t="shared" si="13"/>
        <v/>
      </c>
    </row>
    <row r="889" spans="1:1" ht="30" customHeight="1" x14ac:dyDescent="0.2">
      <c r="A889" s="20" t="str">
        <f t="shared" si="13"/>
        <v/>
      </c>
    </row>
    <row r="890" spans="1:1" ht="30" customHeight="1" x14ac:dyDescent="0.2">
      <c r="A890" s="20" t="str">
        <f t="shared" si="13"/>
        <v/>
      </c>
    </row>
    <row r="891" spans="1:1" ht="30" customHeight="1" x14ac:dyDescent="0.2">
      <c r="A891" s="20" t="str">
        <f t="shared" si="13"/>
        <v/>
      </c>
    </row>
    <row r="892" spans="1:1" ht="30" customHeight="1" x14ac:dyDescent="0.2">
      <c r="A892" s="20" t="str">
        <f t="shared" si="13"/>
        <v/>
      </c>
    </row>
    <row r="893" spans="1:1" ht="30" customHeight="1" x14ac:dyDescent="0.2">
      <c r="A893" s="20" t="str">
        <f t="shared" si="13"/>
        <v/>
      </c>
    </row>
    <row r="894" spans="1:1" ht="30" customHeight="1" x14ac:dyDescent="0.2">
      <c r="A894" s="20" t="str">
        <f t="shared" si="13"/>
        <v/>
      </c>
    </row>
    <row r="895" spans="1:1" ht="30" customHeight="1" x14ac:dyDescent="0.2">
      <c r="A895" s="20" t="str">
        <f t="shared" si="13"/>
        <v/>
      </c>
    </row>
    <row r="896" spans="1:1" ht="30" customHeight="1" x14ac:dyDescent="0.2">
      <c r="A896" s="20" t="str">
        <f t="shared" si="13"/>
        <v/>
      </c>
    </row>
    <row r="897" spans="1:1" ht="30" customHeight="1" x14ac:dyDescent="0.2">
      <c r="A897" s="20" t="str">
        <f t="shared" si="13"/>
        <v/>
      </c>
    </row>
    <row r="898" spans="1:1" ht="30" customHeight="1" x14ac:dyDescent="0.2">
      <c r="A898" s="20" t="str">
        <f t="shared" si="13"/>
        <v/>
      </c>
    </row>
    <row r="899" spans="1:1" ht="30" customHeight="1" x14ac:dyDescent="0.2">
      <c r="A899" s="20" t="str">
        <f t="shared" si="13"/>
        <v/>
      </c>
    </row>
    <row r="900" spans="1:1" ht="30" customHeight="1" x14ac:dyDescent="0.2">
      <c r="A900" s="20" t="str">
        <f t="shared" si="13"/>
        <v/>
      </c>
    </row>
    <row r="901" spans="1:1" ht="30" customHeight="1" x14ac:dyDescent="0.2">
      <c r="A901" s="20" t="str">
        <f t="shared" si="13"/>
        <v/>
      </c>
    </row>
    <row r="902" spans="1:1" ht="30" customHeight="1" x14ac:dyDescent="0.2">
      <c r="A902" s="20" t="str">
        <f t="shared" si="13"/>
        <v/>
      </c>
    </row>
    <row r="903" spans="1:1" ht="30" customHeight="1" x14ac:dyDescent="0.2">
      <c r="A903" s="20" t="str">
        <f t="shared" si="13"/>
        <v/>
      </c>
    </row>
    <row r="904" spans="1:1" ht="30" customHeight="1" x14ac:dyDescent="0.2">
      <c r="A904" s="20" t="str">
        <f t="shared" si="13"/>
        <v/>
      </c>
    </row>
    <row r="905" spans="1:1" ht="30" customHeight="1" x14ac:dyDescent="0.2">
      <c r="A905" s="20" t="str">
        <f t="shared" si="13"/>
        <v/>
      </c>
    </row>
    <row r="906" spans="1:1" ht="30" customHeight="1" x14ac:dyDescent="0.2">
      <c r="A906" s="20" t="str">
        <f t="shared" si="13"/>
        <v/>
      </c>
    </row>
    <row r="907" spans="1:1" ht="30" customHeight="1" x14ac:dyDescent="0.2">
      <c r="A907" s="20" t="str">
        <f t="shared" si="13"/>
        <v/>
      </c>
    </row>
    <row r="908" spans="1:1" ht="30" customHeight="1" x14ac:dyDescent="0.2">
      <c r="A908" s="20" t="str">
        <f t="shared" si="13"/>
        <v/>
      </c>
    </row>
    <row r="909" spans="1:1" ht="30" customHeight="1" x14ac:dyDescent="0.2">
      <c r="A909" s="20" t="str">
        <f t="shared" si="13"/>
        <v/>
      </c>
    </row>
    <row r="910" spans="1:1" ht="30" customHeight="1" x14ac:dyDescent="0.2">
      <c r="A910" s="20" t="str">
        <f t="shared" si="13"/>
        <v/>
      </c>
    </row>
    <row r="911" spans="1:1" ht="30" customHeight="1" x14ac:dyDescent="0.2">
      <c r="A911" s="20" t="str">
        <f t="shared" si="13"/>
        <v/>
      </c>
    </row>
    <row r="912" spans="1:1" ht="30" customHeight="1" x14ac:dyDescent="0.2">
      <c r="A912" s="20" t="str">
        <f t="shared" si="13"/>
        <v/>
      </c>
    </row>
    <row r="913" spans="1:1" ht="30" customHeight="1" x14ac:dyDescent="0.2">
      <c r="A913" s="20" t="str">
        <f t="shared" si="13"/>
        <v/>
      </c>
    </row>
    <row r="914" spans="1:1" ht="30" customHeight="1" x14ac:dyDescent="0.2">
      <c r="A914" s="20" t="str">
        <f t="shared" si="13"/>
        <v/>
      </c>
    </row>
    <row r="915" spans="1:1" ht="30" customHeight="1" x14ac:dyDescent="0.2">
      <c r="A915" s="20" t="str">
        <f t="shared" si="13"/>
        <v/>
      </c>
    </row>
    <row r="916" spans="1:1" ht="30" customHeight="1" x14ac:dyDescent="0.2">
      <c r="A916" s="20" t="str">
        <f t="shared" si="13"/>
        <v/>
      </c>
    </row>
    <row r="917" spans="1:1" ht="30" customHeight="1" x14ac:dyDescent="0.2">
      <c r="A917" s="20" t="str">
        <f t="shared" si="13"/>
        <v/>
      </c>
    </row>
    <row r="918" spans="1:1" ht="30" customHeight="1" x14ac:dyDescent="0.2">
      <c r="A918" s="20" t="str">
        <f t="shared" si="13"/>
        <v/>
      </c>
    </row>
    <row r="919" spans="1:1" ht="30" customHeight="1" x14ac:dyDescent="0.2">
      <c r="A919" s="20" t="str">
        <f t="shared" ref="A919:A980" si="14">IF(AND(B918&lt;&gt;"",B919=""),"Select Audit Point---&gt;","")</f>
        <v/>
      </c>
    </row>
    <row r="920" spans="1:1" ht="30" customHeight="1" x14ac:dyDescent="0.2">
      <c r="A920" s="20" t="str">
        <f t="shared" si="14"/>
        <v/>
      </c>
    </row>
    <row r="921" spans="1:1" ht="30" customHeight="1" x14ac:dyDescent="0.2">
      <c r="A921" s="20" t="str">
        <f t="shared" si="14"/>
        <v/>
      </c>
    </row>
    <row r="922" spans="1:1" ht="30" customHeight="1" x14ac:dyDescent="0.2">
      <c r="A922" s="20" t="str">
        <f t="shared" si="14"/>
        <v/>
      </c>
    </row>
    <row r="923" spans="1:1" ht="30" customHeight="1" x14ac:dyDescent="0.2">
      <c r="A923" s="20" t="str">
        <f t="shared" si="14"/>
        <v/>
      </c>
    </row>
    <row r="924" spans="1:1" ht="30" customHeight="1" x14ac:dyDescent="0.2">
      <c r="A924" s="20" t="str">
        <f t="shared" si="14"/>
        <v/>
      </c>
    </row>
    <row r="925" spans="1:1" ht="30" customHeight="1" x14ac:dyDescent="0.2">
      <c r="A925" s="20" t="str">
        <f t="shared" si="14"/>
        <v/>
      </c>
    </row>
    <row r="926" spans="1:1" ht="30" customHeight="1" x14ac:dyDescent="0.2">
      <c r="A926" s="20" t="str">
        <f t="shared" si="14"/>
        <v/>
      </c>
    </row>
    <row r="927" spans="1:1" ht="30" customHeight="1" x14ac:dyDescent="0.2">
      <c r="A927" s="20" t="str">
        <f t="shared" si="14"/>
        <v/>
      </c>
    </row>
    <row r="928" spans="1:1" ht="30" customHeight="1" x14ac:dyDescent="0.2">
      <c r="A928" s="20" t="str">
        <f t="shared" si="14"/>
        <v/>
      </c>
    </row>
    <row r="929" spans="1:1" ht="30" customHeight="1" x14ac:dyDescent="0.2">
      <c r="A929" s="20" t="str">
        <f t="shared" si="14"/>
        <v/>
      </c>
    </row>
    <row r="930" spans="1:1" ht="30" customHeight="1" x14ac:dyDescent="0.2">
      <c r="A930" s="20" t="str">
        <f t="shared" si="14"/>
        <v/>
      </c>
    </row>
    <row r="931" spans="1:1" ht="30" customHeight="1" x14ac:dyDescent="0.2">
      <c r="A931" s="20" t="str">
        <f t="shared" si="14"/>
        <v/>
      </c>
    </row>
    <row r="932" spans="1:1" ht="30" customHeight="1" x14ac:dyDescent="0.2">
      <c r="A932" s="20" t="str">
        <f t="shared" si="14"/>
        <v/>
      </c>
    </row>
    <row r="933" spans="1:1" ht="30" customHeight="1" x14ac:dyDescent="0.2">
      <c r="A933" s="20" t="str">
        <f t="shared" si="14"/>
        <v/>
      </c>
    </row>
    <row r="934" spans="1:1" ht="30" customHeight="1" x14ac:dyDescent="0.2">
      <c r="A934" s="20" t="str">
        <f t="shared" si="14"/>
        <v/>
      </c>
    </row>
    <row r="935" spans="1:1" ht="30" customHeight="1" x14ac:dyDescent="0.2">
      <c r="A935" s="20" t="str">
        <f t="shared" si="14"/>
        <v/>
      </c>
    </row>
    <row r="936" spans="1:1" ht="30" customHeight="1" x14ac:dyDescent="0.2">
      <c r="A936" s="20" t="str">
        <f t="shared" si="14"/>
        <v/>
      </c>
    </row>
    <row r="937" spans="1:1" ht="30" customHeight="1" x14ac:dyDescent="0.2">
      <c r="A937" s="20" t="str">
        <f t="shared" si="14"/>
        <v/>
      </c>
    </row>
    <row r="938" spans="1:1" ht="30" customHeight="1" x14ac:dyDescent="0.2">
      <c r="A938" s="20" t="str">
        <f t="shared" si="14"/>
        <v/>
      </c>
    </row>
    <row r="939" spans="1:1" ht="30" customHeight="1" x14ac:dyDescent="0.2">
      <c r="A939" s="20" t="str">
        <f t="shared" si="14"/>
        <v/>
      </c>
    </row>
    <row r="940" spans="1:1" ht="30" customHeight="1" x14ac:dyDescent="0.2">
      <c r="A940" s="20" t="str">
        <f t="shared" si="14"/>
        <v/>
      </c>
    </row>
    <row r="941" spans="1:1" ht="30" customHeight="1" x14ac:dyDescent="0.2">
      <c r="A941" s="20" t="str">
        <f t="shared" si="14"/>
        <v/>
      </c>
    </row>
    <row r="942" spans="1:1" ht="30" customHeight="1" x14ac:dyDescent="0.2">
      <c r="A942" s="20" t="str">
        <f t="shared" si="14"/>
        <v/>
      </c>
    </row>
    <row r="943" spans="1:1" ht="30" customHeight="1" x14ac:dyDescent="0.2">
      <c r="A943" s="20" t="str">
        <f t="shared" si="14"/>
        <v/>
      </c>
    </row>
    <row r="944" spans="1:1" ht="30" customHeight="1" x14ac:dyDescent="0.2">
      <c r="A944" s="20" t="str">
        <f t="shared" si="14"/>
        <v/>
      </c>
    </row>
    <row r="945" spans="1:1" ht="30" customHeight="1" x14ac:dyDescent="0.2">
      <c r="A945" s="20" t="str">
        <f t="shared" si="14"/>
        <v/>
      </c>
    </row>
    <row r="946" spans="1:1" ht="30" customHeight="1" x14ac:dyDescent="0.2">
      <c r="A946" s="20" t="str">
        <f t="shared" si="14"/>
        <v/>
      </c>
    </row>
    <row r="947" spans="1:1" ht="30" customHeight="1" x14ac:dyDescent="0.2">
      <c r="A947" s="20" t="str">
        <f t="shared" si="14"/>
        <v/>
      </c>
    </row>
    <row r="948" spans="1:1" ht="30" customHeight="1" x14ac:dyDescent="0.2">
      <c r="A948" s="20" t="str">
        <f t="shared" si="14"/>
        <v/>
      </c>
    </row>
    <row r="949" spans="1:1" ht="30" customHeight="1" x14ac:dyDescent="0.2">
      <c r="A949" s="20" t="str">
        <f t="shared" si="14"/>
        <v/>
      </c>
    </row>
    <row r="950" spans="1:1" ht="30" customHeight="1" x14ac:dyDescent="0.2">
      <c r="A950" s="20" t="str">
        <f t="shared" si="14"/>
        <v/>
      </c>
    </row>
    <row r="951" spans="1:1" ht="30" customHeight="1" x14ac:dyDescent="0.2">
      <c r="A951" s="20" t="str">
        <f t="shared" si="14"/>
        <v/>
      </c>
    </row>
    <row r="952" spans="1:1" ht="30" customHeight="1" x14ac:dyDescent="0.2">
      <c r="A952" s="20" t="str">
        <f t="shared" si="14"/>
        <v/>
      </c>
    </row>
    <row r="953" spans="1:1" ht="30" customHeight="1" x14ac:dyDescent="0.2">
      <c r="A953" s="20" t="str">
        <f t="shared" si="14"/>
        <v/>
      </c>
    </row>
    <row r="954" spans="1:1" ht="30" customHeight="1" x14ac:dyDescent="0.2">
      <c r="A954" s="20" t="str">
        <f t="shared" si="14"/>
        <v/>
      </c>
    </row>
    <row r="955" spans="1:1" ht="30" customHeight="1" x14ac:dyDescent="0.2">
      <c r="A955" s="20" t="str">
        <f t="shared" si="14"/>
        <v/>
      </c>
    </row>
    <row r="956" spans="1:1" ht="30" customHeight="1" x14ac:dyDescent="0.2">
      <c r="A956" s="20" t="str">
        <f t="shared" si="14"/>
        <v/>
      </c>
    </row>
    <row r="957" spans="1:1" ht="30" customHeight="1" x14ac:dyDescent="0.2">
      <c r="A957" s="20" t="str">
        <f t="shared" si="14"/>
        <v/>
      </c>
    </row>
    <row r="958" spans="1:1" ht="30" customHeight="1" x14ac:dyDescent="0.2">
      <c r="A958" s="20" t="str">
        <f t="shared" si="14"/>
        <v/>
      </c>
    </row>
    <row r="959" spans="1:1" ht="30" customHeight="1" x14ac:dyDescent="0.2">
      <c r="A959" s="20" t="str">
        <f t="shared" si="14"/>
        <v/>
      </c>
    </row>
    <row r="960" spans="1:1" ht="30" customHeight="1" x14ac:dyDescent="0.2">
      <c r="A960" s="20" t="str">
        <f t="shared" si="14"/>
        <v/>
      </c>
    </row>
    <row r="961" spans="1:1" ht="30" customHeight="1" x14ac:dyDescent="0.2">
      <c r="A961" s="20" t="str">
        <f t="shared" si="14"/>
        <v/>
      </c>
    </row>
    <row r="962" spans="1:1" ht="30" customHeight="1" x14ac:dyDescent="0.2">
      <c r="A962" s="20" t="str">
        <f t="shared" si="14"/>
        <v/>
      </c>
    </row>
    <row r="963" spans="1:1" ht="30" customHeight="1" x14ac:dyDescent="0.2">
      <c r="A963" s="20" t="str">
        <f t="shared" si="14"/>
        <v/>
      </c>
    </row>
    <row r="964" spans="1:1" ht="30" customHeight="1" x14ac:dyDescent="0.2">
      <c r="A964" s="20" t="str">
        <f t="shared" si="14"/>
        <v/>
      </c>
    </row>
    <row r="965" spans="1:1" ht="30" customHeight="1" x14ac:dyDescent="0.2">
      <c r="A965" s="20" t="str">
        <f t="shared" si="14"/>
        <v/>
      </c>
    </row>
    <row r="966" spans="1:1" ht="30" customHeight="1" x14ac:dyDescent="0.2">
      <c r="A966" s="20" t="str">
        <f t="shared" si="14"/>
        <v/>
      </c>
    </row>
    <row r="967" spans="1:1" ht="30" customHeight="1" x14ac:dyDescent="0.2">
      <c r="A967" s="20" t="str">
        <f t="shared" si="14"/>
        <v/>
      </c>
    </row>
    <row r="968" spans="1:1" ht="30" customHeight="1" x14ac:dyDescent="0.2">
      <c r="A968" s="20" t="str">
        <f t="shared" si="14"/>
        <v/>
      </c>
    </row>
    <row r="969" spans="1:1" ht="30" customHeight="1" x14ac:dyDescent="0.2">
      <c r="A969" s="20" t="str">
        <f t="shared" si="14"/>
        <v/>
      </c>
    </row>
    <row r="970" spans="1:1" ht="30" customHeight="1" x14ac:dyDescent="0.2">
      <c r="A970" s="20" t="str">
        <f t="shared" si="14"/>
        <v/>
      </c>
    </row>
    <row r="971" spans="1:1" ht="30" customHeight="1" x14ac:dyDescent="0.2">
      <c r="A971" s="20" t="str">
        <f t="shared" si="14"/>
        <v/>
      </c>
    </row>
    <row r="972" spans="1:1" ht="30" customHeight="1" x14ac:dyDescent="0.2">
      <c r="A972" s="20" t="str">
        <f t="shared" si="14"/>
        <v/>
      </c>
    </row>
    <row r="973" spans="1:1" ht="30" customHeight="1" x14ac:dyDescent="0.2">
      <c r="A973" s="20" t="str">
        <f t="shared" si="14"/>
        <v/>
      </c>
    </row>
    <row r="974" spans="1:1" ht="30" customHeight="1" x14ac:dyDescent="0.2">
      <c r="A974" s="20" t="str">
        <f t="shared" si="14"/>
        <v/>
      </c>
    </row>
    <row r="975" spans="1:1" ht="30" customHeight="1" x14ac:dyDescent="0.2">
      <c r="A975" s="20" t="str">
        <f t="shared" si="14"/>
        <v/>
      </c>
    </row>
    <row r="976" spans="1:1" ht="30" customHeight="1" x14ac:dyDescent="0.2">
      <c r="A976" s="20" t="str">
        <f t="shared" si="14"/>
        <v/>
      </c>
    </row>
    <row r="977" spans="1:1" ht="30" customHeight="1" x14ac:dyDescent="0.2">
      <c r="A977" s="20" t="str">
        <f t="shared" si="14"/>
        <v/>
      </c>
    </row>
    <row r="978" spans="1:1" ht="30" customHeight="1" x14ac:dyDescent="0.2">
      <c r="A978" s="20" t="str">
        <f t="shared" si="14"/>
        <v/>
      </c>
    </row>
    <row r="979" spans="1:1" ht="30" customHeight="1" x14ac:dyDescent="0.2">
      <c r="A979" s="20" t="str">
        <f t="shared" si="14"/>
        <v/>
      </c>
    </row>
    <row r="980" spans="1:1" ht="30" customHeight="1" x14ac:dyDescent="0.2">
      <c r="A980" s="20" t="str">
        <f t="shared" si="14"/>
        <v/>
      </c>
    </row>
    <row r="981" spans="1:1" ht="30" customHeight="1" x14ac:dyDescent="0.2">
      <c r="A981" s="20"/>
    </row>
    <row r="982" spans="1:1" ht="30" customHeight="1" x14ac:dyDescent="0.2">
      <c r="A982" s="20"/>
    </row>
    <row r="983" spans="1:1" ht="30" customHeight="1" x14ac:dyDescent="0.2">
      <c r="A983" s="20"/>
    </row>
    <row r="984" spans="1:1" ht="30" customHeight="1" x14ac:dyDescent="0.2">
      <c r="A984" s="20"/>
    </row>
    <row r="985" spans="1:1" ht="30" customHeight="1" x14ac:dyDescent="0.2">
      <c r="A985" s="20"/>
    </row>
    <row r="986" spans="1:1" ht="30" customHeight="1" x14ac:dyDescent="0.2">
      <c r="A986" s="20"/>
    </row>
    <row r="987" spans="1:1" ht="30" customHeight="1" x14ac:dyDescent="0.2">
      <c r="A987" s="20"/>
    </row>
    <row r="988" spans="1:1" ht="30" customHeight="1" x14ac:dyDescent="0.2">
      <c r="A988" s="20"/>
    </row>
    <row r="989" spans="1:1" ht="30" customHeight="1" x14ac:dyDescent="0.2">
      <c r="A989" s="20"/>
    </row>
    <row r="990" spans="1:1" ht="30" customHeight="1" x14ac:dyDescent="0.2">
      <c r="A990" s="20"/>
    </row>
    <row r="991" spans="1:1" ht="30" customHeight="1" x14ac:dyDescent="0.2">
      <c r="A991" s="20"/>
    </row>
    <row r="992" spans="1:1" ht="30" customHeight="1" x14ac:dyDescent="0.2">
      <c r="A992" s="20"/>
    </row>
    <row r="993" spans="1:1" ht="30" customHeight="1" x14ac:dyDescent="0.2">
      <c r="A993" s="20"/>
    </row>
    <row r="994" spans="1:1" ht="30" customHeight="1" x14ac:dyDescent="0.2">
      <c r="A994" s="20"/>
    </row>
    <row r="995" spans="1:1" ht="30" customHeight="1" x14ac:dyDescent="0.2">
      <c r="A995" s="20"/>
    </row>
    <row r="996" spans="1:1" ht="30" customHeight="1" x14ac:dyDescent="0.2">
      <c r="A996" s="20"/>
    </row>
    <row r="997" spans="1:1" ht="30" customHeight="1" x14ac:dyDescent="0.2">
      <c r="A997" s="20"/>
    </row>
    <row r="998" spans="1:1" ht="30" customHeight="1" x14ac:dyDescent="0.2">
      <c r="A998" s="20"/>
    </row>
    <row r="999" spans="1:1" ht="30" customHeight="1" x14ac:dyDescent="0.2">
      <c r="A999" s="20"/>
    </row>
    <row r="1000" spans="1:1" ht="30" customHeight="1" x14ac:dyDescent="0.2">
      <c r="A1000" s="20"/>
    </row>
    <row r="1001" spans="1:1" ht="30" customHeight="1" x14ac:dyDescent="0.2">
      <c r="A1001" s="20"/>
    </row>
    <row r="1002" spans="1:1" ht="30" customHeight="1" x14ac:dyDescent="0.2">
      <c r="A1002" s="20"/>
    </row>
    <row r="1003" spans="1:1" ht="30" customHeight="1" x14ac:dyDescent="0.2">
      <c r="A1003" s="20"/>
    </row>
    <row r="1004" spans="1:1" ht="30" customHeight="1" x14ac:dyDescent="0.2">
      <c r="A1004" s="20"/>
    </row>
    <row r="1005" spans="1:1" ht="30" customHeight="1" x14ac:dyDescent="0.2">
      <c r="A1005" s="20"/>
    </row>
    <row r="1006" spans="1:1" ht="30" customHeight="1" x14ac:dyDescent="0.2">
      <c r="A1006" s="20"/>
    </row>
    <row r="1007" spans="1:1" ht="30" customHeight="1" x14ac:dyDescent="0.2">
      <c r="A1007" s="20"/>
    </row>
    <row r="1008" spans="1:1" ht="30" customHeight="1" x14ac:dyDescent="0.2">
      <c r="A1008" s="20"/>
    </row>
    <row r="1009" spans="1:1" ht="30" customHeight="1" x14ac:dyDescent="0.2">
      <c r="A1009" s="20"/>
    </row>
    <row r="1010" spans="1:1" ht="30" customHeight="1" x14ac:dyDescent="0.2">
      <c r="A1010" s="20"/>
    </row>
    <row r="1011" spans="1:1" ht="30" customHeight="1" x14ac:dyDescent="0.2">
      <c r="A1011" s="20"/>
    </row>
    <row r="1012" spans="1:1" ht="30" customHeight="1" x14ac:dyDescent="0.2">
      <c r="A1012" s="20"/>
    </row>
    <row r="1013" spans="1:1" ht="30" customHeight="1" x14ac:dyDescent="0.2">
      <c r="A1013" s="20"/>
    </row>
    <row r="1014" spans="1:1" ht="30" customHeight="1" x14ac:dyDescent="0.2">
      <c r="A1014" s="20"/>
    </row>
    <row r="1015" spans="1:1" ht="30" customHeight="1" x14ac:dyDescent="0.2">
      <c r="A1015" s="20"/>
    </row>
    <row r="1016" spans="1:1" ht="30" customHeight="1" x14ac:dyDescent="0.2">
      <c r="A1016" s="20"/>
    </row>
    <row r="1017" spans="1:1" ht="30" customHeight="1" x14ac:dyDescent="0.2">
      <c r="A1017" s="20"/>
    </row>
    <row r="1018" spans="1:1" ht="30" customHeight="1" x14ac:dyDescent="0.2">
      <c r="A1018" s="20"/>
    </row>
    <row r="1019" spans="1:1" ht="30" customHeight="1" x14ac:dyDescent="0.2">
      <c r="A1019" s="20"/>
    </row>
    <row r="1020" spans="1:1" ht="30" customHeight="1" x14ac:dyDescent="0.2">
      <c r="A1020" s="20"/>
    </row>
    <row r="1021" spans="1:1" ht="30" customHeight="1" x14ac:dyDescent="0.2">
      <c r="A1021" s="20"/>
    </row>
    <row r="1022" spans="1:1" ht="30" customHeight="1" x14ac:dyDescent="0.2">
      <c r="A1022" s="20"/>
    </row>
    <row r="1023" spans="1:1" ht="30" customHeight="1" x14ac:dyDescent="0.2">
      <c r="A1023" s="20"/>
    </row>
    <row r="1024" spans="1:1" ht="30" customHeight="1" x14ac:dyDescent="0.2">
      <c r="A1024" s="20"/>
    </row>
    <row r="1025" spans="1:1" ht="30" customHeight="1" x14ac:dyDescent="0.2">
      <c r="A1025" s="20"/>
    </row>
    <row r="1026" spans="1:1" ht="30" customHeight="1" x14ac:dyDescent="0.2">
      <c r="A1026" s="20"/>
    </row>
    <row r="1027" spans="1:1" ht="30" customHeight="1" x14ac:dyDescent="0.2">
      <c r="A1027" s="20"/>
    </row>
    <row r="1028" spans="1:1" ht="30" customHeight="1" x14ac:dyDescent="0.2">
      <c r="A1028" s="20"/>
    </row>
    <row r="1029" spans="1:1" ht="30" customHeight="1" x14ac:dyDescent="0.2">
      <c r="A1029" s="20"/>
    </row>
    <row r="1030" spans="1:1" ht="30" customHeight="1" x14ac:dyDescent="0.2">
      <c r="A1030" s="20"/>
    </row>
    <row r="1031" spans="1:1" ht="30" customHeight="1" x14ac:dyDescent="0.2">
      <c r="A1031" s="20"/>
    </row>
    <row r="1032" spans="1:1" ht="30" customHeight="1" x14ac:dyDescent="0.2">
      <c r="A1032" s="20"/>
    </row>
  </sheetData>
  <phoneticPr fontId="5" type="noConversion"/>
  <conditionalFormatting sqref="M23:N208">
    <cfRule type="containsText" dxfId="53" priority="2" operator="containsText" text="Positive">
      <formula>NOT(ISERROR(SEARCH("Positive",M23)))</formula>
    </cfRule>
    <cfRule type="containsText" dxfId="52" priority="3" operator="containsText" text="Neutral">
      <formula>NOT(ISERROR(SEARCH("Neutral",M23)))</formula>
    </cfRule>
    <cfRule type="containsText" dxfId="51" priority="4" operator="containsText" text="nEGATIVE">
      <formula>NOT(ISERROR(SEARCH("nEGATIVE",M23)))</formula>
    </cfRule>
  </conditionalFormatting>
  <conditionalFormatting sqref="N23:N208">
    <cfRule type="colorScale" priority="1">
      <colorScale>
        <cfvo type="num" val="-5"/>
        <cfvo type="num" val="0"/>
        <cfvo type="num" val="5"/>
        <color rgb="FFF74F4F"/>
        <color theme="7" tint="0.39997558519241921"/>
        <color rgb="FF8FCFAD"/>
      </colorScale>
    </cfRule>
  </conditionalFormatting>
  <dataValidations count="7">
    <dataValidation type="list" allowBlank="1" showInputMessage="1" showErrorMessage="1" sqref="E23:E208" xr:uid="{5508A216-EEAA-4058-84FD-A40226D74A6E}">
      <formula1>journalist</formula1>
    </dataValidation>
    <dataValidation type="list" allowBlank="1" showInputMessage="1" showErrorMessage="1" sqref="H23:H208" xr:uid="{3CD4DB3B-4BE1-484F-A5FB-81326472AC0D}">
      <formula1>Channel</formula1>
    </dataValidation>
    <dataValidation type="list" allowBlank="1" showInputMessage="1" showErrorMessage="1" sqref="I23:I208" xr:uid="{8247BFD4-E279-4084-BBE8-FAB8341E5819}">
      <formula1>Source</formula1>
    </dataValidation>
    <dataValidation type="list" allowBlank="1" showInputMessage="1" showErrorMessage="1" sqref="K23:K208" xr:uid="{C24BBC34-97D1-490D-9D97-57A94A372EC2}">
      <formula1>CATEGORY</formula1>
    </dataValidation>
    <dataValidation type="list" allowBlank="1" showInputMessage="1" showErrorMessage="1" sqref="M23:M208" xr:uid="{7B490BEE-0F38-444B-83DB-1820CFC502AF}">
      <formula1>TONE</formula1>
    </dataValidation>
    <dataValidation type="list" allowBlank="1" showInputMessage="1" showErrorMessage="1" sqref="N23:N208" xr:uid="{46E4EDC9-B693-47E8-824A-DEE2B8C12FC3}">
      <formula1>"5,4,3,2,1,0,-1,-2,-3,-4,-5"</formula1>
    </dataValidation>
    <dataValidation type="list" allowBlank="1" showInputMessage="1" showErrorMessage="1" sqref="D23:D208" xr:uid="{6936FD85-A67F-491E-AFFB-30FB7967B222}">
      <formula1>Campaign</formula1>
    </dataValidation>
  </dataValidations>
  <hyperlinks>
    <hyperlink ref="J23" r:id="rId1" xr:uid="{C5343946-C084-46CA-91EA-82D5BDF20168}"/>
    <hyperlink ref="J24" r:id="rId2" display="https://www.ArticleLink.com/1" xr:uid="{954411F3-A1C6-42E4-9F54-38EAE46F3279}"/>
    <hyperlink ref="J25" r:id="rId3" display="https://www.ArticleLink.com/1" xr:uid="{32ED532D-8980-4925-9266-44DED7698A70}"/>
    <hyperlink ref="J27" r:id="rId4" display="https://www.ArticleLink.com/1" xr:uid="{E99C2A26-318F-4317-8D84-300B47FC5A01}"/>
    <hyperlink ref="J29" r:id="rId5" display="https://www.ArticleLink.com/1" xr:uid="{391F5468-A464-4EDE-BF8B-7F1F121ACAEB}"/>
    <hyperlink ref="J31" r:id="rId6" display="https://www.ArticleLink.com/1" xr:uid="{4DEA8A4C-EDA7-4973-8D2C-52ACF0369BEB}"/>
    <hyperlink ref="J33" r:id="rId7" display="https://www.ArticleLink.com/1" xr:uid="{B847521A-6295-4563-A170-50CE1EB30630}"/>
    <hyperlink ref="J35" r:id="rId8" display="https://www.ArticleLink.com/1" xr:uid="{E6D5862E-2CCC-4AF3-BF7C-A2F9236582C5}"/>
    <hyperlink ref="J37" r:id="rId9" display="https://www.ArticleLink.com/1" xr:uid="{9319A34D-B9EA-465C-93D0-DA9B27C2E8A0}"/>
    <hyperlink ref="J39" r:id="rId10" display="https://www.ArticleLink.com/1" xr:uid="{E0868352-1671-4224-8E9A-3E43343DA97E}"/>
    <hyperlink ref="J41" r:id="rId11" display="https://www.ArticleLink.com/1" xr:uid="{6228F4A2-34CF-4BC0-A304-AEEB8224135A}"/>
    <hyperlink ref="J43" r:id="rId12" display="https://www.ArticleLink.com/1" xr:uid="{3C12C44D-86A2-44F9-ACE5-6C3DA0406494}"/>
    <hyperlink ref="J45" r:id="rId13" display="https://www.ArticleLink.com/1" xr:uid="{03EDF076-F657-4D17-91A3-434A588F3C0C}"/>
    <hyperlink ref="J47" r:id="rId14" display="https://www.ArticleLink.com/1" xr:uid="{78F5A91F-2339-498A-915D-75066283A6BD}"/>
    <hyperlink ref="J49" r:id="rId15" display="https://www.ArticleLink.com/1" xr:uid="{487222FA-60F3-4F67-B7B5-949BE7677486}"/>
    <hyperlink ref="J51" r:id="rId16" display="https://www.ArticleLink.com/1" xr:uid="{C37DD9D6-CC9D-4314-AD1E-9A05AF337021}"/>
    <hyperlink ref="J53" r:id="rId17" display="https://www.ArticleLink.com/1" xr:uid="{BDD3E52A-20B6-45E4-BCF3-BF2EDB52EF30}"/>
    <hyperlink ref="J55" r:id="rId18" display="https://www.ArticleLink.com/1" xr:uid="{57DA38C3-3DC0-4617-AA2D-06A91117BC56}"/>
    <hyperlink ref="J57" r:id="rId19" display="https://www.ArticleLink.com/1" xr:uid="{A1FAA537-EE97-40F3-A6BE-DBEB8D3CD21C}"/>
    <hyperlink ref="J59" r:id="rId20" display="https://www.ArticleLink.com/1" xr:uid="{7E88CDD8-6537-4132-8BA8-C53B20B1EA66}"/>
    <hyperlink ref="J61" r:id="rId21" display="https://www.ArticleLink.com/1" xr:uid="{65C7EB93-806F-42C6-95D4-B8DC8CEBC90C}"/>
    <hyperlink ref="J63" r:id="rId22" display="https://www.ArticleLink.com/1" xr:uid="{D0440AC3-BC8D-403E-93C0-C8C316188421}"/>
    <hyperlink ref="J65" r:id="rId23" display="https://www.ArticleLink.com/1" xr:uid="{C1C48EA4-36C3-43D1-A703-ACD03254AD13}"/>
    <hyperlink ref="J67" r:id="rId24" display="https://www.ArticleLink.com/1" xr:uid="{7F67FFF0-74C9-47AE-924F-0CF26B5A3FC4}"/>
    <hyperlink ref="J69" r:id="rId25" display="https://www.ArticleLink.com/1" xr:uid="{98A6B100-1E1D-44A7-BD88-AE5C4D1A7B17}"/>
    <hyperlink ref="J71" r:id="rId26" display="https://www.ArticleLink.com/1" xr:uid="{29660169-91C8-4647-BE02-3CA29E697670}"/>
    <hyperlink ref="J73" r:id="rId27" display="https://www.ArticleLink.com/1" xr:uid="{6F453169-8E06-4E99-B003-CEA03CC343B7}"/>
    <hyperlink ref="J75" r:id="rId28" display="https://www.ArticleLink.com/1" xr:uid="{59CFB563-5E65-4BFE-B72D-0862FB60A6F2}"/>
    <hyperlink ref="J77" r:id="rId29" display="https://www.ArticleLink.com/1" xr:uid="{C4DFA289-60C4-400A-812B-5A0DF7C54B49}"/>
    <hyperlink ref="J79" r:id="rId30" display="https://www.ArticleLink.com/1" xr:uid="{72505F4B-7DEF-4EF8-8EA1-A27136BEDFE4}"/>
    <hyperlink ref="J81" r:id="rId31" display="https://www.ArticleLink.com/1" xr:uid="{A7B12EEF-B097-4D82-8467-1448980DADFC}"/>
    <hyperlink ref="J83" r:id="rId32" display="https://www.ArticleLink.com/1" xr:uid="{AABFF2BA-71E2-4E5C-AC12-359B0851A5E5}"/>
    <hyperlink ref="J85" r:id="rId33" display="https://www.ArticleLink.com/1" xr:uid="{EA10184F-8C23-4EB7-8C4E-0351B1937D45}"/>
    <hyperlink ref="J87" r:id="rId34" display="https://www.ArticleLink.com/1" xr:uid="{825F6183-E99D-47C9-A78D-D0CDE565B1E5}"/>
    <hyperlink ref="J89" r:id="rId35" display="https://www.ArticleLink.com/1" xr:uid="{10D4EC69-B9D8-4DBA-9283-29EB261F8DEA}"/>
    <hyperlink ref="J91" r:id="rId36" display="https://www.ArticleLink.com/1" xr:uid="{A01015C0-108C-41BC-B951-5AB8E199F28A}"/>
    <hyperlink ref="J93" r:id="rId37" display="https://www.ArticleLink.com/1" xr:uid="{ABB2516A-E9A3-4A10-93A8-736C37F998A1}"/>
    <hyperlink ref="J95" r:id="rId38" display="https://www.ArticleLink.com/1" xr:uid="{5B36B949-A4F2-4BEE-B533-441032FBE07D}"/>
    <hyperlink ref="J97" r:id="rId39" display="https://www.ArticleLink.com/1" xr:uid="{D8469E42-0C3A-49BC-91E3-13AE03E81C28}"/>
    <hyperlink ref="J99" r:id="rId40" display="https://www.ArticleLink.com/1" xr:uid="{E00F6B06-C94A-4EEF-A1B7-DDF4354F41BF}"/>
    <hyperlink ref="J101" r:id="rId41" display="https://www.ArticleLink.com/1" xr:uid="{055DE561-FC07-45BD-8EC0-BA6DAE8DAF30}"/>
    <hyperlink ref="J103" r:id="rId42" display="https://www.ArticleLink.com/1" xr:uid="{E2D04027-405F-4D37-907C-6A57CCAA31BB}"/>
    <hyperlink ref="J105" r:id="rId43" display="https://www.ArticleLink.com/1" xr:uid="{252E79A3-F305-4AFC-8EA4-6B1154331C8C}"/>
    <hyperlink ref="J107" r:id="rId44" display="https://www.ArticleLink.com/1" xr:uid="{8F1E2293-FF4A-4E5F-A24D-C4BCF46E1AB9}"/>
    <hyperlink ref="J109" r:id="rId45" display="https://www.ArticleLink.com/1" xr:uid="{ED1FCB89-B790-44C7-99EC-F92058CBD473}"/>
    <hyperlink ref="J111" r:id="rId46" display="https://www.ArticleLink.com/1" xr:uid="{A69844E5-50BC-4BDC-BF9E-73AAFE3E6CFA}"/>
    <hyperlink ref="J113" r:id="rId47" display="https://www.ArticleLink.com/1" xr:uid="{07613B10-CE99-4875-B337-F2F9BEE0C377}"/>
    <hyperlink ref="J115" r:id="rId48" display="https://www.ArticleLink.com/1" xr:uid="{B1DCA6E7-E09C-4194-901E-87D80A8036F4}"/>
    <hyperlink ref="J117" r:id="rId49" display="https://www.ArticleLink.com/1" xr:uid="{D110EAF5-4E82-4584-B027-BF3958C745E4}"/>
    <hyperlink ref="J119" r:id="rId50" display="https://www.ArticleLink.com/1" xr:uid="{48C70743-41D6-4576-900A-9A6B0B8DF770}"/>
    <hyperlink ref="J121" r:id="rId51" display="https://www.ArticleLink.com/1" xr:uid="{EEEB1C92-7075-4EF4-AAE2-BD87926FCFC2}"/>
    <hyperlink ref="J123" r:id="rId52" display="https://www.ArticleLink.com/1" xr:uid="{4CCDED0F-1E68-4733-8A34-9B8696C1AEFC}"/>
    <hyperlink ref="J125" r:id="rId53" display="https://www.ArticleLink.com/1" xr:uid="{F4313BC1-2FD1-4A02-959C-E0E50E41536F}"/>
    <hyperlink ref="J127" r:id="rId54" display="https://www.ArticleLink.com/1" xr:uid="{BFB745EF-CA8D-4D7E-B88B-7E35B1EF65AB}"/>
    <hyperlink ref="J129" r:id="rId55" display="https://www.ArticleLink.com/1" xr:uid="{6F3201FD-A105-4F4E-8905-B2184485AAEA}"/>
    <hyperlink ref="J131" r:id="rId56" display="https://www.ArticleLink.com/1" xr:uid="{49DD6B9E-19FA-435E-A1E5-75473AE1DFFA}"/>
    <hyperlink ref="J133" r:id="rId57" display="https://www.ArticleLink.com/1" xr:uid="{B5B5292A-D895-4DD4-87F1-FBE41E183DB2}"/>
    <hyperlink ref="J135" r:id="rId58" display="https://www.ArticleLink.com/1" xr:uid="{5247B85B-8973-4AA4-9B8E-DA03F22C7442}"/>
    <hyperlink ref="J137" r:id="rId59" display="https://www.ArticleLink.com/1" xr:uid="{06E75306-1C4B-4EC7-A2C8-0FC9DDA1164E}"/>
    <hyperlink ref="J139" r:id="rId60" display="https://www.ArticleLink.com/1" xr:uid="{A10723F6-CDD8-4765-9432-FD28D597C894}"/>
    <hyperlink ref="J141" r:id="rId61" display="https://www.ArticleLink.com/1" xr:uid="{FAC45250-E42D-4554-9912-9D28A0FA3DD9}"/>
    <hyperlink ref="J143" r:id="rId62" display="https://www.ArticleLink.com/1" xr:uid="{3736CC02-C12C-4679-A69D-5D45B3C12CDF}"/>
    <hyperlink ref="J145" r:id="rId63" display="https://www.ArticleLink.com/1" xr:uid="{0E9AEB80-912F-4A98-BCD8-75253EC356D2}"/>
    <hyperlink ref="J147" r:id="rId64" display="https://www.ArticleLink.com/1" xr:uid="{E7C9EB1F-6C4C-4058-A192-023288FC0983}"/>
    <hyperlink ref="J149" r:id="rId65" display="https://www.ArticleLink.com/1" xr:uid="{C2F68692-203A-4BA1-94A3-8DC990F6F7C4}"/>
    <hyperlink ref="J151" r:id="rId66" display="https://www.ArticleLink.com/1" xr:uid="{3187FEBF-94B0-467B-AE42-046B2BEC778E}"/>
    <hyperlink ref="J153" r:id="rId67" display="https://www.ArticleLink.com/1" xr:uid="{2E93F04B-6FDF-4F98-84E4-14ACA4D1027A}"/>
    <hyperlink ref="J155" r:id="rId68" display="https://www.ArticleLink.com/1" xr:uid="{C6C3018D-455B-4CBB-8DCB-8F66288BE340}"/>
    <hyperlink ref="J157" r:id="rId69" display="https://www.ArticleLink.com/1" xr:uid="{79B31028-8052-4E71-8F23-CFCD070DBBD9}"/>
    <hyperlink ref="J159" r:id="rId70" display="https://www.ArticleLink.com/1" xr:uid="{40EB6D4B-FF3B-4D33-AF7B-2F8040978725}"/>
    <hyperlink ref="J161" r:id="rId71" display="https://www.ArticleLink.com/1" xr:uid="{BADB99D0-13A3-4EC7-98EF-4A2552F474CC}"/>
    <hyperlink ref="J163" r:id="rId72" display="https://www.ArticleLink.com/1" xr:uid="{50F2448A-CA11-4DE4-AA99-68F490A6B503}"/>
    <hyperlink ref="J165" r:id="rId73" display="https://www.ArticleLink.com/1" xr:uid="{1073EEC6-FA01-4606-9087-D402E2B30ED1}"/>
    <hyperlink ref="J167" r:id="rId74" display="https://www.ArticleLink.com/1" xr:uid="{91FC9F3E-57B5-4B52-A162-8C152163E63B}"/>
    <hyperlink ref="J169" r:id="rId75" display="https://www.ArticleLink.com/1" xr:uid="{0F0CF9AE-AB6F-47A1-9209-67DCA867AFF2}"/>
    <hyperlink ref="J171" r:id="rId76" display="https://www.ArticleLink.com/1" xr:uid="{76175D4E-87E4-45EE-B12B-205C81D2D1C2}"/>
    <hyperlink ref="J173" r:id="rId77" display="https://www.ArticleLink.com/1" xr:uid="{AFA27E62-00B3-4663-9B6A-2CD148B19BE6}"/>
    <hyperlink ref="J175" r:id="rId78" display="https://www.ArticleLink.com/1" xr:uid="{4E9680FF-35B1-41D4-9577-0F9D0BDDD727}"/>
    <hyperlink ref="J177" r:id="rId79" display="https://www.ArticleLink.com/1" xr:uid="{75BE8DC9-2DC0-4776-A0E8-9CEACBFDFFA2}"/>
    <hyperlink ref="J179" r:id="rId80" display="https://www.ArticleLink.com/1" xr:uid="{DE847E1B-C040-40BC-9994-B1E33804C1F1}"/>
    <hyperlink ref="J181" r:id="rId81" display="https://www.ArticleLink.com/1" xr:uid="{6F9BDBB6-F7F7-49E6-9302-F7392EDC3136}"/>
    <hyperlink ref="J183" r:id="rId82" display="https://www.ArticleLink.com/1" xr:uid="{F5CE2197-A3A2-462E-A9B8-422D2BA2CB00}"/>
    <hyperlink ref="J185" r:id="rId83" display="https://www.ArticleLink.com/1" xr:uid="{C40C1CBA-BE14-49C8-A40E-58212D9E8701}"/>
    <hyperlink ref="J187" r:id="rId84" display="https://www.ArticleLink.com/1" xr:uid="{459FB03B-3EC2-42DA-8E3C-02682630A7EA}"/>
    <hyperlink ref="J189" r:id="rId85" display="https://www.ArticleLink.com/1" xr:uid="{D225FE9F-7D82-4088-AC93-F9A564874A54}"/>
    <hyperlink ref="J191" r:id="rId86" display="https://www.ArticleLink.com/1" xr:uid="{83D23F9E-53E1-42C8-85C5-B39B81288A19}"/>
    <hyperlink ref="J193" r:id="rId87" display="https://www.ArticleLink.com/1" xr:uid="{9AE5C8E7-AD71-4AF9-8336-6093E20032A6}"/>
    <hyperlink ref="J195" r:id="rId88" display="https://www.ArticleLink.com/1" xr:uid="{C6A727C4-05DA-4D23-9263-16C49E4C47B2}"/>
    <hyperlink ref="J197" r:id="rId89" display="https://www.ArticleLink.com/1" xr:uid="{F14AAEED-8F95-4E61-9380-B31266E6B777}"/>
    <hyperlink ref="J199" r:id="rId90" display="https://www.ArticleLink.com/1" xr:uid="{A367A32F-D56D-41DC-AB6A-C8E3A1B0C38F}"/>
    <hyperlink ref="J201" r:id="rId91" display="https://www.ArticleLink.com/1" xr:uid="{59B646E9-1E1E-4F84-9AFC-F0B31F427C92}"/>
    <hyperlink ref="J203" r:id="rId92" display="https://www.ArticleLink.com/1" xr:uid="{3449BF00-254B-4AEC-A7F7-08854159C65E}"/>
    <hyperlink ref="J205" r:id="rId93" display="https://www.ArticleLink.com/1" xr:uid="{A77EF677-FA1E-465E-A619-3301A0C3F86F}"/>
    <hyperlink ref="J207" r:id="rId94" display="https://www.ArticleLink.com/1" xr:uid="{989A549B-E1B7-4749-B9D1-F2228E8CE37B}"/>
    <hyperlink ref="J26" r:id="rId95" display="https://www.ArticleLink.com/1" xr:uid="{C2162DBB-62A6-4B24-BD1D-7BF8830CCA94}"/>
    <hyperlink ref="J28" r:id="rId96" display="https://www.ArticleLink.com/1" xr:uid="{838BA423-7358-48C2-AB8B-575AE52AEF47}"/>
    <hyperlink ref="J30" r:id="rId97" display="https://www.ArticleLink.com/1" xr:uid="{27DC1E61-0021-4957-A571-7722F8A3A4B6}"/>
    <hyperlink ref="J32" r:id="rId98" display="https://www.ArticleLink.com/1" xr:uid="{FF980492-3EF4-4478-B025-2593DD44E125}"/>
    <hyperlink ref="J34" r:id="rId99" display="https://www.ArticleLink.com/1" xr:uid="{C09F9A1C-C4B9-4F44-A126-761870AA0339}"/>
    <hyperlink ref="J36" r:id="rId100" display="https://www.ArticleLink.com/1" xr:uid="{356F5EC4-CEBC-44E0-AC8E-2012614A6058}"/>
    <hyperlink ref="J38" r:id="rId101" display="https://www.ArticleLink.com/1" xr:uid="{ED718A7C-71D4-43BD-94EE-92624A51AD33}"/>
    <hyperlink ref="J40" r:id="rId102" display="https://www.ArticleLink.com/1" xr:uid="{44BA7C2B-2F51-49C2-8A8E-6F7026BCE696}"/>
    <hyperlink ref="J42" r:id="rId103" display="https://www.ArticleLink.com/1" xr:uid="{CD262DD5-3DCB-4139-BC8D-CE97A0229CB0}"/>
    <hyperlink ref="J44" r:id="rId104" display="https://www.ArticleLink.com/1" xr:uid="{E74A44DB-5E70-4070-A629-9CC250DC3106}"/>
    <hyperlink ref="J46" r:id="rId105" display="https://www.ArticleLink.com/1" xr:uid="{F87BFFD3-93CB-43B1-8732-140077D4B065}"/>
    <hyperlink ref="J48" r:id="rId106" display="https://www.ArticleLink.com/1" xr:uid="{5E5C7184-D149-4458-BDA0-0FE127ECCBD5}"/>
    <hyperlink ref="J50" r:id="rId107" display="https://www.ArticleLink.com/1" xr:uid="{15CC01C4-5207-4DDD-BBE2-7B84E0A6B78D}"/>
    <hyperlink ref="J52" r:id="rId108" display="https://www.ArticleLink.com/1" xr:uid="{FB8FE3FB-72B5-4DB6-94DD-63DD037CDD70}"/>
    <hyperlink ref="J54" r:id="rId109" display="https://www.ArticleLink.com/1" xr:uid="{E990BB51-77BA-4B56-8860-391B44B26B7E}"/>
    <hyperlink ref="J56" r:id="rId110" display="https://www.ArticleLink.com/1" xr:uid="{8542B43C-AF30-4169-83A8-B04FFBE7BEB7}"/>
    <hyperlink ref="J58" r:id="rId111" display="https://www.ArticleLink.com/1" xr:uid="{850A9A79-5F76-4727-93DE-ED5B437D2E3C}"/>
    <hyperlink ref="J60" r:id="rId112" display="https://www.ArticleLink.com/1" xr:uid="{700FE75E-545E-4170-8FD4-96A40F8D28F7}"/>
    <hyperlink ref="J62" r:id="rId113" display="https://www.ArticleLink.com/1" xr:uid="{FD9CB276-C4D1-4DB8-A870-DBB8B7B926D1}"/>
    <hyperlink ref="J64" r:id="rId114" display="https://www.ArticleLink.com/1" xr:uid="{2A82C286-6623-4B5F-81D4-0907CF75E4B3}"/>
    <hyperlink ref="J66" r:id="rId115" display="https://www.ArticleLink.com/1" xr:uid="{30551338-668C-4BF0-AA21-BDFCA857691A}"/>
    <hyperlink ref="J68" r:id="rId116" display="https://www.ArticleLink.com/1" xr:uid="{0796420C-6A6B-41FB-96BC-D8F943CEF39E}"/>
    <hyperlink ref="J70" r:id="rId117" display="https://www.ArticleLink.com/1" xr:uid="{9595F122-2AEA-470F-B7D9-B0358F94CEE3}"/>
    <hyperlink ref="J72" r:id="rId118" display="https://www.ArticleLink.com/1" xr:uid="{1A567BDF-217B-455E-8BE1-B0C2DB697681}"/>
    <hyperlink ref="J74" r:id="rId119" display="https://www.ArticleLink.com/1" xr:uid="{EEF2002A-D5DF-4259-8DCF-CA403B2A7A0F}"/>
    <hyperlink ref="J76" r:id="rId120" display="https://www.ArticleLink.com/1" xr:uid="{7C741219-F165-4C7E-91C6-335192F0E500}"/>
    <hyperlink ref="J78" r:id="rId121" display="https://www.ArticleLink.com/1" xr:uid="{B8DB705B-B82B-471C-B0C1-F1D91881552A}"/>
    <hyperlink ref="J80" r:id="rId122" display="https://www.ArticleLink.com/1" xr:uid="{D6DEAD5B-3CDA-4667-A9D9-7AB387269AB3}"/>
    <hyperlink ref="J82" r:id="rId123" display="https://www.ArticleLink.com/1" xr:uid="{451AA3CF-BCAA-4D64-AB46-5C1CAD38D8DD}"/>
    <hyperlink ref="J84" r:id="rId124" display="https://www.ArticleLink.com/1" xr:uid="{AEDF244A-A6FA-4A05-8E94-D541C7157DD8}"/>
    <hyperlink ref="J86" r:id="rId125" display="https://www.ArticleLink.com/1" xr:uid="{74F4C70C-161F-45AF-BC50-815075671000}"/>
    <hyperlink ref="J88" r:id="rId126" display="https://www.ArticleLink.com/1" xr:uid="{6FFA21B8-04C6-4699-92AD-854E52D099D5}"/>
    <hyperlink ref="J90" r:id="rId127" display="https://www.ArticleLink.com/1" xr:uid="{CA5F5FA6-3E1A-40F3-B8F8-A886A67A8BC7}"/>
    <hyperlink ref="J92" r:id="rId128" display="https://www.ArticleLink.com/1" xr:uid="{0BBC61C1-6D59-45B9-B8B3-CF3D220A78E6}"/>
    <hyperlink ref="J94" r:id="rId129" display="https://www.ArticleLink.com/1" xr:uid="{CBE298E8-A546-4580-8367-5A9FC195D83C}"/>
    <hyperlink ref="J96" r:id="rId130" display="https://www.ArticleLink.com/1" xr:uid="{B7DF237F-4565-4993-899D-49C3E864049F}"/>
    <hyperlink ref="J98" r:id="rId131" display="https://www.ArticleLink.com/1" xr:uid="{682552BC-5320-4E92-95BE-6AD3E356C15F}"/>
    <hyperlink ref="J100" r:id="rId132" display="https://www.ArticleLink.com/1" xr:uid="{044FE601-7D06-4BDA-957F-2C3819E4A083}"/>
    <hyperlink ref="J102" r:id="rId133" display="https://www.ArticleLink.com/1" xr:uid="{F4F3A3CC-58B7-4022-AEE2-10E9137D2BC6}"/>
    <hyperlink ref="J104" r:id="rId134" display="https://www.ArticleLink.com/1" xr:uid="{75197BB3-B275-40CF-AF1C-F2FF80F77433}"/>
    <hyperlink ref="J106" r:id="rId135" display="https://www.ArticleLink.com/1" xr:uid="{0B34304C-F520-46ED-97BA-A913E4976FDD}"/>
    <hyperlink ref="J108" r:id="rId136" display="https://www.ArticleLink.com/1" xr:uid="{93461B66-A0D3-428A-90E0-B938C95FEEAE}"/>
    <hyperlink ref="J110" r:id="rId137" display="https://www.ArticleLink.com/1" xr:uid="{9CAE45CA-B0F5-407D-B826-B47A993E2841}"/>
    <hyperlink ref="J112" r:id="rId138" display="https://www.ArticleLink.com/1" xr:uid="{2DC35CF1-E51A-4470-9323-7D8CF33DFF33}"/>
    <hyperlink ref="J114" r:id="rId139" display="https://www.ArticleLink.com/1" xr:uid="{D219AF28-7C25-414D-9FA8-E1D623F2345B}"/>
    <hyperlink ref="J116" r:id="rId140" display="https://www.ArticleLink.com/1" xr:uid="{37154373-AEB0-44CB-8FDA-66B746EA003A}"/>
    <hyperlink ref="J118" r:id="rId141" display="https://www.ArticleLink.com/1" xr:uid="{104090A1-C627-4A82-9F69-4A6E09439331}"/>
    <hyperlink ref="J120" r:id="rId142" display="https://www.ArticleLink.com/1" xr:uid="{B2B231ED-2577-49FA-8625-FF1D4F730D50}"/>
    <hyperlink ref="J122" r:id="rId143" display="https://www.ArticleLink.com/1" xr:uid="{667A4E16-F3C1-4B82-AD28-FA6B418F0E2D}"/>
    <hyperlink ref="J124" r:id="rId144" display="https://www.ArticleLink.com/1" xr:uid="{A13816CD-0DBC-45D6-B0CF-3D61131BA9E7}"/>
    <hyperlink ref="J126" r:id="rId145" display="https://www.ArticleLink.com/1" xr:uid="{29D27B9B-3681-448E-926A-E6FFF7FC593D}"/>
    <hyperlink ref="J128" r:id="rId146" display="https://www.ArticleLink.com/1" xr:uid="{C7D03852-192F-4E60-B25F-E02925CAB1ED}"/>
    <hyperlink ref="J130" r:id="rId147" display="https://www.ArticleLink.com/1" xr:uid="{0A6747F7-6CE4-405B-A586-CCB62338CF53}"/>
    <hyperlink ref="J132" r:id="rId148" display="https://www.ArticleLink.com/1" xr:uid="{21FE58BF-B309-4430-83C4-1E74D9A9EA0B}"/>
    <hyperlink ref="J134" r:id="rId149" display="https://www.ArticleLink.com/1" xr:uid="{6FFFCD76-3965-4F2F-8C50-BD42877806AE}"/>
    <hyperlink ref="J136" r:id="rId150" display="https://www.ArticleLink.com/1" xr:uid="{1E27DF70-C9CF-477A-A501-E125292A5CCD}"/>
    <hyperlink ref="J138" r:id="rId151" display="https://www.ArticleLink.com/1" xr:uid="{214D7372-8740-469C-BF5B-338C9CA8CB1A}"/>
    <hyperlink ref="J140" r:id="rId152" display="https://www.ArticleLink.com/1" xr:uid="{F7B4A6A6-7F4F-4912-BD7B-D7880CB0F992}"/>
    <hyperlink ref="J142" r:id="rId153" display="https://www.ArticleLink.com/1" xr:uid="{3EBDE1A5-5113-40F1-A2A0-00D8F3700983}"/>
    <hyperlink ref="J144" r:id="rId154" display="https://www.ArticleLink.com/1" xr:uid="{653F9DAD-99C0-4106-9C0A-7C9E3D7DF361}"/>
    <hyperlink ref="J146" r:id="rId155" display="https://www.ArticleLink.com/1" xr:uid="{CA8C117C-5505-434F-BA63-BB513D47808A}"/>
    <hyperlink ref="J148" r:id="rId156" display="https://www.ArticleLink.com/1" xr:uid="{4A8A2491-64F3-413C-8FFF-4EB27AEAC382}"/>
    <hyperlink ref="J150" r:id="rId157" display="https://www.ArticleLink.com/1" xr:uid="{4BFCD7A3-1238-4401-90C3-3BAA957BB112}"/>
    <hyperlink ref="J152" r:id="rId158" display="https://www.ArticleLink.com/1" xr:uid="{3616B332-27C5-4B50-B72A-ED1E2177703B}"/>
    <hyperlink ref="J154" r:id="rId159" display="https://www.ArticleLink.com/1" xr:uid="{5379777E-DB92-445D-B311-0032CE027A23}"/>
    <hyperlink ref="J156" r:id="rId160" display="https://www.ArticleLink.com/1" xr:uid="{49390BD7-AA13-4B70-866E-D53F287A931C}"/>
    <hyperlink ref="J158" r:id="rId161" display="https://www.ArticleLink.com/1" xr:uid="{E1A9156C-53BC-4F01-8ECF-D4EC565E0AEE}"/>
    <hyperlink ref="J160" r:id="rId162" display="https://www.ArticleLink.com/1" xr:uid="{DC23AC8E-0925-4785-A912-7803DC3A5668}"/>
    <hyperlink ref="J162" r:id="rId163" display="https://www.ArticleLink.com/1" xr:uid="{DD5C95C8-D5A8-447E-95CE-BAD1B6E01845}"/>
    <hyperlink ref="J164" r:id="rId164" display="https://www.ArticleLink.com/1" xr:uid="{F345E8EC-5F39-45F5-A863-73D63959C575}"/>
    <hyperlink ref="J166" r:id="rId165" display="https://www.ArticleLink.com/1" xr:uid="{2C79C3E3-B74E-4E83-99B0-DF605F5B1700}"/>
    <hyperlink ref="J168" r:id="rId166" display="https://www.ArticleLink.com/1" xr:uid="{EB951BEC-D4F2-4A41-95D8-DC6DD9FE61B5}"/>
    <hyperlink ref="J170" r:id="rId167" display="https://www.ArticleLink.com/1" xr:uid="{96384AB4-2FC3-4CA2-BFF9-2B98B5EBC890}"/>
    <hyperlink ref="J172" r:id="rId168" display="https://www.ArticleLink.com/1" xr:uid="{7C3AA5F5-B1DA-4112-9F54-ACD3E4B69946}"/>
    <hyperlink ref="J174" r:id="rId169" display="https://www.ArticleLink.com/1" xr:uid="{3CDFB2D1-D8B4-4C11-B50B-23EC480F1756}"/>
    <hyperlink ref="J176" r:id="rId170" display="https://www.ArticleLink.com/1" xr:uid="{103B56DE-2E89-4AAB-A735-C642CEFDB59B}"/>
    <hyperlink ref="J178" r:id="rId171" display="https://www.ArticleLink.com/1" xr:uid="{3A1BDF62-A21C-4197-B89C-E8B18B0021BC}"/>
    <hyperlink ref="J180" r:id="rId172" display="https://www.ArticleLink.com/1" xr:uid="{E4C3CB09-D3FF-41E6-AB8D-B0363373EB90}"/>
    <hyperlink ref="J182" r:id="rId173" display="https://www.ArticleLink.com/1" xr:uid="{D94F0AE2-7EA2-4627-A289-043DC23EB941}"/>
    <hyperlink ref="J184" r:id="rId174" display="https://www.ArticleLink.com/1" xr:uid="{79D62097-7752-435C-B819-4DD0B8949A00}"/>
    <hyperlink ref="J186" r:id="rId175" display="https://www.ArticleLink.com/1" xr:uid="{16436FDA-C541-4CD0-B266-8ADEFE1C73CE}"/>
    <hyperlink ref="J188" r:id="rId176" display="https://www.ArticleLink.com/1" xr:uid="{2F8C0B33-3790-4FCD-B7F5-42444B3FA4BF}"/>
    <hyperlink ref="J190" r:id="rId177" display="https://www.ArticleLink.com/1" xr:uid="{15FB38C0-064A-45C0-8B72-E647F4C9CCB3}"/>
    <hyperlink ref="J192" r:id="rId178" display="https://www.ArticleLink.com/1" xr:uid="{E9DD5EFC-926E-4DDB-B79E-2D46EA349721}"/>
    <hyperlink ref="J194" r:id="rId179" display="https://www.ArticleLink.com/1" xr:uid="{82DBE0DE-3EC0-4637-8BF3-F11EEA19C77F}"/>
    <hyperlink ref="J196" r:id="rId180" display="https://www.ArticleLink.com/1" xr:uid="{E072CAFC-6D3F-4318-98C1-C048B04CDCB9}"/>
    <hyperlink ref="J198" r:id="rId181" display="https://www.ArticleLink.com/1" xr:uid="{E127BDD0-8F08-4718-BC57-AE1EC9E431E6}"/>
    <hyperlink ref="J200" r:id="rId182" display="https://www.ArticleLink.com/1" xr:uid="{A8EC6987-6C38-4597-B345-7BE67E1758A6}"/>
    <hyperlink ref="J202" r:id="rId183" display="https://www.ArticleLink.com/1" xr:uid="{8F95A832-713D-4202-A1B0-D68A369BA7BE}"/>
    <hyperlink ref="J204" r:id="rId184" display="https://www.ArticleLink.com/1" xr:uid="{58897A9A-9DC3-4210-91B5-18AC4751231A}"/>
    <hyperlink ref="J206" r:id="rId185" display="https://www.ArticleLink.com/1" xr:uid="{31E4DE1A-92E0-474B-815E-29B104420C3B}"/>
    <hyperlink ref="J208" r:id="rId186" display="https://www.ArticleLink.com/1" xr:uid="{68814E72-C975-412A-A484-AFE6B4532090}"/>
  </hyperlinks>
  <pageMargins left="0.7" right="0.7" top="0.75" bottom="0.75" header="0.3" footer="0.3"/>
  <pageSetup orientation="portrait" r:id="rId187"/>
  <drawing r:id="rId188"/>
  <legacyDrawing r:id="rId189"/>
  <mc:AlternateContent xmlns:mc="http://schemas.openxmlformats.org/markup-compatibility/2006">
    <mc:Choice Requires="x14">
      <controls>
        <mc:AlternateContent xmlns:mc="http://schemas.openxmlformats.org/markup-compatibility/2006">
          <mc:Choice Requires="x14">
            <control shapeId="2050" r:id="rId190" name="Button 2">
              <controlPr defaultSize="0" print="0" autoFill="0" autoPict="0" macro="[0]!Full_screen">
                <anchor moveWithCells="1" sizeWithCells="1">
                  <from>
                    <xdr:col>0</xdr:col>
                    <xdr:colOff>9525</xdr:colOff>
                    <xdr:row>21</xdr:row>
                    <xdr:rowOff>400050</xdr:rowOff>
                  </from>
                  <to>
                    <xdr:col>0</xdr:col>
                    <xdr:colOff>1495425</xdr:colOff>
                    <xdr:row>21</xdr:row>
                    <xdr:rowOff>561975</xdr:rowOff>
                  </to>
                </anchor>
              </controlPr>
            </control>
          </mc:Choice>
        </mc:AlternateContent>
        <mc:AlternateContent xmlns:mc="http://schemas.openxmlformats.org/markup-compatibility/2006">
          <mc:Choice Requires="x14">
            <control shapeId="2051" r:id="rId191" name="Button 3">
              <controlPr defaultSize="0" print="0" autoFill="0" autoPict="0" macro="[0]!Refresh">
                <anchor moveWithCells="1" sizeWithCells="1">
                  <from>
                    <xdr:col>0</xdr:col>
                    <xdr:colOff>9525</xdr:colOff>
                    <xdr:row>21</xdr:row>
                    <xdr:rowOff>590550</xdr:rowOff>
                  </from>
                  <to>
                    <xdr:col>0</xdr:col>
                    <xdr:colOff>1504950</xdr:colOff>
                    <xdr:row>21</xdr:row>
                    <xdr:rowOff>742950</xdr:rowOff>
                  </to>
                </anchor>
              </controlPr>
            </control>
          </mc:Choice>
        </mc:AlternateContent>
      </controls>
    </mc:Choice>
  </mc:AlternateContent>
  <tableParts count="1">
    <tablePart r:id="rId192"/>
  </tableParts>
  <extLst>
    <ext xmlns:x14="http://schemas.microsoft.com/office/spreadsheetml/2009/9/main" uri="{A8765BA9-456A-4dab-B4F3-ACF838C121DE}">
      <x14:slicerList>
        <x14:slicer r:id="rId19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413C0-DD59-4E8A-B183-C3892033EB3C}">
  <sheetPr>
    <tabColor rgb="FF8FCFAD"/>
  </sheetPr>
  <dimension ref="A1:T1999"/>
  <sheetViews>
    <sheetView showGridLines="0" showRowColHeaders="0" zoomScale="80" zoomScaleNormal="80" workbookViewId="0">
      <pane ySplit="10" topLeftCell="A11" activePane="bottomLeft" state="frozen"/>
      <selection pane="bottomLeft" activeCell="B11" sqref="B11"/>
    </sheetView>
  </sheetViews>
  <sheetFormatPr defaultColWidth="0" defaultRowHeight="18" customHeight="1" outlineLevelRow="1" x14ac:dyDescent="0.2"/>
  <cols>
    <col min="1" max="1" width="16.28515625" style="43" customWidth="1"/>
    <col min="2" max="14" width="15.7109375" style="43" customWidth="1"/>
    <col min="15" max="15" width="35.7109375" style="43" customWidth="1"/>
    <col min="16" max="16" width="2.140625" style="43" customWidth="1"/>
    <col min="17" max="20" width="18.7109375" style="43" hidden="1" customWidth="1"/>
    <col min="21" max="16384" width="9.140625" style="43" hidden="1"/>
  </cols>
  <sheetData>
    <row r="1" spans="1:15" customFormat="1" ht="18.75" customHeight="1" outlineLevel="1" x14ac:dyDescent="0.2">
      <c r="G1" s="71" t="s">
        <v>499</v>
      </c>
      <c r="H1" s="72"/>
      <c r="I1" s="71" t="s">
        <v>500</v>
      </c>
      <c r="J1" s="72"/>
      <c r="K1" s="71" t="s">
        <v>501</v>
      </c>
      <c r="L1" s="72"/>
      <c r="M1" s="71" t="s">
        <v>502</v>
      </c>
      <c r="N1" s="72"/>
    </row>
    <row r="2" spans="1:15" customFormat="1" ht="13.15" customHeight="1" outlineLevel="1" x14ac:dyDescent="0.2">
      <c r="G2" s="79">
        <f>IFERROR(GETPIVOTDATA("Campaign",Sheet3!$B$4),"")</f>
        <v>5</v>
      </c>
      <c r="H2" s="80"/>
      <c r="I2" s="79">
        <f>IFERROR(GETPIVOTDATA("Sum of Articles Included",Sheet3!$B$4),"")</f>
        <v>186</v>
      </c>
      <c r="J2" s="80"/>
      <c r="K2" s="85">
        <f>IFERROR(GETPIVOTDATA("Sum of Campaign Cost",Sheet3!$B$4),"")</f>
        <v>890</v>
      </c>
      <c r="L2" s="86"/>
      <c r="M2" s="73">
        <f>IFERROR(GETPIVOTDATA("Average of Achieve%",Sheet3!$B$4),"")</f>
        <v>0.76464285714285718</v>
      </c>
      <c r="N2" s="74"/>
    </row>
    <row r="3" spans="1:15" customFormat="1" ht="13.15" customHeight="1" outlineLevel="1" x14ac:dyDescent="0.2">
      <c r="G3" s="81"/>
      <c r="H3" s="82"/>
      <c r="I3" s="81"/>
      <c r="J3" s="82"/>
      <c r="K3" s="87"/>
      <c r="L3" s="88"/>
      <c r="M3" s="75"/>
      <c r="N3" s="76"/>
    </row>
    <row r="4" spans="1:15" customFormat="1" ht="13.15" customHeight="1" outlineLevel="1" x14ac:dyDescent="0.2">
      <c r="G4" s="81"/>
      <c r="H4" s="82"/>
      <c r="I4" s="81"/>
      <c r="J4" s="82"/>
      <c r="K4" s="87"/>
      <c r="L4" s="88"/>
      <c r="M4" s="75"/>
      <c r="N4" s="76"/>
    </row>
    <row r="5" spans="1:15" customFormat="1" ht="13.15" customHeight="1" outlineLevel="1" x14ac:dyDescent="0.2">
      <c r="G5" s="83"/>
      <c r="H5" s="84"/>
      <c r="I5" s="83"/>
      <c r="J5" s="84"/>
      <c r="K5" s="89"/>
      <c r="L5" s="90"/>
      <c r="M5" s="77"/>
      <c r="N5" s="78"/>
    </row>
    <row r="6" spans="1:15" customFormat="1" ht="12.75" outlineLevel="1" x14ac:dyDescent="0.2"/>
    <row r="7" spans="1:15" customFormat="1" ht="12.75" outlineLevel="1" x14ac:dyDescent="0.2"/>
    <row r="8" spans="1:15" customFormat="1" ht="12.75" outlineLevel="1" x14ac:dyDescent="0.2"/>
    <row r="9" spans="1:15" customFormat="1" ht="12.75" outlineLevel="1" x14ac:dyDescent="0.2"/>
    <row r="10" spans="1:15" ht="36" customHeight="1" x14ac:dyDescent="0.2">
      <c r="A10" s="44" t="s">
        <v>482</v>
      </c>
      <c r="B10" s="45" t="s">
        <v>464</v>
      </c>
      <c r="C10" s="46" t="s">
        <v>471</v>
      </c>
      <c r="D10" s="46" t="s">
        <v>472</v>
      </c>
      <c r="E10" s="46" t="s">
        <v>473</v>
      </c>
      <c r="F10" s="46" t="s">
        <v>490</v>
      </c>
      <c r="G10" s="46" t="s">
        <v>483</v>
      </c>
      <c r="H10" s="46" t="s">
        <v>485</v>
      </c>
      <c r="I10" s="46" t="s">
        <v>492</v>
      </c>
      <c r="J10" s="46" t="s">
        <v>491</v>
      </c>
      <c r="K10" s="46" t="s">
        <v>506</v>
      </c>
      <c r="L10" s="46" t="s">
        <v>484</v>
      </c>
      <c r="M10" s="46" t="s">
        <v>486</v>
      </c>
      <c r="N10" s="46" t="s">
        <v>495</v>
      </c>
      <c r="O10" s="47" t="s">
        <v>498</v>
      </c>
    </row>
    <row r="11" spans="1:15" ht="24.95" customHeight="1" x14ac:dyDescent="0.2">
      <c r="A11" s="20" t="str">
        <f>IF(AND(B10&lt;&gt;"",B11=""),$A$10&amp;"---&gt;","")</f>
        <v/>
      </c>
      <c r="B11" s="48" t="s">
        <v>468</v>
      </c>
      <c r="C11" s="49">
        <f>IFERROR(IF(B11="","",COUNTIF(Dashboard!D:D,B11)),"")</f>
        <v>51</v>
      </c>
      <c r="D11" s="50">
        <v>44198</v>
      </c>
      <c r="E11" s="50">
        <v>44228</v>
      </c>
      <c r="F11" s="49">
        <f>IF(OR(camp[[#This Row],[Ending Date]]="",camp[[#This Row],[Starting Date]]=""),"",camp[[#This Row],[Ending Date]]-camp[[#This Row],[Starting Date]])</f>
        <v>30</v>
      </c>
      <c r="G11" s="49" t="str">
        <f ca="1">IF(OR(camp[[#This Row],[Ending Date]]="",camp[[#This Row],[Starting Date]]=""),"",IF(camp[[#This Row],[Ending Date]]&lt;TODAY(),"Finished",camp[[#This Row],[Ending Date]]-TODAY()))</f>
        <v>Finished</v>
      </c>
      <c r="H11" s="51" t="s">
        <v>479</v>
      </c>
      <c r="I11" s="52">
        <v>500</v>
      </c>
      <c r="J11" s="52">
        <v>400</v>
      </c>
      <c r="K11" s="53">
        <f>IF(camp[[#This Row],[Contact Members]]="","",camp[[#This Row],[Target Contact Members]]/camp[[#This Row],[Contact Members]])</f>
        <v>0.8</v>
      </c>
      <c r="L11" s="54">
        <v>150</v>
      </c>
      <c r="M11" s="54" t="s">
        <v>493</v>
      </c>
      <c r="N11" s="51" t="s">
        <v>488</v>
      </c>
      <c r="O11" s="55"/>
    </row>
    <row r="12" spans="1:15" ht="24.95" customHeight="1" x14ac:dyDescent="0.2">
      <c r="A12" s="20" t="str">
        <f t="shared" ref="A12:A75" si="0">IF(AND(B11&lt;&gt;"",B12=""),$A$10&amp;"---&gt;","")</f>
        <v/>
      </c>
      <c r="B12" s="48" t="s">
        <v>466</v>
      </c>
      <c r="C12" s="49">
        <f>IFERROR(IF(B12="","",COUNTIF(Dashboard!D:D,B12)),"")</f>
        <v>34</v>
      </c>
      <c r="D12" s="50">
        <v>44216</v>
      </c>
      <c r="E12" s="50">
        <v>44244</v>
      </c>
      <c r="F12" s="49">
        <f>IF(OR(camp[[#This Row],[Ending Date]]="",camp[[#This Row],[Starting Date]]=""),"",camp[[#This Row],[Ending Date]]-camp[[#This Row],[Starting Date]])</f>
        <v>28</v>
      </c>
      <c r="G12" s="49" t="str">
        <f ca="1">IF(OR(camp[[#This Row],[Ending Date]]="",camp[[#This Row],[Starting Date]]=""),"",IF(camp[[#This Row],[Ending Date]]&lt;TODAY(),"Finished",camp[[#This Row],[Ending Date]]-TODAY()))</f>
        <v>Finished</v>
      </c>
      <c r="H12" s="51" t="s">
        <v>478</v>
      </c>
      <c r="I12" s="52">
        <v>800</v>
      </c>
      <c r="J12" s="52">
        <v>450</v>
      </c>
      <c r="K12" s="53">
        <f>IF(camp[[#This Row],[Contact Members]]="","",camp[[#This Row],[Target Contact Members]]/camp[[#This Row],[Contact Members]])</f>
        <v>0.5625</v>
      </c>
      <c r="L12" s="54">
        <v>200</v>
      </c>
      <c r="M12" s="54" t="s">
        <v>487</v>
      </c>
      <c r="N12" s="51" t="s">
        <v>496</v>
      </c>
      <c r="O12" s="55"/>
    </row>
    <row r="13" spans="1:15" ht="24.95" customHeight="1" x14ac:dyDescent="0.2">
      <c r="A13" s="20" t="str">
        <f t="shared" si="0"/>
        <v/>
      </c>
      <c r="B13" s="48" t="s">
        <v>467</v>
      </c>
      <c r="C13" s="49">
        <f>IFERROR(IF(B13="","",COUNTIF(Dashboard!D:D,B13)),"")</f>
        <v>35</v>
      </c>
      <c r="D13" s="50">
        <v>44142</v>
      </c>
      <c r="E13" s="50">
        <v>44187</v>
      </c>
      <c r="F13" s="49">
        <f>IF(OR(camp[[#This Row],[Ending Date]]="",camp[[#This Row],[Starting Date]]=""),"",camp[[#This Row],[Ending Date]]-camp[[#This Row],[Starting Date]])</f>
        <v>45</v>
      </c>
      <c r="G13" s="49" t="str">
        <f ca="1">IF(OR(camp[[#This Row],[Ending Date]]="",camp[[#This Row],[Starting Date]]=""),"",IF(camp[[#This Row],[Ending Date]]&lt;TODAY(),"Finished",camp[[#This Row],[Ending Date]]-TODAY()))</f>
        <v>Finished</v>
      </c>
      <c r="H13" s="51" t="s">
        <v>477</v>
      </c>
      <c r="I13" s="52">
        <v>1000</v>
      </c>
      <c r="J13" s="52">
        <v>1300</v>
      </c>
      <c r="K13" s="53">
        <f>IF(camp[[#This Row],[Contact Members]]="","",camp[[#This Row],[Target Contact Members]]/camp[[#This Row],[Contact Members]])</f>
        <v>1.3</v>
      </c>
      <c r="L13" s="54">
        <v>270</v>
      </c>
      <c r="M13" s="54" t="s">
        <v>487</v>
      </c>
      <c r="N13" s="51" t="s">
        <v>489</v>
      </c>
      <c r="O13" s="55"/>
    </row>
    <row r="14" spans="1:15" ht="24.95" customHeight="1" x14ac:dyDescent="0.2">
      <c r="A14" s="20" t="str">
        <f t="shared" si="0"/>
        <v/>
      </c>
      <c r="B14" s="48" t="s">
        <v>469</v>
      </c>
      <c r="C14" s="49">
        <f>IFERROR(IF(B14="","",COUNTIF(Dashboard!D:D,B14)),"")</f>
        <v>28</v>
      </c>
      <c r="D14" s="50">
        <v>44228</v>
      </c>
      <c r="E14" s="50">
        <v>44256</v>
      </c>
      <c r="F14" s="49">
        <f>IF(OR(camp[[#This Row],[Ending Date]]="",camp[[#This Row],[Starting Date]]=""),"",camp[[#This Row],[Ending Date]]-camp[[#This Row],[Starting Date]])</f>
        <v>28</v>
      </c>
      <c r="G14" s="49" t="str">
        <f ca="1">IF(OR(camp[[#This Row],[Ending Date]]="",camp[[#This Row],[Starting Date]]=""),"",IF(camp[[#This Row],[Ending Date]]&lt;TODAY(),"Finished",camp[[#This Row],[Ending Date]]-TODAY()))</f>
        <v>Finished</v>
      </c>
      <c r="H14" s="51" t="s">
        <v>481</v>
      </c>
      <c r="I14" s="52">
        <v>700</v>
      </c>
      <c r="J14" s="52">
        <v>200</v>
      </c>
      <c r="K14" s="53">
        <f>IF(camp[[#This Row],[Contact Members]]="","",camp[[#This Row],[Target Contact Members]]/camp[[#This Row],[Contact Members]])</f>
        <v>0.2857142857142857</v>
      </c>
      <c r="L14" s="54">
        <v>100</v>
      </c>
      <c r="M14" s="54" t="s">
        <v>493</v>
      </c>
      <c r="N14" s="51" t="s">
        <v>489</v>
      </c>
      <c r="O14" s="55"/>
    </row>
    <row r="15" spans="1:15" ht="24.95" customHeight="1" x14ac:dyDescent="0.2">
      <c r="A15" s="20" t="str">
        <f t="shared" si="0"/>
        <v/>
      </c>
      <c r="B15" s="56" t="s">
        <v>470</v>
      </c>
      <c r="C15" s="57">
        <f>IFERROR(IF(B15="","",COUNTIF(Dashboard!D:D,B15)),"")</f>
        <v>38</v>
      </c>
      <c r="D15" s="58">
        <v>44231</v>
      </c>
      <c r="E15" s="58">
        <v>44257</v>
      </c>
      <c r="F15" s="57">
        <f>IF(OR(camp[[#This Row],[Ending Date]]="",camp[[#This Row],[Starting Date]]=""),"",camp[[#This Row],[Ending Date]]-camp[[#This Row],[Starting Date]])</f>
        <v>26</v>
      </c>
      <c r="G15" s="57" t="str">
        <f ca="1">IF(OR(camp[[#This Row],[Ending Date]]="",camp[[#This Row],[Starting Date]]=""),"",IF(camp[[#This Row],[Ending Date]]&lt;TODAY(),"Finished",camp[[#This Row],[Ending Date]]-TODAY()))</f>
        <v>Finished</v>
      </c>
      <c r="H15" s="59" t="s">
        <v>476</v>
      </c>
      <c r="I15" s="60">
        <v>400</v>
      </c>
      <c r="J15" s="60">
        <v>350</v>
      </c>
      <c r="K15" s="61">
        <f>IF(camp[[#This Row],[Contact Members]]="","",camp[[#This Row],[Target Contact Members]]/camp[[#This Row],[Contact Members]])</f>
        <v>0.875</v>
      </c>
      <c r="L15" s="62">
        <v>170</v>
      </c>
      <c r="M15" s="62" t="s">
        <v>494</v>
      </c>
      <c r="N15" s="59" t="s">
        <v>497</v>
      </c>
      <c r="O15" s="63" t="s">
        <v>511</v>
      </c>
    </row>
    <row r="16" spans="1:15" ht="24.95" customHeight="1" x14ac:dyDescent="0.2">
      <c r="A16" s="20" t="str">
        <f t="shared" si="0"/>
        <v>Select Campaign---&gt;</v>
      </c>
    </row>
    <row r="17" spans="1:1" ht="24.95" customHeight="1" x14ac:dyDescent="0.2">
      <c r="A17" s="20" t="str">
        <f t="shared" si="0"/>
        <v/>
      </c>
    </row>
    <row r="18" spans="1:1" ht="24.95" customHeight="1" x14ac:dyDescent="0.2">
      <c r="A18" s="20" t="str">
        <f t="shared" si="0"/>
        <v/>
      </c>
    </row>
    <row r="19" spans="1:1" ht="24.95" customHeight="1" x14ac:dyDescent="0.2">
      <c r="A19" s="20" t="str">
        <f t="shared" si="0"/>
        <v/>
      </c>
    </row>
    <row r="20" spans="1:1" ht="24.95" customHeight="1" x14ac:dyDescent="0.2">
      <c r="A20" s="20" t="str">
        <f t="shared" si="0"/>
        <v/>
      </c>
    </row>
    <row r="21" spans="1:1" ht="24.95" customHeight="1" x14ac:dyDescent="0.2">
      <c r="A21" s="20" t="str">
        <f t="shared" si="0"/>
        <v/>
      </c>
    </row>
    <row r="22" spans="1:1" ht="24.95" customHeight="1" x14ac:dyDescent="0.2">
      <c r="A22" s="20" t="str">
        <f t="shared" si="0"/>
        <v/>
      </c>
    </row>
    <row r="23" spans="1:1" ht="24.95" customHeight="1" x14ac:dyDescent="0.2">
      <c r="A23" s="20" t="str">
        <f t="shared" si="0"/>
        <v/>
      </c>
    </row>
    <row r="24" spans="1:1" ht="24.95" customHeight="1" x14ac:dyDescent="0.2">
      <c r="A24" s="20" t="str">
        <f t="shared" si="0"/>
        <v/>
      </c>
    </row>
    <row r="25" spans="1:1" ht="24.95" customHeight="1" x14ac:dyDescent="0.2">
      <c r="A25" s="20" t="str">
        <f t="shared" si="0"/>
        <v/>
      </c>
    </row>
    <row r="26" spans="1:1" ht="24.95" customHeight="1" x14ac:dyDescent="0.2">
      <c r="A26" s="20" t="str">
        <f t="shared" si="0"/>
        <v/>
      </c>
    </row>
    <row r="27" spans="1:1" ht="24.95" customHeight="1" x14ac:dyDescent="0.2">
      <c r="A27" s="20" t="str">
        <f t="shared" si="0"/>
        <v/>
      </c>
    </row>
    <row r="28" spans="1:1" ht="24.95" customHeight="1" x14ac:dyDescent="0.2">
      <c r="A28" s="20" t="str">
        <f t="shared" si="0"/>
        <v/>
      </c>
    </row>
    <row r="29" spans="1:1" ht="24.95" customHeight="1" x14ac:dyDescent="0.2">
      <c r="A29" s="20" t="str">
        <f t="shared" si="0"/>
        <v/>
      </c>
    </row>
    <row r="30" spans="1:1" ht="24.95" customHeight="1" x14ac:dyDescent="0.2">
      <c r="A30" s="20" t="str">
        <f t="shared" si="0"/>
        <v/>
      </c>
    </row>
    <row r="31" spans="1:1" ht="24.95" customHeight="1" x14ac:dyDescent="0.2">
      <c r="A31" s="20" t="str">
        <f t="shared" si="0"/>
        <v/>
      </c>
    </row>
    <row r="32" spans="1:1" ht="24.95" customHeight="1" x14ac:dyDescent="0.2">
      <c r="A32" s="20" t="str">
        <f t="shared" si="0"/>
        <v/>
      </c>
    </row>
    <row r="33" spans="1:1" ht="24.95" customHeight="1" x14ac:dyDescent="0.2">
      <c r="A33" s="20" t="str">
        <f t="shared" si="0"/>
        <v/>
      </c>
    </row>
    <row r="34" spans="1:1" ht="24.95" customHeight="1" x14ac:dyDescent="0.2">
      <c r="A34" s="20" t="str">
        <f t="shared" si="0"/>
        <v/>
      </c>
    </row>
    <row r="35" spans="1:1" ht="24.95" customHeight="1" x14ac:dyDescent="0.2">
      <c r="A35" s="20" t="str">
        <f t="shared" si="0"/>
        <v/>
      </c>
    </row>
    <row r="36" spans="1:1" ht="24.95" customHeight="1" x14ac:dyDescent="0.2">
      <c r="A36" s="20" t="str">
        <f t="shared" si="0"/>
        <v/>
      </c>
    </row>
    <row r="37" spans="1:1" ht="24.95" customHeight="1" x14ac:dyDescent="0.2">
      <c r="A37" s="20" t="str">
        <f t="shared" si="0"/>
        <v/>
      </c>
    </row>
    <row r="38" spans="1:1" ht="24.95" customHeight="1" x14ac:dyDescent="0.2">
      <c r="A38" s="20" t="str">
        <f t="shared" si="0"/>
        <v/>
      </c>
    </row>
    <row r="39" spans="1:1" ht="24.95" customHeight="1" x14ac:dyDescent="0.2">
      <c r="A39" s="20" t="str">
        <f t="shared" si="0"/>
        <v/>
      </c>
    </row>
    <row r="40" spans="1:1" ht="24.95" customHeight="1" x14ac:dyDescent="0.2">
      <c r="A40" s="20" t="str">
        <f t="shared" si="0"/>
        <v/>
      </c>
    </row>
    <row r="41" spans="1:1" ht="24.95" customHeight="1" x14ac:dyDescent="0.2">
      <c r="A41" s="20" t="str">
        <f t="shared" si="0"/>
        <v/>
      </c>
    </row>
    <row r="42" spans="1:1" ht="24.95" customHeight="1" x14ac:dyDescent="0.2">
      <c r="A42" s="20" t="str">
        <f t="shared" si="0"/>
        <v/>
      </c>
    </row>
    <row r="43" spans="1:1" ht="24.95" customHeight="1" x14ac:dyDescent="0.2">
      <c r="A43" s="20" t="str">
        <f t="shared" si="0"/>
        <v/>
      </c>
    </row>
    <row r="44" spans="1:1" ht="24.95" customHeight="1" x14ac:dyDescent="0.2">
      <c r="A44" s="20" t="str">
        <f t="shared" si="0"/>
        <v/>
      </c>
    </row>
    <row r="45" spans="1:1" ht="24.95" customHeight="1" x14ac:dyDescent="0.2">
      <c r="A45" s="20" t="str">
        <f t="shared" si="0"/>
        <v/>
      </c>
    </row>
    <row r="46" spans="1:1" ht="24.95" customHeight="1" x14ac:dyDescent="0.2">
      <c r="A46" s="20" t="str">
        <f t="shared" si="0"/>
        <v/>
      </c>
    </row>
    <row r="47" spans="1:1" ht="24.95" customHeight="1" x14ac:dyDescent="0.2">
      <c r="A47" s="20" t="str">
        <f t="shared" si="0"/>
        <v/>
      </c>
    </row>
    <row r="48" spans="1:1" ht="24.95" customHeight="1" x14ac:dyDescent="0.2">
      <c r="A48" s="20" t="str">
        <f t="shared" si="0"/>
        <v/>
      </c>
    </row>
    <row r="49" spans="1:1" ht="24.95" customHeight="1" x14ac:dyDescent="0.2">
      <c r="A49" s="20" t="str">
        <f t="shared" si="0"/>
        <v/>
      </c>
    </row>
    <row r="50" spans="1:1" ht="24.95" customHeight="1" x14ac:dyDescent="0.2">
      <c r="A50" s="20" t="str">
        <f t="shared" si="0"/>
        <v/>
      </c>
    </row>
    <row r="51" spans="1:1" ht="24.95" customHeight="1" x14ac:dyDescent="0.2">
      <c r="A51" s="20" t="str">
        <f t="shared" si="0"/>
        <v/>
      </c>
    </row>
    <row r="52" spans="1:1" ht="24.95" customHeight="1" x14ac:dyDescent="0.2">
      <c r="A52" s="20" t="str">
        <f t="shared" si="0"/>
        <v/>
      </c>
    </row>
    <row r="53" spans="1:1" ht="24.95" customHeight="1" x14ac:dyDescent="0.2">
      <c r="A53" s="20" t="str">
        <f t="shared" si="0"/>
        <v/>
      </c>
    </row>
    <row r="54" spans="1:1" ht="24.95" customHeight="1" x14ac:dyDescent="0.2">
      <c r="A54" s="20" t="str">
        <f t="shared" si="0"/>
        <v/>
      </c>
    </row>
    <row r="55" spans="1:1" ht="24.95" customHeight="1" x14ac:dyDescent="0.2">
      <c r="A55" s="20" t="str">
        <f t="shared" si="0"/>
        <v/>
      </c>
    </row>
    <row r="56" spans="1:1" ht="24.95" customHeight="1" x14ac:dyDescent="0.2">
      <c r="A56" s="20" t="str">
        <f t="shared" si="0"/>
        <v/>
      </c>
    </row>
    <row r="57" spans="1:1" ht="24.95" customHeight="1" x14ac:dyDescent="0.2">
      <c r="A57" s="20" t="str">
        <f t="shared" si="0"/>
        <v/>
      </c>
    </row>
    <row r="58" spans="1:1" ht="24.95" customHeight="1" x14ac:dyDescent="0.2">
      <c r="A58" s="20" t="str">
        <f t="shared" si="0"/>
        <v/>
      </c>
    </row>
    <row r="59" spans="1:1" ht="24.95" customHeight="1" x14ac:dyDescent="0.2">
      <c r="A59" s="20" t="str">
        <f t="shared" si="0"/>
        <v/>
      </c>
    </row>
    <row r="60" spans="1:1" ht="24.95" customHeight="1" x14ac:dyDescent="0.2">
      <c r="A60" s="20" t="str">
        <f t="shared" si="0"/>
        <v/>
      </c>
    </row>
    <row r="61" spans="1:1" ht="24.95" customHeight="1" x14ac:dyDescent="0.2">
      <c r="A61" s="20" t="str">
        <f t="shared" si="0"/>
        <v/>
      </c>
    </row>
    <row r="62" spans="1:1" ht="24.95" customHeight="1" x14ac:dyDescent="0.2">
      <c r="A62" s="20" t="str">
        <f t="shared" si="0"/>
        <v/>
      </c>
    </row>
    <row r="63" spans="1:1" ht="24.95" customHeight="1" x14ac:dyDescent="0.2">
      <c r="A63" s="20" t="str">
        <f t="shared" si="0"/>
        <v/>
      </c>
    </row>
    <row r="64" spans="1:1" ht="24.95" customHeight="1" x14ac:dyDescent="0.2">
      <c r="A64" s="20" t="str">
        <f t="shared" si="0"/>
        <v/>
      </c>
    </row>
    <row r="65" spans="1:1" ht="24.95" customHeight="1" x14ac:dyDescent="0.2">
      <c r="A65" s="20" t="str">
        <f t="shared" si="0"/>
        <v/>
      </c>
    </row>
    <row r="66" spans="1:1" ht="24.95" customHeight="1" x14ac:dyDescent="0.2">
      <c r="A66" s="20" t="str">
        <f t="shared" si="0"/>
        <v/>
      </c>
    </row>
    <row r="67" spans="1:1" ht="24.95" customHeight="1" x14ac:dyDescent="0.2">
      <c r="A67" s="20" t="str">
        <f t="shared" si="0"/>
        <v/>
      </c>
    </row>
    <row r="68" spans="1:1" ht="24.95" customHeight="1" x14ac:dyDescent="0.2">
      <c r="A68" s="20" t="str">
        <f t="shared" si="0"/>
        <v/>
      </c>
    </row>
    <row r="69" spans="1:1" ht="24.95" customHeight="1" x14ac:dyDescent="0.2">
      <c r="A69" s="20" t="str">
        <f t="shared" si="0"/>
        <v/>
      </c>
    </row>
    <row r="70" spans="1:1" ht="24.95" customHeight="1" x14ac:dyDescent="0.2">
      <c r="A70" s="20" t="str">
        <f t="shared" si="0"/>
        <v/>
      </c>
    </row>
    <row r="71" spans="1:1" ht="24.95" customHeight="1" x14ac:dyDescent="0.2">
      <c r="A71" s="20" t="str">
        <f t="shared" si="0"/>
        <v/>
      </c>
    </row>
    <row r="72" spans="1:1" ht="24.95" customHeight="1" x14ac:dyDescent="0.2">
      <c r="A72" s="20" t="str">
        <f t="shared" si="0"/>
        <v/>
      </c>
    </row>
    <row r="73" spans="1:1" ht="24.95" customHeight="1" x14ac:dyDescent="0.2">
      <c r="A73" s="20" t="str">
        <f t="shared" si="0"/>
        <v/>
      </c>
    </row>
    <row r="74" spans="1:1" ht="24.95" customHeight="1" x14ac:dyDescent="0.2">
      <c r="A74" s="20" t="str">
        <f t="shared" si="0"/>
        <v/>
      </c>
    </row>
    <row r="75" spans="1:1" ht="24.95" customHeight="1" x14ac:dyDescent="0.2">
      <c r="A75" s="20" t="str">
        <f t="shared" si="0"/>
        <v/>
      </c>
    </row>
    <row r="76" spans="1:1" ht="24.95" customHeight="1" x14ac:dyDescent="0.2">
      <c r="A76" s="20" t="str">
        <f t="shared" ref="A76:A139" si="1">IF(AND(B75&lt;&gt;"",B76=""),$A$10&amp;"---&gt;","")</f>
        <v/>
      </c>
    </row>
    <row r="77" spans="1:1" ht="24.95" customHeight="1" x14ac:dyDescent="0.2">
      <c r="A77" s="20" t="str">
        <f t="shared" si="1"/>
        <v/>
      </c>
    </row>
    <row r="78" spans="1:1" ht="24.95" customHeight="1" x14ac:dyDescent="0.2">
      <c r="A78" s="20" t="str">
        <f t="shared" si="1"/>
        <v/>
      </c>
    </row>
    <row r="79" spans="1:1" ht="24.95" customHeight="1" x14ac:dyDescent="0.2">
      <c r="A79" s="20" t="str">
        <f t="shared" si="1"/>
        <v/>
      </c>
    </row>
    <row r="80" spans="1:1" ht="24.95" customHeight="1" x14ac:dyDescent="0.2">
      <c r="A80" s="20" t="str">
        <f t="shared" si="1"/>
        <v/>
      </c>
    </row>
    <row r="81" spans="1:1" ht="24.95" customHeight="1" x14ac:dyDescent="0.2">
      <c r="A81" s="20" t="str">
        <f t="shared" si="1"/>
        <v/>
      </c>
    </row>
    <row r="82" spans="1:1" ht="24.95" customHeight="1" x14ac:dyDescent="0.2">
      <c r="A82" s="20" t="str">
        <f t="shared" si="1"/>
        <v/>
      </c>
    </row>
    <row r="83" spans="1:1" ht="24.95" customHeight="1" x14ac:dyDescent="0.2">
      <c r="A83" s="20" t="str">
        <f t="shared" si="1"/>
        <v/>
      </c>
    </row>
    <row r="84" spans="1:1" ht="24.95" customHeight="1" x14ac:dyDescent="0.2">
      <c r="A84" s="20" t="str">
        <f t="shared" si="1"/>
        <v/>
      </c>
    </row>
    <row r="85" spans="1:1" ht="24.95" customHeight="1" x14ac:dyDescent="0.2">
      <c r="A85" s="20" t="str">
        <f t="shared" si="1"/>
        <v/>
      </c>
    </row>
    <row r="86" spans="1:1" ht="24.95" customHeight="1" x14ac:dyDescent="0.2">
      <c r="A86" s="20" t="str">
        <f t="shared" si="1"/>
        <v/>
      </c>
    </row>
    <row r="87" spans="1:1" ht="24.95" customHeight="1" x14ac:dyDescent="0.2">
      <c r="A87" s="20" t="str">
        <f t="shared" si="1"/>
        <v/>
      </c>
    </row>
    <row r="88" spans="1:1" ht="24.95" customHeight="1" x14ac:dyDescent="0.2">
      <c r="A88" s="20" t="str">
        <f t="shared" si="1"/>
        <v/>
      </c>
    </row>
    <row r="89" spans="1:1" ht="24.95" customHeight="1" x14ac:dyDescent="0.2">
      <c r="A89" s="20" t="str">
        <f t="shared" si="1"/>
        <v/>
      </c>
    </row>
    <row r="90" spans="1:1" ht="24.95" customHeight="1" x14ac:dyDescent="0.2">
      <c r="A90" s="20" t="str">
        <f t="shared" si="1"/>
        <v/>
      </c>
    </row>
    <row r="91" spans="1:1" ht="24.95" customHeight="1" x14ac:dyDescent="0.2">
      <c r="A91" s="20" t="str">
        <f t="shared" si="1"/>
        <v/>
      </c>
    </row>
    <row r="92" spans="1:1" ht="24.95" customHeight="1" x14ac:dyDescent="0.2">
      <c r="A92" s="20" t="str">
        <f t="shared" si="1"/>
        <v/>
      </c>
    </row>
    <row r="93" spans="1:1" ht="24.95" customHeight="1" x14ac:dyDescent="0.2">
      <c r="A93" s="20" t="str">
        <f t="shared" si="1"/>
        <v/>
      </c>
    </row>
    <row r="94" spans="1:1" ht="24.95" customHeight="1" x14ac:dyDescent="0.2">
      <c r="A94" s="20" t="str">
        <f t="shared" si="1"/>
        <v/>
      </c>
    </row>
    <row r="95" spans="1:1" ht="24.95" customHeight="1" x14ac:dyDescent="0.2">
      <c r="A95" s="20" t="str">
        <f t="shared" si="1"/>
        <v/>
      </c>
    </row>
    <row r="96" spans="1:1" ht="24.95" customHeight="1" x14ac:dyDescent="0.2">
      <c r="A96" s="20" t="str">
        <f t="shared" si="1"/>
        <v/>
      </c>
    </row>
    <row r="97" spans="1:1" ht="24.95" customHeight="1" x14ac:dyDescent="0.2">
      <c r="A97" s="20" t="str">
        <f t="shared" si="1"/>
        <v/>
      </c>
    </row>
    <row r="98" spans="1:1" ht="24.95" customHeight="1" x14ac:dyDescent="0.2">
      <c r="A98" s="20" t="str">
        <f t="shared" si="1"/>
        <v/>
      </c>
    </row>
    <row r="99" spans="1:1" ht="24.95" customHeight="1" x14ac:dyDescent="0.2">
      <c r="A99" s="20" t="str">
        <f t="shared" si="1"/>
        <v/>
      </c>
    </row>
    <row r="100" spans="1:1" ht="24.95" customHeight="1" x14ac:dyDescent="0.2">
      <c r="A100" s="20" t="str">
        <f t="shared" si="1"/>
        <v/>
      </c>
    </row>
    <row r="101" spans="1:1" ht="24.95" customHeight="1" x14ac:dyDescent="0.2">
      <c r="A101" s="20" t="str">
        <f t="shared" si="1"/>
        <v/>
      </c>
    </row>
    <row r="102" spans="1:1" ht="24.95" customHeight="1" x14ac:dyDescent="0.2">
      <c r="A102" s="20" t="str">
        <f t="shared" si="1"/>
        <v/>
      </c>
    </row>
    <row r="103" spans="1:1" ht="24.95" customHeight="1" x14ac:dyDescent="0.2">
      <c r="A103" s="20" t="str">
        <f t="shared" si="1"/>
        <v/>
      </c>
    </row>
    <row r="104" spans="1:1" ht="24.95" customHeight="1" x14ac:dyDescent="0.2">
      <c r="A104" s="20" t="str">
        <f t="shared" si="1"/>
        <v/>
      </c>
    </row>
    <row r="105" spans="1:1" ht="24.95" customHeight="1" x14ac:dyDescent="0.2">
      <c r="A105" s="20" t="str">
        <f t="shared" si="1"/>
        <v/>
      </c>
    </row>
    <row r="106" spans="1:1" ht="24.95" customHeight="1" x14ac:dyDescent="0.2">
      <c r="A106" s="20" t="str">
        <f t="shared" si="1"/>
        <v/>
      </c>
    </row>
    <row r="107" spans="1:1" ht="24.95" customHeight="1" x14ac:dyDescent="0.2">
      <c r="A107" s="20" t="str">
        <f t="shared" si="1"/>
        <v/>
      </c>
    </row>
    <row r="108" spans="1:1" ht="24.95" customHeight="1" x14ac:dyDescent="0.2">
      <c r="A108" s="20" t="str">
        <f t="shared" si="1"/>
        <v/>
      </c>
    </row>
    <row r="109" spans="1:1" ht="24.95" customHeight="1" x14ac:dyDescent="0.2">
      <c r="A109" s="20" t="str">
        <f t="shared" si="1"/>
        <v/>
      </c>
    </row>
    <row r="110" spans="1:1" ht="24.95" customHeight="1" x14ac:dyDescent="0.2">
      <c r="A110" s="20" t="str">
        <f t="shared" si="1"/>
        <v/>
      </c>
    </row>
    <row r="111" spans="1:1" ht="24.95" customHeight="1" x14ac:dyDescent="0.2">
      <c r="A111" s="20" t="str">
        <f t="shared" si="1"/>
        <v/>
      </c>
    </row>
    <row r="112" spans="1:1" ht="24.95" customHeight="1" x14ac:dyDescent="0.2">
      <c r="A112" s="20" t="str">
        <f t="shared" si="1"/>
        <v/>
      </c>
    </row>
    <row r="113" spans="1:1" ht="24.95" customHeight="1" x14ac:dyDescent="0.2">
      <c r="A113" s="20" t="str">
        <f t="shared" si="1"/>
        <v/>
      </c>
    </row>
    <row r="114" spans="1:1" ht="24.95" customHeight="1" x14ac:dyDescent="0.2">
      <c r="A114" s="20" t="str">
        <f t="shared" si="1"/>
        <v/>
      </c>
    </row>
    <row r="115" spans="1:1" ht="24.95" customHeight="1" x14ac:dyDescent="0.2">
      <c r="A115" s="20" t="str">
        <f t="shared" si="1"/>
        <v/>
      </c>
    </row>
    <row r="116" spans="1:1" ht="24.95" customHeight="1" x14ac:dyDescent="0.2">
      <c r="A116" s="20" t="str">
        <f t="shared" si="1"/>
        <v/>
      </c>
    </row>
    <row r="117" spans="1:1" ht="24.95" customHeight="1" x14ac:dyDescent="0.2">
      <c r="A117" s="20" t="str">
        <f t="shared" si="1"/>
        <v/>
      </c>
    </row>
    <row r="118" spans="1:1" ht="24.95" customHeight="1" x14ac:dyDescent="0.2">
      <c r="A118" s="20" t="str">
        <f t="shared" si="1"/>
        <v/>
      </c>
    </row>
    <row r="119" spans="1:1" ht="24.95" customHeight="1" x14ac:dyDescent="0.2">
      <c r="A119" s="20" t="str">
        <f t="shared" si="1"/>
        <v/>
      </c>
    </row>
    <row r="120" spans="1:1" ht="24.95" customHeight="1" x14ac:dyDescent="0.2">
      <c r="A120" s="20" t="str">
        <f t="shared" si="1"/>
        <v/>
      </c>
    </row>
    <row r="121" spans="1:1" ht="24.95" customHeight="1" x14ac:dyDescent="0.2">
      <c r="A121" s="20" t="str">
        <f t="shared" si="1"/>
        <v/>
      </c>
    </row>
    <row r="122" spans="1:1" ht="24.95" customHeight="1" x14ac:dyDescent="0.2">
      <c r="A122" s="20" t="str">
        <f t="shared" si="1"/>
        <v/>
      </c>
    </row>
    <row r="123" spans="1:1" ht="24.95" customHeight="1" x14ac:dyDescent="0.2">
      <c r="A123" s="20" t="str">
        <f t="shared" si="1"/>
        <v/>
      </c>
    </row>
    <row r="124" spans="1:1" ht="24.95" customHeight="1" x14ac:dyDescent="0.2">
      <c r="A124" s="20" t="str">
        <f t="shared" si="1"/>
        <v/>
      </c>
    </row>
    <row r="125" spans="1:1" ht="24.95" customHeight="1" x14ac:dyDescent="0.2">
      <c r="A125" s="20" t="str">
        <f t="shared" si="1"/>
        <v/>
      </c>
    </row>
    <row r="126" spans="1:1" ht="24.95" customHeight="1" x14ac:dyDescent="0.2">
      <c r="A126" s="20" t="str">
        <f t="shared" si="1"/>
        <v/>
      </c>
    </row>
    <row r="127" spans="1:1" ht="24.95" customHeight="1" x14ac:dyDescent="0.2">
      <c r="A127" s="20" t="str">
        <f t="shared" si="1"/>
        <v/>
      </c>
    </row>
    <row r="128" spans="1:1" ht="24.95" customHeight="1" x14ac:dyDescent="0.2">
      <c r="A128" s="20" t="str">
        <f t="shared" si="1"/>
        <v/>
      </c>
    </row>
    <row r="129" spans="1:1" ht="24.95" customHeight="1" x14ac:dyDescent="0.2">
      <c r="A129" s="20" t="str">
        <f t="shared" si="1"/>
        <v/>
      </c>
    </row>
    <row r="130" spans="1:1" ht="24.95" customHeight="1" x14ac:dyDescent="0.2">
      <c r="A130" s="20" t="str">
        <f t="shared" si="1"/>
        <v/>
      </c>
    </row>
    <row r="131" spans="1:1" ht="24.95" customHeight="1" x14ac:dyDescent="0.2">
      <c r="A131" s="20" t="str">
        <f t="shared" si="1"/>
        <v/>
      </c>
    </row>
    <row r="132" spans="1:1" ht="24.95" customHeight="1" x14ac:dyDescent="0.2">
      <c r="A132" s="20" t="str">
        <f t="shared" si="1"/>
        <v/>
      </c>
    </row>
    <row r="133" spans="1:1" ht="24.95" customHeight="1" x14ac:dyDescent="0.2">
      <c r="A133" s="20" t="str">
        <f t="shared" si="1"/>
        <v/>
      </c>
    </row>
    <row r="134" spans="1:1" ht="24.95" customHeight="1" x14ac:dyDescent="0.2">
      <c r="A134" s="20" t="str">
        <f t="shared" si="1"/>
        <v/>
      </c>
    </row>
    <row r="135" spans="1:1" ht="24.95" customHeight="1" x14ac:dyDescent="0.2">
      <c r="A135" s="20" t="str">
        <f t="shared" si="1"/>
        <v/>
      </c>
    </row>
    <row r="136" spans="1:1" ht="24.95" customHeight="1" x14ac:dyDescent="0.2">
      <c r="A136" s="20" t="str">
        <f t="shared" si="1"/>
        <v/>
      </c>
    </row>
    <row r="137" spans="1:1" ht="24.95" customHeight="1" x14ac:dyDescent="0.2">
      <c r="A137" s="20" t="str">
        <f t="shared" si="1"/>
        <v/>
      </c>
    </row>
    <row r="138" spans="1:1" ht="24.95" customHeight="1" x14ac:dyDescent="0.2">
      <c r="A138" s="20" t="str">
        <f t="shared" si="1"/>
        <v/>
      </c>
    </row>
    <row r="139" spans="1:1" ht="24.95" customHeight="1" x14ac:dyDescent="0.2">
      <c r="A139" s="20" t="str">
        <f t="shared" si="1"/>
        <v/>
      </c>
    </row>
    <row r="140" spans="1:1" ht="24.95" customHeight="1" x14ac:dyDescent="0.2">
      <c r="A140" s="20" t="str">
        <f t="shared" ref="A140:A203" si="2">IF(AND(B139&lt;&gt;"",B140=""),$A$10&amp;"---&gt;","")</f>
        <v/>
      </c>
    </row>
    <row r="141" spans="1:1" ht="24.95" customHeight="1" x14ac:dyDescent="0.2">
      <c r="A141" s="20" t="str">
        <f t="shared" si="2"/>
        <v/>
      </c>
    </row>
    <row r="142" spans="1:1" ht="24.95" customHeight="1" x14ac:dyDescent="0.2">
      <c r="A142" s="20" t="str">
        <f t="shared" si="2"/>
        <v/>
      </c>
    </row>
    <row r="143" spans="1:1" ht="24.95" customHeight="1" x14ac:dyDescent="0.2">
      <c r="A143" s="20" t="str">
        <f t="shared" si="2"/>
        <v/>
      </c>
    </row>
    <row r="144" spans="1:1" ht="24.95" customHeight="1" x14ac:dyDescent="0.2">
      <c r="A144" s="20" t="str">
        <f t="shared" si="2"/>
        <v/>
      </c>
    </row>
    <row r="145" spans="1:1" ht="24.95" customHeight="1" x14ac:dyDescent="0.2">
      <c r="A145" s="20" t="str">
        <f t="shared" si="2"/>
        <v/>
      </c>
    </row>
    <row r="146" spans="1:1" ht="24.95" customHeight="1" x14ac:dyDescent="0.2">
      <c r="A146" s="20" t="str">
        <f t="shared" si="2"/>
        <v/>
      </c>
    </row>
    <row r="147" spans="1:1" ht="24.95" customHeight="1" x14ac:dyDescent="0.2">
      <c r="A147" s="20" t="str">
        <f t="shared" si="2"/>
        <v/>
      </c>
    </row>
    <row r="148" spans="1:1" ht="24.95" customHeight="1" x14ac:dyDescent="0.2">
      <c r="A148" s="20" t="str">
        <f t="shared" si="2"/>
        <v/>
      </c>
    </row>
    <row r="149" spans="1:1" ht="24.95" customHeight="1" x14ac:dyDescent="0.2">
      <c r="A149" s="20" t="str">
        <f t="shared" si="2"/>
        <v/>
      </c>
    </row>
    <row r="150" spans="1:1" ht="24.95" customHeight="1" x14ac:dyDescent="0.2">
      <c r="A150" s="20" t="str">
        <f t="shared" si="2"/>
        <v/>
      </c>
    </row>
    <row r="151" spans="1:1" ht="24.95" customHeight="1" x14ac:dyDescent="0.2">
      <c r="A151" s="20" t="str">
        <f t="shared" si="2"/>
        <v/>
      </c>
    </row>
    <row r="152" spans="1:1" ht="24.95" customHeight="1" x14ac:dyDescent="0.2">
      <c r="A152" s="20" t="str">
        <f t="shared" si="2"/>
        <v/>
      </c>
    </row>
    <row r="153" spans="1:1" ht="24.95" customHeight="1" x14ac:dyDescent="0.2">
      <c r="A153" s="20" t="str">
        <f t="shared" si="2"/>
        <v/>
      </c>
    </row>
    <row r="154" spans="1:1" ht="24.95" customHeight="1" x14ac:dyDescent="0.2">
      <c r="A154" s="20" t="str">
        <f t="shared" si="2"/>
        <v/>
      </c>
    </row>
    <row r="155" spans="1:1" ht="24.95" customHeight="1" x14ac:dyDescent="0.2">
      <c r="A155" s="20" t="str">
        <f t="shared" si="2"/>
        <v/>
      </c>
    </row>
    <row r="156" spans="1:1" ht="24.95" customHeight="1" x14ac:dyDescent="0.2">
      <c r="A156" s="20" t="str">
        <f t="shared" si="2"/>
        <v/>
      </c>
    </row>
    <row r="157" spans="1:1" ht="24.95" customHeight="1" x14ac:dyDescent="0.2">
      <c r="A157" s="20" t="str">
        <f t="shared" si="2"/>
        <v/>
      </c>
    </row>
    <row r="158" spans="1:1" ht="24.95" customHeight="1" x14ac:dyDescent="0.2">
      <c r="A158" s="20" t="str">
        <f t="shared" si="2"/>
        <v/>
      </c>
    </row>
    <row r="159" spans="1:1" ht="24.95" customHeight="1" x14ac:dyDescent="0.2">
      <c r="A159" s="20" t="str">
        <f t="shared" si="2"/>
        <v/>
      </c>
    </row>
    <row r="160" spans="1:1" ht="24.95" customHeight="1" x14ac:dyDescent="0.2">
      <c r="A160" s="20" t="str">
        <f t="shared" si="2"/>
        <v/>
      </c>
    </row>
    <row r="161" spans="1:1" ht="24.95" customHeight="1" x14ac:dyDescent="0.2">
      <c r="A161" s="20" t="str">
        <f t="shared" si="2"/>
        <v/>
      </c>
    </row>
    <row r="162" spans="1:1" ht="24.95" customHeight="1" x14ac:dyDescent="0.2">
      <c r="A162" s="20" t="str">
        <f t="shared" si="2"/>
        <v/>
      </c>
    </row>
    <row r="163" spans="1:1" ht="24.95" customHeight="1" x14ac:dyDescent="0.2">
      <c r="A163" s="20" t="str">
        <f t="shared" si="2"/>
        <v/>
      </c>
    </row>
    <row r="164" spans="1:1" ht="24.95" customHeight="1" x14ac:dyDescent="0.2">
      <c r="A164" s="20" t="str">
        <f t="shared" si="2"/>
        <v/>
      </c>
    </row>
    <row r="165" spans="1:1" ht="24.95" customHeight="1" x14ac:dyDescent="0.2">
      <c r="A165" s="20" t="str">
        <f t="shared" si="2"/>
        <v/>
      </c>
    </row>
    <row r="166" spans="1:1" ht="24.95" customHeight="1" x14ac:dyDescent="0.2">
      <c r="A166" s="20" t="str">
        <f t="shared" si="2"/>
        <v/>
      </c>
    </row>
    <row r="167" spans="1:1" ht="24.95" customHeight="1" x14ac:dyDescent="0.2">
      <c r="A167" s="20" t="str">
        <f t="shared" si="2"/>
        <v/>
      </c>
    </row>
    <row r="168" spans="1:1" ht="24.95" customHeight="1" x14ac:dyDescent="0.2">
      <c r="A168" s="20" t="str">
        <f t="shared" si="2"/>
        <v/>
      </c>
    </row>
    <row r="169" spans="1:1" ht="24.95" customHeight="1" x14ac:dyDescent="0.2">
      <c r="A169" s="20" t="str">
        <f t="shared" si="2"/>
        <v/>
      </c>
    </row>
    <row r="170" spans="1:1" ht="24.95" customHeight="1" x14ac:dyDescent="0.2">
      <c r="A170" s="20" t="str">
        <f t="shared" si="2"/>
        <v/>
      </c>
    </row>
    <row r="171" spans="1:1" ht="24.95" customHeight="1" x14ac:dyDescent="0.2">
      <c r="A171" s="20" t="str">
        <f t="shared" si="2"/>
        <v/>
      </c>
    </row>
    <row r="172" spans="1:1" ht="24.95" customHeight="1" x14ac:dyDescent="0.2">
      <c r="A172" s="20" t="str">
        <f t="shared" si="2"/>
        <v/>
      </c>
    </row>
    <row r="173" spans="1:1" ht="24.95" customHeight="1" x14ac:dyDescent="0.2">
      <c r="A173" s="20" t="str">
        <f t="shared" si="2"/>
        <v/>
      </c>
    </row>
    <row r="174" spans="1:1" ht="24.95" customHeight="1" x14ac:dyDescent="0.2">
      <c r="A174" s="20" t="str">
        <f t="shared" si="2"/>
        <v/>
      </c>
    </row>
    <row r="175" spans="1:1" ht="24.95" customHeight="1" x14ac:dyDescent="0.2">
      <c r="A175" s="20" t="str">
        <f t="shared" si="2"/>
        <v/>
      </c>
    </row>
    <row r="176" spans="1:1" ht="24.95" customHeight="1" x14ac:dyDescent="0.2">
      <c r="A176" s="20" t="str">
        <f t="shared" si="2"/>
        <v/>
      </c>
    </row>
    <row r="177" spans="1:1" ht="24.95" customHeight="1" x14ac:dyDescent="0.2">
      <c r="A177" s="20" t="str">
        <f t="shared" si="2"/>
        <v/>
      </c>
    </row>
    <row r="178" spans="1:1" ht="24.95" customHeight="1" x14ac:dyDescent="0.2">
      <c r="A178" s="20" t="str">
        <f t="shared" si="2"/>
        <v/>
      </c>
    </row>
    <row r="179" spans="1:1" ht="24.95" customHeight="1" x14ac:dyDescent="0.2">
      <c r="A179" s="20" t="str">
        <f t="shared" si="2"/>
        <v/>
      </c>
    </row>
    <row r="180" spans="1:1" ht="24.95" customHeight="1" x14ac:dyDescent="0.2">
      <c r="A180" s="20" t="str">
        <f t="shared" si="2"/>
        <v/>
      </c>
    </row>
    <row r="181" spans="1:1" ht="24.95" customHeight="1" x14ac:dyDescent="0.2">
      <c r="A181" s="20" t="str">
        <f t="shared" si="2"/>
        <v/>
      </c>
    </row>
    <row r="182" spans="1:1" ht="24.95" customHeight="1" x14ac:dyDescent="0.2">
      <c r="A182" s="20" t="str">
        <f t="shared" si="2"/>
        <v/>
      </c>
    </row>
    <row r="183" spans="1:1" ht="24.95" customHeight="1" x14ac:dyDescent="0.2">
      <c r="A183" s="20" t="str">
        <f t="shared" si="2"/>
        <v/>
      </c>
    </row>
    <row r="184" spans="1:1" ht="24.95" customHeight="1" x14ac:dyDescent="0.2">
      <c r="A184" s="20" t="str">
        <f t="shared" si="2"/>
        <v/>
      </c>
    </row>
    <row r="185" spans="1:1" ht="24.95" customHeight="1" x14ac:dyDescent="0.2">
      <c r="A185" s="20" t="str">
        <f t="shared" si="2"/>
        <v/>
      </c>
    </row>
    <row r="186" spans="1:1" ht="24.95" customHeight="1" x14ac:dyDescent="0.2">
      <c r="A186" s="20" t="str">
        <f t="shared" si="2"/>
        <v/>
      </c>
    </row>
    <row r="187" spans="1:1" ht="24.95" customHeight="1" x14ac:dyDescent="0.2">
      <c r="A187" s="20" t="str">
        <f t="shared" si="2"/>
        <v/>
      </c>
    </row>
    <row r="188" spans="1:1" ht="24.95" customHeight="1" x14ac:dyDescent="0.2">
      <c r="A188" s="20" t="str">
        <f t="shared" si="2"/>
        <v/>
      </c>
    </row>
    <row r="189" spans="1:1" ht="24.95" customHeight="1" x14ac:dyDescent="0.2">
      <c r="A189" s="20" t="str">
        <f t="shared" si="2"/>
        <v/>
      </c>
    </row>
    <row r="190" spans="1:1" ht="24.95" customHeight="1" x14ac:dyDescent="0.2">
      <c r="A190" s="20" t="str">
        <f t="shared" si="2"/>
        <v/>
      </c>
    </row>
    <row r="191" spans="1:1" ht="24.95" customHeight="1" x14ac:dyDescent="0.2">
      <c r="A191" s="20" t="str">
        <f t="shared" si="2"/>
        <v/>
      </c>
    </row>
    <row r="192" spans="1:1" ht="24.95" customHeight="1" x14ac:dyDescent="0.2">
      <c r="A192" s="20" t="str">
        <f t="shared" si="2"/>
        <v/>
      </c>
    </row>
    <row r="193" spans="1:1" ht="24.95" customHeight="1" x14ac:dyDescent="0.2">
      <c r="A193" s="20" t="str">
        <f t="shared" si="2"/>
        <v/>
      </c>
    </row>
    <row r="194" spans="1:1" ht="24.95" customHeight="1" x14ac:dyDescent="0.2">
      <c r="A194" s="20" t="str">
        <f t="shared" si="2"/>
        <v/>
      </c>
    </row>
    <row r="195" spans="1:1" ht="24.95" customHeight="1" x14ac:dyDescent="0.2">
      <c r="A195" s="20" t="str">
        <f t="shared" si="2"/>
        <v/>
      </c>
    </row>
    <row r="196" spans="1:1" ht="24.95" customHeight="1" x14ac:dyDescent="0.2">
      <c r="A196" s="20" t="str">
        <f t="shared" si="2"/>
        <v/>
      </c>
    </row>
    <row r="197" spans="1:1" ht="24.95" customHeight="1" x14ac:dyDescent="0.2">
      <c r="A197" s="20" t="str">
        <f t="shared" si="2"/>
        <v/>
      </c>
    </row>
    <row r="198" spans="1:1" ht="24.95" customHeight="1" x14ac:dyDescent="0.2">
      <c r="A198" s="20" t="str">
        <f t="shared" si="2"/>
        <v/>
      </c>
    </row>
    <row r="199" spans="1:1" ht="24.95" customHeight="1" x14ac:dyDescent="0.2">
      <c r="A199" s="20" t="str">
        <f t="shared" si="2"/>
        <v/>
      </c>
    </row>
    <row r="200" spans="1:1" ht="24.95" customHeight="1" x14ac:dyDescent="0.2">
      <c r="A200" s="20" t="str">
        <f t="shared" si="2"/>
        <v/>
      </c>
    </row>
    <row r="201" spans="1:1" ht="24.95" customHeight="1" x14ac:dyDescent="0.2">
      <c r="A201" s="20" t="str">
        <f t="shared" si="2"/>
        <v/>
      </c>
    </row>
    <row r="202" spans="1:1" ht="24.95" customHeight="1" x14ac:dyDescent="0.2">
      <c r="A202" s="20" t="str">
        <f t="shared" si="2"/>
        <v/>
      </c>
    </row>
    <row r="203" spans="1:1" ht="24.95" customHeight="1" x14ac:dyDescent="0.2">
      <c r="A203" s="20" t="str">
        <f t="shared" si="2"/>
        <v/>
      </c>
    </row>
    <row r="204" spans="1:1" ht="24.95" customHeight="1" x14ac:dyDescent="0.2">
      <c r="A204" s="20" t="str">
        <f t="shared" ref="A204:A267" si="3">IF(AND(B203&lt;&gt;"",B204=""),$A$10&amp;"---&gt;","")</f>
        <v/>
      </c>
    </row>
    <row r="205" spans="1:1" ht="24.95" customHeight="1" x14ac:dyDescent="0.2">
      <c r="A205" s="20" t="str">
        <f t="shared" si="3"/>
        <v/>
      </c>
    </row>
    <row r="206" spans="1:1" ht="24.95" customHeight="1" x14ac:dyDescent="0.2">
      <c r="A206" s="20" t="str">
        <f t="shared" si="3"/>
        <v/>
      </c>
    </row>
    <row r="207" spans="1:1" ht="24.95" customHeight="1" x14ac:dyDescent="0.2">
      <c r="A207" s="20" t="str">
        <f t="shared" si="3"/>
        <v/>
      </c>
    </row>
    <row r="208" spans="1:1" ht="24.95" customHeight="1" x14ac:dyDescent="0.2">
      <c r="A208" s="20" t="str">
        <f t="shared" si="3"/>
        <v/>
      </c>
    </row>
    <row r="209" spans="1:1" ht="24.95" customHeight="1" x14ac:dyDescent="0.2">
      <c r="A209" s="20" t="str">
        <f t="shared" si="3"/>
        <v/>
      </c>
    </row>
    <row r="210" spans="1:1" ht="24.95" customHeight="1" x14ac:dyDescent="0.2">
      <c r="A210" s="20" t="str">
        <f t="shared" si="3"/>
        <v/>
      </c>
    </row>
    <row r="211" spans="1:1" ht="24.95" customHeight="1" x14ac:dyDescent="0.2">
      <c r="A211" s="20" t="str">
        <f t="shared" si="3"/>
        <v/>
      </c>
    </row>
    <row r="212" spans="1:1" ht="24.95" customHeight="1" x14ac:dyDescent="0.2">
      <c r="A212" s="20" t="str">
        <f t="shared" si="3"/>
        <v/>
      </c>
    </row>
    <row r="213" spans="1:1" ht="24.95" customHeight="1" x14ac:dyDescent="0.2">
      <c r="A213" s="20" t="str">
        <f t="shared" si="3"/>
        <v/>
      </c>
    </row>
    <row r="214" spans="1:1" ht="24.95" customHeight="1" x14ac:dyDescent="0.2">
      <c r="A214" s="20" t="str">
        <f t="shared" si="3"/>
        <v/>
      </c>
    </row>
    <row r="215" spans="1:1" ht="24.95" customHeight="1" x14ac:dyDescent="0.2">
      <c r="A215" s="20" t="str">
        <f t="shared" si="3"/>
        <v/>
      </c>
    </row>
    <row r="216" spans="1:1" ht="24.95" customHeight="1" x14ac:dyDescent="0.2">
      <c r="A216" s="20" t="str">
        <f t="shared" si="3"/>
        <v/>
      </c>
    </row>
    <row r="217" spans="1:1" ht="24.95" customHeight="1" x14ac:dyDescent="0.2">
      <c r="A217" s="20" t="str">
        <f t="shared" si="3"/>
        <v/>
      </c>
    </row>
    <row r="218" spans="1:1" ht="24.95" customHeight="1" x14ac:dyDescent="0.2">
      <c r="A218" s="20" t="str">
        <f t="shared" si="3"/>
        <v/>
      </c>
    </row>
    <row r="219" spans="1:1" ht="24.95" customHeight="1" x14ac:dyDescent="0.2">
      <c r="A219" s="20" t="str">
        <f t="shared" si="3"/>
        <v/>
      </c>
    </row>
    <row r="220" spans="1:1" ht="24.95" customHeight="1" x14ac:dyDescent="0.2">
      <c r="A220" s="20" t="str">
        <f t="shared" si="3"/>
        <v/>
      </c>
    </row>
    <row r="221" spans="1:1" ht="24.95" customHeight="1" x14ac:dyDescent="0.2">
      <c r="A221" s="20" t="str">
        <f t="shared" si="3"/>
        <v/>
      </c>
    </row>
    <row r="222" spans="1:1" ht="24.95" customHeight="1" x14ac:dyDescent="0.2">
      <c r="A222" s="20" t="str">
        <f t="shared" si="3"/>
        <v/>
      </c>
    </row>
    <row r="223" spans="1:1" ht="24.95" customHeight="1" x14ac:dyDescent="0.2">
      <c r="A223" s="20" t="str">
        <f t="shared" si="3"/>
        <v/>
      </c>
    </row>
    <row r="224" spans="1:1" ht="24.95" customHeight="1" x14ac:dyDescent="0.2">
      <c r="A224" s="20" t="str">
        <f t="shared" si="3"/>
        <v/>
      </c>
    </row>
    <row r="225" spans="1:1" ht="24.95" customHeight="1" x14ac:dyDescent="0.2">
      <c r="A225" s="20" t="str">
        <f t="shared" si="3"/>
        <v/>
      </c>
    </row>
    <row r="226" spans="1:1" ht="24.95" customHeight="1" x14ac:dyDescent="0.2">
      <c r="A226" s="20" t="str">
        <f t="shared" si="3"/>
        <v/>
      </c>
    </row>
    <row r="227" spans="1:1" ht="24.95" customHeight="1" x14ac:dyDescent="0.2">
      <c r="A227" s="20" t="str">
        <f t="shared" si="3"/>
        <v/>
      </c>
    </row>
    <row r="228" spans="1:1" ht="24.95" customHeight="1" x14ac:dyDescent="0.2">
      <c r="A228" s="20" t="str">
        <f t="shared" si="3"/>
        <v/>
      </c>
    </row>
    <row r="229" spans="1:1" ht="24.95" customHeight="1" x14ac:dyDescent="0.2">
      <c r="A229" s="20" t="str">
        <f t="shared" si="3"/>
        <v/>
      </c>
    </row>
    <row r="230" spans="1:1" ht="24.95" customHeight="1" x14ac:dyDescent="0.2">
      <c r="A230" s="20" t="str">
        <f t="shared" si="3"/>
        <v/>
      </c>
    </row>
    <row r="231" spans="1:1" ht="24.95" customHeight="1" x14ac:dyDescent="0.2">
      <c r="A231" s="20" t="str">
        <f t="shared" si="3"/>
        <v/>
      </c>
    </row>
    <row r="232" spans="1:1" ht="24.95" customHeight="1" x14ac:dyDescent="0.2">
      <c r="A232" s="20" t="str">
        <f t="shared" si="3"/>
        <v/>
      </c>
    </row>
    <row r="233" spans="1:1" ht="24.95" customHeight="1" x14ac:dyDescent="0.2">
      <c r="A233" s="20" t="str">
        <f t="shared" si="3"/>
        <v/>
      </c>
    </row>
    <row r="234" spans="1:1" ht="24.95" customHeight="1" x14ac:dyDescent="0.2">
      <c r="A234" s="20" t="str">
        <f t="shared" si="3"/>
        <v/>
      </c>
    </row>
    <row r="235" spans="1:1" ht="24.95" customHeight="1" x14ac:dyDescent="0.2">
      <c r="A235" s="20" t="str">
        <f t="shared" si="3"/>
        <v/>
      </c>
    </row>
    <row r="236" spans="1:1" ht="24.95" customHeight="1" x14ac:dyDescent="0.2">
      <c r="A236" s="20" t="str">
        <f t="shared" si="3"/>
        <v/>
      </c>
    </row>
    <row r="237" spans="1:1" ht="24.95" customHeight="1" x14ac:dyDescent="0.2">
      <c r="A237" s="20" t="str">
        <f t="shared" si="3"/>
        <v/>
      </c>
    </row>
    <row r="238" spans="1:1" ht="24.95" customHeight="1" x14ac:dyDescent="0.2">
      <c r="A238" s="20" t="str">
        <f t="shared" si="3"/>
        <v/>
      </c>
    </row>
    <row r="239" spans="1:1" ht="24.95" customHeight="1" x14ac:dyDescent="0.2">
      <c r="A239" s="20" t="str">
        <f t="shared" si="3"/>
        <v/>
      </c>
    </row>
    <row r="240" spans="1:1" ht="24.95" customHeight="1" x14ac:dyDescent="0.2">
      <c r="A240" s="20" t="str">
        <f t="shared" si="3"/>
        <v/>
      </c>
    </row>
    <row r="241" spans="1:1" ht="24.95" customHeight="1" x14ac:dyDescent="0.2">
      <c r="A241" s="20" t="str">
        <f t="shared" si="3"/>
        <v/>
      </c>
    </row>
    <row r="242" spans="1:1" ht="24.95" customHeight="1" x14ac:dyDescent="0.2">
      <c r="A242" s="20" t="str">
        <f t="shared" si="3"/>
        <v/>
      </c>
    </row>
    <row r="243" spans="1:1" ht="24.95" customHeight="1" x14ac:dyDescent="0.2">
      <c r="A243" s="20" t="str">
        <f t="shared" si="3"/>
        <v/>
      </c>
    </row>
    <row r="244" spans="1:1" ht="24.95" customHeight="1" x14ac:dyDescent="0.2">
      <c r="A244" s="20" t="str">
        <f t="shared" si="3"/>
        <v/>
      </c>
    </row>
    <row r="245" spans="1:1" ht="24.95" customHeight="1" x14ac:dyDescent="0.2">
      <c r="A245" s="20" t="str">
        <f t="shared" si="3"/>
        <v/>
      </c>
    </row>
    <row r="246" spans="1:1" ht="24.95" customHeight="1" x14ac:dyDescent="0.2">
      <c r="A246" s="20" t="str">
        <f t="shared" si="3"/>
        <v/>
      </c>
    </row>
    <row r="247" spans="1:1" ht="24.95" customHeight="1" x14ac:dyDescent="0.2">
      <c r="A247" s="20" t="str">
        <f t="shared" si="3"/>
        <v/>
      </c>
    </row>
    <row r="248" spans="1:1" ht="24.95" customHeight="1" x14ac:dyDescent="0.2">
      <c r="A248" s="20" t="str">
        <f t="shared" si="3"/>
        <v/>
      </c>
    </row>
    <row r="249" spans="1:1" ht="24.95" customHeight="1" x14ac:dyDescent="0.2">
      <c r="A249" s="20" t="str">
        <f t="shared" si="3"/>
        <v/>
      </c>
    </row>
    <row r="250" spans="1:1" ht="24.95" customHeight="1" x14ac:dyDescent="0.2">
      <c r="A250" s="20" t="str">
        <f t="shared" si="3"/>
        <v/>
      </c>
    </row>
    <row r="251" spans="1:1" ht="24.95" customHeight="1" x14ac:dyDescent="0.2">
      <c r="A251" s="20" t="str">
        <f t="shared" si="3"/>
        <v/>
      </c>
    </row>
    <row r="252" spans="1:1" ht="24.95" customHeight="1" x14ac:dyDescent="0.2">
      <c r="A252" s="20" t="str">
        <f t="shared" si="3"/>
        <v/>
      </c>
    </row>
    <row r="253" spans="1:1" ht="24.95" customHeight="1" x14ac:dyDescent="0.2">
      <c r="A253" s="20" t="str">
        <f t="shared" si="3"/>
        <v/>
      </c>
    </row>
    <row r="254" spans="1:1" ht="24.95" customHeight="1" x14ac:dyDescent="0.2">
      <c r="A254" s="20" t="str">
        <f t="shared" si="3"/>
        <v/>
      </c>
    </row>
    <row r="255" spans="1:1" ht="24.95" customHeight="1" x14ac:dyDescent="0.2">
      <c r="A255" s="20" t="str">
        <f t="shared" si="3"/>
        <v/>
      </c>
    </row>
    <row r="256" spans="1:1" ht="24.95" customHeight="1" x14ac:dyDescent="0.2">
      <c r="A256" s="20" t="str">
        <f t="shared" si="3"/>
        <v/>
      </c>
    </row>
    <row r="257" spans="1:1" ht="24.95" customHeight="1" x14ac:dyDescent="0.2">
      <c r="A257" s="20" t="str">
        <f t="shared" si="3"/>
        <v/>
      </c>
    </row>
    <row r="258" spans="1:1" ht="24.95" customHeight="1" x14ac:dyDescent="0.2">
      <c r="A258" s="20" t="str">
        <f t="shared" si="3"/>
        <v/>
      </c>
    </row>
    <row r="259" spans="1:1" ht="24.95" customHeight="1" x14ac:dyDescent="0.2">
      <c r="A259" s="20" t="str">
        <f t="shared" si="3"/>
        <v/>
      </c>
    </row>
    <row r="260" spans="1:1" ht="24.95" customHeight="1" x14ac:dyDescent="0.2">
      <c r="A260" s="20" t="str">
        <f t="shared" si="3"/>
        <v/>
      </c>
    </row>
    <row r="261" spans="1:1" ht="24.95" customHeight="1" x14ac:dyDescent="0.2">
      <c r="A261" s="20" t="str">
        <f t="shared" si="3"/>
        <v/>
      </c>
    </row>
    <row r="262" spans="1:1" ht="24.95" customHeight="1" x14ac:dyDescent="0.2">
      <c r="A262" s="20" t="str">
        <f t="shared" si="3"/>
        <v/>
      </c>
    </row>
    <row r="263" spans="1:1" ht="24.95" customHeight="1" x14ac:dyDescent="0.2">
      <c r="A263" s="20" t="str">
        <f t="shared" si="3"/>
        <v/>
      </c>
    </row>
    <row r="264" spans="1:1" ht="24.95" customHeight="1" x14ac:dyDescent="0.2">
      <c r="A264" s="20" t="str">
        <f t="shared" si="3"/>
        <v/>
      </c>
    </row>
    <row r="265" spans="1:1" ht="24.95" customHeight="1" x14ac:dyDescent="0.2">
      <c r="A265" s="20" t="str">
        <f t="shared" si="3"/>
        <v/>
      </c>
    </row>
    <row r="266" spans="1:1" ht="24.95" customHeight="1" x14ac:dyDescent="0.2">
      <c r="A266" s="20" t="str">
        <f t="shared" si="3"/>
        <v/>
      </c>
    </row>
    <row r="267" spans="1:1" ht="24.95" customHeight="1" x14ac:dyDescent="0.2">
      <c r="A267" s="20" t="str">
        <f t="shared" si="3"/>
        <v/>
      </c>
    </row>
    <row r="268" spans="1:1" ht="24.95" customHeight="1" x14ac:dyDescent="0.2">
      <c r="A268" s="20" t="str">
        <f t="shared" ref="A268:A331" si="4">IF(AND(B267&lt;&gt;"",B268=""),$A$10&amp;"---&gt;","")</f>
        <v/>
      </c>
    </row>
    <row r="269" spans="1:1" ht="24.95" customHeight="1" x14ac:dyDescent="0.2">
      <c r="A269" s="20" t="str">
        <f t="shared" si="4"/>
        <v/>
      </c>
    </row>
    <row r="270" spans="1:1" ht="24.95" customHeight="1" x14ac:dyDescent="0.2">
      <c r="A270" s="20" t="str">
        <f t="shared" si="4"/>
        <v/>
      </c>
    </row>
    <row r="271" spans="1:1" ht="24.95" customHeight="1" x14ac:dyDescent="0.2">
      <c r="A271" s="20" t="str">
        <f t="shared" si="4"/>
        <v/>
      </c>
    </row>
    <row r="272" spans="1:1" ht="24.95" customHeight="1" x14ac:dyDescent="0.2">
      <c r="A272" s="20" t="str">
        <f t="shared" si="4"/>
        <v/>
      </c>
    </row>
    <row r="273" spans="1:1" ht="24.95" customHeight="1" x14ac:dyDescent="0.2">
      <c r="A273" s="20" t="str">
        <f t="shared" si="4"/>
        <v/>
      </c>
    </row>
    <row r="274" spans="1:1" ht="24.95" customHeight="1" x14ac:dyDescent="0.2">
      <c r="A274" s="20" t="str">
        <f t="shared" si="4"/>
        <v/>
      </c>
    </row>
    <row r="275" spans="1:1" ht="24.95" customHeight="1" x14ac:dyDescent="0.2">
      <c r="A275" s="20" t="str">
        <f t="shared" si="4"/>
        <v/>
      </c>
    </row>
    <row r="276" spans="1:1" ht="24.95" customHeight="1" x14ac:dyDescent="0.2">
      <c r="A276" s="20" t="str">
        <f t="shared" si="4"/>
        <v/>
      </c>
    </row>
    <row r="277" spans="1:1" ht="24.95" customHeight="1" x14ac:dyDescent="0.2">
      <c r="A277" s="20" t="str">
        <f t="shared" si="4"/>
        <v/>
      </c>
    </row>
    <row r="278" spans="1:1" ht="24.95" customHeight="1" x14ac:dyDescent="0.2">
      <c r="A278" s="20" t="str">
        <f t="shared" si="4"/>
        <v/>
      </c>
    </row>
    <row r="279" spans="1:1" ht="24.95" customHeight="1" x14ac:dyDescent="0.2">
      <c r="A279" s="20" t="str">
        <f t="shared" si="4"/>
        <v/>
      </c>
    </row>
    <row r="280" spans="1:1" ht="24.95" customHeight="1" x14ac:dyDescent="0.2">
      <c r="A280" s="20" t="str">
        <f t="shared" si="4"/>
        <v/>
      </c>
    </row>
    <row r="281" spans="1:1" ht="24.95" customHeight="1" x14ac:dyDescent="0.2">
      <c r="A281" s="20" t="str">
        <f t="shared" si="4"/>
        <v/>
      </c>
    </row>
    <row r="282" spans="1:1" ht="24.95" customHeight="1" x14ac:dyDescent="0.2">
      <c r="A282" s="20" t="str">
        <f t="shared" si="4"/>
        <v/>
      </c>
    </row>
    <row r="283" spans="1:1" ht="24.95" customHeight="1" x14ac:dyDescent="0.2">
      <c r="A283" s="20" t="str">
        <f t="shared" si="4"/>
        <v/>
      </c>
    </row>
    <row r="284" spans="1:1" ht="24.95" customHeight="1" x14ac:dyDescent="0.2">
      <c r="A284" s="20" t="str">
        <f t="shared" si="4"/>
        <v/>
      </c>
    </row>
    <row r="285" spans="1:1" ht="24.95" customHeight="1" x14ac:dyDescent="0.2">
      <c r="A285" s="20" t="str">
        <f t="shared" si="4"/>
        <v/>
      </c>
    </row>
    <row r="286" spans="1:1" ht="24.95" customHeight="1" x14ac:dyDescent="0.2">
      <c r="A286" s="20" t="str">
        <f t="shared" si="4"/>
        <v/>
      </c>
    </row>
    <row r="287" spans="1:1" ht="24.95" customHeight="1" x14ac:dyDescent="0.2">
      <c r="A287" s="20" t="str">
        <f t="shared" si="4"/>
        <v/>
      </c>
    </row>
    <row r="288" spans="1:1" ht="24.95" customHeight="1" x14ac:dyDescent="0.2">
      <c r="A288" s="20" t="str">
        <f t="shared" si="4"/>
        <v/>
      </c>
    </row>
    <row r="289" spans="1:1" ht="24.95" customHeight="1" x14ac:dyDescent="0.2">
      <c r="A289" s="20" t="str">
        <f t="shared" si="4"/>
        <v/>
      </c>
    </row>
    <row r="290" spans="1:1" ht="24.95" customHeight="1" x14ac:dyDescent="0.2">
      <c r="A290" s="20" t="str">
        <f t="shared" si="4"/>
        <v/>
      </c>
    </row>
    <row r="291" spans="1:1" ht="24.95" customHeight="1" x14ac:dyDescent="0.2">
      <c r="A291" s="20" t="str">
        <f t="shared" si="4"/>
        <v/>
      </c>
    </row>
    <row r="292" spans="1:1" ht="24.95" customHeight="1" x14ac:dyDescent="0.2">
      <c r="A292" s="20" t="str">
        <f t="shared" si="4"/>
        <v/>
      </c>
    </row>
    <row r="293" spans="1:1" ht="24.95" customHeight="1" x14ac:dyDescent="0.2">
      <c r="A293" s="20" t="str">
        <f t="shared" si="4"/>
        <v/>
      </c>
    </row>
    <row r="294" spans="1:1" ht="24.95" customHeight="1" x14ac:dyDescent="0.2">
      <c r="A294" s="20" t="str">
        <f t="shared" si="4"/>
        <v/>
      </c>
    </row>
    <row r="295" spans="1:1" ht="24.95" customHeight="1" x14ac:dyDescent="0.2">
      <c r="A295" s="20" t="str">
        <f t="shared" si="4"/>
        <v/>
      </c>
    </row>
    <row r="296" spans="1:1" ht="24.95" customHeight="1" x14ac:dyDescent="0.2">
      <c r="A296" s="20" t="str">
        <f t="shared" si="4"/>
        <v/>
      </c>
    </row>
    <row r="297" spans="1:1" ht="24.95" customHeight="1" x14ac:dyDescent="0.2">
      <c r="A297" s="20" t="str">
        <f t="shared" si="4"/>
        <v/>
      </c>
    </row>
    <row r="298" spans="1:1" ht="24.95" customHeight="1" x14ac:dyDescent="0.2">
      <c r="A298" s="20" t="str">
        <f t="shared" si="4"/>
        <v/>
      </c>
    </row>
    <row r="299" spans="1:1" ht="24.95" customHeight="1" x14ac:dyDescent="0.2">
      <c r="A299" s="20" t="str">
        <f t="shared" si="4"/>
        <v/>
      </c>
    </row>
    <row r="300" spans="1:1" ht="24.95" customHeight="1" x14ac:dyDescent="0.2">
      <c r="A300" s="20" t="str">
        <f t="shared" si="4"/>
        <v/>
      </c>
    </row>
    <row r="301" spans="1:1" ht="24.95" customHeight="1" x14ac:dyDescent="0.2">
      <c r="A301" s="20" t="str">
        <f t="shared" si="4"/>
        <v/>
      </c>
    </row>
    <row r="302" spans="1:1" ht="24.95" customHeight="1" x14ac:dyDescent="0.2">
      <c r="A302" s="20" t="str">
        <f t="shared" si="4"/>
        <v/>
      </c>
    </row>
    <row r="303" spans="1:1" ht="24.95" customHeight="1" x14ac:dyDescent="0.2">
      <c r="A303" s="20" t="str">
        <f t="shared" si="4"/>
        <v/>
      </c>
    </row>
    <row r="304" spans="1:1" ht="24.95" customHeight="1" x14ac:dyDescent="0.2">
      <c r="A304" s="20" t="str">
        <f t="shared" si="4"/>
        <v/>
      </c>
    </row>
    <row r="305" spans="1:1" ht="24.95" customHeight="1" x14ac:dyDescent="0.2">
      <c r="A305" s="20" t="str">
        <f t="shared" si="4"/>
        <v/>
      </c>
    </row>
    <row r="306" spans="1:1" ht="24.95" customHeight="1" x14ac:dyDescent="0.2">
      <c r="A306" s="20" t="str">
        <f t="shared" si="4"/>
        <v/>
      </c>
    </row>
    <row r="307" spans="1:1" ht="24.95" customHeight="1" x14ac:dyDescent="0.2">
      <c r="A307" s="20" t="str">
        <f t="shared" si="4"/>
        <v/>
      </c>
    </row>
    <row r="308" spans="1:1" ht="24.95" customHeight="1" x14ac:dyDescent="0.2">
      <c r="A308" s="20" t="str">
        <f t="shared" si="4"/>
        <v/>
      </c>
    </row>
    <row r="309" spans="1:1" ht="24.95" customHeight="1" x14ac:dyDescent="0.2">
      <c r="A309" s="20" t="str">
        <f t="shared" si="4"/>
        <v/>
      </c>
    </row>
    <row r="310" spans="1:1" ht="24.95" customHeight="1" x14ac:dyDescent="0.2">
      <c r="A310" s="20" t="str">
        <f t="shared" si="4"/>
        <v/>
      </c>
    </row>
    <row r="311" spans="1:1" ht="24.95" customHeight="1" x14ac:dyDescent="0.2">
      <c r="A311" s="20" t="str">
        <f t="shared" si="4"/>
        <v/>
      </c>
    </row>
    <row r="312" spans="1:1" ht="24.95" customHeight="1" x14ac:dyDescent="0.2">
      <c r="A312" s="20" t="str">
        <f t="shared" si="4"/>
        <v/>
      </c>
    </row>
    <row r="313" spans="1:1" ht="24.95" customHeight="1" x14ac:dyDescent="0.2">
      <c r="A313" s="20" t="str">
        <f t="shared" si="4"/>
        <v/>
      </c>
    </row>
    <row r="314" spans="1:1" ht="24.95" customHeight="1" x14ac:dyDescent="0.2">
      <c r="A314" s="20" t="str">
        <f t="shared" si="4"/>
        <v/>
      </c>
    </row>
    <row r="315" spans="1:1" ht="24.95" customHeight="1" x14ac:dyDescent="0.2">
      <c r="A315" s="20" t="str">
        <f t="shared" si="4"/>
        <v/>
      </c>
    </row>
    <row r="316" spans="1:1" ht="24.95" customHeight="1" x14ac:dyDescent="0.2">
      <c r="A316" s="20" t="str">
        <f t="shared" si="4"/>
        <v/>
      </c>
    </row>
    <row r="317" spans="1:1" ht="24.95" customHeight="1" x14ac:dyDescent="0.2">
      <c r="A317" s="20" t="str">
        <f t="shared" si="4"/>
        <v/>
      </c>
    </row>
    <row r="318" spans="1:1" ht="24.95" customHeight="1" x14ac:dyDescent="0.2">
      <c r="A318" s="20" t="str">
        <f t="shared" si="4"/>
        <v/>
      </c>
    </row>
    <row r="319" spans="1:1" ht="24.95" customHeight="1" x14ac:dyDescent="0.2">
      <c r="A319" s="20" t="str">
        <f t="shared" si="4"/>
        <v/>
      </c>
    </row>
    <row r="320" spans="1:1" ht="24.95" customHeight="1" x14ac:dyDescent="0.2">
      <c r="A320" s="20" t="str">
        <f t="shared" si="4"/>
        <v/>
      </c>
    </row>
    <row r="321" spans="1:1" ht="24.95" customHeight="1" x14ac:dyDescent="0.2">
      <c r="A321" s="20" t="str">
        <f t="shared" si="4"/>
        <v/>
      </c>
    </row>
    <row r="322" spans="1:1" ht="24.95" customHeight="1" x14ac:dyDescent="0.2">
      <c r="A322" s="20" t="str">
        <f t="shared" si="4"/>
        <v/>
      </c>
    </row>
    <row r="323" spans="1:1" ht="24.95" customHeight="1" x14ac:dyDescent="0.2">
      <c r="A323" s="20" t="str">
        <f t="shared" si="4"/>
        <v/>
      </c>
    </row>
    <row r="324" spans="1:1" ht="24.95" customHeight="1" x14ac:dyDescent="0.2">
      <c r="A324" s="20" t="str">
        <f t="shared" si="4"/>
        <v/>
      </c>
    </row>
    <row r="325" spans="1:1" ht="24.95" customHeight="1" x14ac:dyDescent="0.2">
      <c r="A325" s="20" t="str">
        <f t="shared" si="4"/>
        <v/>
      </c>
    </row>
    <row r="326" spans="1:1" ht="24.95" customHeight="1" x14ac:dyDescent="0.2">
      <c r="A326" s="20" t="str">
        <f t="shared" si="4"/>
        <v/>
      </c>
    </row>
    <row r="327" spans="1:1" ht="24.95" customHeight="1" x14ac:dyDescent="0.2">
      <c r="A327" s="20" t="str">
        <f t="shared" si="4"/>
        <v/>
      </c>
    </row>
    <row r="328" spans="1:1" ht="24.95" customHeight="1" x14ac:dyDescent="0.2">
      <c r="A328" s="20" t="str">
        <f t="shared" si="4"/>
        <v/>
      </c>
    </row>
    <row r="329" spans="1:1" ht="24.95" customHeight="1" x14ac:dyDescent="0.2">
      <c r="A329" s="20" t="str">
        <f t="shared" si="4"/>
        <v/>
      </c>
    </row>
    <row r="330" spans="1:1" ht="24.95" customHeight="1" x14ac:dyDescent="0.2">
      <c r="A330" s="20" t="str">
        <f t="shared" si="4"/>
        <v/>
      </c>
    </row>
    <row r="331" spans="1:1" ht="24.95" customHeight="1" x14ac:dyDescent="0.2">
      <c r="A331" s="20" t="str">
        <f t="shared" si="4"/>
        <v/>
      </c>
    </row>
    <row r="332" spans="1:1" ht="24.95" customHeight="1" x14ac:dyDescent="0.2">
      <c r="A332" s="20" t="str">
        <f t="shared" ref="A332:A395" si="5">IF(AND(B331&lt;&gt;"",B332=""),$A$10&amp;"---&gt;","")</f>
        <v/>
      </c>
    </row>
    <row r="333" spans="1:1" ht="24.95" customHeight="1" x14ac:dyDescent="0.2">
      <c r="A333" s="20" t="str">
        <f t="shared" si="5"/>
        <v/>
      </c>
    </row>
    <row r="334" spans="1:1" ht="24.95" customHeight="1" x14ac:dyDescent="0.2">
      <c r="A334" s="20" t="str">
        <f t="shared" si="5"/>
        <v/>
      </c>
    </row>
    <row r="335" spans="1:1" ht="24.95" customHeight="1" x14ac:dyDescent="0.2">
      <c r="A335" s="20" t="str">
        <f t="shared" si="5"/>
        <v/>
      </c>
    </row>
    <row r="336" spans="1:1" ht="24.95" customHeight="1" x14ac:dyDescent="0.2">
      <c r="A336" s="20" t="str">
        <f t="shared" si="5"/>
        <v/>
      </c>
    </row>
    <row r="337" spans="1:1" ht="24.95" customHeight="1" x14ac:dyDescent="0.2">
      <c r="A337" s="20" t="str">
        <f t="shared" si="5"/>
        <v/>
      </c>
    </row>
    <row r="338" spans="1:1" ht="24.95" customHeight="1" x14ac:dyDescent="0.2">
      <c r="A338" s="20" t="str">
        <f t="shared" si="5"/>
        <v/>
      </c>
    </row>
    <row r="339" spans="1:1" ht="24.95" customHeight="1" x14ac:dyDescent="0.2">
      <c r="A339" s="20" t="str">
        <f t="shared" si="5"/>
        <v/>
      </c>
    </row>
    <row r="340" spans="1:1" ht="24.95" customHeight="1" x14ac:dyDescent="0.2">
      <c r="A340" s="20" t="str">
        <f t="shared" si="5"/>
        <v/>
      </c>
    </row>
    <row r="341" spans="1:1" ht="24.95" customHeight="1" x14ac:dyDescent="0.2">
      <c r="A341" s="20" t="str">
        <f t="shared" si="5"/>
        <v/>
      </c>
    </row>
    <row r="342" spans="1:1" ht="24.95" customHeight="1" x14ac:dyDescent="0.2">
      <c r="A342" s="20" t="str">
        <f t="shared" si="5"/>
        <v/>
      </c>
    </row>
    <row r="343" spans="1:1" ht="24.95" customHeight="1" x14ac:dyDescent="0.2">
      <c r="A343" s="20" t="str">
        <f t="shared" si="5"/>
        <v/>
      </c>
    </row>
    <row r="344" spans="1:1" ht="24.95" customHeight="1" x14ac:dyDescent="0.2">
      <c r="A344" s="20" t="str">
        <f t="shared" si="5"/>
        <v/>
      </c>
    </row>
    <row r="345" spans="1:1" ht="24.95" customHeight="1" x14ac:dyDescent="0.2">
      <c r="A345" s="20" t="str">
        <f t="shared" si="5"/>
        <v/>
      </c>
    </row>
    <row r="346" spans="1:1" ht="24.95" customHeight="1" x14ac:dyDescent="0.2">
      <c r="A346" s="20" t="str">
        <f t="shared" si="5"/>
        <v/>
      </c>
    </row>
    <row r="347" spans="1:1" ht="24.95" customHeight="1" x14ac:dyDescent="0.2">
      <c r="A347" s="20" t="str">
        <f t="shared" si="5"/>
        <v/>
      </c>
    </row>
    <row r="348" spans="1:1" ht="24.95" customHeight="1" x14ac:dyDescent="0.2">
      <c r="A348" s="20" t="str">
        <f t="shared" si="5"/>
        <v/>
      </c>
    </row>
    <row r="349" spans="1:1" ht="24.95" customHeight="1" x14ac:dyDescent="0.2">
      <c r="A349" s="20" t="str">
        <f t="shared" si="5"/>
        <v/>
      </c>
    </row>
    <row r="350" spans="1:1" ht="24.95" customHeight="1" x14ac:dyDescent="0.2">
      <c r="A350" s="20" t="str">
        <f t="shared" si="5"/>
        <v/>
      </c>
    </row>
    <row r="351" spans="1:1" ht="24.95" customHeight="1" x14ac:dyDescent="0.2">
      <c r="A351" s="20" t="str">
        <f t="shared" si="5"/>
        <v/>
      </c>
    </row>
    <row r="352" spans="1:1" ht="24.95" customHeight="1" x14ac:dyDescent="0.2">
      <c r="A352" s="20" t="str">
        <f t="shared" si="5"/>
        <v/>
      </c>
    </row>
    <row r="353" spans="1:1" ht="24.95" customHeight="1" x14ac:dyDescent="0.2">
      <c r="A353" s="20" t="str">
        <f t="shared" si="5"/>
        <v/>
      </c>
    </row>
    <row r="354" spans="1:1" ht="24.95" customHeight="1" x14ac:dyDescent="0.2">
      <c r="A354" s="20" t="str">
        <f t="shared" si="5"/>
        <v/>
      </c>
    </row>
    <row r="355" spans="1:1" ht="24.95" customHeight="1" x14ac:dyDescent="0.2">
      <c r="A355" s="20" t="str">
        <f t="shared" si="5"/>
        <v/>
      </c>
    </row>
    <row r="356" spans="1:1" ht="24.95" customHeight="1" x14ac:dyDescent="0.2">
      <c r="A356" s="20" t="str">
        <f t="shared" si="5"/>
        <v/>
      </c>
    </row>
    <row r="357" spans="1:1" ht="24.95" customHeight="1" x14ac:dyDescent="0.2">
      <c r="A357" s="20" t="str">
        <f t="shared" si="5"/>
        <v/>
      </c>
    </row>
    <row r="358" spans="1:1" ht="24.95" customHeight="1" x14ac:dyDescent="0.2">
      <c r="A358" s="20" t="str">
        <f t="shared" si="5"/>
        <v/>
      </c>
    </row>
    <row r="359" spans="1:1" ht="24.95" customHeight="1" x14ac:dyDescent="0.2">
      <c r="A359" s="20" t="str">
        <f t="shared" si="5"/>
        <v/>
      </c>
    </row>
    <row r="360" spans="1:1" ht="24.95" customHeight="1" x14ac:dyDescent="0.2">
      <c r="A360" s="20" t="str">
        <f t="shared" si="5"/>
        <v/>
      </c>
    </row>
    <row r="361" spans="1:1" ht="24.95" customHeight="1" x14ac:dyDescent="0.2">
      <c r="A361" s="20" t="str">
        <f t="shared" si="5"/>
        <v/>
      </c>
    </row>
    <row r="362" spans="1:1" ht="24.95" customHeight="1" x14ac:dyDescent="0.2">
      <c r="A362" s="20" t="str">
        <f t="shared" si="5"/>
        <v/>
      </c>
    </row>
    <row r="363" spans="1:1" ht="24.95" customHeight="1" x14ac:dyDescent="0.2">
      <c r="A363" s="20" t="str">
        <f t="shared" si="5"/>
        <v/>
      </c>
    </row>
    <row r="364" spans="1:1" ht="24.95" customHeight="1" x14ac:dyDescent="0.2">
      <c r="A364" s="20" t="str">
        <f t="shared" si="5"/>
        <v/>
      </c>
    </row>
    <row r="365" spans="1:1" ht="24.95" customHeight="1" x14ac:dyDescent="0.2">
      <c r="A365" s="20" t="str">
        <f t="shared" si="5"/>
        <v/>
      </c>
    </row>
    <row r="366" spans="1:1" ht="24.95" customHeight="1" x14ac:dyDescent="0.2">
      <c r="A366" s="20" t="str">
        <f t="shared" si="5"/>
        <v/>
      </c>
    </row>
    <row r="367" spans="1:1" ht="24.95" customHeight="1" x14ac:dyDescent="0.2">
      <c r="A367" s="20" t="str">
        <f t="shared" si="5"/>
        <v/>
      </c>
    </row>
    <row r="368" spans="1:1" ht="24.95" customHeight="1" x14ac:dyDescent="0.2">
      <c r="A368" s="20" t="str">
        <f t="shared" si="5"/>
        <v/>
      </c>
    </row>
    <row r="369" spans="1:1" ht="24.95" customHeight="1" x14ac:dyDescent="0.2">
      <c r="A369" s="20" t="str">
        <f t="shared" si="5"/>
        <v/>
      </c>
    </row>
    <row r="370" spans="1:1" ht="24.95" customHeight="1" x14ac:dyDescent="0.2">
      <c r="A370" s="20" t="str">
        <f t="shared" si="5"/>
        <v/>
      </c>
    </row>
    <row r="371" spans="1:1" ht="24.95" customHeight="1" x14ac:dyDescent="0.2">
      <c r="A371" s="20" t="str">
        <f t="shared" si="5"/>
        <v/>
      </c>
    </row>
    <row r="372" spans="1:1" ht="24.95" customHeight="1" x14ac:dyDescent="0.2">
      <c r="A372" s="20" t="str">
        <f t="shared" si="5"/>
        <v/>
      </c>
    </row>
    <row r="373" spans="1:1" ht="24.95" customHeight="1" x14ac:dyDescent="0.2">
      <c r="A373" s="20" t="str">
        <f t="shared" si="5"/>
        <v/>
      </c>
    </row>
    <row r="374" spans="1:1" ht="24.95" customHeight="1" x14ac:dyDescent="0.2">
      <c r="A374" s="20" t="str">
        <f t="shared" si="5"/>
        <v/>
      </c>
    </row>
    <row r="375" spans="1:1" ht="24.95" customHeight="1" x14ac:dyDescent="0.2">
      <c r="A375" s="20" t="str">
        <f t="shared" si="5"/>
        <v/>
      </c>
    </row>
    <row r="376" spans="1:1" ht="24.95" customHeight="1" x14ac:dyDescent="0.2">
      <c r="A376" s="20" t="str">
        <f t="shared" si="5"/>
        <v/>
      </c>
    </row>
    <row r="377" spans="1:1" ht="24.95" customHeight="1" x14ac:dyDescent="0.2">
      <c r="A377" s="20" t="str">
        <f t="shared" si="5"/>
        <v/>
      </c>
    </row>
    <row r="378" spans="1:1" ht="24.95" customHeight="1" x14ac:dyDescent="0.2">
      <c r="A378" s="20" t="str">
        <f t="shared" si="5"/>
        <v/>
      </c>
    </row>
    <row r="379" spans="1:1" ht="24.95" customHeight="1" x14ac:dyDescent="0.2">
      <c r="A379" s="20" t="str">
        <f t="shared" si="5"/>
        <v/>
      </c>
    </row>
    <row r="380" spans="1:1" ht="24.95" customHeight="1" x14ac:dyDescent="0.2">
      <c r="A380" s="20" t="str">
        <f t="shared" si="5"/>
        <v/>
      </c>
    </row>
    <row r="381" spans="1:1" ht="24.95" customHeight="1" x14ac:dyDescent="0.2">
      <c r="A381" s="20" t="str">
        <f t="shared" si="5"/>
        <v/>
      </c>
    </row>
    <row r="382" spans="1:1" ht="24.95" customHeight="1" x14ac:dyDescent="0.2">
      <c r="A382" s="20" t="str">
        <f t="shared" si="5"/>
        <v/>
      </c>
    </row>
    <row r="383" spans="1:1" ht="24.95" customHeight="1" x14ac:dyDescent="0.2">
      <c r="A383" s="20" t="str">
        <f t="shared" si="5"/>
        <v/>
      </c>
    </row>
    <row r="384" spans="1:1" ht="24.95" customHeight="1" x14ac:dyDescent="0.2">
      <c r="A384" s="20" t="str">
        <f t="shared" si="5"/>
        <v/>
      </c>
    </row>
    <row r="385" spans="1:1" ht="24.95" customHeight="1" x14ac:dyDescent="0.2">
      <c r="A385" s="20" t="str">
        <f t="shared" si="5"/>
        <v/>
      </c>
    </row>
    <row r="386" spans="1:1" ht="24.95" customHeight="1" x14ac:dyDescent="0.2">
      <c r="A386" s="20" t="str">
        <f t="shared" si="5"/>
        <v/>
      </c>
    </row>
    <row r="387" spans="1:1" ht="24.95" customHeight="1" x14ac:dyDescent="0.2">
      <c r="A387" s="20" t="str">
        <f t="shared" si="5"/>
        <v/>
      </c>
    </row>
    <row r="388" spans="1:1" ht="24.95" customHeight="1" x14ac:dyDescent="0.2">
      <c r="A388" s="20" t="str">
        <f t="shared" si="5"/>
        <v/>
      </c>
    </row>
    <row r="389" spans="1:1" ht="24.95" customHeight="1" x14ac:dyDescent="0.2">
      <c r="A389" s="20" t="str">
        <f t="shared" si="5"/>
        <v/>
      </c>
    </row>
    <row r="390" spans="1:1" ht="24.95" customHeight="1" x14ac:dyDescent="0.2">
      <c r="A390" s="20" t="str">
        <f t="shared" si="5"/>
        <v/>
      </c>
    </row>
    <row r="391" spans="1:1" ht="24.95" customHeight="1" x14ac:dyDescent="0.2">
      <c r="A391" s="20" t="str">
        <f t="shared" si="5"/>
        <v/>
      </c>
    </row>
    <row r="392" spans="1:1" ht="24.95" customHeight="1" x14ac:dyDescent="0.2">
      <c r="A392" s="20" t="str">
        <f t="shared" si="5"/>
        <v/>
      </c>
    </row>
    <row r="393" spans="1:1" ht="24.95" customHeight="1" x14ac:dyDescent="0.2">
      <c r="A393" s="20" t="str">
        <f t="shared" si="5"/>
        <v/>
      </c>
    </row>
    <row r="394" spans="1:1" ht="24.95" customHeight="1" x14ac:dyDescent="0.2">
      <c r="A394" s="20" t="str">
        <f t="shared" si="5"/>
        <v/>
      </c>
    </row>
    <row r="395" spans="1:1" ht="24.95" customHeight="1" x14ac:dyDescent="0.2">
      <c r="A395" s="20" t="str">
        <f t="shared" si="5"/>
        <v/>
      </c>
    </row>
    <row r="396" spans="1:1" ht="24.95" customHeight="1" x14ac:dyDescent="0.2">
      <c r="A396" s="20" t="str">
        <f t="shared" ref="A396:A459" si="6">IF(AND(B395&lt;&gt;"",B396=""),$A$10&amp;"---&gt;","")</f>
        <v/>
      </c>
    </row>
    <row r="397" spans="1:1" ht="24.95" customHeight="1" x14ac:dyDescent="0.2">
      <c r="A397" s="20" t="str">
        <f t="shared" si="6"/>
        <v/>
      </c>
    </row>
    <row r="398" spans="1:1" ht="24.95" customHeight="1" x14ac:dyDescent="0.2">
      <c r="A398" s="20" t="str">
        <f t="shared" si="6"/>
        <v/>
      </c>
    </row>
    <row r="399" spans="1:1" ht="24.95" customHeight="1" x14ac:dyDescent="0.2">
      <c r="A399" s="20" t="str">
        <f t="shared" si="6"/>
        <v/>
      </c>
    </row>
    <row r="400" spans="1:1" ht="24.95" customHeight="1" x14ac:dyDescent="0.2">
      <c r="A400" s="20" t="str">
        <f t="shared" si="6"/>
        <v/>
      </c>
    </row>
    <row r="401" spans="1:1" ht="24.95" customHeight="1" x14ac:dyDescent="0.2">
      <c r="A401" s="20" t="str">
        <f t="shared" si="6"/>
        <v/>
      </c>
    </row>
    <row r="402" spans="1:1" ht="24.95" customHeight="1" x14ac:dyDescent="0.2">
      <c r="A402" s="20" t="str">
        <f t="shared" si="6"/>
        <v/>
      </c>
    </row>
    <row r="403" spans="1:1" ht="24.95" customHeight="1" x14ac:dyDescent="0.2">
      <c r="A403" s="20" t="str">
        <f t="shared" si="6"/>
        <v/>
      </c>
    </row>
    <row r="404" spans="1:1" ht="24.95" customHeight="1" x14ac:dyDescent="0.2">
      <c r="A404" s="20" t="str">
        <f t="shared" si="6"/>
        <v/>
      </c>
    </row>
    <row r="405" spans="1:1" ht="24.95" customHeight="1" x14ac:dyDescent="0.2">
      <c r="A405" s="20" t="str">
        <f t="shared" si="6"/>
        <v/>
      </c>
    </row>
    <row r="406" spans="1:1" ht="24.95" customHeight="1" x14ac:dyDescent="0.2">
      <c r="A406" s="20" t="str">
        <f t="shared" si="6"/>
        <v/>
      </c>
    </row>
    <row r="407" spans="1:1" ht="24.95" customHeight="1" x14ac:dyDescent="0.2">
      <c r="A407" s="20" t="str">
        <f t="shared" si="6"/>
        <v/>
      </c>
    </row>
    <row r="408" spans="1:1" ht="24.95" customHeight="1" x14ac:dyDescent="0.2">
      <c r="A408" s="20" t="str">
        <f t="shared" si="6"/>
        <v/>
      </c>
    </row>
    <row r="409" spans="1:1" ht="24.95" customHeight="1" x14ac:dyDescent="0.2">
      <c r="A409" s="20" t="str">
        <f t="shared" si="6"/>
        <v/>
      </c>
    </row>
    <row r="410" spans="1:1" ht="24.95" customHeight="1" x14ac:dyDescent="0.2">
      <c r="A410" s="20" t="str">
        <f t="shared" si="6"/>
        <v/>
      </c>
    </row>
    <row r="411" spans="1:1" ht="24.95" customHeight="1" x14ac:dyDescent="0.2">
      <c r="A411" s="20" t="str">
        <f t="shared" si="6"/>
        <v/>
      </c>
    </row>
    <row r="412" spans="1:1" ht="24.95" customHeight="1" x14ac:dyDescent="0.2">
      <c r="A412" s="20" t="str">
        <f t="shared" si="6"/>
        <v/>
      </c>
    </row>
    <row r="413" spans="1:1" ht="24.95" customHeight="1" x14ac:dyDescent="0.2">
      <c r="A413" s="20" t="str">
        <f t="shared" si="6"/>
        <v/>
      </c>
    </row>
    <row r="414" spans="1:1" ht="24.95" customHeight="1" x14ac:dyDescent="0.2">
      <c r="A414" s="20" t="str">
        <f t="shared" si="6"/>
        <v/>
      </c>
    </row>
    <row r="415" spans="1:1" ht="24.95" customHeight="1" x14ac:dyDescent="0.2">
      <c r="A415" s="20" t="str">
        <f t="shared" si="6"/>
        <v/>
      </c>
    </row>
    <row r="416" spans="1:1" ht="24.95" customHeight="1" x14ac:dyDescent="0.2">
      <c r="A416" s="20" t="str">
        <f t="shared" si="6"/>
        <v/>
      </c>
    </row>
    <row r="417" spans="1:1" ht="24.95" customHeight="1" x14ac:dyDescent="0.2">
      <c r="A417" s="20" t="str">
        <f t="shared" si="6"/>
        <v/>
      </c>
    </row>
    <row r="418" spans="1:1" ht="24.95" customHeight="1" x14ac:dyDescent="0.2">
      <c r="A418" s="20" t="str">
        <f t="shared" si="6"/>
        <v/>
      </c>
    </row>
    <row r="419" spans="1:1" ht="24.95" customHeight="1" x14ac:dyDescent="0.2">
      <c r="A419" s="20" t="str">
        <f t="shared" si="6"/>
        <v/>
      </c>
    </row>
    <row r="420" spans="1:1" ht="24.95" customHeight="1" x14ac:dyDescent="0.2">
      <c r="A420" s="20" t="str">
        <f t="shared" si="6"/>
        <v/>
      </c>
    </row>
    <row r="421" spans="1:1" ht="24.95" customHeight="1" x14ac:dyDescent="0.2">
      <c r="A421" s="20" t="str">
        <f t="shared" si="6"/>
        <v/>
      </c>
    </row>
    <row r="422" spans="1:1" ht="24.95" customHeight="1" x14ac:dyDescent="0.2">
      <c r="A422" s="20" t="str">
        <f t="shared" si="6"/>
        <v/>
      </c>
    </row>
    <row r="423" spans="1:1" ht="24.95" customHeight="1" x14ac:dyDescent="0.2">
      <c r="A423" s="20" t="str">
        <f t="shared" si="6"/>
        <v/>
      </c>
    </row>
    <row r="424" spans="1:1" ht="24.95" customHeight="1" x14ac:dyDescent="0.2">
      <c r="A424" s="20" t="str">
        <f t="shared" si="6"/>
        <v/>
      </c>
    </row>
    <row r="425" spans="1:1" ht="24.95" customHeight="1" x14ac:dyDescent="0.2">
      <c r="A425" s="20" t="str">
        <f t="shared" si="6"/>
        <v/>
      </c>
    </row>
    <row r="426" spans="1:1" ht="24.95" customHeight="1" x14ac:dyDescent="0.2">
      <c r="A426" s="20" t="str">
        <f t="shared" si="6"/>
        <v/>
      </c>
    </row>
    <row r="427" spans="1:1" ht="24.95" customHeight="1" x14ac:dyDescent="0.2">
      <c r="A427" s="20" t="str">
        <f t="shared" si="6"/>
        <v/>
      </c>
    </row>
    <row r="428" spans="1:1" ht="24.95" customHeight="1" x14ac:dyDescent="0.2">
      <c r="A428" s="20" t="str">
        <f t="shared" si="6"/>
        <v/>
      </c>
    </row>
    <row r="429" spans="1:1" ht="24.95" customHeight="1" x14ac:dyDescent="0.2">
      <c r="A429" s="20" t="str">
        <f t="shared" si="6"/>
        <v/>
      </c>
    </row>
    <row r="430" spans="1:1" ht="24.95" customHeight="1" x14ac:dyDescent="0.2">
      <c r="A430" s="20" t="str">
        <f t="shared" si="6"/>
        <v/>
      </c>
    </row>
    <row r="431" spans="1:1" ht="24.95" customHeight="1" x14ac:dyDescent="0.2">
      <c r="A431" s="20" t="str">
        <f t="shared" si="6"/>
        <v/>
      </c>
    </row>
    <row r="432" spans="1:1" ht="24.95" customHeight="1" x14ac:dyDescent="0.2">
      <c r="A432" s="20" t="str">
        <f t="shared" si="6"/>
        <v/>
      </c>
    </row>
    <row r="433" spans="1:1" ht="24.95" customHeight="1" x14ac:dyDescent="0.2">
      <c r="A433" s="20" t="str">
        <f t="shared" si="6"/>
        <v/>
      </c>
    </row>
    <row r="434" spans="1:1" ht="24.95" customHeight="1" x14ac:dyDescent="0.2">
      <c r="A434" s="20" t="str">
        <f t="shared" si="6"/>
        <v/>
      </c>
    </row>
    <row r="435" spans="1:1" ht="24.95" customHeight="1" x14ac:dyDescent="0.2">
      <c r="A435" s="20" t="str">
        <f t="shared" si="6"/>
        <v/>
      </c>
    </row>
    <row r="436" spans="1:1" ht="24.95" customHeight="1" x14ac:dyDescent="0.2">
      <c r="A436" s="20" t="str">
        <f t="shared" si="6"/>
        <v/>
      </c>
    </row>
    <row r="437" spans="1:1" ht="24.95" customHeight="1" x14ac:dyDescent="0.2">
      <c r="A437" s="20" t="str">
        <f t="shared" si="6"/>
        <v/>
      </c>
    </row>
    <row r="438" spans="1:1" ht="24.95" customHeight="1" x14ac:dyDescent="0.2">
      <c r="A438" s="20" t="str">
        <f t="shared" si="6"/>
        <v/>
      </c>
    </row>
    <row r="439" spans="1:1" ht="24.95" customHeight="1" x14ac:dyDescent="0.2">
      <c r="A439" s="20" t="str">
        <f t="shared" si="6"/>
        <v/>
      </c>
    </row>
    <row r="440" spans="1:1" ht="24.95" customHeight="1" x14ac:dyDescent="0.2">
      <c r="A440" s="20" t="str">
        <f t="shared" si="6"/>
        <v/>
      </c>
    </row>
    <row r="441" spans="1:1" ht="24.95" customHeight="1" x14ac:dyDescent="0.2">
      <c r="A441" s="20" t="str">
        <f t="shared" si="6"/>
        <v/>
      </c>
    </row>
    <row r="442" spans="1:1" ht="24.95" customHeight="1" x14ac:dyDescent="0.2">
      <c r="A442" s="20" t="str">
        <f t="shared" si="6"/>
        <v/>
      </c>
    </row>
    <row r="443" spans="1:1" ht="24.95" customHeight="1" x14ac:dyDescent="0.2">
      <c r="A443" s="20" t="str">
        <f t="shared" si="6"/>
        <v/>
      </c>
    </row>
    <row r="444" spans="1:1" ht="24.95" customHeight="1" x14ac:dyDescent="0.2">
      <c r="A444" s="20" t="str">
        <f t="shared" si="6"/>
        <v/>
      </c>
    </row>
    <row r="445" spans="1:1" ht="24.95" customHeight="1" x14ac:dyDescent="0.2">
      <c r="A445" s="20" t="str">
        <f t="shared" si="6"/>
        <v/>
      </c>
    </row>
    <row r="446" spans="1:1" ht="24.95" customHeight="1" x14ac:dyDescent="0.2">
      <c r="A446" s="20" t="str">
        <f t="shared" si="6"/>
        <v/>
      </c>
    </row>
    <row r="447" spans="1:1" ht="24.95" customHeight="1" x14ac:dyDescent="0.2">
      <c r="A447" s="20" t="str">
        <f t="shared" si="6"/>
        <v/>
      </c>
    </row>
    <row r="448" spans="1:1" ht="24.95" customHeight="1" x14ac:dyDescent="0.2">
      <c r="A448" s="20" t="str">
        <f t="shared" si="6"/>
        <v/>
      </c>
    </row>
    <row r="449" spans="1:1" ht="24.95" customHeight="1" x14ac:dyDescent="0.2">
      <c r="A449" s="20" t="str">
        <f t="shared" si="6"/>
        <v/>
      </c>
    </row>
    <row r="450" spans="1:1" ht="24.95" customHeight="1" x14ac:dyDescent="0.2">
      <c r="A450" s="20" t="str">
        <f t="shared" si="6"/>
        <v/>
      </c>
    </row>
    <row r="451" spans="1:1" ht="24.95" customHeight="1" x14ac:dyDescent="0.2">
      <c r="A451" s="20" t="str">
        <f t="shared" si="6"/>
        <v/>
      </c>
    </row>
    <row r="452" spans="1:1" ht="24.95" customHeight="1" x14ac:dyDescent="0.2">
      <c r="A452" s="20" t="str">
        <f t="shared" si="6"/>
        <v/>
      </c>
    </row>
    <row r="453" spans="1:1" ht="24.95" customHeight="1" x14ac:dyDescent="0.2">
      <c r="A453" s="20" t="str">
        <f t="shared" si="6"/>
        <v/>
      </c>
    </row>
    <row r="454" spans="1:1" ht="24.95" customHeight="1" x14ac:dyDescent="0.2">
      <c r="A454" s="20" t="str">
        <f t="shared" si="6"/>
        <v/>
      </c>
    </row>
    <row r="455" spans="1:1" ht="24.95" customHeight="1" x14ac:dyDescent="0.2">
      <c r="A455" s="20" t="str">
        <f t="shared" si="6"/>
        <v/>
      </c>
    </row>
    <row r="456" spans="1:1" ht="24.95" customHeight="1" x14ac:dyDescent="0.2">
      <c r="A456" s="20" t="str">
        <f t="shared" si="6"/>
        <v/>
      </c>
    </row>
    <row r="457" spans="1:1" ht="24.95" customHeight="1" x14ac:dyDescent="0.2">
      <c r="A457" s="20" t="str">
        <f t="shared" si="6"/>
        <v/>
      </c>
    </row>
    <row r="458" spans="1:1" ht="24.95" customHeight="1" x14ac:dyDescent="0.2">
      <c r="A458" s="20" t="str">
        <f t="shared" si="6"/>
        <v/>
      </c>
    </row>
    <row r="459" spans="1:1" ht="24.95" customHeight="1" x14ac:dyDescent="0.2">
      <c r="A459" s="20" t="str">
        <f t="shared" si="6"/>
        <v/>
      </c>
    </row>
    <row r="460" spans="1:1" ht="24.95" customHeight="1" x14ac:dyDescent="0.2">
      <c r="A460" s="20" t="str">
        <f t="shared" ref="A460:A523" si="7">IF(AND(B459&lt;&gt;"",B460=""),$A$10&amp;"---&gt;","")</f>
        <v/>
      </c>
    </row>
    <row r="461" spans="1:1" ht="24.95" customHeight="1" x14ac:dyDescent="0.2">
      <c r="A461" s="20" t="str">
        <f t="shared" si="7"/>
        <v/>
      </c>
    </row>
    <row r="462" spans="1:1" ht="24.95" customHeight="1" x14ac:dyDescent="0.2">
      <c r="A462" s="20" t="str">
        <f t="shared" si="7"/>
        <v/>
      </c>
    </row>
    <row r="463" spans="1:1" ht="24.95" customHeight="1" x14ac:dyDescent="0.2">
      <c r="A463" s="20" t="str">
        <f t="shared" si="7"/>
        <v/>
      </c>
    </row>
    <row r="464" spans="1:1" ht="24.95" customHeight="1" x14ac:dyDescent="0.2">
      <c r="A464" s="20" t="str">
        <f t="shared" si="7"/>
        <v/>
      </c>
    </row>
    <row r="465" spans="1:1" ht="24.95" customHeight="1" x14ac:dyDescent="0.2">
      <c r="A465" s="20" t="str">
        <f t="shared" si="7"/>
        <v/>
      </c>
    </row>
    <row r="466" spans="1:1" ht="24.95" customHeight="1" x14ac:dyDescent="0.2">
      <c r="A466" s="20" t="str">
        <f t="shared" si="7"/>
        <v/>
      </c>
    </row>
    <row r="467" spans="1:1" ht="24.95" customHeight="1" x14ac:dyDescent="0.2">
      <c r="A467" s="20" t="str">
        <f t="shared" si="7"/>
        <v/>
      </c>
    </row>
    <row r="468" spans="1:1" ht="24.95" customHeight="1" x14ac:dyDescent="0.2">
      <c r="A468" s="20" t="str">
        <f t="shared" si="7"/>
        <v/>
      </c>
    </row>
    <row r="469" spans="1:1" ht="24.95" customHeight="1" x14ac:dyDescent="0.2">
      <c r="A469" s="20" t="str">
        <f t="shared" si="7"/>
        <v/>
      </c>
    </row>
    <row r="470" spans="1:1" ht="24.95" customHeight="1" x14ac:dyDescent="0.2">
      <c r="A470" s="20" t="str">
        <f t="shared" si="7"/>
        <v/>
      </c>
    </row>
    <row r="471" spans="1:1" ht="24.95" customHeight="1" x14ac:dyDescent="0.2">
      <c r="A471" s="20" t="str">
        <f t="shared" si="7"/>
        <v/>
      </c>
    </row>
    <row r="472" spans="1:1" ht="24.95" customHeight="1" x14ac:dyDescent="0.2">
      <c r="A472" s="20" t="str">
        <f t="shared" si="7"/>
        <v/>
      </c>
    </row>
    <row r="473" spans="1:1" ht="24.95" customHeight="1" x14ac:dyDescent="0.2">
      <c r="A473" s="20" t="str">
        <f t="shared" si="7"/>
        <v/>
      </c>
    </row>
    <row r="474" spans="1:1" ht="24.95" customHeight="1" x14ac:dyDescent="0.2">
      <c r="A474" s="20" t="str">
        <f t="shared" si="7"/>
        <v/>
      </c>
    </row>
    <row r="475" spans="1:1" ht="24.95" customHeight="1" x14ac:dyDescent="0.2">
      <c r="A475" s="20" t="str">
        <f t="shared" si="7"/>
        <v/>
      </c>
    </row>
    <row r="476" spans="1:1" ht="24.95" customHeight="1" x14ac:dyDescent="0.2">
      <c r="A476" s="20" t="str">
        <f t="shared" si="7"/>
        <v/>
      </c>
    </row>
    <row r="477" spans="1:1" ht="24.95" customHeight="1" x14ac:dyDescent="0.2">
      <c r="A477" s="20" t="str">
        <f t="shared" si="7"/>
        <v/>
      </c>
    </row>
    <row r="478" spans="1:1" ht="24.95" customHeight="1" x14ac:dyDescent="0.2">
      <c r="A478" s="20" t="str">
        <f t="shared" si="7"/>
        <v/>
      </c>
    </row>
    <row r="479" spans="1:1" ht="24.95" customHeight="1" x14ac:dyDescent="0.2">
      <c r="A479" s="20" t="str">
        <f t="shared" si="7"/>
        <v/>
      </c>
    </row>
    <row r="480" spans="1:1" ht="24.95" customHeight="1" x14ac:dyDescent="0.2">
      <c r="A480" s="20" t="str">
        <f t="shared" si="7"/>
        <v/>
      </c>
    </row>
    <row r="481" spans="1:1" ht="24.95" customHeight="1" x14ac:dyDescent="0.2">
      <c r="A481" s="20" t="str">
        <f t="shared" si="7"/>
        <v/>
      </c>
    </row>
    <row r="482" spans="1:1" ht="24.95" customHeight="1" x14ac:dyDescent="0.2">
      <c r="A482" s="20" t="str">
        <f t="shared" si="7"/>
        <v/>
      </c>
    </row>
    <row r="483" spans="1:1" ht="24.95" customHeight="1" x14ac:dyDescent="0.2">
      <c r="A483" s="20" t="str">
        <f t="shared" si="7"/>
        <v/>
      </c>
    </row>
    <row r="484" spans="1:1" ht="24.95" customHeight="1" x14ac:dyDescent="0.2">
      <c r="A484" s="20" t="str">
        <f t="shared" si="7"/>
        <v/>
      </c>
    </row>
    <row r="485" spans="1:1" ht="24.95" customHeight="1" x14ac:dyDescent="0.2">
      <c r="A485" s="20" t="str">
        <f t="shared" si="7"/>
        <v/>
      </c>
    </row>
    <row r="486" spans="1:1" ht="24.95" customHeight="1" x14ac:dyDescent="0.2">
      <c r="A486" s="20" t="str">
        <f t="shared" si="7"/>
        <v/>
      </c>
    </row>
    <row r="487" spans="1:1" ht="24.95" customHeight="1" x14ac:dyDescent="0.2">
      <c r="A487" s="20" t="str">
        <f t="shared" si="7"/>
        <v/>
      </c>
    </row>
    <row r="488" spans="1:1" ht="24.95" customHeight="1" x14ac:dyDescent="0.2">
      <c r="A488" s="20" t="str">
        <f t="shared" si="7"/>
        <v/>
      </c>
    </row>
    <row r="489" spans="1:1" ht="24.95" customHeight="1" x14ac:dyDescent="0.2">
      <c r="A489" s="20" t="str">
        <f t="shared" si="7"/>
        <v/>
      </c>
    </row>
    <row r="490" spans="1:1" ht="24.95" customHeight="1" x14ac:dyDescent="0.2">
      <c r="A490" s="20" t="str">
        <f t="shared" si="7"/>
        <v/>
      </c>
    </row>
    <row r="491" spans="1:1" ht="24.95" customHeight="1" x14ac:dyDescent="0.2">
      <c r="A491" s="20" t="str">
        <f t="shared" si="7"/>
        <v/>
      </c>
    </row>
    <row r="492" spans="1:1" ht="24.95" customHeight="1" x14ac:dyDescent="0.2">
      <c r="A492" s="20" t="str">
        <f t="shared" si="7"/>
        <v/>
      </c>
    </row>
    <row r="493" spans="1:1" ht="24.95" customHeight="1" x14ac:dyDescent="0.2">
      <c r="A493" s="20" t="str">
        <f t="shared" si="7"/>
        <v/>
      </c>
    </row>
    <row r="494" spans="1:1" ht="24.95" customHeight="1" x14ac:dyDescent="0.2">
      <c r="A494" s="20" t="str">
        <f t="shared" si="7"/>
        <v/>
      </c>
    </row>
    <row r="495" spans="1:1" ht="24.95" customHeight="1" x14ac:dyDescent="0.2">
      <c r="A495" s="20" t="str">
        <f t="shared" si="7"/>
        <v/>
      </c>
    </row>
    <row r="496" spans="1:1" ht="24.95" customHeight="1" x14ac:dyDescent="0.2">
      <c r="A496" s="20" t="str">
        <f t="shared" si="7"/>
        <v/>
      </c>
    </row>
    <row r="497" spans="1:1" ht="24.95" customHeight="1" x14ac:dyDescent="0.2">
      <c r="A497" s="20" t="str">
        <f t="shared" si="7"/>
        <v/>
      </c>
    </row>
    <row r="498" spans="1:1" ht="24.95" customHeight="1" x14ac:dyDescent="0.2">
      <c r="A498" s="20" t="str">
        <f t="shared" si="7"/>
        <v/>
      </c>
    </row>
    <row r="499" spans="1:1" ht="24.95" customHeight="1" x14ac:dyDescent="0.2">
      <c r="A499" s="20" t="str">
        <f t="shared" si="7"/>
        <v/>
      </c>
    </row>
    <row r="500" spans="1:1" ht="24.95" customHeight="1" x14ac:dyDescent="0.2">
      <c r="A500" s="20" t="str">
        <f t="shared" si="7"/>
        <v/>
      </c>
    </row>
    <row r="501" spans="1:1" ht="24.95" customHeight="1" x14ac:dyDescent="0.2">
      <c r="A501" s="20" t="str">
        <f t="shared" si="7"/>
        <v/>
      </c>
    </row>
    <row r="502" spans="1:1" ht="24.95" customHeight="1" x14ac:dyDescent="0.2">
      <c r="A502" s="20" t="str">
        <f t="shared" si="7"/>
        <v/>
      </c>
    </row>
    <row r="503" spans="1:1" ht="24.95" customHeight="1" x14ac:dyDescent="0.2">
      <c r="A503" s="20" t="str">
        <f t="shared" si="7"/>
        <v/>
      </c>
    </row>
    <row r="504" spans="1:1" ht="24.95" customHeight="1" x14ac:dyDescent="0.2">
      <c r="A504" s="20" t="str">
        <f t="shared" si="7"/>
        <v/>
      </c>
    </row>
    <row r="505" spans="1:1" ht="24.95" customHeight="1" x14ac:dyDescent="0.2">
      <c r="A505" s="20" t="str">
        <f t="shared" si="7"/>
        <v/>
      </c>
    </row>
    <row r="506" spans="1:1" ht="24.95" customHeight="1" x14ac:dyDescent="0.2">
      <c r="A506" s="20" t="str">
        <f t="shared" si="7"/>
        <v/>
      </c>
    </row>
    <row r="507" spans="1:1" ht="24.95" customHeight="1" x14ac:dyDescent="0.2">
      <c r="A507" s="20" t="str">
        <f t="shared" si="7"/>
        <v/>
      </c>
    </row>
    <row r="508" spans="1:1" ht="24.95" customHeight="1" x14ac:dyDescent="0.2">
      <c r="A508" s="20" t="str">
        <f t="shared" si="7"/>
        <v/>
      </c>
    </row>
    <row r="509" spans="1:1" ht="24.95" customHeight="1" x14ac:dyDescent="0.2">
      <c r="A509" s="20" t="str">
        <f t="shared" si="7"/>
        <v/>
      </c>
    </row>
    <row r="510" spans="1:1" ht="24.95" customHeight="1" x14ac:dyDescent="0.2">
      <c r="A510" s="20" t="str">
        <f t="shared" si="7"/>
        <v/>
      </c>
    </row>
    <row r="511" spans="1:1" ht="24.95" customHeight="1" x14ac:dyDescent="0.2">
      <c r="A511" s="20" t="str">
        <f t="shared" si="7"/>
        <v/>
      </c>
    </row>
    <row r="512" spans="1:1" ht="24.95" customHeight="1" x14ac:dyDescent="0.2">
      <c r="A512" s="20" t="str">
        <f t="shared" si="7"/>
        <v/>
      </c>
    </row>
    <row r="513" spans="1:1" ht="24.95" customHeight="1" x14ac:dyDescent="0.2">
      <c r="A513" s="20" t="str">
        <f t="shared" si="7"/>
        <v/>
      </c>
    </row>
    <row r="514" spans="1:1" ht="24.95" customHeight="1" x14ac:dyDescent="0.2">
      <c r="A514" s="20" t="str">
        <f t="shared" si="7"/>
        <v/>
      </c>
    </row>
    <row r="515" spans="1:1" ht="24.95" customHeight="1" x14ac:dyDescent="0.2">
      <c r="A515" s="20" t="str">
        <f t="shared" si="7"/>
        <v/>
      </c>
    </row>
    <row r="516" spans="1:1" ht="24.95" customHeight="1" x14ac:dyDescent="0.2">
      <c r="A516" s="20" t="str">
        <f t="shared" si="7"/>
        <v/>
      </c>
    </row>
    <row r="517" spans="1:1" ht="24.95" customHeight="1" x14ac:dyDescent="0.2">
      <c r="A517" s="20" t="str">
        <f t="shared" si="7"/>
        <v/>
      </c>
    </row>
    <row r="518" spans="1:1" ht="24.95" customHeight="1" x14ac:dyDescent="0.2">
      <c r="A518" s="20" t="str">
        <f t="shared" si="7"/>
        <v/>
      </c>
    </row>
    <row r="519" spans="1:1" ht="24.95" customHeight="1" x14ac:dyDescent="0.2">
      <c r="A519" s="20" t="str">
        <f t="shared" si="7"/>
        <v/>
      </c>
    </row>
    <row r="520" spans="1:1" ht="24.95" customHeight="1" x14ac:dyDescent="0.2">
      <c r="A520" s="20" t="str">
        <f t="shared" si="7"/>
        <v/>
      </c>
    </row>
    <row r="521" spans="1:1" ht="24.95" customHeight="1" x14ac:dyDescent="0.2">
      <c r="A521" s="20" t="str">
        <f t="shared" si="7"/>
        <v/>
      </c>
    </row>
    <row r="522" spans="1:1" ht="24.95" customHeight="1" x14ac:dyDescent="0.2">
      <c r="A522" s="20" t="str">
        <f t="shared" si="7"/>
        <v/>
      </c>
    </row>
    <row r="523" spans="1:1" ht="24.95" customHeight="1" x14ac:dyDescent="0.2">
      <c r="A523" s="20" t="str">
        <f t="shared" si="7"/>
        <v/>
      </c>
    </row>
    <row r="524" spans="1:1" ht="24.95" customHeight="1" x14ac:dyDescent="0.2">
      <c r="A524" s="20" t="str">
        <f t="shared" ref="A524:A587" si="8">IF(AND(B523&lt;&gt;"",B524=""),$A$10&amp;"---&gt;","")</f>
        <v/>
      </c>
    </row>
    <row r="525" spans="1:1" ht="24.95" customHeight="1" x14ac:dyDescent="0.2">
      <c r="A525" s="20" t="str">
        <f t="shared" si="8"/>
        <v/>
      </c>
    </row>
    <row r="526" spans="1:1" ht="24.95" customHeight="1" x14ac:dyDescent="0.2">
      <c r="A526" s="20" t="str">
        <f t="shared" si="8"/>
        <v/>
      </c>
    </row>
    <row r="527" spans="1:1" ht="24.95" customHeight="1" x14ac:dyDescent="0.2">
      <c r="A527" s="20" t="str">
        <f t="shared" si="8"/>
        <v/>
      </c>
    </row>
    <row r="528" spans="1:1" ht="24.95" customHeight="1" x14ac:dyDescent="0.2">
      <c r="A528" s="20" t="str">
        <f t="shared" si="8"/>
        <v/>
      </c>
    </row>
    <row r="529" spans="1:1" ht="24.95" customHeight="1" x14ac:dyDescent="0.2">
      <c r="A529" s="20" t="str">
        <f t="shared" si="8"/>
        <v/>
      </c>
    </row>
    <row r="530" spans="1:1" ht="24.95" customHeight="1" x14ac:dyDescent="0.2">
      <c r="A530" s="20" t="str">
        <f t="shared" si="8"/>
        <v/>
      </c>
    </row>
    <row r="531" spans="1:1" ht="24.95" customHeight="1" x14ac:dyDescent="0.2">
      <c r="A531" s="20" t="str">
        <f t="shared" si="8"/>
        <v/>
      </c>
    </row>
    <row r="532" spans="1:1" ht="24.95" customHeight="1" x14ac:dyDescent="0.2">
      <c r="A532" s="20" t="str">
        <f t="shared" si="8"/>
        <v/>
      </c>
    </row>
    <row r="533" spans="1:1" ht="24.95" customHeight="1" x14ac:dyDescent="0.2">
      <c r="A533" s="20" t="str">
        <f t="shared" si="8"/>
        <v/>
      </c>
    </row>
    <row r="534" spans="1:1" ht="24.95" customHeight="1" x14ac:dyDescent="0.2">
      <c r="A534" s="20" t="str">
        <f t="shared" si="8"/>
        <v/>
      </c>
    </row>
    <row r="535" spans="1:1" ht="24.95" customHeight="1" x14ac:dyDescent="0.2">
      <c r="A535" s="20" t="str">
        <f t="shared" si="8"/>
        <v/>
      </c>
    </row>
    <row r="536" spans="1:1" ht="24.95" customHeight="1" x14ac:dyDescent="0.2">
      <c r="A536" s="20" t="str">
        <f t="shared" si="8"/>
        <v/>
      </c>
    </row>
    <row r="537" spans="1:1" ht="24.95" customHeight="1" x14ac:dyDescent="0.2">
      <c r="A537" s="20" t="str">
        <f t="shared" si="8"/>
        <v/>
      </c>
    </row>
    <row r="538" spans="1:1" ht="24.95" customHeight="1" x14ac:dyDescent="0.2">
      <c r="A538" s="20" t="str">
        <f t="shared" si="8"/>
        <v/>
      </c>
    </row>
    <row r="539" spans="1:1" ht="24.95" customHeight="1" x14ac:dyDescent="0.2">
      <c r="A539" s="20" t="str">
        <f t="shared" si="8"/>
        <v/>
      </c>
    </row>
    <row r="540" spans="1:1" ht="24.95" customHeight="1" x14ac:dyDescent="0.2">
      <c r="A540" s="20" t="str">
        <f t="shared" si="8"/>
        <v/>
      </c>
    </row>
    <row r="541" spans="1:1" ht="24.95" customHeight="1" x14ac:dyDescent="0.2">
      <c r="A541" s="20" t="str">
        <f t="shared" si="8"/>
        <v/>
      </c>
    </row>
    <row r="542" spans="1:1" ht="24.95" customHeight="1" x14ac:dyDescent="0.2">
      <c r="A542" s="20" t="str">
        <f t="shared" si="8"/>
        <v/>
      </c>
    </row>
    <row r="543" spans="1:1" ht="24.95" customHeight="1" x14ac:dyDescent="0.2">
      <c r="A543" s="20" t="str">
        <f t="shared" si="8"/>
        <v/>
      </c>
    </row>
    <row r="544" spans="1:1" ht="24.95" customHeight="1" x14ac:dyDescent="0.2">
      <c r="A544" s="20" t="str">
        <f t="shared" si="8"/>
        <v/>
      </c>
    </row>
    <row r="545" spans="1:1" ht="24.95" customHeight="1" x14ac:dyDescent="0.2">
      <c r="A545" s="20" t="str">
        <f t="shared" si="8"/>
        <v/>
      </c>
    </row>
    <row r="546" spans="1:1" ht="24.95" customHeight="1" x14ac:dyDescent="0.2">
      <c r="A546" s="20" t="str">
        <f t="shared" si="8"/>
        <v/>
      </c>
    </row>
    <row r="547" spans="1:1" ht="24.95" customHeight="1" x14ac:dyDescent="0.2">
      <c r="A547" s="20" t="str">
        <f t="shared" si="8"/>
        <v/>
      </c>
    </row>
    <row r="548" spans="1:1" ht="24.95" customHeight="1" x14ac:dyDescent="0.2">
      <c r="A548" s="20" t="str">
        <f t="shared" si="8"/>
        <v/>
      </c>
    </row>
    <row r="549" spans="1:1" ht="24.95" customHeight="1" x14ac:dyDescent="0.2">
      <c r="A549" s="20" t="str">
        <f t="shared" si="8"/>
        <v/>
      </c>
    </row>
    <row r="550" spans="1:1" ht="24.95" customHeight="1" x14ac:dyDescent="0.2">
      <c r="A550" s="20" t="str">
        <f t="shared" si="8"/>
        <v/>
      </c>
    </row>
    <row r="551" spans="1:1" ht="24.95" customHeight="1" x14ac:dyDescent="0.2">
      <c r="A551" s="20" t="str">
        <f t="shared" si="8"/>
        <v/>
      </c>
    </row>
    <row r="552" spans="1:1" ht="24.95" customHeight="1" x14ac:dyDescent="0.2">
      <c r="A552" s="20" t="str">
        <f t="shared" si="8"/>
        <v/>
      </c>
    </row>
    <row r="553" spans="1:1" ht="24.95" customHeight="1" x14ac:dyDescent="0.2">
      <c r="A553" s="20" t="str">
        <f t="shared" si="8"/>
        <v/>
      </c>
    </row>
    <row r="554" spans="1:1" ht="24.95" customHeight="1" x14ac:dyDescent="0.2">
      <c r="A554" s="20" t="str">
        <f t="shared" si="8"/>
        <v/>
      </c>
    </row>
    <row r="555" spans="1:1" ht="24.95" customHeight="1" x14ac:dyDescent="0.2">
      <c r="A555" s="20" t="str">
        <f t="shared" si="8"/>
        <v/>
      </c>
    </row>
    <row r="556" spans="1:1" ht="24.95" customHeight="1" x14ac:dyDescent="0.2">
      <c r="A556" s="20" t="str">
        <f t="shared" si="8"/>
        <v/>
      </c>
    </row>
    <row r="557" spans="1:1" ht="24.95" customHeight="1" x14ac:dyDescent="0.2">
      <c r="A557" s="20" t="str">
        <f t="shared" si="8"/>
        <v/>
      </c>
    </row>
    <row r="558" spans="1:1" ht="24.95" customHeight="1" x14ac:dyDescent="0.2">
      <c r="A558" s="20" t="str">
        <f t="shared" si="8"/>
        <v/>
      </c>
    </row>
    <row r="559" spans="1:1" ht="24.95" customHeight="1" x14ac:dyDescent="0.2">
      <c r="A559" s="20" t="str">
        <f t="shared" si="8"/>
        <v/>
      </c>
    </row>
    <row r="560" spans="1:1" ht="24.95" customHeight="1" x14ac:dyDescent="0.2">
      <c r="A560" s="20" t="str">
        <f t="shared" si="8"/>
        <v/>
      </c>
    </row>
    <row r="561" spans="1:1" ht="24.95" customHeight="1" x14ac:dyDescent="0.2">
      <c r="A561" s="20" t="str">
        <f t="shared" si="8"/>
        <v/>
      </c>
    </row>
    <row r="562" spans="1:1" ht="24.95" customHeight="1" x14ac:dyDescent="0.2">
      <c r="A562" s="20" t="str">
        <f t="shared" si="8"/>
        <v/>
      </c>
    </row>
    <row r="563" spans="1:1" ht="24.95" customHeight="1" x14ac:dyDescent="0.2">
      <c r="A563" s="20" t="str">
        <f t="shared" si="8"/>
        <v/>
      </c>
    </row>
    <row r="564" spans="1:1" ht="24.95" customHeight="1" x14ac:dyDescent="0.2">
      <c r="A564" s="20" t="str">
        <f t="shared" si="8"/>
        <v/>
      </c>
    </row>
    <row r="565" spans="1:1" ht="24.95" customHeight="1" x14ac:dyDescent="0.2">
      <c r="A565" s="20" t="str">
        <f t="shared" si="8"/>
        <v/>
      </c>
    </row>
    <row r="566" spans="1:1" ht="24.95" customHeight="1" x14ac:dyDescent="0.2">
      <c r="A566" s="20" t="str">
        <f t="shared" si="8"/>
        <v/>
      </c>
    </row>
    <row r="567" spans="1:1" ht="24.95" customHeight="1" x14ac:dyDescent="0.2">
      <c r="A567" s="20" t="str">
        <f t="shared" si="8"/>
        <v/>
      </c>
    </row>
    <row r="568" spans="1:1" ht="24.95" customHeight="1" x14ac:dyDescent="0.2">
      <c r="A568" s="20" t="str">
        <f t="shared" si="8"/>
        <v/>
      </c>
    </row>
    <row r="569" spans="1:1" ht="24.95" customHeight="1" x14ac:dyDescent="0.2">
      <c r="A569" s="20" t="str">
        <f t="shared" si="8"/>
        <v/>
      </c>
    </row>
    <row r="570" spans="1:1" ht="24.95" customHeight="1" x14ac:dyDescent="0.2">
      <c r="A570" s="20" t="str">
        <f t="shared" si="8"/>
        <v/>
      </c>
    </row>
    <row r="571" spans="1:1" ht="24.95" customHeight="1" x14ac:dyDescent="0.2">
      <c r="A571" s="20" t="str">
        <f t="shared" si="8"/>
        <v/>
      </c>
    </row>
    <row r="572" spans="1:1" ht="24.95" customHeight="1" x14ac:dyDescent="0.2">
      <c r="A572" s="20" t="str">
        <f t="shared" si="8"/>
        <v/>
      </c>
    </row>
    <row r="573" spans="1:1" ht="24.95" customHeight="1" x14ac:dyDescent="0.2">
      <c r="A573" s="20" t="str">
        <f t="shared" si="8"/>
        <v/>
      </c>
    </row>
    <row r="574" spans="1:1" ht="24.95" customHeight="1" x14ac:dyDescent="0.2">
      <c r="A574" s="20" t="str">
        <f t="shared" si="8"/>
        <v/>
      </c>
    </row>
    <row r="575" spans="1:1" ht="24.95" customHeight="1" x14ac:dyDescent="0.2">
      <c r="A575" s="20" t="str">
        <f t="shared" si="8"/>
        <v/>
      </c>
    </row>
    <row r="576" spans="1:1" ht="24.95" customHeight="1" x14ac:dyDescent="0.2">
      <c r="A576" s="20" t="str">
        <f t="shared" si="8"/>
        <v/>
      </c>
    </row>
    <row r="577" spans="1:1" ht="24.95" customHeight="1" x14ac:dyDescent="0.2">
      <c r="A577" s="20" t="str">
        <f t="shared" si="8"/>
        <v/>
      </c>
    </row>
    <row r="578" spans="1:1" ht="24.95" customHeight="1" x14ac:dyDescent="0.2">
      <c r="A578" s="20" t="str">
        <f t="shared" si="8"/>
        <v/>
      </c>
    </row>
    <row r="579" spans="1:1" ht="24.95" customHeight="1" x14ac:dyDescent="0.2">
      <c r="A579" s="20" t="str">
        <f t="shared" si="8"/>
        <v/>
      </c>
    </row>
    <row r="580" spans="1:1" ht="24.95" customHeight="1" x14ac:dyDescent="0.2">
      <c r="A580" s="20" t="str">
        <f t="shared" si="8"/>
        <v/>
      </c>
    </row>
    <row r="581" spans="1:1" ht="24.95" customHeight="1" x14ac:dyDescent="0.2">
      <c r="A581" s="20" t="str">
        <f t="shared" si="8"/>
        <v/>
      </c>
    </row>
    <row r="582" spans="1:1" ht="24.95" customHeight="1" x14ac:dyDescent="0.2">
      <c r="A582" s="20" t="str">
        <f t="shared" si="8"/>
        <v/>
      </c>
    </row>
    <row r="583" spans="1:1" ht="24.95" customHeight="1" x14ac:dyDescent="0.2">
      <c r="A583" s="20" t="str">
        <f t="shared" si="8"/>
        <v/>
      </c>
    </row>
    <row r="584" spans="1:1" ht="24.95" customHeight="1" x14ac:dyDescent="0.2">
      <c r="A584" s="20" t="str">
        <f t="shared" si="8"/>
        <v/>
      </c>
    </row>
    <row r="585" spans="1:1" ht="24.95" customHeight="1" x14ac:dyDescent="0.2">
      <c r="A585" s="20" t="str">
        <f t="shared" si="8"/>
        <v/>
      </c>
    </row>
    <row r="586" spans="1:1" ht="24.95" customHeight="1" x14ac:dyDescent="0.2">
      <c r="A586" s="20" t="str">
        <f t="shared" si="8"/>
        <v/>
      </c>
    </row>
    <row r="587" spans="1:1" ht="24.95" customHeight="1" x14ac:dyDescent="0.2">
      <c r="A587" s="20" t="str">
        <f t="shared" si="8"/>
        <v/>
      </c>
    </row>
    <row r="588" spans="1:1" ht="24.95" customHeight="1" x14ac:dyDescent="0.2">
      <c r="A588" s="20" t="str">
        <f t="shared" ref="A588:A651" si="9">IF(AND(B587&lt;&gt;"",B588=""),$A$10&amp;"---&gt;","")</f>
        <v/>
      </c>
    </row>
    <row r="589" spans="1:1" ht="24.95" customHeight="1" x14ac:dyDescent="0.2">
      <c r="A589" s="20" t="str">
        <f t="shared" si="9"/>
        <v/>
      </c>
    </row>
    <row r="590" spans="1:1" ht="24.95" customHeight="1" x14ac:dyDescent="0.2">
      <c r="A590" s="20" t="str">
        <f t="shared" si="9"/>
        <v/>
      </c>
    </row>
    <row r="591" spans="1:1" ht="24.95" customHeight="1" x14ac:dyDescent="0.2">
      <c r="A591" s="20" t="str">
        <f t="shared" si="9"/>
        <v/>
      </c>
    </row>
    <row r="592" spans="1:1" ht="24.95" customHeight="1" x14ac:dyDescent="0.2">
      <c r="A592" s="20" t="str">
        <f t="shared" si="9"/>
        <v/>
      </c>
    </row>
    <row r="593" spans="1:1" ht="24.95" customHeight="1" x14ac:dyDescent="0.2">
      <c r="A593" s="20" t="str">
        <f t="shared" si="9"/>
        <v/>
      </c>
    </row>
    <row r="594" spans="1:1" ht="24.95" customHeight="1" x14ac:dyDescent="0.2">
      <c r="A594" s="20" t="str">
        <f t="shared" si="9"/>
        <v/>
      </c>
    </row>
    <row r="595" spans="1:1" ht="24.95" customHeight="1" x14ac:dyDescent="0.2">
      <c r="A595" s="20" t="str">
        <f t="shared" si="9"/>
        <v/>
      </c>
    </row>
    <row r="596" spans="1:1" ht="24.95" customHeight="1" x14ac:dyDescent="0.2">
      <c r="A596" s="20" t="str">
        <f t="shared" si="9"/>
        <v/>
      </c>
    </row>
    <row r="597" spans="1:1" ht="24.95" customHeight="1" x14ac:dyDescent="0.2">
      <c r="A597" s="20" t="str">
        <f t="shared" si="9"/>
        <v/>
      </c>
    </row>
    <row r="598" spans="1:1" ht="24.95" customHeight="1" x14ac:dyDescent="0.2">
      <c r="A598" s="20" t="str">
        <f t="shared" si="9"/>
        <v/>
      </c>
    </row>
    <row r="599" spans="1:1" ht="24.95" customHeight="1" x14ac:dyDescent="0.2">
      <c r="A599" s="20" t="str">
        <f t="shared" si="9"/>
        <v/>
      </c>
    </row>
    <row r="600" spans="1:1" ht="24.95" customHeight="1" x14ac:dyDescent="0.2">
      <c r="A600" s="20" t="str">
        <f t="shared" si="9"/>
        <v/>
      </c>
    </row>
    <row r="601" spans="1:1" ht="24.95" customHeight="1" x14ac:dyDescent="0.2">
      <c r="A601" s="20" t="str">
        <f t="shared" si="9"/>
        <v/>
      </c>
    </row>
    <row r="602" spans="1:1" ht="24.95" customHeight="1" x14ac:dyDescent="0.2">
      <c r="A602" s="20" t="str">
        <f t="shared" si="9"/>
        <v/>
      </c>
    </row>
    <row r="603" spans="1:1" ht="24.95" customHeight="1" x14ac:dyDescent="0.2">
      <c r="A603" s="20" t="str">
        <f t="shared" si="9"/>
        <v/>
      </c>
    </row>
    <row r="604" spans="1:1" ht="24.95" customHeight="1" x14ac:dyDescent="0.2">
      <c r="A604" s="20" t="str">
        <f t="shared" si="9"/>
        <v/>
      </c>
    </row>
    <row r="605" spans="1:1" ht="24.95" customHeight="1" x14ac:dyDescent="0.2">
      <c r="A605" s="20" t="str">
        <f t="shared" si="9"/>
        <v/>
      </c>
    </row>
    <row r="606" spans="1:1" ht="24.95" customHeight="1" x14ac:dyDescent="0.2">
      <c r="A606" s="20" t="str">
        <f t="shared" si="9"/>
        <v/>
      </c>
    </row>
    <row r="607" spans="1:1" ht="24.95" customHeight="1" x14ac:dyDescent="0.2">
      <c r="A607" s="20" t="str">
        <f t="shared" si="9"/>
        <v/>
      </c>
    </row>
    <row r="608" spans="1:1" ht="24.95" customHeight="1" x14ac:dyDescent="0.2">
      <c r="A608" s="20" t="str">
        <f t="shared" si="9"/>
        <v/>
      </c>
    </row>
    <row r="609" spans="1:1" ht="24.95" customHeight="1" x14ac:dyDescent="0.2">
      <c r="A609" s="20" t="str">
        <f t="shared" si="9"/>
        <v/>
      </c>
    </row>
    <row r="610" spans="1:1" ht="24.95" customHeight="1" x14ac:dyDescent="0.2">
      <c r="A610" s="20" t="str">
        <f t="shared" si="9"/>
        <v/>
      </c>
    </row>
    <row r="611" spans="1:1" ht="24.95" customHeight="1" x14ac:dyDescent="0.2">
      <c r="A611" s="20" t="str">
        <f t="shared" si="9"/>
        <v/>
      </c>
    </row>
    <row r="612" spans="1:1" ht="24.95" customHeight="1" x14ac:dyDescent="0.2">
      <c r="A612" s="20" t="str">
        <f t="shared" si="9"/>
        <v/>
      </c>
    </row>
    <row r="613" spans="1:1" ht="24.95" customHeight="1" x14ac:dyDescent="0.2">
      <c r="A613" s="20" t="str">
        <f t="shared" si="9"/>
        <v/>
      </c>
    </row>
    <row r="614" spans="1:1" ht="24.95" customHeight="1" x14ac:dyDescent="0.2">
      <c r="A614" s="20" t="str">
        <f t="shared" si="9"/>
        <v/>
      </c>
    </row>
    <row r="615" spans="1:1" ht="24.95" customHeight="1" x14ac:dyDescent="0.2">
      <c r="A615" s="20" t="str">
        <f t="shared" si="9"/>
        <v/>
      </c>
    </row>
    <row r="616" spans="1:1" ht="24.95" customHeight="1" x14ac:dyDescent="0.2">
      <c r="A616" s="20" t="str">
        <f t="shared" si="9"/>
        <v/>
      </c>
    </row>
    <row r="617" spans="1:1" ht="24.95" customHeight="1" x14ac:dyDescent="0.2">
      <c r="A617" s="20" t="str">
        <f t="shared" si="9"/>
        <v/>
      </c>
    </row>
    <row r="618" spans="1:1" ht="24.95" customHeight="1" x14ac:dyDescent="0.2">
      <c r="A618" s="20" t="str">
        <f t="shared" si="9"/>
        <v/>
      </c>
    </row>
    <row r="619" spans="1:1" ht="24.95" customHeight="1" x14ac:dyDescent="0.2">
      <c r="A619" s="20" t="str">
        <f t="shared" si="9"/>
        <v/>
      </c>
    </row>
    <row r="620" spans="1:1" ht="24.95" customHeight="1" x14ac:dyDescent="0.2">
      <c r="A620" s="20" t="str">
        <f t="shared" si="9"/>
        <v/>
      </c>
    </row>
    <row r="621" spans="1:1" ht="24.95" customHeight="1" x14ac:dyDescent="0.2">
      <c r="A621" s="20" t="str">
        <f t="shared" si="9"/>
        <v/>
      </c>
    </row>
    <row r="622" spans="1:1" ht="24.95" customHeight="1" x14ac:dyDescent="0.2">
      <c r="A622" s="20" t="str">
        <f t="shared" si="9"/>
        <v/>
      </c>
    </row>
    <row r="623" spans="1:1" ht="24.95" customHeight="1" x14ac:dyDescent="0.2">
      <c r="A623" s="20" t="str">
        <f t="shared" si="9"/>
        <v/>
      </c>
    </row>
    <row r="624" spans="1:1" ht="24.95" customHeight="1" x14ac:dyDescent="0.2">
      <c r="A624" s="20" t="str">
        <f t="shared" si="9"/>
        <v/>
      </c>
    </row>
    <row r="625" spans="1:1" ht="24.95" customHeight="1" x14ac:dyDescent="0.2">
      <c r="A625" s="20" t="str">
        <f t="shared" si="9"/>
        <v/>
      </c>
    </row>
    <row r="626" spans="1:1" ht="24.95" customHeight="1" x14ac:dyDescent="0.2">
      <c r="A626" s="20" t="str">
        <f t="shared" si="9"/>
        <v/>
      </c>
    </row>
    <row r="627" spans="1:1" ht="24.95" customHeight="1" x14ac:dyDescent="0.2">
      <c r="A627" s="20" t="str">
        <f t="shared" si="9"/>
        <v/>
      </c>
    </row>
    <row r="628" spans="1:1" ht="24.95" customHeight="1" x14ac:dyDescent="0.2">
      <c r="A628" s="20" t="str">
        <f t="shared" si="9"/>
        <v/>
      </c>
    </row>
    <row r="629" spans="1:1" ht="24.95" customHeight="1" x14ac:dyDescent="0.2">
      <c r="A629" s="20" t="str">
        <f t="shared" si="9"/>
        <v/>
      </c>
    </row>
    <row r="630" spans="1:1" ht="24.95" customHeight="1" x14ac:dyDescent="0.2">
      <c r="A630" s="20" t="str">
        <f t="shared" si="9"/>
        <v/>
      </c>
    </row>
    <row r="631" spans="1:1" ht="24.95" customHeight="1" x14ac:dyDescent="0.2">
      <c r="A631" s="20" t="str">
        <f t="shared" si="9"/>
        <v/>
      </c>
    </row>
    <row r="632" spans="1:1" ht="24.95" customHeight="1" x14ac:dyDescent="0.2">
      <c r="A632" s="20" t="str">
        <f t="shared" si="9"/>
        <v/>
      </c>
    </row>
    <row r="633" spans="1:1" ht="24.95" customHeight="1" x14ac:dyDescent="0.2">
      <c r="A633" s="20" t="str">
        <f t="shared" si="9"/>
        <v/>
      </c>
    </row>
    <row r="634" spans="1:1" ht="24.95" customHeight="1" x14ac:dyDescent="0.2">
      <c r="A634" s="20" t="str">
        <f t="shared" si="9"/>
        <v/>
      </c>
    </row>
    <row r="635" spans="1:1" ht="24.95" customHeight="1" x14ac:dyDescent="0.2">
      <c r="A635" s="20" t="str">
        <f t="shared" si="9"/>
        <v/>
      </c>
    </row>
    <row r="636" spans="1:1" ht="24.95" customHeight="1" x14ac:dyDescent="0.2">
      <c r="A636" s="20" t="str">
        <f t="shared" si="9"/>
        <v/>
      </c>
    </row>
    <row r="637" spans="1:1" ht="24.95" customHeight="1" x14ac:dyDescent="0.2">
      <c r="A637" s="20" t="str">
        <f t="shared" si="9"/>
        <v/>
      </c>
    </row>
    <row r="638" spans="1:1" ht="24.95" customHeight="1" x14ac:dyDescent="0.2">
      <c r="A638" s="20" t="str">
        <f t="shared" si="9"/>
        <v/>
      </c>
    </row>
    <row r="639" spans="1:1" ht="24.95" customHeight="1" x14ac:dyDescent="0.2">
      <c r="A639" s="20" t="str">
        <f t="shared" si="9"/>
        <v/>
      </c>
    </row>
    <row r="640" spans="1:1" ht="24.95" customHeight="1" x14ac:dyDescent="0.2">
      <c r="A640" s="20" t="str">
        <f t="shared" si="9"/>
        <v/>
      </c>
    </row>
    <row r="641" spans="1:1" ht="24.95" customHeight="1" x14ac:dyDescent="0.2">
      <c r="A641" s="20" t="str">
        <f t="shared" si="9"/>
        <v/>
      </c>
    </row>
    <row r="642" spans="1:1" ht="24.95" customHeight="1" x14ac:dyDescent="0.2">
      <c r="A642" s="20" t="str">
        <f t="shared" si="9"/>
        <v/>
      </c>
    </row>
    <row r="643" spans="1:1" ht="24.95" customHeight="1" x14ac:dyDescent="0.2">
      <c r="A643" s="20" t="str">
        <f t="shared" si="9"/>
        <v/>
      </c>
    </row>
    <row r="644" spans="1:1" ht="24.95" customHeight="1" x14ac:dyDescent="0.2">
      <c r="A644" s="20" t="str">
        <f t="shared" si="9"/>
        <v/>
      </c>
    </row>
    <row r="645" spans="1:1" ht="24.95" customHeight="1" x14ac:dyDescent="0.2">
      <c r="A645" s="20" t="str">
        <f t="shared" si="9"/>
        <v/>
      </c>
    </row>
    <row r="646" spans="1:1" ht="24.95" customHeight="1" x14ac:dyDescent="0.2">
      <c r="A646" s="20" t="str">
        <f t="shared" si="9"/>
        <v/>
      </c>
    </row>
    <row r="647" spans="1:1" ht="24.95" customHeight="1" x14ac:dyDescent="0.2">
      <c r="A647" s="20" t="str">
        <f t="shared" si="9"/>
        <v/>
      </c>
    </row>
    <row r="648" spans="1:1" ht="24.95" customHeight="1" x14ac:dyDescent="0.2">
      <c r="A648" s="20" t="str">
        <f t="shared" si="9"/>
        <v/>
      </c>
    </row>
    <row r="649" spans="1:1" ht="24.95" customHeight="1" x14ac:dyDescent="0.2">
      <c r="A649" s="20" t="str">
        <f t="shared" si="9"/>
        <v/>
      </c>
    </row>
    <row r="650" spans="1:1" ht="24.95" customHeight="1" x14ac:dyDescent="0.2">
      <c r="A650" s="20" t="str">
        <f t="shared" si="9"/>
        <v/>
      </c>
    </row>
    <row r="651" spans="1:1" ht="24.95" customHeight="1" x14ac:dyDescent="0.2">
      <c r="A651" s="20" t="str">
        <f t="shared" si="9"/>
        <v/>
      </c>
    </row>
    <row r="652" spans="1:1" ht="24.95" customHeight="1" x14ac:dyDescent="0.2">
      <c r="A652" s="20" t="str">
        <f t="shared" ref="A652:A715" si="10">IF(AND(B651&lt;&gt;"",B652=""),$A$10&amp;"---&gt;","")</f>
        <v/>
      </c>
    </row>
    <row r="653" spans="1:1" ht="24.95" customHeight="1" x14ac:dyDescent="0.2">
      <c r="A653" s="20" t="str">
        <f t="shared" si="10"/>
        <v/>
      </c>
    </row>
    <row r="654" spans="1:1" ht="24.95" customHeight="1" x14ac:dyDescent="0.2">
      <c r="A654" s="20" t="str">
        <f t="shared" si="10"/>
        <v/>
      </c>
    </row>
    <row r="655" spans="1:1" ht="24.95" customHeight="1" x14ac:dyDescent="0.2">
      <c r="A655" s="20" t="str">
        <f t="shared" si="10"/>
        <v/>
      </c>
    </row>
    <row r="656" spans="1:1" ht="24.95" customHeight="1" x14ac:dyDescent="0.2">
      <c r="A656" s="20" t="str">
        <f t="shared" si="10"/>
        <v/>
      </c>
    </row>
    <row r="657" spans="1:1" ht="24.95" customHeight="1" x14ac:dyDescent="0.2">
      <c r="A657" s="20" t="str">
        <f t="shared" si="10"/>
        <v/>
      </c>
    </row>
    <row r="658" spans="1:1" ht="24.95" customHeight="1" x14ac:dyDescent="0.2">
      <c r="A658" s="20" t="str">
        <f t="shared" si="10"/>
        <v/>
      </c>
    </row>
    <row r="659" spans="1:1" ht="24.95" customHeight="1" x14ac:dyDescent="0.2">
      <c r="A659" s="20" t="str">
        <f t="shared" si="10"/>
        <v/>
      </c>
    </row>
    <row r="660" spans="1:1" ht="24.95" customHeight="1" x14ac:dyDescent="0.2">
      <c r="A660" s="20" t="str">
        <f t="shared" si="10"/>
        <v/>
      </c>
    </row>
    <row r="661" spans="1:1" ht="24.95" customHeight="1" x14ac:dyDescent="0.2">
      <c r="A661" s="20" t="str">
        <f t="shared" si="10"/>
        <v/>
      </c>
    </row>
    <row r="662" spans="1:1" ht="24.95" customHeight="1" x14ac:dyDescent="0.2">
      <c r="A662" s="20" t="str">
        <f t="shared" si="10"/>
        <v/>
      </c>
    </row>
    <row r="663" spans="1:1" ht="24.95" customHeight="1" x14ac:dyDescent="0.2">
      <c r="A663" s="20" t="str">
        <f t="shared" si="10"/>
        <v/>
      </c>
    </row>
    <row r="664" spans="1:1" ht="24.95" customHeight="1" x14ac:dyDescent="0.2">
      <c r="A664" s="20" t="str">
        <f t="shared" si="10"/>
        <v/>
      </c>
    </row>
    <row r="665" spans="1:1" ht="24.95" customHeight="1" x14ac:dyDescent="0.2">
      <c r="A665" s="20" t="str">
        <f t="shared" si="10"/>
        <v/>
      </c>
    </row>
    <row r="666" spans="1:1" ht="24.95" customHeight="1" x14ac:dyDescent="0.2">
      <c r="A666" s="20" t="str">
        <f t="shared" si="10"/>
        <v/>
      </c>
    </row>
    <row r="667" spans="1:1" ht="24.95" customHeight="1" x14ac:dyDescent="0.2">
      <c r="A667" s="20" t="str">
        <f t="shared" si="10"/>
        <v/>
      </c>
    </row>
    <row r="668" spans="1:1" ht="24.95" customHeight="1" x14ac:dyDescent="0.2">
      <c r="A668" s="20" t="str">
        <f t="shared" si="10"/>
        <v/>
      </c>
    </row>
    <row r="669" spans="1:1" ht="24.95" customHeight="1" x14ac:dyDescent="0.2">
      <c r="A669" s="20" t="str">
        <f t="shared" si="10"/>
        <v/>
      </c>
    </row>
    <row r="670" spans="1:1" ht="24.95" customHeight="1" x14ac:dyDescent="0.2">
      <c r="A670" s="20" t="str">
        <f t="shared" si="10"/>
        <v/>
      </c>
    </row>
    <row r="671" spans="1:1" ht="24.95" customHeight="1" x14ac:dyDescent="0.2">
      <c r="A671" s="20" t="str">
        <f t="shared" si="10"/>
        <v/>
      </c>
    </row>
    <row r="672" spans="1:1" ht="24.95" customHeight="1" x14ac:dyDescent="0.2">
      <c r="A672" s="20" t="str">
        <f t="shared" si="10"/>
        <v/>
      </c>
    </row>
    <row r="673" spans="1:1" ht="24.95" customHeight="1" x14ac:dyDescent="0.2">
      <c r="A673" s="20" t="str">
        <f t="shared" si="10"/>
        <v/>
      </c>
    </row>
    <row r="674" spans="1:1" ht="24.95" customHeight="1" x14ac:dyDescent="0.2">
      <c r="A674" s="20" t="str">
        <f t="shared" si="10"/>
        <v/>
      </c>
    </row>
    <row r="675" spans="1:1" ht="24.95" customHeight="1" x14ac:dyDescent="0.2">
      <c r="A675" s="20" t="str">
        <f t="shared" si="10"/>
        <v/>
      </c>
    </row>
    <row r="676" spans="1:1" ht="24.95" customHeight="1" x14ac:dyDescent="0.2">
      <c r="A676" s="20" t="str">
        <f t="shared" si="10"/>
        <v/>
      </c>
    </row>
    <row r="677" spans="1:1" ht="24.95" customHeight="1" x14ac:dyDescent="0.2">
      <c r="A677" s="20" t="str">
        <f t="shared" si="10"/>
        <v/>
      </c>
    </row>
    <row r="678" spans="1:1" ht="24.95" customHeight="1" x14ac:dyDescent="0.2">
      <c r="A678" s="20" t="str">
        <f t="shared" si="10"/>
        <v/>
      </c>
    </row>
    <row r="679" spans="1:1" ht="24.95" customHeight="1" x14ac:dyDescent="0.2">
      <c r="A679" s="20" t="str">
        <f t="shared" si="10"/>
        <v/>
      </c>
    </row>
    <row r="680" spans="1:1" ht="24.95" customHeight="1" x14ac:dyDescent="0.2">
      <c r="A680" s="20" t="str">
        <f t="shared" si="10"/>
        <v/>
      </c>
    </row>
    <row r="681" spans="1:1" ht="24.95" customHeight="1" x14ac:dyDescent="0.2">
      <c r="A681" s="20" t="str">
        <f t="shared" si="10"/>
        <v/>
      </c>
    </row>
    <row r="682" spans="1:1" ht="24.95" customHeight="1" x14ac:dyDescent="0.2">
      <c r="A682" s="20" t="str">
        <f t="shared" si="10"/>
        <v/>
      </c>
    </row>
    <row r="683" spans="1:1" ht="24.95" customHeight="1" x14ac:dyDescent="0.2">
      <c r="A683" s="20" t="str">
        <f t="shared" si="10"/>
        <v/>
      </c>
    </row>
    <row r="684" spans="1:1" ht="24.95" customHeight="1" x14ac:dyDescent="0.2">
      <c r="A684" s="20" t="str">
        <f t="shared" si="10"/>
        <v/>
      </c>
    </row>
    <row r="685" spans="1:1" ht="24.95" customHeight="1" x14ac:dyDescent="0.2">
      <c r="A685" s="20" t="str">
        <f t="shared" si="10"/>
        <v/>
      </c>
    </row>
    <row r="686" spans="1:1" ht="24.95" customHeight="1" x14ac:dyDescent="0.2">
      <c r="A686" s="20" t="str">
        <f t="shared" si="10"/>
        <v/>
      </c>
    </row>
    <row r="687" spans="1:1" ht="24.95" customHeight="1" x14ac:dyDescent="0.2">
      <c r="A687" s="20" t="str">
        <f t="shared" si="10"/>
        <v/>
      </c>
    </row>
    <row r="688" spans="1:1" ht="24.95" customHeight="1" x14ac:dyDescent="0.2">
      <c r="A688" s="20" t="str">
        <f t="shared" si="10"/>
        <v/>
      </c>
    </row>
    <row r="689" spans="1:1" ht="24.95" customHeight="1" x14ac:dyDescent="0.2">
      <c r="A689" s="20" t="str">
        <f t="shared" si="10"/>
        <v/>
      </c>
    </row>
    <row r="690" spans="1:1" ht="24.95" customHeight="1" x14ac:dyDescent="0.2">
      <c r="A690" s="20" t="str">
        <f t="shared" si="10"/>
        <v/>
      </c>
    </row>
    <row r="691" spans="1:1" ht="24.95" customHeight="1" x14ac:dyDescent="0.2">
      <c r="A691" s="20" t="str">
        <f t="shared" si="10"/>
        <v/>
      </c>
    </row>
    <row r="692" spans="1:1" ht="24.95" customHeight="1" x14ac:dyDescent="0.2">
      <c r="A692" s="20" t="str">
        <f t="shared" si="10"/>
        <v/>
      </c>
    </row>
    <row r="693" spans="1:1" ht="24.95" customHeight="1" x14ac:dyDescent="0.2">
      <c r="A693" s="20" t="str">
        <f t="shared" si="10"/>
        <v/>
      </c>
    </row>
    <row r="694" spans="1:1" ht="24.95" customHeight="1" x14ac:dyDescent="0.2">
      <c r="A694" s="20" t="str">
        <f t="shared" si="10"/>
        <v/>
      </c>
    </row>
    <row r="695" spans="1:1" ht="24.95" customHeight="1" x14ac:dyDescent="0.2">
      <c r="A695" s="20" t="str">
        <f t="shared" si="10"/>
        <v/>
      </c>
    </row>
    <row r="696" spans="1:1" ht="24.95" customHeight="1" x14ac:dyDescent="0.2">
      <c r="A696" s="20" t="str">
        <f t="shared" si="10"/>
        <v/>
      </c>
    </row>
    <row r="697" spans="1:1" ht="24.95" customHeight="1" x14ac:dyDescent="0.2">
      <c r="A697" s="20" t="str">
        <f t="shared" si="10"/>
        <v/>
      </c>
    </row>
    <row r="698" spans="1:1" ht="24.95" customHeight="1" x14ac:dyDescent="0.2">
      <c r="A698" s="20" t="str">
        <f t="shared" si="10"/>
        <v/>
      </c>
    </row>
    <row r="699" spans="1:1" ht="24.95" customHeight="1" x14ac:dyDescent="0.2">
      <c r="A699" s="20" t="str">
        <f t="shared" si="10"/>
        <v/>
      </c>
    </row>
    <row r="700" spans="1:1" ht="24.95" customHeight="1" x14ac:dyDescent="0.2">
      <c r="A700" s="20" t="str">
        <f t="shared" si="10"/>
        <v/>
      </c>
    </row>
    <row r="701" spans="1:1" ht="24.95" customHeight="1" x14ac:dyDescent="0.2">
      <c r="A701" s="20" t="str">
        <f t="shared" si="10"/>
        <v/>
      </c>
    </row>
    <row r="702" spans="1:1" ht="24.95" customHeight="1" x14ac:dyDescent="0.2">
      <c r="A702" s="20" t="str">
        <f t="shared" si="10"/>
        <v/>
      </c>
    </row>
    <row r="703" spans="1:1" ht="24.95" customHeight="1" x14ac:dyDescent="0.2">
      <c r="A703" s="20" t="str">
        <f t="shared" si="10"/>
        <v/>
      </c>
    </row>
    <row r="704" spans="1:1" ht="24.95" customHeight="1" x14ac:dyDescent="0.2">
      <c r="A704" s="20" t="str">
        <f t="shared" si="10"/>
        <v/>
      </c>
    </row>
    <row r="705" spans="1:1" ht="24.95" customHeight="1" x14ac:dyDescent="0.2">
      <c r="A705" s="20" t="str">
        <f t="shared" si="10"/>
        <v/>
      </c>
    </row>
    <row r="706" spans="1:1" ht="24.95" customHeight="1" x14ac:dyDescent="0.2">
      <c r="A706" s="20" t="str">
        <f t="shared" si="10"/>
        <v/>
      </c>
    </row>
    <row r="707" spans="1:1" ht="24.95" customHeight="1" x14ac:dyDescent="0.2">
      <c r="A707" s="20" t="str">
        <f t="shared" si="10"/>
        <v/>
      </c>
    </row>
    <row r="708" spans="1:1" ht="24.95" customHeight="1" x14ac:dyDescent="0.2">
      <c r="A708" s="20" t="str">
        <f t="shared" si="10"/>
        <v/>
      </c>
    </row>
    <row r="709" spans="1:1" ht="24.95" customHeight="1" x14ac:dyDescent="0.2">
      <c r="A709" s="20" t="str">
        <f t="shared" si="10"/>
        <v/>
      </c>
    </row>
    <row r="710" spans="1:1" ht="24.95" customHeight="1" x14ac:dyDescent="0.2">
      <c r="A710" s="20" t="str">
        <f t="shared" si="10"/>
        <v/>
      </c>
    </row>
    <row r="711" spans="1:1" ht="24.95" customHeight="1" x14ac:dyDescent="0.2">
      <c r="A711" s="20" t="str">
        <f t="shared" si="10"/>
        <v/>
      </c>
    </row>
    <row r="712" spans="1:1" ht="24.95" customHeight="1" x14ac:dyDescent="0.2">
      <c r="A712" s="20" t="str">
        <f t="shared" si="10"/>
        <v/>
      </c>
    </row>
    <row r="713" spans="1:1" ht="24.95" customHeight="1" x14ac:dyDescent="0.2">
      <c r="A713" s="20" t="str">
        <f t="shared" si="10"/>
        <v/>
      </c>
    </row>
    <row r="714" spans="1:1" ht="24.95" customHeight="1" x14ac:dyDescent="0.2">
      <c r="A714" s="20" t="str">
        <f t="shared" si="10"/>
        <v/>
      </c>
    </row>
    <row r="715" spans="1:1" ht="24.95" customHeight="1" x14ac:dyDescent="0.2">
      <c r="A715" s="20" t="str">
        <f t="shared" si="10"/>
        <v/>
      </c>
    </row>
    <row r="716" spans="1:1" ht="24.95" customHeight="1" x14ac:dyDescent="0.2">
      <c r="A716" s="20" t="str">
        <f t="shared" ref="A716:A779" si="11">IF(AND(B715&lt;&gt;"",B716=""),$A$10&amp;"---&gt;","")</f>
        <v/>
      </c>
    </row>
    <row r="717" spans="1:1" ht="24.95" customHeight="1" x14ac:dyDescent="0.2">
      <c r="A717" s="20" t="str">
        <f t="shared" si="11"/>
        <v/>
      </c>
    </row>
    <row r="718" spans="1:1" ht="24.95" customHeight="1" x14ac:dyDescent="0.2">
      <c r="A718" s="20" t="str">
        <f t="shared" si="11"/>
        <v/>
      </c>
    </row>
    <row r="719" spans="1:1" ht="24.95" customHeight="1" x14ac:dyDescent="0.2">
      <c r="A719" s="20" t="str">
        <f t="shared" si="11"/>
        <v/>
      </c>
    </row>
    <row r="720" spans="1:1" ht="24.95" customHeight="1" x14ac:dyDescent="0.2">
      <c r="A720" s="20" t="str">
        <f t="shared" si="11"/>
        <v/>
      </c>
    </row>
    <row r="721" spans="1:1" ht="24.95" customHeight="1" x14ac:dyDescent="0.2">
      <c r="A721" s="20" t="str">
        <f t="shared" si="11"/>
        <v/>
      </c>
    </row>
    <row r="722" spans="1:1" ht="24.95" customHeight="1" x14ac:dyDescent="0.2">
      <c r="A722" s="20" t="str">
        <f t="shared" si="11"/>
        <v/>
      </c>
    </row>
    <row r="723" spans="1:1" ht="24.95" customHeight="1" x14ac:dyDescent="0.2">
      <c r="A723" s="20" t="str">
        <f t="shared" si="11"/>
        <v/>
      </c>
    </row>
    <row r="724" spans="1:1" ht="24.95" customHeight="1" x14ac:dyDescent="0.2">
      <c r="A724" s="20" t="str">
        <f t="shared" si="11"/>
        <v/>
      </c>
    </row>
    <row r="725" spans="1:1" ht="24.95" customHeight="1" x14ac:dyDescent="0.2">
      <c r="A725" s="20" t="str">
        <f t="shared" si="11"/>
        <v/>
      </c>
    </row>
    <row r="726" spans="1:1" ht="24.95" customHeight="1" x14ac:dyDescent="0.2">
      <c r="A726" s="20" t="str">
        <f t="shared" si="11"/>
        <v/>
      </c>
    </row>
    <row r="727" spans="1:1" ht="24.95" customHeight="1" x14ac:dyDescent="0.2">
      <c r="A727" s="20" t="str">
        <f t="shared" si="11"/>
        <v/>
      </c>
    </row>
    <row r="728" spans="1:1" ht="24.95" customHeight="1" x14ac:dyDescent="0.2">
      <c r="A728" s="20" t="str">
        <f t="shared" si="11"/>
        <v/>
      </c>
    </row>
    <row r="729" spans="1:1" ht="24.95" customHeight="1" x14ac:dyDescent="0.2">
      <c r="A729" s="20" t="str">
        <f t="shared" si="11"/>
        <v/>
      </c>
    </row>
    <row r="730" spans="1:1" ht="24.95" customHeight="1" x14ac:dyDescent="0.2">
      <c r="A730" s="20" t="str">
        <f t="shared" si="11"/>
        <v/>
      </c>
    </row>
    <row r="731" spans="1:1" ht="24.95" customHeight="1" x14ac:dyDescent="0.2">
      <c r="A731" s="20" t="str">
        <f t="shared" si="11"/>
        <v/>
      </c>
    </row>
    <row r="732" spans="1:1" ht="24.95" customHeight="1" x14ac:dyDescent="0.2">
      <c r="A732" s="20" t="str">
        <f t="shared" si="11"/>
        <v/>
      </c>
    </row>
    <row r="733" spans="1:1" ht="24.95" customHeight="1" x14ac:dyDescent="0.2">
      <c r="A733" s="20" t="str">
        <f t="shared" si="11"/>
        <v/>
      </c>
    </row>
    <row r="734" spans="1:1" ht="24.95" customHeight="1" x14ac:dyDescent="0.2">
      <c r="A734" s="20" t="str">
        <f t="shared" si="11"/>
        <v/>
      </c>
    </row>
    <row r="735" spans="1:1" ht="24.95" customHeight="1" x14ac:dyDescent="0.2">
      <c r="A735" s="20" t="str">
        <f t="shared" si="11"/>
        <v/>
      </c>
    </row>
    <row r="736" spans="1:1" ht="24.95" customHeight="1" x14ac:dyDescent="0.2">
      <c r="A736" s="20" t="str">
        <f t="shared" si="11"/>
        <v/>
      </c>
    </row>
    <row r="737" spans="1:1" ht="24.95" customHeight="1" x14ac:dyDescent="0.2">
      <c r="A737" s="20" t="str">
        <f t="shared" si="11"/>
        <v/>
      </c>
    </row>
    <row r="738" spans="1:1" ht="24.95" customHeight="1" x14ac:dyDescent="0.2">
      <c r="A738" s="20" t="str">
        <f t="shared" si="11"/>
        <v/>
      </c>
    </row>
    <row r="739" spans="1:1" ht="24.95" customHeight="1" x14ac:dyDescent="0.2">
      <c r="A739" s="20" t="str">
        <f t="shared" si="11"/>
        <v/>
      </c>
    </row>
    <row r="740" spans="1:1" ht="24.95" customHeight="1" x14ac:dyDescent="0.2">
      <c r="A740" s="20" t="str">
        <f t="shared" si="11"/>
        <v/>
      </c>
    </row>
    <row r="741" spans="1:1" ht="24.95" customHeight="1" x14ac:dyDescent="0.2">
      <c r="A741" s="20" t="str">
        <f t="shared" si="11"/>
        <v/>
      </c>
    </row>
    <row r="742" spans="1:1" ht="24.95" customHeight="1" x14ac:dyDescent="0.2">
      <c r="A742" s="20" t="str">
        <f t="shared" si="11"/>
        <v/>
      </c>
    </row>
    <row r="743" spans="1:1" ht="24.95" customHeight="1" x14ac:dyDescent="0.2">
      <c r="A743" s="20" t="str">
        <f t="shared" si="11"/>
        <v/>
      </c>
    </row>
    <row r="744" spans="1:1" ht="24.95" customHeight="1" x14ac:dyDescent="0.2">
      <c r="A744" s="20" t="str">
        <f t="shared" si="11"/>
        <v/>
      </c>
    </row>
    <row r="745" spans="1:1" ht="24.95" customHeight="1" x14ac:dyDescent="0.2">
      <c r="A745" s="20" t="str">
        <f t="shared" si="11"/>
        <v/>
      </c>
    </row>
    <row r="746" spans="1:1" ht="24.95" customHeight="1" x14ac:dyDescent="0.2">
      <c r="A746" s="20" t="str">
        <f t="shared" si="11"/>
        <v/>
      </c>
    </row>
    <row r="747" spans="1:1" ht="24.95" customHeight="1" x14ac:dyDescent="0.2">
      <c r="A747" s="20" t="str">
        <f t="shared" si="11"/>
        <v/>
      </c>
    </row>
    <row r="748" spans="1:1" ht="24.95" customHeight="1" x14ac:dyDescent="0.2">
      <c r="A748" s="20" t="str">
        <f t="shared" si="11"/>
        <v/>
      </c>
    </row>
    <row r="749" spans="1:1" ht="24.95" customHeight="1" x14ac:dyDescent="0.2">
      <c r="A749" s="20" t="str">
        <f t="shared" si="11"/>
        <v/>
      </c>
    </row>
    <row r="750" spans="1:1" ht="24.95" customHeight="1" x14ac:dyDescent="0.2">
      <c r="A750" s="20" t="str">
        <f t="shared" si="11"/>
        <v/>
      </c>
    </row>
    <row r="751" spans="1:1" ht="24.95" customHeight="1" x14ac:dyDescent="0.2">
      <c r="A751" s="20" t="str">
        <f t="shared" si="11"/>
        <v/>
      </c>
    </row>
    <row r="752" spans="1:1" ht="24.95" customHeight="1" x14ac:dyDescent="0.2">
      <c r="A752" s="20" t="str">
        <f t="shared" si="11"/>
        <v/>
      </c>
    </row>
    <row r="753" spans="1:1" ht="24.95" customHeight="1" x14ac:dyDescent="0.2">
      <c r="A753" s="20" t="str">
        <f t="shared" si="11"/>
        <v/>
      </c>
    </row>
    <row r="754" spans="1:1" ht="24.95" customHeight="1" x14ac:dyDescent="0.2">
      <c r="A754" s="20" t="str">
        <f t="shared" si="11"/>
        <v/>
      </c>
    </row>
    <row r="755" spans="1:1" ht="24.95" customHeight="1" x14ac:dyDescent="0.2">
      <c r="A755" s="20" t="str">
        <f t="shared" si="11"/>
        <v/>
      </c>
    </row>
    <row r="756" spans="1:1" ht="24.95" customHeight="1" x14ac:dyDescent="0.2">
      <c r="A756" s="20" t="str">
        <f t="shared" si="11"/>
        <v/>
      </c>
    </row>
    <row r="757" spans="1:1" ht="24.95" customHeight="1" x14ac:dyDescent="0.2">
      <c r="A757" s="20" t="str">
        <f t="shared" si="11"/>
        <v/>
      </c>
    </row>
    <row r="758" spans="1:1" ht="24.95" customHeight="1" x14ac:dyDescent="0.2">
      <c r="A758" s="20" t="str">
        <f t="shared" si="11"/>
        <v/>
      </c>
    </row>
    <row r="759" spans="1:1" ht="24.95" customHeight="1" x14ac:dyDescent="0.2">
      <c r="A759" s="20" t="str">
        <f t="shared" si="11"/>
        <v/>
      </c>
    </row>
    <row r="760" spans="1:1" ht="24.95" customHeight="1" x14ac:dyDescent="0.2">
      <c r="A760" s="20" t="str">
        <f t="shared" si="11"/>
        <v/>
      </c>
    </row>
    <row r="761" spans="1:1" ht="24.95" customHeight="1" x14ac:dyDescent="0.2">
      <c r="A761" s="20" t="str">
        <f t="shared" si="11"/>
        <v/>
      </c>
    </row>
    <row r="762" spans="1:1" ht="24.95" customHeight="1" x14ac:dyDescent="0.2">
      <c r="A762" s="20" t="str">
        <f t="shared" si="11"/>
        <v/>
      </c>
    </row>
    <row r="763" spans="1:1" ht="24.95" customHeight="1" x14ac:dyDescent="0.2">
      <c r="A763" s="20" t="str">
        <f t="shared" si="11"/>
        <v/>
      </c>
    </row>
    <row r="764" spans="1:1" ht="24.95" customHeight="1" x14ac:dyDescent="0.2">
      <c r="A764" s="20" t="str">
        <f t="shared" si="11"/>
        <v/>
      </c>
    </row>
    <row r="765" spans="1:1" ht="24.95" customHeight="1" x14ac:dyDescent="0.2">
      <c r="A765" s="20" t="str">
        <f t="shared" si="11"/>
        <v/>
      </c>
    </row>
    <row r="766" spans="1:1" ht="24.95" customHeight="1" x14ac:dyDescent="0.2">
      <c r="A766" s="20" t="str">
        <f t="shared" si="11"/>
        <v/>
      </c>
    </row>
    <row r="767" spans="1:1" ht="24.95" customHeight="1" x14ac:dyDescent="0.2">
      <c r="A767" s="20" t="str">
        <f t="shared" si="11"/>
        <v/>
      </c>
    </row>
    <row r="768" spans="1:1" ht="24.95" customHeight="1" x14ac:dyDescent="0.2">
      <c r="A768" s="20" t="str">
        <f t="shared" si="11"/>
        <v/>
      </c>
    </row>
    <row r="769" spans="1:1" ht="24.95" customHeight="1" x14ac:dyDescent="0.2">
      <c r="A769" s="20" t="str">
        <f t="shared" si="11"/>
        <v/>
      </c>
    </row>
    <row r="770" spans="1:1" ht="24.95" customHeight="1" x14ac:dyDescent="0.2">
      <c r="A770" s="20" t="str">
        <f t="shared" si="11"/>
        <v/>
      </c>
    </row>
    <row r="771" spans="1:1" ht="24.95" customHeight="1" x14ac:dyDescent="0.2">
      <c r="A771" s="20" t="str">
        <f t="shared" si="11"/>
        <v/>
      </c>
    </row>
    <row r="772" spans="1:1" ht="24.95" customHeight="1" x14ac:dyDescent="0.2">
      <c r="A772" s="20" t="str">
        <f t="shared" si="11"/>
        <v/>
      </c>
    </row>
    <row r="773" spans="1:1" ht="24.95" customHeight="1" x14ac:dyDescent="0.2">
      <c r="A773" s="20" t="str">
        <f t="shared" si="11"/>
        <v/>
      </c>
    </row>
    <row r="774" spans="1:1" ht="24.95" customHeight="1" x14ac:dyDescent="0.2">
      <c r="A774" s="20" t="str">
        <f t="shared" si="11"/>
        <v/>
      </c>
    </row>
    <row r="775" spans="1:1" ht="24.95" customHeight="1" x14ac:dyDescent="0.2">
      <c r="A775" s="20" t="str">
        <f t="shared" si="11"/>
        <v/>
      </c>
    </row>
    <row r="776" spans="1:1" ht="24.95" customHeight="1" x14ac:dyDescent="0.2">
      <c r="A776" s="20" t="str">
        <f t="shared" si="11"/>
        <v/>
      </c>
    </row>
    <row r="777" spans="1:1" ht="24.95" customHeight="1" x14ac:dyDescent="0.2">
      <c r="A777" s="20" t="str">
        <f t="shared" si="11"/>
        <v/>
      </c>
    </row>
    <row r="778" spans="1:1" ht="24.95" customHeight="1" x14ac:dyDescent="0.2">
      <c r="A778" s="20" t="str">
        <f t="shared" si="11"/>
        <v/>
      </c>
    </row>
    <row r="779" spans="1:1" ht="24.95" customHeight="1" x14ac:dyDescent="0.2">
      <c r="A779" s="20" t="str">
        <f t="shared" si="11"/>
        <v/>
      </c>
    </row>
    <row r="780" spans="1:1" ht="24.95" customHeight="1" x14ac:dyDescent="0.2">
      <c r="A780" s="20" t="str">
        <f t="shared" ref="A780:A843" si="12">IF(AND(B779&lt;&gt;"",B780=""),$A$10&amp;"---&gt;","")</f>
        <v/>
      </c>
    </row>
    <row r="781" spans="1:1" ht="24.95" customHeight="1" x14ac:dyDescent="0.2">
      <c r="A781" s="20" t="str">
        <f t="shared" si="12"/>
        <v/>
      </c>
    </row>
    <row r="782" spans="1:1" ht="24.95" customHeight="1" x14ac:dyDescent="0.2">
      <c r="A782" s="20" t="str">
        <f t="shared" si="12"/>
        <v/>
      </c>
    </row>
    <row r="783" spans="1:1" ht="24.95" customHeight="1" x14ac:dyDescent="0.2">
      <c r="A783" s="20" t="str">
        <f t="shared" si="12"/>
        <v/>
      </c>
    </row>
    <row r="784" spans="1:1" ht="24.95" customHeight="1" x14ac:dyDescent="0.2">
      <c r="A784" s="20" t="str">
        <f t="shared" si="12"/>
        <v/>
      </c>
    </row>
    <row r="785" spans="1:1" ht="24.95" customHeight="1" x14ac:dyDescent="0.2">
      <c r="A785" s="20" t="str">
        <f t="shared" si="12"/>
        <v/>
      </c>
    </row>
    <row r="786" spans="1:1" ht="24.95" customHeight="1" x14ac:dyDescent="0.2">
      <c r="A786" s="20" t="str">
        <f t="shared" si="12"/>
        <v/>
      </c>
    </row>
    <row r="787" spans="1:1" ht="24.95" customHeight="1" x14ac:dyDescent="0.2">
      <c r="A787" s="20" t="str">
        <f t="shared" si="12"/>
        <v/>
      </c>
    </row>
    <row r="788" spans="1:1" ht="24.95" customHeight="1" x14ac:dyDescent="0.2">
      <c r="A788" s="20" t="str">
        <f t="shared" si="12"/>
        <v/>
      </c>
    </row>
    <row r="789" spans="1:1" ht="24.95" customHeight="1" x14ac:dyDescent="0.2">
      <c r="A789" s="20" t="str">
        <f t="shared" si="12"/>
        <v/>
      </c>
    </row>
    <row r="790" spans="1:1" ht="24.95" customHeight="1" x14ac:dyDescent="0.2">
      <c r="A790" s="20" t="str">
        <f t="shared" si="12"/>
        <v/>
      </c>
    </row>
    <row r="791" spans="1:1" ht="24.95" customHeight="1" x14ac:dyDescent="0.2">
      <c r="A791" s="20" t="str">
        <f t="shared" si="12"/>
        <v/>
      </c>
    </row>
    <row r="792" spans="1:1" ht="24.95" customHeight="1" x14ac:dyDescent="0.2">
      <c r="A792" s="20" t="str">
        <f t="shared" si="12"/>
        <v/>
      </c>
    </row>
    <row r="793" spans="1:1" ht="24.95" customHeight="1" x14ac:dyDescent="0.2">
      <c r="A793" s="20" t="str">
        <f t="shared" si="12"/>
        <v/>
      </c>
    </row>
    <row r="794" spans="1:1" ht="24.95" customHeight="1" x14ac:dyDescent="0.2">
      <c r="A794" s="20" t="str">
        <f t="shared" si="12"/>
        <v/>
      </c>
    </row>
    <row r="795" spans="1:1" ht="24.95" customHeight="1" x14ac:dyDescent="0.2">
      <c r="A795" s="20" t="str">
        <f t="shared" si="12"/>
        <v/>
      </c>
    </row>
    <row r="796" spans="1:1" ht="24.95" customHeight="1" x14ac:dyDescent="0.2">
      <c r="A796" s="20" t="str">
        <f t="shared" si="12"/>
        <v/>
      </c>
    </row>
    <row r="797" spans="1:1" ht="24.95" customHeight="1" x14ac:dyDescent="0.2">
      <c r="A797" s="20" t="str">
        <f t="shared" si="12"/>
        <v/>
      </c>
    </row>
    <row r="798" spans="1:1" ht="24.95" customHeight="1" x14ac:dyDescent="0.2">
      <c r="A798" s="20" t="str">
        <f t="shared" si="12"/>
        <v/>
      </c>
    </row>
    <row r="799" spans="1:1" ht="24.95" customHeight="1" x14ac:dyDescent="0.2">
      <c r="A799" s="20" t="str">
        <f t="shared" si="12"/>
        <v/>
      </c>
    </row>
    <row r="800" spans="1:1" ht="24.95" customHeight="1" x14ac:dyDescent="0.2">
      <c r="A800" s="20" t="str">
        <f t="shared" si="12"/>
        <v/>
      </c>
    </row>
    <row r="801" spans="1:1" ht="24.95" customHeight="1" x14ac:dyDescent="0.2">
      <c r="A801" s="20" t="str">
        <f t="shared" si="12"/>
        <v/>
      </c>
    </row>
    <row r="802" spans="1:1" ht="24.95" customHeight="1" x14ac:dyDescent="0.2">
      <c r="A802" s="20" t="str">
        <f t="shared" si="12"/>
        <v/>
      </c>
    </row>
    <row r="803" spans="1:1" ht="24.95" customHeight="1" x14ac:dyDescent="0.2">
      <c r="A803" s="20" t="str">
        <f t="shared" si="12"/>
        <v/>
      </c>
    </row>
    <row r="804" spans="1:1" ht="24.95" customHeight="1" x14ac:dyDescent="0.2">
      <c r="A804" s="20" t="str">
        <f t="shared" si="12"/>
        <v/>
      </c>
    </row>
    <row r="805" spans="1:1" ht="24.95" customHeight="1" x14ac:dyDescent="0.2">
      <c r="A805" s="20" t="str">
        <f t="shared" si="12"/>
        <v/>
      </c>
    </row>
    <row r="806" spans="1:1" ht="24.95" customHeight="1" x14ac:dyDescent="0.2">
      <c r="A806" s="20" t="str">
        <f t="shared" si="12"/>
        <v/>
      </c>
    </row>
    <row r="807" spans="1:1" ht="24.95" customHeight="1" x14ac:dyDescent="0.2">
      <c r="A807" s="20" t="str">
        <f t="shared" si="12"/>
        <v/>
      </c>
    </row>
    <row r="808" spans="1:1" ht="24.95" customHeight="1" x14ac:dyDescent="0.2">
      <c r="A808" s="20" t="str">
        <f t="shared" si="12"/>
        <v/>
      </c>
    </row>
    <row r="809" spans="1:1" ht="24.95" customHeight="1" x14ac:dyDescent="0.2">
      <c r="A809" s="20" t="str">
        <f t="shared" si="12"/>
        <v/>
      </c>
    </row>
    <row r="810" spans="1:1" ht="24.95" customHeight="1" x14ac:dyDescent="0.2">
      <c r="A810" s="20" t="str">
        <f t="shared" si="12"/>
        <v/>
      </c>
    </row>
    <row r="811" spans="1:1" ht="24.95" customHeight="1" x14ac:dyDescent="0.2">
      <c r="A811" s="20" t="str">
        <f t="shared" si="12"/>
        <v/>
      </c>
    </row>
    <row r="812" spans="1:1" ht="24.95" customHeight="1" x14ac:dyDescent="0.2">
      <c r="A812" s="20" t="str">
        <f t="shared" si="12"/>
        <v/>
      </c>
    </row>
    <row r="813" spans="1:1" ht="24.95" customHeight="1" x14ac:dyDescent="0.2">
      <c r="A813" s="20" t="str">
        <f t="shared" si="12"/>
        <v/>
      </c>
    </row>
    <row r="814" spans="1:1" ht="24.95" customHeight="1" x14ac:dyDescent="0.2">
      <c r="A814" s="20" t="str">
        <f t="shared" si="12"/>
        <v/>
      </c>
    </row>
    <row r="815" spans="1:1" ht="24.95" customHeight="1" x14ac:dyDescent="0.2">
      <c r="A815" s="20" t="str">
        <f t="shared" si="12"/>
        <v/>
      </c>
    </row>
    <row r="816" spans="1:1" ht="24.95" customHeight="1" x14ac:dyDescent="0.2">
      <c r="A816" s="20" t="str">
        <f t="shared" si="12"/>
        <v/>
      </c>
    </row>
    <row r="817" spans="1:1" ht="24.95" customHeight="1" x14ac:dyDescent="0.2">
      <c r="A817" s="20" t="str">
        <f t="shared" si="12"/>
        <v/>
      </c>
    </row>
    <row r="818" spans="1:1" ht="24.95" customHeight="1" x14ac:dyDescent="0.2">
      <c r="A818" s="20" t="str">
        <f t="shared" si="12"/>
        <v/>
      </c>
    </row>
    <row r="819" spans="1:1" ht="24.95" customHeight="1" x14ac:dyDescent="0.2">
      <c r="A819" s="20" t="str">
        <f t="shared" si="12"/>
        <v/>
      </c>
    </row>
    <row r="820" spans="1:1" ht="24.95" customHeight="1" x14ac:dyDescent="0.2">
      <c r="A820" s="20" t="str">
        <f t="shared" si="12"/>
        <v/>
      </c>
    </row>
    <row r="821" spans="1:1" ht="24.95" customHeight="1" x14ac:dyDescent="0.2">
      <c r="A821" s="20" t="str">
        <f t="shared" si="12"/>
        <v/>
      </c>
    </row>
    <row r="822" spans="1:1" ht="24.95" customHeight="1" x14ac:dyDescent="0.2">
      <c r="A822" s="20" t="str">
        <f t="shared" si="12"/>
        <v/>
      </c>
    </row>
    <row r="823" spans="1:1" ht="24.95" customHeight="1" x14ac:dyDescent="0.2">
      <c r="A823" s="20" t="str">
        <f t="shared" si="12"/>
        <v/>
      </c>
    </row>
    <row r="824" spans="1:1" ht="24.95" customHeight="1" x14ac:dyDescent="0.2">
      <c r="A824" s="20" t="str">
        <f t="shared" si="12"/>
        <v/>
      </c>
    </row>
    <row r="825" spans="1:1" ht="24.95" customHeight="1" x14ac:dyDescent="0.2">
      <c r="A825" s="20" t="str">
        <f t="shared" si="12"/>
        <v/>
      </c>
    </row>
    <row r="826" spans="1:1" ht="24.95" customHeight="1" x14ac:dyDescent="0.2">
      <c r="A826" s="20" t="str">
        <f t="shared" si="12"/>
        <v/>
      </c>
    </row>
    <row r="827" spans="1:1" ht="24.95" customHeight="1" x14ac:dyDescent="0.2">
      <c r="A827" s="20" t="str">
        <f t="shared" si="12"/>
        <v/>
      </c>
    </row>
    <row r="828" spans="1:1" ht="24.95" customHeight="1" x14ac:dyDescent="0.2">
      <c r="A828" s="20" t="str">
        <f t="shared" si="12"/>
        <v/>
      </c>
    </row>
    <row r="829" spans="1:1" ht="24.95" customHeight="1" x14ac:dyDescent="0.2">
      <c r="A829" s="20" t="str">
        <f t="shared" si="12"/>
        <v/>
      </c>
    </row>
    <row r="830" spans="1:1" ht="24.95" customHeight="1" x14ac:dyDescent="0.2">
      <c r="A830" s="20" t="str">
        <f t="shared" si="12"/>
        <v/>
      </c>
    </row>
    <row r="831" spans="1:1" ht="24.95" customHeight="1" x14ac:dyDescent="0.2">
      <c r="A831" s="20" t="str">
        <f t="shared" si="12"/>
        <v/>
      </c>
    </row>
    <row r="832" spans="1:1" ht="24.95" customHeight="1" x14ac:dyDescent="0.2">
      <c r="A832" s="20" t="str">
        <f t="shared" si="12"/>
        <v/>
      </c>
    </row>
    <row r="833" spans="1:1" ht="24.95" customHeight="1" x14ac:dyDescent="0.2">
      <c r="A833" s="20" t="str">
        <f t="shared" si="12"/>
        <v/>
      </c>
    </row>
    <row r="834" spans="1:1" ht="24.95" customHeight="1" x14ac:dyDescent="0.2">
      <c r="A834" s="20" t="str">
        <f t="shared" si="12"/>
        <v/>
      </c>
    </row>
    <row r="835" spans="1:1" ht="24.95" customHeight="1" x14ac:dyDescent="0.2">
      <c r="A835" s="20" t="str">
        <f t="shared" si="12"/>
        <v/>
      </c>
    </row>
    <row r="836" spans="1:1" ht="24.95" customHeight="1" x14ac:dyDescent="0.2">
      <c r="A836" s="20" t="str">
        <f t="shared" si="12"/>
        <v/>
      </c>
    </row>
    <row r="837" spans="1:1" ht="24.95" customHeight="1" x14ac:dyDescent="0.2">
      <c r="A837" s="20" t="str">
        <f t="shared" si="12"/>
        <v/>
      </c>
    </row>
    <row r="838" spans="1:1" ht="24.95" customHeight="1" x14ac:dyDescent="0.2">
      <c r="A838" s="20" t="str">
        <f t="shared" si="12"/>
        <v/>
      </c>
    </row>
    <row r="839" spans="1:1" ht="24.95" customHeight="1" x14ac:dyDescent="0.2">
      <c r="A839" s="20" t="str">
        <f t="shared" si="12"/>
        <v/>
      </c>
    </row>
    <row r="840" spans="1:1" ht="24.95" customHeight="1" x14ac:dyDescent="0.2">
      <c r="A840" s="20" t="str">
        <f t="shared" si="12"/>
        <v/>
      </c>
    </row>
    <row r="841" spans="1:1" ht="24.95" customHeight="1" x14ac:dyDescent="0.2">
      <c r="A841" s="20" t="str">
        <f t="shared" si="12"/>
        <v/>
      </c>
    </row>
    <row r="842" spans="1:1" ht="24.95" customHeight="1" x14ac:dyDescent="0.2">
      <c r="A842" s="20" t="str">
        <f t="shared" si="12"/>
        <v/>
      </c>
    </row>
    <row r="843" spans="1:1" ht="24.95" customHeight="1" x14ac:dyDescent="0.2">
      <c r="A843" s="20" t="str">
        <f t="shared" si="12"/>
        <v/>
      </c>
    </row>
    <row r="844" spans="1:1" ht="24.95" customHeight="1" x14ac:dyDescent="0.2">
      <c r="A844" s="20" t="str">
        <f t="shared" ref="A844:A907" si="13">IF(AND(B843&lt;&gt;"",B844=""),$A$10&amp;"---&gt;","")</f>
        <v/>
      </c>
    </row>
    <row r="845" spans="1:1" ht="24.95" customHeight="1" x14ac:dyDescent="0.2">
      <c r="A845" s="20" t="str">
        <f t="shared" si="13"/>
        <v/>
      </c>
    </row>
    <row r="846" spans="1:1" ht="24.95" customHeight="1" x14ac:dyDescent="0.2">
      <c r="A846" s="20" t="str">
        <f t="shared" si="13"/>
        <v/>
      </c>
    </row>
    <row r="847" spans="1:1" ht="24.95" customHeight="1" x14ac:dyDescent="0.2">
      <c r="A847" s="20" t="str">
        <f t="shared" si="13"/>
        <v/>
      </c>
    </row>
    <row r="848" spans="1:1" ht="24.95" customHeight="1" x14ac:dyDescent="0.2">
      <c r="A848" s="20" t="str">
        <f t="shared" si="13"/>
        <v/>
      </c>
    </row>
    <row r="849" spans="1:1" ht="24.95" customHeight="1" x14ac:dyDescent="0.2">
      <c r="A849" s="20" t="str">
        <f t="shared" si="13"/>
        <v/>
      </c>
    </row>
    <row r="850" spans="1:1" ht="24.95" customHeight="1" x14ac:dyDescent="0.2">
      <c r="A850" s="20" t="str">
        <f t="shared" si="13"/>
        <v/>
      </c>
    </row>
    <row r="851" spans="1:1" ht="24.95" customHeight="1" x14ac:dyDescent="0.2">
      <c r="A851" s="20" t="str">
        <f t="shared" si="13"/>
        <v/>
      </c>
    </row>
    <row r="852" spans="1:1" ht="24.95" customHeight="1" x14ac:dyDescent="0.2">
      <c r="A852" s="20" t="str">
        <f t="shared" si="13"/>
        <v/>
      </c>
    </row>
    <row r="853" spans="1:1" ht="24.95" customHeight="1" x14ac:dyDescent="0.2">
      <c r="A853" s="20" t="str">
        <f t="shared" si="13"/>
        <v/>
      </c>
    </row>
    <row r="854" spans="1:1" ht="24.95" customHeight="1" x14ac:dyDescent="0.2">
      <c r="A854" s="20" t="str">
        <f t="shared" si="13"/>
        <v/>
      </c>
    </row>
    <row r="855" spans="1:1" ht="24.95" customHeight="1" x14ac:dyDescent="0.2">
      <c r="A855" s="20" t="str">
        <f t="shared" si="13"/>
        <v/>
      </c>
    </row>
    <row r="856" spans="1:1" ht="24.95" customHeight="1" x14ac:dyDescent="0.2">
      <c r="A856" s="20" t="str">
        <f t="shared" si="13"/>
        <v/>
      </c>
    </row>
    <row r="857" spans="1:1" ht="24.95" customHeight="1" x14ac:dyDescent="0.2">
      <c r="A857" s="20" t="str">
        <f t="shared" si="13"/>
        <v/>
      </c>
    </row>
    <row r="858" spans="1:1" ht="24.95" customHeight="1" x14ac:dyDescent="0.2">
      <c r="A858" s="20" t="str">
        <f t="shared" si="13"/>
        <v/>
      </c>
    </row>
    <row r="859" spans="1:1" ht="24.95" customHeight="1" x14ac:dyDescent="0.2">
      <c r="A859" s="20" t="str">
        <f t="shared" si="13"/>
        <v/>
      </c>
    </row>
    <row r="860" spans="1:1" ht="24.95" customHeight="1" x14ac:dyDescent="0.2">
      <c r="A860" s="20" t="str">
        <f t="shared" si="13"/>
        <v/>
      </c>
    </row>
    <row r="861" spans="1:1" ht="24.95" customHeight="1" x14ac:dyDescent="0.2">
      <c r="A861" s="20" t="str">
        <f t="shared" si="13"/>
        <v/>
      </c>
    </row>
    <row r="862" spans="1:1" ht="24.95" customHeight="1" x14ac:dyDescent="0.2">
      <c r="A862" s="20" t="str">
        <f t="shared" si="13"/>
        <v/>
      </c>
    </row>
    <row r="863" spans="1:1" ht="24.95" customHeight="1" x14ac:dyDescent="0.2">
      <c r="A863" s="20" t="str">
        <f t="shared" si="13"/>
        <v/>
      </c>
    </row>
    <row r="864" spans="1:1" ht="24.95" customHeight="1" x14ac:dyDescent="0.2">
      <c r="A864" s="20" t="str">
        <f t="shared" si="13"/>
        <v/>
      </c>
    </row>
    <row r="865" spans="1:1" ht="24.95" customHeight="1" x14ac:dyDescent="0.2">
      <c r="A865" s="20" t="str">
        <f t="shared" si="13"/>
        <v/>
      </c>
    </row>
    <row r="866" spans="1:1" ht="24.95" customHeight="1" x14ac:dyDescent="0.2">
      <c r="A866" s="20" t="str">
        <f t="shared" si="13"/>
        <v/>
      </c>
    </row>
    <row r="867" spans="1:1" ht="24.95" customHeight="1" x14ac:dyDescent="0.2">
      <c r="A867" s="20" t="str">
        <f t="shared" si="13"/>
        <v/>
      </c>
    </row>
    <row r="868" spans="1:1" ht="24.95" customHeight="1" x14ac:dyDescent="0.2">
      <c r="A868" s="20" t="str">
        <f t="shared" si="13"/>
        <v/>
      </c>
    </row>
    <row r="869" spans="1:1" ht="24.95" customHeight="1" x14ac:dyDescent="0.2">
      <c r="A869" s="20" t="str">
        <f t="shared" si="13"/>
        <v/>
      </c>
    </row>
    <row r="870" spans="1:1" ht="24.95" customHeight="1" x14ac:dyDescent="0.2">
      <c r="A870" s="20" t="str">
        <f t="shared" si="13"/>
        <v/>
      </c>
    </row>
    <row r="871" spans="1:1" ht="24.95" customHeight="1" x14ac:dyDescent="0.2">
      <c r="A871" s="20" t="str">
        <f t="shared" si="13"/>
        <v/>
      </c>
    </row>
    <row r="872" spans="1:1" ht="24.95" customHeight="1" x14ac:dyDescent="0.2">
      <c r="A872" s="20" t="str">
        <f t="shared" si="13"/>
        <v/>
      </c>
    </row>
    <row r="873" spans="1:1" ht="24.95" customHeight="1" x14ac:dyDescent="0.2">
      <c r="A873" s="20" t="str">
        <f t="shared" si="13"/>
        <v/>
      </c>
    </row>
    <row r="874" spans="1:1" ht="24.95" customHeight="1" x14ac:dyDescent="0.2">
      <c r="A874" s="20" t="str">
        <f t="shared" si="13"/>
        <v/>
      </c>
    </row>
    <row r="875" spans="1:1" ht="24.95" customHeight="1" x14ac:dyDescent="0.2">
      <c r="A875" s="20" t="str">
        <f t="shared" si="13"/>
        <v/>
      </c>
    </row>
    <row r="876" spans="1:1" ht="24.95" customHeight="1" x14ac:dyDescent="0.2">
      <c r="A876" s="20" t="str">
        <f t="shared" si="13"/>
        <v/>
      </c>
    </row>
    <row r="877" spans="1:1" ht="24.95" customHeight="1" x14ac:dyDescent="0.2">
      <c r="A877" s="20" t="str">
        <f t="shared" si="13"/>
        <v/>
      </c>
    </row>
    <row r="878" spans="1:1" ht="24.95" customHeight="1" x14ac:dyDescent="0.2">
      <c r="A878" s="20" t="str">
        <f t="shared" si="13"/>
        <v/>
      </c>
    </row>
    <row r="879" spans="1:1" ht="24.95" customHeight="1" x14ac:dyDescent="0.2">
      <c r="A879" s="20" t="str">
        <f t="shared" si="13"/>
        <v/>
      </c>
    </row>
    <row r="880" spans="1:1" ht="24.95" customHeight="1" x14ac:dyDescent="0.2">
      <c r="A880" s="20" t="str">
        <f t="shared" si="13"/>
        <v/>
      </c>
    </row>
    <row r="881" spans="1:1" ht="24.95" customHeight="1" x14ac:dyDescent="0.2">
      <c r="A881" s="20" t="str">
        <f t="shared" si="13"/>
        <v/>
      </c>
    </row>
    <row r="882" spans="1:1" ht="24.95" customHeight="1" x14ac:dyDescent="0.2">
      <c r="A882" s="20" t="str">
        <f t="shared" si="13"/>
        <v/>
      </c>
    </row>
    <row r="883" spans="1:1" ht="24.95" customHeight="1" x14ac:dyDescent="0.2">
      <c r="A883" s="20" t="str">
        <f t="shared" si="13"/>
        <v/>
      </c>
    </row>
    <row r="884" spans="1:1" ht="24.95" customHeight="1" x14ac:dyDescent="0.2">
      <c r="A884" s="20" t="str">
        <f t="shared" si="13"/>
        <v/>
      </c>
    </row>
    <row r="885" spans="1:1" ht="24.95" customHeight="1" x14ac:dyDescent="0.2">
      <c r="A885" s="20" t="str">
        <f t="shared" si="13"/>
        <v/>
      </c>
    </row>
    <row r="886" spans="1:1" ht="24.95" customHeight="1" x14ac:dyDescent="0.2">
      <c r="A886" s="20" t="str">
        <f t="shared" si="13"/>
        <v/>
      </c>
    </row>
    <row r="887" spans="1:1" ht="24.95" customHeight="1" x14ac:dyDescent="0.2">
      <c r="A887" s="20" t="str">
        <f t="shared" si="13"/>
        <v/>
      </c>
    </row>
    <row r="888" spans="1:1" ht="24.95" customHeight="1" x14ac:dyDescent="0.2">
      <c r="A888" s="20" t="str">
        <f t="shared" si="13"/>
        <v/>
      </c>
    </row>
    <row r="889" spans="1:1" ht="24.95" customHeight="1" x14ac:dyDescent="0.2">
      <c r="A889" s="20" t="str">
        <f t="shared" si="13"/>
        <v/>
      </c>
    </row>
    <row r="890" spans="1:1" ht="24.95" customHeight="1" x14ac:dyDescent="0.2">
      <c r="A890" s="20" t="str">
        <f t="shared" si="13"/>
        <v/>
      </c>
    </row>
    <row r="891" spans="1:1" ht="24.95" customHeight="1" x14ac:dyDescent="0.2">
      <c r="A891" s="20" t="str">
        <f t="shared" si="13"/>
        <v/>
      </c>
    </row>
    <row r="892" spans="1:1" ht="24.95" customHeight="1" x14ac:dyDescent="0.2">
      <c r="A892" s="20" t="str">
        <f t="shared" si="13"/>
        <v/>
      </c>
    </row>
    <row r="893" spans="1:1" ht="24.95" customHeight="1" x14ac:dyDescent="0.2">
      <c r="A893" s="20" t="str">
        <f t="shared" si="13"/>
        <v/>
      </c>
    </row>
    <row r="894" spans="1:1" ht="24.95" customHeight="1" x14ac:dyDescent="0.2">
      <c r="A894" s="20" t="str">
        <f t="shared" si="13"/>
        <v/>
      </c>
    </row>
    <row r="895" spans="1:1" ht="24.95" customHeight="1" x14ac:dyDescent="0.2">
      <c r="A895" s="20" t="str">
        <f t="shared" si="13"/>
        <v/>
      </c>
    </row>
    <row r="896" spans="1:1" ht="24.95" customHeight="1" x14ac:dyDescent="0.2">
      <c r="A896" s="20" t="str">
        <f t="shared" si="13"/>
        <v/>
      </c>
    </row>
    <row r="897" spans="1:1" ht="24.95" customHeight="1" x14ac:dyDescent="0.2">
      <c r="A897" s="20" t="str">
        <f t="shared" si="13"/>
        <v/>
      </c>
    </row>
    <row r="898" spans="1:1" ht="24.95" customHeight="1" x14ac:dyDescent="0.2">
      <c r="A898" s="20" t="str">
        <f t="shared" si="13"/>
        <v/>
      </c>
    </row>
    <row r="899" spans="1:1" ht="24.95" customHeight="1" x14ac:dyDescent="0.2">
      <c r="A899" s="20" t="str">
        <f t="shared" si="13"/>
        <v/>
      </c>
    </row>
    <row r="900" spans="1:1" ht="24.95" customHeight="1" x14ac:dyDescent="0.2">
      <c r="A900" s="20" t="str">
        <f t="shared" si="13"/>
        <v/>
      </c>
    </row>
    <row r="901" spans="1:1" ht="24.95" customHeight="1" x14ac:dyDescent="0.2">
      <c r="A901" s="20" t="str">
        <f t="shared" si="13"/>
        <v/>
      </c>
    </row>
    <row r="902" spans="1:1" ht="24.95" customHeight="1" x14ac:dyDescent="0.2">
      <c r="A902" s="20" t="str">
        <f t="shared" si="13"/>
        <v/>
      </c>
    </row>
    <row r="903" spans="1:1" ht="24.95" customHeight="1" x14ac:dyDescent="0.2">
      <c r="A903" s="20" t="str">
        <f t="shared" si="13"/>
        <v/>
      </c>
    </row>
    <row r="904" spans="1:1" ht="24.95" customHeight="1" x14ac:dyDescent="0.2">
      <c r="A904" s="20" t="str">
        <f t="shared" si="13"/>
        <v/>
      </c>
    </row>
    <row r="905" spans="1:1" ht="24.95" customHeight="1" x14ac:dyDescent="0.2">
      <c r="A905" s="20" t="str">
        <f t="shared" si="13"/>
        <v/>
      </c>
    </row>
    <row r="906" spans="1:1" ht="24.95" customHeight="1" x14ac:dyDescent="0.2">
      <c r="A906" s="20" t="str">
        <f t="shared" si="13"/>
        <v/>
      </c>
    </row>
    <row r="907" spans="1:1" ht="24.95" customHeight="1" x14ac:dyDescent="0.2">
      <c r="A907" s="20" t="str">
        <f t="shared" si="13"/>
        <v/>
      </c>
    </row>
    <row r="908" spans="1:1" ht="24.95" customHeight="1" x14ac:dyDescent="0.2">
      <c r="A908" s="20" t="str">
        <f t="shared" ref="A908:A971" si="14">IF(AND(B907&lt;&gt;"",B908=""),$A$10&amp;"---&gt;","")</f>
        <v/>
      </c>
    </row>
    <row r="909" spans="1:1" ht="24.95" customHeight="1" x14ac:dyDescent="0.2">
      <c r="A909" s="20" t="str">
        <f t="shared" si="14"/>
        <v/>
      </c>
    </row>
    <row r="910" spans="1:1" ht="24.95" customHeight="1" x14ac:dyDescent="0.2">
      <c r="A910" s="20" t="str">
        <f t="shared" si="14"/>
        <v/>
      </c>
    </row>
    <row r="911" spans="1:1" ht="24.95" customHeight="1" x14ac:dyDescent="0.2">
      <c r="A911" s="20" t="str">
        <f t="shared" si="14"/>
        <v/>
      </c>
    </row>
    <row r="912" spans="1:1" ht="24.95" customHeight="1" x14ac:dyDescent="0.2">
      <c r="A912" s="20" t="str">
        <f t="shared" si="14"/>
        <v/>
      </c>
    </row>
    <row r="913" spans="1:1" ht="24.95" customHeight="1" x14ac:dyDescent="0.2">
      <c r="A913" s="20" t="str">
        <f t="shared" si="14"/>
        <v/>
      </c>
    </row>
    <row r="914" spans="1:1" ht="24.95" customHeight="1" x14ac:dyDescent="0.2">
      <c r="A914" s="20" t="str">
        <f t="shared" si="14"/>
        <v/>
      </c>
    </row>
    <row r="915" spans="1:1" ht="24.95" customHeight="1" x14ac:dyDescent="0.2">
      <c r="A915" s="20" t="str">
        <f t="shared" si="14"/>
        <v/>
      </c>
    </row>
    <row r="916" spans="1:1" ht="24.95" customHeight="1" x14ac:dyDescent="0.2">
      <c r="A916" s="20" t="str">
        <f t="shared" si="14"/>
        <v/>
      </c>
    </row>
    <row r="917" spans="1:1" ht="24.95" customHeight="1" x14ac:dyDescent="0.2">
      <c r="A917" s="20" t="str">
        <f t="shared" si="14"/>
        <v/>
      </c>
    </row>
    <row r="918" spans="1:1" ht="24.95" customHeight="1" x14ac:dyDescent="0.2">
      <c r="A918" s="20" t="str">
        <f t="shared" si="14"/>
        <v/>
      </c>
    </row>
    <row r="919" spans="1:1" ht="24.95" customHeight="1" x14ac:dyDescent="0.2">
      <c r="A919" s="20" t="str">
        <f t="shared" si="14"/>
        <v/>
      </c>
    </row>
    <row r="920" spans="1:1" ht="24.95" customHeight="1" x14ac:dyDescent="0.2">
      <c r="A920" s="20" t="str">
        <f t="shared" si="14"/>
        <v/>
      </c>
    </row>
    <row r="921" spans="1:1" ht="24.95" customHeight="1" x14ac:dyDescent="0.2">
      <c r="A921" s="20" t="str">
        <f t="shared" si="14"/>
        <v/>
      </c>
    </row>
    <row r="922" spans="1:1" ht="24.95" customHeight="1" x14ac:dyDescent="0.2">
      <c r="A922" s="20" t="str">
        <f t="shared" si="14"/>
        <v/>
      </c>
    </row>
    <row r="923" spans="1:1" ht="24.95" customHeight="1" x14ac:dyDescent="0.2">
      <c r="A923" s="20" t="str">
        <f t="shared" si="14"/>
        <v/>
      </c>
    </row>
    <row r="924" spans="1:1" ht="24.95" customHeight="1" x14ac:dyDescent="0.2">
      <c r="A924" s="20" t="str">
        <f t="shared" si="14"/>
        <v/>
      </c>
    </row>
    <row r="925" spans="1:1" ht="24.95" customHeight="1" x14ac:dyDescent="0.2">
      <c r="A925" s="20" t="str">
        <f t="shared" si="14"/>
        <v/>
      </c>
    </row>
    <row r="926" spans="1:1" ht="24.95" customHeight="1" x14ac:dyDescent="0.2">
      <c r="A926" s="20" t="str">
        <f t="shared" si="14"/>
        <v/>
      </c>
    </row>
    <row r="927" spans="1:1" ht="24.95" customHeight="1" x14ac:dyDescent="0.2">
      <c r="A927" s="20" t="str">
        <f t="shared" si="14"/>
        <v/>
      </c>
    </row>
    <row r="928" spans="1:1" ht="24.95" customHeight="1" x14ac:dyDescent="0.2">
      <c r="A928" s="20" t="str">
        <f t="shared" si="14"/>
        <v/>
      </c>
    </row>
    <row r="929" spans="1:1" ht="24.95" customHeight="1" x14ac:dyDescent="0.2">
      <c r="A929" s="20" t="str">
        <f t="shared" si="14"/>
        <v/>
      </c>
    </row>
    <row r="930" spans="1:1" ht="24.95" customHeight="1" x14ac:dyDescent="0.2">
      <c r="A930" s="20" t="str">
        <f t="shared" si="14"/>
        <v/>
      </c>
    </row>
    <row r="931" spans="1:1" ht="24.95" customHeight="1" x14ac:dyDescent="0.2">
      <c r="A931" s="20" t="str">
        <f t="shared" si="14"/>
        <v/>
      </c>
    </row>
    <row r="932" spans="1:1" ht="24.95" customHeight="1" x14ac:dyDescent="0.2">
      <c r="A932" s="20" t="str">
        <f t="shared" si="14"/>
        <v/>
      </c>
    </row>
    <row r="933" spans="1:1" ht="24.95" customHeight="1" x14ac:dyDescent="0.2">
      <c r="A933" s="20" t="str">
        <f t="shared" si="14"/>
        <v/>
      </c>
    </row>
    <row r="934" spans="1:1" ht="24.95" customHeight="1" x14ac:dyDescent="0.2">
      <c r="A934" s="20" t="str">
        <f t="shared" si="14"/>
        <v/>
      </c>
    </row>
    <row r="935" spans="1:1" ht="24.95" customHeight="1" x14ac:dyDescent="0.2">
      <c r="A935" s="20" t="str">
        <f t="shared" si="14"/>
        <v/>
      </c>
    </row>
    <row r="936" spans="1:1" ht="24.95" customHeight="1" x14ac:dyDescent="0.2">
      <c r="A936" s="20" t="str">
        <f t="shared" si="14"/>
        <v/>
      </c>
    </row>
    <row r="937" spans="1:1" ht="24.95" customHeight="1" x14ac:dyDescent="0.2">
      <c r="A937" s="20" t="str">
        <f t="shared" si="14"/>
        <v/>
      </c>
    </row>
    <row r="938" spans="1:1" ht="24.95" customHeight="1" x14ac:dyDescent="0.2">
      <c r="A938" s="20" t="str">
        <f t="shared" si="14"/>
        <v/>
      </c>
    </row>
    <row r="939" spans="1:1" ht="24.95" customHeight="1" x14ac:dyDescent="0.2">
      <c r="A939" s="20" t="str">
        <f t="shared" si="14"/>
        <v/>
      </c>
    </row>
    <row r="940" spans="1:1" ht="24.95" customHeight="1" x14ac:dyDescent="0.2">
      <c r="A940" s="20" t="str">
        <f t="shared" si="14"/>
        <v/>
      </c>
    </row>
    <row r="941" spans="1:1" ht="24.95" customHeight="1" x14ac:dyDescent="0.2">
      <c r="A941" s="20" t="str">
        <f t="shared" si="14"/>
        <v/>
      </c>
    </row>
    <row r="942" spans="1:1" ht="24.95" customHeight="1" x14ac:dyDescent="0.2">
      <c r="A942" s="20" t="str">
        <f t="shared" si="14"/>
        <v/>
      </c>
    </row>
    <row r="943" spans="1:1" ht="24.95" customHeight="1" x14ac:dyDescent="0.2">
      <c r="A943" s="20" t="str">
        <f t="shared" si="14"/>
        <v/>
      </c>
    </row>
    <row r="944" spans="1:1" ht="24.95" customHeight="1" x14ac:dyDescent="0.2">
      <c r="A944" s="20" t="str">
        <f t="shared" si="14"/>
        <v/>
      </c>
    </row>
    <row r="945" spans="1:1" ht="24.95" customHeight="1" x14ac:dyDescent="0.2">
      <c r="A945" s="20" t="str">
        <f t="shared" si="14"/>
        <v/>
      </c>
    </row>
    <row r="946" spans="1:1" ht="24.95" customHeight="1" x14ac:dyDescent="0.2">
      <c r="A946" s="20" t="str">
        <f t="shared" si="14"/>
        <v/>
      </c>
    </row>
    <row r="947" spans="1:1" ht="24.95" customHeight="1" x14ac:dyDescent="0.2">
      <c r="A947" s="20" t="str">
        <f t="shared" si="14"/>
        <v/>
      </c>
    </row>
    <row r="948" spans="1:1" ht="24.95" customHeight="1" x14ac:dyDescent="0.2">
      <c r="A948" s="20" t="str">
        <f t="shared" si="14"/>
        <v/>
      </c>
    </row>
    <row r="949" spans="1:1" ht="24.95" customHeight="1" x14ac:dyDescent="0.2">
      <c r="A949" s="20" t="str">
        <f t="shared" si="14"/>
        <v/>
      </c>
    </row>
    <row r="950" spans="1:1" ht="24.95" customHeight="1" x14ac:dyDescent="0.2">
      <c r="A950" s="20" t="str">
        <f t="shared" si="14"/>
        <v/>
      </c>
    </row>
    <row r="951" spans="1:1" ht="24.95" customHeight="1" x14ac:dyDescent="0.2">
      <c r="A951" s="20" t="str">
        <f t="shared" si="14"/>
        <v/>
      </c>
    </row>
    <row r="952" spans="1:1" ht="24.95" customHeight="1" x14ac:dyDescent="0.2">
      <c r="A952" s="20" t="str">
        <f t="shared" si="14"/>
        <v/>
      </c>
    </row>
    <row r="953" spans="1:1" ht="24.95" customHeight="1" x14ac:dyDescent="0.2">
      <c r="A953" s="20" t="str">
        <f t="shared" si="14"/>
        <v/>
      </c>
    </row>
    <row r="954" spans="1:1" ht="24.95" customHeight="1" x14ac:dyDescent="0.2">
      <c r="A954" s="20" t="str">
        <f t="shared" si="14"/>
        <v/>
      </c>
    </row>
    <row r="955" spans="1:1" ht="24.95" customHeight="1" x14ac:dyDescent="0.2">
      <c r="A955" s="20" t="str">
        <f t="shared" si="14"/>
        <v/>
      </c>
    </row>
    <row r="956" spans="1:1" ht="24.95" customHeight="1" x14ac:dyDescent="0.2">
      <c r="A956" s="20" t="str">
        <f t="shared" si="14"/>
        <v/>
      </c>
    </row>
    <row r="957" spans="1:1" ht="24.95" customHeight="1" x14ac:dyDescent="0.2">
      <c r="A957" s="20" t="str">
        <f t="shared" si="14"/>
        <v/>
      </c>
    </row>
    <row r="958" spans="1:1" ht="24.95" customHeight="1" x14ac:dyDescent="0.2">
      <c r="A958" s="20" t="str">
        <f t="shared" si="14"/>
        <v/>
      </c>
    </row>
    <row r="959" spans="1:1" ht="24.95" customHeight="1" x14ac:dyDescent="0.2">
      <c r="A959" s="20" t="str">
        <f t="shared" si="14"/>
        <v/>
      </c>
    </row>
    <row r="960" spans="1:1" ht="24.95" customHeight="1" x14ac:dyDescent="0.2">
      <c r="A960" s="20" t="str">
        <f t="shared" si="14"/>
        <v/>
      </c>
    </row>
    <row r="961" spans="1:1" ht="24.95" customHeight="1" x14ac:dyDescent="0.2">
      <c r="A961" s="20" t="str">
        <f t="shared" si="14"/>
        <v/>
      </c>
    </row>
    <row r="962" spans="1:1" ht="24.95" customHeight="1" x14ac:dyDescent="0.2">
      <c r="A962" s="20" t="str">
        <f t="shared" si="14"/>
        <v/>
      </c>
    </row>
    <row r="963" spans="1:1" ht="24.95" customHeight="1" x14ac:dyDescent="0.2">
      <c r="A963" s="20" t="str">
        <f t="shared" si="14"/>
        <v/>
      </c>
    </row>
    <row r="964" spans="1:1" ht="24.95" customHeight="1" x14ac:dyDescent="0.2">
      <c r="A964" s="20" t="str">
        <f t="shared" si="14"/>
        <v/>
      </c>
    </row>
    <row r="965" spans="1:1" ht="24.95" customHeight="1" x14ac:dyDescent="0.2">
      <c r="A965" s="20" t="str">
        <f t="shared" si="14"/>
        <v/>
      </c>
    </row>
    <row r="966" spans="1:1" ht="24.95" customHeight="1" x14ac:dyDescent="0.2">
      <c r="A966" s="20" t="str">
        <f t="shared" si="14"/>
        <v/>
      </c>
    </row>
    <row r="967" spans="1:1" ht="24.95" customHeight="1" x14ac:dyDescent="0.2">
      <c r="A967" s="20" t="str">
        <f t="shared" si="14"/>
        <v/>
      </c>
    </row>
    <row r="968" spans="1:1" ht="24.95" customHeight="1" x14ac:dyDescent="0.2">
      <c r="A968" s="20" t="str">
        <f t="shared" si="14"/>
        <v/>
      </c>
    </row>
    <row r="969" spans="1:1" ht="24.95" customHeight="1" x14ac:dyDescent="0.2">
      <c r="A969" s="20" t="str">
        <f t="shared" si="14"/>
        <v/>
      </c>
    </row>
    <row r="970" spans="1:1" ht="24.95" customHeight="1" x14ac:dyDescent="0.2">
      <c r="A970" s="20" t="str">
        <f t="shared" si="14"/>
        <v/>
      </c>
    </row>
    <row r="971" spans="1:1" ht="24.95" customHeight="1" x14ac:dyDescent="0.2">
      <c r="A971" s="20" t="str">
        <f t="shared" si="14"/>
        <v/>
      </c>
    </row>
    <row r="972" spans="1:1" ht="24.95" customHeight="1" x14ac:dyDescent="0.2">
      <c r="A972" s="20" t="str">
        <f t="shared" ref="A972:A1035" si="15">IF(AND(B971&lt;&gt;"",B972=""),$A$10&amp;"---&gt;","")</f>
        <v/>
      </c>
    </row>
    <row r="973" spans="1:1" ht="24.95" customHeight="1" x14ac:dyDescent="0.2">
      <c r="A973" s="20" t="str">
        <f t="shared" si="15"/>
        <v/>
      </c>
    </row>
    <row r="974" spans="1:1" ht="24.95" customHeight="1" x14ac:dyDescent="0.2">
      <c r="A974" s="20" t="str">
        <f t="shared" si="15"/>
        <v/>
      </c>
    </row>
    <row r="975" spans="1:1" ht="24.95" customHeight="1" x14ac:dyDescent="0.2">
      <c r="A975" s="20" t="str">
        <f t="shared" si="15"/>
        <v/>
      </c>
    </row>
    <row r="976" spans="1:1" ht="24.95" customHeight="1" x14ac:dyDescent="0.2">
      <c r="A976" s="20" t="str">
        <f t="shared" si="15"/>
        <v/>
      </c>
    </row>
    <row r="977" spans="1:1" ht="24.95" customHeight="1" x14ac:dyDescent="0.2">
      <c r="A977" s="20" t="str">
        <f t="shared" si="15"/>
        <v/>
      </c>
    </row>
    <row r="978" spans="1:1" ht="24.95" customHeight="1" x14ac:dyDescent="0.2">
      <c r="A978" s="20" t="str">
        <f t="shared" si="15"/>
        <v/>
      </c>
    </row>
    <row r="979" spans="1:1" ht="24.95" customHeight="1" x14ac:dyDescent="0.2">
      <c r="A979" s="20" t="str">
        <f t="shared" si="15"/>
        <v/>
      </c>
    </row>
    <row r="980" spans="1:1" ht="24.95" customHeight="1" x14ac:dyDescent="0.2">
      <c r="A980" s="20" t="str">
        <f t="shared" si="15"/>
        <v/>
      </c>
    </row>
    <row r="981" spans="1:1" ht="24.95" customHeight="1" x14ac:dyDescent="0.2">
      <c r="A981" s="20" t="str">
        <f t="shared" si="15"/>
        <v/>
      </c>
    </row>
    <row r="982" spans="1:1" ht="24.95" customHeight="1" x14ac:dyDescent="0.2">
      <c r="A982" s="20" t="str">
        <f t="shared" si="15"/>
        <v/>
      </c>
    </row>
    <row r="983" spans="1:1" ht="24.95" customHeight="1" x14ac:dyDescent="0.2">
      <c r="A983" s="20" t="str">
        <f t="shared" si="15"/>
        <v/>
      </c>
    </row>
    <row r="984" spans="1:1" ht="24.95" customHeight="1" x14ac:dyDescent="0.2">
      <c r="A984" s="20" t="str">
        <f t="shared" si="15"/>
        <v/>
      </c>
    </row>
    <row r="985" spans="1:1" ht="24.95" customHeight="1" x14ac:dyDescent="0.2">
      <c r="A985" s="20" t="str">
        <f t="shared" si="15"/>
        <v/>
      </c>
    </row>
    <row r="986" spans="1:1" ht="24.95" customHeight="1" x14ac:dyDescent="0.2">
      <c r="A986" s="20" t="str">
        <f t="shared" si="15"/>
        <v/>
      </c>
    </row>
    <row r="987" spans="1:1" ht="24.95" customHeight="1" x14ac:dyDescent="0.2">
      <c r="A987" s="20" t="str">
        <f t="shared" si="15"/>
        <v/>
      </c>
    </row>
    <row r="988" spans="1:1" ht="24.95" customHeight="1" x14ac:dyDescent="0.2">
      <c r="A988" s="20" t="str">
        <f t="shared" si="15"/>
        <v/>
      </c>
    </row>
    <row r="989" spans="1:1" ht="24.95" customHeight="1" x14ac:dyDescent="0.2">
      <c r="A989" s="20" t="str">
        <f t="shared" si="15"/>
        <v/>
      </c>
    </row>
    <row r="990" spans="1:1" ht="24.95" customHeight="1" x14ac:dyDescent="0.2">
      <c r="A990" s="20" t="str">
        <f t="shared" si="15"/>
        <v/>
      </c>
    </row>
    <row r="991" spans="1:1" ht="24.95" customHeight="1" x14ac:dyDescent="0.2">
      <c r="A991" s="20" t="str">
        <f t="shared" si="15"/>
        <v/>
      </c>
    </row>
    <row r="992" spans="1:1" ht="24.95" customHeight="1" x14ac:dyDescent="0.2">
      <c r="A992" s="20" t="str">
        <f t="shared" si="15"/>
        <v/>
      </c>
    </row>
    <row r="993" spans="1:1" ht="24.95" customHeight="1" x14ac:dyDescent="0.2">
      <c r="A993" s="20" t="str">
        <f t="shared" si="15"/>
        <v/>
      </c>
    </row>
    <row r="994" spans="1:1" ht="24.95" customHeight="1" x14ac:dyDescent="0.2">
      <c r="A994" s="20" t="str">
        <f t="shared" si="15"/>
        <v/>
      </c>
    </row>
    <row r="995" spans="1:1" ht="24.95" customHeight="1" x14ac:dyDescent="0.2">
      <c r="A995" s="20" t="str">
        <f t="shared" si="15"/>
        <v/>
      </c>
    </row>
    <row r="996" spans="1:1" ht="24.95" customHeight="1" x14ac:dyDescent="0.2">
      <c r="A996" s="20" t="str">
        <f t="shared" si="15"/>
        <v/>
      </c>
    </row>
    <row r="997" spans="1:1" ht="24.95" customHeight="1" x14ac:dyDescent="0.2">
      <c r="A997" s="20" t="str">
        <f t="shared" si="15"/>
        <v/>
      </c>
    </row>
    <row r="998" spans="1:1" ht="24.95" customHeight="1" x14ac:dyDescent="0.2">
      <c r="A998" s="20" t="str">
        <f t="shared" si="15"/>
        <v/>
      </c>
    </row>
    <row r="999" spans="1:1" ht="24.95" customHeight="1" x14ac:dyDescent="0.2">
      <c r="A999" s="20" t="str">
        <f t="shared" si="15"/>
        <v/>
      </c>
    </row>
    <row r="1000" spans="1:1" ht="24.95" customHeight="1" x14ac:dyDescent="0.2">
      <c r="A1000" s="20" t="str">
        <f t="shared" si="15"/>
        <v/>
      </c>
    </row>
    <row r="1001" spans="1:1" ht="24.95" customHeight="1" x14ac:dyDescent="0.2">
      <c r="A1001" s="20" t="str">
        <f t="shared" si="15"/>
        <v/>
      </c>
    </row>
    <row r="1002" spans="1:1" ht="24.95" customHeight="1" x14ac:dyDescent="0.2">
      <c r="A1002" s="20" t="str">
        <f t="shared" si="15"/>
        <v/>
      </c>
    </row>
    <row r="1003" spans="1:1" ht="24.95" customHeight="1" x14ac:dyDescent="0.2">
      <c r="A1003" s="20" t="str">
        <f t="shared" si="15"/>
        <v/>
      </c>
    </row>
    <row r="1004" spans="1:1" ht="24.95" customHeight="1" x14ac:dyDescent="0.2">
      <c r="A1004" s="20" t="str">
        <f t="shared" si="15"/>
        <v/>
      </c>
    </row>
    <row r="1005" spans="1:1" ht="24.95" customHeight="1" x14ac:dyDescent="0.2">
      <c r="A1005" s="20" t="str">
        <f t="shared" si="15"/>
        <v/>
      </c>
    </row>
    <row r="1006" spans="1:1" ht="24.95" customHeight="1" x14ac:dyDescent="0.2">
      <c r="A1006" s="20" t="str">
        <f t="shared" si="15"/>
        <v/>
      </c>
    </row>
    <row r="1007" spans="1:1" ht="24.95" customHeight="1" x14ac:dyDescent="0.2">
      <c r="A1007" s="20" t="str">
        <f t="shared" si="15"/>
        <v/>
      </c>
    </row>
    <row r="1008" spans="1:1" ht="24.95" customHeight="1" x14ac:dyDescent="0.2">
      <c r="A1008" s="20" t="str">
        <f t="shared" si="15"/>
        <v/>
      </c>
    </row>
    <row r="1009" spans="1:1" ht="24.95" customHeight="1" x14ac:dyDescent="0.2">
      <c r="A1009" s="20" t="str">
        <f t="shared" si="15"/>
        <v/>
      </c>
    </row>
    <row r="1010" spans="1:1" ht="24.95" customHeight="1" x14ac:dyDescent="0.2">
      <c r="A1010" s="20" t="str">
        <f t="shared" si="15"/>
        <v/>
      </c>
    </row>
    <row r="1011" spans="1:1" ht="24.95" customHeight="1" x14ac:dyDescent="0.2">
      <c r="A1011" s="20" t="str">
        <f t="shared" si="15"/>
        <v/>
      </c>
    </row>
    <row r="1012" spans="1:1" ht="24.95" customHeight="1" x14ac:dyDescent="0.2">
      <c r="A1012" s="20" t="str">
        <f t="shared" si="15"/>
        <v/>
      </c>
    </row>
    <row r="1013" spans="1:1" ht="24.95" customHeight="1" x14ac:dyDescent="0.2">
      <c r="A1013" s="20" t="str">
        <f t="shared" si="15"/>
        <v/>
      </c>
    </row>
    <row r="1014" spans="1:1" ht="24.95" customHeight="1" x14ac:dyDescent="0.2">
      <c r="A1014" s="20" t="str">
        <f t="shared" si="15"/>
        <v/>
      </c>
    </row>
    <row r="1015" spans="1:1" ht="24.95" customHeight="1" x14ac:dyDescent="0.2">
      <c r="A1015" s="20" t="str">
        <f t="shared" si="15"/>
        <v/>
      </c>
    </row>
    <row r="1016" spans="1:1" ht="24.95" customHeight="1" x14ac:dyDescent="0.2">
      <c r="A1016" s="20" t="str">
        <f t="shared" si="15"/>
        <v/>
      </c>
    </row>
    <row r="1017" spans="1:1" ht="24.95" customHeight="1" x14ac:dyDescent="0.2">
      <c r="A1017" s="20" t="str">
        <f t="shared" si="15"/>
        <v/>
      </c>
    </row>
    <row r="1018" spans="1:1" ht="24.95" customHeight="1" x14ac:dyDescent="0.2">
      <c r="A1018" s="20" t="str">
        <f t="shared" si="15"/>
        <v/>
      </c>
    </row>
    <row r="1019" spans="1:1" ht="24.95" customHeight="1" x14ac:dyDescent="0.2">
      <c r="A1019" s="20" t="str">
        <f t="shared" si="15"/>
        <v/>
      </c>
    </row>
    <row r="1020" spans="1:1" ht="24.95" customHeight="1" x14ac:dyDescent="0.2">
      <c r="A1020" s="20" t="str">
        <f t="shared" si="15"/>
        <v/>
      </c>
    </row>
    <row r="1021" spans="1:1" ht="24.95" customHeight="1" x14ac:dyDescent="0.2">
      <c r="A1021" s="20" t="str">
        <f t="shared" si="15"/>
        <v/>
      </c>
    </row>
    <row r="1022" spans="1:1" ht="24.95" customHeight="1" x14ac:dyDescent="0.2">
      <c r="A1022" s="20" t="str">
        <f t="shared" si="15"/>
        <v/>
      </c>
    </row>
    <row r="1023" spans="1:1" ht="24.95" customHeight="1" x14ac:dyDescent="0.2">
      <c r="A1023" s="20" t="str">
        <f t="shared" si="15"/>
        <v/>
      </c>
    </row>
    <row r="1024" spans="1:1" ht="24.95" customHeight="1" x14ac:dyDescent="0.2">
      <c r="A1024" s="20" t="str">
        <f t="shared" si="15"/>
        <v/>
      </c>
    </row>
    <row r="1025" spans="1:1" ht="24.95" customHeight="1" x14ac:dyDescent="0.2">
      <c r="A1025" s="20" t="str">
        <f t="shared" si="15"/>
        <v/>
      </c>
    </row>
    <row r="1026" spans="1:1" ht="24.95" customHeight="1" x14ac:dyDescent="0.2">
      <c r="A1026" s="20" t="str">
        <f t="shared" si="15"/>
        <v/>
      </c>
    </row>
    <row r="1027" spans="1:1" ht="24.95" customHeight="1" x14ac:dyDescent="0.2">
      <c r="A1027" s="20" t="str">
        <f t="shared" si="15"/>
        <v/>
      </c>
    </row>
    <row r="1028" spans="1:1" ht="24.95" customHeight="1" x14ac:dyDescent="0.2">
      <c r="A1028" s="20" t="str">
        <f t="shared" si="15"/>
        <v/>
      </c>
    </row>
    <row r="1029" spans="1:1" ht="24.95" customHeight="1" x14ac:dyDescent="0.2">
      <c r="A1029" s="20" t="str">
        <f t="shared" si="15"/>
        <v/>
      </c>
    </row>
    <row r="1030" spans="1:1" ht="24.95" customHeight="1" x14ac:dyDescent="0.2">
      <c r="A1030" s="20" t="str">
        <f t="shared" si="15"/>
        <v/>
      </c>
    </row>
    <row r="1031" spans="1:1" ht="24.95" customHeight="1" x14ac:dyDescent="0.2">
      <c r="A1031" s="20" t="str">
        <f t="shared" si="15"/>
        <v/>
      </c>
    </row>
    <row r="1032" spans="1:1" ht="24.95" customHeight="1" x14ac:dyDescent="0.2">
      <c r="A1032" s="20" t="str">
        <f t="shared" si="15"/>
        <v/>
      </c>
    </row>
    <row r="1033" spans="1:1" ht="24.95" customHeight="1" x14ac:dyDescent="0.2">
      <c r="A1033" s="20" t="str">
        <f t="shared" si="15"/>
        <v/>
      </c>
    </row>
    <row r="1034" spans="1:1" ht="24.95" customHeight="1" x14ac:dyDescent="0.2">
      <c r="A1034" s="20" t="str">
        <f t="shared" si="15"/>
        <v/>
      </c>
    </row>
    <row r="1035" spans="1:1" ht="24.95" customHeight="1" x14ac:dyDescent="0.2">
      <c r="A1035" s="20" t="str">
        <f t="shared" si="15"/>
        <v/>
      </c>
    </row>
    <row r="1036" spans="1:1" ht="24.95" customHeight="1" x14ac:dyDescent="0.2">
      <c r="A1036" s="20" t="str">
        <f t="shared" ref="A1036:A1099" si="16">IF(AND(B1035&lt;&gt;"",B1036=""),$A$10&amp;"---&gt;","")</f>
        <v/>
      </c>
    </row>
    <row r="1037" spans="1:1" ht="24.95" customHeight="1" x14ac:dyDescent="0.2">
      <c r="A1037" s="20" t="str">
        <f t="shared" si="16"/>
        <v/>
      </c>
    </row>
    <row r="1038" spans="1:1" ht="24.95" customHeight="1" x14ac:dyDescent="0.2">
      <c r="A1038" s="20" t="str">
        <f t="shared" si="16"/>
        <v/>
      </c>
    </row>
    <row r="1039" spans="1:1" ht="24.95" customHeight="1" x14ac:dyDescent="0.2">
      <c r="A1039" s="20" t="str">
        <f t="shared" si="16"/>
        <v/>
      </c>
    </row>
    <row r="1040" spans="1:1" ht="24.95" customHeight="1" x14ac:dyDescent="0.2">
      <c r="A1040" s="20" t="str">
        <f t="shared" si="16"/>
        <v/>
      </c>
    </row>
    <row r="1041" spans="1:1" ht="24.95" customHeight="1" x14ac:dyDescent="0.2">
      <c r="A1041" s="20" t="str">
        <f t="shared" si="16"/>
        <v/>
      </c>
    </row>
    <row r="1042" spans="1:1" ht="24.95" customHeight="1" x14ac:dyDescent="0.2">
      <c r="A1042" s="20" t="str">
        <f t="shared" si="16"/>
        <v/>
      </c>
    </row>
    <row r="1043" spans="1:1" ht="24.95" customHeight="1" x14ac:dyDescent="0.2">
      <c r="A1043" s="20" t="str">
        <f t="shared" si="16"/>
        <v/>
      </c>
    </row>
    <row r="1044" spans="1:1" ht="24.95" customHeight="1" x14ac:dyDescent="0.2">
      <c r="A1044" s="20" t="str">
        <f t="shared" si="16"/>
        <v/>
      </c>
    </row>
    <row r="1045" spans="1:1" ht="24.95" customHeight="1" x14ac:dyDescent="0.2">
      <c r="A1045" s="20" t="str">
        <f t="shared" si="16"/>
        <v/>
      </c>
    </row>
    <row r="1046" spans="1:1" ht="24.95" customHeight="1" x14ac:dyDescent="0.2">
      <c r="A1046" s="20" t="str">
        <f t="shared" si="16"/>
        <v/>
      </c>
    </row>
    <row r="1047" spans="1:1" ht="24.95" customHeight="1" x14ac:dyDescent="0.2">
      <c r="A1047" s="20" t="str">
        <f t="shared" si="16"/>
        <v/>
      </c>
    </row>
    <row r="1048" spans="1:1" ht="24.95" customHeight="1" x14ac:dyDescent="0.2">
      <c r="A1048" s="20" t="str">
        <f t="shared" si="16"/>
        <v/>
      </c>
    </row>
    <row r="1049" spans="1:1" ht="24.95" customHeight="1" x14ac:dyDescent="0.2">
      <c r="A1049" s="20" t="str">
        <f t="shared" si="16"/>
        <v/>
      </c>
    </row>
    <row r="1050" spans="1:1" ht="24.95" customHeight="1" x14ac:dyDescent="0.2">
      <c r="A1050" s="20" t="str">
        <f t="shared" si="16"/>
        <v/>
      </c>
    </row>
    <row r="1051" spans="1:1" ht="24.95" customHeight="1" x14ac:dyDescent="0.2">
      <c r="A1051" s="20" t="str">
        <f t="shared" si="16"/>
        <v/>
      </c>
    </row>
    <row r="1052" spans="1:1" ht="24.95" customHeight="1" x14ac:dyDescent="0.2">
      <c r="A1052" s="20" t="str">
        <f t="shared" si="16"/>
        <v/>
      </c>
    </row>
    <row r="1053" spans="1:1" ht="24.95" customHeight="1" x14ac:dyDescent="0.2">
      <c r="A1053" s="20" t="str">
        <f t="shared" si="16"/>
        <v/>
      </c>
    </row>
    <row r="1054" spans="1:1" ht="24.95" customHeight="1" x14ac:dyDescent="0.2">
      <c r="A1054" s="20" t="str">
        <f t="shared" si="16"/>
        <v/>
      </c>
    </row>
    <row r="1055" spans="1:1" ht="24.95" customHeight="1" x14ac:dyDescent="0.2">
      <c r="A1055" s="20" t="str">
        <f t="shared" si="16"/>
        <v/>
      </c>
    </row>
    <row r="1056" spans="1:1" ht="24.95" customHeight="1" x14ac:dyDescent="0.2">
      <c r="A1056" s="20" t="str">
        <f t="shared" si="16"/>
        <v/>
      </c>
    </row>
    <row r="1057" spans="1:1" ht="24.95" customHeight="1" x14ac:dyDescent="0.2">
      <c r="A1057" s="20" t="str">
        <f t="shared" si="16"/>
        <v/>
      </c>
    </row>
    <row r="1058" spans="1:1" ht="24.95" customHeight="1" x14ac:dyDescent="0.2">
      <c r="A1058" s="20" t="str">
        <f t="shared" si="16"/>
        <v/>
      </c>
    </row>
    <row r="1059" spans="1:1" ht="24.95" customHeight="1" x14ac:dyDescent="0.2">
      <c r="A1059" s="20" t="str">
        <f t="shared" si="16"/>
        <v/>
      </c>
    </row>
    <row r="1060" spans="1:1" ht="24.95" customHeight="1" x14ac:dyDescent="0.2">
      <c r="A1060" s="20" t="str">
        <f t="shared" si="16"/>
        <v/>
      </c>
    </row>
    <row r="1061" spans="1:1" ht="24.95" customHeight="1" x14ac:dyDescent="0.2">
      <c r="A1061" s="20" t="str">
        <f t="shared" si="16"/>
        <v/>
      </c>
    </row>
    <row r="1062" spans="1:1" ht="24.95" customHeight="1" x14ac:dyDescent="0.2">
      <c r="A1062" s="20" t="str">
        <f t="shared" si="16"/>
        <v/>
      </c>
    </row>
    <row r="1063" spans="1:1" ht="24.95" customHeight="1" x14ac:dyDescent="0.2">
      <c r="A1063" s="20" t="str">
        <f t="shared" si="16"/>
        <v/>
      </c>
    </row>
    <row r="1064" spans="1:1" ht="24.95" customHeight="1" x14ac:dyDescent="0.2">
      <c r="A1064" s="20" t="str">
        <f t="shared" si="16"/>
        <v/>
      </c>
    </row>
    <row r="1065" spans="1:1" ht="24.95" customHeight="1" x14ac:dyDescent="0.2">
      <c r="A1065" s="20" t="str">
        <f t="shared" si="16"/>
        <v/>
      </c>
    </row>
    <row r="1066" spans="1:1" ht="24.95" customHeight="1" x14ac:dyDescent="0.2">
      <c r="A1066" s="20" t="str">
        <f t="shared" si="16"/>
        <v/>
      </c>
    </row>
    <row r="1067" spans="1:1" ht="24.95" customHeight="1" x14ac:dyDescent="0.2">
      <c r="A1067" s="20" t="str">
        <f t="shared" si="16"/>
        <v/>
      </c>
    </row>
    <row r="1068" spans="1:1" ht="24.95" customHeight="1" x14ac:dyDescent="0.2">
      <c r="A1068" s="20" t="str">
        <f t="shared" si="16"/>
        <v/>
      </c>
    </row>
    <row r="1069" spans="1:1" ht="24.95" customHeight="1" x14ac:dyDescent="0.2">
      <c r="A1069" s="20" t="str">
        <f t="shared" si="16"/>
        <v/>
      </c>
    </row>
    <row r="1070" spans="1:1" ht="24.95" customHeight="1" x14ac:dyDescent="0.2">
      <c r="A1070" s="20" t="str">
        <f t="shared" si="16"/>
        <v/>
      </c>
    </row>
    <row r="1071" spans="1:1" ht="24.95" customHeight="1" x14ac:dyDescent="0.2">
      <c r="A1071" s="20" t="str">
        <f t="shared" si="16"/>
        <v/>
      </c>
    </row>
    <row r="1072" spans="1:1" ht="24.95" customHeight="1" x14ac:dyDescent="0.2">
      <c r="A1072" s="20" t="str">
        <f t="shared" si="16"/>
        <v/>
      </c>
    </row>
    <row r="1073" spans="1:1" ht="24.95" customHeight="1" x14ac:dyDescent="0.2">
      <c r="A1073" s="20" t="str">
        <f t="shared" si="16"/>
        <v/>
      </c>
    </row>
    <row r="1074" spans="1:1" ht="24.95" customHeight="1" x14ac:dyDescent="0.2">
      <c r="A1074" s="20" t="str">
        <f t="shared" si="16"/>
        <v/>
      </c>
    </row>
    <row r="1075" spans="1:1" ht="24.95" customHeight="1" x14ac:dyDescent="0.2">
      <c r="A1075" s="20" t="str">
        <f t="shared" si="16"/>
        <v/>
      </c>
    </row>
    <row r="1076" spans="1:1" ht="24.95" customHeight="1" x14ac:dyDescent="0.2">
      <c r="A1076" s="20" t="str">
        <f t="shared" si="16"/>
        <v/>
      </c>
    </row>
    <row r="1077" spans="1:1" ht="24.95" customHeight="1" x14ac:dyDescent="0.2">
      <c r="A1077" s="20" t="str">
        <f t="shared" si="16"/>
        <v/>
      </c>
    </row>
    <row r="1078" spans="1:1" ht="24.95" customHeight="1" x14ac:dyDescent="0.2">
      <c r="A1078" s="20" t="str">
        <f t="shared" si="16"/>
        <v/>
      </c>
    </row>
    <row r="1079" spans="1:1" ht="24.95" customHeight="1" x14ac:dyDescent="0.2">
      <c r="A1079" s="20" t="str">
        <f t="shared" si="16"/>
        <v/>
      </c>
    </row>
    <row r="1080" spans="1:1" ht="24.95" customHeight="1" x14ac:dyDescent="0.2">
      <c r="A1080" s="20" t="str">
        <f t="shared" si="16"/>
        <v/>
      </c>
    </row>
    <row r="1081" spans="1:1" ht="24.95" customHeight="1" x14ac:dyDescent="0.2">
      <c r="A1081" s="20" t="str">
        <f t="shared" si="16"/>
        <v/>
      </c>
    </row>
    <row r="1082" spans="1:1" ht="24.95" customHeight="1" x14ac:dyDescent="0.2">
      <c r="A1082" s="20" t="str">
        <f t="shared" si="16"/>
        <v/>
      </c>
    </row>
    <row r="1083" spans="1:1" ht="24.95" customHeight="1" x14ac:dyDescent="0.2">
      <c r="A1083" s="20" t="str">
        <f t="shared" si="16"/>
        <v/>
      </c>
    </row>
    <row r="1084" spans="1:1" ht="24.95" customHeight="1" x14ac:dyDescent="0.2">
      <c r="A1084" s="20" t="str">
        <f t="shared" si="16"/>
        <v/>
      </c>
    </row>
    <row r="1085" spans="1:1" ht="24.95" customHeight="1" x14ac:dyDescent="0.2">
      <c r="A1085" s="20" t="str">
        <f t="shared" si="16"/>
        <v/>
      </c>
    </row>
    <row r="1086" spans="1:1" ht="24.95" customHeight="1" x14ac:dyDescent="0.2">
      <c r="A1086" s="20" t="str">
        <f t="shared" si="16"/>
        <v/>
      </c>
    </row>
    <row r="1087" spans="1:1" ht="24.95" customHeight="1" x14ac:dyDescent="0.2">
      <c r="A1087" s="20" t="str">
        <f t="shared" si="16"/>
        <v/>
      </c>
    </row>
    <row r="1088" spans="1:1" ht="24.95" customHeight="1" x14ac:dyDescent="0.2">
      <c r="A1088" s="20" t="str">
        <f t="shared" si="16"/>
        <v/>
      </c>
    </row>
    <row r="1089" spans="1:1" ht="24.95" customHeight="1" x14ac:dyDescent="0.2">
      <c r="A1089" s="20" t="str">
        <f t="shared" si="16"/>
        <v/>
      </c>
    </row>
    <row r="1090" spans="1:1" ht="24.95" customHeight="1" x14ac:dyDescent="0.2">
      <c r="A1090" s="20" t="str">
        <f t="shared" si="16"/>
        <v/>
      </c>
    </row>
    <row r="1091" spans="1:1" ht="24.95" customHeight="1" x14ac:dyDescent="0.2">
      <c r="A1091" s="20" t="str">
        <f t="shared" si="16"/>
        <v/>
      </c>
    </row>
    <row r="1092" spans="1:1" ht="24.95" customHeight="1" x14ac:dyDescent="0.2">
      <c r="A1092" s="20" t="str">
        <f t="shared" si="16"/>
        <v/>
      </c>
    </row>
    <row r="1093" spans="1:1" ht="24.95" customHeight="1" x14ac:dyDescent="0.2">
      <c r="A1093" s="20" t="str">
        <f t="shared" si="16"/>
        <v/>
      </c>
    </row>
    <row r="1094" spans="1:1" ht="24.95" customHeight="1" x14ac:dyDescent="0.2">
      <c r="A1094" s="20" t="str">
        <f t="shared" si="16"/>
        <v/>
      </c>
    </row>
    <row r="1095" spans="1:1" ht="24.95" customHeight="1" x14ac:dyDescent="0.2">
      <c r="A1095" s="20" t="str">
        <f t="shared" si="16"/>
        <v/>
      </c>
    </row>
    <row r="1096" spans="1:1" ht="24.95" customHeight="1" x14ac:dyDescent="0.2">
      <c r="A1096" s="20" t="str">
        <f t="shared" si="16"/>
        <v/>
      </c>
    </row>
    <row r="1097" spans="1:1" ht="24.95" customHeight="1" x14ac:dyDescent="0.2">
      <c r="A1097" s="20" t="str">
        <f t="shared" si="16"/>
        <v/>
      </c>
    </row>
    <row r="1098" spans="1:1" ht="24.95" customHeight="1" x14ac:dyDescent="0.2">
      <c r="A1098" s="20" t="str">
        <f t="shared" si="16"/>
        <v/>
      </c>
    </row>
    <row r="1099" spans="1:1" ht="24.95" customHeight="1" x14ac:dyDescent="0.2">
      <c r="A1099" s="20" t="str">
        <f t="shared" si="16"/>
        <v/>
      </c>
    </row>
    <row r="1100" spans="1:1" ht="24.95" customHeight="1" x14ac:dyDescent="0.2">
      <c r="A1100" s="20" t="str">
        <f t="shared" ref="A1100:A1163" si="17">IF(AND(B1099&lt;&gt;"",B1100=""),$A$10&amp;"---&gt;","")</f>
        <v/>
      </c>
    </row>
    <row r="1101" spans="1:1" ht="24.95" customHeight="1" x14ac:dyDescent="0.2">
      <c r="A1101" s="20" t="str">
        <f t="shared" si="17"/>
        <v/>
      </c>
    </row>
    <row r="1102" spans="1:1" ht="24.95" customHeight="1" x14ac:dyDescent="0.2">
      <c r="A1102" s="20" t="str">
        <f t="shared" si="17"/>
        <v/>
      </c>
    </row>
    <row r="1103" spans="1:1" ht="24.95" customHeight="1" x14ac:dyDescent="0.2">
      <c r="A1103" s="20" t="str">
        <f t="shared" si="17"/>
        <v/>
      </c>
    </row>
    <row r="1104" spans="1:1" ht="24.95" customHeight="1" x14ac:dyDescent="0.2">
      <c r="A1104" s="20" t="str">
        <f t="shared" si="17"/>
        <v/>
      </c>
    </row>
    <row r="1105" spans="1:1" ht="24.95" customHeight="1" x14ac:dyDescent="0.2">
      <c r="A1105" s="20" t="str">
        <f t="shared" si="17"/>
        <v/>
      </c>
    </row>
    <row r="1106" spans="1:1" ht="24.95" customHeight="1" x14ac:dyDescent="0.2">
      <c r="A1106" s="20" t="str">
        <f t="shared" si="17"/>
        <v/>
      </c>
    </row>
    <row r="1107" spans="1:1" ht="24.95" customHeight="1" x14ac:dyDescent="0.2">
      <c r="A1107" s="20" t="str">
        <f t="shared" si="17"/>
        <v/>
      </c>
    </row>
    <row r="1108" spans="1:1" ht="24.95" customHeight="1" x14ac:dyDescent="0.2">
      <c r="A1108" s="20" t="str">
        <f t="shared" si="17"/>
        <v/>
      </c>
    </row>
    <row r="1109" spans="1:1" ht="24.95" customHeight="1" x14ac:dyDescent="0.2">
      <c r="A1109" s="20" t="str">
        <f t="shared" si="17"/>
        <v/>
      </c>
    </row>
    <row r="1110" spans="1:1" ht="24.95" customHeight="1" x14ac:dyDescent="0.2">
      <c r="A1110" s="20" t="str">
        <f t="shared" si="17"/>
        <v/>
      </c>
    </row>
    <row r="1111" spans="1:1" ht="24.95" customHeight="1" x14ac:dyDescent="0.2">
      <c r="A1111" s="20" t="str">
        <f t="shared" si="17"/>
        <v/>
      </c>
    </row>
    <row r="1112" spans="1:1" ht="24.95" customHeight="1" x14ac:dyDescent="0.2">
      <c r="A1112" s="20" t="str">
        <f t="shared" si="17"/>
        <v/>
      </c>
    </row>
    <row r="1113" spans="1:1" ht="24.95" customHeight="1" x14ac:dyDescent="0.2">
      <c r="A1113" s="20" t="str">
        <f t="shared" si="17"/>
        <v/>
      </c>
    </row>
    <row r="1114" spans="1:1" ht="24.95" customHeight="1" x14ac:dyDescent="0.2">
      <c r="A1114" s="20" t="str">
        <f t="shared" si="17"/>
        <v/>
      </c>
    </row>
    <row r="1115" spans="1:1" ht="24.95" customHeight="1" x14ac:dyDescent="0.2">
      <c r="A1115" s="20" t="str">
        <f t="shared" si="17"/>
        <v/>
      </c>
    </row>
    <row r="1116" spans="1:1" ht="24.95" customHeight="1" x14ac:dyDescent="0.2">
      <c r="A1116" s="20" t="str">
        <f t="shared" si="17"/>
        <v/>
      </c>
    </row>
    <row r="1117" spans="1:1" ht="24.95" customHeight="1" x14ac:dyDescent="0.2">
      <c r="A1117" s="20" t="str">
        <f t="shared" si="17"/>
        <v/>
      </c>
    </row>
    <row r="1118" spans="1:1" ht="24.95" customHeight="1" x14ac:dyDescent="0.2">
      <c r="A1118" s="20" t="str">
        <f t="shared" si="17"/>
        <v/>
      </c>
    </row>
    <row r="1119" spans="1:1" ht="24.95" customHeight="1" x14ac:dyDescent="0.2">
      <c r="A1119" s="20" t="str">
        <f t="shared" si="17"/>
        <v/>
      </c>
    </row>
    <row r="1120" spans="1:1" ht="24.95" customHeight="1" x14ac:dyDescent="0.2">
      <c r="A1120" s="20" t="str">
        <f t="shared" si="17"/>
        <v/>
      </c>
    </row>
    <row r="1121" spans="1:1" ht="24.95" customHeight="1" x14ac:dyDescent="0.2">
      <c r="A1121" s="20" t="str">
        <f t="shared" si="17"/>
        <v/>
      </c>
    </row>
    <row r="1122" spans="1:1" ht="24.95" customHeight="1" x14ac:dyDescent="0.2">
      <c r="A1122" s="20" t="str">
        <f t="shared" si="17"/>
        <v/>
      </c>
    </row>
    <row r="1123" spans="1:1" ht="24.95" customHeight="1" x14ac:dyDescent="0.2">
      <c r="A1123" s="20" t="str">
        <f t="shared" si="17"/>
        <v/>
      </c>
    </row>
    <row r="1124" spans="1:1" ht="24.95" customHeight="1" x14ac:dyDescent="0.2">
      <c r="A1124" s="20" t="str">
        <f t="shared" si="17"/>
        <v/>
      </c>
    </row>
    <row r="1125" spans="1:1" ht="24.95" customHeight="1" x14ac:dyDescent="0.2">
      <c r="A1125" s="20" t="str">
        <f t="shared" si="17"/>
        <v/>
      </c>
    </row>
    <row r="1126" spans="1:1" ht="24.95" customHeight="1" x14ac:dyDescent="0.2">
      <c r="A1126" s="20" t="str">
        <f t="shared" si="17"/>
        <v/>
      </c>
    </row>
    <row r="1127" spans="1:1" ht="24.95" customHeight="1" x14ac:dyDescent="0.2">
      <c r="A1127" s="20" t="str">
        <f t="shared" si="17"/>
        <v/>
      </c>
    </row>
    <row r="1128" spans="1:1" ht="24.95" customHeight="1" x14ac:dyDescent="0.2">
      <c r="A1128" s="20" t="str">
        <f t="shared" si="17"/>
        <v/>
      </c>
    </row>
    <row r="1129" spans="1:1" ht="24.95" customHeight="1" x14ac:dyDescent="0.2">
      <c r="A1129" s="20" t="str">
        <f t="shared" si="17"/>
        <v/>
      </c>
    </row>
    <row r="1130" spans="1:1" ht="24.95" customHeight="1" x14ac:dyDescent="0.2">
      <c r="A1130" s="20" t="str">
        <f t="shared" si="17"/>
        <v/>
      </c>
    </row>
    <row r="1131" spans="1:1" ht="24.95" customHeight="1" x14ac:dyDescent="0.2">
      <c r="A1131" s="20" t="str">
        <f t="shared" si="17"/>
        <v/>
      </c>
    </row>
    <row r="1132" spans="1:1" ht="24.95" customHeight="1" x14ac:dyDescent="0.2">
      <c r="A1132" s="20" t="str">
        <f t="shared" si="17"/>
        <v/>
      </c>
    </row>
    <row r="1133" spans="1:1" ht="24.95" customHeight="1" x14ac:dyDescent="0.2">
      <c r="A1133" s="20" t="str">
        <f t="shared" si="17"/>
        <v/>
      </c>
    </row>
    <row r="1134" spans="1:1" ht="24.95" customHeight="1" x14ac:dyDescent="0.2">
      <c r="A1134" s="20" t="str">
        <f t="shared" si="17"/>
        <v/>
      </c>
    </row>
    <row r="1135" spans="1:1" ht="24.95" customHeight="1" x14ac:dyDescent="0.2">
      <c r="A1135" s="20" t="str">
        <f t="shared" si="17"/>
        <v/>
      </c>
    </row>
    <row r="1136" spans="1:1" ht="24.95" customHeight="1" x14ac:dyDescent="0.2">
      <c r="A1136" s="20" t="str">
        <f t="shared" si="17"/>
        <v/>
      </c>
    </row>
    <row r="1137" spans="1:1" ht="24.95" customHeight="1" x14ac:dyDescent="0.2">
      <c r="A1137" s="20" t="str">
        <f t="shared" si="17"/>
        <v/>
      </c>
    </row>
    <row r="1138" spans="1:1" ht="24.95" customHeight="1" x14ac:dyDescent="0.2">
      <c r="A1138" s="20" t="str">
        <f t="shared" si="17"/>
        <v/>
      </c>
    </row>
    <row r="1139" spans="1:1" ht="24.95" customHeight="1" x14ac:dyDescent="0.2">
      <c r="A1139" s="20" t="str">
        <f t="shared" si="17"/>
        <v/>
      </c>
    </row>
    <row r="1140" spans="1:1" ht="24.95" customHeight="1" x14ac:dyDescent="0.2">
      <c r="A1140" s="20" t="str">
        <f t="shared" si="17"/>
        <v/>
      </c>
    </row>
    <row r="1141" spans="1:1" ht="24.95" customHeight="1" x14ac:dyDescent="0.2">
      <c r="A1141" s="20" t="str">
        <f t="shared" si="17"/>
        <v/>
      </c>
    </row>
    <row r="1142" spans="1:1" ht="24.95" customHeight="1" x14ac:dyDescent="0.2">
      <c r="A1142" s="20" t="str">
        <f t="shared" si="17"/>
        <v/>
      </c>
    </row>
    <row r="1143" spans="1:1" ht="24.95" customHeight="1" x14ac:dyDescent="0.2">
      <c r="A1143" s="20" t="str">
        <f t="shared" si="17"/>
        <v/>
      </c>
    </row>
    <row r="1144" spans="1:1" ht="24.95" customHeight="1" x14ac:dyDescent="0.2">
      <c r="A1144" s="20" t="str">
        <f t="shared" si="17"/>
        <v/>
      </c>
    </row>
    <row r="1145" spans="1:1" ht="24.95" customHeight="1" x14ac:dyDescent="0.2">
      <c r="A1145" s="20" t="str">
        <f t="shared" si="17"/>
        <v/>
      </c>
    </row>
    <row r="1146" spans="1:1" ht="24.95" customHeight="1" x14ac:dyDescent="0.2">
      <c r="A1146" s="20" t="str">
        <f t="shared" si="17"/>
        <v/>
      </c>
    </row>
    <row r="1147" spans="1:1" ht="24.95" customHeight="1" x14ac:dyDescent="0.2">
      <c r="A1147" s="20" t="str">
        <f t="shared" si="17"/>
        <v/>
      </c>
    </row>
    <row r="1148" spans="1:1" ht="24.95" customHeight="1" x14ac:dyDescent="0.2">
      <c r="A1148" s="20" t="str">
        <f t="shared" si="17"/>
        <v/>
      </c>
    </row>
    <row r="1149" spans="1:1" ht="24.95" customHeight="1" x14ac:dyDescent="0.2">
      <c r="A1149" s="20" t="str">
        <f t="shared" si="17"/>
        <v/>
      </c>
    </row>
    <row r="1150" spans="1:1" ht="24.95" customHeight="1" x14ac:dyDescent="0.2">
      <c r="A1150" s="20" t="str">
        <f t="shared" si="17"/>
        <v/>
      </c>
    </row>
    <row r="1151" spans="1:1" ht="24.95" customHeight="1" x14ac:dyDescent="0.2">
      <c r="A1151" s="20" t="str">
        <f t="shared" si="17"/>
        <v/>
      </c>
    </row>
    <row r="1152" spans="1:1" ht="24.95" customHeight="1" x14ac:dyDescent="0.2">
      <c r="A1152" s="20" t="str">
        <f t="shared" si="17"/>
        <v/>
      </c>
    </row>
    <row r="1153" spans="1:1" ht="24.95" customHeight="1" x14ac:dyDescent="0.2">
      <c r="A1153" s="20" t="str">
        <f t="shared" si="17"/>
        <v/>
      </c>
    </row>
    <row r="1154" spans="1:1" ht="24.95" customHeight="1" x14ac:dyDescent="0.2">
      <c r="A1154" s="20" t="str">
        <f t="shared" si="17"/>
        <v/>
      </c>
    </row>
    <row r="1155" spans="1:1" ht="24.95" customHeight="1" x14ac:dyDescent="0.2">
      <c r="A1155" s="20" t="str">
        <f t="shared" si="17"/>
        <v/>
      </c>
    </row>
    <row r="1156" spans="1:1" ht="24.95" customHeight="1" x14ac:dyDescent="0.2">
      <c r="A1156" s="20" t="str">
        <f t="shared" si="17"/>
        <v/>
      </c>
    </row>
    <row r="1157" spans="1:1" ht="24.95" customHeight="1" x14ac:dyDescent="0.2">
      <c r="A1157" s="20" t="str">
        <f t="shared" si="17"/>
        <v/>
      </c>
    </row>
    <row r="1158" spans="1:1" ht="24.95" customHeight="1" x14ac:dyDescent="0.2">
      <c r="A1158" s="20" t="str">
        <f t="shared" si="17"/>
        <v/>
      </c>
    </row>
    <row r="1159" spans="1:1" ht="24.95" customHeight="1" x14ac:dyDescent="0.2">
      <c r="A1159" s="20" t="str">
        <f t="shared" si="17"/>
        <v/>
      </c>
    </row>
    <row r="1160" spans="1:1" ht="24.95" customHeight="1" x14ac:dyDescent="0.2">
      <c r="A1160" s="20" t="str">
        <f t="shared" si="17"/>
        <v/>
      </c>
    </row>
    <row r="1161" spans="1:1" ht="24.95" customHeight="1" x14ac:dyDescent="0.2">
      <c r="A1161" s="20" t="str">
        <f t="shared" si="17"/>
        <v/>
      </c>
    </row>
    <row r="1162" spans="1:1" ht="24.95" customHeight="1" x14ac:dyDescent="0.2">
      <c r="A1162" s="20" t="str">
        <f t="shared" si="17"/>
        <v/>
      </c>
    </row>
    <row r="1163" spans="1:1" ht="24.95" customHeight="1" x14ac:dyDescent="0.2">
      <c r="A1163" s="20" t="str">
        <f t="shared" si="17"/>
        <v/>
      </c>
    </row>
    <row r="1164" spans="1:1" ht="24.95" customHeight="1" x14ac:dyDescent="0.2">
      <c r="A1164" s="20" t="str">
        <f t="shared" ref="A1164:A1227" si="18">IF(AND(B1163&lt;&gt;"",B1164=""),$A$10&amp;"---&gt;","")</f>
        <v/>
      </c>
    </row>
    <row r="1165" spans="1:1" ht="24.95" customHeight="1" x14ac:dyDescent="0.2">
      <c r="A1165" s="20" t="str">
        <f t="shared" si="18"/>
        <v/>
      </c>
    </row>
    <row r="1166" spans="1:1" ht="24.95" customHeight="1" x14ac:dyDescent="0.2">
      <c r="A1166" s="20" t="str">
        <f t="shared" si="18"/>
        <v/>
      </c>
    </row>
    <row r="1167" spans="1:1" ht="24.95" customHeight="1" x14ac:dyDescent="0.2">
      <c r="A1167" s="20" t="str">
        <f t="shared" si="18"/>
        <v/>
      </c>
    </row>
    <row r="1168" spans="1:1" ht="24.95" customHeight="1" x14ac:dyDescent="0.2">
      <c r="A1168" s="20" t="str">
        <f t="shared" si="18"/>
        <v/>
      </c>
    </row>
    <row r="1169" spans="1:1" ht="24.95" customHeight="1" x14ac:dyDescent="0.2">
      <c r="A1169" s="20" t="str">
        <f t="shared" si="18"/>
        <v/>
      </c>
    </row>
    <row r="1170" spans="1:1" ht="24.95" customHeight="1" x14ac:dyDescent="0.2">
      <c r="A1170" s="20" t="str">
        <f t="shared" si="18"/>
        <v/>
      </c>
    </row>
    <row r="1171" spans="1:1" ht="24.95" customHeight="1" x14ac:dyDescent="0.2">
      <c r="A1171" s="20" t="str">
        <f t="shared" si="18"/>
        <v/>
      </c>
    </row>
    <row r="1172" spans="1:1" ht="24.95" customHeight="1" x14ac:dyDescent="0.2">
      <c r="A1172" s="20" t="str">
        <f t="shared" si="18"/>
        <v/>
      </c>
    </row>
    <row r="1173" spans="1:1" ht="24.95" customHeight="1" x14ac:dyDescent="0.2">
      <c r="A1173" s="20" t="str">
        <f t="shared" si="18"/>
        <v/>
      </c>
    </row>
    <row r="1174" spans="1:1" ht="24.95" customHeight="1" x14ac:dyDescent="0.2">
      <c r="A1174" s="20" t="str">
        <f t="shared" si="18"/>
        <v/>
      </c>
    </row>
    <row r="1175" spans="1:1" ht="24.95" customHeight="1" x14ac:dyDescent="0.2">
      <c r="A1175" s="20" t="str">
        <f t="shared" si="18"/>
        <v/>
      </c>
    </row>
    <row r="1176" spans="1:1" ht="24.95" customHeight="1" x14ac:dyDescent="0.2">
      <c r="A1176" s="20" t="str">
        <f t="shared" si="18"/>
        <v/>
      </c>
    </row>
    <row r="1177" spans="1:1" ht="24.95" customHeight="1" x14ac:dyDescent="0.2">
      <c r="A1177" s="20" t="str">
        <f t="shared" si="18"/>
        <v/>
      </c>
    </row>
    <row r="1178" spans="1:1" ht="24.95" customHeight="1" x14ac:dyDescent="0.2">
      <c r="A1178" s="20" t="str">
        <f t="shared" si="18"/>
        <v/>
      </c>
    </row>
    <row r="1179" spans="1:1" ht="24.95" customHeight="1" x14ac:dyDescent="0.2">
      <c r="A1179" s="20" t="str">
        <f t="shared" si="18"/>
        <v/>
      </c>
    </row>
    <row r="1180" spans="1:1" ht="24.95" customHeight="1" x14ac:dyDescent="0.2">
      <c r="A1180" s="20" t="str">
        <f t="shared" si="18"/>
        <v/>
      </c>
    </row>
    <row r="1181" spans="1:1" ht="24.95" customHeight="1" x14ac:dyDescent="0.2">
      <c r="A1181" s="20" t="str">
        <f t="shared" si="18"/>
        <v/>
      </c>
    </row>
    <row r="1182" spans="1:1" ht="24.95" customHeight="1" x14ac:dyDescent="0.2">
      <c r="A1182" s="20" t="str">
        <f t="shared" si="18"/>
        <v/>
      </c>
    </row>
    <row r="1183" spans="1:1" ht="24.95" customHeight="1" x14ac:dyDescent="0.2">
      <c r="A1183" s="20" t="str">
        <f t="shared" si="18"/>
        <v/>
      </c>
    </row>
    <row r="1184" spans="1:1" ht="24.95" customHeight="1" x14ac:dyDescent="0.2">
      <c r="A1184" s="20" t="str">
        <f t="shared" si="18"/>
        <v/>
      </c>
    </row>
    <row r="1185" spans="1:1" ht="24.95" customHeight="1" x14ac:dyDescent="0.2">
      <c r="A1185" s="20" t="str">
        <f t="shared" si="18"/>
        <v/>
      </c>
    </row>
    <row r="1186" spans="1:1" ht="24.95" customHeight="1" x14ac:dyDescent="0.2">
      <c r="A1186" s="20" t="str">
        <f t="shared" si="18"/>
        <v/>
      </c>
    </row>
    <row r="1187" spans="1:1" ht="24.95" customHeight="1" x14ac:dyDescent="0.2">
      <c r="A1187" s="20" t="str">
        <f t="shared" si="18"/>
        <v/>
      </c>
    </row>
    <row r="1188" spans="1:1" ht="24.95" customHeight="1" x14ac:dyDescent="0.2">
      <c r="A1188" s="20" t="str">
        <f t="shared" si="18"/>
        <v/>
      </c>
    </row>
    <row r="1189" spans="1:1" ht="24.95" customHeight="1" x14ac:dyDescent="0.2">
      <c r="A1189" s="20" t="str">
        <f t="shared" si="18"/>
        <v/>
      </c>
    </row>
    <row r="1190" spans="1:1" ht="24.95" customHeight="1" x14ac:dyDescent="0.2">
      <c r="A1190" s="20" t="str">
        <f t="shared" si="18"/>
        <v/>
      </c>
    </row>
    <row r="1191" spans="1:1" ht="24.95" customHeight="1" x14ac:dyDescent="0.2">
      <c r="A1191" s="20" t="str">
        <f t="shared" si="18"/>
        <v/>
      </c>
    </row>
    <row r="1192" spans="1:1" ht="24.95" customHeight="1" x14ac:dyDescent="0.2">
      <c r="A1192" s="20" t="str">
        <f t="shared" si="18"/>
        <v/>
      </c>
    </row>
    <row r="1193" spans="1:1" ht="24.95" customHeight="1" x14ac:dyDescent="0.2">
      <c r="A1193" s="20" t="str">
        <f t="shared" si="18"/>
        <v/>
      </c>
    </row>
    <row r="1194" spans="1:1" ht="24.95" customHeight="1" x14ac:dyDescent="0.2">
      <c r="A1194" s="20" t="str">
        <f t="shared" si="18"/>
        <v/>
      </c>
    </row>
    <row r="1195" spans="1:1" ht="24.95" customHeight="1" x14ac:dyDescent="0.2">
      <c r="A1195" s="20" t="str">
        <f t="shared" si="18"/>
        <v/>
      </c>
    </row>
    <row r="1196" spans="1:1" ht="24.95" customHeight="1" x14ac:dyDescent="0.2">
      <c r="A1196" s="20" t="str">
        <f t="shared" si="18"/>
        <v/>
      </c>
    </row>
    <row r="1197" spans="1:1" ht="24.95" customHeight="1" x14ac:dyDescent="0.2">
      <c r="A1197" s="20" t="str">
        <f t="shared" si="18"/>
        <v/>
      </c>
    </row>
    <row r="1198" spans="1:1" ht="24.95" customHeight="1" x14ac:dyDescent="0.2">
      <c r="A1198" s="20" t="str">
        <f t="shared" si="18"/>
        <v/>
      </c>
    </row>
    <row r="1199" spans="1:1" ht="24.95" customHeight="1" x14ac:dyDescent="0.2">
      <c r="A1199" s="20" t="str">
        <f t="shared" si="18"/>
        <v/>
      </c>
    </row>
    <row r="1200" spans="1:1" ht="24.95" customHeight="1" x14ac:dyDescent="0.2">
      <c r="A1200" s="20" t="str">
        <f t="shared" si="18"/>
        <v/>
      </c>
    </row>
    <row r="1201" spans="1:1" ht="24.95" customHeight="1" x14ac:dyDescent="0.2">
      <c r="A1201" s="20" t="str">
        <f t="shared" si="18"/>
        <v/>
      </c>
    </row>
    <row r="1202" spans="1:1" ht="24.95" customHeight="1" x14ac:dyDescent="0.2">
      <c r="A1202" s="20" t="str">
        <f t="shared" si="18"/>
        <v/>
      </c>
    </row>
    <row r="1203" spans="1:1" ht="24.95" customHeight="1" x14ac:dyDescent="0.2">
      <c r="A1203" s="20" t="str">
        <f t="shared" si="18"/>
        <v/>
      </c>
    </row>
    <row r="1204" spans="1:1" ht="24.95" customHeight="1" x14ac:dyDescent="0.2">
      <c r="A1204" s="20" t="str">
        <f t="shared" si="18"/>
        <v/>
      </c>
    </row>
    <row r="1205" spans="1:1" ht="24.95" customHeight="1" x14ac:dyDescent="0.2">
      <c r="A1205" s="20" t="str">
        <f t="shared" si="18"/>
        <v/>
      </c>
    </row>
    <row r="1206" spans="1:1" ht="24.95" customHeight="1" x14ac:dyDescent="0.2">
      <c r="A1206" s="20" t="str">
        <f t="shared" si="18"/>
        <v/>
      </c>
    </row>
    <row r="1207" spans="1:1" ht="24.95" customHeight="1" x14ac:dyDescent="0.2">
      <c r="A1207" s="20" t="str">
        <f t="shared" si="18"/>
        <v/>
      </c>
    </row>
    <row r="1208" spans="1:1" ht="24.95" customHeight="1" x14ac:dyDescent="0.2">
      <c r="A1208" s="20" t="str">
        <f t="shared" si="18"/>
        <v/>
      </c>
    </row>
    <row r="1209" spans="1:1" ht="24.95" customHeight="1" x14ac:dyDescent="0.2">
      <c r="A1209" s="20" t="str">
        <f t="shared" si="18"/>
        <v/>
      </c>
    </row>
    <row r="1210" spans="1:1" ht="24.95" customHeight="1" x14ac:dyDescent="0.2">
      <c r="A1210" s="20" t="str">
        <f t="shared" si="18"/>
        <v/>
      </c>
    </row>
    <row r="1211" spans="1:1" ht="24.95" customHeight="1" x14ac:dyDescent="0.2">
      <c r="A1211" s="20" t="str">
        <f t="shared" si="18"/>
        <v/>
      </c>
    </row>
    <row r="1212" spans="1:1" ht="24.95" customHeight="1" x14ac:dyDescent="0.2">
      <c r="A1212" s="20" t="str">
        <f t="shared" si="18"/>
        <v/>
      </c>
    </row>
    <row r="1213" spans="1:1" ht="24.95" customHeight="1" x14ac:dyDescent="0.2">
      <c r="A1213" s="20" t="str">
        <f t="shared" si="18"/>
        <v/>
      </c>
    </row>
    <row r="1214" spans="1:1" ht="24.95" customHeight="1" x14ac:dyDescent="0.2">
      <c r="A1214" s="20" t="str">
        <f t="shared" si="18"/>
        <v/>
      </c>
    </row>
    <row r="1215" spans="1:1" ht="24.95" customHeight="1" x14ac:dyDescent="0.2">
      <c r="A1215" s="20" t="str">
        <f t="shared" si="18"/>
        <v/>
      </c>
    </row>
    <row r="1216" spans="1:1" ht="24.95" customHeight="1" x14ac:dyDescent="0.2">
      <c r="A1216" s="20" t="str">
        <f t="shared" si="18"/>
        <v/>
      </c>
    </row>
    <row r="1217" spans="1:1" ht="24.95" customHeight="1" x14ac:dyDescent="0.2">
      <c r="A1217" s="20" t="str">
        <f t="shared" si="18"/>
        <v/>
      </c>
    </row>
    <row r="1218" spans="1:1" ht="24.95" customHeight="1" x14ac:dyDescent="0.2">
      <c r="A1218" s="20" t="str">
        <f t="shared" si="18"/>
        <v/>
      </c>
    </row>
    <row r="1219" spans="1:1" ht="24.95" customHeight="1" x14ac:dyDescent="0.2">
      <c r="A1219" s="20" t="str">
        <f t="shared" si="18"/>
        <v/>
      </c>
    </row>
    <row r="1220" spans="1:1" ht="24.95" customHeight="1" x14ac:dyDescent="0.2">
      <c r="A1220" s="20" t="str">
        <f t="shared" si="18"/>
        <v/>
      </c>
    </row>
    <row r="1221" spans="1:1" ht="24.95" customHeight="1" x14ac:dyDescent="0.2">
      <c r="A1221" s="20" t="str">
        <f t="shared" si="18"/>
        <v/>
      </c>
    </row>
    <row r="1222" spans="1:1" ht="24.95" customHeight="1" x14ac:dyDescent="0.2">
      <c r="A1222" s="20" t="str">
        <f t="shared" si="18"/>
        <v/>
      </c>
    </row>
    <row r="1223" spans="1:1" ht="24.95" customHeight="1" x14ac:dyDescent="0.2">
      <c r="A1223" s="20" t="str">
        <f t="shared" si="18"/>
        <v/>
      </c>
    </row>
    <row r="1224" spans="1:1" ht="24.95" customHeight="1" x14ac:dyDescent="0.2">
      <c r="A1224" s="20" t="str">
        <f t="shared" si="18"/>
        <v/>
      </c>
    </row>
    <row r="1225" spans="1:1" ht="24.95" customHeight="1" x14ac:dyDescent="0.2">
      <c r="A1225" s="20" t="str">
        <f t="shared" si="18"/>
        <v/>
      </c>
    </row>
    <row r="1226" spans="1:1" ht="24.95" customHeight="1" x14ac:dyDescent="0.2">
      <c r="A1226" s="20" t="str">
        <f t="shared" si="18"/>
        <v/>
      </c>
    </row>
    <row r="1227" spans="1:1" ht="24.95" customHeight="1" x14ac:dyDescent="0.2">
      <c r="A1227" s="20" t="str">
        <f t="shared" si="18"/>
        <v/>
      </c>
    </row>
    <row r="1228" spans="1:1" ht="24.95" customHeight="1" x14ac:dyDescent="0.2">
      <c r="A1228" s="20" t="str">
        <f t="shared" ref="A1228:A1291" si="19">IF(AND(B1227&lt;&gt;"",B1228=""),$A$10&amp;"---&gt;","")</f>
        <v/>
      </c>
    </row>
    <row r="1229" spans="1:1" ht="24.95" customHeight="1" x14ac:dyDescent="0.2">
      <c r="A1229" s="20" t="str">
        <f t="shared" si="19"/>
        <v/>
      </c>
    </row>
    <row r="1230" spans="1:1" ht="24.95" customHeight="1" x14ac:dyDescent="0.2">
      <c r="A1230" s="20" t="str">
        <f t="shared" si="19"/>
        <v/>
      </c>
    </row>
    <row r="1231" spans="1:1" ht="24.95" customHeight="1" x14ac:dyDescent="0.2">
      <c r="A1231" s="20" t="str">
        <f t="shared" si="19"/>
        <v/>
      </c>
    </row>
    <row r="1232" spans="1:1" ht="24.95" customHeight="1" x14ac:dyDescent="0.2">
      <c r="A1232" s="20" t="str">
        <f t="shared" si="19"/>
        <v/>
      </c>
    </row>
    <row r="1233" spans="1:1" ht="24.95" customHeight="1" x14ac:dyDescent="0.2">
      <c r="A1233" s="20" t="str">
        <f t="shared" si="19"/>
        <v/>
      </c>
    </row>
    <row r="1234" spans="1:1" ht="24.95" customHeight="1" x14ac:dyDescent="0.2">
      <c r="A1234" s="20" t="str">
        <f t="shared" si="19"/>
        <v/>
      </c>
    </row>
    <row r="1235" spans="1:1" ht="24.95" customHeight="1" x14ac:dyDescent="0.2">
      <c r="A1235" s="20" t="str">
        <f t="shared" si="19"/>
        <v/>
      </c>
    </row>
    <row r="1236" spans="1:1" ht="24.95" customHeight="1" x14ac:dyDescent="0.2">
      <c r="A1236" s="20" t="str">
        <f t="shared" si="19"/>
        <v/>
      </c>
    </row>
    <row r="1237" spans="1:1" ht="24.95" customHeight="1" x14ac:dyDescent="0.2">
      <c r="A1237" s="20" t="str">
        <f t="shared" si="19"/>
        <v/>
      </c>
    </row>
    <row r="1238" spans="1:1" ht="24.95" customHeight="1" x14ac:dyDescent="0.2">
      <c r="A1238" s="20" t="str">
        <f t="shared" si="19"/>
        <v/>
      </c>
    </row>
    <row r="1239" spans="1:1" ht="24.95" customHeight="1" x14ac:dyDescent="0.2">
      <c r="A1239" s="20" t="str">
        <f t="shared" si="19"/>
        <v/>
      </c>
    </row>
    <row r="1240" spans="1:1" ht="24.95" customHeight="1" x14ac:dyDescent="0.2">
      <c r="A1240" s="20" t="str">
        <f t="shared" si="19"/>
        <v/>
      </c>
    </row>
    <row r="1241" spans="1:1" ht="24.95" customHeight="1" x14ac:dyDescent="0.2">
      <c r="A1241" s="20" t="str">
        <f t="shared" si="19"/>
        <v/>
      </c>
    </row>
    <row r="1242" spans="1:1" ht="24.95" customHeight="1" x14ac:dyDescent="0.2">
      <c r="A1242" s="20" t="str">
        <f t="shared" si="19"/>
        <v/>
      </c>
    </row>
    <row r="1243" spans="1:1" ht="24.95" customHeight="1" x14ac:dyDescent="0.2">
      <c r="A1243" s="20" t="str">
        <f t="shared" si="19"/>
        <v/>
      </c>
    </row>
    <row r="1244" spans="1:1" ht="24.95" customHeight="1" x14ac:dyDescent="0.2">
      <c r="A1244" s="20" t="str">
        <f t="shared" si="19"/>
        <v/>
      </c>
    </row>
    <row r="1245" spans="1:1" ht="24.95" customHeight="1" x14ac:dyDescent="0.2">
      <c r="A1245" s="20" t="str">
        <f t="shared" si="19"/>
        <v/>
      </c>
    </row>
    <row r="1246" spans="1:1" ht="24.95" customHeight="1" x14ac:dyDescent="0.2">
      <c r="A1246" s="20" t="str">
        <f t="shared" si="19"/>
        <v/>
      </c>
    </row>
    <row r="1247" spans="1:1" ht="24.95" customHeight="1" x14ac:dyDescent="0.2">
      <c r="A1247" s="20" t="str">
        <f t="shared" si="19"/>
        <v/>
      </c>
    </row>
    <row r="1248" spans="1:1" ht="24.95" customHeight="1" x14ac:dyDescent="0.2">
      <c r="A1248" s="20" t="str">
        <f t="shared" si="19"/>
        <v/>
      </c>
    </row>
    <row r="1249" spans="1:1" ht="24.95" customHeight="1" x14ac:dyDescent="0.2">
      <c r="A1249" s="20" t="str">
        <f t="shared" si="19"/>
        <v/>
      </c>
    </row>
    <row r="1250" spans="1:1" ht="24.95" customHeight="1" x14ac:dyDescent="0.2">
      <c r="A1250" s="20" t="str">
        <f t="shared" si="19"/>
        <v/>
      </c>
    </row>
    <row r="1251" spans="1:1" ht="24.95" customHeight="1" x14ac:dyDescent="0.2">
      <c r="A1251" s="20" t="str">
        <f t="shared" si="19"/>
        <v/>
      </c>
    </row>
    <row r="1252" spans="1:1" ht="24.95" customHeight="1" x14ac:dyDescent="0.2">
      <c r="A1252" s="20" t="str">
        <f t="shared" si="19"/>
        <v/>
      </c>
    </row>
    <row r="1253" spans="1:1" ht="24.95" customHeight="1" x14ac:dyDescent="0.2">
      <c r="A1253" s="20" t="str">
        <f t="shared" si="19"/>
        <v/>
      </c>
    </row>
    <row r="1254" spans="1:1" ht="24.95" customHeight="1" x14ac:dyDescent="0.2">
      <c r="A1254" s="20" t="str">
        <f t="shared" si="19"/>
        <v/>
      </c>
    </row>
    <row r="1255" spans="1:1" ht="24.95" customHeight="1" x14ac:dyDescent="0.2">
      <c r="A1255" s="20" t="str">
        <f t="shared" si="19"/>
        <v/>
      </c>
    </row>
    <row r="1256" spans="1:1" ht="24.95" customHeight="1" x14ac:dyDescent="0.2">
      <c r="A1256" s="20" t="str">
        <f t="shared" si="19"/>
        <v/>
      </c>
    </row>
    <row r="1257" spans="1:1" ht="24.95" customHeight="1" x14ac:dyDescent="0.2">
      <c r="A1257" s="20" t="str">
        <f t="shared" si="19"/>
        <v/>
      </c>
    </row>
    <row r="1258" spans="1:1" ht="24.95" customHeight="1" x14ac:dyDescent="0.2">
      <c r="A1258" s="20" t="str">
        <f t="shared" si="19"/>
        <v/>
      </c>
    </row>
    <row r="1259" spans="1:1" ht="24.95" customHeight="1" x14ac:dyDescent="0.2">
      <c r="A1259" s="20" t="str">
        <f t="shared" si="19"/>
        <v/>
      </c>
    </row>
    <row r="1260" spans="1:1" ht="24.95" customHeight="1" x14ac:dyDescent="0.2">
      <c r="A1260" s="20" t="str">
        <f t="shared" si="19"/>
        <v/>
      </c>
    </row>
    <row r="1261" spans="1:1" ht="24.95" customHeight="1" x14ac:dyDescent="0.2">
      <c r="A1261" s="20" t="str">
        <f t="shared" si="19"/>
        <v/>
      </c>
    </row>
    <row r="1262" spans="1:1" ht="24.95" customHeight="1" x14ac:dyDescent="0.2">
      <c r="A1262" s="20" t="str">
        <f t="shared" si="19"/>
        <v/>
      </c>
    </row>
    <row r="1263" spans="1:1" ht="24.95" customHeight="1" x14ac:dyDescent="0.2">
      <c r="A1263" s="20" t="str">
        <f t="shared" si="19"/>
        <v/>
      </c>
    </row>
    <row r="1264" spans="1:1" ht="24.95" customHeight="1" x14ac:dyDescent="0.2">
      <c r="A1264" s="20" t="str">
        <f t="shared" si="19"/>
        <v/>
      </c>
    </row>
    <row r="1265" spans="1:1" ht="24.95" customHeight="1" x14ac:dyDescent="0.2">
      <c r="A1265" s="20" t="str">
        <f t="shared" si="19"/>
        <v/>
      </c>
    </row>
    <row r="1266" spans="1:1" ht="24.95" customHeight="1" x14ac:dyDescent="0.2">
      <c r="A1266" s="20" t="str">
        <f t="shared" si="19"/>
        <v/>
      </c>
    </row>
    <row r="1267" spans="1:1" ht="24.95" customHeight="1" x14ac:dyDescent="0.2">
      <c r="A1267" s="20" t="str">
        <f t="shared" si="19"/>
        <v/>
      </c>
    </row>
    <row r="1268" spans="1:1" ht="24.95" customHeight="1" x14ac:dyDescent="0.2">
      <c r="A1268" s="20" t="str">
        <f t="shared" si="19"/>
        <v/>
      </c>
    </row>
    <row r="1269" spans="1:1" ht="24.95" customHeight="1" x14ac:dyDescent="0.2">
      <c r="A1269" s="20" t="str">
        <f t="shared" si="19"/>
        <v/>
      </c>
    </row>
    <row r="1270" spans="1:1" ht="24.95" customHeight="1" x14ac:dyDescent="0.2">
      <c r="A1270" s="20" t="str">
        <f t="shared" si="19"/>
        <v/>
      </c>
    </row>
    <row r="1271" spans="1:1" ht="24.95" customHeight="1" x14ac:dyDescent="0.2">
      <c r="A1271" s="20" t="str">
        <f t="shared" si="19"/>
        <v/>
      </c>
    </row>
    <row r="1272" spans="1:1" ht="24.95" customHeight="1" x14ac:dyDescent="0.2">
      <c r="A1272" s="20" t="str">
        <f t="shared" si="19"/>
        <v/>
      </c>
    </row>
    <row r="1273" spans="1:1" ht="24.95" customHeight="1" x14ac:dyDescent="0.2">
      <c r="A1273" s="20" t="str">
        <f t="shared" si="19"/>
        <v/>
      </c>
    </row>
    <row r="1274" spans="1:1" ht="24.95" customHeight="1" x14ac:dyDescent="0.2">
      <c r="A1274" s="20" t="str">
        <f t="shared" si="19"/>
        <v/>
      </c>
    </row>
    <row r="1275" spans="1:1" ht="24.95" customHeight="1" x14ac:dyDescent="0.2">
      <c r="A1275" s="20" t="str">
        <f t="shared" si="19"/>
        <v/>
      </c>
    </row>
    <row r="1276" spans="1:1" ht="24.95" customHeight="1" x14ac:dyDescent="0.2">
      <c r="A1276" s="20" t="str">
        <f t="shared" si="19"/>
        <v/>
      </c>
    </row>
    <row r="1277" spans="1:1" ht="24.95" customHeight="1" x14ac:dyDescent="0.2">
      <c r="A1277" s="20" t="str">
        <f t="shared" si="19"/>
        <v/>
      </c>
    </row>
    <row r="1278" spans="1:1" ht="24.95" customHeight="1" x14ac:dyDescent="0.2">
      <c r="A1278" s="20" t="str">
        <f t="shared" si="19"/>
        <v/>
      </c>
    </row>
    <row r="1279" spans="1:1" ht="24.95" customHeight="1" x14ac:dyDescent="0.2">
      <c r="A1279" s="20" t="str">
        <f t="shared" si="19"/>
        <v/>
      </c>
    </row>
    <row r="1280" spans="1:1" ht="24.95" customHeight="1" x14ac:dyDescent="0.2">
      <c r="A1280" s="20" t="str">
        <f t="shared" si="19"/>
        <v/>
      </c>
    </row>
    <row r="1281" spans="1:1" ht="24.95" customHeight="1" x14ac:dyDescent="0.2">
      <c r="A1281" s="20" t="str">
        <f t="shared" si="19"/>
        <v/>
      </c>
    </row>
    <row r="1282" spans="1:1" ht="24.95" customHeight="1" x14ac:dyDescent="0.2">
      <c r="A1282" s="20" t="str">
        <f t="shared" si="19"/>
        <v/>
      </c>
    </row>
    <row r="1283" spans="1:1" ht="24.95" customHeight="1" x14ac:dyDescent="0.2">
      <c r="A1283" s="20" t="str">
        <f t="shared" si="19"/>
        <v/>
      </c>
    </row>
    <row r="1284" spans="1:1" ht="24.95" customHeight="1" x14ac:dyDescent="0.2">
      <c r="A1284" s="20" t="str">
        <f t="shared" si="19"/>
        <v/>
      </c>
    </row>
    <row r="1285" spans="1:1" ht="24.95" customHeight="1" x14ac:dyDescent="0.2">
      <c r="A1285" s="20" t="str">
        <f t="shared" si="19"/>
        <v/>
      </c>
    </row>
    <row r="1286" spans="1:1" ht="24.95" customHeight="1" x14ac:dyDescent="0.2">
      <c r="A1286" s="20" t="str">
        <f t="shared" si="19"/>
        <v/>
      </c>
    </row>
    <row r="1287" spans="1:1" ht="24.95" customHeight="1" x14ac:dyDescent="0.2">
      <c r="A1287" s="20" t="str">
        <f t="shared" si="19"/>
        <v/>
      </c>
    </row>
    <row r="1288" spans="1:1" ht="24.95" customHeight="1" x14ac:dyDescent="0.2">
      <c r="A1288" s="20" t="str">
        <f t="shared" si="19"/>
        <v/>
      </c>
    </row>
    <row r="1289" spans="1:1" ht="24.95" customHeight="1" x14ac:dyDescent="0.2">
      <c r="A1289" s="20" t="str">
        <f t="shared" si="19"/>
        <v/>
      </c>
    </row>
    <row r="1290" spans="1:1" ht="24.95" customHeight="1" x14ac:dyDescent="0.2">
      <c r="A1290" s="20" t="str">
        <f t="shared" si="19"/>
        <v/>
      </c>
    </row>
    <row r="1291" spans="1:1" ht="24.95" customHeight="1" x14ac:dyDescent="0.2">
      <c r="A1291" s="20" t="str">
        <f t="shared" si="19"/>
        <v/>
      </c>
    </row>
    <row r="1292" spans="1:1" ht="24.95" customHeight="1" x14ac:dyDescent="0.2">
      <c r="A1292" s="20" t="str">
        <f t="shared" ref="A1292:A1355" si="20">IF(AND(B1291&lt;&gt;"",B1292=""),$A$10&amp;"---&gt;","")</f>
        <v/>
      </c>
    </row>
    <row r="1293" spans="1:1" ht="24.95" customHeight="1" x14ac:dyDescent="0.2">
      <c r="A1293" s="20" t="str">
        <f t="shared" si="20"/>
        <v/>
      </c>
    </row>
    <row r="1294" spans="1:1" ht="24.95" customHeight="1" x14ac:dyDescent="0.2">
      <c r="A1294" s="20" t="str">
        <f t="shared" si="20"/>
        <v/>
      </c>
    </row>
    <row r="1295" spans="1:1" ht="24.95" customHeight="1" x14ac:dyDescent="0.2">
      <c r="A1295" s="20" t="str">
        <f t="shared" si="20"/>
        <v/>
      </c>
    </row>
    <row r="1296" spans="1:1" ht="24.95" customHeight="1" x14ac:dyDescent="0.2">
      <c r="A1296" s="20" t="str">
        <f t="shared" si="20"/>
        <v/>
      </c>
    </row>
    <row r="1297" spans="1:1" ht="24.95" customHeight="1" x14ac:dyDescent="0.2">
      <c r="A1297" s="20" t="str">
        <f t="shared" si="20"/>
        <v/>
      </c>
    </row>
    <row r="1298" spans="1:1" ht="24.95" customHeight="1" x14ac:dyDescent="0.2">
      <c r="A1298" s="20" t="str">
        <f t="shared" si="20"/>
        <v/>
      </c>
    </row>
    <row r="1299" spans="1:1" ht="24.95" customHeight="1" x14ac:dyDescent="0.2">
      <c r="A1299" s="20" t="str">
        <f t="shared" si="20"/>
        <v/>
      </c>
    </row>
    <row r="1300" spans="1:1" ht="24.95" customHeight="1" x14ac:dyDescent="0.2">
      <c r="A1300" s="20" t="str">
        <f t="shared" si="20"/>
        <v/>
      </c>
    </row>
    <row r="1301" spans="1:1" ht="24.95" customHeight="1" x14ac:dyDescent="0.2">
      <c r="A1301" s="20" t="str">
        <f t="shared" si="20"/>
        <v/>
      </c>
    </row>
    <row r="1302" spans="1:1" ht="24.95" customHeight="1" x14ac:dyDescent="0.2">
      <c r="A1302" s="20" t="str">
        <f t="shared" si="20"/>
        <v/>
      </c>
    </row>
    <row r="1303" spans="1:1" ht="24.95" customHeight="1" x14ac:dyDescent="0.2">
      <c r="A1303" s="20" t="str">
        <f t="shared" si="20"/>
        <v/>
      </c>
    </row>
    <row r="1304" spans="1:1" ht="24.95" customHeight="1" x14ac:dyDescent="0.2">
      <c r="A1304" s="20" t="str">
        <f t="shared" si="20"/>
        <v/>
      </c>
    </row>
    <row r="1305" spans="1:1" ht="24.95" customHeight="1" x14ac:dyDescent="0.2">
      <c r="A1305" s="20" t="str">
        <f t="shared" si="20"/>
        <v/>
      </c>
    </row>
    <row r="1306" spans="1:1" ht="24.95" customHeight="1" x14ac:dyDescent="0.2">
      <c r="A1306" s="20" t="str">
        <f t="shared" si="20"/>
        <v/>
      </c>
    </row>
    <row r="1307" spans="1:1" ht="24.95" customHeight="1" x14ac:dyDescent="0.2">
      <c r="A1307" s="20" t="str">
        <f t="shared" si="20"/>
        <v/>
      </c>
    </row>
    <row r="1308" spans="1:1" ht="24.95" customHeight="1" x14ac:dyDescent="0.2">
      <c r="A1308" s="20" t="str">
        <f t="shared" si="20"/>
        <v/>
      </c>
    </row>
    <row r="1309" spans="1:1" ht="24.95" customHeight="1" x14ac:dyDescent="0.2">
      <c r="A1309" s="20" t="str">
        <f t="shared" si="20"/>
        <v/>
      </c>
    </row>
    <row r="1310" spans="1:1" ht="24.95" customHeight="1" x14ac:dyDescent="0.2">
      <c r="A1310" s="20" t="str">
        <f t="shared" si="20"/>
        <v/>
      </c>
    </row>
    <row r="1311" spans="1:1" ht="24.95" customHeight="1" x14ac:dyDescent="0.2">
      <c r="A1311" s="20" t="str">
        <f t="shared" si="20"/>
        <v/>
      </c>
    </row>
    <row r="1312" spans="1:1" ht="24.95" customHeight="1" x14ac:dyDescent="0.2">
      <c r="A1312" s="20" t="str">
        <f t="shared" si="20"/>
        <v/>
      </c>
    </row>
    <row r="1313" spans="1:1" ht="24.95" customHeight="1" x14ac:dyDescent="0.2">
      <c r="A1313" s="20" t="str">
        <f t="shared" si="20"/>
        <v/>
      </c>
    </row>
    <row r="1314" spans="1:1" ht="24.95" customHeight="1" x14ac:dyDescent="0.2">
      <c r="A1314" s="20" t="str">
        <f t="shared" si="20"/>
        <v/>
      </c>
    </row>
    <row r="1315" spans="1:1" ht="24.95" customHeight="1" x14ac:dyDescent="0.2">
      <c r="A1315" s="20" t="str">
        <f t="shared" si="20"/>
        <v/>
      </c>
    </row>
    <row r="1316" spans="1:1" ht="24.95" customHeight="1" x14ac:dyDescent="0.2">
      <c r="A1316" s="20" t="str">
        <f t="shared" si="20"/>
        <v/>
      </c>
    </row>
    <row r="1317" spans="1:1" ht="24.95" customHeight="1" x14ac:dyDescent="0.2">
      <c r="A1317" s="20" t="str">
        <f t="shared" si="20"/>
        <v/>
      </c>
    </row>
    <row r="1318" spans="1:1" ht="24.95" customHeight="1" x14ac:dyDescent="0.2">
      <c r="A1318" s="20" t="str">
        <f t="shared" si="20"/>
        <v/>
      </c>
    </row>
    <row r="1319" spans="1:1" ht="24.95" customHeight="1" x14ac:dyDescent="0.2">
      <c r="A1319" s="20" t="str">
        <f t="shared" si="20"/>
        <v/>
      </c>
    </row>
    <row r="1320" spans="1:1" ht="24.95" customHeight="1" x14ac:dyDescent="0.2">
      <c r="A1320" s="20" t="str">
        <f t="shared" si="20"/>
        <v/>
      </c>
    </row>
    <row r="1321" spans="1:1" ht="24.95" customHeight="1" x14ac:dyDescent="0.2">
      <c r="A1321" s="20" t="str">
        <f t="shared" si="20"/>
        <v/>
      </c>
    </row>
    <row r="1322" spans="1:1" ht="24.95" customHeight="1" x14ac:dyDescent="0.2">
      <c r="A1322" s="20" t="str">
        <f t="shared" si="20"/>
        <v/>
      </c>
    </row>
    <row r="1323" spans="1:1" ht="24.95" customHeight="1" x14ac:dyDescent="0.2">
      <c r="A1323" s="20" t="str">
        <f t="shared" si="20"/>
        <v/>
      </c>
    </row>
    <row r="1324" spans="1:1" ht="24.95" customHeight="1" x14ac:dyDescent="0.2">
      <c r="A1324" s="20" t="str">
        <f t="shared" si="20"/>
        <v/>
      </c>
    </row>
    <row r="1325" spans="1:1" ht="24.95" customHeight="1" x14ac:dyDescent="0.2">
      <c r="A1325" s="20" t="str">
        <f t="shared" si="20"/>
        <v/>
      </c>
    </row>
    <row r="1326" spans="1:1" ht="24.95" customHeight="1" x14ac:dyDescent="0.2">
      <c r="A1326" s="20" t="str">
        <f t="shared" si="20"/>
        <v/>
      </c>
    </row>
    <row r="1327" spans="1:1" ht="24.95" customHeight="1" x14ac:dyDescent="0.2">
      <c r="A1327" s="20" t="str">
        <f t="shared" si="20"/>
        <v/>
      </c>
    </row>
    <row r="1328" spans="1:1" ht="24.95" customHeight="1" x14ac:dyDescent="0.2">
      <c r="A1328" s="20" t="str">
        <f t="shared" si="20"/>
        <v/>
      </c>
    </row>
    <row r="1329" spans="1:1" ht="24.95" customHeight="1" x14ac:dyDescent="0.2">
      <c r="A1329" s="20" t="str">
        <f t="shared" si="20"/>
        <v/>
      </c>
    </row>
    <row r="1330" spans="1:1" ht="24.95" customHeight="1" x14ac:dyDescent="0.2">
      <c r="A1330" s="20" t="str">
        <f t="shared" si="20"/>
        <v/>
      </c>
    </row>
    <row r="1331" spans="1:1" ht="24.95" customHeight="1" x14ac:dyDescent="0.2">
      <c r="A1331" s="20" t="str">
        <f t="shared" si="20"/>
        <v/>
      </c>
    </row>
    <row r="1332" spans="1:1" ht="24.95" customHeight="1" x14ac:dyDescent="0.2">
      <c r="A1332" s="20" t="str">
        <f t="shared" si="20"/>
        <v/>
      </c>
    </row>
    <row r="1333" spans="1:1" ht="24.95" customHeight="1" x14ac:dyDescent="0.2">
      <c r="A1333" s="20" t="str">
        <f t="shared" si="20"/>
        <v/>
      </c>
    </row>
    <row r="1334" spans="1:1" ht="24.95" customHeight="1" x14ac:dyDescent="0.2">
      <c r="A1334" s="20" t="str">
        <f t="shared" si="20"/>
        <v/>
      </c>
    </row>
    <row r="1335" spans="1:1" ht="24.95" customHeight="1" x14ac:dyDescent="0.2">
      <c r="A1335" s="20" t="str">
        <f t="shared" si="20"/>
        <v/>
      </c>
    </row>
    <row r="1336" spans="1:1" ht="24.95" customHeight="1" x14ac:dyDescent="0.2">
      <c r="A1336" s="20" t="str">
        <f t="shared" si="20"/>
        <v/>
      </c>
    </row>
    <row r="1337" spans="1:1" ht="24.95" customHeight="1" x14ac:dyDescent="0.2">
      <c r="A1337" s="20" t="str">
        <f t="shared" si="20"/>
        <v/>
      </c>
    </row>
    <row r="1338" spans="1:1" ht="24.95" customHeight="1" x14ac:dyDescent="0.2">
      <c r="A1338" s="20" t="str">
        <f t="shared" si="20"/>
        <v/>
      </c>
    </row>
    <row r="1339" spans="1:1" ht="24.95" customHeight="1" x14ac:dyDescent="0.2">
      <c r="A1339" s="20" t="str">
        <f t="shared" si="20"/>
        <v/>
      </c>
    </row>
    <row r="1340" spans="1:1" ht="24.95" customHeight="1" x14ac:dyDescent="0.2">
      <c r="A1340" s="20" t="str">
        <f t="shared" si="20"/>
        <v/>
      </c>
    </row>
    <row r="1341" spans="1:1" ht="24.95" customHeight="1" x14ac:dyDescent="0.2">
      <c r="A1341" s="20" t="str">
        <f t="shared" si="20"/>
        <v/>
      </c>
    </row>
    <row r="1342" spans="1:1" ht="24.95" customHeight="1" x14ac:dyDescent="0.2">
      <c r="A1342" s="20" t="str">
        <f t="shared" si="20"/>
        <v/>
      </c>
    </row>
    <row r="1343" spans="1:1" ht="24.95" customHeight="1" x14ac:dyDescent="0.2">
      <c r="A1343" s="20" t="str">
        <f t="shared" si="20"/>
        <v/>
      </c>
    </row>
    <row r="1344" spans="1:1" ht="24.95" customHeight="1" x14ac:dyDescent="0.2">
      <c r="A1344" s="20" t="str">
        <f t="shared" si="20"/>
        <v/>
      </c>
    </row>
    <row r="1345" spans="1:1" ht="24.95" customHeight="1" x14ac:dyDescent="0.2">
      <c r="A1345" s="20" t="str">
        <f t="shared" si="20"/>
        <v/>
      </c>
    </row>
    <row r="1346" spans="1:1" ht="24.95" customHeight="1" x14ac:dyDescent="0.2">
      <c r="A1346" s="20" t="str">
        <f t="shared" si="20"/>
        <v/>
      </c>
    </row>
    <row r="1347" spans="1:1" ht="24.95" customHeight="1" x14ac:dyDescent="0.2">
      <c r="A1347" s="20" t="str">
        <f t="shared" si="20"/>
        <v/>
      </c>
    </row>
    <row r="1348" spans="1:1" ht="24.95" customHeight="1" x14ac:dyDescent="0.2">
      <c r="A1348" s="20" t="str">
        <f t="shared" si="20"/>
        <v/>
      </c>
    </row>
    <row r="1349" spans="1:1" ht="24.95" customHeight="1" x14ac:dyDescent="0.2">
      <c r="A1349" s="20" t="str">
        <f t="shared" si="20"/>
        <v/>
      </c>
    </row>
    <row r="1350" spans="1:1" ht="24.95" customHeight="1" x14ac:dyDescent="0.2">
      <c r="A1350" s="20" t="str">
        <f t="shared" si="20"/>
        <v/>
      </c>
    </row>
    <row r="1351" spans="1:1" ht="24.95" customHeight="1" x14ac:dyDescent="0.2">
      <c r="A1351" s="20" t="str">
        <f t="shared" si="20"/>
        <v/>
      </c>
    </row>
    <row r="1352" spans="1:1" ht="24.95" customHeight="1" x14ac:dyDescent="0.2">
      <c r="A1352" s="20" t="str">
        <f t="shared" si="20"/>
        <v/>
      </c>
    </row>
    <row r="1353" spans="1:1" ht="24.95" customHeight="1" x14ac:dyDescent="0.2">
      <c r="A1353" s="20" t="str">
        <f t="shared" si="20"/>
        <v/>
      </c>
    </row>
    <row r="1354" spans="1:1" ht="24.95" customHeight="1" x14ac:dyDescent="0.2">
      <c r="A1354" s="20" t="str">
        <f t="shared" si="20"/>
        <v/>
      </c>
    </row>
    <row r="1355" spans="1:1" ht="24.95" customHeight="1" x14ac:dyDescent="0.2">
      <c r="A1355" s="20" t="str">
        <f t="shared" si="20"/>
        <v/>
      </c>
    </row>
    <row r="1356" spans="1:1" ht="24.95" customHeight="1" x14ac:dyDescent="0.2">
      <c r="A1356" s="20" t="str">
        <f t="shared" ref="A1356:A1419" si="21">IF(AND(B1355&lt;&gt;"",B1356=""),$A$10&amp;"---&gt;","")</f>
        <v/>
      </c>
    </row>
    <row r="1357" spans="1:1" ht="24.95" customHeight="1" x14ac:dyDescent="0.2">
      <c r="A1357" s="20" t="str">
        <f t="shared" si="21"/>
        <v/>
      </c>
    </row>
    <row r="1358" spans="1:1" ht="24.95" customHeight="1" x14ac:dyDescent="0.2">
      <c r="A1358" s="20" t="str">
        <f t="shared" si="21"/>
        <v/>
      </c>
    </row>
    <row r="1359" spans="1:1" ht="24.95" customHeight="1" x14ac:dyDescent="0.2">
      <c r="A1359" s="20" t="str">
        <f t="shared" si="21"/>
        <v/>
      </c>
    </row>
    <row r="1360" spans="1:1" ht="24.95" customHeight="1" x14ac:dyDescent="0.2">
      <c r="A1360" s="20" t="str">
        <f t="shared" si="21"/>
        <v/>
      </c>
    </row>
    <row r="1361" spans="1:1" ht="24.95" customHeight="1" x14ac:dyDescent="0.2">
      <c r="A1361" s="20" t="str">
        <f t="shared" si="21"/>
        <v/>
      </c>
    </row>
    <row r="1362" spans="1:1" ht="24.95" customHeight="1" x14ac:dyDescent="0.2">
      <c r="A1362" s="20" t="str">
        <f t="shared" si="21"/>
        <v/>
      </c>
    </row>
    <row r="1363" spans="1:1" ht="24.95" customHeight="1" x14ac:dyDescent="0.2">
      <c r="A1363" s="20" t="str">
        <f t="shared" si="21"/>
        <v/>
      </c>
    </row>
    <row r="1364" spans="1:1" ht="24.95" customHeight="1" x14ac:dyDescent="0.2">
      <c r="A1364" s="20" t="str">
        <f t="shared" si="21"/>
        <v/>
      </c>
    </row>
    <row r="1365" spans="1:1" ht="24.95" customHeight="1" x14ac:dyDescent="0.2">
      <c r="A1365" s="20" t="str">
        <f t="shared" si="21"/>
        <v/>
      </c>
    </row>
    <row r="1366" spans="1:1" ht="24.95" customHeight="1" x14ac:dyDescent="0.2">
      <c r="A1366" s="20" t="str">
        <f t="shared" si="21"/>
        <v/>
      </c>
    </row>
    <row r="1367" spans="1:1" ht="24.95" customHeight="1" x14ac:dyDescent="0.2">
      <c r="A1367" s="20" t="str">
        <f t="shared" si="21"/>
        <v/>
      </c>
    </row>
    <row r="1368" spans="1:1" ht="24.95" customHeight="1" x14ac:dyDescent="0.2">
      <c r="A1368" s="20" t="str">
        <f t="shared" si="21"/>
        <v/>
      </c>
    </row>
    <row r="1369" spans="1:1" ht="24.95" customHeight="1" x14ac:dyDescent="0.2">
      <c r="A1369" s="20" t="str">
        <f t="shared" si="21"/>
        <v/>
      </c>
    </row>
    <row r="1370" spans="1:1" ht="24.95" customHeight="1" x14ac:dyDescent="0.2">
      <c r="A1370" s="20" t="str">
        <f t="shared" si="21"/>
        <v/>
      </c>
    </row>
    <row r="1371" spans="1:1" ht="24.95" customHeight="1" x14ac:dyDescent="0.2">
      <c r="A1371" s="20" t="str">
        <f t="shared" si="21"/>
        <v/>
      </c>
    </row>
    <row r="1372" spans="1:1" ht="24.95" customHeight="1" x14ac:dyDescent="0.2">
      <c r="A1372" s="20" t="str">
        <f t="shared" si="21"/>
        <v/>
      </c>
    </row>
    <row r="1373" spans="1:1" ht="24.95" customHeight="1" x14ac:dyDescent="0.2">
      <c r="A1373" s="20" t="str">
        <f t="shared" si="21"/>
        <v/>
      </c>
    </row>
    <row r="1374" spans="1:1" ht="24.95" customHeight="1" x14ac:dyDescent="0.2">
      <c r="A1374" s="20" t="str">
        <f t="shared" si="21"/>
        <v/>
      </c>
    </row>
    <row r="1375" spans="1:1" ht="24.95" customHeight="1" x14ac:dyDescent="0.2">
      <c r="A1375" s="20" t="str">
        <f t="shared" si="21"/>
        <v/>
      </c>
    </row>
    <row r="1376" spans="1:1" ht="24.95" customHeight="1" x14ac:dyDescent="0.2">
      <c r="A1376" s="20" t="str">
        <f t="shared" si="21"/>
        <v/>
      </c>
    </row>
    <row r="1377" spans="1:1" ht="24.95" customHeight="1" x14ac:dyDescent="0.2">
      <c r="A1377" s="20" t="str">
        <f t="shared" si="21"/>
        <v/>
      </c>
    </row>
    <row r="1378" spans="1:1" ht="24.95" customHeight="1" x14ac:dyDescent="0.2">
      <c r="A1378" s="20" t="str">
        <f t="shared" si="21"/>
        <v/>
      </c>
    </row>
    <row r="1379" spans="1:1" ht="24.95" customHeight="1" x14ac:dyDescent="0.2">
      <c r="A1379" s="20" t="str">
        <f t="shared" si="21"/>
        <v/>
      </c>
    </row>
    <row r="1380" spans="1:1" ht="24.95" customHeight="1" x14ac:dyDescent="0.2">
      <c r="A1380" s="20" t="str">
        <f t="shared" si="21"/>
        <v/>
      </c>
    </row>
    <row r="1381" spans="1:1" ht="24.95" customHeight="1" x14ac:dyDescent="0.2">
      <c r="A1381" s="20" t="str">
        <f t="shared" si="21"/>
        <v/>
      </c>
    </row>
    <row r="1382" spans="1:1" ht="24.95" customHeight="1" x14ac:dyDescent="0.2">
      <c r="A1382" s="20" t="str">
        <f t="shared" si="21"/>
        <v/>
      </c>
    </row>
    <row r="1383" spans="1:1" ht="24.95" customHeight="1" x14ac:dyDescent="0.2">
      <c r="A1383" s="20" t="str">
        <f t="shared" si="21"/>
        <v/>
      </c>
    </row>
    <row r="1384" spans="1:1" ht="24.95" customHeight="1" x14ac:dyDescent="0.2">
      <c r="A1384" s="20" t="str">
        <f t="shared" si="21"/>
        <v/>
      </c>
    </row>
    <row r="1385" spans="1:1" ht="24.95" customHeight="1" x14ac:dyDescent="0.2">
      <c r="A1385" s="20" t="str">
        <f t="shared" si="21"/>
        <v/>
      </c>
    </row>
    <row r="1386" spans="1:1" ht="24.95" customHeight="1" x14ac:dyDescent="0.2">
      <c r="A1386" s="20" t="str">
        <f t="shared" si="21"/>
        <v/>
      </c>
    </row>
    <row r="1387" spans="1:1" ht="24.95" customHeight="1" x14ac:dyDescent="0.2">
      <c r="A1387" s="20" t="str">
        <f t="shared" si="21"/>
        <v/>
      </c>
    </row>
    <row r="1388" spans="1:1" ht="24.95" customHeight="1" x14ac:dyDescent="0.2">
      <c r="A1388" s="20" t="str">
        <f t="shared" si="21"/>
        <v/>
      </c>
    </row>
    <row r="1389" spans="1:1" ht="24.95" customHeight="1" x14ac:dyDescent="0.2">
      <c r="A1389" s="20" t="str">
        <f t="shared" si="21"/>
        <v/>
      </c>
    </row>
    <row r="1390" spans="1:1" ht="24.95" customHeight="1" x14ac:dyDescent="0.2">
      <c r="A1390" s="20" t="str">
        <f t="shared" si="21"/>
        <v/>
      </c>
    </row>
    <row r="1391" spans="1:1" ht="24.95" customHeight="1" x14ac:dyDescent="0.2">
      <c r="A1391" s="20" t="str">
        <f t="shared" si="21"/>
        <v/>
      </c>
    </row>
    <row r="1392" spans="1:1" ht="24.95" customHeight="1" x14ac:dyDescent="0.2">
      <c r="A1392" s="20" t="str">
        <f t="shared" si="21"/>
        <v/>
      </c>
    </row>
    <row r="1393" spans="1:1" ht="24.95" customHeight="1" x14ac:dyDescent="0.2">
      <c r="A1393" s="20" t="str">
        <f t="shared" si="21"/>
        <v/>
      </c>
    </row>
    <row r="1394" spans="1:1" ht="24.95" customHeight="1" x14ac:dyDescent="0.2">
      <c r="A1394" s="20" t="str">
        <f t="shared" si="21"/>
        <v/>
      </c>
    </row>
    <row r="1395" spans="1:1" ht="24.95" customHeight="1" x14ac:dyDescent="0.2">
      <c r="A1395" s="20" t="str">
        <f t="shared" si="21"/>
        <v/>
      </c>
    </row>
    <row r="1396" spans="1:1" ht="24.95" customHeight="1" x14ac:dyDescent="0.2">
      <c r="A1396" s="20" t="str">
        <f t="shared" si="21"/>
        <v/>
      </c>
    </row>
    <row r="1397" spans="1:1" ht="24.95" customHeight="1" x14ac:dyDescent="0.2">
      <c r="A1397" s="20" t="str">
        <f t="shared" si="21"/>
        <v/>
      </c>
    </row>
    <row r="1398" spans="1:1" ht="24.95" customHeight="1" x14ac:dyDescent="0.2">
      <c r="A1398" s="20" t="str">
        <f t="shared" si="21"/>
        <v/>
      </c>
    </row>
    <row r="1399" spans="1:1" ht="24.95" customHeight="1" x14ac:dyDescent="0.2">
      <c r="A1399" s="20" t="str">
        <f t="shared" si="21"/>
        <v/>
      </c>
    </row>
    <row r="1400" spans="1:1" ht="24.95" customHeight="1" x14ac:dyDescent="0.2">
      <c r="A1400" s="20" t="str">
        <f t="shared" si="21"/>
        <v/>
      </c>
    </row>
    <row r="1401" spans="1:1" ht="24.95" customHeight="1" x14ac:dyDescent="0.2">
      <c r="A1401" s="20" t="str">
        <f t="shared" si="21"/>
        <v/>
      </c>
    </row>
    <row r="1402" spans="1:1" ht="24.95" customHeight="1" x14ac:dyDescent="0.2">
      <c r="A1402" s="20" t="str">
        <f t="shared" si="21"/>
        <v/>
      </c>
    </row>
    <row r="1403" spans="1:1" ht="24.95" customHeight="1" x14ac:dyDescent="0.2">
      <c r="A1403" s="20" t="str">
        <f t="shared" si="21"/>
        <v/>
      </c>
    </row>
    <row r="1404" spans="1:1" ht="24.95" customHeight="1" x14ac:dyDescent="0.2">
      <c r="A1404" s="20" t="str">
        <f t="shared" si="21"/>
        <v/>
      </c>
    </row>
    <row r="1405" spans="1:1" ht="24.95" customHeight="1" x14ac:dyDescent="0.2">
      <c r="A1405" s="20" t="str">
        <f t="shared" si="21"/>
        <v/>
      </c>
    </row>
    <row r="1406" spans="1:1" ht="24.95" customHeight="1" x14ac:dyDescent="0.2">
      <c r="A1406" s="20" t="str">
        <f t="shared" si="21"/>
        <v/>
      </c>
    </row>
    <row r="1407" spans="1:1" ht="24.95" customHeight="1" x14ac:dyDescent="0.2">
      <c r="A1407" s="20" t="str">
        <f t="shared" si="21"/>
        <v/>
      </c>
    </row>
    <row r="1408" spans="1:1" ht="24.95" customHeight="1" x14ac:dyDescent="0.2">
      <c r="A1408" s="20" t="str">
        <f t="shared" si="21"/>
        <v/>
      </c>
    </row>
    <row r="1409" spans="1:1" ht="24.95" customHeight="1" x14ac:dyDescent="0.2">
      <c r="A1409" s="20" t="str">
        <f t="shared" si="21"/>
        <v/>
      </c>
    </row>
    <row r="1410" spans="1:1" ht="24.95" customHeight="1" x14ac:dyDescent="0.2">
      <c r="A1410" s="20" t="str">
        <f t="shared" si="21"/>
        <v/>
      </c>
    </row>
    <row r="1411" spans="1:1" ht="24.95" customHeight="1" x14ac:dyDescent="0.2">
      <c r="A1411" s="20" t="str">
        <f t="shared" si="21"/>
        <v/>
      </c>
    </row>
    <row r="1412" spans="1:1" ht="24.95" customHeight="1" x14ac:dyDescent="0.2">
      <c r="A1412" s="20" t="str">
        <f t="shared" si="21"/>
        <v/>
      </c>
    </row>
    <row r="1413" spans="1:1" ht="24.95" customHeight="1" x14ac:dyDescent="0.2">
      <c r="A1413" s="20" t="str">
        <f t="shared" si="21"/>
        <v/>
      </c>
    </row>
    <row r="1414" spans="1:1" ht="24.95" customHeight="1" x14ac:dyDescent="0.2">
      <c r="A1414" s="20" t="str">
        <f t="shared" si="21"/>
        <v/>
      </c>
    </row>
    <row r="1415" spans="1:1" ht="24.95" customHeight="1" x14ac:dyDescent="0.2">
      <c r="A1415" s="20" t="str">
        <f t="shared" si="21"/>
        <v/>
      </c>
    </row>
    <row r="1416" spans="1:1" ht="24.95" customHeight="1" x14ac:dyDescent="0.2">
      <c r="A1416" s="20" t="str">
        <f t="shared" si="21"/>
        <v/>
      </c>
    </row>
    <row r="1417" spans="1:1" ht="24.95" customHeight="1" x14ac:dyDescent="0.2">
      <c r="A1417" s="20" t="str">
        <f t="shared" si="21"/>
        <v/>
      </c>
    </row>
    <row r="1418" spans="1:1" ht="24.95" customHeight="1" x14ac:dyDescent="0.2">
      <c r="A1418" s="20" t="str">
        <f t="shared" si="21"/>
        <v/>
      </c>
    </row>
    <row r="1419" spans="1:1" ht="24.95" customHeight="1" x14ac:dyDescent="0.2">
      <c r="A1419" s="20" t="str">
        <f t="shared" si="21"/>
        <v/>
      </c>
    </row>
    <row r="1420" spans="1:1" ht="24.95" customHeight="1" x14ac:dyDescent="0.2">
      <c r="A1420" s="20" t="str">
        <f t="shared" ref="A1420:A1483" si="22">IF(AND(B1419&lt;&gt;"",B1420=""),$A$10&amp;"---&gt;","")</f>
        <v/>
      </c>
    </row>
    <row r="1421" spans="1:1" ht="24.95" customHeight="1" x14ac:dyDescent="0.2">
      <c r="A1421" s="20" t="str">
        <f t="shared" si="22"/>
        <v/>
      </c>
    </row>
    <row r="1422" spans="1:1" ht="24.95" customHeight="1" x14ac:dyDescent="0.2">
      <c r="A1422" s="20" t="str">
        <f t="shared" si="22"/>
        <v/>
      </c>
    </row>
    <row r="1423" spans="1:1" ht="24.95" customHeight="1" x14ac:dyDescent="0.2">
      <c r="A1423" s="20" t="str">
        <f t="shared" si="22"/>
        <v/>
      </c>
    </row>
    <row r="1424" spans="1:1" ht="24.95" customHeight="1" x14ac:dyDescent="0.2">
      <c r="A1424" s="20" t="str">
        <f t="shared" si="22"/>
        <v/>
      </c>
    </row>
    <row r="1425" spans="1:1" ht="24.95" customHeight="1" x14ac:dyDescent="0.2">
      <c r="A1425" s="20" t="str">
        <f t="shared" si="22"/>
        <v/>
      </c>
    </row>
    <row r="1426" spans="1:1" ht="24.95" customHeight="1" x14ac:dyDescent="0.2">
      <c r="A1426" s="20" t="str">
        <f t="shared" si="22"/>
        <v/>
      </c>
    </row>
    <row r="1427" spans="1:1" ht="24.95" customHeight="1" x14ac:dyDescent="0.2">
      <c r="A1427" s="20" t="str">
        <f t="shared" si="22"/>
        <v/>
      </c>
    </row>
    <row r="1428" spans="1:1" ht="24.95" customHeight="1" x14ac:dyDescent="0.2">
      <c r="A1428" s="20" t="str">
        <f t="shared" si="22"/>
        <v/>
      </c>
    </row>
    <row r="1429" spans="1:1" ht="24.95" customHeight="1" x14ac:dyDescent="0.2">
      <c r="A1429" s="20" t="str">
        <f t="shared" si="22"/>
        <v/>
      </c>
    </row>
    <row r="1430" spans="1:1" ht="24.95" customHeight="1" x14ac:dyDescent="0.2">
      <c r="A1430" s="20" t="str">
        <f t="shared" si="22"/>
        <v/>
      </c>
    </row>
    <row r="1431" spans="1:1" ht="24.95" customHeight="1" x14ac:dyDescent="0.2">
      <c r="A1431" s="20" t="str">
        <f t="shared" si="22"/>
        <v/>
      </c>
    </row>
    <row r="1432" spans="1:1" ht="24.95" customHeight="1" x14ac:dyDescent="0.2">
      <c r="A1432" s="20" t="str">
        <f t="shared" si="22"/>
        <v/>
      </c>
    </row>
    <row r="1433" spans="1:1" ht="24.95" customHeight="1" x14ac:dyDescent="0.2">
      <c r="A1433" s="20" t="str">
        <f t="shared" si="22"/>
        <v/>
      </c>
    </row>
    <row r="1434" spans="1:1" ht="24.95" customHeight="1" x14ac:dyDescent="0.2">
      <c r="A1434" s="20" t="str">
        <f t="shared" si="22"/>
        <v/>
      </c>
    </row>
    <row r="1435" spans="1:1" ht="24.95" customHeight="1" x14ac:dyDescent="0.2">
      <c r="A1435" s="20" t="str">
        <f t="shared" si="22"/>
        <v/>
      </c>
    </row>
    <row r="1436" spans="1:1" ht="24.95" customHeight="1" x14ac:dyDescent="0.2">
      <c r="A1436" s="20" t="str">
        <f t="shared" si="22"/>
        <v/>
      </c>
    </row>
    <row r="1437" spans="1:1" ht="24.95" customHeight="1" x14ac:dyDescent="0.2">
      <c r="A1437" s="20" t="str">
        <f t="shared" si="22"/>
        <v/>
      </c>
    </row>
    <row r="1438" spans="1:1" ht="24.95" customHeight="1" x14ac:dyDescent="0.2">
      <c r="A1438" s="20" t="str">
        <f t="shared" si="22"/>
        <v/>
      </c>
    </row>
    <row r="1439" spans="1:1" ht="24.95" customHeight="1" x14ac:dyDescent="0.2">
      <c r="A1439" s="20" t="str">
        <f t="shared" si="22"/>
        <v/>
      </c>
    </row>
    <row r="1440" spans="1:1" ht="24.95" customHeight="1" x14ac:dyDescent="0.2">
      <c r="A1440" s="20" t="str">
        <f t="shared" si="22"/>
        <v/>
      </c>
    </row>
    <row r="1441" spans="1:1" ht="24.95" customHeight="1" x14ac:dyDescent="0.2">
      <c r="A1441" s="20" t="str">
        <f t="shared" si="22"/>
        <v/>
      </c>
    </row>
    <row r="1442" spans="1:1" ht="24.95" customHeight="1" x14ac:dyDescent="0.2">
      <c r="A1442" s="20" t="str">
        <f t="shared" si="22"/>
        <v/>
      </c>
    </row>
    <row r="1443" spans="1:1" ht="24.95" customHeight="1" x14ac:dyDescent="0.2">
      <c r="A1443" s="20" t="str">
        <f t="shared" si="22"/>
        <v/>
      </c>
    </row>
    <row r="1444" spans="1:1" ht="24.95" customHeight="1" x14ac:dyDescent="0.2">
      <c r="A1444" s="20" t="str">
        <f t="shared" si="22"/>
        <v/>
      </c>
    </row>
    <row r="1445" spans="1:1" ht="24.95" customHeight="1" x14ac:dyDescent="0.2">
      <c r="A1445" s="20" t="str">
        <f t="shared" si="22"/>
        <v/>
      </c>
    </row>
    <row r="1446" spans="1:1" ht="24.95" customHeight="1" x14ac:dyDescent="0.2">
      <c r="A1446" s="20" t="str">
        <f t="shared" si="22"/>
        <v/>
      </c>
    </row>
    <row r="1447" spans="1:1" ht="24.95" customHeight="1" x14ac:dyDescent="0.2">
      <c r="A1447" s="20" t="str">
        <f t="shared" si="22"/>
        <v/>
      </c>
    </row>
    <row r="1448" spans="1:1" ht="24.95" customHeight="1" x14ac:dyDescent="0.2">
      <c r="A1448" s="20" t="str">
        <f t="shared" si="22"/>
        <v/>
      </c>
    </row>
    <row r="1449" spans="1:1" ht="24.95" customHeight="1" x14ac:dyDescent="0.2">
      <c r="A1449" s="20" t="str">
        <f t="shared" si="22"/>
        <v/>
      </c>
    </row>
    <row r="1450" spans="1:1" ht="24.95" customHeight="1" x14ac:dyDescent="0.2">
      <c r="A1450" s="20" t="str">
        <f t="shared" si="22"/>
        <v/>
      </c>
    </row>
    <row r="1451" spans="1:1" ht="24.95" customHeight="1" x14ac:dyDescent="0.2">
      <c r="A1451" s="20" t="str">
        <f t="shared" si="22"/>
        <v/>
      </c>
    </row>
    <row r="1452" spans="1:1" ht="24.95" customHeight="1" x14ac:dyDescent="0.2">
      <c r="A1452" s="20" t="str">
        <f t="shared" si="22"/>
        <v/>
      </c>
    </row>
    <row r="1453" spans="1:1" ht="24.95" customHeight="1" x14ac:dyDescent="0.2">
      <c r="A1453" s="20" t="str">
        <f t="shared" si="22"/>
        <v/>
      </c>
    </row>
    <row r="1454" spans="1:1" ht="24.95" customHeight="1" x14ac:dyDescent="0.2">
      <c r="A1454" s="20" t="str">
        <f t="shared" si="22"/>
        <v/>
      </c>
    </row>
    <row r="1455" spans="1:1" ht="24.95" customHeight="1" x14ac:dyDescent="0.2">
      <c r="A1455" s="20" t="str">
        <f t="shared" si="22"/>
        <v/>
      </c>
    </row>
    <row r="1456" spans="1:1" ht="24.95" customHeight="1" x14ac:dyDescent="0.2">
      <c r="A1456" s="20" t="str">
        <f t="shared" si="22"/>
        <v/>
      </c>
    </row>
    <row r="1457" spans="1:1" ht="24.95" customHeight="1" x14ac:dyDescent="0.2">
      <c r="A1457" s="20" t="str">
        <f t="shared" si="22"/>
        <v/>
      </c>
    </row>
    <row r="1458" spans="1:1" ht="24.95" customHeight="1" x14ac:dyDescent="0.2">
      <c r="A1458" s="20" t="str">
        <f t="shared" si="22"/>
        <v/>
      </c>
    </row>
    <row r="1459" spans="1:1" ht="24.95" customHeight="1" x14ac:dyDescent="0.2">
      <c r="A1459" s="20" t="str">
        <f t="shared" si="22"/>
        <v/>
      </c>
    </row>
    <row r="1460" spans="1:1" ht="24.95" customHeight="1" x14ac:dyDescent="0.2">
      <c r="A1460" s="20" t="str">
        <f t="shared" si="22"/>
        <v/>
      </c>
    </row>
    <row r="1461" spans="1:1" ht="24.95" customHeight="1" x14ac:dyDescent="0.2">
      <c r="A1461" s="20" t="str">
        <f t="shared" si="22"/>
        <v/>
      </c>
    </row>
    <row r="1462" spans="1:1" ht="24.95" customHeight="1" x14ac:dyDescent="0.2">
      <c r="A1462" s="20" t="str">
        <f t="shared" si="22"/>
        <v/>
      </c>
    </row>
    <row r="1463" spans="1:1" ht="24.95" customHeight="1" x14ac:dyDescent="0.2">
      <c r="A1463" s="20" t="str">
        <f t="shared" si="22"/>
        <v/>
      </c>
    </row>
    <row r="1464" spans="1:1" ht="24.95" customHeight="1" x14ac:dyDescent="0.2">
      <c r="A1464" s="20" t="str">
        <f t="shared" si="22"/>
        <v/>
      </c>
    </row>
    <row r="1465" spans="1:1" ht="24.95" customHeight="1" x14ac:dyDescent="0.2">
      <c r="A1465" s="20" t="str">
        <f t="shared" si="22"/>
        <v/>
      </c>
    </row>
    <row r="1466" spans="1:1" ht="24.95" customHeight="1" x14ac:dyDescent="0.2">
      <c r="A1466" s="20" t="str">
        <f t="shared" si="22"/>
        <v/>
      </c>
    </row>
    <row r="1467" spans="1:1" ht="24.95" customHeight="1" x14ac:dyDescent="0.2">
      <c r="A1467" s="20" t="str">
        <f t="shared" si="22"/>
        <v/>
      </c>
    </row>
    <row r="1468" spans="1:1" ht="24.95" customHeight="1" x14ac:dyDescent="0.2">
      <c r="A1468" s="20" t="str">
        <f t="shared" si="22"/>
        <v/>
      </c>
    </row>
    <row r="1469" spans="1:1" ht="24.95" customHeight="1" x14ac:dyDescent="0.2">
      <c r="A1469" s="20" t="str">
        <f t="shared" si="22"/>
        <v/>
      </c>
    </row>
    <row r="1470" spans="1:1" ht="24.95" customHeight="1" x14ac:dyDescent="0.2">
      <c r="A1470" s="20" t="str">
        <f t="shared" si="22"/>
        <v/>
      </c>
    </row>
    <row r="1471" spans="1:1" ht="24.95" customHeight="1" x14ac:dyDescent="0.2">
      <c r="A1471" s="20" t="str">
        <f t="shared" si="22"/>
        <v/>
      </c>
    </row>
    <row r="1472" spans="1:1" ht="24.95" customHeight="1" x14ac:dyDescent="0.2">
      <c r="A1472" s="20" t="str">
        <f t="shared" si="22"/>
        <v/>
      </c>
    </row>
    <row r="1473" spans="1:1" ht="24.95" customHeight="1" x14ac:dyDescent="0.2">
      <c r="A1473" s="20" t="str">
        <f t="shared" si="22"/>
        <v/>
      </c>
    </row>
    <row r="1474" spans="1:1" ht="24.95" customHeight="1" x14ac:dyDescent="0.2">
      <c r="A1474" s="20" t="str">
        <f t="shared" si="22"/>
        <v/>
      </c>
    </row>
    <row r="1475" spans="1:1" ht="24.95" customHeight="1" x14ac:dyDescent="0.2">
      <c r="A1475" s="20" t="str">
        <f t="shared" si="22"/>
        <v/>
      </c>
    </row>
    <row r="1476" spans="1:1" ht="24.95" customHeight="1" x14ac:dyDescent="0.2">
      <c r="A1476" s="20" t="str">
        <f t="shared" si="22"/>
        <v/>
      </c>
    </row>
    <row r="1477" spans="1:1" ht="24.95" customHeight="1" x14ac:dyDescent="0.2">
      <c r="A1477" s="20" t="str">
        <f t="shared" si="22"/>
        <v/>
      </c>
    </row>
    <row r="1478" spans="1:1" ht="24.95" customHeight="1" x14ac:dyDescent="0.2">
      <c r="A1478" s="20" t="str">
        <f t="shared" si="22"/>
        <v/>
      </c>
    </row>
    <row r="1479" spans="1:1" ht="24.95" customHeight="1" x14ac:dyDescent="0.2">
      <c r="A1479" s="20" t="str">
        <f t="shared" si="22"/>
        <v/>
      </c>
    </row>
    <row r="1480" spans="1:1" ht="24.95" customHeight="1" x14ac:dyDescent="0.2">
      <c r="A1480" s="20" t="str">
        <f t="shared" si="22"/>
        <v/>
      </c>
    </row>
    <row r="1481" spans="1:1" ht="24.95" customHeight="1" x14ac:dyDescent="0.2">
      <c r="A1481" s="20" t="str">
        <f t="shared" si="22"/>
        <v/>
      </c>
    </row>
    <row r="1482" spans="1:1" ht="24.95" customHeight="1" x14ac:dyDescent="0.2">
      <c r="A1482" s="20" t="str">
        <f t="shared" si="22"/>
        <v/>
      </c>
    </row>
    <row r="1483" spans="1:1" ht="24.95" customHeight="1" x14ac:dyDescent="0.2">
      <c r="A1483" s="20" t="str">
        <f t="shared" si="22"/>
        <v/>
      </c>
    </row>
    <row r="1484" spans="1:1" ht="24.95" customHeight="1" x14ac:dyDescent="0.2">
      <c r="A1484" s="20" t="str">
        <f t="shared" ref="A1484:A1547" si="23">IF(AND(B1483&lt;&gt;"",B1484=""),$A$10&amp;"---&gt;","")</f>
        <v/>
      </c>
    </row>
    <row r="1485" spans="1:1" ht="24.95" customHeight="1" x14ac:dyDescent="0.2">
      <c r="A1485" s="20" t="str">
        <f t="shared" si="23"/>
        <v/>
      </c>
    </row>
    <row r="1486" spans="1:1" ht="24.95" customHeight="1" x14ac:dyDescent="0.2">
      <c r="A1486" s="20" t="str">
        <f t="shared" si="23"/>
        <v/>
      </c>
    </row>
    <row r="1487" spans="1:1" ht="24.95" customHeight="1" x14ac:dyDescent="0.2">
      <c r="A1487" s="20" t="str">
        <f t="shared" si="23"/>
        <v/>
      </c>
    </row>
    <row r="1488" spans="1:1" ht="24.95" customHeight="1" x14ac:dyDescent="0.2">
      <c r="A1488" s="20" t="str">
        <f t="shared" si="23"/>
        <v/>
      </c>
    </row>
    <row r="1489" spans="1:1" ht="24.95" customHeight="1" x14ac:dyDescent="0.2">
      <c r="A1489" s="20" t="str">
        <f t="shared" si="23"/>
        <v/>
      </c>
    </row>
    <row r="1490" spans="1:1" ht="24.95" customHeight="1" x14ac:dyDescent="0.2">
      <c r="A1490" s="20" t="str">
        <f t="shared" si="23"/>
        <v/>
      </c>
    </row>
    <row r="1491" spans="1:1" ht="24.95" customHeight="1" x14ac:dyDescent="0.2">
      <c r="A1491" s="20" t="str">
        <f t="shared" si="23"/>
        <v/>
      </c>
    </row>
    <row r="1492" spans="1:1" ht="24.95" customHeight="1" x14ac:dyDescent="0.2">
      <c r="A1492" s="20" t="str">
        <f t="shared" si="23"/>
        <v/>
      </c>
    </row>
    <row r="1493" spans="1:1" ht="24.95" customHeight="1" x14ac:dyDescent="0.2">
      <c r="A1493" s="20" t="str">
        <f t="shared" si="23"/>
        <v/>
      </c>
    </row>
    <row r="1494" spans="1:1" ht="24.95" customHeight="1" x14ac:dyDescent="0.2">
      <c r="A1494" s="20" t="str">
        <f t="shared" si="23"/>
        <v/>
      </c>
    </row>
    <row r="1495" spans="1:1" ht="24.95" customHeight="1" x14ac:dyDescent="0.2">
      <c r="A1495" s="20" t="str">
        <f t="shared" si="23"/>
        <v/>
      </c>
    </row>
    <row r="1496" spans="1:1" ht="24.95" customHeight="1" x14ac:dyDescent="0.2">
      <c r="A1496" s="20" t="str">
        <f t="shared" si="23"/>
        <v/>
      </c>
    </row>
    <row r="1497" spans="1:1" ht="24.95" customHeight="1" x14ac:dyDescent="0.2">
      <c r="A1497" s="20" t="str">
        <f t="shared" si="23"/>
        <v/>
      </c>
    </row>
    <row r="1498" spans="1:1" ht="24.95" customHeight="1" x14ac:dyDescent="0.2">
      <c r="A1498" s="20" t="str">
        <f t="shared" si="23"/>
        <v/>
      </c>
    </row>
    <row r="1499" spans="1:1" ht="24.95" customHeight="1" x14ac:dyDescent="0.2">
      <c r="A1499" s="20" t="str">
        <f t="shared" si="23"/>
        <v/>
      </c>
    </row>
    <row r="1500" spans="1:1" ht="24.95" customHeight="1" x14ac:dyDescent="0.2">
      <c r="A1500" s="20" t="str">
        <f t="shared" si="23"/>
        <v/>
      </c>
    </row>
    <row r="1501" spans="1:1" ht="24.95" customHeight="1" x14ac:dyDescent="0.2">
      <c r="A1501" s="20" t="str">
        <f t="shared" si="23"/>
        <v/>
      </c>
    </row>
    <row r="1502" spans="1:1" ht="24.95" customHeight="1" x14ac:dyDescent="0.2">
      <c r="A1502" s="20" t="str">
        <f t="shared" si="23"/>
        <v/>
      </c>
    </row>
    <row r="1503" spans="1:1" ht="24.95" customHeight="1" x14ac:dyDescent="0.2">
      <c r="A1503" s="20" t="str">
        <f t="shared" si="23"/>
        <v/>
      </c>
    </row>
    <row r="1504" spans="1:1" ht="24.95" customHeight="1" x14ac:dyDescent="0.2">
      <c r="A1504" s="20" t="str">
        <f t="shared" si="23"/>
        <v/>
      </c>
    </row>
    <row r="1505" spans="1:1" ht="24.95" customHeight="1" x14ac:dyDescent="0.2">
      <c r="A1505" s="20" t="str">
        <f t="shared" si="23"/>
        <v/>
      </c>
    </row>
    <row r="1506" spans="1:1" ht="24.95" customHeight="1" x14ac:dyDescent="0.2">
      <c r="A1506" s="20" t="str">
        <f t="shared" si="23"/>
        <v/>
      </c>
    </row>
    <row r="1507" spans="1:1" ht="24.95" customHeight="1" x14ac:dyDescent="0.2">
      <c r="A1507" s="20" t="str">
        <f t="shared" si="23"/>
        <v/>
      </c>
    </row>
    <row r="1508" spans="1:1" ht="24.95" customHeight="1" x14ac:dyDescent="0.2">
      <c r="A1508" s="20" t="str">
        <f t="shared" si="23"/>
        <v/>
      </c>
    </row>
    <row r="1509" spans="1:1" ht="24.95" customHeight="1" x14ac:dyDescent="0.2">
      <c r="A1509" s="20" t="str">
        <f t="shared" si="23"/>
        <v/>
      </c>
    </row>
    <row r="1510" spans="1:1" ht="24.95" customHeight="1" x14ac:dyDescent="0.2">
      <c r="A1510" s="20" t="str">
        <f t="shared" si="23"/>
        <v/>
      </c>
    </row>
    <row r="1511" spans="1:1" ht="24.95" customHeight="1" x14ac:dyDescent="0.2">
      <c r="A1511" s="20" t="str">
        <f t="shared" si="23"/>
        <v/>
      </c>
    </row>
    <row r="1512" spans="1:1" ht="24.95" customHeight="1" x14ac:dyDescent="0.2">
      <c r="A1512" s="20" t="str">
        <f t="shared" si="23"/>
        <v/>
      </c>
    </row>
    <row r="1513" spans="1:1" ht="24.95" customHeight="1" x14ac:dyDescent="0.2">
      <c r="A1513" s="20" t="str">
        <f t="shared" si="23"/>
        <v/>
      </c>
    </row>
    <row r="1514" spans="1:1" ht="24.95" customHeight="1" x14ac:dyDescent="0.2">
      <c r="A1514" s="20" t="str">
        <f t="shared" si="23"/>
        <v/>
      </c>
    </row>
    <row r="1515" spans="1:1" ht="24.95" customHeight="1" x14ac:dyDescent="0.2">
      <c r="A1515" s="20" t="str">
        <f t="shared" si="23"/>
        <v/>
      </c>
    </row>
    <row r="1516" spans="1:1" ht="24.95" customHeight="1" x14ac:dyDescent="0.2">
      <c r="A1516" s="20" t="str">
        <f t="shared" si="23"/>
        <v/>
      </c>
    </row>
    <row r="1517" spans="1:1" ht="24.95" customHeight="1" x14ac:dyDescent="0.2">
      <c r="A1517" s="20" t="str">
        <f t="shared" si="23"/>
        <v/>
      </c>
    </row>
    <row r="1518" spans="1:1" ht="24.95" customHeight="1" x14ac:dyDescent="0.2">
      <c r="A1518" s="20" t="str">
        <f t="shared" si="23"/>
        <v/>
      </c>
    </row>
    <row r="1519" spans="1:1" ht="24.95" customHeight="1" x14ac:dyDescent="0.2">
      <c r="A1519" s="20" t="str">
        <f t="shared" si="23"/>
        <v/>
      </c>
    </row>
    <row r="1520" spans="1:1" ht="24.95" customHeight="1" x14ac:dyDescent="0.2">
      <c r="A1520" s="20" t="str">
        <f t="shared" si="23"/>
        <v/>
      </c>
    </row>
    <row r="1521" spans="1:1" ht="24.95" customHeight="1" x14ac:dyDescent="0.2">
      <c r="A1521" s="20" t="str">
        <f t="shared" si="23"/>
        <v/>
      </c>
    </row>
    <row r="1522" spans="1:1" ht="24.95" customHeight="1" x14ac:dyDescent="0.2">
      <c r="A1522" s="20" t="str">
        <f t="shared" si="23"/>
        <v/>
      </c>
    </row>
    <row r="1523" spans="1:1" ht="24.95" customHeight="1" x14ac:dyDescent="0.2">
      <c r="A1523" s="20" t="str">
        <f t="shared" si="23"/>
        <v/>
      </c>
    </row>
    <row r="1524" spans="1:1" ht="24.95" customHeight="1" x14ac:dyDescent="0.2">
      <c r="A1524" s="20" t="str">
        <f t="shared" si="23"/>
        <v/>
      </c>
    </row>
    <row r="1525" spans="1:1" ht="24.95" customHeight="1" x14ac:dyDescent="0.2">
      <c r="A1525" s="20" t="str">
        <f t="shared" si="23"/>
        <v/>
      </c>
    </row>
    <row r="1526" spans="1:1" ht="24.95" customHeight="1" x14ac:dyDescent="0.2">
      <c r="A1526" s="20" t="str">
        <f t="shared" si="23"/>
        <v/>
      </c>
    </row>
    <row r="1527" spans="1:1" ht="24.95" customHeight="1" x14ac:dyDescent="0.2">
      <c r="A1527" s="20" t="str">
        <f t="shared" si="23"/>
        <v/>
      </c>
    </row>
    <row r="1528" spans="1:1" ht="24.95" customHeight="1" x14ac:dyDescent="0.2">
      <c r="A1528" s="20" t="str">
        <f t="shared" si="23"/>
        <v/>
      </c>
    </row>
    <row r="1529" spans="1:1" ht="24.95" customHeight="1" x14ac:dyDescent="0.2">
      <c r="A1529" s="20" t="str">
        <f t="shared" si="23"/>
        <v/>
      </c>
    </row>
    <row r="1530" spans="1:1" ht="24.95" customHeight="1" x14ac:dyDescent="0.2">
      <c r="A1530" s="20" t="str">
        <f t="shared" si="23"/>
        <v/>
      </c>
    </row>
    <row r="1531" spans="1:1" ht="24.95" customHeight="1" x14ac:dyDescent="0.2">
      <c r="A1531" s="20" t="str">
        <f t="shared" si="23"/>
        <v/>
      </c>
    </row>
    <row r="1532" spans="1:1" ht="24.95" customHeight="1" x14ac:dyDescent="0.2">
      <c r="A1532" s="20" t="str">
        <f t="shared" si="23"/>
        <v/>
      </c>
    </row>
    <row r="1533" spans="1:1" ht="24.95" customHeight="1" x14ac:dyDescent="0.2">
      <c r="A1533" s="20" t="str">
        <f t="shared" si="23"/>
        <v/>
      </c>
    </row>
    <row r="1534" spans="1:1" ht="24.95" customHeight="1" x14ac:dyDescent="0.2">
      <c r="A1534" s="20" t="str">
        <f t="shared" si="23"/>
        <v/>
      </c>
    </row>
    <row r="1535" spans="1:1" ht="24.95" customHeight="1" x14ac:dyDescent="0.2">
      <c r="A1535" s="20" t="str">
        <f t="shared" si="23"/>
        <v/>
      </c>
    </row>
    <row r="1536" spans="1:1" ht="24.95" customHeight="1" x14ac:dyDescent="0.2">
      <c r="A1536" s="20" t="str">
        <f t="shared" si="23"/>
        <v/>
      </c>
    </row>
    <row r="1537" spans="1:1" ht="24.95" customHeight="1" x14ac:dyDescent="0.2">
      <c r="A1537" s="20" t="str">
        <f t="shared" si="23"/>
        <v/>
      </c>
    </row>
    <row r="1538" spans="1:1" ht="24.95" customHeight="1" x14ac:dyDescent="0.2">
      <c r="A1538" s="20" t="str">
        <f t="shared" si="23"/>
        <v/>
      </c>
    </row>
    <row r="1539" spans="1:1" ht="24.95" customHeight="1" x14ac:dyDescent="0.2">
      <c r="A1539" s="20" t="str">
        <f t="shared" si="23"/>
        <v/>
      </c>
    </row>
    <row r="1540" spans="1:1" ht="24.95" customHeight="1" x14ac:dyDescent="0.2">
      <c r="A1540" s="20" t="str">
        <f t="shared" si="23"/>
        <v/>
      </c>
    </row>
    <row r="1541" spans="1:1" ht="24.95" customHeight="1" x14ac:dyDescent="0.2">
      <c r="A1541" s="20" t="str">
        <f t="shared" si="23"/>
        <v/>
      </c>
    </row>
    <row r="1542" spans="1:1" ht="24.95" customHeight="1" x14ac:dyDescent="0.2">
      <c r="A1542" s="20" t="str">
        <f t="shared" si="23"/>
        <v/>
      </c>
    </row>
    <row r="1543" spans="1:1" ht="24.95" customHeight="1" x14ac:dyDescent="0.2">
      <c r="A1543" s="20" t="str">
        <f t="shared" si="23"/>
        <v/>
      </c>
    </row>
    <row r="1544" spans="1:1" ht="24.95" customHeight="1" x14ac:dyDescent="0.2">
      <c r="A1544" s="20" t="str">
        <f t="shared" si="23"/>
        <v/>
      </c>
    </row>
    <row r="1545" spans="1:1" ht="24.95" customHeight="1" x14ac:dyDescent="0.2">
      <c r="A1545" s="20" t="str">
        <f t="shared" si="23"/>
        <v/>
      </c>
    </row>
    <row r="1546" spans="1:1" ht="24.95" customHeight="1" x14ac:dyDescent="0.2">
      <c r="A1546" s="20" t="str">
        <f t="shared" si="23"/>
        <v/>
      </c>
    </row>
    <row r="1547" spans="1:1" ht="24.95" customHeight="1" x14ac:dyDescent="0.2">
      <c r="A1547" s="20" t="str">
        <f t="shared" si="23"/>
        <v/>
      </c>
    </row>
    <row r="1548" spans="1:1" ht="24.95" customHeight="1" x14ac:dyDescent="0.2">
      <c r="A1548" s="20" t="str">
        <f t="shared" ref="A1548:A1611" si="24">IF(AND(B1547&lt;&gt;"",B1548=""),$A$10&amp;"---&gt;","")</f>
        <v/>
      </c>
    </row>
    <row r="1549" spans="1:1" ht="24.95" customHeight="1" x14ac:dyDescent="0.2">
      <c r="A1549" s="20" t="str">
        <f t="shared" si="24"/>
        <v/>
      </c>
    </row>
    <row r="1550" spans="1:1" ht="24.95" customHeight="1" x14ac:dyDescent="0.2">
      <c r="A1550" s="20" t="str">
        <f t="shared" si="24"/>
        <v/>
      </c>
    </row>
    <row r="1551" spans="1:1" ht="24.95" customHeight="1" x14ac:dyDescent="0.2">
      <c r="A1551" s="20" t="str">
        <f t="shared" si="24"/>
        <v/>
      </c>
    </row>
    <row r="1552" spans="1:1" ht="24.95" customHeight="1" x14ac:dyDescent="0.2">
      <c r="A1552" s="20" t="str">
        <f t="shared" si="24"/>
        <v/>
      </c>
    </row>
    <row r="1553" spans="1:1" ht="24.95" customHeight="1" x14ac:dyDescent="0.2">
      <c r="A1553" s="20" t="str">
        <f t="shared" si="24"/>
        <v/>
      </c>
    </row>
    <row r="1554" spans="1:1" ht="24.95" customHeight="1" x14ac:dyDescent="0.2">
      <c r="A1554" s="20" t="str">
        <f t="shared" si="24"/>
        <v/>
      </c>
    </row>
    <row r="1555" spans="1:1" ht="24.95" customHeight="1" x14ac:dyDescent="0.2">
      <c r="A1555" s="20" t="str">
        <f t="shared" si="24"/>
        <v/>
      </c>
    </row>
    <row r="1556" spans="1:1" ht="24.95" customHeight="1" x14ac:dyDescent="0.2">
      <c r="A1556" s="20" t="str">
        <f t="shared" si="24"/>
        <v/>
      </c>
    </row>
    <row r="1557" spans="1:1" ht="24.95" customHeight="1" x14ac:dyDescent="0.2">
      <c r="A1557" s="20" t="str">
        <f t="shared" si="24"/>
        <v/>
      </c>
    </row>
    <row r="1558" spans="1:1" ht="24.95" customHeight="1" x14ac:dyDescent="0.2">
      <c r="A1558" s="20" t="str">
        <f t="shared" si="24"/>
        <v/>
      </c>
    </row>
    <row r="1559" spans="1:1" ht="24.95" customHeight="1" x14ac:dyDescent="0.2">
      <c r="A1559" s="20" t="str">
        <f t="shared" si="24"/>
        <v/>
      </c>
    </row>
    <row r="1560" spans="1:1" ht="24.95" customHeight="1" x14ac:dyDescent="0.2">
      <c r="A1560" s="20" t="str">
        <f t="shared" si="24"/>
        <v/>
      </c>
    </row>
    <row r="1561" spans="1:1" ht="24.95" customHeight="1" x14ac:dyDescent="0.2">
      <c r="A1561" s="20" t="str">
        <f t="shared" si="24"/>
        <v/>
      </c>
    </row>
    <row r="1562" spans="1:1" ht="24.95" customHeight="1" x14ac:dyDescent="0.2">
      <c r="A1562" s="20" t="str">
        <f t="shared" si="24"/>
        <v/>
      </c>
    </row>
    <row r="1563" spans="1:1" ht="24.95" customHeight="1" x14ac:dyDescent="0.2">
      <c r="A1563" s="20" t="str">
        <f t="shared" si="24"/>
        <v/>
      </c>
    </row>
    <row r="1564" spans="1:1" ht="24.95" customHeight="1" x14ac:dyDescent="0.2">
      <c r="A1564" s="20" t="str">
        <f t="shared" si="24"/>
        <v/>
      </c>
    </row>
    <row r="1565" spans="1:1" ht="24.95" customHeight="1" x14ac:dyDescent="0.2">
      <c r="A1565" s="20" t="str">
        <f t="shared" si="24"/>
        <v/>
      </c>
    </row>
    <row r="1566" spans="1:1" ht="24.95" customHeight="1" x14ac:dyDescent="0.2">
      <c r="A1566" s="20" t="str">
        <f t="shared" si="24"/>
        <v/>
      </c>
    </row>
    <row r="1567" spans="1:1" ht="24.95" customHeight="1" x14ac:dyDescent="0.2">
      <c r="A1567" s="20" t="str">
        <f t="shared" si="24"/>
        <v/>
      </c>
    </row>
    <row r="1568" spans="1:1" ht="24.95" customHeight="1" x14ac:dyDescent="0.2">
      <c r="A1568" s="20" t="str">
        <f t="shared" si="24"/>
        <v/>
      </c>
    </row>
    <row r="1569" spans="1:1" ht="24.95" customHeight="1" x14ac:dyDescent="0.2">
      <c r="A1569" s="20" t="str">
        <f t="shared" si="24"/>
        <v/>
      </c>
    </row>
    <row r="1570" spans="1:1" ht="24.95" customHeight="1" x14ac:dyDescent="0.2">
      <c r="A1570" s="20" t="str">
        <f t="shared" si="24"/>
        <v/>
      </c>
    </row>
    <row r="1571" spans="1:1" ht="24.95" customHeight="1" x14ac:dyDescent="0.2">
      <c r="A1571" s="20" t="str">
        <f t="shared" si="24"/>
        <v/>
      </c>
    </row>
    <row r="1572" spans="1:1" ht="24.95" customHeight="1" x14ac:dyDescent="0.2">
      <c r="A1572" s="20" t="str">
        <f t="shared" si="24"/>
        <v/>
      </c>
    </row>
    <row r="1573" spans="1:1" ht="24.95" customHeight="1" x14ac:dyDescent="0.2">
      <c r="A1573" s="20" t="str">
        <f t="shared" si="24"/>
        <v/>
      </c>
    </row>
    <row r="1574" spans="1:1" ht="24.95" customHeight="1" x14ac:dyDescent="0.2">
      <c r="A1574" s="20" t="str">
        <f t="shared" si="24"/>
        <v/>
      </c>
    </row>
    <row r="1575" spans="1:1" ht="24.95" customHeight="1" x14ac:dyDescent="0.2">
      <c r="A1575" s="20" t="str">
        <f t="shared" si="24"/>
        <v/>
      </c>
    </row>
    <row r="1576" spans="1:1" ht="24.95" customHeight="1" x14ac:dyDescent="0.2">
      <c r="A1576" s="20" t="str">
        <f t="shared" si="24"/>
        <v/>
      </c>
    </row>
    <row r="1577" spans="1:1" ht="24.95" customHeight="1" x14ac:dyDescent="0.2">
      <c r="A1577" s="20" t="str">
        <f t="shared" si="24"/>
        <v/>
      </c>
    </row>
    <row r="1578" spans="1:1" ht="24.95" customHeight="1" x14ac:dyDescent="0.2">
      <c r="A1578" s="20" t="str">
        <f t="shared" si="24"/>
        <v/>
      </c>
    </row>
    <row r="1579" spans="1:1" ht="24.95" customHeight="1" x14ac:dyDescent="0.2">
      <c r="A1579" s="20" t="str">
        <f t="shared" si="24"/>
        <v/>
      </c>
    </row>
    <row r="1580" spans="1:1" ht="24.95" customHeight="1" x14ac:dyDescent="0.2">
      <c r="A1580" s="20" t="str">
        <f t="shared" si="24"/>
        <v/>
      </c>
    </row>
    <row r="1581" spans="1:1" ht="24.95" customHeight="1" x14ac:dyDescent="0.2">
      <c r="A1581" s="20" t="str">
        <f t="shared" si="24"/>
        <v/>
      </c>
    </row>
    <row r="1582" spans="1:1" ht="24.95" customHeight="1" x14ac:dyDescent="0.2">
      <c r="A1582" s="20" t="str">
        <f t="shared" si="24"/>
        <v/>
      </c>
    </row>
    <row r="1583" spans="1:1" ht="24.95" customHeight="1" x14ac:dyDescent="0.2">
      <c r="A1583" s="20" t="str">
        <f t="shared" si="24"/>
        <v/>
      </c>
    </row>
    <row r="1584" spans="1:1" ht="24.95" customHeight="1" x14ac:dyDescent="0.2">
      <c r="A1584" s="20" t="str">
        <f t="shared" si="24"/>
        <v/>
      </c>
    </row>
    <row r="1585" spans="1:1" ht="24.95" customHeight="1" x14ac:dyDescent="0.2">
      <c r="A1585" s="20" t="str">
        <f t="shared" si="24"/>
        <v/>
      </c>
    </row>
    <row r="1586" spans="1:1" ht="24.95" customHeight="1" x14ac:dyDescent="0.2">
      <c r="A1586" s="20" t="str">
        <f t="shared" si="24"/>
        <v/>
      </c>
    </row>
    <row r="1587" spans="1:1" ht="24.95" customHeight="1" x14ac:dyDescent="0.2">
      <c r="A1587" s="20" t="str">
        <f t="shared" si="24"/>
        <v/>
      </c>
    </row>
    <row r="1588" spans="1:1" ht="24.95" customHeight="1" x14ac:dyDescent="0.2">
      <c r="A1588" s="20" t="str">
        <f t="shared" si="24"/>
        <v/>
      </c>
    </row>
    <row r="1589" spans="1:1" ht="24.95" customHeight="1" x14ac:dyDescent="0.2">
      <c r="A1589" s="20" t="str">
        <f t="shared" si="24"/>
        <v/>
      </c>
    </row>
    <row r="1590" spans="1:1" ht="24.95" customHeight="1" x14ac:dyDescent="0.2">
      <c r="A1590" s="20" t="str">
        <f t="shared" si="24"/>
        <v/>
      </c>
    </row>
    <row r="1591" spans="1:1" ht="24.95" customHeight="1" x14ac:dyDescent="0.2">
      <c r="A1591" s="20" t="str">
        <f t="shared" si="24"/>
        <v/>
      </c>
    </row>
    <row r="1592" spans="1:1" ht="24.95" customHeight="1" x14ac:dyDescent="0.2">
      <c r="A1592" s="20" t="str">
        <f t="shared" si="24"/>
        <v/>
      </c>
    </row>
    <row r="1593" spans="1:1" ht="24.95" customHeight="1" x14ac:dyDescent="0.2">
      <c r="A1593" s="20" t="str">
        <f t="shared" si="24"/>
        <v/>
      </c>
    </row>
    <row r="1594" spans="1:1" ht="24.95" customHeight="1" x14ac:dyDescent="0.2">
      <c r="A1594" s="20" t="str">
        <f t="shared" si="24"/>
        <v/>
      </c>
    </row>
    <row r="1595" spans="1:1" ht="24.95" customHeight="1" x14ac:dyDescent="0.2">
      <c r="A1595" s="20" t="str">
        <f t="shared" si="24"/>
        <v/>
      </c>
    </row>
    <row r="1596" spans="1:1" ht="24.95" customHeight="1" x14ac:dyDescent="0.2">
      <c r="A1596" s="20" t="str">
        <f t="shared" si="24"/>
        <v/>
      </c>
    </row>
    <row r="1597" spans="1:1" ht="24.95" customHeight="1" x14ac:dyDescent="0.2">
      <c r="A1597" s="20" t="str">
        <f t="shared" si="24"/>
        <v/>
      </c>
    </row>
    <row r="1598" spans="1:1" ht="24.95" customHeight="1" x14ac:dyDescent="0.2">
      <c r="A1598" s="20" t="str">
        <f t="shared" si="24"/>
        <v/>
      </c>
    </row>
    <row r="1599" spans="1:1" ht="24.95" customHeight="1" x14ac:dyDescent="0.2">
      <c r="A1599" s="20" t="str">
        <f t="shared" si="24"/>
        <v/>
      </c>
    </row>
    <row r="1600" spans="1:1" ht="24.95" customHeight="1" x14ac:dyDescent="0.2">
      <c r="A1600" s="20" t="str">
        <f t="shared" si="24"/>
        <v/>
      </c>
    </row>
    <row r="1601" spans="1:1" ht="24.95" customHeight="1" x14ac:dyDescent="0.2">
      <c r="A1601" s="20" t="str">
        <f t="shared" si="24"/>
        <v/>
      </c>
    </row>
    <row r="1602" spans="1:1" ht="24.95" customHeight="1" x14ac:dyDescent="0.2">
      <c r="A1602" s="20" t="str">
        <f t="shared" si="24"/>
        <v/>
      </c>
    </row>
    <row r="1603" spans="1:1" ht="24.95" customHeight="1" x14ac:dyDescent="0.2">
      <c r="A1603" s="20" t="str">
        <f t="shared" si="24"/>
        <v/>
      </c>
    </row>
    <row r="1604" spans="1:1" ht="24.95" customHeight="1" x14ac:dyDescent="0.2">
      <c r="A1604" s="20" t="str">
        <f t="shared" si="24"/>
        <v/>
      </c>
    </row>
    <row r="1605" spans="1:1" ht="24.95" customHeight="1" x14ac:dyDescent="0.2">
      <c r="A1605" s="20" t="str">
        <f t="shared" si="24"/>
        <v/>
      </c>
    </row>
    <row r="1606" spans="1:1" ht="24.95" customHeight="1" x14ac:dyDescent="0.2">
      <c r="A1606" s="20" t="str">
        <f t="shared" si="24"/>
        <v/>
      </c>
    </row>
    <row r="1607" spans="1:1" ht="24.95" customHeight="1" x14ac:dyDescent="0.2">
      <c r="A1607" s="20" t="str">
        <f t="shared" si="24"/>
        <v/>
      </c>
    </row>
    <row r="1608" spans="1:1" ht="24.95" customHeight="1" x14ac:dyDescent="0.2">
      <c r="A1608" s="20" t="str">
        <f t="shared" si="24"/>
        <v/>
      </c>
    </row>
    <row r="1609" spans="1:1" ht="24.95" customHeight="1" x14ac:dyDescent="0.2">
      <c r="A1609" s="20" t="str">
        <f t="shared" si="24"/>
        <v/>
      </c>
    </row>
    <row r="1610" spans="1:1" ht="24.95" customHeight="1" x14ac:dyDescent="0.2">
      <c r="A1610" s="20" t="str">
        <f t="shared" si="24"/>
        <v/>
      </c>
    </row>
    <row r="1611" spans="1:1" ht="24.95" customHeight="1" x14ac:dyDescent="0.2">
      <c r="A1611" s="20" t="str">
        <f t="shared" si="24"/>
        <v/>
      </c>
    </row>
    <row r="1612" spans="1:1" ht="24.95" customHeight="1" x14ac:dyDescent="0.2">
      <c r="A1612" s="20" t="str">
        <f t="shared" ref="A1612:A1675" si="25">IF(AND(B1611&lt;&gt;"",B1612=""),$A$10&amp;"---&gt;","")</f>
        <v/>
      </c>
    </row>
    <row r="1613" spans="1:1" ht="24.95" customHeight="1" x14ac:dyDescent="0.2">
      <c r="A1613" s="20" t="str">
        <f t="shared" si="25"/>
        <v/>
      </c>
    </row>
    <row r="1614" spans="1:1" ht="24.95" customHeight="1" x14ac:dyDescent="0.2">
      <c r="A1614" s="20" t="str">
        <f t="shared" si="25"/>
        <v/>
      </c>
    </row>
    <row r="1615" spans="1:1" ht="24.95" customHeight="1" x14ac:dyDescent="0.2">
      <c r="A1615" s="20" t="str">
        <f t="shared" si="25"/>
        <v/>
      </c>
    </row>
    <row r="1616" spans="1:1" ht="24.95" customHeight="1" x14ac:dyDescent="0.2">
      <c r="A1616" s="20" t="str">
        <f t="shared" si="25"/>
        <v/>
      </c>
    </row>
    <row r="1617" spans="1:1" ht="24.95" customHeight="1" x14ac:dyDescent="0.2">
      <c r="A1617" s="20" t="str">
        <f t="shared" si="25"/>
        <v/>
      </c>
    </row>
    <row r="1618" spans="1:1" ht="24.95" customHeight="1" x14ac:dyDescent="0.2">
      <c r="A1618" s="20" t="str">
        <f t="shared" si="25"/>
        <v/>
      </c>
    </row>
    <row r="1619" spans="1:1" ht="24.95" customHeight="1" x14ac:dyDescent="0.2">
      <c r="A1619" s="20" t="str">
        <f t="shared" si="25"/>
        <v/>
      </c>
    </row>
    <row r="1620" spans="1:1" ht="24.95" customHeight="1" x14ac:dyDescent="0.2">
      <c r="A1620" s="20" t="str">
        <f t="shared" si="25"/>
        <v/>
      </c>
    </row>
    <row r="1621" spans="1:1" ht="24.95" customHeight="1" x14ac:dyDescent="0.2">
      <c r="A1621" s="20" t="str">
        <f t="shared" si="25"/>
        <v/>
      </c>
    </row>
    <row r="1622" spans="1:1" ht="24.95" customHeight="1" x14ac:dyDescent="0.2">
      <c r="A1622" s="20" t="str">
        <f t="shared" si="25"/>
        <v/>
      </c>
    </row>
    <row r="1623" spans="1:1" ht="24.95" customHeight="1" x14ac:dyDescent="0.2">
      <c r="A1623" s="20" t="str">
        <f t="shared" si="25"/>
        <v/>
      </c>
    </row>
    <row r="1624" spans="1:1" ht="24.95" customHeight="1" x14ac:dyDescent="0.2">
      <c r="A1624" s="20" t="str">
        <f t="shared" si="25"/>
        <v/>
      </c>
    </row>
    <row r="1625" spans="1:1" ht="24.95" customHeight="1" x14ac:dyDescent="0.2">
      <c r="A1625" s="20" t="str">
        <f t="shared" si="25"/>
        <v/>
      </c>
    </row>
    <row r="1626" spans="1:1" ht="24.95" customHeight="1" x14ac:dyDescent="0.2">
      <c r="A1626" s="20" t="str">
        <f t="shared" si="25"/>
        <v/>
      </c>
    </row>
    <row r="1627" spans="1:1" ht="24.95" customHeight="1" x14ac:dyDescent="0.2">
      <c r="A1627" s="20" t="str">
        <f t="shared" si="25"/>
        <v/>
      </c>
    </row>
    <row r="1628" spans="1:1" ht="24.95" customHeight="1" x14ac:dyDescent="0.2">
      <c r="A1628" s="20" t="str">
        <f t="shared" si="25"/>
        <v/>
      </c>
    </row>
    <row r="1629" spans="1:1" ht="24.95" customHeight="1" x14ac:dyDescent="0.2">
      <c r="A1629" s="20" t="str">
        <f t="shared" si="25"/>
        <v/>
      </c>
    </row>
    <row r="1630" spans="1:1" ht="24.95" customHeight="1" x14ac:dyDescent="0.2">
      <c r="A1630" s="20" t="str">
        <f t="shared" si="25"/>
        <v/>
      </c>
    </row>
    <row r="1631" spans="1:1" ht="24.95" customHeight="1" x14ac:dyDescent="0.2">
      <c r="A1631" s="20" t="str">
        <f t="shared" si="25"/>
        <v/>
      </c>
    </row>
    <row r="1632" spans="1:1" ht="24.95" customHeight="1" x14ac:dyDescent="0.2">
      <c r="A1632" s="20" t="str">
        <f t="shared" si="25"/>
        <v/>
      </c>
    </row>
    <row r="1633" spans="1:1" ht="24.95" customHeight="1" x14ac:dyDescent="0.2">
      <c r="A1633" s="20" t="str">
        <f t="shared" si="25"/>
        <v/>
      </c>
    </row>
    <row r="1634" spans="1:1" ht="24.95" customHeight="1" x14ac:dyDescent="0.2">
      <c r="A1634" s="20" t="str">
        <f t="shared" si="25"/>
        <v/>
      </c>
    </row>
    <row r="1635" spans="1:1" ht="24.95" customHeight="1" x14ac:dyDescent="0.2">
      <c r="A1635" s="20" t="str">
        <f t="shared" si="25"/>
        <v/>
      </c>
    </row>
    <row r="1636" spans="1:1" ht="24.95" customHeight="1" x14ac:dyDescent="0.2">
      <c r="A1636" s="20" t="str">
        <f t="shared" si="25"/>
        <v/>
      </c>
    </row>
    <row r="1637" spans="1:1" ht="24.95" customHeight="1" x14ac:dyDescent="0.2">
      <c r="A1637" s="20" t="str">
        <f t="shared" si="25"/>
        <v/>
      </c>
    </row>
    <row r="1638" spans="1:1" ht="24.95" customHeight="1" x14ac:dyDescent="0.2">
      <c r="A1638" s="20" t="str">
        <f t="shared" si="25"/>
        <v/>
      </c>
    </row>
    <row r="1639" spans="1:1" ht="24.95" customHeight="1" x14ac:dyDescent="0.2">
      <c r="A1639" s="20" t="str">
        <f t="shared" si="25"/>
        <v/>
      </c>
    </row>
    <row r="1640" spans="1:1" ht="24.95" customHeight="1" x14ac:dyDescent="0.2">
      <c r="A1640" s="20" t="str">
        <f t="shared" si="25"/>
        <v/>
      </c>
    </row>
    <row r="1641" spans="1:1" ht="24.95" customHeight="1" x14ac:dyDescent="0.2">
      <c r="A1641" s="20" t="str">
        <f t="shared" si="25"/>
        <v/>
      </c>
    </row>
    <row r="1642" spans="1:1" ht="24.95" customHeight="1" x14ac:dyDescent="0.2">
      <c r="A1642" s="20" t="str">
        <f t="shared" si="25"/>
        <v/>
      </c>
    </row>
    <row r="1643" spans="1:1" ht="24.95" customHeight="1" x14ac:dyDescent="0.2">
      <c r="A1643" s="20" t="str">
        <f t="shared" si="25"/>
        <v/>
      </c>
    </row>
    <row r="1644" spans="1:1" ht="24.95" customHeight="1" x14ac:dyDescent="0.2">
      <c r="A1644" s="20" t="str">
        <f t="shared" si="25"/>
        <v/>
      </c>
    </row>
    <row r="1645" spans="1:1" ht="24.95" customHeight="1" x14ac:dyDescent="0.2">
      <c r="A1645" s="20" t="str">
        <f t="shared" si="25"/>
        <v/>
      </c>
    </row>
    <row r="1646" spans="1:1" ht="24.95" customHeight="1" x14ac:dyDescent="0.2">
      <c r="A1646" s="20" t="str">
        <f t="shared" si="25"/>
        <v/>
      </c>
    </row>
    <row r="1647" spans="1:1" ht="24.95" customHeight="1" x14ac:dyDescent="0.2">
      <c r="A1647" s="20" t="str">
        <f t="shared" si="25"/>
        <v/>
      </c>
    </row>
    <row r="1648" spans="1:1" ht="24.95" customHeight="1" x14ac:dyDescent="0.2">
      <c r="A1648" s="20" t="str">
        <f t="shared" si="25"/>
        <v/>
      </c>
    </row>
    <row r="1649" spans="1:1" ht="24.95" customHeight="1" x14ac:dyDescent="0.2">
      <c r="A1649" s="20" t="str">
        <f t="shared" si="25"/>
        <v/>
      </c>
    </row>
    <row r="1650" spans="1:1" ht="24.95" customHeight="1" x14ac:dyDescent="0.2">
      <c r="A1650" s="20" t="str">
        <f t="shared" si="25"/>
        <v/>
      </c>
    </row>
    <row r="1651" spans="1:1" ht="24.95" customHeight="1" x14ac:dyDescent="0.2">
      <c r="A1651" s="20" t="str">
        <f t="shared" si="25"/>
        <v/>
      </c>
    </row>
    <row r="1652" spans="1:1" ht="24.95" customHeight="1" x14ac:dyDescent="0.2">
      <c r="A1652" s="20" t="str">
        <f t="shared" si="25"/>
        <v/>
      </c>
    </row>
    <row r="1653" spans="1:1" ht="24.95" customHeight="1" x14ac:dyDescent="0.2">
      <c r="A1653" s="20" t="str">
        <f t="shared" si="25"/>
        <v/>
      </c>
    </row>
    <row r="1654" spans="1:1" ht="24.95" customHeight="1" x14ac:dyDescent="0.2">
      <c r="A1654" s="20" t="str">
        <f t="shared" si="25"/>
        <v/>
      </c>
    </row>
    <row r="1655" spans="1:1" ht="24.95" customHeight="1" x14ac:dyDescent="0.2">
      <c r="A1655" s="20" t="str">
        <f t="shared" si="25"/>
        <v/>
      </c>
    </row>
    <row r="1656" spans="1:1" ht="24.95" customHeight="1" x14ac:dyDescent="0.2">
      <c r="A1656" s="20" t="str">
        <f t="shared" si="25"/>
        <v/>
      </c>
    </row>
    <row r="1657" spans="1:1" ht="24.95" customHeight="1" x14ac:dyDescent="0.2">
      <c r="A1657" s="20" t="str">
        <f t="shared" si="25"/>
        <v/>
      </c>
    </row>
    <row r="1658" spans="1:1" ht="24.95" customHeight="1" x14ac:dyDescent="0.2">
      <c r="A1658" s="20" t="str">
        <f t="shared" si="25"/>
        <v/>
      </c>
    </row>
    <row r="1659" spans="1:1" ht="24.95" customHeight="1" x14ac:dyDescent="0.2">
      <c r="A1659" s="20" t="str">
        <f t="shared" si="25"/>
        <v/>
      </c>
    </row>
    <row r="1660" spans="1:1" ht="24.95" customHeight="1" x14ac:dyDescent="0.2">
      <c r="A1660" s="20" t="str">
        <f t="shared" si="25"/>
        <v/>
      </c>
    </row>
    <row r="1661" spans="1:1" ht="24.95" customHeight="1" x14ac:dyDescent="0.2">
      <c r="A1661" s="20" t="str">
        <f t="shared" si="25"/>
        <v/>
      </c>
    </row>
    <row r="1662" spans="1:1" ht="24.95" customHeight="1" x14ac:dyDescent="0.2">
      <c r="A1662" s="20" t="str">
        <f t="shared" si="25"/>
        <v/>
      </c>
    </row>
    <row r="1663" spans="1:1" ht="24.95" customHeight="1" x14ac:dyDescent="0.2">
      <c r="A1663" s="20" t="str">
        <f t="shared" si="25"/>
        <v/>
      </c>
    </row>
    <row r="1664" spans="1:1" ht="24.95" customHeight="1" x14ac:dyDescent="0.2">
      <c r="A1664" s="20" t="str">
        <f t="shared" si="25"/>
        <v/>
      </c>
    </row>
    <row r="1665" spans="1:1" ht="24.95" customHeight="1" x14ac:dyDescent="0.2">
      <c r="A1665" s="20" t="str">
        <f t="shared" si="25"/>
        <v/>
      </c>
    </row>
    <row r="1666" spans="1:1" ht="24.95" customHeight="1" x14ac:dyDescent="0.2">
      <c r="A1666" s="20" t="str">
        <f t="shared" si="25"/>
        <v/>
      </c>
    </row>
    <row r="1667" spans="1:1" ht="24.95" customHeight="1" x14ac:dyDescent="0.2">
      <c r="A1667" s="20" t="str">
        <f t="shared" si="25"/>
        <v/>
      </c>
    </row>
    <row r="1668" spans="1:1" ht="24.95" customHeight="1" x14ac:dyDescent="0.2">
      <c r="A1668" s="20" t="str">
        <f t="shared" si="25"/>
        <v/>
      </c>
    </row>
    <row r="1669" spans="1:1" ht="24.95" customHeight="1" x14ac:dyDescent="0.2">
      <c r="A1669" s="20" t="str">
        <f t="shared" si="25"/>
        <v/>
      </c>
    </row>
    <row r="1670" spans="1:1" ht="24.95" customHeight="1" x14ac:dyDescent="0.2">
      <c r="A1670" s="20" t="str">
        <f t="shared" si="25"/>
        <v/>
      </c>
    </row>
    <row r="1671" spans="1:1" ht="24.95" customHeight="1" x14ac:dyDescent="0.2">
      <c r="A1671" s="20" t="str">
        <f t="shared" si="25"/>
        <v/>
      </c>
    </row>
    <row r="1672" spans="1:1" ht="24.95" customHeight="1" x14ac:dyDescent="0.2">
      <c r="A1672" s="20" t="str">
        <f t="shared" si="25"/>
        <v/>
      </c>
    </row>
    <row r="1673" spans="1:1" ht="24.95" customHeight="1" x14ac:dyDescent="0.2">
      <c r="A1673" s="20" t="str">
        <f t="shared" si="25"/>
        <v/>
      </c>
    </row>
    <row r="1674" spans="1:1" ht="24.95" customHeight="1" x14ac:dyDescent="0.2">
      <c r="A1674" s="20" t="str">
        <f t="shared" si="25"/>
        <v/>
      </c>
    </row>
    <row r="1675" spans="1:1" ht="24.95" customHeight="1" x14ac:dyDescent="0.2">
      <c r="A1675" s="20" t="str">
        <f t="shared" si="25"/>
        <v/>
      </c>
    </row>
    <row r="1676" spans="1:1" ht="24.95" customHeight="1" x14ac:dyDescent="0.2">
      <c r="A1676" s="20" t="str">
        <f t="shared" ref="A1676:A1739" si="26">IF(AND(B1675&lt;&gt;"",B1676=""),$A$10&amp;"---&gt;","")</f>
        <v/>
      </c>
    </row>
    <row r="1677" spans="1:1" ht="24.95" customHeight="1" x14ac:dyDescent="0.2">
      <c r="A1677" s="20" t="str">
        <f t="shared" si="26"/>
        <v/>
      </c>
    </row>
    <row r="1678" spans="1:1" ht="24.95" customHeight="1" x14ac:dyDescent="0.2">
      <c r="A1678" s="20" t="str">
        <f t="shared" si="26"/>
        <v/>
      </c>
    </row>
    <row r="1679" spans="1:1" ht="24.95" customHeight="1" x14ac:dyDescent="0.2">
      <c r="A1679" s="20" t="str">
        <f t="shared" si="26"/>
        <v/>
      </c>
    </row>
    <row r="1680" spans="1:1" ht="24.95" customHeight="1" x14ac:dyDescent="0.2">
      <c r="A1680" s="20" t="str">
        <f t="shared" si="26"/>
        <v/>
      </c>
    </row>
    <row r="1681" spans="1:1" ht="24.95" customHeight="1" x14ac:dyDescent="0.2">
      <c r="A1681" s="20" t="str">
        <f t="shared" si="26"/>
        <v/>
      </c>
    </row>
    <row r="1682" spans="1:1" ht="24.95" customHeight="1" x14ac:dyDescent="0.2">
      <c r="A1682" s="20" t="str">
        <f t="shared" si="26"/>
        <v/>
      </c>
    </row>
    <row r="1683" spans="1:1" ht="24.95" customHeight="1" x14ac:dyDescent="0.2">
      <c r="A1683" s="20" t="str">
        <f t="shared" si="26"/>
        <v/>
      </c>
    </row>
    <row r="1684" spans="1:1" ht="24.95" customHeight="1" x14ac:dyDescent="0.2">
      <c r="A1684" s="20" t="str">
        <f t="shared" si="26"/>
        <v/>
      </c>
    </row>
    <row r="1685" spans="1:1" ht="24.95" customHeight="1" x14ac:dyDescent="0.2">
      <c r="A1685" s="20" t="str">
        <f t="shared" si="26"/>
        <v/>
      </c>
    </row>
    <row r="1686" spans="1:1" ht="24.95" customHeight="1" x14ac:dyDescent="0.2">
      <c r="A1686" s="20" t="str">
        <f t="shared" si="26"/>
        <v/>
      </c>
    </row>
    <row r="1687" spans="1:1" ht="24.95" customHeight="1" x14ac:dyDescent="0.2">
      <c r="A1687" s="20" t="str">
        <f t="shared" si="26"/>
        <v/>
      </c>
    </row>
    <row r="1688" spans="1:1" ht="24.95" customHeight="1" x14ac:dyDescent="0.2">
      <c r="A1688" s="20" t="str">
        <f t="shared" si="26"/>
        <v/>
      </c>
    </row>
    <row r="1689" spans="1:1" ht="24.95" customHeight="1" x14ac:dyDescent="0.2">
      <c r="A1689" s="20" t="str">
        <f t="shared" si="26"/>
        <v/>
      </c>
    </row>
    <row r="1690" spans="1:1" ht="24.95" customHeight="1" x14ac:dyDescent="0.2">
      <c r="A1690" s="20" t="str">
        <f t="shared" si="26"/>
        <v/>
      </c>
    </row>
    <row r="1691" spans="1:1" ht="24.95" customHeight="1" x14ac:dyDescent="0.2">
      <c r="A1691" s="20" t="str">
        <f t="shared" si="26"/>
        <v/>
      </c>
    </row>
    <row r="1692" spans="1:1" ht="24.95" customHeight="1" x14ac:dyDescent="0.2">
      <c r="A1692" s="20" t="str">
        <f t="shared" si="26"/>
        <v/>
      </c>
    </row>
    <row r="1693" spans="1:1" ht="24.95" customHeight="1" x14ac:dyDescent="0.2">
      <c r="A1693" s="20" t="str">
        <f t="shared" si="26"/>
        <v/>
      </c>
    </row>
    <row r="1694" spans="1:1" ht="24.95" customHeight="1" x14ac:dyDescent="0.2">
      <c r="A1694" s="20" t="str">
        <f t="shared" si="26"/>
        <v/>
      </c>
    </row>
    <row r="1695" spans="1:1" ht="24.95" customHeight="1" x14ac:dyDescent="0.2">
      <c r="A1695" s="20" t="str">
        <f t="shared" si="26"/>
        <v/>
      </c>
    </row>
    <row r="1696" spans="1:1" ht="24.95" customHeight="1" x14ac:dyDescent="0.2">
      <c r="A1696" s="20" t="str">
        <f t="shared" si="26"/>
        <v/>
      </c>
    </row>
    <row r="1697" spans="1:1" ht="24.95" customHeight="1" x14ac:dyDescent="0.2">
      <c r="A1697" s="20" t="str">
        <f t="shared" si="26"/>
        <v/>
      </c>
    </row>
    <row r="1698" spans="1:1" ht="24.95" customHeight="1" x14ac:dyDescent="0.2">
      <c r="A1698" s="20" t="str">
        <f t="shared" si="26"/>
        <v/>
      </c>
    </row>
    <row r="1699" spans="1:1" ht="24.95" customHeight="1" x14ac:dyDescent="0.2">
      <c r="A1699" s="20" t="str">
        <f t="shared" si="26"/>
        <v/>
      </c>
    </row>
    <row r="1700" spans="1:1" ht="24.95" customHeight="1" x14ac:dyDescent="0.2">
      <c r="A1700" s="20" t="str">
        <f t="shared" si="26"/>
        <v/>
      </c>
    </row>
    <row r="1701" spans="1:1" ht="24.95" customHeight="1" x14ac:dyDescent="0.2">
      <c r="A1701" s="20" t="str">
        <f t="shared" si="26"/>
        <v/>
      </c>
    </row>
    <row r="1702" spans="1:1" ht="24.95" customHeight="1" x14ac:dyDescent="0.2">
      <c r="A1702" s="20" t="str">
        <f t="shared" si="26"/>
        <v/>
      </c>
    </row>
    <row r="1703" spans="1:1" ht="24.95" customHeight="1" x14ac:dyDescent="0.2">
      <c r="A1703" s="20" t="str">
        <f t="shared" si="26"/>
        <v/>
      </c>
    </row>
    <row r="1704" spans="1:1" ht="24.95" customHeight="1" x14ac:dyDescent="0.2">
      <c r="A1704" s="20" t="str">
        <f t="shared" si="26"/>
        <v/>
      </c>
    </row>
    <row r="1705" spans="1:1" ht="24.95" customHeight="1" x14ac:dyDescent="0.2">
      <c r="A1705" s="20" t="str">
        <f t="shared" si="26"/>
        <v/>
      </c>
    </row>
    <row r="1706" spans="1:1" ht="24.95" customHeight="1" x14ac:dyDescent="0.2">
      <c r="A1706" s="20" t="str">
        <f t="shared" si="26"/>
        <v/>
      </c>
    </row>
    <row r="1707" spans="1:1" ht="24.95" customHeight="1" x14ac:dyDescent="0.2">
      <c r="A1707" s="20" t="str">
        <f t="shared" si="26"/>
        <v/>
      </c>
    </row>
    <row r="1708" spans="1:1" ht="24.95" customHeight="1" x14ac:dyDescent="0.2">
      <c r="A1708" s="20" t="str">
        <f t="shared" si="26"/>
        <v/>
      </c>
    </row>
    <row r="1709" spans="1:1" ht="24.95" customHeight="1" x14ac:dyDescent="0.2">
      <c r="A1709" s="20" t="str">
        <f t="shared" si="26"/>
        <v/>
      </c>
    </row>
    <row r="1710" spans="1:1" ht="24.95" customHeight="1" x14ac:dyDescent="0.2">
      <c r="A1710" s="20" t="str">
        <f t="shared" si="26"/>
        <v/>
      </c>
    </row>
    <row r="1711" spans="1:1" ht="24.95" customHeight="1" x14ac:dyDescent="0.2">
      <c r="A1711" s="20" t="str">
        <f t="shared" si="26"/>
        <v/>
      </c>
    </row>
    <row r="1712" spans="1:1" ht="24.95" customHeight="1" x14ac:dyDescent="0.2">
      <c r="A1712" s="20" t="str">
        <f t="shared" si="26"/>
        <v/>
      </c>
    </row>
    <row r="1713" spans="1:1" ht="24.95" customHeight="1" x14ac:dyDescent="0.2">
      <c r="A1713" s="20" t="str">
        <f t="shared" si="26"/>
        <v/>
      </c>
    </row>
    <row r="1714" spans="1:1" ht="24.95" customHeight="1" x14ac:dyDescent="0.2">
      <c r="A1714" s="20" t="str">
        <f t="shared" si="26"/>
        <v/>
      </c>
    </row>
    <row r="1715" spans="1:1" ht="24.95" customHeight="1" x14ac:dyDescent="0.2">
      <c r="A1715" s="20" t="str">
        <f t="shared" si="26"/>
        <v/>
      </c>
    </row>
    <row r="1716" spans="1:1" ht="24.95" customHeight="1" x14ac:dyDescent="0.2">
      <c r="A1716" s="20" t="str">
        <f t="shared" si="26"/>
        <v/>
      </c>
    </row>
    <row r="1717" spans="1:1" ht="24.95" customHeight="1" x14ac:dyDescent="0.2">
      <c r="A1717" s="20" t="str">
        <f t="shared" si="26"/>
        <v/>
      </c>
    </row>
    <row r="1718" spans="1:1" ht="24.95" customHeight="1" x14ac:dyDescent="0.2">
      <c r="A1718" s="20" t="str">
        <f t="shared" si="26"/>
        <v/>
      </c>
    </row>
    <row r="1719" spans="1:1" ht="24.95" customHeight="1" x14ac:dyDescent="0.2">
      <c r="A1719" s="20" t="str">
        <f t="shared" si="26"/>
        <v/>
      </c>
    </row>
    <row r="1720" spans="1:1" ht="24.95" customHeight="1" x14ac:dyDescent="0.2">
      <c r="A1720" s="20" t="str">
        <f t="shared" si="26"/>
        <v/>
      </c>
    </row>
    <row r="1721" spans="1:1" ht="24.95" customHeight="1" x14ac:dyDescent="0.2">
      <c r="A1721" s="20" t="str">
        <f t="shared" si="26"/>
        <v/>
      </c>
    </row>
    <row r="1722" spans="1:1" ht="24.95" customHeight="1" x14ac:dyDescent="0.2">
      <c r="A1722" s="20" t="str">
        <f t="shared" si="26"/>
        <v/>
      </c>
    </row>
    <row r="1723" spans="1:1" ht="24.95" customHeight="1" x14ac:dyDescent="0.2">
      <c r="A1723" s="20" t="str">
        <f t="shared" si="26"/>
        <v/>
      </c>
    </row>
    <row r="1724" spans="1:1" ht="24.95" customHeight="1" x14ac:dyDescent="0.2">
      <c r="A1724" s="20" t="str">
        <f t="shared" si="26"/>
        <v/>
      </c>
    </row>
    <row r="1725" spans="1:1" ht="24.95" customHeight="1" x14ac:dyDescent="0.2">
      <c r="A1725" s="20" t="str">
        <f t="shared" si="26"/>
        <v/>
      </c>
    </row>
    <row r="1726" spans="1:1" ht="24.95" customHeight="1" x14ac:dyDescent="0.2">
      <c r="A1726" s="20" t="str">
        <f t="shared" si="26"/>
        <v/>
      </c>
    </row>
    <row r="1727" spans="1:1" ht="24.95" customHeight="1" x14ac:dyDescent="0.2">
      <c r="A1727" s="20" t="str">
        <f t="shared" si="26"/>
        <v/>
      </c>
    </row>
    <row r="1728" spans="1:1" ht="24.95" customHeight="1" x14ac:dyDescent="0.2">
      <c r="A1728" s="20" t="str">
        <f t="shared" si="26"/>
        <v/>
      </c>
    </row>
    <row r="1729" spans="1:1" ht="24.95" customHeight="1" x14ac:dyDescent="0.2">
      <c r="A1729" s="20" t="str">
        <f t="shared" si="26"/>
        <v/>
      </c>
    </row>
    <row r="1730" spans="1:1" ht="24.95" customHeight="1" x14ac:dyDescent="0.2">
      <c r="A1730" s="20" t="str">
        <f t="shared" si="26"/>
        <v/>
      </c>
    </row>
    <row r="1731" spans="1:1" ht="24.95" customHeight="1" x14ac:dyDescent="0.2">
      <c r="A1731" s="20" t="str">
        <f t="shared" si="26"/>
        <v/>
      </c>
    </row>
    <row r="1732" spans="1:1" ht="24.95" customHeight="1" x14ac:dyDescent="0.2">
      <c r="A1732" s="20" t="str">
        <f t="shared" si="26"/>
        <v/>
      </c>
    </row>
    <row r="1733" spans="1:1" ht="24.95" customHeight="1" x14ac:dyDescent="0.2">
      <c r="A1733" s="20" t="str">
        <f t="shared" si="26"/>
        <v/>
      </c>
    </row>
    <row r="1734" spans="1:1" ht="24.95" customHeight="1" x14ac:dyDescent="0.2">
      <c r="A1734" s="20" t="str">
        <f t="shared" si="26"/>
        <v/>
      </c>
    </row>
    <row r="1735" spans="1:1" ht="24.95" customHeight="1" x14ac:dyDescent="0.2">
      <c r="A1735" s="20" t="str">
        <f t="shared" si="26"/>
        <v/>
      </c>
    </row>
    <row r="1736" spans="1:1" ht="24.95" customHeight="1" x14ac:dyDescent="0.2">
      <c r="A1736" s="20" t="str">
        <f t="shared" si="26"/>
        <v/>
      </c>
    </row>
    <row r="1737" spans="1:1" ht="24.95" customHeight="1" x14ac:dyDescent="0.2">
      <c r="A1737" s="20" t="str">
        <f t="shared" si="26"/>
        <v/>
      </c>
    </row>
    <row r="1738" spans="1:1" ht="24.95" customHeight="1" x14ac:dyDescent="0.2">
      <c r="A1738" s="20" t="str">
        <f t="shared" si="26"/>
        <v/>
      </c>
    </row>
    <row r="1739" spans="1:1" ht="24.95" customHeight="1" x14ac:dyDescent="0.2">
      <c r="A1739" s="20" t="str">
        <f t="shared" si="26"/>
        <v/>
      </c>
    </row>
    <row r="1740" spans="1:1" ht="24.95" customHeight="1" x14ac:dyDescent="0.2">
      <c r="A1740" s="20" t="str">
        <f t="shared" ref="A1740:A1803" si="27">IF(AND(B1739&lt;&gt;"",B1740=""),$A$10&amp;"---&gt;","")</f>
        <v/>
      </c>
    </row>
    <row r="1741" spans="1:1" ht="24.95" customHeight="1" x14ac:dyDescent="0.2">
      <c r="A1741" s="20" t="str">
        <f t="shared" si="27"/>
        <v/>
      </c>
    </row>
    <row r="1742" spans="1:1" ht="24.95" customHeight="1" x14ac:dyDescent="0.2">
      <c r="A1742" s="20" t="str">
        <f t="shared" si="27"/>
        <v/>
      </c>
    </row>
    <row r="1743" spans="1:1" ht="24.95" customHeight="1" x14ac:dyDescent="0.2">
      <c r="A1743" s="20" t="str">
        <f t="shared" si="27"/>
        <v/>
      </c>
    </row>
    <row r="1744" spans="1:1" ht="24.95" customHeight="1" x14ac:dyDescent="0.2">
      <c r="A1744" s="20" t="str">
        <f t="shared" si="27"/>
        <v/>
      </c>
    </row>
    <row r="1745" spans="1:1" ht="24.95" customHeight="1" x14ac:dyDescent="0.2">
      <c r="A1745" s="20" t="str">
        <f t="shared" si="27"/>
        <v/>
      </c>
    </row>
    <row r="1746" spans="1:1" ht="24.95" customHeight="1" x14ac:dyDescent="0.2">
      <c r="A1746" s="20" t="str">
        <f t="shared" si="27"/>
        <v/>
      </c>
    </row>
    <row r="1747" spans="1:1" ht="24.95" customHeight="1" x14ac:dyDescent="0.2">
      <c r="A1747" s="20" t="str">
        <f t="shared" si="27"/>
        <v/>
      </c>
    </row>
    <row r="1748" spans="1:1" ht="24.95" customHeight="1" x14ac:dyDescent="0.2">
      <c r="A1748" s="20" t="str">
        <f t="shared" si="27"/>
        <v/>
      </c>
    </row>
    <row r="1749" spans="1:1" ht="24.95" customHeight="1" x14ac:dyDescent="0.2">
      <c r="A1749" s="20" t="str">
        <f t="shared" si="27"/>
        <v/>
      </c>
    </row>
    <row r="1750" spans="1:1" ht="24.95" customHeight="1" x14ac:dyDescent="0.2">
      <c r="A1750" s="20" t="str">
        <f t="shared" si="27"/>
        <v/>
      </c>
    </row>
    <row r="1751" spans="1:1" ht="24.95" customHeight="1" x14ac:dyDescent="0.2">
      <c r="A1751" s="20" t="str">
        <f t="shared" si="27"/>
        <v/>
      </c>
    </row>
    <row r="1752" spans="1:1" ht="24.95" customHeight="1" x14ac:dyDescent="0.2">
      <c r="A1752" s="20" t="str">
        <f t="shared" si="27"/>
        <v/>
      </c>
    </row>
    <row r="1753" spans="1:1" ht="24.95" customHeight="1" x14ac:dyDescent="0.2">
      <c r="A1753" s="20" t="str">
        <f t="shared" si="27"/>
        <v/>
      </c>
    </row>
    <row r="1754" spans="1:1" ht="24.95" customHeight="1" x14ac:dyDescent="0.2">
      <c r="A1754" s="20" t="str">
        <f t="shared" si="27"/>
        <v/>
      </c>
    </row>
    <row r="1755" spans="1:1" ht="24.95" customHeight="1" x14ac:dyDescent="0.2">
      <c r="A1755" s="20" t="str">
        <f t="shared" si="27"/>
        <v/>
      </c>
    </row>
    <row r="1756" spans="1:1" ht="24.95" customHeight="1" x14ac:dyDescent="0.2">
      <c r="A1756" s="20" t="str">
        <f t="shared" si="27"/>
        <v/>
      </c>
    </row>
    <row r="1757" spans="1:1" ht="24.95" customHeight="1" x14ac:dyDescent="0.2">
      <c r="A1757" s="20" t="str">
        <f t="shared" si="27"/>
        <v/>
      </c>
    </row>
    <row r="1758" spans="1:1" ht="24.95" customHeight="1" x14ac:dyDescent="0.2">
      <c r="A1758" s="20" t="str">
        <f t="shared" si="27"/>
        <v/>
      </c>
    </row>
    <row r="1759" spans="1:1" ht="24.95" customHeight="1" x14ac:dyDescent="0.2">
      <c r="A1759" s="20" t="str">
        <f t="shared" si="27"/>
        <v/>
      </c>
    </row>
    <row r="1760" spans="1:1" ht="24.95" customHeight="1" x14ac:dyDescent="0.2">
      <c r="A1760" s="20" t="str">
        <f t="shared" si="27"/>
        <v/>
      </c>
    </row>
    <row r="1761" spans="1:1" ht="24.95" customHeight="1" x14ac:dyDescent="0.2">
      <c r="A1761" s="20" t="str">
        <f t="shared" si="27"/>
        <v/>
      </c>
    </row>
    <row r="1762" spans="1:1" ht="24.95" customHeight="1" x14ac:dyDescent="0.2">
      <c r="A1762" s="20" t="str">
        <f t="shared" si="27"/>
        <v/>
      </c>
    </row>
    <row r="1763" spans="1:1" ht="24.95" customHeight="1" x14ac:dyDescent="0.2">
      <c r="A1763" s="20" t="str">
        <f t="shared" si="27"/>
        <v/>
      </c>
    </row>
    <row r="1764" spans="1:1" ht="24.95" customHeight="1" x14ac:dyDescent="0.2">
      <c r="A1764" s="20" t="str">
        <f t="shared" si="27"/>
        <v/>
      </c>
    </row>
    <row r="1765" spans="1:1" ht="24.95" customHeight="1" x14ac:dyDescent="0.2">
      <c r="A1765" s="20" t="str">
        <f t="shared" si="27"/>
        <v/>
      </c>
    </row>
    <row r="1766" spans="1:1" ht="24.95" customHeight="1" x14ac:dyDescent="0.2">
      <c r="A1766" s="20" t="str">
        <f t="shared" si="27"/>
        <v/>
      </c>
    </row>
    <row r="1767" spans="1:1" ht="24.95" customHeight="1" x14ac:dyDescent="0.2">
      <c r="A1767" s="20" t="str">
        <f t="shared" si="27"/>
        <v/>
      </c>
    </row>
    <row r="1768" spans="1:1" ht="24.95" customHeight="1" x14ac:dyDescent="0.2">
      <c r="A1768" s="20" t="str">
        <f t="shared" si="27"/>
        <v/>
      </c>
    </row>
    <row r="1769" spans="1:1" ht="24.95" customHeight="1" x14ac:dyDescent="0.2">
      <c r="A1769" s="20" t="str">
        <f t="shared" si="27"/>
        <v/>
      </c>
    </row>
    <row r="1770" spans="1:1" ht="24.95" customHeight="1" x14ac:dyDescent="0.2">
      <c r="A1770" s="20" t="str">
        <f t="shared" si="27"/>
        <v/>
      </c>
    </row>
    <row r="1771" spans="1:1" ht="24.95" customHeight="1" x14ac:dyDescent="0.2">
      <c r="A1771" s="20" t="str">
        <f t="shared" si="27"/>
        <v/>
      </c>
    </row>
    <row r="1772" spans="1:1" ht="24.95" customHeight="1" x14ac:dyDescent="0.2">
      <c r="A1772" s="20" t="str">
        <f t="shared" si="27"/>
        <v/>
      </c>
    </row>
    <row r="1773" spans="1:1" ht="24.95" customHeight="1" x14ac:dyDescent="0.2">
      <c r="A1773" s="20" t="str">
        <f t="shared" si="27"/>
        <v/>
      </c>
    </row>
    <row r="1774" spans="1:1" ht="24.95" customHeight="1" x14ac:dyDescent="0.2">
      <c r="A1774" s="20" t="str">
        <f t="shared" si="27"/>
        <v/>
      </c>
    </row>
    <row r="1775" spans="1:1" ht="24.95" customHeight="1" x14ac:dyDescent="0.2">
      <c r="A1775" s="20" t="str">
        <f t="shared" si="27"/>
        <v/>
      </c>
    </row>
    <row r="1776" spans="1:1" ht="24.95" customHeight="1" x14ac:dyDescent="0.2">
      <c r="A1776" s="20" t="str">
        <f t="shared" si="27"/>
        <v/>
      </c>
    </row>
    <row r="1777" spans="1:1" ht="24.95" customHeight="1" x14ac:dyDescent="0.2">
      <c r="A1777" s="20" t="str">
        <f t="shared" si="27"/>
        <v/>
      </c>
    </row>
    <row r="1778" spans="1:1" ht="24.95" customHeight="1" x14ac:dyDescent="0.2">
      <c r="A1778" s="20" t="str">
        <f t="shared" si="27"/>
        <v/>
      </c>
    </row>
    <row r="1779" spans="1:1" ht="24.95" customHeight="1" x14ac:dyDescent="0.2">
      <c r="A1779" s="20" t="str">
        <f t="shared" si="27"/>
        <v/>
      </c>
    </row>
    <row r="1780" spans="1:1" ht="24.95" customHeight="1" x14ac:dyDescent="0.2">
      <c r="A1780" s="20" t="str">
        <f t="shared" si="27"/>
        <v/>
      </c>
    </row>
    <row r="1781" spans="1:1" ht="24.95" customHeight="1" x14ac:dyDescent="0.2">
      <c r="A1781" s="20" t="str">
        <f t="shared" si="27"/>
        <v/>
      </c>
    </row>
    <row r="1782" spans="1:1" ht="24.95" customHeight="1" x14ac:dyDescent="0.2">
      <c r="A1782" s="20" t="str">
        <f t="shared" si="27"/>
        <v/>
      </c>
    </row>
    <row r="1783" spans="1:1" ht="24.95" customHeight="1" x14ac:dyDescent="0.2">
      <c r="A1783" s="20" t="str">
        <f t="shared" si="27"/>
        <v/>
      </c>
    </row>
    <row r="1784" spans="1:1" ht="24.95" customHeight="1" x14ac:dyDescent="0.2">
      <c r="A1784" s="20" t="str">
        <f t="shared" si="27"/>
        <v/>
      </c>
    </row>
    <row r="1785" spans="1:1" ht="24.95" customHeight="1" x14ac:dyDescent="0.2">
      <c r="A1785" s="20" t="str">
        <f t="shared" si="27"/>
        <v/>
      </c>
    </row>
    <row r="1786" spans="1:1" ht="24.95" customHeight="1" x14ac:dyDescent="0.2">
      <c r="A1786" s="20" t="str">
        <f t="shared" si="27"/>
        <v/>
      </c>
    </row>
    <row r="1787" spans="1:1" ht="24.95" customHeight="1" x14ac:dyDescent="0.2">
      <c r="A1787" s="20" t="str">
        <f t="shared" si="27"/>
        <v/>
      </c>
    </row>
    <row r="1788" spans="1:1" ht="24.95" customHeight="1" x14ac:dyDescent="0.2">
      <c r="A1788" s="20" t="str">
        <f t="shared" si="27"/>
        <v/>
      </c>
    </row>
    <row r="1789" spans="1:1" ht="24.95" customHeight="1" x14ac:dyDescent="0.2">
      <c r="A1789" s="20" t="str">
        <f t="shared" si="27"/>
        <v/>
      </c>
    </row>
    <row r="1790" spans="1:1" ht="24.95" customHeight="1" x14ac:dyDescent="0.2">
      <c r="A1790" s="20" t="str">
        <f t="shared" si="27"/>
        <v/>
      </c>
    </row>
    <row r="1791" spans="1:1" ht="24.95" customHeight="1" x14ac:dyDescent="0.2">
      <c r="A1791" s="20" t="str">
        <f t="shared" si="27"/>
        <v/>
      </c>
    </row>
    <row r="1792" spans="1:1" ht="24.95" customHeight="1" x14ac:dyDescent="0.2">
      <c r="A1792" s="20" t="str">
        <f t="shared" si="27"/>
        <v/>
      </c>
    </row>
    <row r="1793" spans="1:1" ht="24.95" customHeight="1" x14ac:dyDescent="0.2">
      <c r="A1793" s="20" t="str">
        <f t="shared" si="27"/>
        <v/>
      </c>
    </row>
    <row r="1794" spans="1:1" ht="24.95" customHeight="1" x14ac:dyDescent="0.2">
      <c r="A1794" s="20" t="str">
        <f t="shared" si="27"/>
        <v/>
      </c>
    </row>
    <row r="1795" spans="1:1" ht="24.95" customHeight="1" x14ac:dyDescent="0.2">
      <c r="A1795" s="20" t="str">
        <f t="shared" si="27"/>
        <v/>
      </c>
    </row>
    <row r="1796" spans="1:1" ht="24.95" customHeight="1" x14ac:dyDescent="0.2">
      <c r="A1796" s="20" t="str">
        <f t="shared" si="27"/>
        <v/>
      </c>
    </row>
    <row r="1797" spans="1:1" ht="24.95" customHeight="1" x14ac:dyDescent="0.2">
      <c r="A1797" s="20" t="str">
        <f t="shared" si="27"/>
        <v/>
      </c>
    </row>
    <row r="1798" spans="1:1" ht="24.95" customHeight="1" x14ac:dyDescent="0.2">
      <c r="A1798" s="20" t="str">
        <f t="shared" si="27"/>
        <v/>
      </c>
    </row>
    <row r="1799" spans="1:1" ht="24.95" customHeight="1" x14ac:dyDescent="0.2">
      <c r="A1799" s="20" t="str">
        <f t="shared" si="27"/>
        <v/>
      </c>
    </row>
    <row r="1800" spans="1:1" ht="24.95" customHeight="1" x14ac:dyDescent="0.2">
      <c r="A1800" s="20" t="str">
        <f t="shared" si="27"/>
        <v/>
      </c>
    </row>
    <row r="1801" spans="1:1" ht="24.95" customHeight="1" x14ac:dyDescent="0.2">
      <c r="A1801" s="20" t="str">
        <f t="shared" si="27"/>
        <v/>
      </c>
    </row>
    <row r="1802" spans="1:1" ht="24.95" customHeight="1" x14ac:dyDescent="0.2">
      <c r="A1802" s="20" t="str">
        <f t="shared" si="27"/>
        <v/>
      </c>
    </row>
    <row r="1803" spans="1:1" ht="24.95" customHeight="1" x14ac:dyDescent="0.2">
      <c r="A1803" s="20" t="str">
        <f t="shared" si="27"/>
        <v/>
      </c>
    </row>
    <row r="1804" spans="1:1" ht="24.95" customHeight="1" x14ac:dyDescent="0.2">
      <c r="A1804" s="20" t="str">
        <f t="shared" ref="A1804:A1867" si="28">IF(AND(B1803&lt;&gt;"",B1804=""),$A$10&amp;"---&gt;","")</f>
        <v/>
      </c>
    </row>
    <row r="1805" spans="1:1" ht="24.95" customHeight="1" x14ac:dyDescent="0.2">
      <c r="A1805" s="20" t="str">
        <f t="shared" si="28"/>
        <v/>
      </c>
    </row>
    <row r="1806" spans="1:1" ht="24.95" customHeight="1" x14ac:dyDescent="0.2">
      <c r="A1806" s="20" t="str">
        <f t="shared" si="28"/>
        <v/>
      </c>
    </row>
    <row r="1807" spans="1:1" ht="24.95" customHeight="1" x14ac:dyDescent="0.2">
      <c r="A1807" s="20" t="str">
        <f t="shared" si="28"/>
        <v/>
      </c>
    </row>
    <row r="1808" spans="1:1" ht="24.95" customHeight="1" x14ac:dyDescent="0.2">
      <c r="A1808" s="20" t="str">
        <f t="shared" si="28"/>
        <v/>
      </c>
    </row>
    <row r="1809" spans="1:1" ht="24.95" customHeight="1" x14ac:dyDescent="0.2">
      <c r="A1809" s="20" t="str">
        <f t="shared" si="28"/>
        <v/>
      </c>
    </row>
    <row r="1810" spans="1:1" ht="24.95" customHeight="1" x14ac:dyDescent="0.2">
      <c r="A1810" s="20" t="str">
        <f t="shared" si="28"/>
        <v/>
      </c>
    </row>
    <row r="1811" spans="1:1" ht="24.95" customHeight="1" x14ac:dyDescent="0.2">
      <c r="A1811" s="20" t="str">
        <f t="shared" si="28"/>
        <v/>
      </c>
    </row>
    <row r="1812" spans="1:1" ht="24.95" customHeight="1" x14ac:dyDescent="0.2">
      <c r="A1812" s="20" t="str">
        <f t="shared" si="28"/>
        <v/>
      </c>
    </row>
    <row r="1813" spans="1:1" ht="24.95" customHeight="1" x14ac:dyDescent="0.2">
      <c r="A1813" s="20" t="str">
        <f t="shared" si="28"/>
        <v/>
      </c>
    </row>
    <row r="1814" spans="1:1" ht="24.95" customHeight="1" x14ac:dyDescent="0.2">
      <c r="A1814" s="20" t="str">
        <f t="shared" si="28"/>
        <v/>
      </c>
    </row>
    <row r="1815" spans="1:1" ht="24.95" customHeight="1" x14ac:dyDescent="0.2">
      <c r="A1815" s="20" t="str">
        <f t="shared" si="28"/>
        <v/>
      </c>
    </row>
    <row r="1816" spans="1:1" ht="24.95" customHeight="1" x14ac:dyDescent="0.2">
      <c r="A1816" s="20" t="str">
        <f t="shared" si="28"/>
        <v/>
      </c>
    </row>
    <row r="1817" spans="1:1" ht="24.95" customHeight="1" x14ac:dyDescent="0.2">
      <c r="A1817" s="20" t="str">
        <f t="shared" si="28"/>
        <v/>
      </c>
    </row>
    <row r="1818" spans="1:1" ht="24.95" customHeight="1" x14ac:dyDescent="0.2">
      <c r="A1818" s="20" t="str">
        <f t="shared" si="28"/>
        <v/>
      </c>
    </row>
    <row r="1819" spans="1:1" ht="24.95" customHeight="1" x14ac:dyDescent="0.2">
      <c r="A1819" s="20" t="str">
        <f t="shared" si="28"/>
        <v/>
      </c>
    </row>
    <row r="1820" spans="1:1" ht="24.95" customHeight="1" x14ac:dyDescent="0.2">
      <c r="A1820" s="20" t="str">
        <f t="shared" si="28"/>
        <v/>
      </c>
    </row>
    <row r="1821" spans="1:1" ht="24.95" customHeight="1" x14ac:dyDescent="0.2">
      <c r="A1821" s="20" t="str">
        <f t="shared" si="28"/>
        <v/>
      </c>
    </row>
    <row r="1822" spans="1:1" ht="24.95" customHeight="1" x14ac:dyDescent="0.2">
      <c r="A1822" s="20" t="str">
        <f t="shared" si="28"/>
        <v/>
      </c>
    </row>
    <row r="1823" spans="1:1" ht="24.95" customHeight="1" x14ac:dyDescent="0.2">
      <c r="A1823" s="20" t="str">
        <f t="shared" si="28"/>
        <v/>
      </c>
    </row>
    <row r="1824" spans="1:1" ht="24.95" customHeight="1" x14ac:dyDescent="0.2">
      <c r="A1824" s="20" t="str">
        <f t="shared" si="28"/>
        <v/>
      </c>
    </row>
    <row r="1825" spans="1:1" ht="24.95" customHeight="1" x14ac:dyDescent="0.2">
      <c r="A1825" s="20" t="str">
        <f t="shared" si="28"/>
        <v/>
      </c>
    </row>
    <row r="1826" spans="1:1" ht="24.95" customHeight="1" x14ac:dyDescent="0.2">
      <c r="A1826" s="20" t="str">
        <f t="shared" si="28"/>
        <v/>
      </c>
    </row>
    <row r="1827" spans="1:1" ht="24.95" customHeight="1" x14ac:dyDescent="0.2">
      <c r="A1827" s="20" t="str">
        <f t="shared" si="28"/>
        <v/>
      </c>
    </row>
    <row r="1828" spans="1:1" ht="24.95" customHeight="1" x14ac:dyDescent="0.2">
      <c r="A1828" s="20" t="str">
        <f t="shared" si="28"/>
        <v/>
      </c>
    </row>
    <row r="1829" spans="1:1" ht="24.95" customHeight="1" x14ac:dyDescent="0.2">
      <c r="A1829" s="20" t="str">
        <f t="shared" si="28"/>
        <v/>
      </c>
    </row>
    <row r="1830" spans="1:1" ht="24.95" customHeight="1" x14ac:dyDescent="0.2">
      <c r="A1830" s="20" t="str">
        <f t="shared" si="28"/>
        <v/>
      </c>
    </row>
    <row r="1831" spans="1:1" ht="24.95" customHeight="1" x14ac:dyDescent="0.2">
      <c r="A1831" s="20" t="str">
        <f t="shared" si="28"/>
        <v/>
      </c>
    </row>
    <row r="1832" spans="1:1" ht="24.95" customHeight="1" x14ac:dyDescent="0.2">
      <c r="A1832" s="20" t="str">
        <f t="shared" si="28"/>
        <v/>
      </c>
    </row>
    <row r="1833" spans="1:1" ht="24.95" customHeight="1" x14ac:dyDescent="0.2">
      <c r="A1833" s="20" t="str">
        <f t="shared" si="28"/>
        <v/>
      </c>
    </row>
    <row r="1834" spans="1:1" ht="24.95" customHeight="1" x14ac:dyDescent="0.2">
      <c r="A1834" s="20" t="str">
        <f t="shared" si="28"/>
        <v/>
      </c>
    </row>
    <row r="1835" spans="1:1" ht="24.95" customHeight="1" x14ac:dyDescent="0.2">
      <c r="A1835" s="20" t="str">
        <f t="shared" si="28"/>
        <v/>
      </c>
    </row>
    <row r="1836" spans="1:1" ht="24.95" customHeight="1" x14ac:dyDescent="0.2">
      <c r="A1836" s="20" t="str">
        <f t="shared" si="28"/>
        <v/>
      </c>
    </row>
    <row r="1837" spans="1:1" ht="24.95" customHeight="1" x14ac:dyDescent="0.2">
      <c r="A1837" s="20" t="str">
        <f t="shared" si="28"/>
        <v/>
      </c>
    </row>
    <row r="1838" spans="1:1" ht="24.95" customHeight="1" x14ac:dyDescent="0.2">
      <c r="A1838" s="20" t="str">
        <f t="shared" si="28"/>
        <v/>
      </c>
    </row>
    <row r="1839" spans="1:1" ht="24.95" customHeight="1" x14ac:dyDescent="0.2">
      <c r="A1839" s="20" t="str">
        <f t="shared" si="28"/>
        <v/>
      </c>
    </row>
    <row r="1840" spans="1:1" ht="24.95" customHeight="1" x14ac:dyDescent="0.2">
      <c r="A1840" s="20" t="str">
        <f t="shared" si="28"/>
        <v/>
      </c>
    </row>
    <row r="1841" spans="1:1" ht="24.95" customHeight="1" x14ac:dyDescent="0.2">
      <c r="A1841" s="20" t="str">
        <f t="shared" si="28"/>
        <v/>
      </c>
    </row>
    <row r="1842" spans="1:1" ht="24.95" customHeight="1" x14ac:dyDescent="0.2">
      <c r="A1842" s="20" t="str">
        <f t="shared" si="28"/>
        <v/>
      </c>
    </row>
    <row r="1843" spans="1:1" ht="24.95" customHeight="1" x14ac:dyDescent="0.2">
      <c r="A1843" s="20" t="str">
        <f t="shared" si="28"/>
        <v/>
      </c>
    </row>
    <row r="1844" spans="1:1" ht="24.95" customHeight="1" x14ac:dyDescent="0.2">
      <c r="A1844" s="20" t="str">
        <f t="shared" si="28"/>
        <v/>
      </c>
    </row>
    <row r="1845" spans="1:1" ht="24.95" customHeight="1" x14ac:dyDescent="0.2">
      <c r="A1845" s="20" t="str">
        <f t="shared" si="28"/>
        <v/>
      </c>
    </row>
    <row r="1846" spans="1:1" ht="24.95" customHeight="1" x14ac:dyDescent="0.2">
      <c r="A1846" s="20" t="str">
        <f t="shared" si="28"/>
        <v/>
      </c>
    </row>
    <row r="1847" spans="1:1" ht="24.95" customHeight="1" x14ac:dyDescent="0.2">
      <c r="A1847" s="20" t="str">
        <f t="shared" si="28"/>
        <v/>
      </c>
    </row>
    <row r="1848" spans="1:1" ht="24.95" customHeight="1" x14ac:dyDescent="0.2">
      <c r="A1848" s="20" t="str">
        <f t="shared" si="28"/>
        <v/>
      </c>
    </row>
    <row r="1849" spans="1:1" ht="24.95" customHeight="1" x14ac:dyDescent="0.2">
      <c r="A1849" s="20" t="str">
        <f t="shared" si="28"/>
        <v/>
      </c>
    </row>
    <row r="1850" spans="1:1" ht="24.95" customHeight="1" x14ac:dyDescent="0.2">
      <c r="A1850" s="20" t="str">
        <f t="shared" si="28"/>
        <v/>
      </c>
    </row>
    <row r="1851" spans="1:1" ht="24.95" customHeight="1" x14ac:dyDescent="0.2">
      <c r="A1851" s="20" t="str">
        <f t="shared" si="28"/>
        <v/>
      </c>
    </row>
    <row r="1852" spans="1:1" ht="24.95" customHeight="1" x14ac:dyDescent="0.2">
      <c r="A1852" s="20" t="str">
        <f t="shared" si="28"/>
        <v/>
      </c>
    </row>
    <row r="1853" spans="1:1" ht="24.95" customHeight="1" x14ac:dyDescent="0.2">
      <c r="A1853" s="20" t="str">
        <f t="shared" si="28"/>
        <v/>
      </c>
    </row>
    <row r="1854" spans="1:1" ht="24.95" customHeight="1" x14ac:dyDescent="0.2">
      <c r="A1854" s="20" t="str">
        <f t="shared" si="28"/>
        <v/>
      </c>
    </row>
    <row r="1855" spans="1:1" ht="24.95" customHeight="1" x14ac:dyDescent="0.2">
      <c r="A1855" s="20" t="str">
        <f t="shared" si="28"/>
        <v/>
      </c>
    </row>
    <row r="1856" spans="1:1" ht="24.95" customHeight="1" x14ac:dyDescent="0.2">
      <c r="A1856" s="20" t="str">
        <f t="shared" si="28"/>
        <v/>
      </c>
    </row>
    <row r="1857" spans="1:1" ht="24.95" customHeight="1" x14ac:dyDescent="0.2">
      <c r="A1857" s="20" t="str">
        <f t="shared" si="28"/>
        <v/>
      </c>
    </row>
    <row r="1858" spans="1:1" ht="24.95" customHeight="1" x14ac:dyDescent="0.2">
      <c r="A1858" s="20" t="str">
        <f t="shared" si="28"/>
        <v/>
      </c>
    </row>
    <row r="1859" spans="1:1" ht="24.95" customHeight="1" x14ac:dyDescent="0.2">
      <c r="A1859" s="20" t="str">
        <f t="shared" si="28"/>
        <v/>
      </c>
    </row>
    <row r="1860" spans="1:1" ht="24.95" customHeight="1" x14ac:dyDescent="0.2">
      <c r="A1860" s="20" t="str">
        <f t="shared" si="28"/>
        <v/>
      </c>
    </row>
    <row r="1861" spans="1:1" ht="24.95" customHeight="1" x14ac:dyDescent="0.2">
      <c r="A1861" s="20" t="str">
        <f t="shared" si="28"/>
        <v/>
      </c>
    </row>
    <row r="1862" spans="1:1" ht="24.95" customHeight="1" x14ac:dyDescent="0.2">
      <c r="A1862" s="20" t="str">
        <f t="shared" si="28"/>
        <v/>
      </c>
    </row>
    <row r="1863" spans="1:1" ht="24.95" customHeight="1" x14ac:dyDescent="0.2">
      <c r="A1863" s="20" t="str">
        <f t="shared" si="28"/>
        <v/>
      </c>
    </row>
    <row r="1864" spans="1:1" ht="24.95" customHeight="1" x14ac:dyDescent="0.2">
      <c r="A1864" s="20" t="str">
        <f t="shared" si="28"/>
        <v/>
      </c>
    </row>
    <row r="1865" spans="1:1" ht="24.95" customHeight="1" x14ac:dyDescent="0.2">
      <c r="A1865" s="20" t="str">
        <f t="shared" si="28"/>
        <v/>
      </c>
    </row>
    <row r="1866" spans="1:1" ht="24.95" customHeight="1" x14ac:dyDescent="0.2">
      <c r="A1866" s="20" t="str">
        <f t="shared" si="28"/>
        <v/>
      </c>
    </row>
    <row r="1867" spans="1:1" ht="24.95" customHeight="1" x14ac:dyDescent="0.2">
      <c r="A1867" s="20" t="str">
        <f t="shared" si="28"/>
        <v/>
      </c>
    </row>
    <row r="1868" spans="1:1" ht="24.95" customHeight="1" x14ac:dyDescent="0.2">
      <c r="A1868" s="20" t="str">
        <f t="shared" ref="A1868:A1931" si="29">IF(AND(B1867&lt;&gt;"",B1868=""),$A$10&amp;"---&gt;","")</f>
        <v/>
      </c>
    </row>
    <row r="1869" spans="1:1" ht="24.95" customHeight="1" x14ac:dyDescent="0.2">
      <c r="A1869" s="20" t="str">
        <f t="shared" si="29"/>
        <v/>
      </c>
    </row>
    <row r="1870" spans="1:1" ht="24.95" customHeight="1" x14ac:dyDescent="0.2">
      <c r="A1870" s="20" t="str">
        <f t="shared" si="29"/>
        <v/>
      </c>
    </row>
    <row r="1871" spans="1:1" ht="24.95" customHeight="1" x14ac:dyDescent="0.2">
      <c r="A1871" s="20" t="str">
        <f t="shared" si="29"/>
        <v/>
      </c>
    </row>
    <row r="1872" spans="1:1" ht="24.95" customHeight="1" x14ac:dyDescent="0.2">
      <c r="A1872" s="20" t="str">
        <f t="shared" si="29"/>
        <v/>
      </c>
    </row>
    <row r="1873" spans="1:1" ht="24.95" customHeight="1" x14ac:dyDescent="0.2">
      <c r="A1873" s="20" t="str">
        <f t="shared" si="29"/>
        <v/>
      </c>
    </row>
    <row r="1874" spans="1:1" ht="24.95" customHeight="1" x14ac:dyDescent="0.2">
      <c r="A1874" s="20" t="str">
        <f t="shared" si="29"/>
        <v/>
      </c>
    </row>
    <row r="1875" spans="1:1" ht="24.95" customHeight="1" x14ac:dyDescent="0.2">
      <c r="A1875" s="20" t="str">
        <f t="shared" si="29"/>
        <v/>
      </c>
    </row>
    <row r="1876" spans="1:1" ht="24.95" customHeight="1" x14ac:dyDescent="0.2">
      <c r="A1876" s="20" t="str">
        <f t="shared" si="29"/>
        <v/>
      </c>
    </row>
    <row r="1877" spans="1:1" ht="24.95" customHeight="1" x14ac:dyDescent="0.2">
      <c r="A1877" s="20" t="str">
        <f t="shared" si="29"/>
        <v/>
      </c>
    </row>
    <row r="1878" spans="1:1" ht="24.95" customHeight="1" x14ac:dyDescent="0.2">
      <c r="A1878" s="20" t="str">
        <f t="shared" si="29"/>
        <v/>
      </c>
    </row>
    <row r="1879" spans="1:1" ht="24.95" customHeight="1" x14ac:dyDescent="0.2">
      <c r="A1879" s="20" t="str">
        <f t="shared" si="29"/>
        <v/>
      </c>
    </row>
    <row r="1880" spans="1:1" ht="24.95" customHeight="1" x14ac:dyDescent="0.2">
      <c r="A1880" s="20" t="str">
        <f t="shared" si="29"/>
        <v/>
      </c>
    </row>
    <row r="1881" spans="1:1" ht="24.95" customHeight="1" x14ac:dyDescent="0.2">
      <c r="A1881" s="20" t="str">
        <f t="shared" si="29"/>
        <v/>
      </c>
    </row>
    <row r="1882" spans="1:1" ht="24.95" customHeight="1" x14ac:dyDescent="0.2">
      <c r="A1882" s="20" t="str">
        <f t="shared" si="29"/>
        <v/>
      </c>
    </row>
    <row r="1883" spans="1:1" ht="24.95" customHeight="1" x14ac:dyDescent="0.2">
      <c r="A1883" s="20" t="str">
        <f t="shared" si="29"/>
        <v/>
      </c>
    </row>
    <row r="1884" spans="1:1" ht="24.95" customHeight="1" x14ac:dyDescent="0.2">
      <c r="A1884" s="20" t="str">
        <f t="shared" si="29"/>
        <v/>
      </c>
    </row>
    <row r="1885" spans="1:1" ht="24.95" customHeight="1" x14ac:dyDescent="0.2">
      <c r="A1885" s="20" t="str">
        <f t="shared" si="29"/>
        <v/>
      </c>
    </row>
    <row r="1886" spans="1:1" ht="24.95" customHeight="1" x14ac:dyDescent="0.2">
      <c r="A1886" s="20" t="str">
        <f t="shared" si="29"/>
        <v/>
      </c>
    </row>
    <row r="1887" spans="1:1" ht="24.95" customHeight="1" x14ac:dyDescent="0.2">
      <c r="A1887" s="20" t="str">
        <f t="shared" si="29"/>
        <v/>
      </c>
    </row>
    <row r="1888" spans="1:1" ht="24.95" customHeight="1" x14ac:dyDescent="0.2">
      <c r="A1888" s="20" t="str">
        <f t="shared" si="29"/>
        <v/>
      </c>
    </row>
    <row r="1889" spans="1:1" ht="24.95" customHeight="1" x14ac:dyDescent="0.2">
      <c r="A1889" s="20" t="str">
        <f t="shared" si="29"/>
        <v/>
      </c>
    </row>
    <row r="1890" spans="1:1" ht="24.95" customHeight="1" x14ac:dyDescent="0.2">
      <c r="A1890" s="20" t="str">
        <f t="shared" si="29"/>
        <v/>
      </c>
    </row>
    <row r="1891" spans="1:1" ht="24.95" customHeight="1" x14ac:dyDescent="0.2">
      <c r="A1891" s="20" t="str">
        <f t="shared" si="29"/>
        <v/>
      </c>
    </row>
    <row r="1892" spans="1:1" ht="24.95" customHeight="1" x14ac:dyDescent="0.2">
      <c r="A1892" s="20" t="str">
        <f t="shared" si="29"/>
        <v/>
      </c>
    </row>
    <row r="1893" spans="1:1" ht="24.95" customHeight="1" x14ac:dyDescent="0.2">
      <c r="A1893" s="20" t="str">
        <f t="shared" si="29"/>
        <v/>
      </c>
    </row>
    <row r="1894" spans="1:1" ht="24.95" customHeight="1" x14ac:dyDescent="0.2">
      <c r="A1894" s="20" t="str">
        <f t="shared" si="29"/>
        <v/>
      </c>
    </row>
    <row r="1895" spans="1:1" ht="24.95" customHeight="1" x14ac:dyDescent="0.2">
      <c r="A1895" s="20" t="str">
        <f t="shared" si="29"/>
        <v/>
      </c>
    </row>
    <row r="1896" spans="1:1" ht="24.95" customHeight="1" x14ac:dyDescent="0.2">
      <c r="A1896" s="20" t="str">
        <f t="shared" si="29"/>
        <v/>
      </c>
    </row>
    <row r="1897" spans="1:1" ht="24.95" customHeight="1" x14ac:dyDescent="0.2">
      <c r="A1897" s="20" t="str">
        <f t="shared" si="29"/>
        <v/>
      </c>
    </row>
    <row r="1898" spans="1:1" ht="24.95" customHeight="1" x14ac:dyDescent="0.2">
      <c r="A1898" s="20" t="str">
        <f t="shared" si="29"/>
        <v/>
      </c>
    </row>
    <row r="1899" spans="1:1" ht="24.95" customHeight="1" x14ac:dyDescent="0.2">
      <c r="A1899" s="20" t="str">
        <f t="shared" si="29"/>
        <v/>
      </c>
    </row>
    <row r="1900" spans="1:1" ht="24.95" customHeight="1" x14ac:dyDescent="0.2">
      <c r="A1900" s="20" t="str">
        <f t="shared" si="29"/>
        <v/>
      </c>
    </row>
    <row r="1901" spans="1:1" ht="24.95" customHeight="1" x14ac:dyDescent="0.2">
      <c r="A1901" s="20" t="str">
        <f t="shared" si="29"/>
        <v/>
      </c>
    </row>
    <row r="1902" spans="1:1" ht="24.95" customHeight="1" x14ac:dyDescent="0.2">
      <c r="A1902" s="20" t="str">
        <f t="shared" si="29"/>
        <v/>
      </c>
    </row>
    <row r="1903" spans="1:1" ht="24.95" customHeight="1" x14ac:dyDescent="0.2">
      <c r="A1903" s="20" t="str">
        <f t="shared" si="29"/>
        <v/>
      </c>
    </row>
    <row r="1904" spans="1:1" ht="24.95" customHeight="1" x14ac:dyDescent="0.2">
      <c r="A1904" s="20" t="str">
        <f t="shared" si="29"/>
        <v/>
      </c>
    </row>
    <row r="1905" spans="1:1" ht="24.95" customHeight="1" x14ac:dyDescent="0.2">
      <c r="A1905" s="20" t="str">
        <f t="shared" si="29"/>
        <v/>
      </c>
    </row>
    <row r="1906" spans="1:1" ht="24.95" customHeight="1" x14ac:dyDescent="0.2">
      <c r="A1906" s="20" t="str">
        <f t="shared" si="29"/>
        <v/>
      </c>
    </row>
    <row r="1907" spans="1:1" ht="24.95" customHeight="1" x14ac:dyDescent="0.2">
      <c r="A1907" s="20" t="str">
        <f t="shared" si="29"/>
        <v/>
      </c>
    </row>
    <row r="1908" spans="1:1" ht="24.95" customHeight="1" x14ac:dyDescent="0.2">
      <c r="A1908" s="20" t="str">
        <f t="shared" si="29"/>
        <v/>
      </c>
    </row>
    <row r="1909" spans="1:1" ht="24.95" customHeight="1" x14ac:dyDescent="0.2">
      <c r="A1909" s="20" t="str">
        <f t="shared" si="29"/>
        <v/>
      </c>
    </row>
    <row r="1910" spans="1:1" ht="24.95" customHeight="1" x14ac:dyDescent="0.2">
      <c r="A1910" s="20" t="str">
        <f t="shared" si="29"/>
        <v/>
      </c>
    </row>
    <row r="1911" spans="1:1" ht="24.95" customHeight="1" x14ac:dyDescent="0.2">
      <c r="A1911" s="20" t="str">
        <f t="shared" si="29"/>
        <v/>
      </c>
    </row>
    <row r="1912" spans="1:1" ht="24.95" customHeight="1" x14ac:dyDescent="0.2">
      <c r="A1912" s="20" t="str">
        <f t="shared" si="29"/>
        <v/>
      </c>
    </row>
    <row r="1913" spans="1:1" ht="24.95" customHeight="1" x14ac:dyDescent="0.2">
      <c r="A1913" s="20" t="str">
        <f t="shared" si="29"/>
        <v/>
      </c>
    </row>
    <row r="1914" spans="1:1" ht="24.95" customHeight="1" x14ac:dyDescent="0.2">
      <c r="A1914" s="20" t="str">
        <f t="shared" si="29"/>
        <v/>
      </c>
    </row>
    <row r="1915" spans="1:1" ht="24.95" customHeight="1" x14ac:dyDescent="0.2">
      <c r="A1915" s="20" t="str">
        <f t="shared" si="29"/>
        <v/>
      </c>
    </row>
    <row r="1916" spans="1:1" ht="24.95" customHeight="1" x14ac:dyDescent="0.2">
      <c r="A1916" s="20" t="str">
        <f t="shared" si="29"/>
        <v/>
      </c>
    </row>
    <row r="1917" spans="1:1" ht="24.95" customHeight="1" x14ac:dyDescent="0.2">
      <c r="A1917" s="20" t="str">
        <f t="shared" si="29"/>
        <v/>
      </c>
    </row>
    <row r="1918" spans="1:1" ht="24.95" customHeight="1" x14ac:dyDescent="0.2">
      <c r="A1918" s="20" t="str">
        <f t="shared" si="29"/>
        <v/>
      </c>
    </row>
    <row r="1919" spans="1:1" ht="24.95" customHeight="1" x14ac:dyDescent="0.2">
      <c r="A1919" s="20" t="str">
        <f t="shared" si="29"/>
        <v/>
      </c>
    </row>
    <row r="1920" spans="1:1" ht="24.95" customHeight="1" x14ac:dyDescent="0.2">
      <c r="A1920" s="20" t="str">
        <f t="shared" si="29"/>
        <v/>
      </c>
    </row>
    <row r="1921" spans="1:1" ht="24.95" customHeight="1" x14ac:dyDescent="0.2">
      <c r="A1921" s="20" t="str">
        <f t="shared" si="29"/>
        <v/>
      </c>
    </row>
    <row r="1922" spans="1:1" ht="24.95" customHeight="1" x14ac:dyDescent="0.2">
      <c r="A1922" s="20" t="str">
        <f t="shared" si="29"/>
        <v/>
      </c>
    </row>
    <row r="1923" spans="1:1" ht="24.95" customHeight="1" x14ac:dyDescent="0.2">
      <c r="A1923" s="20" t="str">
        <f t="shared" si="29"/>
        <v/>
      </c>
    </row>
    <row r="1924" spans="1:1" ht="24.95" customHeight="1" x14ac:dyDescent="0.2">
      <c r="A1924" s="20" t="str">
        <f t="shared" si="29"/>
        <v/>
      </c>
    </row>
    <row r="1925" spans="1:1" ht="24.95" customHeight="1" x14ac:dyDescent="0.2">
      <c r="A1925" s="20" t="str">
        <f t="shared" si="29"/>
        <v/>
      </c>
    </row>
    <row r="1926" spans="1:1" ht="24.95" customHeight="1" x14ac:dyDescent="0.2">
      <c r="A1926" s="20" t="str">
        <f t="shared" si="29"/>
        <v/>
      </c>
    </row>
    <row r="1927" spans="1:1" ht="24.95" customHeight="1" x14ac:dyDescent="0.2">
      <c r="A1927" s="20" t="str">
        <f t="shared" si="29"/>
        <v/>
      </c>
    </row>
    <row r="1928" spans="1:1" ht="24.95" customHeight="1" x14ac:dyDescent="0.2">
      <c r="A1928" s="20" t="str">
        <f t="shared" si="29"/>
        <v/>
      </c>
    </row>
    <row r="1929" spans="1:1" ht="24.95" customHeight="1" x14ac:dyDescent="0.2">
      <c r="A1929" s="20" t="str">
        <f t="shared" si="29"/>
        <v/>
      </c>
    </row>
    <row r="1930" spans="1:1" ht="24.95" customHeight="1" x14ac:dyDescent="0.2">
      <c r="A1930" s="20" t="str">
        <f t="shared" si="29"/>
        <v/>
      </c>
    </row>
    <row r="1931" spans="1:1" ht="24.95" customHeight="1" x14ac:dyDescent="0.2">
      <c r="A1931" s="20" t="str">
        <f t="shared" si="29"/>
        <v/>
      </c>
    </row>
    <row r="1932" spans="1:1" ht="24.95" customHeight="1" x14ac:dyDescent="0.2">
      <c r="A1932" s="20" t="str">
        <f t="shared" ref="A1932:A1995" si="30">IF(AND(B1931&lt;&gt;"",B1932=""),$A$10&amp;"---&gt;","")</f>
        <v/>
      </c>
    </row>
    <row r="1933" spans="1:1" ht="24.95" customHeight="1" x14ac:dyDescent="0.2">
      <c r="A1933" s="20" t="str">
        <f t="shared" si="30"/>
        <v/>
      </c>
    </row>
    <row r="1934" spans="1:1" ht="24.95" customHeight="1" x14ac:dyDescent="0.2">
      <c r="A1934" s="20" t="str">
        <f t="shared" si="30"/>
        <v/>
      </c>
    </row>
    <row r="1935" spans="1:1" ht="24.95" customHeight="1" x14ac:dyDescent="0.2">
      <c r="A1935" s="20" t="str">
        <f t="shared" si="30"/>
        <v/>
      </c>
    </row>
    <row r="1936" spans="1:1" ht="24.95" customHeight="1" x14ac:dyDescent="0.2">
      <c r="A1936" s="20" t="str">
        <f t="shared" si="30"/>
        <v/>
      </c>
    </row>
    <row r="1937" spans="1:1" ht="24.95" customHeight="1" x14ac:dyDescent="0.2">
      <c r="A1937" s="20" t="str">
        <f t="shared" si="30"/>
        <v/>
      </c>
    </row>
    <row r="1938" spans="1:1" ht="24.95" customHeight="1" x14ac:dyDescent="0.2">
      <c r="A1938" s="20" t="str">
        <f t="shared" si="30"/>
        <v/>
      </c>
    </row>
    <row r="1939" spans="1:1" ht="24.95" customHeight="1" x14ac:dyDescent="0.2">
      <c r="A1939" s="20" t="str">
        <f t="shared" si="30"/>
        <v/>
      </c>
    </row>
    <row r="1940" spans="1:1" ht="24.95" customHeight="1" x14ac:dyDescent="0.2">
      <c r="A1940" s="20" t="str">
        <f t="shared" si="30"/>
        <v/>
      </c>
    </row>
    <row r="1941" spans="1:1" ht="24.95" customHeight="1" x14ac:dyDescent="0.2">
      <c r="A1941" s="20" t="str">
        <f t="shared" si="30"/>
        <v/>
      </c>
    </row>
    <row r="1942" spans="1:1" ht="24.95" customHeight="1" x14ac:dyDescent="0.2">
      <c r="A1942" s="20" t="str">
        <f t="shared" si="30"/>
        <v/>
      </c>
    </row>
    <row r="1943" spans="1:1" ht="24.95" customHeight="1" x14ac:dyDescent="0.2">
      <c r="A1943" s="20" t="str">
        <f t="shared" si="30"/>
        <v/>
      </c>
    </row>
    <row r="1944" spans="1:1" ht="24.95" customHeight="1" x14ac:dyDescent="0.2">
      <c r="A1944" s="20" t="str">
        <f t="shared" si="30"/>
        <v/>
      </c>
    </row>
    <row r="1945" spans="1:1" ht="24.95" customHeight="1" x14ac:dyDescent="0.2">
      <c r="A1945" s="20" t="str">
        <f t="shared" si="30"/>
        <v/>
      </c>
    </row>
    <row r="1946" spans="1:1" ht="24.95" customHeight="1" x14ac:dyDescent="0.2">
      <c r="A1946" s="20" t="str">
        <f t="shared" si="30"/>
        <v/>
      </c>
    </row>
    <row r="1947" spans="1:1" ht="24.95" customHeight="1" x14ac:dyDescent="0.2">
      <c r="A1947" s="20" t="str">
        <f t="shared" si="30"/>
        <v/>
      </c>
    </row>
    <row r="1948" spans="1:1" ht="24.95" customHeight="1" x14ac:dyDescent="0.2">
      <c r="A1948" s="20" t="str">
        <f t="shared" si="30"/>
        <v/>
      </c>
    </row>
    <row r="1949" spans="1:1" ht="24.95" customHeight="1" x14ac:dyDescent="0.2">
      <c r="A1949" s="20" t="str">
        <f t="shared" si="30"/>
        <v/>
      </c>
    </row>
    <row r="1950" spans="1:1" ht="24.95" customHeight="1" x14ac:dyDescent="0.2">
      <c r="A1950" s="20" t="str">
        <f t="shared" si="30"/>
        <v/>
      </c>
    </row>
    <row r="1951" spans="1:1" ht="24.95" customHeight="1" x14ac:dyDescent="0.2">
      <c r="A1951" s="20" t="str">
        <f t="shared" si="30"/>
        <v/>
      </c>
    </row>
    <row r="1952" spans="1:1" ht="24.95" customHeight="1" x14ac:dyDescent="0.2">
      <c r="A1952" s="20" t="str">
        <f t="shared" si="30"/>
        <v/>
      </c>
    </row>
    <row r="1953" spans="1:1" ht="24.95" customHeight="1" x14ac:dyDescent="0.2">
      <c r="A1953" s="20" t="str">
        <f t="shared" si="30"/>
        <v/>
      </c>
    </row>
    <row r="1954" spans="1:1" ht="24.95" customHeight="1" x14ac:dyDescent="0.2">
      <c r="A1954" s="20" t="str">
        <f t="shared" si="30"/>
        <v/>
      </c>
    </row>
    <row r="1955" spans="1:1" ht="24.95" customHeight="1" x14ac:dyDescent="0.2">
      <c r="A1955" s="20" t="str">
        <f t="shared" si="30"/>
        <v/>
      </c>
    </row>
    <row r="1956" spans="1:1" ht="24.95" customHeight="1" x14ac:dyDescent="0.2">
      <c r="A1956" s="20" t="str">
        <f t="shared" si="30"/>
        <v/>
      </c>
    </row>
    <row r="1957" spans="1:1" ht="24.95" customHeight="1" x14ac:dyDescent="0.2">
      <c r="A1957" s="20" t="str">
        <f t="shared" si="30"/>
        <v/>
      </c>
    </row>
    <row r="1958" spans="1:1" ht="24.95" customHeight="1" x14ac:dyDescent="0.2">
      <c r="A1958" s="20" t="str">
        <f t="shared" si="30"/>
        <v/>
      </c>
    </row>
    <row r="1959" spans="1:1" ht="24.95" customHeight="1" x14ac:dyDescent="0.2">
      <c r="A1959" s="20" t="str">
        <f t="shared" si="30"/>
        <v/>
      </c>
    </row>
    <row r="1960" spans="1:1" ht="24.95" customHeight="1" x14ac:dyDescent="0.2">
      <c r="A1960" s="20" t="str">
        <f t="shared" si="30"/>
        <v/>
      </c>
    </row>
    <row r="1961" spans="1:1" ht="24.95" customHeight="1" x14ac:dyDescent="0.2">
      <c r="A1961" s="20" t="str">
        <f t="shared" si="30"/>
        <v/>
      </c>
    </row>
    <row r="1962" spans="1:1" ht="24.95" customHeight="1" x14ac:dyDescent="0.2">
      <c r="A1962" s="20" t="str">
        <f t="shared" si="30"/>
        <v/>
      </c>
    </row>
    <row r="1963" spans="1:1" ht="24.95" customHeight="1" x14ac:dyDescent="0.2">
      <c r="A1963" s="20" t="str">
        <f t="shared" si="30"/>
        <v/>
      </c>
    </row>
    <row r="1964" spans="1:1" ht="24.95" customHeight="1" x14ac:dyDescent="0.2">
      <c r="A1964" s="20" t="str">
        <f t="shared" si="30"/>
        <v/>
      </c>
    </row>
    <row r="1965" spans="1:1" ht="24.95" customHeight="1" x14ac:dyDescent="0.2">
      <c r="A1965" s="20" t="str">
        <f t="shared" si="30"/>
        <v/>
      </c>
    </row>
    <row r="1966" spans="1:1" ht="24.95" customHeight="1" x14ac:dyDescent="0.2">
      <c r="A1966" s="20" t="str">
        <f t="shared" si="30"/>
        <v/>
      </c>
    </row>
    <row r="1967" spans="1:1" ht="24.95" customHeight="1" x14ac:dyDescent="0.2">
      <c r="A1967" s="20" t="str">
        <f t="shared" si="30"/>
        <v/>
      </c>
    </row>
    <row r="1968" spans="1:1" ht="24.95" customHeight="1" x14ac:dyDescent="0.2">
      <c r="A1968" s="20" t="str">
        <f t="shared" si="30"/>
        <v/>
      </c>
    </row>
    <row r="1969" spans="1:1" ht="24.95" customHeight="1" x14ac:dyDescent="0.2">
      <c r="A1969" s="20" t="str">
        <f t="shared" si="30"/>
        <v/>
      </c>
    </row>
    <row r="1970" spans="1:1" ht="24.95" customHeight="1" x14ac:dyDescent="0.2">
      <c r="A1970" s="20" t="str">
        <f t="shared" si="30"/>
        <v/>
      </c>
    </row>
    <row r="1971" spans="1:1" ht="24.95" customHeight="1" x14ac:dyDescent="0.2">
      <c r="A1971" s="20" t="str">
        <f t="shared" si="30"/>
        <v/>
      </c>
    </row>
    <row r="1972" spans="1:1" ht="24.95" customHeight="1" x14ac:dyDescent="0.2">
      <c r="A1972" s="20" t="str">
        <f t="shared" si="30"/>
        <v/>
      </c>
    </row>
    <row r="1973" spans="1:1" ht="24.95" customHeight="1" x14ac:dyDescent="0.2">
      <c r="A1973" s="20" t="str">
        <f t="shared" si="30"/>
        <v/>
      </c>
    </row>
    <row r="1974" spans="1:1" ht="24.95" customHeight="1" x14ac:dyDescent="0.2">
      <c r="A1974" s="20" t="str">
        <f t="shared" si="30"/>
        <v/>
      </c>
    </row>
    <row r="1975" spans="1:1" ht="24.95" customHeight="1" x14ac:dyDescent="0.2">
      <c r="A1975" s="20" t="str">
        <f t="shared" si="30"/>
        <v/>
      </c>
    </row>
    <row r="1976" spans="1:1" ht="24.95" customHeight="1" x14ac:dyDescent="0.2">
      <c r="A1976" s="20" t="str">
        <f t="shared" si="30"/>
        <v/>
      </c>
    </row>
    <row r="1977" spans="1:1" ht="24.95" customHeight="1" x14ac:dyDescent="0.2">
      <c r="A1977" s="20" t="str">
        <f t="shared" si="30"/>
        <v/>
      </c>
    </row>
    <row r="1978" spans="1:1" ht="24.95" customHeight="1" x14ac:dyDescent="0.2">
      <c r="A1978" s="20" t="str">
        <f t="shared" si="30"/>
        <v/>
      </c>
    </row>
    <row r="1979" spans="1:1" ht="24.95" customHeight="1" x14ac:dyDescent="0.2">
      <c r="A1979" s="20" t="str">
        <f t="shared" si="30"/>
        <v/>
      </c>
    </row>
    <row r="1980" spans="1:1" ht="24.95" customHeight="1" x14ac:dyDescent="0.2">
      <c r="A1980" s="20" t="str">
        <f t="shared" si="30"/>
        <v/>
      </c>
    </row>
    <row r="1981" spans="1:1" ht="24.95" customHeight="1" x14ac:dyDescent="0.2">
      <c r="A1981" s="20" t="str">
        <f t="shared" si="30"/>
        <v/>
      </c>
    </row>
    <row r="1982" spans="1:1" ht="24.95" customHeight="1" x14ac:dyDescent="0.2">
      <c r="A1982" s="20" t="str">
        <f t="shared" si="30"/>
        <v/>
      </c>
    </row>
    <row r="1983" spans="1:1" ht="24.95" customHeight="1" x14ac:dyDescent="0.2">
      <c r="A1983" s="20" t="str">
        <f t="shared" si="30"/>
        <v/>
      </c>
    </row>
    <row r="1984" spans="1:1" ht="24.95" customHeight="1" x14ac:dyDescent="0.2">
      <c r="A1984" s="20" t="str">
        <f t="shared" si="30"/>
        <v/>
      </c>
    </row>
    <row r="1985" spans="1:1" ht="24.95" customHeight="1" x14ac:dyDescent="0.2">
      <c r="A1985" s="20" t="str">
        <f t="shared" si="30"/>
        <v/>
      </c>
    </row>
    <row r="1986" spans="1:1" ht="24.95" customHeight="1" x14ac:dyDescent="0.2">
      <c r="A1986" s="20" t="str">
        <f t="shared" si="30"/>
        <v/>
      </c>
    </row>
    <row r="1987" spans="1:1" ht="24.95" customHeight="1" x14ac:dyDescent="0.2">
      <c r="A1987" s="20" t="str">
        <f t="shared" si="30"/>
        <v/>
      </c>
    </row>
    <row r="1988" spans="1:1" ht="24.95" customHeight="1" x14ac:dyDescent="0.2">
      <c r="A1988" s="20" t="str">
        <f t="shared" si="30"/>
        <v/>
      </c>
    </row>
    <row r="1989" spans="1:1" ht="24.95" customHeight="1" x14ac:dyDescent="0.2">
      <c r="A1989" s="20" t="str">
        <f t="shared" si="30"/>
        <v/>
      </c>
    </row>
    <row r="1990" spans="1:1" ht="24.95" customHeight="1" x14ac:dyDescent="0.2">
      <c r="A1990" s="20" t="str">
        <f t="shared" si="30"/>
        <v/>
      </c>
    </row>
    <row r="1991" spans="1:1" ht="24.95" customHeight="1" x14ac:dyDescent="0.2">
      <c r="A1991" s="20" t="str">
        <f t="shared" si="30"/>
        <v/>
      </c>
    </row>
    <row r="1992" spans="1:1" ht="24.95" customHeight="1" x14ac:dyDescent="0.2">
      <c r="A1992" s="20" t="str">
        <f t="shared" si="30"/>
        <v/>
      </c>
    </row>
    <row r="1993" spans="1:1" ht="24.95" customHeight="1" x14ac:dyDescent="0.2">
      <c r="A1993" s="20" t="str">
        <f t="shared" si="30"/>
        <v/>
      </c>
    </row>
    <row r="1994" spans="1:1" ht="24.95" customHeight="1" x14ac:dyDescent="0.2">
      <c r="A1994" s="20" t="str">
        <f t="shared" si="30"/>
        <v/>
      </c>
    </row>
    <row r="1995" spans="1:1" ht="24.95" customHeight="1" x14ac:dyDescent="0.2">
      <c r="A1995" s="20" t="str">
        <f t="shared" si="30"/>
        <v/>
      </c>
    </row>
    <row r="1996" spans="1:1" ht="24.95" customHeight="1" x14ac:dyDescent="0.2">
      <c r="A1996" s="20" t="str">
        <f t="shared" ref="A1996:A1999" si="31">IF(AND(B1995&lt;&gt;"",B1996=""),$A$10&amp;"---&gt;","")</f>
        <v/>
      </c>
    </row>
    <row r="1997" spans="1:1" ht="24.95" customHeight="1" x14ac:dyDescent="0.2">
      <c r="A1997" s="20" t="str">
        <f t="shared" si="31"/>
        <v/>
      </c>
    </row>
    <row r="1998" spans="1:1" ht="24.95" customHeight="1" x14ac:dyDescent="0.2">
      <c r="A1998" s="20" t="str">
        <f t="shared" si="31"/>
        <v/>
      </c>
    </row>
    <row r="1999" spans="1:1" ht="24.95" customHeight="1" x14ac:dyDescent="0.2">
      <c r="A1999" s="20" t="str">
        <f t="shared" si="31"/>
        <v/>
      </c>
    </row>
  </sheetData>
  <mergeCells count="8">
    <mergeCell ref="M1:N1"/>
    <mergeCell ref="M2:N5"/>
    <mergeCell ref="G1:H1"/>
    <mergeCell ref="G2:H5"/>
    <mergeCell ref="I1:J1"/>
    <mergeCell ref="K1:L1"/>
    <mergeCell ref="I2:J5"/>
    <mergeCell ref="K2:L5"/>
  </mergeCells>
  <conditionalFormatting sqref="G11:G15">
    <cfRule type="containsText" dxfId="31" priority="8" operator="containsText" text="Finished">
      <formula>NOT(ISERROR(SEARCH("Finished",G11)))</formula>
    </cfRule>
  </conditionalFormatting>
  <conditionalFormatting sqref="K11:K15">
    <cfRule type="dataBar" priority="7">
      <dataBar>
        <cfvo type="num" val="0"/>
        <cfvo type="num" val="1"/>
        <color rgb="FF8FCFAD"/>
      </dataBar>
      <extLst>
        <ext xmlns:x14="http://schemas.microsoft.com/office/spreadsheetml/2009/9/main" uri="{B025F937-C7B1-47D3-B67F-A62EFF666E3E}">
          <x14:id>{E4F4DF48-EE44-4A35-84DE-E41341347543}</x14:id>
        </ext>
      </extLst>
    </cfRule>
  </conditionalFormatting>
  <conditionalFormatting sqref="M11:M15">
    <cfRule type="containsText" dxfId="30" priority="4" operator="containsText" text="Refund">
      <formula>NOT(ISERROR(SEARCH("Refund",M11)))</formula>
    </cfRule>
    <cfRule type="containsText" dxfId="29" priority="5" operator="containsText" text="Pending">
      <formula>NOT(ISERROR(SEARCH("Pending",M11)))</formula>
    </cfRule>
    <cfRule type="containsText" dxfId="28" priority="6" operator="containsText" text="Done">
      <formula>NOT(ISERROR(SEARCH("Done",M11)))</formula>
    </cfRule>
  </conditionalFormatting>
  <conditionalFormatting sqref="N11:N15">
    <cfRule type="containsText" dxfId="27" priority="1" operator="containsText" text="Canceled">
      <formula>NOT(ISERROR(SEARCH("Canceled",N11)))</formula>
    </cfRule>
    <cfRule type="containsText" dxfId="26" priority="2" operator="containsText" text="Closed">
      <formula>NOT(ISERROR(SEARCH("Closed",N11)))</formula>
    </cfRule>
    <cfRule type="containsText" dxfId="25" priority="3" operator="containsText" text="Suspended">
      <formula>NOT(ISERROR(SEARCH("Suspended",N11)))</formula>
    </cfRule>
  </conditionalFormatting>
  <dataValidations count="5">
    <dataValidation type="list" allowBlank="1" showInputMessage="1" showErrorMessage="1" sqref="H11:H15" xr:uid="{F1671501-CCC6-472B-AD6C-AD9D39AFD91E}">
      <formula1>Company</formula1>
    </dataValidation>
    <dataValidation type="list" allowBlank="1" showInputMessage="1" showErrorMessage="1" sqref="N11:N15" xr:uid="{E8EEA8F0-7D48-49FE-88B5-2082C8FA5385}">
      <formula1>"Open, Suspended, Closed, Canceled"</formula1>
    </dataValidation>
    <dataValidation type="list" allowBlank="1" showInputMessage="1" showErrorMessage="1" sqref="M11:M15" xr:uid="{2C7C9D65-978D-4CBF-88AD-C65E23668B8A}">
      <formula1>"Done, Pending, Refund"</formula1>
    </dataValidation>
    <dataValidation type="date" allowBlank="1" showInputMessage="1" showErrorMessage="1" sqref="D11:E15" xr:uid="{E14456C0-55BB-474A-8D0B-74879EAEB9D3}">
      <formula1>1</formula1>
      <formula2>109575</formula2>
    </dataValidation>
    <dataValidation type="list" allowBlank="1" showInputMessage="1" showErrorMessage="1" sqref="B11:B1048576" xr:uid="{7F7439A4-FA39-4956-B6BC-562A5679FFF5}">
      <formula1>Campaign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8" r:id="rId3" name="Button 6">
              <controlPr defaultSize="0" print="0" autoFill="0" autoPict="0" macro="[0]!Full_screen">
                <anchor moveWithCells="1" sizeWithCells="1">
                  <from>
                    <xdr:col>0</xdr:col>
                    <xdr:colOff>9525</xdr:colOff>
                    <xdr:row>9</xdr:row>
                    <xdr:rowOff>9525</xdr:rowOff>
                  </from>
                  <to>
                    <xdr:col>0</xdr:col>
                    <xdr:colOff>1066800</xdr:colOff>
                    <xdr:row>9</xdr:row>
                    <xdr:rowOff>209550</xdr:rowOff>
                  </to>
                </anchor>
              </controlPr>
            </control>
          </mc:Choice>
        </mc:AlternateContent>
        <mc:AlternateContent xmlns:mc="http://schemas.openxmlformats.org/markup-compatibility/2006">
          <mc:Choice Requires="x14">
            <control shapeId="3079" r:id="rId4" name="Button 7">
              <controlPr defaultSize="0" print="0" autoFill="0" autoPict="0" macro="[0]!Refresh">
                <anchor moveWithCells="1" sizeWithCells="1">
                  <from>
                    <xdr:col>0</xdr:col>
                    <xdr:colOff>9525</xdr:colOff>
                    <xdr:row>9</xdr:row>
                    <xdr:rowOff>247650</xdr:rowOff>
                  </from>
                  <to>
                    <xdr:col>0</xdr:col>
                    <xdr:colOff>1057275</xdr:colOff>
                    <xdr:row>9</xdr:row>
                    <xdr:rowOff>438150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E4F4DF48-EE44-4A35-84DE-E41341347543}">
            <x14:dataBar minLength="0" maxLength="100" gradient="0">
              <x14:cfvo type="num">
                <xm:f>0</xm:f>
              </x14:cfvo>
              <x14:cfvo type="num">
                <xm:f>1</xm:f>
              </x14:cfvo>
              <x14:negativeFillColor rgb="FFFF0000"/>
              <x14:axisColor rgb="FF000000"/>
            </x14:dataBar>
          </x14:cfRule>
          <xm:sqref>K11:K15</xm:sqref>
        </x14:conditionalFormatting>
      </x14:conditionalFormattings>
    </ex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A6C7-6BA4-4FCC-BAF7-2A5D6EC28D1C}">
  <sheetPr>
    <tabColor rgb="FF8FCFAD"/>
  </sheetPr>
  <dimension ref="B4:M10"/>
  <sheetViews>
    <sheetView topLeftCell="F1" workbookViewId="0">
      <selection activeCell="K14" sqref="K14"/>
    </sheetView>
  </sheetViews>
  <sheetFormatPr defaultRowHeight="12.75" x14ac:dyDescent="0.2"/>
  <cols>
    <col min="2" max="2" width="13.85546875" bestFit="1" customWidth="1"/>
    <col min="3" max="3" width="18.7109375" bestFit="1" customWidth="1"/>
    <col min="4" max="4" width="23.5703125" bestFit="1" customWidth="1"/>
    <col min="5" max="5" width="22.140625" bestFit="1" customWidth="1"/>
    <col min="6" max="6" width="20.42578125" bestFit="1" customWidth="1"/>
    <col min="8" max="8" width="13.85546875" bestFit="1" customWidth="1"/>
    <col min="9" max="9" width="22.140625" bestFit="1" customWidth="1"/>
    <col min="11" max="11" width="13.85546875" bestFit="1" customWidth="1"/>
    <col min="12" max="12" width="13.5703125" bestFit="1" customWidth="1"/>
    <col min="13" max="13" width="10.28515625" bestFit="1" customWidth="1"/>
  </cols>
  <sheetData>
    <row r="4" spans="2:13" x14ac:dyDescent="0.2">
      <c r="B4" s="36" t="s">
        <v>449</v>
      </c>
      <c r="C4" t="s">
        <v>503</v>
      </c>
      <c r="D4" t="s">
        <v>504</v>
      </c>
      <c r="E4" t="s">
        <v>505</v>
      </c>
      <c r="F4" t="s">
        <v>507</v>
      </c>
      <c r="H4" s="36" t="s">
        <v>449</v>
      </c>
      <c r="I4" t="s">
        <v>505</v>
      </c>
      <c r="K4" s="36" t="s">
        <v>449</v>
      </c>
      <c r="L4" t="s">
        <v>508</v>
      </c>
      <c r="M4" t="s">
        <v>509</v>
      </c>
    </row>
    <row r="5" spans="2:13" x14ac:dyDescent="0.2">
      <c r="B5" s="37" t="s">
        <v>466</v>
      </c>
      <c r="C5">
        <v>1</v>
      </c>
      <c r="D5">
        <v>34</v>
      </c>
      <c r="E5">
        <v>200</v>
      </c>
      <c r="F5" s="64">
        <v>0.5625</v>
      </c>
      <c r="H5" s="37" t="s">
        <v>487</v>
      </c>
      <c r="I5" s="65">
        <v>470</v>
      </c>
      <c r="K5" s="37" t="s">
        <v>466</v>
      </c>
      <c r="L5" s="66">
        <v>0</v>
      </c>
      <c r="M5" s="64">
        <v>0.5625</v>
      </c>
    </row>
    <row r="6" spans="2:13" x14ac:dyDescent="0.2">
      <c r="B6" s="37" t="s">
        <v>467</v>
      </c>
      <c r="C6">
        <v>1</v>
      </c>
      <c r="D6">
        <v>35</v>
      </c>
      <c r="E6">
        <v>270</v>
      </c>
      <c r="F6" s="64">
        <v>1.3</v>
      </c>
      <c r="H6" s="37" t="s">
        <v>493</v>
      </c>
      <c r="I6" s="65">
        <v>250</v>
      </c>
      <c r="K6" s="37" t="s">
        <v>467</v>
      </c>
      <c r="L6" s="66">
        <v>0</v>
      </c>
      <c r="M6" s="64">
        <v>1.3</v>
      </c>
    </row>
    <row r="7" spans="2:13" x14ac:dyDescent="0.2">
      <c r="B7" s="37" t="s">
        <v>468</v>
      </c>
      <c r="C7">
        <v>1</v>
      </c>
      <c r="D7">
        <v>51</v>
      </c>
      <c r="E7">
        <v>150</v>
      </c>
      <c r="F7" s="64">
        <v>0.8</v>
      </c>
      <c r="H7" s="37" t="s">
        <v>494</v>
      </c>
      <c r="I7" s="65">
        <v>170</v>
      </c>
      <c r="K7" s="37" t="s">
        <v>468</v>
      </c>
      <c r="L7" s="66">
        <v>0</v>
      </c>
      <c r="M7" s="64">
        <v>0.8</v>
      </c>
    </row>
    <row r="8" spans="2:13" x14ac:dyDescent="0.2">
      <c r="B8" s="37" t="s">
        <v>469</v>
      </c>
      <c r="C8">
        <v>1</v>
      </c>
      <c r="D8">
        <v>28</v>
      </c>
      <c r="E8">
        <v>100</v>
      </c>
      <c r="F8" s="64">
        <v>0.2857142857142857</v>
      </c>
      <c r="H8" s="37" t="s">
        <v>450</v>
      </c>
      <c r="I8" s="65">
        <v>890</v>
      </c>
      <c r="K8" s="37" t="s">
        <v>469</v>
      </c>
      <c r="L8" s="66">
        <v>0</v>
      </c>
      <c r="M8" s="64">
        <v>0.2857142857142857</v>
      </c>
    </row>
    <row r="9" spans="2:13" x14ac:dyDescent="0.2">
      <c r="B9" s="37" t="s">
        <v>470</v>
      </c>
      <c r="C9">
        <v>1</v>
      </c>
      <c r="D9">
        <v>38</v>
      </c>
      <c r="E9">
        <v>170</v>
      </c>
      <c r="F9" s="64">
        <v>0.875</v>
      </c>
      <c r="K9" s="37" t="s">
        <v>470</v>
      </c>
      <c r="L9" s="66">
        <v>0</v>
      </c>
      <c r="M9" s="64">
        <v>0.875</v>
      </c>
    </row>
    <row r="10" spans="2:13" x14ac:dyDescent="0.2">
      <c r="B10" s="37" t="s">
        <v>450</v>
      </c>
      <c r="C10">
        <v>5</v>
      </c>
      <c r="D10">
        <v>186</v>
      </c>
      <c r="E10">
        <v>890</v>
      </c>
      <c r="F10" s="64">
        <v>0.76464285714285718</v>
      </c>
      <c r="K10" s="37" t="s">
        <v>450</v>
      </c>
      <c r="L10" s="66">
        <v>0</v>
      </c>
      <c r="M10" s="64">
        <v>0.76464285714285718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5A54D-E8B1-4E46-AF4F-E3E0AFC7501D}">
  <dimension ref="B3:V11"/>
  <sheetViews>
    <sheetView topLeftCell="N1" workbookViewId="0">
      <selection activeCell="S15" sqref="S15"/>
    </sheetView>
  </sheetViews>
  <sheetFormatPr defaultRowHeight="12.75" x14ac:dyDescent="0.2"/>
  <cols>
    <col min="2" max="2" width="13.85546875" bestFit="1" customWidth="1"/>
    <col min="3" max="3" width="12" bestFit="1" customWidth="1"/>
    <col min="4" max="4" width="26" bestFit="1" customWidth="1"/>
    <col min="6" max="6" width="14.28515625" bestFit="1" customWidth="1"/>
    <col min="7" max="7" width="17" bestFit="1" customWidth="1"/>
    <col min="8" max="8" width="7.5703125" bestFit="1" customWidth="1"/>
    <col min="9" max="9" width="8.140625" bestFit="1" customWidth="1"/>
    <col min="10" max="10" width="11.7109375" bestFit="1" customWidth="1"/>
    <col min="12" max="12" width="13.85546875" bestFit="1" customWidth="1"/>
    <col min="13" max="13" width="14.28515625" bestFit="1" customWidth="1"/>
    <col min="15" max="15" width="13.85546875" bestFit="1" customWidth="1"/>
    <col min="16" max="16" width="17.85546875" bestFit="1" customWidth="1"/>
    <col min="18" max="18" width="15" bestFit="1" customWidth="1"/>
    <col min="19" max="19" width="14.28515625" bestFit="1" customWidth="1"/>
    <col min="21" max="21" width="13.85546875" bestFit="1" customWidth="1"/>
    <col min="22" max="22" width="14.28515625" bestFit="1" customWidth="1"/>
  </cols>
  <sheetData>
    <row r="3" spans="2:22" x14ac:dyDescent="0.2">
      <c r="B3" s="36" t="s">
        <v>449</v>
      </c>
      <c r="C3" t="s">
        <v>458</v>
      </c>
      <c r="D3" t="s">
        <v>459</v>
      </c>
      <c r="G3" s="36" t="s">
        <v>460</v>
      </c>
      <c r="L3" s="36" t="s">
        <v>449</v>
      </c>
      <c r="M3" t="s">
        <v>457</v>
      </c>
      <c r="O3" s="36" t="s">
        <v>449</v>
      </c>
      <c r="P3" t="s">
        <v>461</v>
      </c>
      <c r="R3" s="36" t="s">
        <v>449</v>
      </c>
      <c r="S3" t="s">
        <v>457</v>
      </c>
      <c r="U3" s="36" t="s">
        <v>449</v>
      </c>
      <c r="V3" t="s">
        <v>457</v>
      </c>
    </row>
    <row r="4" spans="2:22" x14ac:dyDescent="0.2">
      <c r="B4" s="37" t="s">
        <v>49</v>
      </c>
      <c r="C4">
        <v>29</v>
      </c>
      <c r="D4">
        <v>20</v>
      </c>
      <c r="G4" t="s">
        <v>55</v>
      </c>
      <c r="H4" t="s">
        <v>54</v>
      </c>
      <c r="I4" t="s">
        <v>53</v>
      </c>
      <c r="J4" t="s">
        <v>450</v>
      </c>
      <c r="L4" s="38" t="s">
        <v>456</v>
      </c>
      <c r="M4">
        <v>35</v>
      </c>
      <c r="O4" s="37" t="s">
        <v>49</v>
      </c>
      <c r="P4" s="39">
        <v>0.62068965517241381</v>
      </c>
      <c r="R4" s="37" t="s">
        <v>33</v>
      </c>
      <c r="S4">
        <v>45</v>
      </c>
      <c r="U4" s="37" t="s">
        <v>34</v>
      </c>
      <c r="V4">
        <v>28</v>
      </c>
    </row>
    <row r="5" spans="2:22" x14ac:dyDescent="0.2">
      <c r="B5" s="37" t="s">
        <v>50</v>
      </c>
      <c r="C5">
        <v>23</v>
      </c>
      <c r="D5">
        <v>40</v>
      </c>
      <c r="F5" t="s">
        <v>457</v>
      </c>
      <c r="G5">
        <v>52</v>
      </c>
      <c r="H5">
        <v>60</v>
      </c>
      <c r="I5">
        <v>74</v>
      </c>
      <c r="J5">
        <v>186</v>
      </c>
      <c r="L5" s="38" t="s">
        <v>451</v>
      </c>
      <c r="M5">
        <v>4</v>
      </c>
      <c r="O5" s="37" t="s">
        <v>50</v>
      </c>
      <c r="P5" s="39">
        <v>-0.30434782608695654</v>
      </c>
      <c r="R5" s="37" t="s">
        <v>37</v>
      </c>
      <c r="S5">
        <v>46</v>
      </c>
      <c r="U5" s="37" t="s">
        <v>30</v>
      </c>
      <c r="V5">
        <v>22</v>
      </c>
    </row>
    <row r="6" spans="2:22" x14ac:dyDescent="0.2">
      <c r="B6" s="37" t="s">
        <v>51</v>
      </c>
      <c r="C6">
        <v>19</v>
      </c>
      <c r="D6">
        <v>40</v>
      </c>
      <c r="L6" s="38" t="s">
        <v>452</v>
      </c>
      <c r="M6">
        <v>33</v>
      </c>
      <c r="O6" s="37" t="s">
        <v>51</v>
      </c>
      <c r="P6" s="39">
        <v>0.15789473684210525</v>
      </c>
      <c r="R6" s="37" t="s">
        <v>38</v>
      </c>
      <c r="S6">
        <v>49</v>
      </c>
      <c r="U6" s="37" t="s">
        <v>31</v>
      </c>
      <c r="V6">
        <v>28</v>
      </c>
    </row>
    <row r="7" spans="2:22" x14ac:dyDescent="0.2">
      <c r="B7" s="37" t="s">
        <v>52</v>
      </c>
      <c r="C7">
        <v>29</v>
      </c>
      <c r="D7">
        <v>30</v>
      </c>
      <c r="L7" s="38" t="s">
        <v>453</v>
      </c>
      <c r="M7">
        <v>41</v>
      </c>
      <c r="O7" s="37" t="s">
        <v>52</v>
      </c>
      <c r="P7" s="39">
        <v>-0.41379310344827586</v>
      </c>
      <c r="R7" s="37" t="s">
        <v>36</v>
      </c>
      <c r="S7">
        <v>46</v>
      </c>
      <c r="U7" s="37" t="s">
        <v>32</v>
      </c>
      <c r="V7">
        <v>28</v>
      </c>
    </row>
    <row r="8" spans="2:22" x14ac:dyDescent="0.2">
      <c r="B8" s="37" t="s">
        <v>46</v>
      </c>
      <c r="C8">
        <v>25</v>
      </c>
      <c r="D8">
        <v>20</v>
      </c>
      <c r="L8" s="38" t="s">
        <v>454</v>
      </c>
      <c r="M8">
        <v>39</v>
      </c>
      <c r="O8" s="37" t="s">
        <v>46</v>
      </c>
      <c r="P8" s="39">
        <v>-0.56000000000000005</v>
      </c>
      <c r="R8" s="37" t="s">
        <v>450</v>
      </c>
      <c r="S8">
        <v>186</v>
      </c>
      <c r="U8" s="37" t="s">
        <v>39</v>
      </c>
      <c r="V8">
        <v>27</v>
      </c>
    </row>
    <row r="9" spans="2:22" x14ac:dyDescent="0.2">
      <c r="B9" s="37" t="s">
        <v>48</v>
      </c>
      <c r="C9">
        <v>27</v>
      </c>
      <c r="D9">
        <v>20</v>
      </c>
      <c r="L9" s="38" t="s">
        <v>455</v>
      </c>
      <c r="M9">
        <v>34</v>
      </c>
      <c r="O9" s="37" t="s">
        <v>48</v>
      </c>
      <c r="P9" s="39">
        <v>-0.44444444444444442</v>
      </c>
      <c r="U9" s="37" t="s">
        <v>40</v>
      </c>
      <c r="V9">
        <v>28</v>
      </c>
    </row>
    <row r="10" spans="2:22" x14ac:dyDescent="0.2">
      <c r="B10" s="37" t="s">
        <v>47</v>
      </c>
      <c r="C10">
        <v>34</v>
      </c>
      <c r="D10">
        <v>30</v>
      </c>
      <c r="L10" s="38" t="s">
        <v>450</v>
      </c>
      <c r="M10">
        <v>186</v>
      </c>
      <c r="O10" s="37" t="s">
        <v>47</v>
      </c>
      <c r="P10" s="39">
        <v>-0.47058823529411764</v>
      </c>
      <c r="U10" s="37" t="s">
        <v>35</v>
      </c>
      <c r="V10">
        <v>25</v>
      </c>
    </row>
    <row r="11" spans="2:22" x14ac:dyDescent="0.2">
      <c r="B11" s="37" t="s">
        <v>450</v>
      </c>
      <c r="C11">
        <v>186</v>
      </c>
      <c r="D11">
        <v>27.903225806451612</v>
      </c>
      <c r="O11" s="37" t="s">
        <v>450</v>
      </c>
      <c r="P11" s="39">
        <v>-0.21505376344086022</v>
      </c>
      <c r="U11" s="37" t="s">
        <v>450</v>
      </c>
      <c r="V11">
        <v>186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Q24"/>
  <sheetViews>
    <sheetView showGridLines="0" showRowColHeaders="0" zoomScaleNormal="100" workbookViewId="0">
      <pane ySplit="4" topLeftCell="A5" activePane="bottomLeft" state="frozen"/>
      <selection pane="bottomLeft" activeCell="P7" sqref="P7"/>
    </sheetView>
  </sheetViews>
  <sheetFormatPr defaultColWidth="9.140625" defaultRowHeight="30" customHeight="1" x14ac:dyDescent="0.2"/>
  <cols>
    <col min="1" max="1" width="0.7109375" style="15" customWidth="1"/>
    <col min="2" max="3" width="30.7109375" style="21" customWidth="1"/>
    <col min="4" max="4" width="1" style="15" customWidth="1"/>
    <col min="5" max="5" width="30.7109375" style="21" customWidth="1"/>
    <col min="6" max="6" width="1" style="15" customWidth="1"/>
    <col min="7" max="7" width="30.7109375" style="23" customWidth="1"/>
    <col min="8" max="8" width="0.7109375" style="15" customWidth="1"/>
    <col min="9" max="10" width="30.7109375" style="21" customWidth="1"/>
    <col min="11" max="11" width="0.7109375" style="15" customWidth="1"/>
    <col min="12" max="12" width="30.7109375" style="21" customWidth="1"/>
    <col min="13" max="13" width="0.7109375" style="15" customWidth="1"/>
    <col min="14" max="14" width="30.7109375" style="21" customWidth="1"/>
    <col min="15" max="15" width="0.7109375" style="15" customWidth="1"/>
    <col min="16" max="16" width="30.7109375" style="21" customWidth="1"/>
    <col min="17" max="17" width="0.7109375" style="15" customWidth="1"/>
    <col min="18" max="16384" width="9.140625" style="16"/>
  </cols>
  <sheetData>
    <row r="1" spans="1:17" customFormat="1" ht="12.75" x14ac:dyDescent="0.2">
      <c r="A1" s="13"/>
      <c r="B1" s="17"/>
      <c r="C1" s="17"/>
      <c r="D1" s="17"/>
      <c r="E1" s="17"/>
      <c r="F1" s="17"/>
      <c r="G1" s="17"/>
      <c r="H1" s="17"/>
      <c r="I1" s="17"/>
      <c r="J1" s="17"/>
      <c r="K1" s="17"/>
      <c r="L1" s="17"/>
      <c r="M1" s="17"/>
      <c r="N1" s="17"/>
      <c r="O1" s="17"/>
      <c r="P1" s="17"/>
      <c r="Q1" s="17"/>
    </row>
    <row r="2" spans="1:17" customFormat="1" ht="15" x14ac:dyDescent="0.25">
      <c r="A2" s="91" t="s">
        <v>22</v>
      </c>
      <c r="B2" s="91"/>
      <c r="C2" s="91"/>
      <c r="D2" s="91" t="s">
        <v>25</v>
      </c>
      <c r="E2" s="91"/>
      <c r="F2" s="91" t="s">
        <v>21</v>
      </c>
      <c r="G2" s="91"/>
      <c r="H2" s="91" t="s">
        <v>20</v>
      </c>
      <c r="I2" s="91"/>
      <c r="J2" s="91"/>
      <c r="K2" s="91" t="s">
        <v>27</v>
      </c>
      <c r="L2" s="91"/>
      <c r="M2" s="91" t="s">
        <v>464</v>
      </c>
      <c r="N2" s="91"/>
      <c r="O2" s="91" t="s">
        <v>475</v>
      </c>
      <c r="P2" s="91"/>
      <c r="Q2" s="42"/>
    </row>
    <row r="3" spans="1:17" customFormat="1" ht="12.75" x14ac:dyDescent="0.2">
      <c r="A3" s="13"/>
      <c r="B3" s="17"/>
      <c r="C3" s="17"/>
      <c r="D3" s="17"/>
      <c r="E3" s="17"/>
      <c r="F3" s="17"/>
      <c r="G3" s="17"/>
      <c r="H3" s="17"/>
      <c r="I3" s="17"/>
      <c r="J3" s="17"/>
      <c r="K3" s="17"/>
      <c r="L3" s="17"/>
      <c r="M3" s="17"/>
      <c r="N3" s="17"/>
      <c r="O3" s="17"/>
      <c r="P3" s="17"/>
      <c r="Q3" s="17"/>
    </row>
    <row r="4" spans="1:17" ht="27" customHeight="1" thickBot="1" x14ac:dyDescent="0.25">
      <c r="B4" s="18" t="s">
        <v>19</v>
      </c>
      <c r="C4" s="26" t="s">
        <v>63</v>
      </c>
      <c r="E4" s="18" t="s">
        <v>24</v>
      </c>
      <c r="G4" s="19" t="s">
        <v>21</v>
      </c>
      <c r="I4" s="18" t="s">
        <v>26</v>
      </c>
      <c r="J4" s="18" t="s">
        <v>61</v>
      </c>
      <c r="L4" s="18" t="s">
        <v>28</v>
      </c>
      <c r="N4" s="18" t="s">
        <v>465</v>
      </c>
      <c r="P4" s="18" t="s">
        <v>474</v>
      </c>
    </row>
    <row r="5" spans="1:17" ht="30" customHeight="1" thickTop="1" x14ac:dyDescent="0.2">
      <c r="B5" s="21" t="s">
        <v>34</v>
      </c>
      <c r="C5" s="21" t="s">
        <v>64</v>
      </c>
      <c r="E5" s="21" t="s">
        <v>33</v>
      </c>
      <c r="G5" s="22" t="s">
        <v>41</v>
      </c>
      <c r="I5" s="21" t="s">
        <v>46</v>
      </c>
      <c r="J5" s="21">
        <v>20</v>
      </c>
      <c r="L5" s="27" t="s">
        <v>53</v>
      </c>
      <c r="N5" s="21" t="s">
        <v>466</v>
      </c>
      <c r="P5" s="21" t="s">
        <v>476</v>
      </c>
    </row>
    <row r="6" spans="1:17" ht="30" customHeight="1" x14ac:dyDescent="0.2">
      <c r="B6" s="21" t="s">
        <v>35</v>
      </c>
      <c r="C6" s="21" t="s">
        <v>65</v>
      </c>
      <c r="E6" s="21" t="s">
        <v>36</v>
      </c>
      <c r="G6" s="22" t="s">
        <v>42</v>
      </c>
      <c r="I6" s="21" t="s">
        <v>47</v>
      </c>
      <c r="J6" s="21">
        <v>30</v>
      </c>
      <c r="L6" s="28" t="s">
        <v>54</v>
      </c>
      <c r="N6" s="21" t="s">
        <v>467</v>
      </c>
      <c r="P6" s="21" t="s">
        <v>477</v>
      </c>
    </row>
    <row r="7" spans="1:17" ht="30" customHeight="1" x14ac:dyDescent="0.2">
      <c r="B7" s="21" t="s">
        <v>30</v>
      </c>
      <c r="C7" s="21" t="s">
        <v>66</v>
      </c>
      <c r="E7" s="21" t="s">
        <v>37</v>
      </c>
      <c r="G7" s="22" t="s">
        <v>43</v>
      </c>
      <c r="I7" s="21" t="s">
        <v>48</v>
      </c>
      <c r="J7" s="21">
        <v>20</v>
      </c>
      <c r="L7" s="29" t="s">
        <v>55</v>
      </c>
      <c r="N7" s="21" t="s">
        <v>468</v>
      </c>
      <c r="P7" s="21" t="s">
        <v>478</v>
      </c>
    </row>
    <row r="8" spans="1:17" ht="30" customHeight="1" x14ac:dyDescent="0.2">
      <c r="B8" s="21" t="s">
        <v>31</v>
      </c>
      <c r="C8" s="21" t="s">
        <v>67</v>
      </c>
      <c r="E8" s="21" t="s">
        <v>38</v>
      </c>
      <c r="G8" s="22" t="s">
        <v>44</v>
      </c>
      <c r="I8" s="21" t="s">
        <v>49</v>
      </c>
      <c r="J8" s="21">
        <v>20</v>
      </c>
      <c r="N8" s="21" t="s">
        <v>469</v>
      </c>
      <c r="P8" s="21" t="s">
        <v>479</v>
      </c>
    </row>
    <row r="9" spans="1:17" ht="30" customHeight="1" x14ac:dyDescent="0.2">
      <c r="B9" s="21" t="s">
        <v>32</v>
      </c>
      <c r="C9" s="21" t="s">
        <v>68</v>
      </c>
      <c r="G9" s="22" t="s">
        <v>45</v>
      </c>
      <c r="I9" s="21" t="s">
        <v>50</v>
      </c>
      <c r="J9" s="21">
        <v>40</v>
      </c>
      <c r="N9" s="21" t="s">
        <v>470</v>
      </c>
      <c r="P9" s="21" t="s">
        <v>480</v>
      </c>
    </row>
    <row r="10" spans="1:17" ht="30" customHeight="1" x14ac:dyDescent="0.2">
      <c r="B10" s="21" t="s">
        <v>39</v>
      </c>
      <c r="C10" s="21" t="s">
        <v>69</v>
      </c>
      <c r="G10" s="22"/>
      <c r="I10" s="21" t="s">
        <v>51</v>
      </c>
      <c r="J10" s="21">
        <v>40</v>
      </c>
      <c r="P10" s="21" t="s">
        <v>481</v>
      </c>
    </row>
    <row r="11" spans="1:17" ht="30" customHeight="1" x14ac:dyDescent="0.2">
      <c r="B11" s="21" t="s">
        <v>40</v>
      </c>
      <c r="C11" s="21" t="s">
        <v>70</v>
      </c>
      <c r="G11" s="22"/>
      <c r="I11" s="21" t="s">
        <v>52</v>
      </c>
      <c r="J11" s="21">
        <v>30</v>
      </c>
    </row>
    <row r="12" spans="1:17" ht="30" customHeight="1" x14ac:dyDescent="0.2">
      <c r="G12" s="22"/>
    </row>
    <row r="13" spans="1:17" ht="30" customHeight="1" x14ac:dyDescent="0.2">
      <c r="G13" s="22"/>
    </row>
    <row r="14" spans="1:17" ht="30" customHeight="1" x14ac:dyDescent="0.2">
      <c r="G14" s="22"/>
    </row>
    <row r="15" spans="1:17" ht="30" customHeight="1" x14ac:dyDescent="0.2">
      <c r="G15" s="22"/>
    </row>
    <row r="16" spans="1:17" ht="30" customHeight="1" x14ac:dyDescent="0.2">
      <c r="G16" s="22"/>
    </row>
    <row r="17" spans="7:7" ht="30" customHeight="1" x14ac:dyDescent="0.2">
      <c r="G17" s="22"/>
    </row>
    <row r="18" spans="7:7" ht="30" customHeight="1" x14ac:dyDescent="0.2">
      <c r="G18" s="22"/>
    </row>
    <row r="19" spans="7:7" ht="30" customHeight="1" x14ac:dyDescent="0.2">
      <c r="G19" s="22"/>
    </row>
    <row r="20" spans="7:7" ht="30" customHeight="1" x14ac:dyDescent="0.2">
      <c r="G20" s="22"/>
    </row>
    <row r="21" spans="7:7" ht="30" customHeight="1" x14ac:dyDescent="0.2">
      <c r="G21" s="22"/>
    </row>
    <row r="22" spans="7:7" ht="30" customHeight="1" x14ac:dyDescent="0.2">
      <c r="G22" s="22"/>
    </row>
    <row r="23" spans="7:7" ht="30" customHeight="1" x14ac:dyDescent="0.2">
      <c r="G23" s="22"/>
    </row>
    <row r="24" spans="7:7" ht="30" customHeight="1" x14ac:dyDescent="0.2">
      <c r="G24" s="22"/>
    </row>
  </sheetData>
  <sheetProtection selectLockedCells="1"/>
  <mergeCells count="7">
    <mergeCell ref="O2:P2"/>
    <mergeCell ref="A2:C2"/>
    <mergeCell ref="F2:G2"/>
    <mergeCell ref="D2:E2"/>
    <mergeCell ref="H2:J2"/>
    <mergeCell ref="K2:L2"/>
    <mergeCell ref="M2:N2"/>
  </mergeCells>
  <phoneticPr fontId="5"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2.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3.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67B1C36-39B2-4DB4-96A4-CA08510B0B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Dashboard</vt:lpstr>
      <vt:lpstr>Campaign Management</vt:lpstr>
      <vt:lpstr>Sheet3</vt:lpstr>
      <vt:lpstr>Helper Sheet</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2024-09-20T12:19:25Z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