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yash_jain_vesu\Future_Vision\books\advance_excel\NEW-FILES-PROJECTS\100+ Premium Excel Templates\Real Estate\"/>
    </mc:Choice>
  </mc:AlternateContent>
  <xr:revisionPtr revIDLastSave="0" documentId="13_ncr:1_{2939B8DE-CE52-431F-8BA1-4688F2BDC74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troduction" sheetId="5" r:id="rId1"/>
    <sheet name="Property Valuation" sheetId="12" r:id="rId2"/>
  </sheets>
  <definedNames>
    <definedName name="_aaa1" hidden="1">{#N/A,#N/A,FALSE,"Antony Financials";#N/A,#N/A,FALSE,"Cowboy Financials";#N/A,#N/A,FALSE,"Combined";#N/A,#N/A,FALSE,"Valuematrix";#N/A,#N/A,FALSE,"DCFAntony";#N/A,#N/A,FALSE,"DCFCowboy";#N/A,#N/A,FALSE,"DCFCombined"}</definedName>
    <definedName name="_GSRATES_1" hidden="1">"H2002123120021231CADUSD1000001"</definedName>
    <definedName name="_GSRATES_10" hidden="1">"CF3000012002093020020101"</definedName>
    <definedName name="_GSRATES_11" hidden="1">"CF300001Invalid 20030930"</definedName>
    <definedName name="_GSRATES_12" hidden="1">"CT30000120030930        "</definedName>
    <definedName name="_GSRATES_13" hidden="1">"CT30000120030930        "</definedName>
    <definedName name="_GSRATES_2" hidden="1">"CT30000120030630        "</definedName>
    <definedName name="_GSRATES_3" hidden="1">"CF3000012003063020030101"</definedName>
    <definedName name="_GSRATES_4" hidden="1">"CT3000012003063020030101"</definedName>
    <definedName name="_GSRATES_5" hidden="1">"CF3000012002123120020101"</definedName>
    <definedName name="_GSRATES_6" hidden="1">"CF3000012002063020020101"</definedName>
    <definedName name="_GSRATES_7" hidden="1">"CF3000012003063020030101"</definedName>
    <definedName name="_GSRATES_8" hidden="1">"CF3000012003093020030101"</definedName>
    <definedName name="_GSRATES_9" hidden="1">"CF3000012002123120020101"</definedName>
    <definedName name="_GSRATES_COUNT" hidden="1">7</definedName>
    <definedName name="_GSRATES_COUNT1" hidden="1">13</definedName>
    <definedName name="_GSRATESR_1" hidden="1">#REF!</definedName>
    <definedName name="_GSRATESR_10" hidden="1">#REF!</definedName>
    <definedName name="_GSRATESR_11" hidden="1">#REF!</definedName>
    <definedName name="_GSRATESR_12" hidden="1">#REF!</definedName>
    <definedName name="_GSRATESR_13" hidden="1">#REF!</definedName>
    <definedName name="_GSRATESR_3" hidden="1">#REF!</definedName>
    <definedName name="_GSRATESR_4" hidden="1">#REF!</definedName>
    <definedName name="_GSRATESR_5" hidden="1">#REF!</definedName>
    <definedName name="_GSRATESR_6" hidden="1">#REF!</definedName>
    <definedName name="_GSRATESR_7" hidden="1">#REF!</definedName>
    <definedName name="_GSRATESR_8" hidden="1">#REF!</definedName>
    <definedName name="_GSRATESR_9" hidden="1">#REF!</definedName>
    <definedName name="a" hidden="1">{#N/A,#N/A,TRUE,"10 yr forecast - Balance Sheet";#N/A,#N/A,TRUE,"10 yr forecast - SCFP";#N/A,#N/A,TRUE,"10 yr forecast - P&amp;L&lt;linked&gt; ";#N/A,#N/A,TRUE,"Product Sales Royalty Breakdown";#N/A,#N/A,TRUE,"Collaborative Revenue Breakdown";#N/A,#N/A,TRUE,"Commercial Ops Breakdown";#N/A,#N/A,TRUE,"R&amp;D Breakdown";#N/A,#N/A,TRUE,"SG&amp;A Breakdown";#N/A,#N/A,TRUE,"FTE Summary"}</definedName>
    <definedName name="AAA_DOCTOPS" hidden="1">"AAA_SET"</definedName>
    <definedName name="AAA_duser" hidden="1">"OFF"</definedName>
    <definedName name="AAA_u999998" hidden="1">"nlfoote@970721231427"</definedName>
    <definedName name="AAA_u999999" hidden="1">"nlfoote@970721231348"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df" hidden="1">{#N/A,#N/A,FALSE,"CreditStat";#N/A,#N/A,FALSE,"SPbrkup";#N/A,#N/A,FALSE,"MerSPsyn";#N/A,#N/A,FALSE,"MerSPwKCsyn";#N/A,#N/A,FALSE,"MerSPwKCsyn (2)";#N/A,#N/A,FALSE,"CreditStat (2)"}</definedName>
    <definedName name="adfdaf" hidden="1">{"standalone1",#N/A,FALSE,"DCFBase";"standalone2",#N/A,FALSE,"DCFBase"}</definedName>
    <definedName name="asdf" hidden="1">{"mgmt forecast",#N/A,FALSE,"Mgmt Forecast";"dcf table",#N/A,FALSE,"Mgmt Forecast";"sensitivity",#N/A,FALSE,"Mgmt Forecast";"table inputs",#N/A,FALSE,"Mgmt Forecast";"calculations",#N/A,FALSE,"Mgmt Forecast"}</definedName>
    <definedName name="asdfa" hidden="1">{#N/A,#N/A,FALSE,"Antony Financials";#N/A,#N/A,FALSE,"Cowboy Financials";#N/A,#N/A,FALSE,"Combined";#N/A,#N/A,FALSE,"Valuematrix";#N/A,#N/A,FALSE,"DCFAntony";#N/A,#N/A,FALSE,"DCFCowboy";#N/A,#N/A,FALSE,"DCFCombined"}</definedName>
    <definedName name="asdfaa" hidden="1">{#N/A,#N/A,FALSE,"Antony Financials";#N/A,#N/A,FALSE,"Cowboy Financials";#N/A,#N/A,FALSE,"Combined";#N/A,#N/A,FALSE,"Valuematrix";#N/A,#N/A,FALSE,"DCFAntony";#N/A,#N/A,FALSE,"DCFCowboy";#N/A,#N/A,FALSE,"DCFCombined"}</definedName>
    <definedName name="asdfasdf" hidden="1">{#N/A,#N/A,FALSE,"CreditStat";#N/A,#N/A,FALSE,"SPbrkup";#N/A,#N/A,FALSE,"MerSPsyn";#N/A,#N/A,FALSE,"MerSPwKCsyn";#N/A,#N/A,FALSE,"MerSPwKCsyn (2)";#N/A,#N/A,FALSE,"CreditStat (2)"}</definedName>
    <definedName name="asdff" hidden="1">{"standalone1",#N/A,FALSE,"DCFBase";"standalone2",#N/A,FALSE,"DCFBase"}</definedName>
    <definedName name="asdfsad" hidden="1">{#N/A,#N/A,FALSE,"Antony Financials";#N/A,#N/A,FALSE,"Cowboy Financials";#N/A,#N/A,FALSE,"Combined";#N/A,#N/A,FALSE,"Valuematrix";#N/A,#N/A,FALSE,"DCFAntony";#N/A,#N/A,FALSE,"DCFCowboy";#N/A,#N/A,FALSE,"DCFCombined"}</definedName>
    <definedName name="b" hidden="1">{#N/A,#N/A,FALSE,"Antony Financials";#N/A,#N/A,FALSE,"Cowboy Financials";#N/A,#N/A,FALSE,"Combined";#N/A,#N/A,FALSE,"Valuematrix";#N/A,#N/A,FALSE,"DCFAntony";#N/A,#N/A,FALSE,"DCFCowboy";#N/A,#N/A,FALSE,"DCFCombined"}</definedName>
    <definedName name="d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da" hidden="1">{#N/A,#N/A,FALSE,"A&amp;E";#N/A,#N/A,FALSE,"HighTop";#N/A,#N/A,FALSE,"JG";#N/A,#N/A,FALSE,"RI";#N/A,#N/A,FALSE,"woHT";#N/A,#N/A,FALSE,"woHT&amp;JG"}</definedName>
    <definedName name="df" hidden="1">{"'Summary P&amp;L'!$A$1:$M$70","'Summary P&amp;L'!$A$1:$M$70"}</definedName>
    <definedName name="EPMWorkbookOptions_2" hidden="1">"m3FeIocTK7T00g7i155YYzII5xVFTgxBon8IEeL4xiLwgoT687neHX/pG70aRh7dJEB5hTBgSYS4S/wFRhkORAJNCFEijYCzdDW/7jaFj3jStoSLzX9El/54gL4Q7XVoWsi6rEQQeHqMNCnOXt8qRzrJhTnpdjyrYajjmak1fQXrR1cKuC|QKz4CEUZkvQ9clhikMR9lTf/Gcw/A9n9YZnYMuZTheC416kRG507skkOuBwSO7Rg8|xYzXFd2HOH"</definedName>
    <definedName name="EPMWorkbookOptions_3" hidden="1">"jHlyP|GtOQbRSQ7d9K9FzlywTlRW3iBgT/mkPU84ZhmIOeo0tZztdyxIzzUV2WFbWmbCTIuhdRrEldoHVZl|KLzOxh4KGnPvUDoOyprpQr5QmMJsVyxdWKWmnyqVgrAxRlBCXNHVW16khdtpyOykjcQSGzweMDHNwuzEZ8nsqApUWZCeCQOH6DptuExDuRD2Gr2XNaCr9sdDrDxGHz4bsT9UL2FgaK6Hj6tIYW|OR4QbB3KSzlI2yNo9dvcL5YX"</definedName>
    <definedName name="EPMWorkbookOptions_4" hidden="1">"Xq937qUh8ANDfwzvX5pOEZrf7XKslaT5fxiVU5PrBGDaanK8aemHLtOD86JWpLPnKQ4UZVq7czJtk5K1eqZk|2xo6jHzsn7WfeMhtP8alo/9l76VLVc1jQt/9JXOr2lb0Uil|hyg2Y4Z31mlrmHPq2|YwwsPgMY|0u0UlXkWq2aX6Lq6Ul0g8dYpR3j2EV6MCqM1vWxc/F|BqztmFbja3PYMfms2DZ7f/NMVamo6h88VGmnN2y32Uzvh3rmcAdw"</definedName>
    <definedName name="EPMWorkbookOptions_5" hidden="1">"FnJWmXsI2Wl3m2/4|qp8euJdMpgWbElWNNE8/v3RgRmxm/0zIylG/hsc/Ux2cEY6Z0bWjMifRMd0GkfPyftZ7wa99lv|XVM5vfVuyeDOBi0ynkWaVeYeIu02G/bAatpvKNTq6Ql1xWL8|NtvWm3zqn307wMOqNIcoFQ12SBdyjoHkbKu4Dzb7jmRTePu2RLdggmFcGoSMwCSnABI2yKY4QGiy5wmsdEDrM4bbJsj7OoMDZcmi1hcoXcdafzCTW6"</definedName>
    <definedName name="EPMWorkbookOptions_6" hidden="1">"a3g6/IYrRyIMu0Pt1hh37xw/rtMmZnfr/tQEq6O4jAAA="</definedName>
    <definedName name="EPMWorkbookOptions_7" hidden="1">"VkElWzGe4dbysDmw3e4bw0nqBxi31scdUfvlZHPVuLY3NJBpjCzYg+hpH+Go/fu3fdjNPrXaf+7pIr7iNgAA"</definedName>
    <definedName name="f" hidden="1">{"mgmt forecast",#N/A,FALSE,"Mgmt Forecast";"dcf table",#N/A,FALSE,"Mgmt Forecast";"sensitivity",#N/A,FALSE,"Mgmt Forecast";"table inputs",#N/A,FALSE,"Mgmt Forecast";"calculations",#N/A,FALSE,"Mgmt Forecast"}</definedName>
    <definedName name="fafate" hidden="1">{"mgmt forecast",#N/A,FALSE,"Mgmt Forecast";"dcf table",#N/A,FALSE,"Mgmt Forecast";"sensitivity",#N/A,FALSE,"Mgmt Forecast";"table inputs",#N/A,FALSE,"Mgmt Forecast";"calculations",#N/A,FALSE,"Mgmt Forecast"}</definedName>
    <definedName name="fff" hidden="1">{"standalone1",#N/A,FALSE,"DCFBase";"standalone2",#N/A,FALSE,"DCFBase"}</definedName>
    <definedName name="g" hidden="1">{#N/A,#N/A,FALSE,"Antony Financials";#N/A,#N/A,FALSE,"Cowboy Financials";#N/A,#N/A,FALSE,"Combined";#N/A,#N/A,FALSE,"Valuematrix";#N/A,#N/A,FALSE,"DCFAntony";#N/A,#N/A,FALSE,"DCFCowboy";#N/A,#N/A,FALSE,"DCFCombined"}</definedName>
    <definedName name="h" hidden="1">{#N/A,#N/A,FALSE,"CreditStat";#N/A,#N/A,FALSE,"SPbrkup";#N/A,#N/A,FALSE,"MerSPsyn";#N/A,#N/A,FALSE,"MerSPwKCsyn";#N/A,#N/A,FALSE,"MerSPwKCsyn (2)";#N/A,#N/A,FALSE,"CreditStat (2)"}</definedName>
    <definedName name="HTML_CodePage" hidden="1">1252</definedName>
    <definedName name="HTML_Control" hidden="1">{"'Summary P&amp;L'!$A$1:$M$70","'Summary P&amp;L'!$A$1:$M$70"}</definedName>
    <definedName name="HTML_Description" hidden="1">""</definedName>
    <definedName name="HTML_Email" hidden="1">""</definedName>
    <definedName name="HTML_Header" hidden="1">"Summary P&amp;L"</definedName>
    <definedName name="HTML_LastUpdate" hidden="1">"9/03/01"</definedName>
    <definedName name="HTML_LineAfter" hidden="1">FALSE</definedName>
    <definedName name="HTML_LineBefore" hidden="1">FALSE</definedName>
    <definedName name="HTML_Name" hidden="1">"Hans Verheul"</definedName>
    <definedName name="HTML_OBDlg2" hidden="1">TRUE</definedName>
    <definedName name="HTML_OBDlg4" hidden="1">TRUE</definedName>
    <definedName name="HTML_OS" hidden="1">0</definedName>
    <definedName name="HTML_PathFile" hidden="1">"G:\Finlog\html\FINANCE.htm"</definedName>
    <definedName name="HTML_Title" hidden="1">"INCOME STATEMENT FEBRUARY 2001"</definedName>
    <definedName name="iui" hidden="1">{#N/A,#N/A,FALSE,"A&amp;E";#N/A,#N/A,FALSE,"HighTop";#N/A,#N/A,FALSE,"JG";#N/A,#N/A,FALSE,"RI";#N/A,#N/A,FALSE,"woHT";#N/A,#N/A,FALSE,"woHT&amp;JG"}</definedName>
    <definedName name="j" hidden="1">{"standalone1",#N/A,FALSE,"DCFBase";"standalone2",#N/A,FALSE,"DCFBase"}</definedName>
    <definedName name="k" hidden="1">{#N/A,#N/A,FALSE,"Antony Financials";#N/A,#N/A,FALSE,"Cowboy Financials";#N/A,#N/A,FALSE,"Combined";#N/A,#N/A,FALSE,"Valuematrix";#N/A,#N/A,FALSE,"DCFAntony";#N/A,#N/A,FALSE,"DCFCowboy";#N/A,#N/A,FALSE,"DCFCombined"}</definedName>
    <definedName name="kyd.Dim.01." hidden="1">"currency"</definedName>
    <definedName name="kyd.Dim.02." hidden="1">"currency"</definedName>
    <definedName name="kyd.ElementType.01." hidden="1">3</definedName>
    <definedName name="kyd.ElementType.02." hidden="1">3</definedName>
    <definedName name="kyd.MemoSortHide." hidden="1">FALSE</definedName>
    <definedName name="kyd.NumLevels.01." hidden="1">999</definedName>
    <definedName name="kyd.NumLevels.02." hidden="1">999</definedName>
    <definedName name="kyd.ParentName.01." hidden="1">"AUD"</definedName>
    <definedName name="kyd.ParentName.02." hidden="1">"AUD"</definedName>
    <definedName name="kyd.PreScreenData." hidden="1">FALSE</definedName>
    <definedName name="kyd.PrintMemo." hidden="1">FALSE</definedName>
    <definedName name="kyd.PrintParent.01." hidden="1">TRUE</definedName>
    <definedName name="kyd.PrintParent.02." hidden="1">TRUE</definedName>
    <definedName name="kyd.PrintStdWhen." hidden="1">3</definedName>
    <definedName name="kyd.SaveAsFile." hidden="1">FALSE</definedName>
    <definedName name="kyd.SaveMemo." hidden="1">FALSE</definedName>
    <definedName name="kyd.SelectString.01." hidden="1">"*"</definedName>
    <definedName name="kyd.SelectString.02." hidden="1">"*"</definedName>
    <definedName name="kyd.StdSortHide." hidden="1">FALSE</definedName>
    <definedName name="kyd.StopRow." hidden="1">16384</definedName>
    <definedName name="kyd.WriteMemWhenOptn." hidden="1">3</definedName>
    <definedName name="l" hidden="1">{"mgmt forecast",#N/A,FALSE,"Mgmt Forecast";"dcf table",#N/A,FALSE,"Mgmt Forecast";"sensitivity",#N/A,FALSE,"Mgmt Forecast";"table inputs",#N/A,FALSE,"Mgmt Forecast";"calculations",#N/A,FALSE,"Mgmt Forecast"}</definedName>
    <definedName name="m" hidden="1">{"standalone1",#N/A,FALSE,"DCFBase";"standalone2",#N/A,FALSE,"DCFBase"}</definedName>
    <definedName name="MR" hidden="1">{#N/A,#N/A,FALSE,"sales ytd";#N/A,#N/A,FALSE,"investments";#N/A,#N/A,FALSE,"bus. synergies 1997";#N/A,#N/A,FALSE,"synergies outlook"}</definedName>
    <definedName name="n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q" hidden="1">{#N/A,#N/A,FALSE,"Antony Financials";#N/A,#N/A,FALSE,"Cowboy Financials";#N/A,#N/A,FALSE,"Combined";#N/A,#N/A,FALSE,"Valuematrix";#N/A,#N/A,FALSE,"DCFAntony";#N/A,#N/A,FALSE,"DCFCowboy";#N/A,#N/A,FALSE,"DCFCombined"}</definedName>
    <definedName name="rr" hidden="1">{#N/A,#N/A,FALSE,"Antony Financials";#N/A,#N/A,FALSE,"Cowboy Financials";#N/A,#N/A,FALSE,"Combined";#N/A,#N/A,FALSE,"Valuematrix";#N/A,#N/A,FALSE,"DCFAntony";#N/A,#N/A,FALSE,"DCFCowboy";#N/A,#N/A,FALSE,"DCFCombined"}</definedName>
    <definedName name="SAPBEXhrIndnt" hidden="1">"Wide"</definedName>
    <definedName name="SAPsysID" hidden="1">"708C5W7SBKP804JT78WJ0JNKI"</definedName>
    <definedName name="SAPwbID" hidden="1">"ARS"</definedName>
    <definedName name="sd" hidden="1">{#N/A,#N/A,TRUE,"10 yr forecast - Balance Sheet";#N/A,#N/A,TRUE,"10 yr forecast - SCFP";#N/A,#N/A,TRUE,"10 yr forecast - P&amp;L&lt;linked&gt; ";#N/A,#N/A,TRUE,"Product Sales Royalty Breakdown";#N/A,#N/A,TRUE,"Collaborative Revenue Breakdown";#N/A,#N/A,TRUE,"Commercial Ops Breakdown";#N/A,#N/A,TRUE,"R&amp;D Breakdown";#N/A,#N/A,TRUE,"SG&amp;A Breakdown";#N/A,#N/A,TRUE,"FTE Summary"}</definedName>
    <definedName name="sdfasefr" hidden="1">{#N/A,#N/A,FALSE,"Antony Financials";#N/A,#N/A,FALSE,"Cowboy Financials";#N/A,#N/A,FALSE,"Combined";#N/A,#N/A,FALSE,"Valuematrix";#N/A,#N/A,FALSE,"DCFAntony";#N/A,#N/A,FALSE,"DCFCowboy";#N/A,#N/A,FALSE,"DCFCombined"}</definedName>
    <definedName name="t" hidden="1">{#N/A,#N/A,FALSE,"A&amp;E";#N/A,#N/A,FALSE,"HighTop";#N/A,#N/A,FALSE,"JG";#N/A,#N/A,FALSE,"RI";#N/A,#N/A,FALSE,"woHT";#N/A,#N/A,FALSE,"woHT&amp;JG"}</definedName>
    <definedName name="ttt" hidden="1">{#N/A,#N/A,FALSE,"CreditStat";#N/A,#N/A,FALSE,"SPbrkup";#N/A,#N/A,FALSE,"MerSPsyn";#N/A,#N/A,FALSE,"MerSPwKCsyn";#N/A,#N/A,FALSE,"MerSPwKCsyn (2)";#N/A,#N/A,FALSE,"CreditStat (2)"}</definedName>
    <definedName name="v" hidden="1">{"standalone1",#N/A,FALSE,"DCFBase";"standalone2",#N/A,FALSE,"DCFBase"}</definedName>
    <definedName name="vv" hidden="1">{#N/A,#N/A,FALSE,"CreditStat";#N/A,#N/A,FALSE,"SPbrkup";#N/A,#N/A,FALSE,"MerSPsyn";#N/A,#N/A,FALSE,"MerSPwKCsyn";#N/A,#N/A,FALSE,"MerSPwKCsyn (2)";#N/A,#N/A,FALSE,"CreditStat (2)"}</definedName>
    <definedName name="vvv" hidden="1">{#N/A,#N/A,FALSE,"Antony Financials";#N/A,#N/A,FALSE,"Cowboy Financials";#N/A,#N/A,FALSE,"Combined";#N/A,#N/A,FALSE,"Valuematrix";#N/A,#N/A,FALSE,"DCFAntony";#N/A,#N/A,FALSE,"DCFCowboy";#N/A,#N/A,FALSE,"DCFCombined"}</definedName>
    <definedName name="w" hidden="1">{#N/A,#N/A,FALSE,"CreditStat";#N/A,#N/A,FALSE,"SPbrkup";#N/A,#N/A,FALSE,"MerSPsyn";#N/A,#N/A,FALSE,"MerSPwKCsyn";#N/A,#N/A,FALSE,"MerSPwKCsyn (2)";#N/A,#N/A,FALSE,"CreditStat (2)"}</definedName>
    <definedName name="wrn.dcf." hidden="1">{"mgmt forecast",#N/A,FALSE,"Mgmt Forecast";"dcf table",#N/A,FALSE,"Mgmt Forecast";"sensitivity",#N/A,FALSE,"Mgmt Forecast";"table inputs",#N/A,FALSE,"Mgmt Forecast";"calculations",#N/A,FALSE,"Mgmt Forecast"}</definedName>
    <definedName name="wrn.Everything.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print._.standalone." hidden="1">{"standalone1",#N/A,FALSE,"DCFBase";"standalone2",#N/A,FALSE,"DCFBase"}</definedName>
    <definedName name="wrn.SKSCS1." hidden="1">{#N/A,#N/A,FALSE,"Antony Financials";#N/A,#N/A,FALSE,"Cowboy Financials";#N/A,#N/A,FALSE,"Combined";#N/A,#N/A,FALSE,"Valuematrix";#N/A,#N/A,FALSE,"DCFAntony";#N/A,#N/A,FALSE,"DCFCowboy";#N/A,#N/A,FALSE,"DCFCombined"}</definedName>
    <definedName name="wrn.SummaryPgs." hidden="1">{#N/A,#N/A,FALSE,"CreditStat";#N/A,#N/A,FALSE,"SPbrkup";#N/A,#N/A,FALSE,"MerSPsyn";#N/A,#N/A,FALSE,"MerSPwKCsyn";#N/A,#N/A,FALSE,"MerSPwKCsyn (2)";#N/A,#N/A,FALSE,"CreditStat (2)"}</definedName>
    <definedName name="wrn.Top._.Level._.Summaries." hidden="1">{#N/A,#N/A,TRUE,"10 yr forecast - Balance Sheet";#N/A,#N/A,TRUE,"10 yr forecast - SCFP";#N/A,#N/A,TRUE,"10 yr forecast - P&amp;L&lt;linked&gt; ";#N/A,#N/A,TRUE,"Product Sales Royalty Breakdown";#N/A,#N/A,TRUE,"Collaborative Revenue Breakdown";#N/A,#N/A,TRUE,"Commercial Ops Breakdown";#N/A,#N/A,TRUE,"R&amp;D Breakdown";#N/A,#N/A,TRUE,"SG&amp;A Breakdown";#N/A,#N/A,TRUE,"FTE Summary"}</definedName>
    <definedName name="wrn.Tweety." hidden="1">{#N/A,#N/A,FALSE,"A&amp;E";#N/A,#N/A,FALSE,"HighTop";#N/A,#N/A,FALSE,"JG";#N/A,#N/A,FALSE,"RI";#N/A,#N/A,FALSE,"woHT";#N/A,#N/A,FALSE,"woHT&amp;JG"}</definedName>
    <definedName name="wrn.vortrag." hidden="1">{#N/A,#N/A,FALSE,"sales ytd";#N/A,#N/A,FALSE,"investments";#N/A,#N/A,FALSE,"bus. synergies 1997";#N/A,#N/A,FALSE,"synergies outlook"}</definedName>
    <definedName name="zzz" hidden="1">{#N/A,#N/A,TRUE,"10 yr forecast - Balance Sheet";#N/A,#N/A,TRUE,"10 yr forecast - SCFP";#N/A,#N/A,TRUE,"10 yr forecast - P&amp;L&lt;linked&gt; ";#N/A,#N/A,TRUE,"Product Sales Royalty Breakdown";#N/A,#N/A,TRUE,"Collaborative Revenue Breakdown";#N/A,#N/A,TRUE,"Commercial Ops Breakdown";#N/A,#N/A,TRUE,"R&amp;D Breakdown";#N/A,#N/A,TRUE,"SG&amp;A Breakdown";#N/A,#N/A,TRUE,"FTE Summary"}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8" i="12" l="1"/>
  <c r="L13" i="12" l="1"/>
  <c r="H21" i="12"/>
  <c r="H20" i="12"/>
  <c r="H19" i="12"/>
  <c r="H7" i="12"/>
  <c r="H8" i="12" s="1"/>
  <c r="L6" i="12" s="1"/>
  <c r="D7" i="12"/>
  <c r="D8" i="12"/>
  <c r="D6" i="12"/>
  <c r="D11" i="12" l="1"/>
  <c r="B17" i="12" s="1"/>
  <c r="H24" i="12"/>
  <c r="L7" i="12" s="1"/>
  <c r="D14" i="12" l="1"/>
  <c r="L20" i="12" l="1"/>
  <c r="L24" i="12" s="1"/>
  <c r="L19" i="12"/>
  <c r="D21" i="12"/>
  <c r="L5" i="12" s="1"/>
  <c r="L8" i="12" s="1"/>
  <c r="L23" i="12" s="1"/>
  <c r="L21" i="12" l="1"/>
  <c r="L25" i="12"/>
  <c r="L27" i="12" s="1"/>
  <c r="L29" i="12" s="1"/>
  <c r="L12" i="12"/>
  <c r="L14" i="12" s="1"/>
</calcChain>
</file>

<file path=xl/sharedStrings.xml><?xml version="1.0" encoding="utf-8"?>
<sst xmlns="http://schemas.openxmlformats.org/spreadsheetml/2006/main" count="91" uniqueCount="84">
  <si>
    <t>Navigation</t>
  </si>
  <si>
    <t>Title</t>
  </si>
  <si>
    <t>Content</t>
  </si>
  <si>
    <t>Customization difficulty (1-3)</t>
  </si>
  <si>
    <t>Explanation of sheets</t>
  </si>
  <si>
    <t>How to customize</t>
  </si>
  <si>
    <t>1)</t>
  </si>
  <si>
    <t>2)</t>
  </si>
  <si>
    <t>3)</t>
  </si>
  <si>
    <t>Property Valuation</t>
  </si>
  <si>
    <t>1-Investment</t>
  </si>
  <si>
    <t>3-Monthly Revenue</t>
  </si>
  <si>
    <t>4-Monthly Expenses</t>
  </si>
  <si>
    <t>5-Monthly Cash Flow</t>
  </si>
  <si>
    <t>Purchase Price Property</t>
  </si>
  <si>
    <t>Taxes and Fees</t>
  </si>
  <si>
    <t>Closing Costs (lawyer, appraisal, etc.)</t>
  </si>
  <si>
    <t>Realtor Fee</t>
  </si>
  <si>
    <t>Rehab Costs (repairs, etc.)</t>
  </si>
  <si>
    <t>Other</t>
  </si>
  <si>
    <t>Total Investment</t>
  </si>
  <si>
    <t>Own Equity</t>
  </si>
  <si>
    <t>Resulting Financing Requirement</t>
  </si>
  <si>
    <t>Annual Interest Rate</t>
  </si>
  <si>
    <t>Term of Loan in Years</t>
  </si>
  <si>
    <t>Resulting Monthly Loan Payment</t>
  </si>
  <si>
    <t>Rental Income per month</t>
  </si>
  <si>
    <t>Other income (parking, laundry, etc.)</t>
  </si>
  <si>
    <t>less reserve for vacancy (on rental income)</t>
  </si>
  <si>
    <t>Total Revenue</t>
  </si>
  <si>
    <t>Maintenance &amp; Repairs (on rental income)</t>
  </si>
  <si>
    <t>Property Management (on rental income)</t>
  </si>
  <si>
    <t>Real Estate Taxes (on property value)</t>
  </si>
  <si>
    <t>Insurance</t>
  </si>
  <si>
    <t>Other expenses</t>
  </si>
  <si>
    <t>Total Expenses</t>
  </si>
  <si>
    <t>Monthly Debt Service</t>
  </si>
  <si>
    <t>Monthly Revenue</t>
  </si>
  <si>
    <t>Monthly Expenses</t>
  </si>
  <si>
    <t>Monthly Cash Flow</t>
  </si>
  <si>
    <t>Yearly Cash Flow</t>
  </si>
  <si>
    <t>Invested Equity</t>
  </si>
  <si>
    <t>CoC Return</t>
  </si>
  <si>
    <t>--Cash on Cash Return (full mortgage)--</t>
  </si>
  <si>
    <t>Monthly Interest Payment</t>
  </si>
  <si>
    <t>Monthly Principal payment</t>
  </si>
  <si>
    <t>Monthly Cash Flow (full mortgage)</t>
  </si>
  <si>
    <t>plus monthly principal pay down</t>
  </si>
  <si>
    <t>Monthly Cash Flow (interest only)</t>
  </si>
  <si>
    <t>RoI Return</t>
  </si>
  <si>
    <t>Definitions &amp; Guides</t>
  </si>
  <si>
    <t>Investment</t>
  </si>
  <si>
    <t>Next, we will account for taxes and fees, closing costs, and realtor fees</t>
  </si>
  <si>
    <t>Closing Costs</t>
  </si>
  <si>
    <t>The total amount of interest you pay each year represented as a percentage of the loan balance.</t>
  </si>
  <si>
    <t>Rental Property Valuation</t>
  </si>
  <si>
    <t>Cash Flow</t>
  </si>
  <si>
    <t>Cash On Cash</t>
  </si>
  <si>
    <t>ROI (Return On Investment)</t>
  </si>
  <si>
    <t>6-Return On Investment (ROI)</t>
  </si>
  <si>
    <t>Property valuation is the process in which the economic value of a real estate investment is determined, which often seeks to determine the fair market value of a real estate property.</t>
  </si>
  <si>
    <t>Enter the purchase price of the property</t>
  </si>
  <si>
    <t>Fees you pay associated with your loan.</t>
  </si>
  <si>
    <t>Fee a realtor makes for facilitating the transaction of a sale.</t>
  </si>
  <si>
    <t xml:space="preserve">The ownership of assets </t>
  </si>
  <si>
    <t>The net amount of cash and cash-equivalents being transferred into and out of a business.</t>
  </si>
  <si>
    <t>Rate of return used in real estate transactions that calculates the cash income earned on the cash invested in a property.</t>
  </si>
  <si>
    <t>Ratio between net income and investment.</t>
  </si>
  <si>
    <t xml:space="preserve">Record required basic financial data to analyize your rental property investment. Dynamic cells autocalculate to give you better insights into the economics. </t>
  </si>
  <si>
    <t>In the Property Valuation sheet, record data in yellow cells. All other cells are locked and contained formulas.</t>
  </si>
  <si>
    <t>To maximize display view, click the Full Screen button</t>
  </si>
  <si>
    <t>To clear and delete current data, click the Clear Data button</t>
  </si>
  <si>
    <t>2-Monthly Debt</t>
  </si>
  <si>
    <t>Related To Online Templates</t>
  </si>
  <si>
    <t>Our templates is compatible with online service but some templates that including macros feature is still not supported with Excel Online</t>
  </si>
  <si>
    <t>Here is some hints that replace our macros in case of using Online Template</t>
  </si>
  <si>
    <t>Referesh / Update Data</t>
  </si>
  <si>
    <r>
      <t xml:space="preserve">Some of our templates include </t>
    </r>
    <r>
      <rPr>
        <b/>
        <sz val="10"/>
        <color theme="1"/>
        <rFont val="Arial"/>
        <family val="2"/>
      </rPr>
      <t xml:space="preserve">Referesh/Update data </t>
    </r>
    <r>
      <rPr>
        <sz val="10"/>
        <color theme="1"/>
        <rFont val="Arial"/>
        <family val="2"/>
      </rPr>
      <t>macro button that can be replaced with Referesh All tool in Excel Online ribbon</t>
    </r>
  </si>
  <si>
    <t>Full Screen</t>
  </si>
  <si>
    <r>
      <t xml:space="preserve">Some of our templates have </t>
    </r>
    <r>
      <rPr>
        <b/>
        <sz val="10"/>
        <color theme="1"/>
        <rFont val="Arial"/>
        <family val="2"/>
      </rPr>
      <t xml:space="preserve">Full Screen </t>
    </r>
    <r>
      <rPr>
        <sz val="10"/>
        <color theme="1"/>
        <rFont val="Arial"/>
        <family val="2"/>
      </rPr>
      <t xml:space="preserve">macro button that can be replaced with the itself web browser full screen tool </t>
    </r>
  </si>
  <si>
    <t>Other Macros / Buttons</t>
  </si>
  <si>
    <r>
      <t xml:space="preserve">Other macros is applied on less than ~15% of our templats can be overcome by transferring to Desktop App </t>
    </r>
    <r>
      <rPr>
        <b/>
        <sz val="10"/>
        <color theme="1"/>
        <rFont val="Arial"/>
        <family val="2"/>
      </rPr>
      <t>"Open in Desktop App"</t>
    </r>
    <r>
      <rPr>
        <sz val="10"/>
        <color theme="1"/>
        <rFont val="Arial"/>
        <family val="2"/>
      </rPr>
      <t xml:space="preserve"> button</t>
    </r>
  </si>
  <si>
    <t>Open in Desktop App</t>
  </si>
  <si>
    <t>To open online template using Desktop App be sure that you signed in to your Microsoft account / Onedrive account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</si>
</sst>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* #,##0.00_);_(* \(#,##0.00\);_(* &quot;-&quot;??_);_(@_)"/>
    <numFmt numFmtId="165" formatCode="0.0%"/>
    <numFmt numFmtId="166" formatCode="_(* #,##0_);_(* \(#,##0\);_(* &quot;-&quot;??_);_(@_)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color theme="0"/>
      <name val="Arial"/>
      <family val="2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i/>
      <u/>
      <sz val="10"/>
      <color theme="1"/>
      <name val="Arial"/>
      <family val="2"/>
    </font>
    <font>
      <b/>
      <u/>
      <sz val="10"/>
      <color theme="1"/>
      <name val="Arial"/>
      <family val="2"/>
    </font>
    <font>
      <u/>
      <sz val="10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4"/>
      <color theme="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 val="singleAccounting"/>
      <sz val="10"/>
      <name val="Arial"/>
      <family val="2"/>
    </font>
    <font>
      <b/>
      <u/>
      <sz val="11"/>
      <color theme="1"/>
      <name val="Arial"/>
      <family val="2"/>
    </font>
    <font>
      <sz val="10"/>
      <color theme="1" tint="0.34998626667073579"/>
      <name val="Arial"/>
      <family val="2"/>
    </font>
    <font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50B47F"/>
        <bgColor indexed="64"/>
      </patternFill>
    </fill>
    <fill>
      <patternFill patternType="solid">
        <fgColor rgb="FF8FCFAD"/>
        <bgColor indexed="64"/>
      </patternFill>
    </fill>
    <fill>
      <patternFill patternType="solid">
        <fgColor theme="0" tint="-0.34998626667073579"/>
        <bgColor indexed="64"/>
      </patternFill>
    </fill>
    <fill>
      <gradientFill degree="90">
        <stop position="0">
          <color rgb="FF50B47F"/>
        </stop>
        <stop position="1">
          <color rgb="FF8FCFAD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8FCFAD"/>
        <bgColor auto="1"/>
      </patternFill>
    </fill>
  </fills>
  <borders count="9">
    <border>
      <left/>
      <right/>
      <top/>
      <bottom/>
      <diagonal/>
    </border>
    <border>
      <left/>
      <right style="medium">
        <color theme="0" tint="-0.24994659260841701"/>
      </right>
      <top/>
      <bottom style="medium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medium">
        <color theme="0" tint="-0.24994659260841701"/>
      </right>
      <top/>
      <bottom/>
      <diagonal/>
    </border>
    <border>
      <left/>
      <right/>
      <top/>
      <bottom style="medium">
        <color theme="0" tint="-0.2499465926084170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 style="dashed">
        <color theme="0" tint="-0.14993743705557422"/>
      </left>
      <right style="dashed">
        <color theme="0" tint="-0.14993743705557422"/>
      </right>
      <top style="dashed">
        <color theme="0" tint="-0.14993743705557422"/>
      </top>
      <bottom style="dashed">
        <color theme="0" tint="-0.14993743705557422"/>
      </bottom>
      <diagonal/>
    </border>
    <border>
      <left style="dashed">
        <color theme="0" tint="-0.14993743705557422"/>
      </left>
      <right style="medium">
        <color theme="0" tint="-0.24994659260841701"/>
      </right>
      <top style="dashed">
        <color theme="0" tint="-0.14993743705557422"/>
      </top>
      <bottom style="dashed">
        <color theme="0" tint="-0.14993743705557422"/>
      </bottom>
      <diagonal/>
    </border>
    <border>
      <left style="dashed">
        <color theme="0" tint="-0.14993743705557422"/>
      </left>
      <right style="dashed">
        <color theme="0" tint="-0.14993743705557422"/>
      </right>
      <top style="medium">
        <color theme="0" tint="-0.24994659260841701"/>
      </top>
      <bottom style="dashed">
        <color theme="0" tint="-0.14993743705557422"/>
      </bottom>
      <diagonal/>
    </border>
  </borders>
  <cellStyleXfs count="11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9" fillId="0" borderId="0" applyNumberFormat="0" applyFill="0" applyBorder="0" applyAlignment="0" applyProtection="0"/>
    <xf numFmtId="0" fontId="6" fillId="0" borderId="0"/>
    <xf numFmtId="0" fontId="1" fillId="0" borderId="0"/>
    <xf numFmtId="9" fontId="1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58">
    <xf numFmtId="0" fontId="0" fillId="0" borderId="0" xfId="0"/>
    <xf numFmtId="0" fontId="6" fillId="0" borderId="0" xfId="2" applyFont="1"/>
    <xf numFmtId="0" fontId="6" fillId="2" borderId="0" xfId="2" applyFont="1" applyFill="1"/>
    <xf numFmtId="0" fontId="7" fillId="0" borderId="0" xfId="2" applyFont="1"/>
    <xf numFmtId="0" fontId="8" fillId="2" borderId="0" xfId="2" applyFont="1" applyFill="1"/>
    <xf numFmtId="0" fontId="4" fillId="2" borderId="0" xfId="2" applyFont="1" applyFill="1"/>
    <xf numFmtId="0" fontId="10" fillId="2" borderId="0" xfId="3" applyFont="1" applyFill="1"/>
    <xf numFmtId="0" fontId="5" fillId="2" borderId="0" xfId="3" applyFont="1" applyFill="1"/>
    <xf numFmtId="0" fontId="11" fillId="0" borderId="0" xfId="2" applyFont="1" applyAlignment="1">
      <alignment horizontal="right"/>
    </xf>
    <xf numFmtId="0" fontId="7" fillId="0" borderId="0" xfId="4" applyFont="1"/>
    <xf numFmtId="0" fontId="12" fillId="0" borderId="0" xfId="2" applyFont="1" applyAlignment="1">
      <alignment horizontal="right"/>
    </xf>
    <xf numFmtId="0" fontId="6" fillId="0" borderId="0" xfId="2" applyFont="1" applyAlignment="1">
      <alignment horizontal="right"/>
    </xf>
    <xf numFmtId="0" fontId="13" fillId="2" borderId="0" xfId="1" applyFont="1" applyFill="1" applyAlignment="1" applyProtection="1"/>
    <xf numFmtId="0" fontId="0" fillId="6" borderId="0" xfId="0" applyFill="1"/>
    <xf numFmtId="0" fontId="0" fillId="0" borderId="3" xfId="0" applyBorder="1"/>
    <xf numFmtId="0" fontId="0" fillId="0" borderId="4" xfId="0" applyBorder="1"/>
    <xf numFmtId="0" fontId="0" fillId="0" borderId="1" xfId="0" applyBorder="1"/>
    <xf numFmtId="0" fontId="0" fillId="6" borderId="5" xfId="0" applyFill="1" applyBorder="1"/>
    <xf numFmtId="0" fontId="18" fillId="0" borderId="4" xfId="0" applyFont="1" applyBorder="1"/>
    <xf numFmtId="0" fontId="18" fillId="0" borderId="0" xfId="0" applyFont="1"/>
    <xf numFmtId="166" fontId="0" fillId="0" borderId="3" xfId="9" applyNumberFormat="1" applyFont="1" applyBorder="1"/>
    <xf numFmtId="166" fontId="19" fillId="0" borderId="3" xfId="9" applyNumberFormat="1" applyFont="1" applyBorder="1"/>
    <xf numFmtId="0" fontId="0" fillId="0" borderId="0" xfId="9" applyNumberFormat="1" applyFont="1" applyBorder="1" applyAlignment="1">
      <alignment horizontal="left" indent="1"/>
    </xf>
    <xf numFmtId="0" fontId="0" fillId="0" borderId="0" xfId="0" applyAlignment="1">
      <alignment horizontal="left" indent="1"/>
    </xf>
    <xf numFmtId="166" fontId="0" fillId="0" borderId="3" xfId="0" applyNumberFormat="1" applyBorder="1"/>
    <xf numFmtId="166" fontId="14" fillId="0" borderId="3" xfId="9" applyNumberFormat="1" applyFont="1" applyBorder="1"/>
    <xf numFmtId="166" fontId="19" fillId="0" borderId="3" xfId="0" applyNumberFormat="1" applyFont="1" applyBorder="1"/>
    <xf numFmtId="166" fontId="20" fillId="0" borderId="3" xfId="9" applyNumberFormat="1" applyFont="1" applyBorder="1"/>
    <xf numFmtId="165" fontId="18" fillId="0" borderId="3" xfId="10" applyNumberFormat="1" applyFont="1" applyBorder="1"/>
    <xf numFmtId="0" fontId="0" fillId="8" borderId="0" xfId="0" applyFill="1" applyAlignment="1">
      <alignment horizontal="center"/>
    </xf>
    <xf numFmtId="166" fontId="0" fillId="6" borderId="2" xfId="9" applyNumberFormat="1" applyFont="1" applyFill="1" applyBorder="1"/>
    <xf numFmtId="165" fontId="0" fillId="7" borderId="6" xfId="10" applyNumberFormat="1" applyFont="1" applyFill="1" applyBorder="1" applyProtection="1">
      <protection locked="0"/>
    </xf>
    <xf numFmtId="166" fontId="0" fillId="7" borderId="7" xfId="9" applyNumberFormat="1" applyFont="1" applyFill="1" applyBorder="1" applyProtection="1">
      <protection locked="0"/>
    </xf>
    <xf numFmtId="165" fontId="0" fillId="7" borderId="7" xfId="10" applyNumberFormat="1" applyFont="1" applyFill="1" applyBorder="1" applyProtection="1">
      <protection locked="0"/>
    </xf>
    <xf numFmtId="1" fontId="0" fillId="7" borderId="7" xfId="0" applyNumberFormat="1" applyFill="1" applyBorder="1" applyProtection="1">
      <protection locked="0"/>
    </xf>
    <xf numFmtId="165" fontId="0" fillId="7" borderId="8" xfId="10" applyNumberFormat="1" applyFont="1" applyFill="1" applyBorder="1" applyProtection="1">
      <protection locked="0"/>
    </xf>
    <xf numFmtId="166" fontId="14" fillId="7" borderId="7" xfId="9" applyNumberFormat="1" applyFont="1" applyFill="1" applyBorder="1" applyProtection="1">
      <protection locked="0"/>
    </xf>
    <xf numFmtId="166" fontId="12" fillId="0" borderId="3" xfId="0" applyNumberFormat="1" applyFont="1" applyBorder="1"/>
    <xf numFmtId="166" fontId="6" fillId="0" borderId="3" xfId="0" applyNumberFormat="1" applyFont="1" applyBorder="1"/>
    <xf numFmtId="166" fontId="21" fillId="0" borderId="3" xfId="9" applyNumberFormat="1" applyFont="1" applyBorder="1"/>
    <xf numFmtId="165" fontId="18" fillId="0" borderId="1" xfId="10" applyNumberFormat="1" applyFont="1" applyBorder="1"/>
    <xf numFmtId="0" fontId="14" fillId="0" borderId="0" xfId="9" applyNumberFormat="1" applyFont="1" applyBorder="1" applyAlignment="1">
      <alignment horizontal="left" indent="1"/>
    </xf>
    <xf numFmtId="0" fontId="14" fillId="0" borderId="0" xfId="0" applyFont="1" applyAlignment="1">
      <alignment horizontal="left" indent="1"/>
    </xf>
    <xf numFmtId="0" fontId="7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4"/>
    <xf numFmtId="0" fontId="7" fillId="0" borderId="0" xfId="0" applyFont="1" applyAlignment="1">
      <alignment horizontal="right"/>
    </xf>
    <xf numFmtId="0" fontId="3" fillId="0" borderId="0" xfId="1" applyAlignment="1" applyProtection="1"/>
    <xf numFmtId="0" fontId="17" fillId="0" borderId="0" xfId="0" quotePrefix="1" applyFont="1" applyAlignment="1">
      <alignment horizontal="center"/>
    </xf>
    <xf numFmtId="0" fontId="17" fillId="0" borderId="3" xfId="0" quotePrefix="1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16" fillId="4" borderId="0" xfId="0" applyFont="1" applyFill="1" applyAlignment="1">
      <alignment horizontal="left" vertical="center"/>
    </xf>
    <xf numFmtId="0" fontId="16" fillId="4" borderId="3" xfId="0" applyFont="1" applyFill="1" applyBorder="1" applyAlignment="1">
      <alignment horizontal="left" vertical="center"/>
    </xf>
    <xf numFmtId="0" fontId="0" fillId="8" borderId="0" xfId="0" applyFill="1" applyAlignment="1">
      <alignment horizontal="center"/>
    </xf>
    <xf numFmtId="0" fontId="0" fillId="6" borderId="0" xfId="0" applyFill="1" applyAlignment="1">
      <alignment horizontal="center"/>
    </xf>
  </cellXfs>
  <cellStyles count="11">
    <cellStyle name="Comma" xfId="9" builtinId="3"/>
    <cellStyle name="Comma 2" xfId="7" xr:uid="{26B1C2BC-3C02-412D-B03D-92FB06E598CA}"/>
    <cellStyle name="Comma 5" xfId="8" xr:uid="{ED8D1D91-4748-4129-9B73-142401B0A731}"/>
    <cellStyle name="Hyperlink" xfId="1" builtinId="8"/>
    <cellStyle name="Hyperlink 2" xfId="3" xr:uid="{D0C469F9-1DFE-4E96-9222-F5C6E60C0113}"/>
    <cellStyle name="Normal" xfId="0" builtinId="0"/>
    <cellStyle name="Normal 2" xfId="2" xr:uid="{4ECE8E6A-28E9-4710-9235-23CE4B3B11A1}"/>
    <cellStyle name="Normal 2 2" xfId="4" xr:uid="{EB2EEF92-C657-401D-8170-F27A72E1E815}"/>
    <cellStyle name="Normal 6" xfId="5" xr:uid="{37E3F51B-A4EE-49F5-B523-BE6AD31D5763}"/>
    <cellStyle name="Percent" xfId="10" builtinId="5"/>
    <cellStyle name="Percent 5" xfId="6" xr:uid="{72B9A8F2-EAD8-4875-9143-5AD495C18D06}"/>
  </cellStyles>
  <dxfs count="9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border diagonalUp="0" diagonalDown="0">
        <left/>
        <right/>
        <top/>
        <bottom/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</dxfs>
  <tableStyles count="3" defaultTableStyle="TableStyleMedium2" defaultPivotStyle="PivotStyleLight16">
    <tableStyle name="Invisible" pivot="0" table="0" count="0" xr9:uid="{B104F382-8D9A-43E0-BD93-53D4DAD740F8}"/>
    <tableStyle name="Slicer Style 1" pivot="0" table="0" count="8" xr9:uid="{4BA33318-2E3C-4556-9E9A-0A74A85D490D}">
      <tableStyleElement type="wholeTable" dxfId="8"/>
    </tableStyle>
    <tableStyle name="Slicer Style 1 2" pivot="0" table="0" count="8" xr9:uid="{977CDF25-0DFB-4052-A570-C765139300DE}">
      <tableStyleElement type="wholeTable" dxfId="7"/>
    </tableStyle>
  </tableStyles>
  <colors>
    <mruColors>
      <color rgb="FF8FCFAD"/>
      <color rgb="FF50B47F"/>
      <color rgb="FFFFFFCD"/>
      <color rgb="FFFFFFC1"/>
      <color rgb="FFFFEB9C"/>
      <color rgb="FFFFDF57"/>
      <color rgb="FFFFDB43"/>
      <color rgb="FFD89794"/>
      <color rgb="FF8BCAD9"/>
      <color rgb="FFC1D498"/>
    </mruColors>
  </colors>
  <extLst>
    <ext xmlns:x14="http://schemas.microsoft.com/office/spreadsheetml/2009/9/main" uri="{46F421CA-312F-682f-3DD2-61675219B42D}">
      <x14:dxfs count="14">
        <dxf>
          <fill>
            <patternFill patternType="none">
              <bgColor auto="1"/>
            </patternFill>
          </fill>
        </dxf>
        <dxf>
          <font>
            <color theme="0"/>
          </font>
          <fill>
            <patternFill>
              <bgColor rgb="FF50B47F"/>
            </patternFill>
          </fill>
        </dxf>
        <dxf>
          <fill>
            <patternFill>
              <bgColor rgb="FF50B47F"/>
            </patternFill>
          </fill>
        </dxf>
        <dxf>
          <fill>
            <patternFill>
              <bgColor theme="0" tint="-0.24994659260841701"/>
            </patternFill>
          </fill>
        </dxf>
        <dxf>
          <fill>
            <patternFill>
              <bgColor rgb="FF8FCFAD"/>
            </patternFill>
          </fill>
        </dxf>
        <dxf>
          <fill>
            <patternFill>
              <bgColor theme="0" tint="-0.24994659260841701"/>
            </patternFill>
          </fill>
        </dxf>
        <dxf>
          <fill>
            <patternFill>
              <bgColor theme="0" tint="-0.14996795556505021"/>
            </patternFill>
          </fill>
        </dxf>
        <dxf>
          <fill>
            <patternFill patternType="none">
              <bgColor auto="1"/>
            </patternFill>
          </fill>
        </dxf>
        <dxf>
          <font>
            <color theme="0"/>
          </font>
          <fill>
            <patternFill>
              <bgColor rgb="FF50B47F"/>
            </patternFill>
          </fill>
        </dxf>
        <dxf>
          <fill>
            <patternFill>
              <bgColor rgb="FF50B47F"/>
            </patternFill>
          </fill>
        </dxf>
        <dxf>
          <fill>
            <patternFill>
              <bgColor theme="0" tint="-0.24994659260841701"/>
            </patternFill>
          </fill>
        </dxf>
        <dxf>
          <fill>
            <patternFill>
              <bgColor rgb="FF8FCFAD"/>
            </patternFill>
          </fill>
        </dxf>
        <dxf>
          <fill>
            <patternFill>
              <bgColor theme="0" tint="-0.24994659260841701"/>
            </patternFill>
          </fill>
        </dxf>
        <dxf>
          <fill>
            <patternFill>
              <bgColor theme="0" tint="-0.14996795556505021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13"/>
            <x14:slicerStyleElement type="unselectedItemWithNoData" dxfId="12"/>
            <x14:slicerStyleElement type="selectedItemWithData" dxfId="11"/>
            <x14:slicerStyleElement type="selectedItemWithNoData" dxfId="10"/>
            <x14:slicerStyleElement type="hoveredUnselectedItemWithData" dxfId="9"/>
            <x14:slicerStyleElement type="hoveredSelectedItemWithData" dxfId="8"/>
            <x14:slicerStyleElement type="hoveredSelectedItemWithNoData" dxfId="7"/>
          </x14:slicerStyleElements>
        </x14:slicerStyle>
        <x14:slicerStyle name="Slicer Style 1 2">
          <x14:slicerStyleElements>
            <x14:slicerStyleElement type="unselectedItemWithData" dxfId="6"/>
            <x14:slicerStyleElement type="unselectedItemWithNoData" dxfId="5"/>
            <x14:slicerStyleElement type="selectedItemWithData" dxfId="4"/>
            <x14:slicerStyleElement type="selectedItemWithNoData" dxfId="3"/>
            <x14:slicerStyleElement type="hoveredUnselectedItemWithData" dxfId="2"/>
            <x14:slicerStyleElement type="hoveredSelectedItemWith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47624</xdr:colOff>
      <xdr:row>37</xdr:row>
      <xdr:rowOff>19050</xdr:rowOff>
    </xdr:from>
    <xdr:to>
      <xdr:col>13</xdr:col>
      <xdr:colOff>504265</xdr:colOff>
      <xdr:row>41</xdr:row>
      <xdr:rowOff>38100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50219563-1ACF-4253-87EA-24AB7866CD97}"/>
            </a:ext>
          </a:extLst>
        </xdr:cNvPr>
        <xdr:cNvGrpSpPr/>
      </xdr:nvGrpSpPr>
      <xdr:grpSpPr>
        <a:xfrm>
          <a:off x="4653242" y="6193491"/>
          <a:ext cx="6507817" cy="646580"/>
          <a:chOff x="4257674" y="8324850"/>
          <a:chExt cx="7353301" cy="66675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328F01B-3DED-4316-ADFD-DBC1F5E0FC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57674" y="8324850"/>
            <a:ext cx="7353301" cy="666750"/>
          </a:xfrm>
          <a:prstGeom prst="rect">
            <a:avLst/>
          </a:prstGeom>
        </xdr:spPr>
      </xdr:pic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C6E49817-6409-4283-9987-7A99730EC8ED}"/>
              </a:ext>
            </a:extLst>
          </xdr:cNvPr>
          <xdr:cNvSpPr/>
        </xdr:nvSpPr>
        <xdr:spPr>
          <a:xfrm>
            <a:off x="4333875" y="8572500"/>
            <a:ext cx="819150" cy="209550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E3F9892D-5F65-4BCE-AF1D-4457C7593135}"/>
              </a:ext>
            </a:extLst>
          </xdr:cNvPr>
          <xdr:cNvSpPr/>
        </xdr:nvSpPr>
        <xdr:spPr>
          <a:xfrm>
            <a:off x="7248525" y="8429625"/>
            <a:ext cx="361950" cy="171450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</xdr:col>
      <xdr:colOff>66674</xdr:colOff>
      <xdr:row>45</xdr:row>
      <xdr:rowOff>95250</xdr:rowOff>
    </xdr:from>
    <xdr:to>
      <xdr:col>13</xdr:col>
      <xdr:colOff>523315</xdr:colOff>
      <xdr:row>49</xdr:row>
      <xdr:rowOff>114300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2DC1FD67-910D-404C-9A22-562EF362405C}"/>
            </a:ext>
          </a:extLst>
        </xdr:cNvPr>
        <xdr:cNvGrpSpPr/>
      </xdr:nvGrpSpPr>
      <xdr:grpSpPr>
        <a:xfrm>
          <a:off x="4672292" y="7524750"/>
          <a:ext cx="6507817" cy="646579"/>
          <a:chOff x="4276724" y="9696450"/>
          <a:chExt cx="7353301" cy="66675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2CE78FBF-5975-41C1-B5B2-6B72A7793B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76724" y="9696450"/>
            <a:ext cx="7353301" cy="666750"/>
          </a:xfrm>
          <a:prstGeom prst="rect">
            <a:avLst/>
          </a:prstGeom>
        </xdr:spPr>
      </xdr:pic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FE67589F-401E-45BF-94B1-741E08D555B3}"/>
              </a:ext>
            </a:extLst>
          </xdr:cNvPr>
          <xdr:cNvSpPr/>
        </xdr:nvSpPr>
        <xdr:spPr>
          <a:xfrm>
            <a:off x="9782174" y="9791700"/>
            <a:ext cx="923926" cy="180975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</xdr:col>
      <xdr:colOff>85725</xdr:colOff>
      <xdr:row>51</xdr:row>
      <xdr:rowOff>47625</xdr:rowOff>
    </xdr:from>
    <xdr:to>
      <xdr:col>13</xdr:col>
      <xdr:colOff>480911</xdr:colOff>
      <xdr:row>55</xdr:row>
      <xdr:rowOff>133350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1EABE7A9-6486-44E1-B6F6-28671BA25010}"/>
            </a:ext>
          </a:extLst>
        </xdr:cNvPr>
        <xdr:cNvGrpSpPr/>
      </xdr:nvGrpSpPr>
      <xdr:grpSpPr>
        <a:xfrm>
          <a:off x="4691343" y="8418419"/>
          <a:ext cx="6446362" cy="713255"/>
          <a:chOff x="4295775" y="10620375"/>
          <a:chExt cx="7334250" cy="733425"/>
        </a:xfrm>
      </xdr:grpSpPr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C1F259EE-C1CB-491F-A7FC-7436784612D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333"/>
          <a:stretch/>
        </xdr:blipFill>
        <xdr:spPr>
          <a:xfrm>
            <a:off x="4295775" y="10620375"/>
            <a:ext cx="7334250" cy="733425"/>
          </a:xfrm>
          <a:prstGeom prst="rect">
            <a:avLst/>
          </a:prstGeom>
        </xdr:spPr>
      </xdr:pic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27121C70-DE28-4B60-924D-BBE469BE5BA3}"/>
              </a:ext>
            </a:extLst>
          </xdr:cNvPr>
          <xdr:cNvSpPr/>
        </xdr:nvSpPr>
        <xdr:spPr>
          <a:xfrm>
            <a:off x="10848975" y="10648949"/>
            <a:ext cx="762000" cy="238125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2447925</xdr:colOff>
      <xdr:row>0</xdr:row>
      <xdr:rowOff>0</xdr:rowOff>
    </xdr:from>
    <xdr:to>
      <xdr:col>9</xdr:col>
      <xdr:colOff>2095500</xdr:colOff>
      <xdr:row>0</xdr:row>
      <xdr:rowOff>409575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574925" y="0"/>
          <a:ext cx="9024408" cy="409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Rental Property Valuation Analysis</a:t>
          </a:r>
        </a:p>
      </xdr:txBody>
    </xdr:sp>
    <xdr:clientData/>
  </xdr:twoCellAnchor>
  <xdr:twoCellAnchor>
    <xdr:from>
      <xdr:col>1</xdr:col>
      <xdr:colOff>63500</xdr:colOff>
      <xdr:row>1</xdr:row>
      <xdr:rowOff>304802</xdr:rowOff>
    </xdr:from>
    <xdr:to>
      <xdr:col>1</xdr:col>
      <xdr:colOff>2042583</xdr:colOff>
      <xdr:row>1</xdr:row>
      <xdr:rowOff>762000</xdr:rowOff>
    </xdr:to>
    <xdr:sp macro="" textlink="$D$11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90500" y="738719"/>
          <a:ext cx="1979083" cy="457198"/>
        </a:xfrm>
        <a:prstGeom prst="rect">
          <a:avLst/>
        </a:prstGeom>
        <a:solidFill>
          <a:schemeClr val="bg1"/>
        </a:solidFill>
        <a:ln w="9525"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8D17730-4BCE-4D0A-AA2A-94CFAC41E857}" type="TxLink">
            <a:rPr lang="en-US" sz="240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Arial"/>
              <a:cs typeface="Arial"/>
            </a:rPr>
            <a:pPr algn="ctr"/>
            <a:t> 1,92,250 </a:t>
          </a:fld>
          <a:endParaRPr lang="en-US" sz="3200" b="0" u="none">
            <a:solidFill>
              <a:schemeClr val="tx1">
                <a:lumMod val="50000"/>
                <a:lumOff val="50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2443057</xdr:colOff>
      <xdr:row>1</xdr:row>
      <xdr:rowOff>309035</xdr:rowOff>
    </xdr:from>
    <xdr:to>
      <xdr:col>3</xdr:col>
      <xdr:colOff>728557</xdr:colOff>
      <xdr:row>1</xdr:row>
      <xdr:rowOff>766233</xdr:rowOff>
    </xdr:to>
    <xdr:sp macro="" textlink="$D$21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570057" y="742952"/>
          <a:ext cx="1979083" cy="457198"/>
        </a:xfrm>
        <a:prstGeom prst="rect">
          <a:avLst/>
        </a:prstGeom>
        <a:solidFill>
          <a:schemeClr val="bg1"/>
        </a:solidFill>
        <a:ln w="9525"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1722A2B1-BC23-478B-82A1-FC5F0A7A5A87}" type="TxLink">
            <a:rPr lang="en-US" sz="2400" b="0" i="0" u="none" strike="noStrike">
              <a:solidFill>
                <a:srgbClr val="C00000"/>
              </a:solidFill>
              <a:effectLst/>
              <a:latin typeface="Arial"/>
              <a:ea typeface="+mn-ea"/>
              <a:cs typeface="Arial"/>
            </a:rPr>
            <a:pPr marL="0" indent="0" algn="ctr"/>
            <a:t> (857)</a:t>
          </a:fld>
          <a:endParaRPr lang="en-US" sz="2400" b="0" i="0" u="none" strike="noStrike">
            <a:solidFill>
              <a:srgbClr val="C00000"/>
            </a:solidFill>
            <a:effectLst/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5</xdr:col>
      <xdr:colOff>70697</xdr:colOff>
      <xdr:row>1</xdr:row>
      <xdr:rowOff>302684</xdr:rowOff>
    </xdr:from>
    <xdr:to>
      <xdr:col>5</xdr:col>
      <xdr:colOff>2049780</xdr:colOff>
      <xdr:row>1</xdr:row>
      <xdr:rowOff>759882</xdr:rowOff>
    </xdr:to>
    <xdr:sp macro="" textlink="$H$8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949614" y="736601"/>
          <a:ext cx="1979083" cy="457198"/>
        </a:xfrm>
        <a:prstGeom prst="rect">
          <a:avLst/>
        </a:prstGeom>
        <a:solidFill>
          <a:schemeClr val="bg1"/>
        </a:solidFill>
        <a:ln w="9525"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610C5D9-60F5-43AC-A509-0C3B3930BDAA}" type="TxLink">
            <a:rPr lang="en-US" sz="2400" b="0" i="0" u="none" strike="noStrike">
              <a:solidFill>
                <a:srgbClr val="50B47F"/>
              </a:solidFill>
              <a:effectLst/>
              <a:latin typeface="Arial"/>
              <a:cs typeface="Arial"/>
            </a:rPr>
            <a:pPr algn="ctr"/>
            <a:t> 1,316 </a:t>
          </a:fld>
          <a:endParaRPr lang="en-US" sz="3200" b="0" u="none">
            <a:effectLst/>
          </a:endParaRPr>
        </a:p>
      </xdr:txBody>
    </xdr:sp>
    <xdr:clientData/>
  </xdr:twoCellAnchor>
  <xdr:twoCellAnchor>
    <xdr:from>
      <xdr:col>5</xdr:col>
      <xdr:colOff>2450254</xdr:colOff>
      <xdr:row>1</xdr:row>
      <xdr:rowOff>309035</xdr:rowOff>
    </xdr:from>
    <xdr:to>
      <xdr:col>7</xdr:col>
      <xdr:colOff>735754</xdr:colOff>
      <xdr:row>1</xdr:row>
      <xdr:rowOff>766233</xdr:rowOff>
    </xdr:to>
    <xdr:sp macro="" textlink="$H$24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329171" y="742952"/>
          <a:ext cx="1979083" cy="457198"/>
        </a:xfrm>
        <a:prstGeom prst="rect">
          <a:avLst/>
        </a:prstGeom>
        <a:solidFill>
          <a:schemeClr val="bg1"/>
        </a:solidFill>
        <a:ln w="9525"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7638306-AEF4-4F88-AC0B-C893012BE016}" type="TxLink">
            <a:rPr lang="en-US" sz="2400" b="0" i="0" u="none" strike="noStrike">
              <a:solidFill>
                <a:srgbClr val="C00000"/>
              </a:solidFill>
              <a:effectLst/>
              <a:latin typeface="Arial"/>
              <a:cs typeface="Arial"/>
            </a:rPr>
            <a:pPr algn="ctr"/>
            <a:t> (317)</a:t>
          </a:fld>
          <a:endParaRPr lang="en-US" sz="3200" b="0" u="none">
            <a:solidFill>
              <a:srgbClr val="C00000"/>
            </a:solidFill>
            <a:effectLst/>
          </a:endParaRPr>
        </a:p>
      </xdr:txBody>
    </xdr:sp>
    <xdr:clientData/>
  </xdr:twoCellAnchor>
  <xdr:twoCellAnchor>
    <xdr:from>
      <xdr:col>9</xdr:col>
      <xdr:colOff>77895</xdr:colOff>
      <xdr:row>1</xdr:row>
      <xdr:rowOff>313268</xdr:rowOff>
    </xdr:from>
    <xdr:to>
      <xdr:col>9</xdr:col>
      <xdr:colOff>2056978</xdr:colOff>
      <xdr:row>1</xdr:row>
      <xdr:rowOff>770466</xdr:rowOff>
    </xdr:to>
    <xdr:sp macro="" textlink="$L$14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9708728" y="747185"/>
          <a:ext cx="1979083" cy="457198"/>
        </a:xfrm>
        <a:prstGeom prst="rect">
          <a:avLst/>
        </a:prstGeom>
        <a:solidFill>
          <a:schemeClr val="bg1"/>
        </a:solidFill>
        <a:ln w="9525"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192259C-7264-4D3A-9DB8-23C9752F9A9A}" type="TxLink">
            <a:rPr lang="en-US" sz="240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Arial"/>
              <a:cs typeface="Arial"/>
            </a:rPr>
            <a:pPr algn="ctr"/>
            <a:t>6.8%</a:t>
          </a:fld>
          <a:endParaRPr lang="en-US" sz="3200" b="0" u="none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9</xdr:col>
      <xdr:colOff>2457451</xdr:colOff>
      <xdr:row>1</xdr:row>
      <xdr:rowOff>306917</xdr:rowOff>
    </xdr:from>
    <xdr:to>
      <xdr:col>11</xdr:col>
      <xdr:colOff>742950</xdr:colOff>
      <xdr:row>1</xdr:row>
      <xdr:rowOff>764115</xdr:rowOff>
    </xdr:to>
    <xdr:sp macro="" textlink="$L$29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2088284" y="740834"/>
          <a:ext cx="1979083" cy="457198"/>
        </a:xfrm>
        <a:prstGeom prst="rect">
          <a:avLst/>
        </a:prstGeom>
        <a:solidFill>
          <a:schemeClr val="bg1"/>
        </a:solidFill>
        <a:ln w="9525"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CE47C35-CB78-4CCB-AA36-78282B8F99D1}" type="TxLink">
            <a:rPr lang="en-US" sz="2400" b="0" i="0" u="none" strike="noStrike">
              <a:solidFill>
                <a:schemeClr val="tx1">
                  <a:lumMod val="50000"/>
                  <a:lumOff val="50000"/>
                </a:schemeClr>
              </a:solidFill>
              <a:effectLst/>
              <a:latin typeface="Arial"/>
              <a:cs typeface="Arial"/>
            </a:rPr>
            <a:pPr algn="ctr"/>
            <a:t>34.7%</a:t>
          </a:fld>
          <a:endParaRPr lang="en-US" sz="2800" b="0" u="none"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twoCellAnchor>
  <xdr:twoCellAnchor>
    <xdr:from>
      <xdr:col>1</xdr:col>
      <xdr:colOff>74083</xdr:colOff>
      <xdr:row>1</xdr:row>
      <xdr:rowOff>21166</xdr:rowOff>
    </xdr:from>
    <xdr:to>
      <xdr:col>1</xdr:col>
      <xdr:colOff>2042583</xdr:colOff>
      <xdr:row>1</xdr:row>
      <xdr:rowOff>296333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201083" y="455083"/>
          <a:ext cx="1968500" cy="275167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Total Investment</a:t>
          </a:r>
        </a:p>
      </xdr:txBody>
    </xdr:sp>
    <xdr:clientData/>
  </xdr:twoCellAnchor>
  <xdr:twoCellAnchor>
    <xdr:from>
      <xdr:col>1</xdr:col>
      <xdr:colOff>2448983</xdr:colOff>
      <xdr:row>1</xdr:row>
      <xdr:rowOff>25399</xdr:rowOff>
    </xdr:from>
    <xdr:to>
      <xdr:col>3</xdr:col>
      <xdr:colOff>723900</xdr:colOff>
      <xdr:row>1</xdr:row>
      <xdr:rowOff>300566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2575983" y="459316"/>
          <a:ext cx="1968500" cy="275167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Loan Payment</a:t>
          </a:r>
        </a:p>
      </xdr:txBody>
    </xdr:sp>
    <xdr:clientData/>
  </xdr:twoCellAnchor>
  <xdr:twoCellAnchor>
    <xdr:from>
      <xdr:col>5</xdr:col>
      <xdr:colOff>93135</xdr:colOff>
      <xdr:row>1</xdr:row>
      <xdr:rowOff>19049</xdr:rowOff>
    </xdr:from>
    <xdr:to>
      <xdr:col>5</xdr:col>
      <xdr:colOff>2061635</xdr:colOff>
      <xdr:row>1</xdr:row>
      <xdr:rowOff>294216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4972052" y="452966"/>
          <a:ext cx="1968500" cy="275167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Total Revenue</a:t>
          </a:r>
        </a:p>
      </xdr:txBody>
    </xdr:sp>
    <xdr:clientData/>
  </xdr:twoCellAnchor>
  <xdr:twoCellAnchor>
    <xdr:from>
      <xdr:col>5</xdr:col>
      <xdr:colOff>2468036</xdr:colOff>
      <xdr:row>1</xdr:row>
      <xdr:rowOff>23283</xdr:rowOff>
    </xdr:from>
    <xdr:to>
      <xdr:col>7</xdr:col>
      <xdr:colOff>742953</xdr:colOff>
      <xdr:row>1</xdr:row>
      <xdr:rowOff>298450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7346953" y="457200"/>
          <a:ext cx="1968500" cy="275167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Total Expenses</a:t>
          </a:r>
        </a:p>
      </xdr:txBody>
    </xdr:sp>
    <xdr:clientData/>
  </xdr:twoCellAnchor>
  <xdr:twoCellAnchor>
    <xdr:from>
      <xdr:col>9</xdr:col>
      <xdr:colOff>91020</xdr:colOff>
      <xdr:row>1</xdr:row>
      <xdr:rowOff>16933</xdr:rowOff>
    </xdr:from>
    <xdr:to>
      <xdr:col>9</xdr:col>
      <xdr:colOff>2059520</xdr:colOff>
      <xdr:row>1</xdr:row>
      <xdr:rowOff>292100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9721853" y="450850"/>
          <a:ext cx="1968500" cy="275167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COC Return</a:t>
          </a:r>
        </a:p>
      </xdr:txBody>
    </xdr:sp>
    <xdr:clientData/>
  </xdr:twoCellAnchor>
  <xdr:twoCellAnchor>
    <xdr:from>
      <xdr:col>9</xdr:col>
      <xdr:colOff>2465919</xdr:colOff>
      <xdr:row>1</xdr:row>
      <xdr:rowOff>21167</xdr:rowOff>
    </xdr:from>
    <xdr:to>
      <xdr:col>11</xdr:col>
      <xdr:colOff>740835</xdr:colOff>
      <xdr:row>1</xdr:row>
      <xdr:rowOff>296334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2096752" y="455084"/>
          <a:ext cx="1968500" cy="275167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ROI Return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180975</xdr:rowOff>
        </xdr:from>
        <xdr:to>
          <xdr:col>1</xdr:col>
          <xdr:colOff>1076325</xdr:colOff>
          <xdr:row>0</xdr:row>
          <xdr:rowOff>390525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Full Screen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1114425</xdr:colOff>
          <xdr:row>0</xdr:row>
          <xdr:rowOff>180975</xdr:rowOff>
        </xdr:from>
        <xdr:to>
          <xdr:col>1</xdr:col>
          <xdr:colOff>2200275</xdr:colOff>
          <xdr:row>0</xdr:row>
          <xdr:rowOff>390525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7B3C5-B82D-4751-A51E-894ABCE93472}">
  <sheetPr codeName="Sheet1">
    <tabColor rgb="FFC00000"/>
  </sheetPr>
  <dimension ref="A1:N63"/>
  <sheetViews>
    <sheetView showGridLines="0" showRowColHeaders="0" tabSelected="1" topLeftCell="A25" zoomScale="85" zoomScaleNormal="85" workbookViewId="0">
      <pane xSplit="3" topLeftCell="D1" activePane="topRight" state="frozen"/>
      <selection pane="topRight" activeCell="C58" sqref="C58:H64"/>
    </sheetView>
  </sheetViews>
  <sheetFormatPr defaultColWidth="9.140625" defaultRowHeight="12.75" x14ac:dyDescent="0.2"/>
  <cols>
    <col min="1" max="1" width="24.28515625" style="2" bestFit="1" customWidth="1"/>
    <col min="2" max="2" width="20.28515625" style="1" customWidth="1"/>
    <col min="3" max="3" width="24.42578125" style="1" customWidth="1"/>
    <col min="4" max="16384" width="9.140625" style="1"/>
  </cols>
  <sheetData>
    <row r="1" spans="1:4" x14ac:dyDescent="0.2">
      <c r="A1" s="1"/>
    </row>
    <row r="2" spans="1:4" x14ac:dyDescent="0.2">
      <c r="A2" s="1"/>
    </row>
    <row r="3" spans="1:4" x14ac:dyDescent="0.2">
      <c r="A3" s="1"/>
    </row>
    <row r="4" spans="1:4" x14ac:dyDescent="0.2">
      <c r="A4" s="1"/>
    </row>
    <row r="5" spans="1:4" x14ac:dyDescent="0.2">
      <c r="B5" s="3"/>
      <c r="D5" s="3"/>
    </row>
    <row r="6" spans="1:4" x14ac:dyDescent="0.2">
      <c r="A6" s="4" t="s">
        <v>0</v>
      </c>
      <c r="B6" s="3" t="s">
        <v>1</v>
      </c>
      <c r="D6" s="3" t="s">
        <v>9</v>
      </c>
    </row>
    <row r="7" spans="1:4" x14ac:dyDescent="0.2">
      <c r="A7" s="5"/>
    </row>
    <row r="8" spans="1:4" x14ac:dyDescent="0.2">
      <c r="A8" s="12" t="s">
        <v>55</v>
      </c>
      <c r="B8" s="3" t="s">
        <v>2</v>
      </c>
      <c r="D8" s="1" t="s">
        <v>60</v>
      </c>
    </row>
    <row r="9" spans="1:4" x14ac:dyDescent="0.2">
      <c r="A9" s="12"/>
      <c r="B9" s="3"/>
    </row>
    <row r="10" spans="1:4" ht="15" x14ac:dyDescent="0.25">
      <c r="A10" s="6"/>
      <c r="B10" s="3"/>
    </row>
    <row r="11" spans="1:4" ht="15" x14ac:dyDescent="0.25">
      <c r="A11" s="6"/>
      <c r="B11" s="3" t="s">
        <v>50</v>
      </c>
      <c r="C11" s="8" t="s">
        <v>51</v>
      </c>
      <c r="D11" s="1" t="s">
        <v>61</v>
      </c>
    </row>
    <row r="12" spans="1:4" ht="15" x14ac:dyDescent="0.25">
      <c r="A12" s="6"/>
      <c r="B12" s="3"/>
      <c r="C12" s="8"/>
      <c r="D12" s="1" t="s">
        <v>52</v>
      </c>
    </row>
    <row r="13" spans="1:4" ht="15" x14ac:dyDescent="0.25">
      <c r="A13" s="6"/>
      <c r="B13" s="3"/>
      <c r="C13" s="8" t="s">
        <v>53</v>
      </c>
      <c r="D13" s="1" t="s">
        <v>62</v>
      </c>
    </row>
    <row r="14" spans="1:4" ht="15" x14ac:dyDescent="0.25">
      <c r="A14" s="6"/>
      <c r="B14" s="3"/>
      <c r="C14" s="8" t="s">
        <v>17</v>
      </c>
      <c r="D14" s="1" t="s">
        <v>63</v>
      </c>
    </row>
    <row r="15" spans="1:4" ht="15" x14ac:dyDescent="0.25">
      <c r="A15" s="6"/>
      <c r="B15" s="3"/>
      <c r="C15" s="8" t="s">
        <v>21</v>
      </c>
      <c r="D15" s="1" t="s">
        <v>64</v>
      </c>
    </row>
    <row r="16" spans="1:4" ht="15" x14ac:dyDescent="0.25">
      <c r="A16" s="6"/>
      <c r="B16" s="3"/>
      <c r="C16" s="8" t="s">
        <v>23</v>
      </c>
      <c r="D16" s="1" t="s">
        <v>54</v>
      </c>
    </row>
    <row r="17" spans="1:4" ht="15" x14ac:dyDescent="0.25">
      <c r="A17" s="6"/>
      <c r="B17" s="3"/>
      <c r="C17" s="8" t="s">
        <v>56</v>
      </c>
      <c r="D17" s="1" t="s">
        <v>65</v>
      </c>
    </row>
    <row r="18" spans="1:4" ht="15" x14ac:dyDescent="0.25">
      <c r="A18" s="6"/>
      <c r="B18" s="3"/>
      <c r="C18" s="8" t="s">
        <v>57</v>
      </c>
      <c r="D18" s="1" t="s">
        <v>66</v>
      </c>
    </row>
    <row r="19" spans="1:4" ht="15" x14ac:dyDescent="0.25">
      <c r="A19" s="6"/>
      <c r="B19" s="3"/>
      <c r="C19" s="8" t="s">
        <v>58</v>
      </c>
      <c r="D19" s="1" t="s">
        <v>67</v>
      </c>
    </row>
    <row r="20" spans="1:4" ht="15" x14ac:dyDescent="0.25">
      <c r="A20" s="7"/>
    </row>
    <row r="21" spans="1:4" x14ac:dyDescent="0.2">
      <c r="B21" s="3"/>
      <c r="C21" s="8"/>
    </row>
    <row r="23" spans="1:4" x14ac:dyDescent="0.2">
      <c r="B23" s="9" t="s">
        <v>3</v>
      </c>
      <c r="D23" s="9">
        <v>1</v>
      </c>
    </row>
    <row r="25" spans="1:4" x14ac:dyDescent="0.2">
      <c r="B25" s="9" t="s">
        <v>4</v>
      </c>
      <c r="C25" s="10" t="s">
        <v>9</v>
      </c>
      <c r="D25" s="1" t="s">
        <v>68</v>
      </c>
    </row>
    <row r="26" spans="1:4" x14ac:dyDescent="0.2">
      <c r="C26" s="10"/>
    </row>
    <row r="27" spans="1:4" x14ac:dyDescent="0.2">
      <c r="C27" s="10"/>
    </row>
    <row r="29" spans="1:4" x14ac:dyDescent="0.2">
      <c r="B29" s="9" t="s">
        <v>5</v>
      </c>
      <c r="C29" s="11" t="s">
        <v>6</v>
      </c>
      <c r="D29" s="1" t="s">
        <v>69</v>
      </c>
    </row>
    <row r="30" spans="1:4" x14ac:dyDescent="0.2">
      <c r="C30" s="11" t="s">
        <v>7</v>
      </c>
      <c r="D30" s="1" t="s">
        <v>70</v>
      </c>
    </row>
    <row r="31" spans="1:4" x14ac:dyDescent="0.2">
      <c r="C31" s="11" t="s">
        <v>8</v>
      </c>
      <c r="D31" s="1" t="s">
        <v>71</v>
      </c>
    </row>
    <row r="33" spans="2:14" x14ac:dyDescent="0.2">
      <c r="C33" s="11"/>
    </row>
    <row r="34" spans="2:14" x14ac:dyDescent="0.2">
      <c r="B34" s="43" t="s">
        <v>73</v>
      </c>
      <c r="C34" s="44"/>
      <c r="D34" s="45" t="s">
        <v>74</v>
      </c>
      <c r="E34" s="46"/>
      <c r="F34" s="46"/>
      <c r="G34" s="46"/>
      <c r="H34" s="47"/>
      <c r="I34" s="47"/>
      <c r="J34" s="47"/>
      <c r="K34" s="47"/>
      <c r="L34" s="47"/>
      <c r="M34" s="47"/>
      <c r="N34" s="47"/>
    </row>
    <row r="35" spans="2:14" x14ac:dyDescent="0.2">
      <c r="B35" s="46"/>
      <c r="C35" s="46"/>
      <c r="D35" s="45" t="s">
        <v>75</v>
      </c>
      <c r="E35" s="46"/>
      <c r="F35" s="46"/>
      <c r="G35" s="46"/>
      <c r="H35" s="47"/>
      <c r="I35" s="47"/>
      <c r="J35" s="47"/>
      <c r="K35" s="47"/>
      <c r="L35" s="47"/>
      <c r="M35" s="47"/>
      <c r="N35" s="47"/>
    </row>
    <row r="36" spans="2:14" x14ac:dyDescent="0.2">
      <c r="B36" s="46"/>
      <c r="C36" s="46"/>
      <c r="D36" s="46"/>
      <c r="E36" s="46"/>
      <c r="F36" s="46"/>
      <c r="G36" s="46"/>
      <c r="H36" s="47"/>
      <c r="I36" s="47"/>
      <c r="J36" s="47"/>
      <c r="K36" s="47"/>
      <c r="L36" s="47"/>
      <c r="M36" s="47"/>
      <c r="N36" s="47"/>
    </row>
    <row r="37" spans="2:14" x14ac:dyDescent="0.2">
      <c r="B37" s="46"/>
      <c r="C37" s="48" t="s">
        <v>76</v>
      </c>
      <c r="D37" s="46" t="s">
        <v>77</v>
      </c>
      <c r="E37" s="46"/>
      <c r="F37" s="46"/>
      <c r="G37" s="46"/>
      <c r="H37" s="47"/>
      <c r="I37" s="47"/>
      <c r="J37" s="47"/>
      <c r="K37" s="47"/>
      <c r="L37" s="47"/>
      <c r="M37" s="47"/>
      <c r="N37" s="47"/>
    </row>
    <row r="38" spans="2:14" x14ac:dyDescent="0.2">
      <c r="B38" s="46"/>
      <c r="C38" s="46"/>
      <c r="D38" s="44"/>
      <c r="E38" s="46"/>
      <c r="F38" s="46"/>
      <c r="G38" s="46"/>
      <c r="H38" s="47"/>
      <c r="I38" s="47"/>
      <c r="J38" s="47"/>
      <c r="K38" s="47"/>
      <c r="L38" s="47"/>
      <c r="M38" s="47"/>
      <c r="N38" s="47"/>
    </row>
    <row r="39" spans="2:14" x14ac:dyDescent="0.2">
      <c r="B39" s="46"/>
      <c r="C39" s="46"/>
      <c r="D39" s="44"/>
      <c r="E39" s="46"/>
      <c r="F39" s="46"/>
      <c r="G39" s="46"/>
      <c r="H39" s="47"/>
      <c r="I39" s="47"/>
      <c r="J39" s="47"/>
      <c r="K39" s="47"/>
      <c r="L39" s="47"/>
      <c r="M39" s="47"/>
      <c r="N39" s="47"/>
    </row>
    <row r="40" spans="2:14" x14ac:dyDescent="0.2">
      <c r="B40" s="46"/>
      <c r="C40" s="46"/>
      <c r="D40" s="44"/>
      <c r="E40" s="46"/>
      <c r="F40" s="46"/>
      <c r="G40" s="46"/>
      <c r="H40" s="47"/>
      <c r="I40" s="47"/>
      <c r="J40" s="47"/>
      <c r="K40" s="47"/>
      <c r="L40" s="47"/>
      <c r="M40" s="47"/>
      <c r="N40" s="47"/>
    </row>
    <row r="41" spans="2:14" x14ac:dyDescent="0.2">
      <c r="B41" s="46"/>
      <c r="C41" s="46"/>
      <c r="D41" s="44"/>
      <c r="E41" s="46"/>
      <c r="F41" s="46"/>
      <c r="G41" s="46"/>
      <c r="H41" s="47"/>
      <c r="I41" s="47"/>
      <c r="J41" s="47"/>
      <c r="K41" s="47"/>
      <c r="L41" s="47"/>
      <c r="M41" s="47"/>
      <c r="N41" s="47"/>
    </row>
    <row r="42" spans="2:14" x14ac:dyDescent="0.2">
      <c r="B42" s="46"/>
      <c r="C42" s="46"/>
      <c r="D42" s="44"/>
      <c r="E42" s="46"/>
      <c r="F42" s="46"/>
      <c r="G42" s="46"/>
      <c r="H42" s="47"/>
      <c r="I42" s="47"/>
      <c r="J42" s="47"/>
      <c r="K42" s="47"/>
      <c r="L42" s="47"/>
      <c r="M42" s="47"/>
      <c r="N42" s="47"/>
    </row>
    <row r="43" spans="2:14" x14ac:dyDescent="0.2">
      <c r="B43" s="46"/>
      <c r="C43" s="48" t="s">
        <v>78</v>
      </c>
      <c r="D43" s="46" t="s">
        <v>79</v>
      </c>
      <c r="E43" s="46"/>
      <c r="F43" s="46"/>
      <c r="G43" s="46"/>
      <c r="H43" s="47"/>
      <c r="I43" s="47"/>
      <c r="J43" s="47"/>
      <c r="K43" s="47"/>
      <c r="L43" s="47"/>
      <c r="M43" s="47"/>
      <c r="N43" s="47"/>
    </row>
    <row r="44" spans="2:14" x14ac:dyDescent="0.2">
      <c r="B44" s="46"/>
      <c r="C44" s="46"/>
      <c r="D44" s="46"/>
      <c r="E44" s="46"/>
      <c r="F44" s="46"/>
      <c r="G44" s="46"/>
      <c r="H44" s="47"/>
      <c r="I44" s="47"/>
      <c r="J44" s="47"/>
      <c r="K44" s="47"/>
      <c r="L44" s="47"/>
      <c r="M44" s="47"/>
      <c r="N44" s="47"/>
    </row>
    <row r="45" spans="2:14" x14ac:dyDescent="0.2">
      <c r="B45" s="46"/>
      <c r="C45" s="48" t="s">
        <v>80</v>
      </c>
      <c r="D45" s="46" t="s">
        <v>81</v>
      </c>
      <c r="E45" s="46"/>
      <c r="F45" s="46"/>
      <c r="G45" s="46"/>
      <c r="H45" s="47"/>
      <c r="I45" s="47"/>
      <c r="J45" s="47"/>
      <c r="K45" s="47"/>
      <c r="L45" s="47"/>
      <c r="M45" s="47"/>
      <c r="N45" s="47"/>
    </row>
    <row r="46" spans="2:14" x14ac:dyDescent="0.2">
      <c r="B46" s="46"/>
      <c r="C46" s="46"/>
      <c r="D46" s="46"/>
      <c r="E46" s="46"/>
      <c r="F46" s="46"/>
      <c r="G46" s="46"/>
      <c r="H46" s="47"/>
      <c r="I46" s="47"/>
      <c r="J46" s="47"/>
      <c r="K46" s="47"/>
      <c r="L46" s="47"/>
      <c r="M46" s="47"/>
      <c r="N46" s="47"/>
    </row>
    <row r="47" spans="2:14" x14ac:dyDescent="0.2">
      <c r="B47" s="46"/>
      <c r="C47" s="46"/>
      <c r="D47" s="46"/>
      <c r="E47" s="46"/>
      <c r="F47" s="46"/>
      <c r="G47" s="46"/>
      <c r="H47" s="47"/>
      <c r="I47" s="47"/>
      <c r="J47" s="47"/>
      <c r="K47" s="47"/>
      <c r="L47" s="47"/>
      <c r="M47" s="47"/>
      <c r="N47" s="47"/>
    </row>
    <row r="48" spans="2:14" x14ac:dyDescent="0.2">
      <c r="B48" s="46"/>
      <c r="C48" s="46"/>
      <c r="D48" s="46"/>
      <c r="E48" s="46"/>
      <c r="F48" s="46"/>
      <c r="G48" s="46"/>
      <c r="H48" s="47"/>
      <c r="I48" s="47"/>
      <c r="J48" s="47"/>
      <c r="K48" s="47"/>
      <c r="L48" s="47"/>
      <c r="M48" s="47"/>
      <c r="N48" s="47"/>
    </row>
    <row r="49" spans="2:14" x14ac:dyDescent="0.2">
      <c r="B49" s="46"/>
      <c r="C49" s="46"/>
      <c r="D49" s="46"/>
      <c r="E49" s="46"/>
      <c r="F49" s="46"/>
      <c r="G49" s="46"/>
      <c r="H49" s="47"/>
      <c r="I49" s="47"/>
      <c r="J49" s="47"/>
      <c r="K49" s="47"/>
      <c r="L49" s="47"/>
      <c r="M49" s="47"/>
      <c r="N49" s="47"/>
    </row>
    <row r="50" spans="2:14" x14ac:dyDescent="0.2">
      <c r="B50" s="46"/>
      <c r="C50" s="46"/>
      <c r="D50" s="46"/>
      <c r="E50" s="46"/>
      <c r="F50" s="46"/>
      <c r="G50" s="46"/>
      <c r="H50" s="47"/>
      <c r="I50" s="47"/>
      <c r="J50" s="47"/>
      <c r="K50" s="47"/>
      <c r="L50" s="47"/>
      <c r="M50" s="47"/>
      <c r="N50" s="47"/>
    </row>
    <row r="51" spans="2:14" x14ac:dyDescent="0.2">
      <c r="B51" s="46"/>
      <c r="C51" s="48" t="s">
        <v>82</v>
      </c>
      <c r="D51" s="46" t="s">
        <v>83</v>
      </c>
      <c r="E51" s="46"/>
      <c r="F51" s="46"/>
      <c r="G51" s="46"/>
      <c r="H51" s="47"/>
      <c r="I51" s="47"/>
      <c r="J51" s="47"/>
      <c r="K51" s="47"/>
      <c r="L51" s="47"/>
      <c r="M51" s="47"/>
      <c r="N51" s="47"/>
    </row>
    <row r="52" spans="2:14" x14ac:dyDescent="0.2">
      <c r="B52" s="46"/>
      <c r="C52" s="46"/>
      <c r="D52" s="46"/>
      <c r="E52" s="46"/>
      <c r="F52" s="46"/>
      <c r="G52" s="46"/>
      <c r="H52" s="47"/>
      <c r="I52" s="47"/>
      <c r="J52" s="47"/>
      <c r="K52" s="47"/>
      <c r="L52" s="47"/>
      <c r="M52" s="47"/>
      <c r="N52" s="47"/>
    </row>
    <row r="53" spans="2:14" x14ac:dyDescent="0.2">
      <c r="B53" s="46"/>
      <c r="C53" s="46"/>
      <c r="D53" s="46"/>
      <c r="E53" s="46"/>
      <c r="F53" s="46"/>
      <c r="G53" s="46"/>
      <c r="H53" s="47"/>
      <c r="I53" s="47"/>
      <c r="J53" s="47"/>
      <c r="K53" s="47"/>
      <c r="L53" s="47"/>
      <c r="M53" s="47"/>
      <c r="N53" s="47"/>
    </row>
    <row r="54" spans="2:14" x14ac:dyDescent="0.2">
      <c r="B54" s="46"/>
      <c r="C54" s="46"/>
      <c r="D54" s="46"/>
      <c r="E54" s="46"/>
      <c r="F54" s="46"/>
      <c r="G54" s="46"/>
      <c r="H54" s="47"/>
      <c r="I54" s="47"/>
      <c r="J54" s="47"/>
      <c r="K54" s="47"/>
      <c r="L54" s="47"/>
      <c r="M54" s="47"/>
      <c r="N54" s="47"/>
    </row>
    <row r="55" spans="2:14" x14ac:dyDescent="0.2">
      <c r="B55" s="46"/>
      <c r="C55" s="46"/>
      <c r="D55" s="46"/>
      <c r="E55" s="46"/>
      <c r="F55" s="46"/>
      <c r="G55" s="46"/>
      <c r="H55" s="47"/>
      <c r="I55" s="47"/>
      <c r="J55" s="47"/>
      <c r="K55" s="47"/>
      <c r="L55" s="47"/>
      <c r="M55" s="47"/>
      <c r="N55" s="47"/>
    </row>
    <row r="56" spans="2:14" x14ac:dyDescent="0.2">
      <c r="B56" s="46"/>
      <c r="C56" s="46"/>
      <c r="D56" s="46"/>
      <c r="E56" s="46"/>
      <c r="F56" s="46"/>
      <c r="G56" s="46"/>
      <c r="H56" s="47"/>
      <c r="I56" s="47"/>
      <c r="J56" s="47"/>
      <c r="K56" s="47"/>
      <c r="L56" s="47"/>
      <c r="M56" s="47"/>
      <c r="N56" s="47"/>
    </row>
    <row r="57" spans="2:14" x14ac:dyDescent="0.2">
      <c r="B57" s="46"/>
      <c r="C57" s="46"/>
      <c r="D57" s="45"/>
      <c r="E57" s="46"/>
      <c r="F57" s="46"/>
      <c r="G57" s="46"/>
      <c r="H57" s="47"/>
      <c r="I57" s="47"/>
      <c r="J57" s="47"/>
      <c r="K57" s="47"/>
      <c r="L57" s="47"/>
      <c r="M57" s="47"/>
      <c r="N57" s="47"/>
    </row>
    <row r="58" spans="2:14" x14ac:dyDescent="0.2">
      <c r="B58" s="46"/>
      <c r="C58" s="46"/>
      <c r="D58" s="47"/>
      <c r="E58" s="46"/>
      <c r="F58" s="46"/>
      <c r="G58" s="46"/>
      <c r="H58" s="47"/>
      <c r="I58" s="47"/>
      <c r="J58" s="47"/>
      <c r="K58" s="47"/>
      <c r="L58" s="47"/>
      <c r="M58" s="47"/>
      <c r="N58" s="47"/>
    </row>
    <row r="59" spans="2:14" x14ac:dyDescent="0.2">
      <c r="B59" s="46"/>
      <c r="C59" s="46"/>
      <c r="D59" s="49"/>
      <c r="E59" s="46"/>
      <c r="F59" s="46"/>
      <c r="G59" s="46"/>
      <c r="H59" s="47"/>
      <c r="I59" s="47"/>
      <c r="J59" s="47"/>
      <c r="K59" s="47"/>
      <c r="L59" s="47"/>
      <c r="M59" s="47"/>
      <c r="N59" s="47"/>
    </row>
    <row r="60" spans="2:14" x14ac:dyDescent="0.2">
      <c r="B60" s="46"/>
      <c r="C60" s="46"/>
      <c r="D60" s="47"/>
      <c r="E60" s="46"/>
      <c r="F60" s="46"/>
      <c r="G60" s="46"/>
      <c r="H60" s="47"/>
      <c r="I60" s="47"/>
      <c r="J60" s="47"/>
      <c r="K60" s="47"/>
      <c r="L60" s="47"/>
      <c r="M60" s="47"/>
      <c r="N60" s="47"/>
    </row>
    <row r="61" spans="2:14" x14ac:dyDescent="0.2">
      <c r="B61" s="46"/>
      <c r="C61" s="46"/>
      <c r="D61" s="47"/>
      <c r="E61" s="46"/>
      <c r="F61" s="46"/>
      <c r="G61" s="46"/>
      <c r="H61" s="47"/>
      <c r="I61" s="47"/>
      <c r="J61" s="47"/>
      <c r="K61" s="47"/>
      <c r="L61" s="47"/>
      <c r="M61" s="47"/>
      <c r="N61" s="47"/>
    </row>
    <row r="62" spans="2:14" x14ac:dyDescent="0.2">
      <c r="B62" s="46"/>
      <c r="C62" s="46"/>
      <c r="D62" s="47"/>
      <c r="E62" s="46"/>
      <c r="F62" s="46"/>
      <c r="G62" s="46"/>
      <c r="H62" s="47"/>
      <c r="I62" s="47"/>
      <c r="J62" s="47"/>
      <c r="K62" s="47"/>
      <c r="L62" s="47"/>
      <c r="M62" s="47"/>
      <c r="N62" s="47"/>
    </row>
    <row r="63" spans="2:14" x14ac:dyDescent="0.2"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</row>
  </sheetData>
  <conditionalFormatting sqref="D23">
    <cfRule type="iconSet" priority="1">
      <iconSet reverse="1">
        <cfvo type="percent" val="0"/>
        <cfvo type="num" val="1" gte="0"/>
        <cfvo type="num" val="2" gte="0"/>
      </iconSet>
    </cfRule>
  </conditionalFormatting>
  <hyperlinks>
    <hyperlink ref="A8" location="'Property Valuation'!A1" display="Property Valuation" xr:uid="{B89450DB-109A-477B-A1E2-81664E2031E9}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7D70F-D673-4220-9849-9DD01E29E49A}">
  <sheetPr codeName="Sheet2">
    <tabColor rgb="FF50B47F"/>
  </sheetPr>
  <dimension ref="A1:M30"/>
  <sheetViews>
    <sheetView showGridLines="0" showRowColHeaders="0" zoomScale="90" zoomScaleNormal="90" workbookViewId="0">
      <selection activeCell="C7" sqref="C7"/>
    </sheetView>
  </sheetViews>
  <sheetFormatPr defaultColWidth="0" defaultRowHeight="12.75" zeroHeight="1" x14ac:dyDescent="0.2"/>
  <cols>
    <col min="1" max="1" width="1.85546875" customWidth="1"/>
    <col min="2" max="2" width="42.7109375" customWidth="1"/>
    <col min="3" max="4" width="12.7109375" customWidth="1"/>
    <col min="5" max="5" width="3.140625" customWidth="1"/>
    <col min="6" max="6" width="42.7109375" customWidth="1"/>
    <col min="7" max="8" width="12.7109375" customWidth="1"/>
    <col min="9" max="9" width="3.140625" customWidth="1"/>
    <col min="10" max="10" width="42.7109375" customWidth="1"/>
    <col min="11" max="12" width="12.7109375" customWidth="1"/>
    <col min="13" max="13" width="1.85546875" customWidth="1"/>
    <col min="14" max="16384" width="9.140625" hidden="1"/>
  </cols>
  <sheetData>
    <row r="1" spans="1:13" ht="34.5" customHeight="1" x14ac:dyDescent="0.2">
      <c r="A1" s="53"/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</row>
    <row r="2" spans="1:13" ht="66" customHeight="1" x14ac:dyDescent="0.2">
      <c r="A2" s="29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29"/>
    </row>
    <row r="3" spans="1:13" ht="12.75" customHeight="1" thickBot="1" x14ac:dyDescent="0.25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</row>
    <row r="4" spans="1:13" ht="18" customHeight="1" x14ac:dyDescent="0.2">
      <c r="A4" s="52"/>
      <c r="B4" s="54" t="s">
        <v>10</v>
      </c>
      <c r="C4" s="54"/>
      <c r="D4" s="55"/>
      <c r="E4" s="17"/>
      <c r="F4" s="54" t="s">
        <v>11</v>
      </c>
      <c r="G4" s="54"/>
      <c r="H4" s="55"/>
      <c r="I4" s="17"/>
      <c r="J4" s="54" t="s">
        <v>13</v>
      </c>
      <c r="K4" s="54"/>
      <c r="L4" s="55"/>
      <c r="M4" s="52"/>
    </row>
    <row r="5" spans="1:13" ht="17.100000000000001" customHeight="1" x14ac:dyDescent="0.2">
      <c r="A5" s="52"/>
      <c r="B5" s="22" t="s">
        <v>14</v>
      </c>
      <c r="D5" s="32">
        <v>185000</v>
      </c>
      <c r="E5" s="13"/>
      <c r="F5" s="23" t="s">
        <v>26</v>
      </c>
      <c r="H5" s="32">
        <v>1200</v>
      </c>
      <c r="I5" s="13"/>
      <c r="J5" s="23" t="s">
        <v>36</v>
      </c>
      <c r="L5" s="24">
        <f>D21</f>
        <v>-856.68717073922585</v>
      </c>
      <c r="M5" s="52"/>
    </row>
    <row r="6" spans="1:13" ht="17.100000000000001" customHeight="1" x14ac:dyDescent="0.2">
      <c r="A6" s="52"/>
      <c r="B6" s="22" t="s">
        <v>15</v>
      </c>
      <c r="C6" s="31">
        <v>1.4999999999999999E-2</v>
      </c>
      <c r="D6" s="39">
        <f>C6*$D$5</f>
        <v>2775</v>
      </c>
      <c r="E6" s="13"/>
      <c r="F6" s="23" t="s">
        <v>27</v>
      </c>
      <c r="H6" s="32">
        <v>200</v>
      </c>
      <c r="I6" s="13"/>
      <c r="J6" s="23" t="s">
        <v>37</v>
      </c>
      <c r="L6" s="38">
        <f>H8</f>
        <v>1316</v>
      </c>
      <c r="M6" s="52"/>
    </row>
    <row r="7" spans="1:13" ht="17.100000000000001" customHeight="1" x14ac:dyDescent="0.2">
      <c r="A7" s="52"/>
      <c r="B7" s="41" t="s">
        <v>16</v>
      </c>
      <c r="C7" s="31">
        <v>5.0000000000000001E-3</v>
      </c>
      <c r="D7" s="39">
        <f t="shared" ref="D7:D8" si="0">C7*$D$5</f>
        <v>925</v>
      </c>
      <c r="E7" s="13"/>
      <c r="F7" s="23" t="s">
        <v>28</v>
      </c>
      <c r="G7" s="31">
        <v>7.0000000000000007E-2</v>
      </c>
      <c r="H7" s="25">
        <f>G7*-H5</f>
        <v>-84.000000000000014</v>
      </c>
      <c r="I7" s="13"/>
      <c r="J7" s="23" t="s">
        <v>38</v>
      </c>
      <c r="L7" s="24">
        <f>H24</f>
        <v>-317.25</v>
      </c>
      <c r="M7" s="52"/>
    </row>
    <row r="8" spans="1:13" ht="17.100000000000001" customHeight="1" x14ac:dyDescent="0.35">
      <c r="A8" s="52"/>
      <c r="B8" s="41" t="s">
        <v>17</v>
      </c>
      <c r="C8" s="31">
        <v>0.01</v>
      </c>
      <c r="D8" s="39">
        <f t="shared" si="0"/>
        <v>1850</v>
      </c>
      <c r="E8" s="13"/>
      <c r="F8" s="19" t="s">
        <v>29</v>
      </c>
      <c r="H8" s="37">
        <f>SUM(H5:H7)</f>
        <v>1316</v>
      </c>
      <c r="I8" s="13"/>
      <c r="J8" s="19" t="s">
        <v>39</v>
      </c>
      <c r="L8" s="21">
        <f>SUM(L5:L7)</f>
        <v>142.06282926077415</v>
      </c>
      <c r="M8" s="52"/>
    </row>
    <row r="9" spans="1:13" ht="17.100000000000001" customHeight="1" x14ac:dyDescent="0.2">
      <c r="A9" s="52"/>
      <c r="B9" s="41" t="s">
        <v>18</v>
      </c>
      <c r="D9" s="32">
        <v>1200</v>
      </c>
      <c r="E9" s="13"/>
      <c r="H9" s="14"/>
      <c r="I9" s="13"/>
      <c r="L9" s="14"/>
      <c r="M9" s="52"/>
    </row>
    <row r="10" spans="1:13" ht="17.100000000000001" customHeight="1" x14ac:dyDescent="0.2">
      <c r="A10" s="52"/>
      <c r="B10" s="22" t="s">
        <v>19</v>
      </c>
      <c r="D10" s="32">
        <v>500</v>
      </c>
      <c r="E10" s="13"/>
      <c r="H10" s="14"/>
      <c r="I10" s="13"/>
      <c r="L10" s="14"/>
      <c r="M10" s="52"/>
    </row>
    <row r="11" spans="1:13" ht="17.100000000000001" customHeight="1" x14ac:dyDescent="0.25">
      <c r="A11" s="52"/>
      <c r="B11" s="19" t="s">
        <v>20</v>
      </c>
      <c r="D11" s="27">
        <f>SUM(D5:D10)</f>
        <v>192250</v>
      </c>
      <c r="E11" s="13"/>
      <c r="H11" s="14"/>
      <c r="I11" s="13"/>
      <c r="J11" s="50" t="s">
        <v>43</v>
      </c>
      <c r="K11" s="50"/>
      <c r="L11" s="51"/>
      <c r="M11" s="52"/>
    </row>
    <row r="12" spans="1:13" ht="17.100000000000001" customHeight="1" x14ac:dyDescent="0.2">
      <c r="A12" s="52"/>
      <c r="D12" s="14"/>
      <c r="E12" s="13"/>
      <c r="H12" s="14"/>
      <c r="I12" s="13"/>
      <c r="J12" s="23" t="s">
        <v>40</v>
      </c>
      <c r="L12" s="20">
        <f>L8*12</f>
        <v>1704.7539511292898</v>
      </c>
      <c r="M12" s="52"/>
    </row>
    <row r="13" spans="1:13" ht="17.100000000000001" customHeight="1" x14ac:dyDescent="0.2">
      <c r="A13" s="52"/>
      <c r="B13" s="42" t="s">
        <v>21</v>
      </c>
      <c r="D13" s="32">
        <v>25000</v>
      </c>
      <c r="E13" s="13"/>
      <c r="H13" s="14"/>
      <c r="I13" s="13"/>
      <c r="J13" s="23" t="s">
        <v>41</v>
      </c>
      <c r="L13" s="24">
        <f>D13</f>
        <v>25000</v>
      </c>
      <c r="M13" s="52"/>
    </row>
    <row r="14" spans="1:13" ht="17.100000000000001" customHeight="1" x14ac:dyDescent="0.25">
      <c r="A14" s="52"/>
      <c r="B14" s="19" t="s">
        <v>22</v>
      </c>
      <c r="D14" s="27">
        <f>D11-D13</f>
        <v>167250</v>
      </c>
      <c r="E14" s="13"/>
      <c r="H14" s="14"/>
      <c r="I14" s="13"/>
      <c r="J14" s="19" t="s">
        <v>42</v>
      </c>
      <c r="L14" s="28">
        <f>IFERROR(L12/L13,"")</f>
        <v>6.8190158045171589E-2</v>
      </c>
      <c r="M14" s="52"/>
    </row>
    <row r="15" spans="1:13" ht="17.100000000000001" customHeight="1" x14ac:dyDescent="0.2">
      <c r="A15" s="52"/>
      <c r="D15" s="14"/>
      <c r="E15" s="13"/>
      <c r="H15" s="14"/>
      <c r="I15" s="13"/>
      <c r="J15" s="19"/>
      <c r="L15" s="28"/>
      <c r="M15" s="52"/>
    </row>
    <row r="16" spans="1:13" ht="17.100000000000001" customHeight="1" thickBot="1" x14ac:dyDescent="0.25">
      <c r="A16" s="52"/>
      <c r="B16" s="15"/>
      <c r="C16" s="15"/>
      <c r="D16" s="16"/>
      <c r="E16" s="13"/>
      <c r="F16" s="15"/>
      <c r="G16" s="15"/>
      <c r="H16" s="16"/>
      <c r="I16" s="13"/>
      <c r="J16" s="15"/>
      <c r="K16" s="15"/>
      <c r="L16" s="16"/>
      <c r="M16" s="52"/>
    </row>
    <row r="17" spans="1:13" ht="16.5" customHeight="1" x14ac:dyDescent="0.2">
      <c r="A17" s="52"/>
      <c r="B17" s="30" t="str">
        <f>B11&amp;"   "&amp;D11</f>
        <v>Total Investment   192250</v>
      </c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52"/>
    </row>
    <row r="18" spans="1:13" ht="18" customHeight="1" thickBot="1" x14ac:dyDescent="0.25">
      <c r="A18" s="52"/>
      <c r="B18" s="54" t="s">
        <v>72</v>
      </c>
      <c r="C18" s="54"/>
      <c r="D18" s="55"/>
      <c r="E18" s="13"/>
      <c r="F18" s="54" t="s">
        <v>12</v>
      </c>
      <c r="G18" s="54"/>
      <c r="H18" s="55"/>
      <c r="I18" s="13"/>
      <c r="J18" s="54" t="s">
        <v>59</v>
      </c>
      <c r="K18" s="54"/>
      <c r="L18" s="55"/>
      <c r="M18" s="52"/>
    </row>
    <row r="19" spans="1:13" ht="17.100000000000001" customHeight="1" x14ac:dyDescent="0.2">
      <c r="A19" s="52"/>
      <c r="B19" s="23" t="s">
        <v>23</v>
      </c>
      <c r="D19" s="33">
        <v>3.5000000000000003E-2</v>
      </c>
      <c r="E19" s="13"/>
      <c r="F19" s="23" t="s">
        <v>30</v>
      </c>
      <c r="G19" s="35">
        <v>0.02</v>
      </c>
      <c r="H19" s="25">
        <f>G19*-$H$5</f>
        <v>-24</v>
      </c>
      <c r="I19" s="13"/>
      <c r="J19" s="23" t="s">
        <v>44</v>
      </c>
      <c r="L19" s="20">
        <f>IFERROR(CUMIPMT(D19/12,D20*12,D14,1,D20*12,1)/(12*D20),"")</f>
        <v>-275.95800407255916</v>
      </c>
      <c r="M19" s="52"/>
    </row>
    <row r="20" spans="1:13" ht="17.100000000000001" customHeight="1" x14ac:dyDescent="0.2">
      <c r="A20" s="52"/>
      <c r="B20" s="23" t="s">
        <v>24</v>
      </c>
      <c r="D20" s="34">
        <v>24</v>
      </c>
      <c r="E20" s="13"/>
      <c r="F20" s="23" t="s">
        <v>31</v>
      </c>
      <c r="G20" s="31">
        <v>0.01</v>
      </c>
      <c r="H20" s="25">
        <f>G20*-$H$5</f>
        <v>-12</v>
      </c>
      <c r="I20" s="13"/>
      <c r="J20" s="23" t="s">
        <v>45</v>
      </c>
      <c r="L20" s="20">
        <f>IFERROR(CUMPRINC(D19/12,D20*12,D14,1,D20*12,1)/(12*D20),"")</f>
        <v>-580.72916666666663</v>
      </c>
      <c r="M20" s="52"/>
    </row>
    <row r="21" spans="1:13" ht="17.100000000000001" customHeight="1" x14ac:dyDescent="0.35">
      <c r="A21" s="52"/>
      <c r="B21" s="19" t="s">
        <v>25</v>
      </c>
      <c r="D21" s="21">
        <f>IFERROR(PMT(D19/12,D20*12,D14,,1),"")</f>
        <v>-856.68717073922585</v>
      </c>
      <c r="E21" s="13"/>
      <c r="F21" s="23" t="s">
        <v>32</v>
      </c>
      <c r="G21" s="31">
        <v>1.4999999999999999E-2</v>
      </c>
      <c r="H21" s="25">
        <f>G21*-D5/12</f>
        <v>-231.25</v>
      </c>
      <c r="I21" s="13"/>
      <c r="J21" s="23" t="s">
        <v>36</v>
      </c>
      <c r="L21" s="24">
        <f>IFERROR(SUM(L19:L20),"")</f>
        <v>-856.68717073922585</v>
      </c>
      <c r="M21" s="52"/>
    </row>
    <row r="22" spans="1:13" ht="17.100000000000001" customHeight="1" x14ac:dyDescent="0.2">
      <c r="A22" s="52"/>
      <c r="D22" s="14"/>
      <c r="E22" s="13"/>
      <c r="F22" s="23" t="s">
        <v>33</v>
      </c>
      <c r="H22" s="36">
        <v>-50</v>
      </c>
      <c r="I22" s="13"/>
      <c r="L22" s="14"/>
      <c r="M22" s="52"/>
    </row>
    <row r="23" spans="1:13" ht="17.100000000000001" customHeight="1" x14ac:dyDescent="0.2">
      <c r="A23" s="52"/>
      <c r="D23" s="14"/>
      <c r="E23" s="13"/>
      <c r="F23" s="23" t="s">
        <v>34</v>
      </c>
      <c r="H23" s="32"/>
      <c r="I23" s="13"/>
      <c r="J23" s="23" t="s">
        <v>46</v>
      </c>
      <c r="L23" s="20">
        <f>IFERROR(L8,"")</f>
        <v>142.06282926077415</v>
      </c>
      <c r="M23" s="52"/>
    </row>
    <row r="24" spans="1:13" ht="17.100000000000001" customHeight="1" x14ac:dyDescent="0.35">
      <c r="A24" s="52"/>
      <c r="D24" s="14"/>
      <c r="E24" s="13"/>
      <c r="F24" s="19" t="s">
        <v>35</v>
      </c>
      <c r="H24" s="26">
        <f>SUM(H19:H23)</f>
        <v>-317.25</v>
      </c>
      <c r="I24" s="13"/>
      <c r="J24" s="23" t="s">
        <v>47</v>
      </c>
      <c r="L24" s="20">
        <f>IFERROR(-L20,"")</f>
        <v>580.72916666666663</v>
      </c>
      <c r="M24" s="52"/>
    </row>
    <row r="25" spans="1:13" ht="17.100000000000001" customHeight="1" x14ac:dyDescent="0.35">
      <c r="A25" s="52"/>
      <c r="D25" s="14"/>
      <c r="E25" s="13"/>
      <c r="H25" s="14"/>
      <c r="I25" s="13"/>
      <c r="J25" s="19" t="s">
        <v>48</v>
      </c>
      <c r="L25" s="21">
        <f>IFERROR(SUM(L23:L24),"")</f>
        <v>722.79199592744078</v>
      </c>
      <c r="M25" s="52"/>
    </row>
    <row r="26" spans="1:13" ht="17.100000000000001" customHeight="1" x14ac:dyDescent="0.2">
      <c r="A26" s="52"/>
      <c r="D26" s="14"/>
      <c r="E26" s="13"/>
      <c r="H26" s="14"/>
      <c r="I26" s="13"/>
      <c r="L26" s="14"/>
      <c r="M26" s="52"/>
    </row>
    <row r="27" spans="1:13" ht="17.100000000000001" customHeight="1" x14ac:dyDescent="0.2">
      <c r="A27" s="52"/>
      <c r="D27" s="14"/>
      <c r="E27" s="13"/>
      <c r="H27" s="14"/>
      <c r="I27" s="13"/>
      <c r="J27" s="23" t="s">
        <v>40</v>
      </c>
      <c r="L27" s="24">
        <f>L25*12</f>
        <v>8673.5039511292889</v>
      </c>
      <c r="M27" s="52"/>
    </row>
    <row r="28" spans="1:13" ht="17.100000000000001" customHeight="1" x14ac:dyDescent="0.2">
      <c r="A28" s="52"/>
      <c r="D28" s="14"/>
      <c r="E28" s="13"/>
      <c r="H28" s="14"/>
      <c r="I28" s="13"/>
      <c r="J28" s="23" t="s">
        <v>41</v>
      </c>
      <c r="L28" s="24">
        <f>D13</f>
        <v>25000</v>
      </c>
      <c r="M28" s="52"/>
    </row>
    <row r="29" spans="1:13" ht="17.100000000000001" customHeight="1" thickBot="1" x14ac:dyDescent="0.25">
      <c r="A29" s="52"/>
      <c r="B29" s="15"/>
      <c r="C29" s="15"/>
      <c r="D29" s="16"/>
      <c r="E29" s="13"/>
      <c r="F29" s="15"/>
      <c r="G29" s="15"/>
      <c r="H29" s="16"/>
      <c r="I29" s="13"/>
      <c r="J29" s="18" t="s">
        <v>49</v>
      </c>
      <c r="K29" s="15"/>
      <c r="L29" s="40">
        <f>IFERROR(L27/L28,"")</f>
        <v>0.34694015804517153</v>
      </c>
      <c r="M29" s="52"/>
    </row>
    <row r="30" spans="1:13" ht="6.75" customHeight="1" x14ac:dyDescent="0.2">
      <c r="A30" s="52"/>
      <c r="B30" s="52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</row>
  </sheetData>
  <sheetProtection sheet="1" objects="1" scenarios="1" selectLockedCells="1"/>
  <mergeCells count="13">
    <mergeCell ref="J11:L11"/>
    <mergeCell ref="A4:A30"/>
    <mergeCell ref="A1:M1"/>
    <mergeCell ref="M4:M30"/>
    <mergeCell ref="B30:L30"/>
    <mergeCell ref="B18:D18"/>
    <mergeCell ref="F18:H18"/>
    <mergeCell ref="J18:L18"/>
    <mergeCell ref="J4:L4"/>
    <mergeCell ref="F4:H4"/>
    <mergeCell ref="B4:D4"/>
    <mergeCell ref="A3:M3"/>
    <mergeCell ref="B2:L2"/>
  </mergeCells>
  <conditionalFormatting sqref="D21">
    <cfRule type="cellIs" dxfId="6" priority="10" operator="lessThan">
      <formula>0</formula>
    </cfRule>
  </conditionalFormatting>
  <conditionalFormatting sqref="H7">
    <cfRule type="cellIs" dxfId="5" priority="8" operator="lessThan">
      <formula>0</formula>
    </cfRule>
  </conditionalFormatting>
  <conditionalFormatting sqref="H19:H21">
    <cfRule type="cellIs" dxfId="4" priority="7" operator="lessThan">
      <formula>0</formula>
    </cfRule>
  </conditionalFormatting>
  <conditionalFormatting sqref="H22">
    <cfRule type="cellIs" dxfId="3" priority="6" operator="lessThan">
      <formula>0</formula>
    </cfRule>
  </conditionalFormatting>
  <conditionalFormatting sqref="H24">
    <cfRule type="cellIs" dxfId="2" priority="5" operator="lessThan">
      <formula>0</formula>
    </cfRule>
  </conditionalFormatting>
  <conditionalFormatting sqref="L5:L7">
    <cfRule type="cellIs" dxfId="1" priority="4" operator="lessThan">
      <formula>0</formula>
    </cfRule>
  </conditionalFormatting>
  <conditionalFormatting sqref="L19:L21">
    <cfRule type="cellIs" dxfId="0" priority="2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ull_screen">
                <anchor moveWithCells="1" sizeWithCells="1">
                  <from>
                    <xdr:col>0</xdr:col>
                    <xdr:colOff>114300</xdr:colOff>
                    <xdr:row>0</xdr:row>
                    <xdr:rowOff>180975</xdr:rowOff>
                  </from>
                  <to>
                    <xdr:col>1</xdr:col>
                    <xdr:colOff>1076325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_contents">
                <anchor moveWithCells="1" sizeWithCells="1">
                  <from>
                    <xdr:col>1</xdr:col>
                    <xdr:colOff>1114425</xdr:colOff>
                    <xdr:row>0</xdr:row>
                    <xdr:rowOff>180975</xdr:rowOff>
                  </from>
                  <to>
                    <xdr:col>1</xdr:col>
                    <xdr:colOff>2200275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EE89711-9652-4054-9789-DB21033EB2FB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L14</xm:sqref>
        </x14:conditionalFormatting>
        <x14:conditionalFormatting xmlns:xm="http://schemas.microsoft.com/office/excel/2006/main">
          <x14:cfRule type="iconSet" priority="1" id="{60B64D87-2649-4DBC-AD1A-4E3B6D8D6552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L29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BF29C0E-CA27-4442-AB1E-2EB63A6F173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Introduction</vt:lpstr>
      <vt:lpstr>Property Valuation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kareem mostafa</dc:creator>
  <cp:lastModifiedBy>QSK1184</cp:lastModifiedBy>
  <cp:lastPrinted>2020-12-14T19:19:50Z</cp:lastPrinted>
  <dcterms:created xsi:type="dcterms:W3CDTF">1901-01-01T04:00:00Z</dcterms:created>
  <dcterms:modified xsi:type="dcterms:W3CDTF">2024-09-20T12:22:33Z</dcterms:modified>
</cp:coreProperties>
</file>