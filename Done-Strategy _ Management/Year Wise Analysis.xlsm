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yash_jain_vesu\Future_Vision\books\advance_excel\NEW-FILES-PROJECTS\100+ Premium Excel Templates\Strategy _ Management\"/>
    </mc:Choice>
  </mc:AlternateContent>
  <xr:revisionPtr revIDLastSave="0" documentId="13_ncr:1_{F1DE5177-02B2-4E60-9E58-81386455E4D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ntroduction" sheetId="1" r:id="rId1"/>
    <sheet name="Year wise analysis" sheetId="4" r:id="rId2"/>
    <sheet name="Sheet1" sheetId="5" state="hidden" r:id="rId3"/>
  </sheets>
  <definedNames>
    <definedName name="_xlchart.v1.0" hidden="1">'Year wise analysis'!$D$35</definedName>
    <definedName name="_xlchart.v1.1" hidden="1">'Year wise analysis'!$G$35:$U$35</definedName>
    <definedName name="_xlchart.v1.2" hidden="1">'Year wise analysis'!$G$3:$U$3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5" i="4" l="1"/>
  <c r="D14" i="4"/>
  <c r="D13" i="4"/>
  <c r="D12" i="4"/>
  <c r="D11" i="4"/>
  <c r="D10" i="4"/>
  <c r="D9" i="4"/>
  <c r="D8" i="4"/>
  <c r="D7" i="4"/>
  <c r="D6" i="4"/>
  <c r="D5" i="4"/>
  <c r="D4" i="4"/>
  <c r="D16" i="5" l="1"/>
  <c r="C16" i="5"/>
  <c r="C15" i="5"/>
  <c r="C14" i="5" l="1"/>
  <c r="C13" i="5"/>
  <c r="C12" i="5"/>
  <c r="C11" i="5"/>
  <c r="C10" i="5"/>
  <c r="C9" i="5"/>
  <c r="C8" i="5"/>
  <c r="C7" i="5"/>
  <c r="C6" i="5"/>
  <c r="C5" i="5"/>
  <c r="C4" i="5"/>
  <c r="C3" i="5"/>
  <c r="D7" i="5" l="1"/>
  <c r="D9" i="5"/>
  <c r="D10" i="5"/>
  <c r="D11" i="5"/>
  <c r="D12" i="5"/>
  <c r="D15" i="5"/>
  <c r="D3" i="5"/>
  <c r="D4" i="5"/>
  <c r="D5" i="5"/>
  <c r="D13" i="5"/>
  <c r="D8" i="5"/>
  <c r="D14" i="5"/>
  <c r="D6" i="5"/>
  <c r="C17" i="5"/>
  <c r="I35" i="4" l="1"/>
  <c r="J35" i="4"/>
  <c r="K35" i="4"/>
  <c r="L35" i="4"/>
  <c r="M35" i="4"/>
  <c r="N35" i="4"/>
  <c r="Q35" i="4"/>
  <c r="R35" i="4"/>
  <c r="S35" i="4"/>
  <c r="T35" i="4"/>
  <c r="U35" i="4"/>
  <c r="H35" i="4"/>
  <c r="P35" i="4"/>
  <c r="N37" i="4" l="1"/>
  <c r="M37" i="4"/>
  <c r="L37" i="4"/>
  <c r="K37" i="4"/>
  <c r="J37" i="4"/>
  <c r="I37" i="4"/>
  <c r="H37" i="4"/>
  <c r="P36" i="4"/>
  <c r="Q36" i="4"/>
  <c r="B13" i="5" s="1"/>
  <c r="A12" i="5"/>
  <c r="L36" i="4"/>
  <c r="A8" i="5"/>
  <c r="N36" i="4"/>
  <c r="A10" i="5"/>
  <c r="M36" i="4"/>
  <c r="A9" i="5"/>
  <c r="K36" i="4"/>
  <c r="A7" i="5"/>
  <c r="H36" i="4"/>
  <c r="A4" i="5"/>
  <c r="R36" i="4"/>
  <c r="B14" i="5" s="1"/>
  <c r="A13" i="5"/>
  <c r="T36" i="4"/>
  <c r="B16" i="5" s="1"/>
  <c r="A15" i="5"/>
  <c r="U36" i="4"/>
  <c r="A16" i="5"/>
  <c r="S36" i="4"/>
  <c r="B15" i="5" s="1"/>
  <c r="A14" i="5"/>
  <c r="J36" i="4"/>
  <c r="A6" i="5"/>
  <c r="I36" i="4"/>
  <c r="A5" i="5"/>
  <c r="O35" i="4"/>
  <c r="T37" i="4" s="1"/>
  <c r="P37" i="4" l="1"/>
  <c r="U37" i="4"/>
  <c r="Q37" i="4"/>
  <c r="R37" i="4"/>
  <c r="S37" i="4"/>
  <c r="P39" i="4"/>
  <c r="B12" i="5"/>
  <c r="O37" i="4"/>
  <c r="P38" i="4"/>
  <c r="H38" i="4"/>
  <c r="H39" i="4"/>
  <c r="B7" i="5"/>
  <c r="K38" i="4"/>
  <c r="K39" i="4"/>
  <c r="Q39" i="4"/>
  <c r="Q38" i="4"/>
  <c r="B6" i="5"/>
  <c r="J38" i="4"/>
  <c r="J39" i="4"/>
  <c r="R38" i="4"/>
  <c r="R39" i="4"/>
  <c r="B10" i="5"/>
  <c r="N38" i="4"/>
  <c r="N39" i="4"/>
  <c r="U38" i="4"/>
  <c r="U39" i="4"/>
  <c r="B5" i="5"/>
  <c r="I39" i="4"/>
  <c r="I38" i="4"/>
  <c r="T38" i="4"/>
  <c r="T39" i="4"/>
  <c r="B9" i="5"/>
  <c r="M38" i="4"/>
  <c r="M39" i="4"/>
  <c r="S38" i="4"/>
  <c r="S39" i="4"/>
  <c r="B8" i="5"/>
  <c r="L38" i="4"/>
  <c r="L39" i="4"/>
  <c r="B4" i="5"/>
  <c r="O36" i="4"/>
  <c r="B11" i="5" s="1"/>
  <c r="A11" i="5"/>
  <c r="O39" i="4" l="1"/>
  <c r="K27" i="4" s="1"/>
  <c r="K26" i="4" s="1"/>
  <c r="O38" i="4"/>
  <c r="G27" i="4" s="1"/>
  <c r="G26" i="4" s="1"/>
</calcChain>
</file>

<file path=xl/sharedStrings.xml><?xml version="1.0" encoding="utf-8"?>
<sst xmlns="http://schemas.openxmlformats.org/spreadsheetml/2006/main" count="68" uniqueCount="62">
  <si>
    <t>Title</t>
  </si>
  <si>
    <t>Navigation</t>
  </si>
  <si>
    <t>Content</t>
  </si>
  <si>
    <t>Customization difficulty (1-3)</t>
  </si>
  <si>
    <t>Explanation of sheets</t>
  </si>
  <si>
    <t>How to customize</t>
  </si>
  <si>
    <t>1)</t>
  </si>
  <si>
    <t>2)</t>
  </si>
  <si>
    <t>3)</t>
  </si>
  <si>
    <t>4)</t>
  </si>
  <si>
    <t>5)</t>
  </si>
  <si>
    <t>6)</t>
  </si>
  <si>
    <t>Year wise analysis</t>
  </si>
  <si>
    <t>Year</t>
  </si>
  <si>
    <t>Growth</t>
  </si>
  <si>
    <t>Jan.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</si>
  <si>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</si>
  <si>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</si>
  <si>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</si>
  <si>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</si>
  <si>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</si>
  <si>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</si>
  <si>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</si>
  <si>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</si>
  <si>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</si>
  <si>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</si>
  <si>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</si>
  <si>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Growth rate</t>
  </si>
  <si>
    <t>Year Over Year comparison</t>
  </si>
  <si>
    <t>Data</t>
  </si>
  <si>
    <t>rate%</t>
  </si>
  <si>
    <t>Positive</t>
  </si>
  <si>
    <t>Negative</t>
  </si>
  <si>
    <t>#Dataset</t>
  </si>
  <si>
    <t>Year over Year accumulated growth</t>
  </si>
  <si>
    <t>is a frequently used financial comparison for comparing two or more measurable events on an annualized basis.</t>
  </si>
  <si>
    <t>YOY</t>
  </si>
  <si>
    <t>Stands for year over year</t>
  </si>
  <si>
    <t>refer to any measurable events</t>
  </si>
  <si>
    <t>is a solution you gain when you compare a business performance statistic from a specific month or quarter in the previous year with the same time frame this year.</t>
  </si>
  <si>
    <t>YOY growth</t>
  </si>
  <si>
    <t>Main sheet for year wise analysis you can put your measurable Dataset and see YOY analysis</t>
  </si>
  <si>
    <t>Go to year wise analysis sheet</t>
  </si>
  <si>
    <t xml:space="preserve">In above dataset table you can register your annual measurable events by year </t>
  </si>
  <si>
    <t>In below graph and statistical analysis you will see YOY changes and growth</t>
  </si>
  <si>
    <t>In this left side table you can compare betwee 2 years in twelve months events</t>
  </si>
  <si>
    <t>At left side area is YOY comparison.</t>
  </si>
  <si>
    <t>Record monthly measurable data for each month and see growth rate</t>
  </si>
  <si>
    <t>Maximum YOY gain</t>
  </si>
  <si>
    <t>Maximum YOY loss</t>
  </si>
  <si>
    <t>Related To Online Templates</t>
  </si>
  <si>
    <t>Our templates is compatible with online service but some templates that including macros feature is still not supported with Excel Online</t>
  </si>
  <si>
    <t>Here is some hints that replace our macros in case of using Online Template</t>
  </si>
  <si>
    <t>Referesh / Update Data</t>
  </si>
  <si>
    <r>
      <t xml:space="preserve">Some of our templates include </t>
    </r>
    <r>
      <rPr>
        <b/>
        <sz val="10"/>
        <color theme="1"/>
        <rFont val="Arial"/>
        <family val="2"/>
      </rPr>
      <t xml:space="preserve">Referesh/Update data </t>
    </r>
    <r>
      <rPr>
        <sz val="10"/>
        <color theme="1"/>
        <rFont val="Arial"/>
        <family val="2"/>
      </rPr>
      <t>macro button that can be replaced with Referesh All tool in Excel Online ribbon</t>
    </r>
  </si>
  <si>
    <t>Full Screen</t>
  </si>
  <si>
    <r>
      <t xml:space="preserve">Some of our templates have </t>
    </r>
    <r>
      <rPr>
        <b/>
        <sz val="10"/>
        <color theme="1"/>
        <rFont val="Arial"/>
        <family val="2"/>
      </rPr>
      <t xml:space="preserve">Full Screen </t>
    </r>
    <r>
      <rPr>
        <sz val="10"/>
        <color theme="1"/>
        <rFont val="Arial"/>
        <family val="2"/>
      </rPr>
      <t xml:space="preserve">macro button that can be replaced with the itself web browser full screen tool </t>
    </r>
  </si>
  <si>
    <r>
      <t xml:space="preserve">Other macros is applied on less than ~15% of our templats can be overcome by transferring to Desktop App </t>
    </r>
    <r>
      <rPr>
        <b/>
        <sz val="10"/>
        <color theme="1"/>
        <rFont val="Arial"/>
        <family val="2"/>
      </rPr>
      <t>"Open in Desktop App"</t>
    </r>
    <r>
      <rPr>
        <sz val="10"/>
        <color theme="1"/>
        <rFont val="Arial"/>
        <family val="2"/>
      </rPr>
      <t xml:space="preserve"> button</t>
    </r>
  </si>
  <si>
    <t>Other Macros / Buttons</t>
  </si>
  <si>
    <t>Open in Desktop App</t>
  </si>
  <si>
    <t>To open online template using Desktop App be sure that you signed in to your Microsoft account / Onedrive account</t>
  </si>
  <si>
    <t>Year Wise 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</si>
</sst>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(* #,##0.00_);_(* \(#,##0.00\);_(* &quot;-&quot;??_);_(@_)"/>
    <numFmt numFmtId="165" formatCode="_(* #,##0_);_(* \(#,##0\);_(* &quot;-&quot;??_);_(@_)"/>
  </numFmts>
  <fonts count="23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u/>
      <sz val="10"/>
      <color theme="1"/>
      <name val="Arial"/>
      <family val="2"/>
    </font>
    <font>
      <b/>
      <u/>
      <sz val="10"/>
      <color theme="1"/>
      <name val="Arial"/>
      <family val="2"/>
    </font>
    <font>
      <i/>
      <u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0"/>
      <name val="Arial"/>
      <family val="2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theme="1"/>
      <name val="Arial"/>
      <family val="2"/>
    </font>
    <font>
      <sz val="28"/>
      <color theme="1"/>
      <name val="Arial"/>
      <family val="2"/>
    </font>
    <font>
      <sz val="10"/>
      <color theme="0" tint="-0.499984740745262"/>
      <name val="Arial"/>
      <family val="2"/>
    </font>
    <font>
      <b/>
      <sz val="10"/>
      <name val="Arial"/>
      <family val="2"/>
    </font>
    <font>
      <sz val="8"/>
      <name val="Calibri"/>
      <family val="2"/>
      <scheme val="minor"/>
    </font>
    <font>
      <b/>
      <sz val="10"/>
      <color rgb="FF50B47F"/>
      <name val="Arial"/>
      <family val="2"/>
    </font>
    <font>
      <sz val="48"/>
      <color theme="1"/>
      <name val="Arial"/>
      <family val="2"/>
    </font>
    <font>
      <sz val="20"/>
      <color theme="1"/>
      <name val="Arial"/>
      <family val="2"/>
    </font>
    <font>
      <b/>
      <sz val="10"/>
      <color rgb="FFC00000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u/>
      <sz val="11"/>
      <color theme="0"/>
      <name val="Calibri"/>
      <family val="2"/>
      <scheme val="minor"/>
    </font>
    <font>
      <sz val="4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50B47F"/>
        <bgColor indexed="64"/>
      </patternFill>
    </fill>
    <fill>
      <patternFill patternType="solid">
        <fgColor rgb="FF8FCFA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34998626667073579"/>
      </right>
      <top style="thin">
        <color theme="0" tint="-0.499984740745262"/>
      </top>
      <bottom/>
      <diagonal/>
    </border>
    <border>
      <left/>
      <right style="thin">
        <color theme="0" tint="-0.34998626667073579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34998626667073579"/>
      </left>
      <right style="dashed">
        <color theme="0" tint="-0.34998626667073579"/>
      </right>
      <top style="thin">
        <color theme="0" tint="-0.499984740745262"/>
      </top>
      <bottom style="dashed">
        <color theme="0" tint="-0.34998626667073579"/>
      </bottom>
      <diagonal/>
    </border>
    <border>
      <left style="dashed">
        <color theme="0" tint="-0.34998626667073579"/>
      </left>
      <right style="dashed">
        <color theme="0" tint="-0.34998626667073579"/>
      </right>
      <top style="thin">
        <color theme="0" tint="-0.499984740745262"/>
      </top>
      <bottom style="dashed">
        <color theme="0" tint="-0.34998626667073579"/>
      </bottom>
      <diagonal/>
    </border>
    <border>
      <left style="thin">
        <color theme="0" tint="-0.34998626667073579"/>
      </left>
      <right style="dashed">
        <color theme="0" tint="-0.34998626667073579"/>
      </right>
      <top style="dashed">
        <color theme="0" tint="-0.34998626667073579"/>
      </top>
      <bottom style="thin">
        <color theme="0" tint="-0.499984740745262"/>
      </bottom>
      <diagonal/>
    </border>
    <border>
      <left style="dashed">
        <color theme="0" tint="-0.34998626667073579"/>
      </left>
      <right style="dashed">
        <color theme="0" tint="-0.34998626667073579"/>
      </right>
      <top style="dashed">
        <color theme="0" tint="-0.34998626667073579"/>
      </top>
      <bottom style="thin">
        <color theme="0" tint="-0.499984740745262"/>
      </bottom>
      <diagonal/>
    </border>
    <border>
      <left style="thin">
        <color theme="0" tint="-0.499984740745262"/>
      </left>
      <right style="dashed">
        <color theme="0" tint="-0.499984740745262"/>
      </right>
      <top/>
      <bottom style="dashed">
        <color theme="0" tint="-0.499984740745262"/>
      </bottom>
      <diagonal/>
    </border>
    <border>
      <left style="dashed">
        <color theme="0" tint="-0.499984740745262"/>
      </left>
      <right style="thin">
        <color theme="0" tint="-0.499984740745262"/>
      </right>
      <top/>
      <bottom style="dashed">
        <color theme="0" tint="-0.499984740745262"/>
      </bottom>
      <diagonal/>
    </border>
    <border>
      <left style="thin">
        <color theme="0" tint="-0.499984740745262"/>
      </left>
      <right style="dashed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dashed">
        <color theme="0" tint="-0.499984740745262"/>
      </left>
      <right style="thin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thin">
        <color theme="0" tint="-0.499984740745262"/>
      </left>
      <right style="dashed">
        <color theme="0" tint="-0.499984740745262"/>
      </right>
      <top style="dashed">
        <color theme="0" tint="-0.499984740745262"/>
      </top>
      <bottom style="thin">
        <color theme="0" tint="-0.499984740745262"/>
      </bottom>
      <diagonal/>
    </border>
    <border>
      <left style="dashed">
        <color theme="0" tint="-0.499984740745262"/>
      </left>
      <right style="thin">
        <color theme="0" tint="-0.499984740745262"/>
      </right>
      <top style="dashed">
        <color theme="0" tint="-0.499984740745262"/>
      </top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ashed">
        <color theme="0" tint="-0.34998626667073579"/>
      </left>
      <right style="thin">
        <color theme="0" tint="-0.34998626667073579"/>
      </right>
      <top style="thin">
        <color theme="0" tint="-0.499984740745262"/>
      </top>
      <bottom style="dashed">
        <color theme="0" tint="-0.34998626667073579"/>
      </bottom>
      <diagonal/>
    </border>
    <border>
      <left style="dashed">
        <color theme="0" tint="-0.34998626667073579"/>
      </left>
      <right style="thin">
        <color theme="0" tint="-0.34998626667073579"/>
      </right>
      <top style="dashed">
        <color theme="0" tint="-0.34998626667073579"/>
      </top>
      <bottom style="thin">
        <color theme="0" tint="-0.499984740745262"/>
      </bottom>
      <diagonal/>
    </border>
  </borders>
  <cellStyleXfs count="7">
    <xf numFmtId="0" fontId="0" fillId="0" borderId="0"/>
    <xf numFmtId="0" fontId="1" fillId="0" borderId="0"/>
    <xf numFmtId="0" fontId="6" fillId="0" borderId="0" applyNumberFormat="0" applyFill="0" applyBorder="0" applyAlignment="0" applyProtection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/>
    <xf numFmtId="0" fontId="6" fillId="0" borderId="0" applyNumberFormat="0" applyFill="0" applyBorder="0" applyAlignment="0" applyProtection="0"/>
  </cellStyleXfs>
  <cellXfs count="55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1" applyFont="1"/>
    <xf numFmtId="0" fontId="5" fillId="0" borderId="0" xfId="0" applyFont="1" applyAlignment="1">
      <alignment horizontal="right"/>
    </xf>
    <xf numFmtId="0" fontId="4" fillId="0" borderId="0" xfId="0" applyFont="1" applyAlignment="1">
      <alignment horizontal="right"/>
    </xf>
    <xf numFmtId="0" fontId="1" fillId="0" borderId="0" xfId="0" applyFont="1" applyAlignment="1">
      <alignment horizontal="right"/>
    </xf>
    <xf numFmtId="0" fontId="1" fillId="2" borderId="0" xfId="0" applyFont="1" applyFill="1"/>
    <xf numFmtId="0" fontId="3" fillId="2" borderId="0" xfId="0" applyFont="1" applyFill="1"/>
    <xf numFmtId="0" fontId="7" fillId="2" borderId="0" xfId="0" applyFont="1" applyFill="1"/>
    <xf numFmtId="0" fontId="8" fillId="2" borderId="0" xfId="2" applyFont="1" applyFill="1"/>
    <xf numFmtId="0" fontId="1" fillId="5" borderId="0" xfId="0" applyFont="1" applyFill="1"/>
    <xf numFmtId="165" fontId="1" fillId="5" borderId="0" xfId="3" applyNumberFormat="1" applyFont="1" applyFill="1" applyAlignment="1">
      <alignment vertical="center"/>
    </xf>
    <xf numFmtId="165" fontId="11" fillId="5" borderId="0" xfId="3" applyNumberFormat="1" applyFont="1" applyFill="1" applyBorder="1" applyAlignment="1">
      <alignment vertical="center"/>
    </xf>
    <xf numFmtId="165" fontId="10" fillId="5" borderId="0" xfId="3" applyNumberFormat="1" applyFont="1" applyFill="1" applyBorder="1" applyAlignment="1">
      <alignment vertical="center"/>
    </xf>
    <xf numFmtId="0" fontId="12" fillId="5" borderId="0" xfId="0" applyFont="1" applyFill="1"/>
    <xf numFmtId="0" fontId="3" fillId="5" borderId="0" xfId="0" applyFont="1" applyFill="1"/>
    <xf numFmtId="0" fontId="1" fillId="4" borderId="0" xfId="0" applyFont="1" applyFill="1"/>
    <xf numFmtId="9" fontId="1" fillId="5" borderId="0" xfId="4" applyFont="1" applyFill="1"/>
    <xf numFmtId="0" fontId="15" fillId="5" borderId="0" xfId="0" applyFont="1" applyFill="1" applyAlignment="1">
      <alignment horizontal="center"/>
    </xf>
    <xf numFmtId="10" fontId="0" fillId="0" borderId="0" xfId="0" applyNumberFormat="1"/>
    <xf numFmtId="165" fontId="16" fillId="5" borderId="0" xfId="3" applyNumberFormat="1" applyFont="1" applyFill="1" applyBorder="1" applyAlignment="1">
      <alignment vertical="center"/>
    </xf>
    <xf numFmtId="0" fontId="18" fillId="5" borderId="0" xfId="0" applyFont="1" applyFill="1" applyAlignment="1">
      <alignment horizontal="center"/>
    </xf>
    <xf numFmtId="0" fontId="13" fillId="5" borderId="0" xfId="0" applyFont="1" applyFill="1" applyAlignment="1">
      <alignment horizontal="center"/>
    </xf>
    <xf numFmtId="0" fontId="2" fillId="3" borderId="2" xfId="0" applyFont="1" applyFill="1" applyBorder="1" applyProtection="1">
      <protection locked="0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13" fillId="3" borderId="3" xfId="0" applyFont="1" applyFill="1" applyBorder="1" applyProtection="1">
      <protection locked="0"/>
    </xf>
    <xf numFmtId="165" fontId="1" fillId="4" borderId="7" xfId="3" applyNumberFormat="1" applyFont="1" applyFill="1" applyBorder="1" applyAlignment="1" applyProtection="1">
      <alignment horizontal="center"/>
      <protection locked="0"/>
    </xf>
    <xf numFmtId="165" fontId="1" fillId="4" borderId="8" xfId="3" applyNumberFormat="1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Protection="1">
      <protection locked="0"/>
    </xf>
    <xf numFmtId="0" fontId="1" fillId="3" borderId="4" xfId="0" applyFont="1" applyFill="1" applyBorder="1" applyProtection="1">
      <protection locked="0"/>
    </xf>
    <xf numFmtId="165" fontId="1" fillId="4" borderId="9" xfId="3" applyNumberFormat="1" applyFont="1" applyFill="1" applyBorder="1" applyProtection="1">
      <protection locked="0"/>
    </xf>
    <xf numFmtId="165" fontId="1" fillId="4" borderId="10" xfId="3" applyNumberFormat="1" applyFont="1" applyFill="1" applyBorder="1" applyProtection="1">
      <protection locked="0"/>
    </xf>
    <xf numFmtId="165" fontId="1" fillId="4" borderId="11" xfId="3" applyNumberFormat="1" applyFont="1" applyFill="1" applyBorder="1" applyProtection="1">
      <protection locked="0"/>
    </xf>
    <xf numFmtId="165" fontId="1" fillId="4" borderId="12" xfId="3" applyNumberFormat="1" applyFont="1" applyFill="1" applyBorder="1" applyProtection="1">
      <protection locked="0"/>
    </xf>
    <xf numFmtId="165" fontId="1" fillId="4" borderId="13" xfId="3" applyNumberFormat="1" applyFont="1" applyFill="1" applyBorder="1" applyProtection="1">
      <protection locked="0"/>
    </xf>
    <xf numFmtId="165" fontId="1" fillId="4" borderId="14" xfId="3" applyNumberFormat="1" applyFont="1" applyFill="1" applyBorder="1" applyProtection="1">
      <protection locked="0"/>
    </xf>
    <xf numFmtId="0" fontId="2" fillId="4" borderId="18" xfId="0" applyFont="1" applyFill="1" applyBorder="1" applyAlignment="1" applyProtection="1">
      <alignment horizontal="center"/>
      <protection locked="0"/>
    </xf>
    <xf numFmtId="165" fontId="1" fillId="4" borderId="19" xfId="3" applyNumberFormat="1" applyFont="1" applyFill="1" applyBorder="1" applyAlignment="1" applyProtection="1">
      <alignment horizontal="center"/>
      <protection locked="0"/>
    </xf>
    <xf numFmtId="165" fontId="1" fillId="5" borderId="0" xfId="3" applyNumberFormat="1" applyFont="1" applyFill="1"/>
    <xf numFmtId="0" fontId="20" fillId="2" borderId="0" xfId="0" applyFont="1" applyFill="1"/>
    <xf numFmtId="0" fontId="21" fillId="2" borderId="0" xfId="2" applyFont="1" applyFill="1"/>
    <xf numFmtId="0" fontId="1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0" fontId="1" fillId="0" borderId="0" xfId="5"/>
    <xf numFmtId="0" fontId="6" fillId="0" borderId="0" xfId="2"/>
    <xf numFmtId="0" fontId="19" fillId="2" borderId="0" xfId="0" applyFont="1" applyFill="1" applyAlignment="1">
      <alignment horizontal="center" vertical="center"/>
    </xf>
    <xf numFmtId="9" fontId="22" fillId="5" borderId="15" xfId="0" applyNumberFormat="1" applyFont="1" applyFill="1" applyBorder="1" applyAlignment="1">
      <alignment horizontal="right" vertical="center"/>
    </xf>
    <xf numFmtId="0" fontId="22" fillId="5" borderId="16" xfId="0" applyFont="1" applyFill="1" applyBorder="1" applyAlignment="1">
      <alignment horizontal="right" vertical="center"/>
    </xf>
    <xf numFmtId="0" fontId="22" fillId="5" borderId="17" xfId="0" applyFont="1" applyFill="1" applyBorder="1" applyAlignment="1">
      <alignment horizontal="right" vertical="center"/>
    </xf>
    <xf numFmtId="0" fontId="22" fillId="5" borderId="15" xfId="0" applyFont="1" applyFill="1" applyBorder="1" applyAlignment="1">
      <alignment horizontal="right" vertical="center"/>
    </xf>
    <xf numFmtId="0" fontId="17" fillId="5" borderId="15" xfId="0" applyFont="1" applyFill="1" applyBorder="1" applyAlignment="1">
      <alignment horizontal="center"/>
    </xf>
    <xf numFmtId="0" fontId="17" fillId="5" borderId="16" xfId="0" applyFont="1" applyFill="1" applyBorder="1" applyAlignment="1">
      <alignment horizontal="center"/>
    </xf>
    <xf numFmtId="0" fontId="17" fillId="5" borderId="17" xfId="0" applyFont="1" applyFill="1" applyBorder="1" applyAlignment="1">
      <alignment horizontal="center"/>
    </xf>
  </cellXfs>
  <cellStyles count="7">
    <cellStyle name="Comma" xfId="3" builtinId="3"/>
    <cellStyle name="Hyperlink" xfId="2" builtinId="8"/>
    <cellStyle name="Hyperlink 2" xfId="6" xr:uid="{EB0DD54D-23E9-4376-B3B3-2A07F9906422}"/>
    <cellStyle name="Normal" xfId="0" builtinId="0"/>
    <cellStyle name="Normal 2" xfId="1" xr:uid="{4C4B56A4-5300-4763-9054-91E1974E06C1}"/>
    <cellStyle name="Normal 2 2" xfId="5" xr:uid="{2A68FA9C-0B02-498B-88F4-76314B84D733}"/>
    <cellStyle name="Percent" xfId="4" builtinId="5"/>
  </cellStyles>
  <dxfs count="10">
    <dxf>
      <font>
        <b/>
        <sz val="11"/>
        <color theme="1"/>
      </font>
    </dxf>
    <dxf>
      <fill>
        <patternFill patternType="solid">
          <fgColor theme="0"/>
          <bgColor theme="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/>
        <sz val="11"/>
        <color theme="1"/>
      </font>
      <fill>
        <patternFill>
          <bgColor rgb="FF50B47F"/>
        </patternFill>
      </fill>
    </dxf>
    <dxf>
      <fill>
        <patternFill patternType="solid">
          <fgColor theme="0"/>
          <bgColor theme="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/>
        <sz val="11"/>
        <color theme="1"/>
      </font>
    </dxf>
    <dxf>
      <fill>
        <patternFill patternType="solid">
          <fgColor theme="0"/>
          <bgColor theme="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>
          <bgColor rgb="FF8FCFAD"/>
        </patternFill>
      </fill>
    </dxf>
    <dxf>
      <fill>
        <patternFill>
          <bgColor rgb="FF8FCFAD"/>
        </patternFill>
      </fill>
    </dxf>
    <dxf>
      <fill>
        <patternFill>
          <bgColor rgb="FF8FCFAD"/>
        </patternFill>
      </fill>
    </dxf>
    <dxf>
      <fill>
        <patternFill>
          <bgColor rgb="FF8FCFAD"/>
        </patternFill>
      </fill>
    </dxf>
  </dxfs>
  <tableStyles count="7" defaultTableStyle="TableStyleMedium2" defaultPivotStyle="PivotStyleLight16">
    <tableStyle name="Table Style 1" pivot="0" count="1" xr9:uid="{BB7F0C67-185F-4631-93AA-BD2E768D7A13}">
      <tableStyleElement type="wholeTable" dxfId="9"/>
    </tableStyle>
    <tableStyle name="Table Style 2" pivot="0" count="1" xr9:uid="{3D276D6F-F8EC-4105-AF4E-EF90E0497490}">
      <tableStyleElement type="secondColumnStripe" dxfId="8"/>
    </tableStyle>
    <tableStyle name="Table Style 3" pivot="0" count="1" xr9:uid="{58126073-47CA-432E-9930-0966B1055812}">
      <tableStyleElement type="firstColumnStripe" dxfId="7"/>
    </tableStyle>
    <tableStyle name="Table Style 4" pivot="0" count="1" xr9:uid="{5E1F8E05-1701-4D75-BC47-9223CD34FC6B}">
      <tableStyleElement type="firstRowStripe" dxfId="6"/>
    </tableStyle>
    <tableStyle name="Timeline Style 1" pivot="0" table="0" count="8" xr9:uid="{C2E335C9-31F7-40A6-909D-A0A242EC80DD}">
      <tableStyleElement type="wholeTable" dxfId="5"/>
      <tableStyleElement type="headerRow" dxfId="4"/>
    </tableStyle>
    <tableStyle name="Timeline Style 2" pivot="0" table="0" count="8" xr9:uid="{BD7D3DEA-9F17-4B02-A38B-A505F988F17B}">
      <tableStyleElement type="wholeTable" dxfId="3"/>
      <tableStyleElement type="headerRow" dxfId="2"/>
    </tableStyle>
    <tableStyle name="Timeline Style 3" pivot="0" table="0" count="9" xr9:uid="{03AB8773-F939-4292-A158-497A8B257D1F}">
      <tableStyleElement type="wholeTable" dxfId="1"/>
      <tableStyleElement type="headerRow" dxfId="0"/>
    </tableStyle>
  </tableStyles>
  <colors>
    <mruColors>
      <color rgb="FF8FCFAD"/>
      <color rgb="FF50B47F"/>
      <color rgb="FFE6AF00"/>
      <color rgb="FFF8F200"/>
      <color rgb="FFDAC108"/>
      <color rgb="FFA32319"/>
      <color rgb="FFE8E8E8"/>
      <color rgb="FFEEEEEE"/>
      <color rgb="FFE6E6E6"/>
      <color rgb="FFE0E0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A0A4C193-F2C1-4fcb-8827-314CF55A85BB}">
      <x15:dxfs count="19">
        <dxf>
          <fill>
            <patternFill>
              <bgColor rgb="FF8FCFAD"/>
            </patternFill>
          </fill>
        </dxf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theme="0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rgb="FF50B47F"/>
            <name val="Calibri"/>
            <family val="2"/>
            <scheme val="minor"/>
          </font>
        </dxf>
        <dxf>
          <font>
            <sz val="10"/>
            <color rgb="FF50B47F"/>
            <name val="Calibri"/>
            <family val="2"/>
            <scheme val="minor"/>
          </font>
        </dxf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rgb="FF8FCFAD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10"/>
            <color theme="1" tint="0.499984740745262"/>
          </font>
        </dxf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rgb="FF8FCFAD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10"/>
            <color theme="1" tint="0.499984740745262"/>
          </font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Timeline Style 1">
          <x15:timelineStyleElements>
            <x15:timelineStyleElement type="selectionLabel" dxfId="18"/>
            <x15:timelineStyleElement type="timeLevel" dxfId="17"/>
            <x15:timelineStyleElement type="periodLabel1" dxfId="16"/>
            <x15:timelineStyleElement type="periodLabel2" dxfId="15"/>
            <x15:timelineStyleElement type="selectedTimeBlock" dxfId="14"/>
            <x15:timelineStyleElement type="unselectedTimeBlock" dxfId="13"/>
          </x15:timelineStyleElements>
        </x15:timelineStyle>
        <x15:timelineStyle name="Timeline Style 2">
          <x15:timelineStyleElements>
            <x15:timelineStyleElement type="selectionLabel" dxfId="12"/>
            <x15:timelineStyleElement type="timeLevel" dxfId="11"/>
            <x15:timelineStyleElement type="periodLabel1" dxfId="10"/>
            <x15:timelineStyleElement type="periodLabel2" dxfId="9"/>
            <x15:timelineStyleElement type="selectedTimeBlock" dxfId="8"/>
            <x15:timelineStyleElement type="unselectedTimeBlock" dxfId="7"/>
          </x15:timelineStyleElements>
        </x15:timelineStyle>
        <x15:timelineStyle name="Timeline Style 3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6961855919325871E-2"/>
          <c:y val="5.7403795225006854E-2"/>
          <c:w val="0.94194165285260401"/>
          <c:h val="0.7658179917547276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'Year wise analysis'!$F$4</c:f>
              <c:strCache>
                <c:ptCount val="1"/>
                <c:pt idx="0">
                  <c:v>#Dataset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solidFill>
                <a:schemeClr val="bg1">
                  <a:lumMod val="50000"/>
                </a:schemeClr>
              </a:solidFill>
            </a:ln>
            <a:effectLst/>
          </c:spPr>
          <c:invertIfNegative val="0"/>
          <c:cat>
            <c:numRef>
              <c:f>'Year wise analysis'!$G$3:$U$3</c:f>
              <c:numCache>
                <c:formatCode>General</c:formatCode>
                <c:ptCount val="15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</c:numCache>
            </c:numRef>
          </c:cat>
          <c:val>
            <c:numRef>
              <c:f>'Year wise analysis'!$G$4:$U$4</c:f>
              <c:numCache>
                <c:formatCode>_(* #,##0_);_(* \(#,##0\);_(* "-"??_);_(@_)</c:formatCode>
                <c:ptCount val="15"/>
                <c:pt idx="0">
                  <c:v>51592</c:v>
                </c:pt>
                <c:pt idx="1">
                  <c:v>61146</c:v>
                </c:pt>
                <c:pt idx="2">
                  <c:v>52761</c:v>
                </c:pt>
                <c:pt idx="3">
                  <c:v>51780</c:v>
                </c:pt>
                <c:pt idx="4">
                  <c:v>96213</c:v>
                </c:pt>
                <c:pt idx="5">
                  <c:v>63593</c:v>
                </c:pt>
                <c:pt idx="6">
                  <c:v>87062</c:v>
                </c:pt>
                <c:pt idx="7">
                  <c:v>97425</c:v>
                </c:pt>
                <c:pt idx="8">
                  <c:v>52070</c:v>
                </c:pt>
                <c:pt idx="9">
                  <c:v>68679</c:v>
                </c:pt>
                <c:pt idx="10">
                  <c:v>63735</c:v>
                </c:pt>
                <c:pt idx="11">
                  <c:v>53589</c:v>
                </c:pt>
                <c:pt idx="12">
                  <c:v>63148</c:v>
                </c:pt>
                <c:pt idx="13">
                  <c:v>69478</c:v>
                </c:pt>
                <c:pt idx="14">
                  <c:v>95978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53-4BC0-B27E-95FA8E65090E}"/>
            </c:ext>
          </c:extLst>
        </c:ser>
        <c:ser>
          <c:idx val="0"/>
          <c:order val="1"/>
          <c:tx>
            <c:strRef>
              <c:f>'Year wise analysis'!$D$35</c:f>
              <c:strCache>
                <c:ptCount val="1"/>
                <c:pt idx="0">
                  <c:v>Growth</c:v>
                </c:pt>
              </c:strCache>
            </c:strRef>
          </c:tx>
          <c:spPr>
            <a:solidFill>
              <a:srgbClr val="8FCFAD"/>
            </a:solidFill>
            <a:ln>
              <a:solidFill>
                <a:schemeClr val="bg1">
                  <a:lumMod val="50000"/>
                </a:schemeClr>
              </a:solidFill>
            </a:ln>
            <a:effectLst/>
          </c:spPr>
          <c:invertIfNegative val="1"/>
          <c:cat>
            <c:numRef>
              <c:f>'Year wise analysis'!$G$3:$U$3</c:f>
              <c:numCache>
                <c:formatCode>General</c:formatCode>
                <c:ptCount val="15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</c:numCache>
            </c:numRef>
          </c:cat>
          <c:val>
            <c:numRef>
              <c:f>'Year wise analysis'!$G$35:$U$35</c:f>
              <c:numCache>
                <c:formatCode>_(* #,##0_);_(* \(#,##0\);_(* "-"??_);_(@_)</c:formatCode>
                <c:ptCount val="15"/>
                <c:pt idx="1">
                  <c:v>9554</c:v>
                </c:pt>
                <c:pt idx="2">
                  <c:v>-8385</c:v>
                </c:pt>
                <c:pt idx="3">
                  <c:v>-981</c:v>
                </c:pt>
                <c:pt idx="4">
                  <c:v>44433</c:v>
                </c:pt>
                <c:pt idx="5">
                  <c:v>-32620</c:v>
                </c:pt>
                <c:pt idx="6">
                  <c:v>23469</c:v>
                </c:pt>
                <c:pt idx="7">
                  <c:v>10363</c:v>
                </c:pt>
                <c:pt idx="8">
                  <c:v>-45355</c:v>
                </c:pt>
                <c:pt idx="9">
                  <c:v>16609</c:v>
                </c:pt>
                <c:pt idx="10">
                  <c:v>-4944</c:v>
                </c:pt>
                <c:pt idx="11">
                  <c:v>-10146</c:v>
                </c:pt>
                <c:pt idx="12">
                  <c:v>9559</c:v>
                </c:pt>
                <c:pt idx="13">
                  <c:v>6330</c:v>
                </c:pt>
                <c:pt idx="14">
                  <c:v>26500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solidFill>
                      <a:schemeClr val="bg1">
                        <a:lumMod val="50000"/>
                      </a:schemeClr>
                    </a:solidFill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3-7B53-4BC0-B27E-95FA8E650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04402336"/>
        <c:axId val="1141374768"/>
      </c:barChart>
      <c:lineChart>
        <c:grouping val="standard"/>
        <c:varyColors val="0"/>
        <c:ser>
          <c:idx val="2"/>
          <c:order val="2"/>
          <c:tx>
            <c:strRef>
              <c:f>'Year wise analysis'!$D$36</c:f>
              <c:strCache>
                <c:ptCount val="1"/>
                <c:pt idx="0">
                  <c:v>Growth rate</c:v>
                </c:pt>
              </c:strCache>
            </c:strRef>
          </c:tx>
          <c:spPr>
            <a:ln w="28575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'Year wise analysis'!$G$36:$U$36</c:f>
              <c:numCache>
                <c:formatCode>0%</c:formatCode>
                <c:ptCount val="15"/>
                <c:pt idx="1">
                  <c:v>0.18518374941851451</c:v>
                </c:pt>
                <c:pt idx="2">
                  <c:v>-0.1371308016877637</c:v>
                </c:pt>
                <c:pt idx="3">
                  <c:v>-1.8593279126627622E-2</c:v>
                </c:pt>
                <c:pt idx="4">
                  <c:v>0.85811123986095017</c:v>
                </c:pt>
                <c:pt idx="5">
                  <c:v>-0.33903942294700301</c:v>
                </c:pt>
                <c:pt idx="6">
                  <c:v>0.36905005267875396</c:v>
                </c:pt>
                <c:pt idx="7">
                  <c:v>0.11903011646872344</c:v>
                </c:pt>
                <c:pt idx="8">
                  <c:v>-0.46553759302027198</c:v>
                </c:pt>
                <c:pt idx="9">
                  <c:v>0.31897445746111003</c:v>
                </c:pt>
                <c:pt idx="10">
                  <c:v>-7.1987070283492771E-2</c:v>
                </c:pt>
                <c:pt idx="11">
                  <c:v>-0.15919039774064486</c:v>
                </c:pt>
                <c:pt idx="12">
                  <c:v>0.17837615928642073</c:v>
                </c:pt>
                <c:pt idx="13">
                  <c:v>0.10024070437701907</c:v>
                </c:pt>
                <c:pt idx="14">
                  <c:v>0.38141569993379199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48-4C6A-9AE4-75507BF63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247936"/>
        <c:axId val="738769904"/>
      </c:lineChart>
      <c:catAx>
        <c:axId val="1004402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141374768"/>
        <c:crosses val="autoZero"/>
        <c:auto val="1"/>
        <c:lblAlgn val="ctr"/>
        <c:lblOffset val="100"/>
        <c:noMultiLvlLbl val="0"/>
      </c:catAx>
      <c:valAx>
        <c:axId val="1141374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402336"/>
        <c:crosses val="autoZero"/>
        <c:crossBetween val="between"/>
      </c:valAx>
      <c:valAx>
        <c:axId val="7387699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247936"/>
        <c:crosses val="max"/>
        <c:crossBetween val="between"/>
      </c:valAx>
      <c:catAx>
        <c:axId val="527247936"/>
        <c:scaling>
          <c:orientation val="minMax"/>
        </c:scaling>
        <c:delete val="1"/>
        <c:axPos val="b"/>
        <c:majorTickMark val="out"/>
        <c:minorTickMark val="none"/>
        <c:tickLblPos val="nextTo"/>
        <c:crossAx val="7387699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50B47F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>
                <a:solidFill>
                  <a:srgbClr val="50B4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YOY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50B47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241108847801518E-2"/>
          <c:y val="0.16294340948887484"/>
          <c:w val="0.87599185518468792"/>
          <c:h val="0.627946890992283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'Year wise analysis'!$D$3</c:f>
              <c:strCache>
                <c:ptCount val="1"/>
                <c:pt idx="0">
                  <c:v>Growth</c:v>
                </c:pt>
              </c:strCache>
            </c:strRef>
          </c:tx>
          <c:spPr>
            <a:solidFill>
              <a:srgbClr val="8FCFAD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'Year wise analysis'!$A$4:$A$15</c:f>
              <c:strCache>
                <c:ptCount val="12"/>
                <c:pt idx="0">
                  <c:v>Jan.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'Year wise analysis'!$D$4:$D$15</c:f>
              <c:numCache>
                <c:formatCode>0%</c:formatCode>
                <c:ptCount val="12"/>
                <c:pt idx="0">
                  <c:v>0.20275238186892502</c:v>
                </c:pt>
                <c:pt idx="1">
                  <c:v>8.8268124030558254E-2</c:v>
                </c:pt>
                <c:pt idx="2">
                  <c:v>-0.15124384684000133</c:v>
                </c:pt>
                <c:pt idx="3">
                  <c:v>-2.6692266605072831E-2</c:v>
                </c:pt>
                <c:pt idx="4">
                  <c:v>0.17950177241536311</c:v>
                </c:pt>
                <c:pt idx="5">
                  <c:v>-0.26961034976477805</c:v>
                </c:pt>
                <c:pt idx="6">
                  <c:v>-0.23160711644231674</c:v>
                </c:pt>
                <c:pt idx="7">
                  <c:v>0.16095764272559854</c:v>
                </c:pt>
                <c:pt idx="8">
                  <c:v>8.9907233033410056E-2</c:v>
                </c:pt>
                <c:pt idx="9">
                  <c:v>0.27487123432867955</c:v>
                </c:pt>
                <c:pt idx="10">
                  <c:v>0.35962805813848514</c:v>
                </c:pt>
                <c:pt idx="11">
                  <c:v>-9.8915538113842225E-2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3-A8A2-4C6D-9E2C-EBBD7C3A98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527262336"/>
        <c:axId val="271097280"/>
      </c:barChart>
      <c:catAx>
        <c:axId val="5272623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1097280"/>
        <c:crosses val="autoZero"/>
        <c:auto val="1"/>
        <c:lblAlgn val="ctr"/>
        <c:lblOffset val="100"/>
        <c:noMultiLvlLbl val="0"/>
      </c:catAx>
      <c:valAx>
        <c:axId val="271097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262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9383033339351031"/>
          <c:y val="0.1031825614190706"/>
          <c:w val="0.22217943542607255"/>
          <c:h val="7.41355966678174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_xlchart.v1.2</cx:f>
      </cx:strDim>
      <cx:numDim type="val">
        <cx:f dir="row">_xlchart.v1.1</cx:f>
      </cx:numDim>
    </cx:data>
  </cx:chartData>
  <cx:chart>
    <cx:plotArea>
      <cx:plotAreaRegion>
        <cx:series layoutId="waterfall" uniqueId="{155B72F8-2AC8-40BD-9025-5DDFD17BE10C}" formatIdx="0">
          <cx:tx>
            <cx:txData>
              <cx:f>_xlchart.v1.0</cx:f>
              <cx:v>Growth</cx:v>
            </cx:txData>
          </cx:tx>
          <cx:spPr>
            <a:ln>
              <a:solidFill>
                <a:schemeClr val="bg1">
                  <a:lumMod val="75000"/>
                  <a:alpha val="18000"/>
                </a:schemeClr>
              </a:solidFill>
            </a:ln>
          </cx:spPr>
          <cx:dataLabels pos="outEnd">
            <cx:visibility seriesName="0" categoryName="0" value="1"/>
          </cx:dataLabels>
          <cx:dataId val="0"/>
          <cx:layoutPr>
            <cx:visibility connectorLines="0"/>
            <cx:subtotals/>
          </cx:layoutPr>
        </cx:series>
      </cx:plotAreaRegion>
      <cx:axis id="0">
        <cx:catScaling gapWidth="0.899999976"/>
        <cx:tickLabels/>
      </cx:axis>
      <cx:axis id="1">
        <cx:valScaling/>
        <cx:majorGridlines/>
        <cx:tickLabels/>
      </cx:axis>
    </cx:plotArea>
    <cx:legend pos="t" align="ctr" overlay="0"/>
  </cx:chart>
  <cx:spPr>
    <a:noFill/>
    <a:ln>
      <a:solidFill>
        <a:schemeClr val="bg1">
          <a:lumMod val="75000"/>
        </a:schemeClr>
      </a:solidFill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98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/>
  </cs:dataLabel>
  <cs:dataLabelCallout>
    <cs:lnRef idx="0"/>
    <cs:fillRef idx="0"/>
    <cs:effectRef idx="0"/>
    <cs:fontRef idx="minor">
      <a:schemeClr val="dk1">
        <a:lumMod val="50000"/>
        <a:lumOff val="50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ln w="9525" cap="flat" cmpd="sng" algn="ctr">
        <a:solidFill>
          <a:schemeClr val="phClr">
            <a:alpha val="50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cap="none" spc="2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47624</xdr:colOff>
      <xdr:row>35</xdr:row>
      <xdr:rowOff>19050</xdr:rowOff>
    </xdr:from>
    <xdr:to>
      <xdr:col>14</xdr:col>
      <xdr:colOff>273843</xdr:colOff>
      <xdr:row>39</xdr:row>
      <xdr:rowOff>38100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5C956EE5-D05A-4FB4-AD09-27B5D9EC6DCD}"/>
            </a:ext>
          </a:extLst>
        </xdr:cNvPr>
        <xdr:cNvGrpSpPr/>
      </xdr:nvGrpSpPr>
      <xdr:grpSpPr>
        <a:xfrm>
          <a:off x="4357687" y="5900738"/>
          <a:ext cx="6905625" cy="685800"/>
          <a:chOff x="4257674" y="8324850"/>
          <a:chExt cx="7353301" cy="666750"/>
        </a:xfrm>
      </xdr:grpSpPr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161C8CB4-72FE-4513-B630-5A381BC51C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57674" y="8324850"/>
            <a:ext cx="7353301" cy="666750"/>
          </a:xfrm>
          <a:prstGeom prst="rect">
            <a:avLst/>
          </a:prstGeom>
        </xdr:spPr>
      </xdr:pic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5E0E9D3D-B113-4330-AAC0-E5DB46366122}"/>
              </a:ext>
            </a:extLst>
          </xdr:cNvPr>
          <xdr:cNvSpPr/>
        </xdr:nvSpPr>
        <xdr:spPr>
          <a:xfrm>
            <a:off x="4333875" y="8572500"/>
            <a:ext cx="819150" cy="209550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5B23B823-B3EE-44BD-AC27-35DF36409946}"/>
              </a:ext>
            </a:extLst>
          </xdr:cNvPr>
          <xdr:cNvSpPr/>
        </xdr:nvSpPr>
        <xdr:spPr>
          <a:xfrm>
            <a:off x="7248525" y="8429625"/>
            <a:ext cx="361950" cy="171450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3</xdr:col>
      <xdr:colOff>66674</xdr:colOff>
      <xdr:row>43</xdr:row>
      <xdr:rowOff>95250</xdr:rowOff>
    </xdr:from>
    <xdr:to>
      <xdr:col>14</xdr:col>
      <xdr:colOff>292893</xdr:colOff>
      <xdr:row>47</xdr:row>
      <xdr:rowOff>114300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76A65A67-EFE9-44BC-AE8E-7B70DA181677}"/>
            </a:ext>
          </a:extLst>
        </xdr:cNvPr>
        <xdr:cNvGrpSpPr/>
      </xdr:nvGrpSpPr>
      <xdr:grpSpPr>
        <a:xfrm>
          <a:off x="4376737" y="7310438"/>
          <a:ext cx="6905625" cy="685800"/>
          <a:chOff x="4276724" y="9696450"/>
          <a:chExt cx="7353301" cy="666750"/>
        </a:xfrm>
      </xdr:grpSpPr>
      <xdr:pic>
        <xdr:nvPicPr>
          <xdr:cNvPr id="16" name="Picture 15">
            <a:extLst>
              <a:ext uri="{FF2B5EF4-FFF2-40B4-BE49-F238E27FC236}">
                <a16:creationId xmlns:a16="http://schemas.microsoft.com/office/drawing/2014/main" id="{AABCCC1D-DC9E-4192-B26A-34FBD5EFB0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76724" y="9696450"/>
            <a:ext cx="7353301" cy="666750"/>
          </a:xfrm>
          <a:prstGeom prst="rect">
            <a:avLst/>
          </a:prstGeom>
        </xdr:spPr>
      </xdr:pic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A2623DC0-A8B0-46C4-A42F-8DA3B5AC607B}"/>
              </a:ext>
            </a:extLst>
          </xdr:cNvPr>
          <xdr:cNvSpPr/>
        </xdr:nvSpPr>
        <xdr:spPr>
          <a:xfrm>
            <a:off x="9782174" y="9791700"/>
            <a:ext cx="923926" cy="180975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3</xdr:col>
      <xdr:colOff>85725</xdr:colOff>
      <xdr:row>49</xdr:row>
      <xdr:rowOff>47625</xdr:rowOff>
    </xdr:from>
    <xdr:to>
      <xdr:col>14</xdr:col>
      <xdr:colOff>246943</xdr:colOff>
      <xdr:row>53</xdr:row>
      <xdr:rowOff>133350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3E36599D-049E-4909-986A-C5C90D696161}"/>
            </a:ext>
          </a:extLst>
        </xdr:cNvPr>
        <xdr:cNvGrpSpPr/>
      </xdr:nvGrpSpPr>
      <xdr:grpSpPr>
        <a:xfrm>
          <a:off x="4395788" y="8262938"/>
          <a:ext cx="6840624" cy="752475"/>
          <a:chOff x="4295775" y="10620375"/>
          <a:chExt cx="7334250" cy="733425"/>
        </a:xfrm>
      </xdr:grpSpPr>
      <xdr:pic>
        <xdr:nvPicPr>
          <xdr:cNvPr id="19" name="Picture 18">
            <a:extLst>
              <a:ext uri="{FF2B5EF4-FFF2-40B4-BE49-F238E27FC236}">
                <a16:creationId xmlns:a16="http://schemas.microsoft.com/office/drawing/2014/main" id="{5F573E88-C62B-45F3-AB9A-EBF2528D170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333"/>
          <a:stretch/>
        </xdr:blipFill>
        <xdr:spPr>
          <a:xfrm>
            <a:off x="4295775" y="10620375"/>
            <a:ext cx="7334250" cy="733425"/>
          </a:xfrm>
          <a:prstGeom prst="rect">
            <a:avLst/>
          </a:prstGeom>
        </xdr:spPr>
      </xdr:pic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9C1D88-CBBA-4ED6-81CC-82C1502054F8}"/>
              </a:ext>
            </a:extLst>
          </xdr:cNvPr>
          <xdr:cNvSpPr/>
        </xdr:nvSpPr>
        <xdr:spPr>
          <a:xfrm>
            <a:off x="10848975" y="10648949"/>
            <a:ext cx="762000" cy="238125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38101</xdr:colOff>
      <xdr:row>4</xdr:row>
      <xdr:rowOff>66675</xdr:rowOff>
    </xdr:from>
    <xdr:to>
      <xdr:col>21</xdr:col>
      <xdr:colOff>1</xdr:colOff>
      <xdr:row>23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85BF64-709B-4C2C-ADF9-B26661F0C7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15</xdr:row>
      <xdr:rowOff>71436</xdr:rowOff>
    </xdr:from>
    <xdr:to>
      <xdr:col>3</xdr:col>
      <xdr:colOff>838199</xdr:colOff>
      <xdr:row>39</xdr:row>
      <xdr:rowOff>102577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A84C033-B029-4041-AFB4-7B1B2ED03C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455084</xdr:colOff>
      <xdr:row>25</xdr:row>
      <xdr:rowOff>1</xdr:rowOff>
    </xdr:from>
    <xdr:to>
      <xdr:col>20</xdr:col>
      <xdr:colOff>709084</xdr:colOff>
      <xdr:row>34</xdr:row>
      <xdr:rowOff>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C764AEC6-5801-409C-86C7-53A7E846C3F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98959" y="4029076"/>
              <a:ext cx="5254625" cy="15716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A1:N61"/>
  <sheetViews>
    <sheetView showGridLines="0" showRowColHeaders="0" tabSelected="1" topLeftCell="A36" zoomScale="80" zoomScaleNormal="80" workbookViewId="0">
      <pane xSplit="3" topLeftCell="D1" activePane="topRight" state="frozen"/>
      <selection pane="topRight" activeCell="C55" sqref="C55:D68"/>
    </sheetView>
  </sheetViews>
  <sheetFormatPr defaultRowHeight="12.75" x14ac:dyDescent="0.2"/>
  <cols>
    <col min="1" max="1" width="19.85546875" style="7" customWidth="1"/>
    <col min="2" max="2" width="20.28515625" style="1" customWidth="1"/>
    <col min="3" max="3" width="24.42578125" style="1" customWidth="1"/>
    <col min="4" max="16384" width="9.140625" style="1"/>
  </cols>
  <sheetData>
    <row r="1" spans="1:4" x14ac:dyDescent="0.2">
      <c r="A1" s="1"/>
    </row>
    <row r="2" spans="1:4" x14ac:dyDescent="0.2">
      <c r="A2" s="1"/>
    </row>
    <row r="3" spans="1:4" x14ac:dyDescent="0.2">
      <c r="A3" s="1"/>
    </row>
    <row r="4" spans="1:4" x14ac:dyDescent="0.2">
      <c r="A4" s="1"/>
    </row>
    <row r="5" spans="1:4" x14ac:dyDescent="0.2">
      <c r="B5" s="2"/>
      <c r="D5" s="2"/>
    </row>
    <row r="6" spans="1:4" x14ac:dyDescent="0.2">
      <c r="A6" s="9" t="s">
        <v>1</v>
      </c>
      <c r="B6" s="2" t="s">
        <v>0</v>
      </c>
      <c r="D6" s="2" t="s">
        <v>61</v>
      </c>
    </row>
    <row r="7" spans="1:4" x14ac:dyDescent="0.2">
      <c r="A7" s="41"/>
    </row>
    <row r="8" spans="1:4" ht="15" x14ac:dyDescent="0.25">
      <c r="A8" s="42" t="s">
        <v>12</v>
      </c>
      <c r="B8" s="2" t="s">
        <v>2</v>
      </c>
      <c r="D8" s="1" t="s">
        <v>35</v>
      </c>
    </row>
    <row r="9" spans="1:4" ht="15" x14ac:dyDescent="0.25">
      <c r="A9" s="10"/>
    </row>
    <row r="11" spans="1:4" x14ac:dyDescent="0.2">
      <c r="A11" s="8"/>
    </row>
    <row r="12" spans="1:4" x14ac:dyDescent="0.2">
      <c r="C12" s="4" t="s">
        <v>36</v>
      </c>
      <c r="D12" s="1" t="s">
        <v>37</v>
      </c>
    </row>
    <row r="13" spans="1:4" x14ac:dyDescent="0.2">
      <c r="C13" s="4" t="s">
        <v>33</v>
      </c>
      <c r="D13" s="1" t="s">
        <v>38</v>
      </c>
    </row>
    <row r="14" spans="1:4" x14ac:dyDescent="0.2">
      <c r="C14" s="4" t="s">
        <v>40</v>
      </c>
      <c r="D14" s="1" t="s">
        <v>39</v>
      </c>
    </row>
    <row r="15" spans="1:4" x14ac:dyDescent="0.2">
      <c r="C15" s="4"/>
    </row>
    <row r="18" spans="2:14" x14ac:dyDescent="0.2">
      <c r="B18" s="3" t="s">
        <v>3</v>
      </c>
      <c r="D18" s="3">
        <v>1</v>
      </c>
    </row>
    <row r="20" spans="2:14" x14ac:dyDescent="0.2">
      <c r="B20" s="3" t="s">
        <v>4</v>
      </c>
      <c r="C20" s="5" t="s">
        <v>12</v>
      </c>
      <c r="D20" s="1" t="s">
        <v>41</v>
      </c>
    </row>
    <row r="21" spans="2:14" x14ac:dyDescent="0.2">
      <c r="C21" s="5"/>
    </row>
    <row r="22" spans="2:14" x14ac:dyDescent="0.2">
      <c r="C22" s="5"/>
    </row>
    <row r="24" spans="2:14" x14ac:dyDescent="0.2">
      <c r="B24" s="3" t="s">
        <v>5</v>
      </c>
      <c r="C24" s="6" t="s">
        <v>6</v>
      </c>
      <c r="D24" s="1" t="s">
        <v>42</v>
      </c>
    </row>
    <row r="25" spans="2:14" x14ac:dyDescent="0.2">
      <c r="C25" s="6" t="s">
        <v>7</v>
      </c>
      <c r="D25" s="1" t="s">
        <v>43</v>
      </c>
    </row>
    <row r="26" spans="2:14" x14ac:dyDescent="0.2">
      <c r="C26" s="6" t="s">
        <v>8</v>
      </c>
      <c r="D26" s="1" t="s">
        <v>44</v>
      </c>
    </row>
    <row r="27" spans="2:14" x14ac:dyDescent="0.2">
      <c r="C27" s="6" t="s">
        <v>9</v>
      </c>
      <c r="D27" s="1" t="s">
        <v>46</v>
      </c>
    </row>
    <row r="28" spans="2:14" x14ac:dyDescent="0.2">
      <c r="C28" s="6" t="s">
        <v>10</v>
      </c>
      <c r="D28" s="1" t="s">
        <v>45</v>
      </c>
    </row>
    <row r="29" spans="2:14" x14ac:dyDescent="0.2">
      <c r="C29" s="6" t="s">
        <v>11</v>
      </c>
      <c r="D29" s="1" t="s">
        <v>47</v>
      </c>
    </row>
    <row r="30" spans="2:14" x14ac:dyDescent="0.2">
      <c r="C30" s="6"/>
    </row>
    <row r="31" spans="2:14" x14ac:dyDescent="0.2">
      <c r="C31" s="6"/>
    </row>
    <row r="32" spans="2:14" x14ac:dyDescent="0.2">
      <c r="B32" s="2" t="s">
        <v>50</v>
      </c>
      <c r="C32" s="6"/>
      <c r="D32" s="43" t="s">
        <v>51</v>
      </c>
      <c r="H32" s="45"/>
      <c r="I32" s="45"/>
      <c r="J32" s="45"/>
      <c r="K32" s="45"/>
      <c r="L32" s="45"/>
      <c r="M32" s="45"/>
      <c r="N32" s="45"/>
    </row>
    <row r="33" spans="3:14" x14ac:dyDescent="0.2">
      <c r="D33" s="43" t="s">
        <v>52</v>
      </c>
      <c r="H33" s="45"/>
      <c r="I33" s="45"/>
      <c r="J33" s="45"/>
      <c r="K33" s="45"/>
      <c r="L33" s="45"/>
      <c r="M33" s="45"/>
      <c r="N33" s="45"/>
    </row>
    <row r="34" spans="3:14" x14ac:dyDescent="0.2">
      <c r="H34" s="45"/>
      <c r="I34" s="45"/>
      <c r="J34" s="45"/>
      <c r="K34" s="45"/>
      <c r="L34" s="45"/>
      <c r="M34" s="45"/>
      <c r="N34" s="45"/>
    </row>
    <row r="35" spans="3:14" x14ac:dyDescent="0.2">
      <c r="C35" s="44" t="s">
        <v>53</v>
      </c>
      <c r="D35" s="1" t="s">
        <v>54</v>
      </c>
      <c r="H35" s="45"/>
      <c r="I35" s="45"/>
      <c r="J35" s="45"/>
      <c r="K35" s="45"/>
      <c r="L35" s="45"/>
      <c r="M35" s="45"/>
      <c r="N35" s="45"/>
    </row>
    <row r="36" spans="3:14" x14ac:dyDescent="0.2">
      <c r="D36" s="6"/>
      <c r="H36" s="45"/>
      <c r="I36" s="45"/>
      <c r="J36" s="45"/>
      <c r="K36" s="45"/>
      <c r="L36" s="45"/>
      <c r="M36" s="45"/>
      <c r="N36" s="45"/>
    </row>
    <row r="37" spans="3:14" x14ac:dyDescent="0.2">
      <c r="D37" s="6"/>
      <c r="H37" s="45"/>
      <c r="I37" s="45"/>
      <c r="J37" s="45"/>
      <c r="K37" s="45"/>
      <c r="L37" s="45"/>
      <c r="M37" s="45"/>
      <c r="N37" s="45"/>
    </row>
    <row r="38" spans="3:14" x14ac:dyDescent="0.2">
      <c r="D38" s="6"/>
      <c r="H38" s="45"/>
      <c r="I38" s="45"/>
      <c r="J38" s="45"/>
      <c r="K38" s="45"/>
      <c r="L38" s="45"/>
      <c r="M38" s="45"/>
      <c r="N38" s="45"/>
    </row>
    <row r="39" spans="3:14" x14ac:dyDescent="0.2">
      <c r="D39" s="6"/>
      <c r="H39" s="45"/>
      <c r="I39" s="45"/>
      <c r="J39" s="45"/>
      <c r="K39" s="45"/>
      <c r="L39" s="45"/>
      <c r="M39" s="45"/>
      <c r="N39" s="45"/>
    </row>
    <row r="40" spans="3:14" x14ac:dyDescent="0.2">
      <c r="D40" s="6"/>
      <c r="H40" s="45"/>
      <c r="I40" s="45"/>
      <c r="J40" s="45"/>
      <c r="K40" s="45"/>
      <c r="L40" s="45"/>
      <c r="M40" s="45"/>
      <c r="N40" s="45"/>
    </row>
    <row r="41" spans="3:14" x14ac:dyDescent="0.2">
      <c r="C41" s="44" t="s">
        <v>55</v>
      </c>
      <c r="D41" s="1" t="s">
        <v>56</v>
      </c>
      <c r="H41" s="45"/>
      <c r="I41" s="45"/>
      <c r="J41" s="45"/>
      <c r="K41" s="45"/>
      <c r="L41" s="45"/>
      <c r="M41" s="45"/>
      <c r="N41" s="45"/>
    </row>
    <row r="42" spans="3:14" x14ac:dyDescent="0.2">
      <c r="H42" s="45"/>
      <c r="I42" s="45"/>
      <c r="J42" s="45"/>
      <c r="K42" s="45"/>
      <c r="L42" s="45"/>
      <c r="M42" s="45"/>
      <c r="N42" s="45"/>
    </row>
    <row r="43" spans="3:14" x14ac:dyDescent="0.2">
      <c r="C43" s="44" t="s">
        <v>58</v>
      </c>
      <c r="D43" s="1" t="s">
        <v>57</v>
      </c>
      <c r="H43" s="45"/>
      <c r="I43" s="45"/>
      <c r="J43" s="45"/>
      <c r="K43" s="45"/>
      <c r="L43" s="45"/>
      <c r="M43" s="45"/>
      <c r="N43" s="45"/>
    </row>
    <row r="44" spans="3:14" x14ac:dyDescent="0.2">
      <c r="H44" s="45"/>
      <c r="I44" s="45"/>
      <c r="J44" s="45"/>
      <c r="K44" s="45"/>
      <c r="L44" s="45"/>
      <c r="M44" s="45"/>
      <c r="N44" s="45"/>
    </row>
    <row r="45" spans="3:14" x14ac:dyDescent="0.2">
      <c r="H45" s="45"/>
      <c r="I45" s="45"/>
      <c r="J45" s="45"/>
      <c r="K45" s="45"/>
      <c r="L45" s="45"/>
      <c r="M45" s="45"/>
      <c r="N45" s="45"/>
    </row>
    <row r="46" spans="3:14" x14ac:dyDescent="0.2">
      <c r="H46" s="45"/>
      <c r="I46" s="45"/>
      <c r="J46" s="45"/>
      <c r="K46" s="45"/>
      <c r="L46" s="45"/>
      <c r="M46" s="45"/>
      <c r="N46" s="45"/>
    </row>
    <row r="47" spans="3:14" x14ac:dyDescent="0.2">
      <c r="H47" s="45"/>
      <c r="I47" s="45"/>
      <c r="J47" s="45"/>
      <c r="K47" s="45"/>
      <c r="L47" s="45"/>
      <c r="M47" s="45"/>
      <c r="N47" s="45"/>
    </row>
    <row r="48" spans="3:14" x14ac:dyDescent="0.2">
      <c r="H48" s="45"/>
      <c r="I48" s="45"/>
      <c r="J48" s="45"/>
      <c r="K48" s="45"/>
      <c r="L48" s="45"/>
      <c r="M48" s="45"/>
      <c r="N48" s="45"/>
    </row>
    <row r="49" spans="2:14" x14ac:dyDescent="0.2">
      <c r="C49" s="44" t="s">
        <v>59</v>
      </c>
      <c r="D49" s="1" t="s">
        <v>60</v>
      </c>
      <c r="H49" s="45"/>
      <c r="I49" s="45"/>
      <c r="J49" s="45"/>
      <c r="K49" s="45"/>
      <c r="L49" s="45"/>
      <c r="M49" s="45"/>
      <c r="N49" s="45"/>
    </row>
    <row r="50" spans="2:14" x14ac:dyDescent="0.2">
      <c r="H50" s="45"/>
      <c r="I50" s="45"/>
      <c r="J50" s="45"/>
      <c r="K50" s="45"/>
      <c r="L50" s="45"/>
      <c r="M50" s="45"/>
      <c r="N50" s="45"/>
    </row>
    <row r="51" spans="2:14" x14ac:dyDescent="0.2">
      <c r="H51" s="45"/>
      <c r="I51" s="45"/>
      <c r="J51" s="45"/>
      <c r="K51" s="45"/>
      <c r="L51" s="45"/>
      <c r="M51" s="45"/>
      <c r="N51" s="45"/>
    </row>
    <row r="52" spans="2:14" x14ac:dyDescent="0.2">
      <c r="H52" s="45"/>
      <c r="I52" s="45"/>
      <c r="J52" s="45"/>
      <c r="K52" s="45"/>
      <c r="L52" s="45"/>
      <c r="M52" s="45"/>
      <c r="N52" s="45"/>
    </row>
    <row r="53" spans="2:14" x14ac:dyDescent="0.2">
      <c r="H53" s="45"/>
      <c r="I53" s="45"/>
      <c r="J53" s="45"/>
      <c r="K53" s="45"/>
      <c r="L53" s="45"/>
      <c r="M53" s="45"/>
      <c r="N53" s="45"/>
    </row>
    <row r="54" spans="2:14" x14ac:dyDescent="0.2">
      <c r="H54" s="45"/>
      <c r="I54" s="45"/>
      <c r="J54" s="45"/>
      <c r="K54" s="45"/>
      <c r="L54" s="45"/>
      <c r="M54" s="45"/>
      <c r="N54" s="45"/>
    </row>
    <row r="55" spans="2:14" x14ac:dyDescent="0.2">
      <c r="D55" s="43"/>
      <c r="H55" s="45"/>
      <c r="I55" s="45"/>
      <c r="J55" s="45"/>
      <c r="K55" s="45"/>
      <c r="L55" s="45"/>
      <c r="M55" s="45"/>
      <c r="N55" s="45"/>
    </row>
    <row r="56" spans="2:14" x14ac:dyDescent="0.2">
      <c r="D56" s="45"/>
      <c r="H56" s="45"/>
      <c r="I56" s="45"/>
      <c r="J56" s="45"/>
      <c r="K56" s="45"/>
      <c r="L56" s="45"/>
      <c r="M56" s="45"/>
      <c r="N56" s="45"/>
    </row>
    <row r="57" spans="2:14" ht="15" x14ac:dyDescent="0.25">
      <c r="D57" s="46"/>
      <c r="H57" s="45"/>
      <c r="I57" s="45"/>
      <c r="J57" s="45"/>
      <c r="K57" s="45"/>
      <c r="L57" s="45"/>
      <c r="M57" s="45"/>
      <c r="N57" s="45"/>
    </row>
    <row r="58" spans="2:14" x14ac:dyDescent="0.2">
      <c r="D58" s="45"/>
      <c r="H58" s="45"/>
      <c r="I58" s="45"/>
      <c r="J58" s="45"/>
      <c r="K58" s="45"/>
      <c r="L58" s="45"/>
      <c r="M58" s="45"/>
      <c r="N58" s="45"/>
    </row>
    <row r="59" spans="2:14" x14ac:dyDescent="0.2">
      <c r="D59" s="45"/>
      <c r="H59" s="45"/>
      <c r="I59" s="45"/>
      <c r="J59" s="45"/>
      <c r="K59" s="45"/>
      <c r="L59" s="45"/>
      <c r="M59" s="45"/>
      <c r="N59" s="45"/>
    </row>
    <row r="60" spans="2:14" x14ac:dyDescent="0.2">
      <c r="D60" s="45"/>
      <c r="H60" s="45"/>
      <c r="I60" s="45"/>
      <c r="J60" s="45"/>
      <c r="K60" s="45"/>
      <c r="L60" s="45"/>
      <c r="M60" s="45"/>
      <c r="N60" s="45"/>
    </row>
    <row r="61" spans="2:14" x14ac:dyDescent="0.2"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</row>
  </sheetData>
  <conditionalFormatting sqref="D18">
    <cfRule type="iconSet" priority="1">
      <iconSet reverse="1">
        <cfvo type="percent" val="0"/>
        <cfvo type="num" val="1" gte="0"/>
        <cfvo type="num" val="2" gte="0"/>
      </iconSet>
    </cfRule>
  </conditionalFormatting>
  <hyperlinks>
    <hyperlink ref="A8" location="'Year wise analysis'!A1" display="Year wise analysis" xr:uid="{B354AF61-9A21-44B9-971A-72DF934841D0}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F61C7-9B37-401A-9533-4A0BD7DBC9B8}">
  <sheetPr>
    <tabColor rgb="FF50B47F"/>
  </sheetPr>
  <dimension ref="A1:V40"/>
  <sheetViews>
    <sheetView showRowColHeaders="0" zoomScale="130" zoomScaleNormal="130" workbookViewId="0">
      <selection activeCell="C9" sqref="C9"/>
    </sheetView>
  </sheetViews>
  <sheetFormatPr defaultColWidth="0" defaultRowHeight="9.9499999999999993" customHeight="1" zeroHeight="1" x14ac:dyDescent="0.2"/>
  <cols>
    <col min="1" max="1" width="6" style="11" customWidth="1"/>
    <col min="2" max="3" width="10.28515625" style="11" bestFit="1" customWidth="1"/>
    <col min="4" max="4" width="9.28515625" style="11" customWidth="1"/>
    <col min="5" max="5" width="0.5703125" style="17" customWidth="1"/>
    <col min="6" max="21" width="10.7109375" style="11" customWidth="1"/>
    <col min="22" max="22" width="1.5703125" style="11" customWidth="1"/>
    <col min="23" max="16384" width="9.140625" style="11" hidden="1"/>
  </cols>
  <sheetData>
    <row r="1" spans="1:21" ht="17.25" customHeight="1" x14ac:dyDescent="0.2">
      <c r="A1" s="47" t="s">
        <v>28</v>
      </c>
      <c r="B1" s="47"/>
      <c r="C1" s="47"/>
      <c r="D1" s="47"/>
      <c r="F1" s="47" t="s">
        <v>12</v>
      </c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</row>
    <row r="2" spans="1:21" ht="6.75" customHeight="1" x14ac:dyDescent="0.2"/>
    <row r="3" spans="1:21" ht="12.75" x14ac:dyDescent="0.2">
      <c r="B3" s="30">
        <v>2016</v>
      </c>
      <c r="C3" s="31">
        <v>2017</v>
      </c>
      <c r="D3" s="15" t="s">
        <v>14</v>
      </c>
      <c r="F3" s="24" t="s">
        <v>13</v>
      </c>
      <c r="G3" s="25">
        <v>2007</v>
      </c>
      <c r="H3" s="26">
        <v>2008</v>
      </c>
      <c r="I3" s="26">
        <v>2009</v>
      </c>
      <c r="J3" s="26">
        <v>2010</v>
      </c>
      <c r="K3" s="26">
        <v>2011</v>
      </c>
      <c r="L3" s="26">
        <v>2012</v>
      </c>
      <c r="M3" s="26">
        <v>2013</v>
      </c>
      <c r="N3" s="26">
        <v>2014</v>
      </c>
      <c r="O3" s="26">
        <v>2015</v>
      </c>
      <c r="P3" s="26">
        <v>2016</v>
      </c>
      <c r="Q3" s="26">
        <v>2017</v>
      </c>
      <c r="R3" s="26">
        <v>2018</v>
      </c>
      <c r="S3" s="26">
        <v>2019</v>
      </c>
      <c r="T3" s="26">
        <v>2020</v>
      </c>
      <c r="U3" s="38">
        <v>2021</v>
      </c>
    </row>
    <row r="4" spans="1:21" ht="12.75" x14ac:dyDescent="0.2">
      <c r="A4" s="16" t="s">
        <v>15</v>
      </c>
      <c r="B4" s="32">
        <v>51955</v>
      </c>
      <c r="C4" s="33">
        <v>62489</v>
      </c>
      <c r="D4" s="18">
        <f>IFERROR((C4-B4)/B4,"")</f>
        <v>0.20275238186892502</v>
      </c>
      <c r="F4" s="27" t="s">
        <v>33</v>
      </c>
      <c r="G4" s="28">
        <v>51592</v>
      </c>
      <c r="H4" s="29">
        <v>61146</v>
      </c>
      <c r="I4" s="29">
        <v>52761</v>
      </c>
      <c r="J4" s="29">
        <v>51780</v>
      </c>
      <c r="K4" s="29">
        <v>96213</v>
      </c>
      <c r="L4" s="29">
        <v>63593</v>
      </c>
      <c r="M4" s="29">
        <v>87062</v>
      </c>
      <c r="N4" s="29">
        <v>97425</v>
      </c>
      <c r="O4" s="29">
        <v>52070</v>
      </c>
      <c r="P4" s="29">
        <v>68679</v>
      </c>
      <c r="Q4" s="29">
        <v>63735</v>
      </c>
      <c r="R4" s="29">
        <v>53589</v>
      </c>
      <c r="S4" s="29">
        <v>63148</v>
      </c>
      <c r="T4" s="29">
        <v>69478</v>
      </c>
      <c r="U4" s="39">
        <v>95978</v>
      </c>
    </row>
    <row r="5" spans="1:21" ht="12.75" x14ac:dyDescent="0.2">
      <c r="A5" s="16" t="s">
        <v>16</v>
      </c>
      <c r="B5" s="34">
        <v>68983</v>
      </c>
      <c r="C5" s="35">
        <v>75072</v>
      </c>
      <c r="D5" s="18">
        <f t="shared" ref="D5:D15" si="0">IFERROR((C5-B5)/B5,"")</f>
        <v>8.8268124030558254E-2</v>
      </c>
    </row>
    <row r="6" spans="1:21" ht="12.75" x14ac:dyDescent="0.2">
      <c r="A6" s="16" t="s">
        <v>17</v>
      </c>
      <c r="B6" s="34">
        <v>60538</v>
      </c>
      <c r="C6" s="35">
        <v>51382</v>
      </c>
      <c r="D6" s="18">
        <f t="shared" si="0"/>
        <v>-0.15124384684000133</v>
      </c>
    </row>
    <row r="7" spans="1:21" ht="12.75" customHeight="1" x14ac:dyDescent="0.2">
      <c r="A7" s="16" t="s">
        <v>18</v>
      </c>
      <c r="B7" s="34">
        <v>69271</v>
      </c>
      <c r="C7" s="35">
        <v>67422</v>
      </c>
      <c r="D7" s="18">
        <f t="shared" si="0"/>
        <v>-2.6692266605072831E-2</v>
      </c>
      <c r="F7" s="14"/>
      <c r="G7" s="14"/>
      <c r="H7" s="14"/>
      <c r="J7" s="14"/>
      <c r="K7" s="14"/>
      <c r="L7" s="14"/>
      <c r="N7" s="14"/>
      <c r="O7" s="14"/>
      <c r="P7" s="14"/>
      <c r="R7" s="14"/>
      <c r="S7" s="14"/>
      <c r="T7" s="14"/>
    </row>
    <row r="8" spans="1:21" ht="12.75" customHeight="1" x14ac:dyDescent="0.2">
      <c r="A8" s="16" t="s">
        <v>19</v>
      </c>
      <c r="B8" s="34">
        <v>61498</v>
      </c>
      <c r="C8" s="35">
        <v>72537</v>
      </c>
      <c r="D8" s="18">
        <f t="shared" si="0"/>
        <v>0.17950177241536311</v>
      </c>
      <c r="F8" s="14"/>
      <c r="G8" s="14"/>
      <c r="H8" s="14"/>
      <c r="J8" s="14"/>
      <c r="K8" s="14"/>
      <c r="L8" s="14"/>
      <c r="N8" s="14"/>
      <c r="O8" s="14"/>
      <c r="P8" s="14"/>
      <c r="R8" s="14"/>
      <c r="S8" s="14"/>
      <c r="T8" s="14"/>
    </row>
    <row r="9" spans="1:21" ht="12.75" customHeight="1" x14ac:dyDescent="0.2">
      <c r="A9" s="16" t="s">
        <v>20</v>
      </c>
      <c r="B9" s="34">
        <v>78224</v>
      </c>
      <c r="C9" s="35">
        <v>57134</v>
      </c>
      <c r="D9" s="18">
        <f t="shared" si="0"/>
        <v>-0.26961034976477805</v>
      </c>
      <c r="F9" s="13"/>
      <c r="G9" s="13"/>
      <c r="H9" s="13"/>
      <c r="J9" s="13"/>
      <c r="K9" s="13"/>
      <c r="L9" s="13"/>
      <c r="N9" s="13"/>
      <c r="O9" s="13"/>
      <c r="P9" s="13"/>
      <c r="R9" s="13"/>
      <c r="S9" s="13"/>
      <c r="T9" s="13"/>
    </row>
    <row r="10" spans="1:21" ht="12.75" customHeight="1" x14ac:dyDescent="0.2">
      <c r="A10" s="16" t="s">
        <v>21</v>
      </c>
      <c r="B10" s="34">
        <v>74363</v>
      </c>
      <c r="C10" s="35">
        <v>57140</v>
      </c>
      <c r="D10" s="18">
        <f t="shared" si="0"/>
        <v>-0.23160711644231674</v>
      </c>
      <c r="F10" s="13"/>
      <c r="G10" s="13"/>
      <c r="H10" s="13"/>
      <c r="J10" s="13"/>
      <c r="K10" s="13"/>
      <c r="L10" s="13"/>
      <c r="N10" s="13"/>
      <c r="O10" s="13"/>
      <c r="P10" s="13"/>
      <c r="R10" s="13"/>
      <c r="S10" s="13"/>
      <c r="T10" s="13"/>
    </row>
    <row r="11" spans="1:21" ht="12.75" customHeight="1" x14ac:dyDescent="0.2">
      <c r="A11" s="16" t="s">
        <v>22</v>
      </c>
      <c r="B11" s="34">
        <v>57015</v>
      </c>
      <c r="C11" s="35">
        <v>66192</v>
      </c>
      <c r="D11" s="18">
        <f t="shared" si="0"/>
        <v>0.16095764272559854</v>
      </c>
      <c r="F11" s="13"/>
      <c r="G11" s="13"/>
      <c r="H11" s="13"/>
      <c r="J11" s="13"/>
      <c r="K11" s="13"/>
      <c r="L11" s="13"/>
      <c r="N11" s="13"/>
      <c r="O11" s="13"/>
      <c r="P11" s="13"/>
      <c r="R11" s="13"/>
      <c r="S11" s="13"/>
      <c r="T11" s="13"/>
    </row>
    <row r="12" spans="1:21" ht="12.75" customHeight="1" x14ac:dyDescent="0.2">
      <c r="A12" s="16" t="s">
        <v>23</v>
      </c>
      <c r="B12" s="34">
        <v>71685</v>
      </c>
      <c r="C12" s="35">
        <v>78130</v>
      </c>
      <c r="D12" s="18">
        <f t="shared" si="0"/>
        <v>8.9907233033410056E-2</v>
      </c>
      <c r="F12" s="13"/>
      <c r="G12" s="13"/>
      <c r="H12" s="13"/>
      <c r="J12" s="13"/>
      <c r="K12" s="13"/>
      <c r="L12" s="13"/>
      <c r="N12" s="13"/>
      <c r="O12" s="13"/>
      <c r="P12" s="13"/>
      <c r="R12" s="13"/>
      <c r="S12" s="13"/>
      <c r="T12" s="13"/>
    </row>
    <row r="13" spans="1:21" ht="12.75" customHeight="1" x14ac:dyDescent="0.2">
      <c r="A13" s="16" t="s">
        <v>24</v>
      </c>
      <c r="B13" s="34">
        <v>60381</v>
      </c>
      <c r="C13" s="35">
        <v>76978</v>
      </c>
      <c r="D13" s="18">
        <f t="shared" si="0"/>
        <v>0.27487123432867955</v>
      </c>
      <c r="F13" s="13"/>
      <c r="G13" s="13"/>
      <c r="H13" s="13"/>
      <c r="J13" s="13"/>
      <c r="K13" s="13"/>
      <c r="L13" s="13"/>
      <c r="N13" s="13"/>
      <c r="O13" s="13"/>
      <c r="P13" s="13"/>
      <c r="R13" s="13"/>
      <c r="S13" s="13"/>
      <c r="T13" s="13"/>
    </row>
    <row r="14" spans="1:21" ht="12.75" customHeight="1" x14ac:dyDescent="0.2">
      <c r="A14" s="16" t="s">
        <v>25</v>
      </c>
      <c r="B14" s="34">
        <v>55385</v>
      </c>
      <c r="C14" s="35">
        <v>75303</v>
      </c>
      <c r="D14" s="18">
        <f t="shared" si="0"/>
        <v>0.35962805813848514</v>
      </c>
      <c r="F14" s="13"/>
      <c r="G14" s="13"/>
      <c r="H14" s="13"/>
      <c r="J14" s="13"/>
      <c r="K14" s="13"/>
      <c r="L14" s="13"/>
      <c r="N14" s="13"/>
      <c r="O14" s="13"/>
      <c r="P14" s="13"/>
      <c r="R14" s="13"/>
      <c r="S14" s="13"/>
      <c r="T14" s="13"/>
    </row>
    <row r="15" spans="1:21" ht="12.75" customHeight="1" x14ac:dyDescent="0.2">
      <c r="A15" s="16" t="s">
        <v>26</v>
      </c>
      <c r="B15" s="36">
        <v>57079</v>
      </c>
      <c r="C15" s="37">
        <v>51433</v>
      </c>
      <c r="D15" s="18">
        <f t="shared" si="0"/>
        <v>-9.8915538113842225E-2</v>
      </c>
      <c r="F15" s="13"/>
      <c r="G15" s="13"/>
      <c r="H15" s="13"/>
      <c r="J15" s="13"/>
      <c r="K15" s="13"/>
      <c r="L15" s="13"/>
      <c r="N15" s="13"/>
      <c r="O15" s="13"/>
      <c r="P15" s="13"/>
      <c r="R15" s="13"/>
      <c r="S15" s="13"/>
      <c r="T15" s="13"/>
    </row>
    <row r="16" spans="1:21" ht="12.75" customHeight="1" x14ac:dyDescent="0.2">
      <c r="F16" s="13"/>
      <c r="G16" s="13"/>
      <c r="H16" s="13"/>
      <c r="J16" s="13"/>
      <c r="K16" s="13"/>
      <c r="L16" s="13"/>
      <c r="N16" s="13"/>
      <c r="O16" s="13"/>
      <c r="P16" s="13"/>
      <c r="R16" s="13"/>
      <c r="S16" s="13"/>
      <c r="T16" s="13"/>
    </row>
    <row r="17" spans="6:21" ht="12.75" customHeight="1" x14ac:dyDescent="0.2">
      <c r="F17" s="13"/>
      <c r="G17" s="13"/>
      <c r="H17" s="13"/>
      <c r="J17" s="13"/>
      <c r="K17" s="13"/>
      <c r="L17" s="13"/>
      <c r="N17" s="13"/>
      <c r="O17" s="13"/>
      <c r="P17" s="13"/>
      <c r="R17" s="13"/>
      <c r="S17" s="13"/>
      <c r="T17" s="13"/>
    </row>
    <row r="18" spans="6:21" ht="12.75" x14ac:dyDescent="0.2"/>
    <row r="19" spans="6:21" ht="12.75" x14ac:dyDescent="0.2"/>
    <row r="20" spans="6:21" ht="12.75" x14ac:dyDescent="0.2"/>
    <row r="21" spans="6:21" ht="12.75" x14ac:dyDescent="0.2"/>
    <row r="22" spans="6:21" ht="12.75" x14ac:dyDescent="0.2"/>
    <row r="23" spans="6:21" ht="12.75" x14ac:dyDescent="0.2"/>
    <row r="24" spans="6:21" ht="12.75" x14ac:dyDescent="0.2"/>
    <row r="25" spans="6:21" ht="12.75" x14ac:dyDescent="0.2">
      <c r="H25" s="19" t="s">
        <v>48</v>
      </c>
      <c r="L25" s="22" t="s">
        <v>49</v>
      </c>
      <c r="R25" s="23" t="s">
        <v>34</v>
      </c>
    </row>
    <row r="26" spans="6:21" ht="25.5" x14ac:dyDescent="0.35">
      <c r="G26" s="52">
        <f>IFERROR(IF(G27="","",VLOOKUP(G27,Sheet1!$B:$D,2,0)),"")</f>
        <v>2011</v>
      </c>
      <c r="H26" s="53"/>
      <c r="I26" s="54"/>
      <c r="K26" s="52">
        <f>IFERROR(IF(K27="","",VLOOKUP(K27,Sheet1!$B:$D,2,0)),"")</f>
        <v>2015</v>
      </c>
      <c r="L26" s="53"/>
      <c r="M26" s="54"/>
    </row>
    <row r="27" spans="6:21" ht="12.75" customHeight="1" x14ac:dyDescent="0.2">
      <c r="G27" s="48">
        <f>IF(MAX(H38:U38)=0,"",MAX(H38:U38))</f>
        <v>0.85811123986095017</v>
      </c>
      <c r="H27" s="49"/>
      <c r="I27" s="50"/>
      <c r="K27" s="48">
        <f>IF(MIN(H39:U39)=0,"",MIN(H39:U39))</f>
        <v>-0.46553759302027198</v>
      </c>
      <c r="L27" s="49"/>
      <c r="M27" s="50"/>
      <c r="O27" s="21"/>
      <c r="P27" s="21"/>
      <c r="Q27" s="21"/>
      <c r="S27" s="21"/>
      <c r="T27" s="21"/>
      <c r="U27" s="21"/>
    </row>
    <row r="28" spans="6:21" ht="12.75" customHeight="1" x14ac:dyDescent="0.2">
      <c r="G28" s="51"/>
      <c r="H28" s="49"/>
      <c r="I28" s="50"/>
      <c r="K28" s="51"/>
      <c r="L28" s="49"/>
      <c r="M28" s="50"/>
      <c r="O28" s="21"/>
      <c r="P28" s="21"/>
      <c r="Q28" s="21"/>
      <c r="S28" s="21"/>
      <c r="T28" s="21"/>
      <c r="U28" s="21"/>
    </row>
    <row r="29" spans="6:21" ht="12.75" customHeight="1" x14ac:dyDescent="0.2">
      <c r="G29" s="51"/>
      <c r="H29" s="49"/>
      <c r="I29" s="50"/>
      <c r="K29" s="51"/>
      <c r="L29" s="49"/>
      <c r="M29" s="50"/>
      <c r="O29" s="21"/>
      <c r="P29" s="21"/>
      <c r="Q29" s="21"/>
      <c r="S29" s="21"/>
      <c r="T29" s="21"/>
      <c r="U29" s="21"/>
    </row>
    <row r="30" spans="6:21" ht="12.75" customHeight="1" x14ac:dyDescent="0.2">
      <c r="G30" s="51"/>
      <c r="H30" s="49"/>
      <c r="I30" s="50"/>
      <c r="K30" s="51"/>
      <c r="L30" s="49"/>
      <c r="M30" s="50"/>
      <c r="O30" s="21"/>
      <c r="P30" s="21"/>
      <c r="Q30" s="21"/>
      <c r="S30" s="21"/>
      <c r="T30" s="21"/>
      <c r="U30" s="21"/>
    </row>
    <row r="31" spans="6:21" ht="12.75" customHeight="1" x14ac:dyDescent="0.2">
      <c r="G31" s="51"/>
      <c r="H31" s="49"/>
      <c r="I31" s="50"/>
      <c r="K31" s="51"/>
      <c r="L31" s="49"/>
      <c r="M31" s="50"/>
      <c r="O31" s="21"/>
      <c r="P31" s="21"/>
      <c r="Q31" s="21"/>
      <c r="S31" s="21"/>
      <c r="T31" s="21"/>
      <c r="U31" s="21"/>
    </row>
    <row r="32" spans="6:21" ht="12.75" customHeight="1" x14ac:dyDescent="0.2">
      <c r="G32" s="51"/>
      <c r="H32" s="49"/>
      <c r="I32" s="50"/>
      <c r="K32" s="51"/>
      <c r="L32" s="49"/>
      <c r="M32" s="50"/>
      <c r="O32" s="21"/>
      <c r="P32" s="21"/>
      <c r="Q32" s="21"/>
      <c r="S32" s="21"/>
      <c r="T32" s="21"/>
      <c r="U32" s="21"/>
    </row>
    <row r="33" spans="4:22" ht="12.75" customHeight="1" x14ac:dyDescent="0.2">
      <c r="G33" s="51"/>
      <c r="H33" s="49"/>
      <c r="I33" s="50"/>
      <c r="K33" s="51"/>
      <c r="L33" s="49"/>
      <c r="M33" s="50"/>
      <c r="O33" s="21"/>
      <c r="P33" s="21"/>
      <c r="Q33" s="21"/>
      <c r="S33" s="21"/>
      <c r="T33" s="21"/>
      <c r="U33" s="21"/>
    </row>
    <row r="34" spans="4:22" ht="9" customHeight="1" x14ac:dyDescent="0.2">
      <c r="G34" s="51"/>
      <c r="H34" s="49"/>
      <c r="I34" s="50"/>
      <c r="K34" s="51"/>
      <c r="L34" s="49"/>
      <c r="M34" s="50"/>
      <c r="O34" s="21"/>
      <c r="P34" s="21"/>
      <c r="Q34" s="21"/>
      <c r="S34" s="21"/>
      <c r="T34" s="21"/>
      <c r="U34" s="21"/>
    </row>
    <row r="35" spans="4:22" ht="0.95" customHeight="1" x14ac:dyDescent="0.2">
      <c r="D35" s="15" t="s">
        <v>14</v>
      </c>
      <c r="G35" s="40"/>
      <c r="H35" s="12">
        <f t="shared" ref="H35:U35" si="1">IF(H4="","",H4-G4)</f>
        <v>9554</v>
      </c>
      <c r="I35" s="12">
        <f t="shared" si="1"/>
        <v>-8385</v>
      </c>
      <c r="J35" s="12">
        <f t="shared" si="1"/>
        <v>-981</v>
      </c>
      <c r="K35" s="12">
        <f t="shared" si="1"/>
        <v>44433</v>
      </c>
      <c r="L35" s="12">
        <f t="shared" si="1"/>
        <v>-32620</v>
      </c>
      <c r="M35" s="12">
        <f t="shared" si="1"/>
        <v>23469</v>
      </c>
      <c r="N35" s="12">
        <f t="shared" si="1"/>
        <v>10363</v>
      </c>
      <c r="O35" s="12">
        <f t="shared" si="1"/>
        <v>-45355</v>
      </c>
      <c r="P35" s="12">
        <f t="shared" si="1"/>
        <v>16609</v>
      </c>
      <c r="Q35" s="12">
        <f t="shared" si="1"/>
        <v>-4944</v>
      </c>
      <c r="R35" s="12">
        <f t="shared" si="1"/>
        <v>-10146</v>
      </c>
      <c r="S35" s="12">
        <f t="shared" si="1"/>
        <v>9559</v>
      </c>
      <c r="T35" s="12">
        <f t="shared" si="1"/>
        <v>6330</v>
      </c>
      <c r="U35" s="12">
        <f t="shared" si="1"/>
        <v>26500</v>
      </c>
      <c r="V35" s="40"/>
    </row>
    <row r="36" spans="4:22" ht="0.95" customHeight="1" x14ac:dyDescent="0.2">
      <c r="D36" s="15" t="s">
        <v>27</v>
      </c>
      <c r="H36" s="18">
        <f t="shared" ref="H36:U36" si="2">IFERROR(IF(H35="","",H35/G4),"")</f>
        <v>0.18518374941851451</v>
      </c>
      <c r="I36" s="18">
        <f t="shared" si="2"/>
        <v>-0.1371308016877637</v>
      </c>
      <c r="J36" s="18">
        <f t="shared" si="2"/>
        <v>-1.8593279126627622E-2</v>
      </c>
      <c r="K36" s="18">
        <f t="shared" si="2"/>
        <v>0.85811123986095017</v>
      </c>
      <c r="L36" s="18">
        <f t="shared" si="2"/>
        <v>-0.33903942294700301</v>
      </c>
      <c r="M36" s="18">
        <f t="shared" si="2"/>
        <v>0.36905005267875396</v>
      </c>
      <c r="N36" s="18">
        <f t="shared" si="2"/>
        <v>0.11903011646872344</v>
      </c>
      <c r="O36" s="18">
        <f t="shared" si="2"/>
        <v>-0.46553759302027198</v>
      </c>
      <c r="P36" s="18">
        <f t="shared" si="2"/>
        <v>0.31897445746111003</v>
      </c>
      <c r="Q36" s="18">
        <f t="shared" si="2"/>
        <v>-7.1987070283492771E-2</v>
      </c>
      <c r="R36" s="18">
        <f t="shared" si="2"/>
        <v>-0.15919039774064486</v>
      </c>
      <c r="S36" s="18">
        <f t="shared" si="2"/>
        <v>0.17837615928642073</v>
      </c>
      <c r="T36" s="18">
        <f t="shared" si="2"/>
        <v>0.10024070437701907</v>
      </c>
      <c r="U36" s="18">
        <f t="shared" si="2"/>
        <v>0.38141569993379199</v>
      </c>
    </row>
    <row r="37" spans="4:22" ht="0.95" customHeight="1" x14ac:dyDescent="0.2">
      <c r="G37" s="40"/>
      <c r="H37" s="40">
        <f>H35+G35</f>
        <v>9554</v>
      </c>
      <c r="I37" s="40">
        <f>I35+H35+G35</f>
        <v>1169</v>
      </c>
      <c r="J37" s="40">
        <f>J35+I35+H35+G35</f>
        <v>188</v>
      </c>
      <c r="K37" s="40">
        <f>K35+J35+I35+H35+G35</f>
        <v>44621</v>
      </c>
      <c r="L37" s="40">
        <f>L35+K35+J35+I35+H35+G35</f>
        <v>12001</v>
      </c>
      <c r="M37" s="40">
        <f>M35+L35+K35+J35+I35+H35+G35</f>
        <v>35470</v>
      </c>
      <c r="N37" s="40">
        <f>N35+M35+L35+K35+J35+I35+H35+G35</f>
        <v>45833</v>
      </c>
      <c r="O37" s="40">
        <f>O35+N35+M35+L35+K35+J35+I35+H35+G35</f>
        <v>478</v>
      </c>
      <c r="P37" s="40">
        <f>P35+O35+N35+M35+L35+K35+J35+I35+H35</f>
        <v>17087</v>
      </c>
      <c r="Q37" s="40">
        <f>Q35+P35+O35+N35+M35+L35+K35+J35+I35+H35</f>
        <v>12143</v>
      </c>
      <c r="R37" s="40">
        <f>R35+Q35+P35+O35+N35+M35+L35+K35+J35+I35+H35</f>
        <v>1997</v>
      </c>
      <c r="S37" s="40">
        <f>S35+R35+Q35+P35+O35+N35+M35+L35+K35+J35+I35+H35+F35</f>
        <v>11556</v>
      </c>
      <c r="T37" s="40">
        <f>T35+S35+R35+Q35+P35+O35+N35+M35+L35+K35+J35+I35+H35+F35</f>
        <v>17886</v>
      </c>
      <c r="U37" s="40">
        <f>U35+T35+S35+R35+Q35+P35+O35+N35+M35+L35+K35+J35+I35+H35+F35</f>
        <v>44386</v>
      </c>
    </row>
    <row r="38" spans="4:22" ht="0.95" customHeight="1" x14ac:dyDescent="0.2">
      <c r="D38" s="11" t="s">
        <v>31</v>
      </c>
      <c r="H38" s="18">
        <f t="shared" ref="H38:U38" si="3">IF(H36&gt;0,H36,"")</f>
        <v>0.18518374941851451</v>
      </c>
      <c r="I38" s="18" t="str">
        <f t="shared" si="3"/>
        <v/>
      </c>
      <c r="J38" s="18" t="str">
        <f t="shared" si="3"/>
        <v/>
      </c>
      <c r="K38" s="18">
        <f t="shared" si="3"/>
        <v>0.85811123986095017</v>
      </c>
      <c r="L38" s="18" t="str">
        <f t="shared" si="3"/>
        <v/>
      </c>
      <c r="M38" s="18">
        <f t="shared" si="3"/>
        <v>0.36905005267875396</v>
      </c>
      <c r="N38" s="18">
        <f t="shared" si="3"/>
        <v>0.11903011646872344</v>
      </c>
      <c r="O38" s="18" t="str">
        <f t="shared" si="3"/>
        <v/>
      </c>
      <c r="P38" s="18">
        <f t="shared" si="3"/>
        <v>0.31897445746111003</v>
      </c>
      <c r="Q38" s="18" t="str">
        <f t="shared" si="3"/>
        <v/>
      </c>
      <c r="R38" s="18" t="str">
        <f t="shared" si="3"/>
        <v/>
      </c>
      <c r="S38" s="18">
        <f t="shared" si="3"/>
        <v>0.17837615928642073</v>
      </c>
      <c r="T38" s="18">
        <f t="shared" si="3"/>
        <v>0.10024070437701907</v>
      </c>
      <c r="U38" s="18">
        <f t="shared" si="3"/>
        <v>0.38141569993379199</v>
      </c>
    </row>
    <row r="39" spans="4:22" ht="0.95" customHeight="1" x14ac:dyDescent="0.2">
      <c r="D39" s="11" t="s">
        <v>32</v>
      </c>
      <c r="H39" s="18" t="str">
        <f t="shared" ref="H39:U39" si="4">IF(H36&lt;0,H36,"")</f>
        <v/>
      </c>
      <c r="I39" s="18">
        <f t="shared" si="4"/>
        <v>-0.1371308016877637</v>
      </c>
      <c r="J39" s="18">
        <f t="shared" si="4"/>
        <v>-1.8593279126627622E-2</v>
      </c>
      <c r="K39" s="18" t="str">
        <f t="shared" si="4"/>
        <v/>
      </c>
      <c r="L39" s="18">
        <f t="shared" si="4"/>
        <v>-0.33903942294700301</v>
      </c>
      <c r="M39" s="18" t="str">
        <f t="shared" si="4"/>
        <v/>
      </c>
      <c r="N39" s="18" t="str">
        <f t="shared" si="4"/>
        <v/>
      </c>
      <c r="O39" s="18">
        <f t="shared" si="4"/>
        <v>-0.46553759302027198</v>
      </c>
      <c r="P39" s="18" t="str">
        <f t="shared" si="4"/>
        <v/>
      </c>
      <c r="Q39" s="18">
        <f t="shared" si="4"/>
        <v>-7.1987070283492771E-2</v>
      </c>
      <c r="R39" s="18">
        <f t="shared" si="4"/>
        <v>-0.15919039774064486</v>
      </c>
      <c r="S39" s="18" t="str">
        <f t="shared" si="4"/>
        <v/>
      </c>
      <c r="T39" s="18" t="str">
        <f t="shared" si="4"/>
        <v/>
      </c>
      <c r="U39" s="18" t="str">
        <f t="shared" si="4"/>
        <v/>
      </c>
    </row>
    <row r="40" spans="4:22" ht="9" customHeight="1" x14ac:dyDescent="0.2"/>
  </sheetData>
  <sheetProtection sheet="1" objects="1" scenarios="1" selectLockedCells="1"/>
  <mergeCells count="6">
    <mergeCell ref="A1:D1"/>
    <mergeCell ref="F1:U1"/>
    <mergeCell ref="G27:I34"/>
    <mergeCell ref="G26:I26"/>
    <mergeCell ref="K26:M26"/>
    <mergeCell ref="K27:M34"/>
  </mergeCells>
  <phoneticPr fontId="14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2" id="{C694A679-7B05-4D94-9F1E-1A8F46999C8E}">
            <x14:iconSet iconSet="3Triangles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</x14:iconSet>
          </x14:cfRule>
          <xm:sqref>H35:U35</xm:sqref>
        </x14:conditionalFormatting>
        <x14:conditionalFormatting xmlns:xm="http://schemas.microsoft.com/office/excel/2006/main">
          <x14:cfRule type="iconSet" priority="6" id="{994CF911-0246-4CBC-B0EA-915C762B8205}">
            <x14:iconSet iconSet="3Triangle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Triangles" iconId="0"/>
              <x14:cfIcon iconSet="NoIcons" iconId="0"/>
              <x14:cfIcon iconSet="3Triangles" iconId="2"/>
            </x14:iconSet>
          </x14:cfRule>
          <xm:sqref>D4:D15</xm:sqref>
        </x14:conditionalFormatting>
        <x14:conditionalFormatting xmlns:xm="http://schemas.microsoft.com/office/excel/2006/main">
          <x14:cfRule type="iconSet" priority="5" id="{E2698E1E-541D-41A5-99AB-7F60C86D2CFB}">
            <x14:iconSet iconSet="3Triangles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</x14:iconSet>
          </x14:cfRule>
          <xm:sqref>H36:U36</xm:sqref>
        </x14:conditionalFormatting>
        <x14:conditionalFormatting xmlns:xm="http://schemas.microsoft.com/office/excel/2006/main">
          <x14:cfRule type="iconSet" priority="4" id="{661A76FA-8AC1-4AAA-93DA-7789BAC0387B}">
            <x14:iconSet iconSet="3Triangles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</x14:iconSet>
          </x14:cfRule>
          <xm:sqref>G27:I34</xm:sqref>
        </x14:conditionalFormatting>
        <x14:conditionalFormatting xmlns:xm="http://schemas.microsoft.com/office/excel/2006/main">
          <x14:cfRule type="iconSet" priority="3" id="{F1218324-E206-4AD9-B855-C9628015A03A}">
            <x14:iconSet iconSet="3Triangles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</x14:iconSet>
          </x14:cfRule>
          <xm:sqref>K27:M34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E3D7F-B679-40EB-95B1-C6957CF67630}">
  <dimension ref="A2:D17"/>
  <sheetViews>
    <sheetView workbookViewId="0">
      <selection activeCell="B17" sqref="B17"/>
    </sheetView>
  </sheetViews>
  <sheetFormatPr defaultRowHeight="15" x14ac:dyDescent="0.25"/>
  <cols>
    <col min="1" max="1" width="10.28515625" bestFit="1" customWidth="1"/>
  </cols>
  <sheetData>
    <row r="2" spans="1:4" x14ac:dyDescent="0.25">
      <c r="A2" t="s">
        <v>14</v>
      </c>
      <c r="B2" t="s">
        <v>30</v>
      </c>
      <c r="C2" t="s">
        <v>13</v>
      </c>
      <c r="D2" t="s">
        <v>29</v>
      </c>
    </row>
    <row r="3" spans="1:4" x14ac:dyDescent="0.25">
      <c r="C3">
        <f>IF('Year wise analysis'!G3="","",'Year wise analysis'!G3)</f>
        <v>2007</v>
      </c>
      <c r="D3">
        <f>'Year wise analysis'!G4</f>
        <v>51592</v>
      </c>
    </row>
    <row r="4" spans="1:4" x14ac:dyDescent="0.25">
      <c r="A4">
        <f>'Year wise analysis'!H35</f>
        <v>9554</v>
      </c>
      <c r="B4" s="20">
        <f>'Year wise analysis'!H36</f>
        <v>0.18518374941851451</v>
      </c>
      <c r="C4">
        <f>IF('Year wise analysis'!H3="","",'Year wise analysis'!H3)</f>
        <v>2008</v>
      </c>
      <c r="D4">
        <f>'Year wise analysis'!H4</f>
        <v>61146</v>
      </c>
    </row>
    <row r="5" spans="1:4" x14ac:dyDescent="0.25">
      <c r="A5">
        <f>'Year wise analysis'!I35</f>
        <v>-8385</v>
      </c>
      <c r="B5" s="20">
        <f>'Year wise analysis'!I36</f>
        <v>-0.1371308016877637</v>
      </c>
      <c r="C5">
        <f>IF('Year wise analysis'!I3="","",'Year wise analysis'!I3)</f>
        <v>2009</v>
      </c>
      <c r="D5">
        <f>'Year wise analysis'!I4</f>
        <v>52761</v>
      </c>
    </row>
    <row r="6" spans="1:4" x14ac:dyDescent="0.25">
      <c r="A6">
        <f>'Year wise analysis'!J35</f>
        <v>-981</v>
      </c>
      <c r="B6" s="20">
        <f>'Year wise analysis'!J36</f>
        <v>-1.8593279126627622E-2</v>
      </c>
      <c r="C6">
        <f>IF('Year wise analysis'!J3="","",'Year wise analysis'!J3)</f>
        <v>2010</v>
      </c>
      <c r="D6">
        <f>'Year wise analysis'!J4</f>
        <v>51780</v>
      </c>
    </row>
    <row r="7" spans="1:4" x14ac:dyDescent="0.25">
      <c r="A7">
        <f>'Year wise analysis'!K35</f>
        <v>44433</v>
      </c>
      <c r="B7" s="20">
        <f>'Year wise analysis'!K36</f>
        <v>0.85811123986095017</v>
      </c>
      <c r="C7">
        <f>IF('Year wise analysis'!K3="","",'Year wise analysis'!K3)</f>
        <v>2011</v>
      </c>
      <c r="D7">
        <f>'Year wise analysis'!K4</f>
        <v>96213</v>
      </c>
    </row>
    <row r="8" spans="1:4" x14ac:dyDescent="0.25">
      <c r="A8">
        <f>'Year wise analysis'!L35</f>
        <v>-32620</v>
      </c>
      <c r="B8" s="20">
        <f>'Year wise analysis'!L36</f>
        <v>-0.33903942294700301</v>
      </c>
      <c r="C8">
        <f>IF('Year wise analysis'!L3="","",'Year wise analysis'!L3)</f>
        <v>2012</v>
      </c>
      <c r="D8">
        <f>'Year wise analysis'!L4</f>
        <v>63593</v>
      </c>
    </row>
    <row r="9" spans="1:4" x14ac:dyDescent="0.25">
      <c r="A9">
        <f>'Year wise analysis'!M35</f>
        <v>23469</v>
      </c>
      <c r="B9" s="20">
        <f>'Year wise analysis'!M36</f>
        <v>0.36905005267875396</v>
      </c>
      <c r="C9">
        <f>IF('Year wise analysis'!M3="","",'Year wise analysis'!M3)</f>
        <v>2013</v>
      </c>
      <c r="D9">
        <f>'Year wise analysis'!M4</f>
        <v>87062</v>
      </c>
    </row>
    <row r="10" spans="1:4" x14ac:dyDescent="0.25">
      <c r="A10">
        <f>'Year wise analysis'!N35</f>
        <v>10363</v>
      </c>
      <c r="B10" s="20">
        <f>'Year wise analysis'!N36</f>
        <v>0.11903011646872344</v>
      </c>
      <c r="C10">
        <f>IF('Year wise analysis'!N3="","",'Year wise analysis'!N3)</f>
        <v>2014</v>
      </c>
      <c r="D10">
        <f>'Year wise analysis'!N4</f>
        <v>97425</v>
      </c>
    </row>
    <row r="11" spans="1:4" x14ac:dyDescent="0.25">
      <c r="A11">
        <f>'Year wise analysis'!O35</f>
        <v>-45355</v>
      </c>
      <c r="B11" s="20">
        <f>'Year wise analysis'!O36</f>
        <v>-0.46553759302027198</v>
      </c>
      <c r="C11">
        <f>IF('Year wise analysis'!O3="","",'Year wise analysis'!O3)</f>
        <v>2015</v>
      </c>
      <c r="D11">
        <f>'Year wise analysis'!O4</f>
        <v>52070</v>
      </c>
    </row>
    <row r="12" spans="1:4" x14ac:dyDescent="0.25">
      <c r="A12">
        <f>'Year wise analysis'!Q35</f>
        <v>-4944</v>
      </c>
      <c r="B12" s="20">
        <f>'Year wise analysis'!P36</f>
        <v>0.31897445746111003</v>
      </c>
      <c r="C12">
        <f>IF('Year wise analysis'!P3="","",'Year wise analysis'!P3)</f>
        <v>2016</v>
      </c>
      <c r="D12">
        <f>'Year wise analysis'!P4</f>
        <v>68679</v>
      </c>
    </row>
    <row r="13" spans="1:4" x14ac:dyDescent="0.25">
      <c r="A13">
        <f>'Year wise analysis'!R35</f>
        <v>-10146</v>
      </c>
      <c r="B13" s="20">
        <f>'Year wise analysis'!Q36</f>
        <v>-7.1987070283492771E-2</v>
      </c>
      <c r="C13">
        <f>IF('Year wise analysis'!Q3="","",'Year wise analysis'!Q3)</f>
        <v>2017</v>
      </c>
      <c r="D13">
        <f>'Year wise analysis'!Q4</f>
        <v>63735</v>
      </c>
    </row>
    <row r="14" spans="1:4" x14ac:dyDescent="0.25">
      <c r="A14">
        <f>'Year wise analysis'!S35</f>
        <v>9559</v>
      </c>
      <c r="B14" s="20">
        <f>'Year wise analysis'!R36</f>
        <v>-0.15919039774064486</v>
      </c>
      <c r="C14">
        <f>IF('Year wise analysis'!R3="","",'Year wise analysis'!R3)</f>
        <v>2018</v>
      </c>
      <c r="D14">
        <f>'Year wise analysis'!R4</f>
        <v>53589</v>
      </c>
    </row>
    <row r="15" spans="1:4" x14ac:dyDescent="0.25">
      <c r="A15">
        <f>'Year wise analysis'!T35</f>
        <v>6330</v>
      </c>
      <c r="B15" s="20">
        <f>'Year wise analysis'!S36</f>
        <v>0.17837615928642073</v>
      </c>
      <c r="C15">
        <f>IF('Year wise analysis'!S3="","",'Year wise analysis'!S3)</f>
        <v>2019</v>
      </c>
      <c r="D15">
        <f>'Year wise analysis'!S4</f>
        <v>63148</v>
      </c>
    </row>
    <row r="16" spans="1:4" x14ac:dyDescent="0.25">
      <c r="A16">
        <f>'Year wise analysis'!U35</f>
        <v>26500</v>
      </c>
      <c r="B16" s="20">
        <f>'Year wise analysis'!T36</f>
        <v>0.10024070437701907</v>
      </c>
      <c r="C16">
        <f>IF('Year wise analysis'!T3="","",'Year wise analysis'!T3)</f>
        <v>2020</v>
      </c>
      <c r="D16">
        <f>'Year wise analysis'!T4</f>
        <v>69478</v>
      </c>
    </row>
    <row r="17" spans="3:3" x14ac:dyDescent="0.25">
      <c r="C17" t="str">
        <f>IF('Year wise analysis'!V$3="","",'Year wise analysis'!V$3)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Introduction</vt:lpstr>
      <vt:lpstr>Year wise analysis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kareem mostafa</dc:creator>
  <cp:lastModifiedBy>QSK1184</cp:lastModifiedBy>
  <cp:lastPrinted>2020-10-05T15:36:58Z</cp:lastPrinted>
  <dcterms:created xsi:type="dcterms:W3CDTF">2015-06-05T18:17:20Z</dcterms:created>
  <dcterms:modified xsi:type="dcterms:W3CDTF">2024-09-20T12:26:23Z</dcterms:modified>
</cp:coreProperties>
</file>