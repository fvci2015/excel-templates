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yash_jain_vesu\Future_Vision\books\advance_excel\NEW-FILES-PROJECTS\100+ Premium Excel Templates\Strategy _ Management\"/>
    </mc:Choice>
  </mc:AlternateContent>
  <xr:revisionPtr revIDLastSave="0" documentId="13_ncr:1_{7B501CB1-9561-466E-9123-C3DF7F54502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troduction" sheetId="5" r:id="rId1"/>
    <sheet name="SWOT Analysis" sheetId="6" r:id="rId2"/>
    <sheet name="SWOT Competitive Matrix" sheetId="10" r:id="rId3"/>
  </sheets>
  <definedNames>
    <definedName name="opportunities">IF('SWOT Analysis'!$B$28="",OFFSET('SWOT Analysis'!$B$28,0,0,COUNT('SWOT Analysis'!$B$28:$B$37)+1),OFFSET('SWOT Analysis'!$B$28,0,0,COUNT('SWOT Analysis'!$B$28:$B$37)))</definedName>
    <definedName name="Strengths">IF('SWOT Analysis'!$B$4="",OFFSET('SWOT Analysis'!$B$4,0,0,COUNT('SWOT Analysis'!$B$4:$B$13)+1),OFFSET('SWOT Analysis'!$B$4,0,0,COUNT('SWOT Analysis'!$B$4:$B$13)))</definedName>
    <definedName name="Threats">IF('SWOT Analysis'!$B$40="",OFFSET('SWOT Analysis'!$B$40,0,0,COUNT('SWOT Analysis'!$B$40:$B$49)+1),OFFSET('SWOT Analysis'!$B$40,0,0,COUNT('SWOT Analysis'!$B$40:$B$49)))</definedName>
    <definedName name="Weaknesses">IF('SWOT Analysis'!$B$16="",OFFSET('SWOT Analysis'!$B$16,0,0,COUNT('SWOT Analysis'!$B$16:$B$25)+1),OFFSET('SWOT Analysis'!$B$16,0,0,COUNT('SWOT Analysis'!$B$16:$B$25)))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2" i="6" l="1"/>
  <c r="P23" i="6"/>
  <c r="P24" i="6"/>
  <c r="P25" i="6"/>
  <c r="P26" i="6"/>
  <c r="P27" i="6"/>
  <c r="P28" i="6"/>
  <c r="P29" i="6"/>
  <c r="P31" i="6"/>
  <c r="P30" i="6"/>
  <c r="P21" i="6"/>
  <c r="C43" i="10" l="1"/>
  <c r="C42" i="10"/>
  <c r="C41" i="10"/>
  <c r="C40" i="10"/>
  <c r="C39" i="10"/>
  <c r="C38" i="10"/>
  <c r="C37" i="10"/>
  <c r="C36" i="10"/>
  <c r="C35" i="10"/>
  <c r="C34" i="10"/>
  <c r="C33" i="10"/>
  <c r="C32" i="10"/>
  <c r="D32" i="10" s="1"/>
  <c r="J32" i="10" s="1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D16" i="10" s="1"/>
  <c r="J16" i="10" s="1"/>
  <c r="C15" i="10"/>
  <c r="C14" i="10"/>
  <c r="C13" i="10"/>
  <c r="C12" i="10"/>
  <c r="D12" i="10" s="1"/>
  <c r="J12" i="10" s="1"/>
  <c r="C11" i="10"/>
  <c r="C10" i="10"/>
  <c r="C9" i="10"/>
  <c r="C8" i="10"/>
  <c r="C7" i="10"/>
  <c r="C6" i="10"/>
  <c r="C5" i="10"/>
  <c r="D5" i="10" l="1"/>
  <c r="J5" i="10" s="1"/>
  <c r="D36" i="10"/>
  <c r="J36" i="10" s="1"/>
  <c r="D6" i="10"/>
  <c r="J6" i="10" s="1"/>
  <c r="D37" i="10"/>
  <c r="J37" i="10" s="1"/>
  <c r="D7" i="10"/>
  <c r="J7" i="10" s="1"/>
  <c r="D14" i="10"/>
  <c r="J14" i="10" s="1"/>
  <c r="D24" i="10"/>
  <c r="J24" i="10" s="1"/>
  <c r="D17" i="10"/>
  <c r="J17" i="10" s="1"/>
  <c r="D25" i="10"/>
  <c r="J25" i="10" s="1"/>
  <c r="D15" i="10"/>
  <c r="J15" i="10" s="1"/>
  <c r="J18" i="10"/>
  <c r="D18" i="10"/>
  <c r="D26" i="10"/>
  <c r="J26" i="10" s="1"/>
  <c r="D34" i="10"/>
  <c r="J34" i="10" s="1"/>
  <c r="D19" i="10"/>
  <c r="J19" i="10" s="1"/>
  <c r="D35" i="10"/>
  <c r="J35" i="10" s="1"/>
  <c r="D21" i="10"/>
  <c r="J21" i="10" s="1"/>
  <c r="D23" i="10"/>
  <c r="J23" i="10" s="1"/>
  <c r="D20" i="10"/>
  <c r="J20" i="10" s="1"/>
  <c r="D22" i="10"/>
  <c r="J22" i="10" s="1"/>
  <c r="D11" i="10"/>
  <c r="J11" i="10" s="1"/>
  <c r="D9" i="10"/>
  <c r="J9" i="10" s="1"/>
  <c r="D13" i="10"/>
  <c r="J13" i="10" s="1"/>
  <c r="D8" i="10"/>
  <c r="J8" i="10" s="1"/>
  <c r="D10" i="10"/>
  <c r="J10" i="10" s="1"/>
  <c r="D41" i="10"/>
  <c r="J41" i="10" s="1"/>
  <c r="D43" i="10"/>
  <c r="J43" i="10" s="1"/>
  <c r="D42" i="10"/>
  <c r="J42" i="10" s="1"/>
  <c r="D39" i="10"/>
  <c r="J39" i="10" s="1"/>
  <c r="D38" i="10"/>
  <c r="J38" i="10" s="1"/>
  <c r="D40" i="10"/>
  <c r="J40" i="10" s="1"/>
  <c r="D29" i="10"/>
  <c r="J29" i="10" s="1"/>
  <c r="D30" i="10"/>
  <c r="J30" i="10" s="1"/>
  <c r="D31" i="10"/>
  <c r="J31" i="10" s="1"/>
  <c r="D33" i="10"/>
  <c r="J33" i="10" s="1"/>
  <c r="D27" i="10"/>
  <c r="J27" i="10" s="1"/>
  <c r="D28" i="10"/>
  <c r="J28" i="10" s="1"/>
  <c r="C4" i="10"/>
  <c r="E22" i="6"/>
  <c r="E23" i="6"/>
  <c r="E24" i="6"/>
  <c r="E25" i="6"/>
  <c r="E26" i="6"/>
  <c r="E27" i="6"/>
  <c r="E28" i="6"/>
  <c r="E29" i="6"/>
  <c r="E30" i="6"/>
  <c r="E21" i="6"/>
  <c r="P8" i="6"/>
  <c r="P9" i="6"/>
  <c r="P10" i="6"/>
  <c r="P11" i="6"/>
  <c r="P12" i="6"/>
  <c r="P13" i="6"/>
  <c r="P14" i="6"/>
  <c r="P15" i="6"/>
  <c r="P16" i="6"/>
  <c r="P7" i="6"/>
  <c r="E8" i="6"/>
  <c r="E9" i="6"/>
  <c r="E10" i="6"/>
  <c r="E11" i="6"/>
  <c r="E12" i="6"/>
  <c r="E13" i="6"/>
  <c r="E14" i="6"/>
  <c r="E15" i="6"/>
  <c r="E16" i="6"/>
  <c r="E7" i="6"/>
  <c r="D4" i="10" l="1"/>
  <c r="J4" i="10" s="1"/>
</calcChain>
</file>

<file path=xl/sharedStrings.xml><?xml version="1.0" encoding="utf-8"?>
<sst xmlns="http://schemas.openxmlformats.org/spreadsheetml/2006/main" count="114" uniqueCount="92">
  <si>
    <t>Navigation</t>
  </si>
  <si>
    <t>Title</t>
  </si>
  <si>
    <t>Content</t>
  </si>
  <si>
    <t>Customization difficulty (1-3)</t>
  </si>
  <si>
    <t>Explanation of sheets</t>
  </si>
  <si>
    <t>How to customize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</si>
  <si>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</si>
  <si>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</si>
  <si>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</si>
  <si>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</si>
  <si>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</si>
  <si>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</si>
  <si>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</si>
  <si>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</si>
  <si>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</si>
  <si>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</si>
  <si>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11)</t>
  </si>
  <si>
    <t>SWOT Analysis</t>
  </si>
  <si>
    <t>SWOT Data</t>
  </si>
  <si>
    <t>Point</t>
  </si>
  <si>
    <t>Strengths</t>
  </si>
  <si>
    <t>Weaknesses</t>
  </si>
  <si>
    <t>Opportunities</t>
  </si>
  <si>
    <t>Threats</t>
  </si>
  <si>
    <t>Strength 1</t>
  </si>
  <si>
    <t>Strength 2</t>
  </si>
  <si>
    <t>Strength 3</t>
  </si>
  <si>
    <t>Strength 4</t>
  </si>
  <si>
    <t>Grade</t>
  </si>
  <si>
    <t>Threat 1</t>
  </si>
  <si>
    <t>Threat 2</t>
  </si>
  <si>
    <t>Threat 3</t>
  </si>
  <si>
    <t>Threat 4</t>
  </si>
  <si>
    <t>Points</t>
  </si>
  <si>
    <t>Competitor 1</t>
  </si>
  <si>
    <t>Competitor 2</t>
  </si>
  <si>
    <t>Competitor 3</t>
  </si>
  <si>
    <t>Competitor 4</t>
  </si>
  <si>
    <t>Competitor 5</t>
  </si>
  <si>
    <t>Our Company</t>
  </si>
  <si>
    <t>Our Company Ranking</t>
  </si>
  <si>
    <t>Weakness 1</t>
  </si>
  <si>
    <t>Weakness 2</t>
  </si>
  <si>
    <t>Weakness 3</t>
  </si>
  <si>
    <t>Weakness 4</t>
  </si>
  <si>
    <t>Weakness 5</t>
  </si>
  <si>
    <t>Weakness 6</t>
  </si>
  <si>
    <t>Opportunity 1</t>
  </si>
  <si>
    <t>Opportunity 2</t>
  </si>
  <si>
    <t>Opportunity 3</t>
  </si>
  <si>
    <t>Action Plan  /  Innovation Plan</t>
  </si>
  <si>
    <t>Date</t>
  </si>
  <si>
    <t>Is a framework used to evaluate a company's competitive position and to develop strategic planning.</t>
  </si>
  <si>
    <t>SWOT analysis assesses internal and external factors, as well as current and future potential.</t>
  </si>
  <si>
    <t>They are areas where the business needs to improve to remain competitive: a weak brand, higher-than-average turnover, high levels of debt, an inadequate supply chain, or lack of capital.</t>
  </si>
  <si>
    <t>Describe what an organization excels at and what separates it from the competition: a strong brand, loyal customer base, a strong balance sheet, unique technology, and so on.</t>
  </si>
  <si>
    <t>ther common threats include things like rising costs for materials, increasing competition, tight labor supply and so on.</t>
  </si>
  <si>
    <t>Refer to factors that have the potential to harm an organization. For example, a drought is a threat to a wheat-producing company, as it may destroy or reduce the crop yield.</t>
  </si>
  <si>
    <t>Refer to favorable external factors that could give an organization a competitive advantage. For example, if a country cuts tariffs, a car manufacturer can export its cars into a new market, increasing sales and market share.</t>
  </si>
  <si>
    <t>SWOT Competitive Matrix</t>
  </si>
  <si>
    <t>Through this sheet you will construct SWOT analysis tables, charts and review priority and grade for each SWOT point</t>
  </si>
  <si>
    <t>During this sheet you can construct competitive matix with SWOT points to your competitors</t>
  </si>
  <si>
    <t>Starting from SWOT analysis sheet in left side area you can see SWOT data table that designed to arrange your points</t>
  </si>
  <si>
    <t>Sort out and register your company points and issues according to defined category (Strength, Weakness, Opportunities and Threats)</t>
  </si>
  <si>
    <t>For each point in grade column record the grade and rating for each point according to severity, profit, advantages and so on</t>
  </si>
  <si>
    <t>For Weaknesses points in grade column you can set grade on scale from 1 to 5 (5 is higher in weakness)</t>
  </si>
  <si>
    <t>Note that for Strength points in grade column you can set grade on scale from 1 to 5 (5 is higher in strength)</t>
  </si>
  <si>
    <t>For Opportunities points in grade column you can set grade on scale from 1 to 5 (5 is higher in opportunity)</t>
  </si>
  <si>
    <t>For Threats points in grade column you can set grade on scale from 1 to 5 (5 is higher in threat)</t>
  </si>
  <si>
    <t>SWOT tables and analysis is constructed automatically according to your data</t>
  </si>
  <si>
    <t>To clear or reset data you can click on "Clear Data" button</t>
  </si>
  <si>
    <t>To maximize display view just click on "Full Screen" button</t>
  </si>
  <si>
    <t>12)</t>
  </si>
  <si>
    <t>13)</t>
  </si>
  <si>
    <t>Now go to SWOT Competitive Matrix sheet</t>
  </si>
  <si>
    <t>All your company points is ready with asigned grades, then you can rename competitors headers and for each point set estimated rating for each competitor</t>
  </si>
  <si>
    <t>Only insert required data in blank white cells and don't try to input any data in gray cells as it contains equations and functions</t>
  </si>
  <si>
    <t>14)</t>
  </si>
  <si>
    <t>15)</t>
  </si>
  <si>
    <t>After finishing inserting all competitors data your rank will be calculated automatically according to SWOT points category compared with competitors rating</t>
  </si>
  <si>
    <t>For most critical points that you need to improve or sustain set your action plan and target date</t>
  </si>
  <si>
    <t>Related To Online Templates</t>
  </si>
  <si>
    <t>Our templates is compatible with online service but some templates that including macros feature is still not supported with Excel Online</t>
  </si>
  <si>
    <t>Here is some hints that replace our macros in case of using Online Template</t>
  </si>
  <si>
    <t>Referesh / Update Data</t>
  </si>
  <si>
    <r>
      <t xml:space="preserve">Some of our templates include </t>
    </r>
    <r>
      <rPr>
        <b/>
        <sz val="10"/>
        <color theme="1"/>
        <rFont val="Arial"/>
        <family val="2"/>
      </rPr>
      <t xml:space="preserve">Referesh/Update data </t>
    </r>
    <r>
      <rPr>
        <sz val="10"/>
        <color theme="1"/>
        <rFont val="Arial"/>
        <family val="2"/>
      </rPr>
      <t>macro button that can be replaced with Referesh All tool in Excel Online ribbon</t>
    </r>
  </si>
  <si>
    <t>Full Screen</t>
  </si>
  <si>
    <r>
      <t xml:space="preserve">Some of our templates have </t>
    </r>
    <r>
      <rPr>
        <b/>
        <sz val="10"/>
        <color theme="1"/>
        <rFont val="Arial"/>
        <family val="2"/>
      </rPr>
      <t xml:space="preserve">Full Screen </t>
    </r>
    <r>
      <rPr>
        <sz val="10"/>
        <color theme="1"/>
        <rFont val="Arial"/>
        <family val="2"/>
      </rPr>
      <t xml:space="preserve">macro button that can be replaced with the itself web browser full screen tool </t>
    </r>
  </si>
  <si>
    <r>
      <t xml:space="preserve">Other macros is applied on less than ~15% of our templats can be overcome by transferring to Desktop App </t>
    </r>
    <r>
      <rPr>
        <b/>
        <sz val="10"/>
        <color theme="1"/>
        <rFont val="Arial"/>
        <family val="2"/>
      </rPr>
      <t>"Open in Desktop App"</t>
    </r>
    <r>
      <rPr>
        <sz val="10"/>
        <color theme="1"/>
        <rFont val="Arial"/>
        <family val="2"/>
      </rPr>
      <t xml:space="preserve"> button</t>
    </r>
  </si>
  <si>
    <t>Other Macros / Buttons</t>
  </si>
  <si>
    <t>Open in Desktop App</t>
  </si>
  <si>
    <t>To open online template using Desktop App be sure that you signed in to your Microsoft account / Onedrive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</si>
</sst>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i/>
      <u/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0"/>
      <name val="Arial"/>
      <family val="2"/>
    </font>
    <font>
      <sz val="10"/>
      <name val="Arial"/>
      <family val="2"/>
    </font>
    <font>
      <b/>
      <sz val="10"/>
      <color theme="1" tint="0.34998626667073579"/>
      <name val="Arial"/>
      <family val="2"/>
    </font>
    <font>
      <b/>
      <sz val="14"/>
      <color theme="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sz val="12"/>
      <color theme="1" tint="0.34998626667073579"/>
      <name val="Arial"/>
      <family val="2"/>
    </font>
    <font>
      <b/>
      <sz val="14"/>
      <color theme="1" tint="0.34998626667073579"/>
      <name val="Arial"/>
      <family val="2"/>
    </font>
    <font>
      <sz val="12"/>
      <color theme="1" tint="0.499984740745262"/>
      <name val="Arial"/>
      <family val="2"/>
    </font>
    <font>
      <sz val="10"/>
      <color theme="1" tint="0.34998626667073579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sz val="10"/>
      <color theme="1" tint="0.24997711111789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50B47F"/>
        <bgColor indexed="64"/>
      </patternFill>
    </fill>
    <fill>
      <patternFill patternType="solid">
        <fgColor rgb="FF8FCFA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8979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9" fillId="0" borderId="0" applyNumberFormat="0" applyFill="0" applyBorder="0" applyAlignment="0" applyProtection="0"/>
    <xf numFmtId="0" fontId="6" fillId="0" borderId="0"/>
    <xf numFmtId="164" fontId="14" fillId="0" borderId="0" applyFont="0" applyFill="0" applyBorder="0" applyAlignment="0" applyProtection="0"/>
  </cellStyleXfs>
  <cellXfs count="104">
    <xf numFmtId="0" fontId="0" fillId="0" borderId="0" xfId="0"/>
    <xf numFmtId="0" fontId="6" fillId="0" borderId="0" xfId="2" applyFont="1"/>
    <xf numFmtId="0" fontId="6" fillId="2" borderId="0" xfId="2" applyFont="1" applyFill="1"/>
    <xf numFmtId="0" fontId="7" fillId="0" borderId="0" xfId="2" applyFont="1"/>
    <xf numFmtId="0" fontId="8" fillId="2" borderId="0" xfId="2" applyFont="1" applyFill="1"/>
    <xf numFmtId="0" fontId="4" fillId="2" borderId="0" xfId="2" applyFont="1" applyFill="1"/>
    <xf numFmtId="0" fontId="10" fillId="2" borderId="0" xfId="3" applyFont="1" applyFill="1"/>
    <xf numFmtId="0" fontId="5" fillId="2" borderId="0" xfId="3" applyFont="1" applyFill="1"/>
    <xf numFmtId="0" fontId="11" fillId="0" borderId="0" xfId="2" applyFont="1" applyAlignment="1">
      <alignment horizontal="right"/>
    </xf>
    <xf numFmtId="0" fontId="7" fillId="0" borderId="0" xfId="4" applyFont="1"/>
    <xf numFmtId="0" fontId="12" fillId="0" borderId="0" xfId="2" applyFont="1" applyAlignment="1">
      <alignment horizontal="right"/>
    </xf>
    <xf numFmtId="0" fontId="6" fillId="0" borderId="0" xfId="2" applyFont="1" applyAlignment="1">
      <alignment horizontal="right"/>
    </xf>
    <xf numFmtId="0" fontId="13" fillId="2" borderId="0" xfId="1" applyFont="1" applyFill="1" applyAlignment="1" applyProtection="1"/>
    <xf numFmtId="0" fontId="14" fillId="0" borderId="0" xfId="0" applyFont="1"/>
    <xf numFmtId="49" fontId="14" fillId="0" borderId="0" xfId="0" applyNumberFormat="1" applyFont="1"/>
    <xf numFmtId="0" fontId="14" fillId="0" borderId="0" xfId="0" applyFont="1" applyAlignment="1">
      <alignment horizontal="center"/>
    </xf>
    <xf numFmtId="49" fontId="14" fillId="3" borderId="0" xfId="0" applyNumberFormat="1" applyFont="1" applyFill="1"/>
    <xf numFmtId="0" fontId="17" fillId="3" borderId="0" xfId="0" applyFont="1" applyFill="1"/>
    <xf numFmtId="0" fontId="17" fillId="0" borderId="0" xfId="0" applyFont="1"/>
    <xf numFmtId="0" fontId="14" fillId="0" borderId="0" xfId="0" applyFont="1" applyAlignment="1">
      <alignment vertical="top"/>
    </xf>
    <xf numFmtId="0" fontId="14" fillId="3" borderId="0" xfId="0" applyFont="1" applyFill="1"/>
    <xf numFmtId="0" fontId="14" fillId="3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165" fontId="14" fillId="0" borderId="0" xfId="5" applyNumberFormat="1" applyFont="1" applyFill="1" applyBorder="1" applyAlignment="1" applyProtection="1">
      <alignment vertical="center"/>
    </xf>
    <xf numFmtId="165" fontId="14" fillId="3" borderId="0" xfId="5" applyNumberFormat="1" applyFont="1" applyFill="1" applyBorder="1" applyAlignment="1" applyProtection="1">
      <alignment vertical="center"/>
    </xf>
    <xf numFmtId="0" fontId="20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21" fillId="4" borderId="7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vertical="center"/>
    </xf>
    <xf numFmtId="0" fontId="25" fillId="4" borderId="15" xfId="0" applyFont="1" applyFill="1" applyBorder="1"/>
    <xf numFmtId="0" fontId="25" fillId="4" borderId="7" xfId="0" applyFont="1" applyFill="1" applyBorder="1" applyAlignment="1">
      <alignment horizontal="center"/>
    </xf>
    <xf numFmtId="0" fontId="25" fillId="4" borderId="19" xfId="0" applyFont="1" applyFill="1" applyBorder="1"/>
    <xf numFmtId="0" fontId="25" fillId="4" borderId="20" xfId="0" applyFont="1" applyFill="1" applyBorder="1" applyAlignment="1">
      <alignment horizontal="center"/>
    </xf>
    <xf numFmtId="0" fontId="22" fillId="0" borderId="7" xfId="0" applyFont="1" applyBorder="1" applyProtection="1">
      <protection locked="0"/>
    </xf>
    <xf numFmtId="0" fontId="22" fillId="0" borderId="7" xfId="0" quotePrefix="1" applyFont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20" xfId="0" applyBorder="1" applyProtection="1">
      <protection locked="0"/>
    </xf>
    <xf numFmtId="0" fontId="14" fillId="0" borderId="7" xfId="0" applyFont="1" applyBorder="1" applyProtection="1">
      <protection locked="0"/>
    </xf>
    <xf numFmtId="14" fontId="0" fillId="0" borderId="7" xfId="0" applyNumberFormat="1" applyBorder="1" applyAlignment="1" applyProtection="1">
      <alignment horizontal="center"/>
      <protection locked="0"/>
    </xf>
    <xf numFmtId="14" fontId="14" fillId="0" borderId="7" xfId="0" applyNumberFormat="1" applyFont="1" applyBorder="1" applyAlignment="1" applyProtection="1">
      <alignment horizontal="center"/>
      <protection locked="0"/>
    </xf>
    <xf numFmtId="14" fontId="0" fillId="0" borderId="20" xfId="0" applyNumberForma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right"/>
    </xf>
    <xf numFmtId="0" fontId="6" fillId="0" borderId="0" xfId="4"/>
    <xf numFmtId="0" fontId="3" fillId="0" borderId="0" xfId="1" applyAlignment="1" applyProtection="1"/>
    <xf numFmtId="0" fontId="15" fillId="6" borderId="0" xfId="0" applyFont="1" applyFill="1" applyAlignment="1">
      <alignment horizontal="center" vertic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16" fillId="2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5" borderId="2" xfId="0" applyFont="1" applyFill="1" applyBorder="1" applyAlignment="1">
      <alignment horizontal="center" vertical="center" wrapText="1"/>
    </xf>
    <xf numFmtId="0" fontId="20" fillId="5" borderId="3" xfId="0" applyFont="1" applyFill="1" applyBorder="1" applyAlignment="1">
      <alignment horizontal="center" vertical="center" wrapText="1"/>
    </xf>
    <xf numFmtId="0" fontId="20" fillId="5" borderId="4" xfId="0" applyFont="1" applyFill="1" applyBorder="1" applyAlignment="1">
      <alignment horizontal="center" vertical="center" wrapText="1"/>
    </xf>
    <xf numFmtId="0" fontId="20" fillId="5" borderId="5" xfId="0" applyFont="1" applyFill="1" applyBorder="1" applyAlignment="1">
      <alignment horizontal="center" vertical="center" wrapText="1"/>
    </xf>
    <xf numFmtId="0" fontId="20" fillId="5" borderId="6" xfId="0" applyFont="1" applyFill="1" applyBorder="1" applyAlignment="1">
      <alignment horizontal="center" vertical="center" wrapText="1"/>
    </xf>
    <xf numFmtId="0" fontId="20" fillId="7" borderId="1" xfId="0" applyFont="1" applyFill="1" applyBorder="1" applyAlignment="1">
      <alignment horizontal="center" vertical="center" wrapText="1"/>
    </xf>
    <xf numFmtId="0" fontId="20" fillId="7" borderId="2" xfId="0" applyFont="1" applyFill="1" applyBorder="1" applyAlignment="1">
      <alignment horizontal="center" vertical="center" wrapText="1"/>
    </xf>
    <xf numFmtId="0" fontId="20" fillId="7" borderId="3" xfId="0" applyFont="1" applyFill="1" applyBorder="1" applyAlignment="1">
      <alignment horizontal="center" vertical="center" wrapText="1"/>
    </xf>
    <xf numFmtId="0" fontId="20" fillId="7" borderId="4" xfId="0" applyFont="1" applyFill="1" applyBorder="1" applyAlignment="1">
      <alignment horizontal="center" vertical="center" wrapText="1"/>
    </xf>
    <xf numFmtId="0" fontId="20" fillId="7" borderId="5" xfId="0" applyFont="1" applyFill="1" applyBorder="1" applyAlignment="1">
      <alignment horizontal="center" vertical="center" wrapText="1"/>
    </xf>
    <xf numFmtId="0" fontId="20" fillId="7" borderId="6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20" fillId="3" borderId="2" xfId="0" applyFont="1" applyFill="1" applyBorder="1" applyAlignment="1">
      <alignment horizontal="center" vertical="center" wrapText="1"/>
    </xf>
    <xf numFmtId="0" fontId="20" fillId="3" borderId="3" xfId="0" applyFont="1" applyFill="1" applyBorder="1" applyAlignment="1">
      <alignment horizontal="center" vertical="center" wrapText="1"/>
    </xf>
    <xf numFmtId="0" fontId="20" fillId="3" borderId="4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 wrapText="1"/>
    </xf>
    <xf numFmtId="0" fontId="20" fillId="3" borderId="6" xfId="0" applyFont="1" applyFill="1" applyBorder="1" applyAlignment="1">
      <alignment horizontal="center" vertical="center" wrapText="1"/>
    </xf>
    <xf numFmtId="0" fontId="20" fillId="8" borderId="1" xfId="0" applyFont="1" applyFill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 vertical="center" wrapText="1"/>
    </xf>
    <xf numFmtId="0" fontId="20" fillId="8" borderId="3" xfId="0" applyFont="1" applyFill="1" applyBorder="1" applyAlignment="1">
      <alignment horizontal="center" vertical="center" wrapText="1"/>
    </xf>
    <xf numFmtId="0" fontId="20" fillId="8" borderId="4" xfId="0" applyFont="1" applyFill="1" applyBorder="1" applyAlignment="1">
      <alignment horizontal="center" vertical="center" wrapText="1"/>
    </xf>
    <xf numFmtId="0" fontId="20" fillId="8" borderId="5" xfId="0" applyFont="1" applyFill="1" applyBorder="1" applyAlignment="1">
      <alignment horizontal="center" vertical="center" wrapText="1"/>
    </xf>
    <xf numFmtId="0" fontId="20" fillId="8" borderId="6" xfId="0" applyFont="1" applyFill="1" applyBorder="1" applyAlignment="1">
      <alignment horizontal="center" vertical="center" wrapText="1"/>
    </xf>
    <xf numFmtId="0" fontId="6" fillId="12" borderId="12" xfId="0" applyFont="1" applyFill="1" applyBorder="1" applyAlignment="1" applyProtection="1">
      <alignment horizontal="center" vertical="center"/>
      <protection locked="0"/>
    </xf>
    <xf numFmtId="0" fontId="24" fillId="7" borderId="16" xfId="0" applyFont="1" applyFill="1" applyBorder="1" applyAlignment="1">
      <alignment horizontal="center" vertical="center" textRotation="90"/>
    </xf>
    <xf numFmtId="0" fontId="24" fillId="7" borderId="17" xfId="0" applyFont="1" applyFill="1" applyBorder="1" applyAlignment="1">
      <alignment horizontal="center" vertical="center" textRotation="90"/>
    </xf>
    <xf numFmtId="0" fontId="24" fillId="7" borderId="18" xfId="0" applyFont="1" applyFill="1" applyBorder="1" applyAlignment="1">
      <alignment horizontal="center" vertical="center" textRotation="90"/>
    </xf>
    <xf numFmtId="0" fontId="24" fillId="11" borderId="16" xfId="0" applyFont="1" applyFill="1" applyBorder="1" applyAlignment="1">
      <alignment horizontal="center" vertical="center" textRotation="90"/>
    </xf>
    <xf numFmtId="0" fontId="24" fillId="11" borderId="17" xfId="0" applyFont="1" applyFill="1" applyBorder="1" applyAlignment="1">
      <alignment horizontal="center" vertical="center" textRotation="90"/>
    </xf>
    <xf numFmtId="0" fontId="24" fillId="11" borderId="18" xfId="0" applyFont="1" applyFill="1" applyBorder="1" applyAlignment="1">
      <alignment horizontal="center" vertical="center" textRotation="90"/>
    </xf>
    <xf numFmtId="0" fontId="6" fillId="10" borderId="11" xfId="0" applyFont="1" applyFill="1" applyBorder="1" applyAlignment="1" applyProtection="1">
      <alignment horizontal="center" vertical="center" wrapText="1"/>
      <protection locked="0"/>
    </xf>
    <xf numFmtId="0" fontId="6" fillId="10" borderId="13" xfId="0" applyFont="1" applyFill="1" applyBorder="1" applyAlignment="1" applyProtection="1">
      <alignment horizontal="center" vertical="center" wrapText="1"/>
      <protection locked="0"/>
    </xf>
    <xf numFmtId="0" fontId="4" fillId="9" borderId="11" xfId="0" applyFont="1" applyFill="1" applyBorder="1" applyAlignment="1" applyProtection="1">
      <alignment horizontal="center" vertical="center" wrapText="1"/>
      <protection locked="0"/>
    </xf>
    <xf numFmtId="0" fontId="4" fillId="9" borderId="13" xfId="0" applyFont="1" applyFill="1" applyBorder="1" applyAlignment="1" applyProtection="1">
      <alignment horizontal="center" vertical="center" wrapText="1"/>
      <protection locked="0"/>
    </xf>
    <xf numFmtId="0" fontId="23" fillId="9" borderId="13" xfId="0" applyFont="1" applyFill="1" applyBorder="1" applyAlignment="1">
      <alignment horizontal="center" vertical="center"/>
    </xf>
    <xf numFmtId="0" fontId="23" fillId="9" borderId="14" xfId="0" applyFont="1" applyFill="1" applyBorder="1" applyAlignment="1">
      <alignment horizontal="center" vertical="center"/>
    </xf>
    <xf numFmtId="0" fontId="24" fillId="3" borderId="16" xfId="0" applyFont="1" applyFill="1" applyBorder="1" applyAlignment="1">
      <alignment horizontal="center" vertical="center" textRotation="90"/>
    </xf>
    <xf numFmtId="0" fontId="24" fillId="3" borderId="17" xfId="0" applyFont="1" applyFill="1" applyBorder="1" applyAlignment="1">
      <alignment horizontal="center" vertical="center" textRotation="90"/>
    </xf>
    <xf numFmtId="0" fontId="24" fillId="3" borderId="18" xfId="0" applyFont="1" applyFill="1" applyBorder="1" applyAlignment="1">
      <alignment horizontal="center" vertical="center" textRotation="90"/>
    </xf>
    <xf numFmtId="0" fontId="24" fillId="5" borderId="16" xfId="0" applyFont="1" applyFill="1" applyBorder="1" applyAlignment="1">
      <alignment horizontal="center" vertical="center" textRotation="90"/>
    </xf>
    <xf numFmtId="0" fontId="24" fillId="5" borderId="17" xfId="0" applyFont="1" applyFill="1" applyBorder="1" applyAlignment="1">
      <alignment horizontal="center" vertical="center" textRotation="90"/>
    </xf>
    <xf numFmtId="0" fontId="24" fillId="5" borderId="18" xfId="0" applyFont="1" applyFill="1" applyBorder="1" applyAlignment="1">
      <alignment horizontal="center" vertical="center" textRotation="90"/>
    </xf>
  </cellXfs>
  <cellStyles count="6">
    <cellStyle name="Comma" xfId="5" builtinId="3"/>
    <cellStyle name="Hyperlink" xfId="1" builtinId="8"/>
    <cellStyle name="Hyperlink 2" xfId="3" xr:uid="{D0C469F9-1DFE-4E96-9222-F5C6E60C0113}"/>
    <cellStyle name="Normal" xfId="0" builtinId="0"/>
    <cellStyle name="Normal 2" xfId="2" xr:uid="{4ECE8E6A-28E9-4710-9235-23CE4B3B11A1}"/>
    <cellStyle name="Normal 2 2" xfId="4" xr:uid="{EB2EEF92-C657-401D-8170-F27A72E1E815}"/>
  </cellStyles>
  <dxfs count="4">
    <dxf>
      <border>
        <left/>
        <right/>
        <bottom/>
        <vertical/>
        <horizontal/>
      </border>
    </dxf>
    <dxf>
      <border>
        <left/>
        <right/>
        <bottom/>
        <vertical/>
        <horizontal/>
      </border>
    </dxf>
    <dxf>
      <border>
        <left/>
        <right/>
        <bottom/>
        <vertical/>
        <horizontal/>
      </border>
    </dxf>
    <dxf>
      <border>
        <left/>
        <right/>
        <bottom/>
        <vertical/>
        <horizontal/>
      </border>
    </dxf>
  </dxfs>
  <tableStyles count="0" defaultTableStyle="TableStyleMedium2" defaultPivotStyle="PivotStyleLight16"/>
  <colors>
    <mruColors>
      <color rgb="FFFFEB9C"/>
      <color rgb="FF8FCFAD"/>
      <color rgb="FFFFDF57"/>
      <color rgb="FFFFDB43"/>
      <color rgb="FFD89794"/>
      <color rgb="FF8BCAD9"/>
      <color rgb="FFC1D498"/>
      <color rgb="FFF9C499"/>
      <color rgb="FFFFE05D"/>
      <color rgb="FFE2E2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32034561184697"/>
          <c:y val="7.9495708802891626E-2"/>
        </c:manualLayout>
      </c:layout>
      <c:overlay val="0"/>
      <c:txPr>
        <a:bodyPr/>
        <a:lstStyle/>
        <a:p>
          <a:pPr>
            <a:defRPr sz="12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3285950912282092"/>
          <c:y val="0.15083624589465874"/>
          <c:w val="0.6178651244687996"/>
          <c:h val="0.80008235275930928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'SWOT Analysis'!$A$2:$B$2</c:f>
              <c:strCache>
                <c:ptCount val="1"/>
                <c:pt idx="0">
                  <c:v>Strengths</c:v>
                </c:pt>
              </c:strCache>
            </c:strRef>
          </c:tx>
          <c:spPr>
            <a:solidFill>
              <a:srgbClr val="8FCFAD"/>
            </a:solidFill>
            <a:ln w="25400">
              <a:solidFill>
                <a:schemeClr val="bg1">
                  <a:lumMod val="65000"/>
                </a:schemeClr>
              </a:solidFill>
              <a:prstDash val="sysDot"/>
            </a:ln>
          </c:spPr>
          <c:invertIfNegative val="0"/>
          <c:cat>
            <c:strRef>
              <c:f>'SWOT Analysis'!$A$4:$A$13</c:f>
              <c:strCache>
                <c:ptCount val="4"/>
                <c:pt idx="0">
                  <c:v>Strength 1</c:v>
                </c:pt>
                <c:pt idx="1">
                  <c:v>Strength 2</c:v>
                </c:pt>
                <c:pt idx="2">
                  <c:v>Strength 3</c:v>
                </c:pt>
                <c:pt idx="3">
                  <c:v>Strength 4</c:v>
                </c:pt>
              </c:strCache>
            </c:strRef>
          </c:cat>
          <c:val>
            <c:numRef>
              <c:f>[0]!Strengths</c:f>
              <c:numCache>
                <c:formatCode>General</c:formatCode>
                <c:ptCount val="4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3E-491E-87E0-90019DB3F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0019903"/>
        <c:axId val="530007839"/>
      </c:barChart>
      <c:catAx>
        <c:axId val="530019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30007839"/>
        <c:crosses val="autoZero"/>
        <c:auto val="1"/>
        <c:lblAlgn val="ctr"/>
        <c:lblOffset val="100"/>
        <c:noMultiLvlLbl val="0"/>
      </c:catAx>
      <c:valAx>
        <c:axId val="530007839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30019903"/>
        <c:crosses val="autoZero"/>
        <c:crossBetween val="between"/>
      </c:valAx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253226707601315"/>
          <c:y val="7.1318051696733858E-2"/>
        </c:manualLayout>
      </c:layout>
      <c:overlay val="0"/>
      <c:txPr>
        <a:bodyPr/>
        <a:lstStyle/>
        <a:p>
          <a:pPr>
            <a:defRPr sz="12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8806978830992195"/>
          <c:y val="0.15083624589465874"/>
          <c:w val="0.56265484528169851"/>
          <c:h val="0.8000823527593092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'SWOT Analysis'!$A$14:$B$14</c:f>
              <c:strCache>
                <c:ptCount val="1"/>
                <c:pt idx="0">
                  <c:v>Weaknesses</c:v>
                </c:pt>
              </c:strCache>
            </c:strRef>
          </c:tx>
          <c:spPr>
            <a:solidFill>
              <a:srgbClr val="FFEB9C"/>
            </a:solidFill>
            <a:ln w="25400">
              <a:solidFill>
                <a:schemeClr val="bg1">
                  <a:lumMod val="65000"/>
                </a:schemeClr>
              </a:solidFill>
              <a:prstDash val="sysDot"/>
            </a:ln>
            <a:effectLst/>
          </c:spPr>
          <c:invertIfNegative val="0"/>
          <c:cat>
            <c:strRef>
              <c:f>'SWOT Analysis'!$A$16:$A$25</c:f>
              <c:strCache>
                <c:ptCount val="6"/>
                <c:pt idx="0">
                  <c:v>Weakness 1</c:v>
                </c:pt>
                <c:pt idx="1">
                  <c:v>Weakness 2</c:v>
                </c:pt>
                <c:pt idx="2">
                  <c:v>Weakness 3</c:v>
                </c:pt>
                <c:pt idx="3">
                  <c:v>Weakness 4</c:v>
                </c:pt>
                <c:pt idx="4">
                  <c:v>Weakness 5</c:v>
                </c:pt>
                <c:pt idx="5">
                  <c:v>Weakness 6</c:v>
                </c:pt>
              </c:strCache>
            </c:strRef>
          </c:cat>
          <c:val>
            <c:numRef>
              <c:f>[0]!Weaknesses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65-4951-BB68-2FD849906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0019903"/>
        <c:axId val="530007839"/>
      </c:barChart>
      <c:catAx>
        <c:axId val="530019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30007839"/>
        <c:crosses val="autoZero"/>
        <c:auto val="1"/>
        <c:lblAlgn val="ctr"/>
        <c:lblOffset val="100"/>
        <c:noMultiLvlLbl val="0"/>
      </c:catAx>
      <c:valAx>
        <c:axId val="530007839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30019903"/>
        <c:crosses val="autoZero"/>
        <c:crossBetween val="between"/>
      </c:valAx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n-US"/>
              <a:t>Opportunities</a:t>
            </a:r>
          </a:p>
        </c:rich>
      </c:tx>
      <c:layout>
        <c:manualLayout>
          <c:xMode val="edge"/>
          <c:yMode val="edge"/>
          <c:x val="0.35253226707601315"/>
          <c:y val="6.68561061198218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261708983989219"/>
          <c:y val="0.15083624589465874"/>
          <c:w val="0.55810754375172833"/>
          <c:h val="0.8000823527593092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'SWOT Analysis'!$A$26:$B$26</c:f>
              <c:strCache>
                <c:ptCount val="1"/>
                <c:pt idx="0">
                  <c:v>Opportunities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 w="25400">
              <a:solidFill>
                <a:schemeClr val="bg1">
                  <a:lumMod val="65000"/>
                </a:schemeClr>
              </a:solidFill>
              <a:prstDash val="sysDot"/>
            </a:ln>
            <a:effectLst/>
          </c:spPr>
          <c:invertIfNegative val="0"/>
          <c:cat>
            <c:strRef>
              <c:f>'SWOT Analysis'!$A$28:$A$37</c:f>
              <c:strCache>
                <c:ptCount val="3"/>
                <c:pt idx="0">
                  <c:v>Opportunity 1</c:v>
                </c:pt>
                <c:pt idx="1">
                  <c:v>Opportunity 2</c:v>
                </c:pt>
                <c:pt idx="2">
                  <c:v>Opportunity 3</c:v>
                </c:pt>
              </c:strCache>
            </c:strRef>
          </c:cat>
          <c:val>
            <c:numRef>
              <c:f>[0]!opportunities</c:f>
              <c:numCache>
                <c:formatCode>General</c:formatCode>
                <c:ptCount val="3"/>
                <c:pt idx="0">
                  <c:v>5</c:v>
                </c:pt>
                <c:pt idx="1">
                  <c:v>4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B-4E21-90AE-EA3D1D105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0019903"/>
        <c:axId val="530007839"/>
      </c:barChart>
      <c:catAx>
        <c:axId val="530019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30007839"/>
        <c:crosses val="autoZero"/>
        <c:auto val="1"/>
        <c:lblAlgn val="ctr"/>
        <c:lblOffset val="100"/>
        <c:noMultiLvlLbl val="0"/>
      </c:catAx>
      <c:valAx>
        <c:axId val="530007839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30019903"/>
        <c:crosses val="autoZero"/>
        <c:crossBetween val="between"/>
      </c:valAx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n-US"/>
              <a:t>Threats</a:t>
            </a:r>
          </a:p>
        </c:rich>
      </c:tx>
      <c:layout>
        <c:manualLayout>
          <c:xMode val="edge"/>
          <c:yMode val="edge"/>
          <c:x val="0.35253226707601315"/>
          <c:y val="6.68561061198218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7709517305988388"/>
          <c:y val="0.15083624589465874"/>
          <c:w val="0.57362946053173658"/>
          <c:h val="0.8000823527593092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'SWOT Analysis'!$A$38:$B$38</c:f>
              <c:strCache>
                <c:ptCount val="1"/>
                <c:pt idx="0">
                  <c:v>Threats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25400">
              <a:solidFill>
                <a:schemeClr val="bg1">
                  <a:lumMod val="65000"/>
                </a:schemeClr>
              </a:solidFill>
              <a:prstDash val="sysDot"/>
            </a:ln>
            <a:effectLst/>
          </c:spPr>
          <c:invertIfNegative val="0"/>
          <c:cat>
            <c:strRef>
              <c:f>'SWOT Analysis'!$A$40:$A$49</c:f>
              <c:strCache>
                <c:ptCount val="4"/>
                <c:pt idx="0">
                  <c:v>Threat 1</c:v>
                </c:pt>
                <c:pt idx="1">
                  <c:v>Threat 2</c:v>
                </c:pt>
                <c:pt idx="2">
                  <c:v>Threat 3</c:v>
                </c:pt>
                <c:pt idx="3">
                  <c:v>Threat 4</c:v>
                </c:pt>
              </c:strCache>
            </c:strRef>
          </c:cat>
          <c:val>
            <c:numRef>
              <c:f>[0]!Threats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F-4956-95D3-AEC9A61A2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0019903"/>
        <c:axId val="530007839"/>
      </c:barChart>
      <c:catAx>
        <c:axId val="530019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30007839"/>
        <c:crosses val="autoZero"/>
        <c:auto val="1"/>
        <c:lblAlgn val="ctr"/>
        <c:lblOffset val="100"/>
        <c:noMultiLvlLbl val="0"/>
      </c:catAx>
      <c:valAx>
        <c:axId val="530007839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30019903"/>
        <c:crosses val="autoZero"/>
        <c:crossBetween val="between"/>
      </c:valAx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43</xdr:row>
      <xdr:rowOff>19050</xdr:rowOff>
    </xdr:from>
    <xdr:to>
      <xdr:col>12</xdr:col>
      <xdr:colOff>437029</xdr:colOff>
      <xdr:row>47</xdr:row>
      <xdr:rowOff>38100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ED2B6D8-FA51-448F-871C-FB78BAFFE066}"/>
            </a:ext>
          </a:extLst>
        </xdr:cNvPr>
        <xdr:cNvGrpSpPr/>
      </xdr:nvGrpSpPr>
      <xdr:grpSpPr>
        <a:xfrm>
          <a:off x="4653242" y="6966697"/>
          <a:ext cx="5835463" cy="646579"/>
          <a:chOff x="4257674" y="8324850"/>
          <a:chExt cx="7353301" cy="666750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141E40BC-4A51-4DAB-BEAA-1DE8217966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57674" y="8324850"/>
            <a:ext cx="7353301" cy="666750"/>
          </a:xfrm>
          <a:prstGeom prst="rect">
            <a:avLst/>
          </a:prstGeom>
        </xdr:spPr>
      </xdr:pic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3CB57DC2-96F7-4F19-B575-E013D63A557D}"/>
              </a:ext>
            </a:extLst>
          </xdr:cNvPr>
          <xdr:cNvSpPr/>
        </xdr:nvSpPr>
        <xdr:spPr>
          <a:xfrm>
            <a:off x="4333875" y="8572500"/>
            <a:ext cx="819150" cy="2095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50545E0C-66E0-46E4-B217-343A29E87127}"/>
              </a:ext>
            </a:extLst>
          </xdr:cNvPr>
          <xdr:cNvSpPr/>
        </xdr:nvSpPr>
        <xdr:spPr>
          <a:xfrm>
            <a:off x="7248525" y="8429625"/>
            <a:ext cx="361950" cy="1714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66674</xdr:colOff>
      <xdr:row>51</xdr:row>
      <xdr:rowOff>95250</xdr:rowOff>
    </xdr:from>
    <xdr:to>
      <xdr:col>12</xdr:col>
      <xdr:colOff>456079</xdr:colOff>
      <xdr:row>55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FD546781-F23C-4D58-A02D-D4A421ECB5FB}"/>
            </a:ext>
          </a:extLst>
        </xdr:cNvPr>
        <xdr:cNvGrpSpPr/>
      </xdr:nvGrpSpPr>
      <xdr:grpSpPr>
        <a:xfrm>
          <a:off x="4672292" y="8297956"/>
          <a:ext cx="5835463" cy="646579"/>
          <a:chOff x="4276724" y="9696450"/>
          <a:chExt cx="7353301" cy="666750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4EB68EF9-0790-41E8-BB82-207AFAB5D1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76724" y="9696450"/>
            <a:ext cx="7353301" cy="666750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3978C0B2-2593-43BC-A9AF-709CCDA88EE1}"/>
              </a:ext>
            </a:extLst>
          </xdr:cNvPr>
          <xdr:cNvSpPr/>
        </xdr:nvSpPr>
        <xdr:spPr>
          <a:xfrm>
            <a:off x="9782174" y="9791700"/>
            <a:ext cx="923926" cy="180975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85725</xdr:colOff>
      <xdr:row>57</xdr:row>
      <xdr:rowOff>47625</xdr:rowOff>
    </xdr:from>
    <xdr:to>
      <xdr:col>12</xdr:col>
      <xdr:colOff>420024</xdr:colOff>
      <xdr:row>61</xdr:row>
      <xdr:rowOff>133350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71788D70-697E-42C9-8FDD-C4EE35A958F4}"/>
            </a:ext>
          </a:extLst>
        </xdr:cNvPr>
        <xdr:cNvGrpSpPr/>
      </xdr:nvGrpSpPr>
      <xdr:grpSpPr>
        <a:xfrm>
          <a:off x="4691343" y="9191625"/>
          <a:ext cx="5780357" cy="713254"/>
          <a:chOff x="4295775" y="10620375"/>
          <a:chExt cx="7334250" cy="733425"/>
        </a:xfrm>
      </xdr:grpSpPr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1852B17B-FB04-4931-9745-96DF4F4940E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333"/>
          <a:stretch/>
        </xdr:blipFill>
        <xdr:spPr>
          <a:xfrm>
            <a:off x="4295775" y="10620375"/>
            <a:ext cx="7334250" cy="733425"/>
          </a:xfrm>
          <a:prstGeom prst="rect">
            <a:avLst/>
          </a:prstGeom>
        </xdr:spPr>
      </xdr:pic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A3A33087-AED3-43C5-AB4F-D9B5B3E81E7E}"/>
              </a:ext>
            </a:extLst>
          </xdr:cNvPr>
          <xdr:cNvSpPr/>
        </xdr:nvSpPr>
        <xdr:spPr>
          <a:xfrm>
            <a:off x="10848975" y="10648949"/>
            <a:ext cx="762000" cy="2381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5</xdr:col>
          <xdr:colOff>9525</xdr:colOff>
          <xdr:row>2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Screen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33618</xdr:colOff>
      <xdr:row>31</xdr:row>
      <xdr:rowOff>22412</xdr:rowOff>
    </xdr:from>
    <xdr:to>
      <xdr:col>8</xdr:col>
      <xdr:colOff>358588</xdr:colOff>
      <xdr:row>49</xdr:row>
      <xdr:rowOff>44821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268946</xdr:colOff>
      <xdr:row>31</xdr:row>
      <xdr:rowOff>22412</xdr:rowOff>
    </xdr:from>
    <xdr:to>
      <xdr:col>18</xdr:col>
      <xdr:colOff>212917</xdr:colOff>
      <xdr:row>49</xdr:row>
      <xdr:rowOff>44821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380994</xdr:colOff>
      <xdr:row>31</xdr:row>
      <xdr:rowOff>22412</xdr:rowOff>
    </xdr:from>
    <xdr:to>
      <xdr:col>13</xdr:col>
      <xdr:colOff>324964</xdr:colOff>
      <xdr:row>49</xdr:row>
      <xdr:rowOff>44821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224118</xdr:colOff>
      <xdr:row>31</xdr:row>
      <xdr:rowOff>22412</xdr:rowOff>
    </xdr:from>
    <xdr:to>
      <xdr:col>23</xdr:col>
      <xdr:colOff>168088</xdr:colOff>
      <xdr:row>49</xdr:row>
      <xdr:rowOff>44821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9525</xdr:rowOff>
        </xdr:from>
        <xdr:to>
          <xdr:col>6</xdr:col>
          <xdr:colOff>266700</xdr:colOff>
          <xdr:row>2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B3C5-B82D-4751-A51E-894ABCE93472}">
  <sheetPr codeName="Sheet1">
    <tabColor rgb="FFC00000"/>
  </sheetPr>
  <dimension ref="A1:Q69"/>
  <sheetViews>
    <sheetView showGridLines="0" showRowColHeaders="0" tabSelected="1" topLeftCell="A41" zoomScale="85" zoomScaleNormal="85" workbookViewId="0">
      <pane xSplit="3" topLeftCell="D1" activePane="topRight" state="frozen"/>
      <selection pane="topRight" activeCell="C64" sqref="C64:I72"/>
    </sheetView>
  </sheetViews>
  <sheetFormatPr defaultRowHeight="12.75" x14ac:dyDescent="0.2"/>
  <cols>
    <col min="1" max="1" width="24.28515625" style="2" bestFit="1" customWidth="1"/>
    <col min="2" max="2" width="20.28515625" style="1" customWidth="1"/>
    <col min="3" max="3" width="24.42578125" style="1" customWidth="1"/>
    <col min="4" max="16384" width="9.140625" style="1"/>
  </cols>
  <sheetData>
    <row r="1" spans="1:4" x14ac:dyDescent="0.2">
      <c r="A1" s="1"/>
    </row>
    <row r="2" spans="1:4" x14ac:dyDescent="0.2">
      <c r="A2" s="1"/>
    </row>
    <row r="3" spans="1:4" x14ac:dyDescent="0.2">
      <c r="A3" s="1"/>
    </row>
    <row r="4" spans="1:4" x14ac:dyDescent="0.2">
      <c r="A4" s="1"/>
    </row>
    <row r="5" spans="1:4" x14ac:dyDescent="0.2">
      <c r="B5" s="3"/>
      <c r="D5" s="3"/>
    </row>
    <row r="6" spans="1:4" x14ac:dyDescent="0.2">
      <c r="A6" s="4" t="s">
        <v>0</v>
      </c>
      <c r="B6" s="3" t="s">
        <v>1</v>
      </c>
      <c r="D6" s="3" t="s">
        <v>17</v>
      </c>
    </row>
    <row r="7" spans="1:4" x14ac:dyDescent="0.2">
      <c r="A7" s="5"/>
    </row>
    <row r="8" spans="1:4" x14ac:dyDescent="0.2">
      <c r="A8" s="12" t="s">
        <v>17</v>
      </c>
      <c r="B8" s="3" t="s">
        <v>2</v>
      </c>
      <c r="D8" s="1" t="s">
        <v>52</v>
      </c>
    </row>
    <row r="9" spans="1:4" x14ac:dyDescent="0.2">
      <c r="A9" s="12" t="s">
        <v>59</v>
      </c>
      <c r="B9" s="3"/>
      <c r="D9" s="1" t="s">
        <v>53</v>
      </c>
    </row>
    <row r="10" spans="1:4" ht="15" x14ac:dyDescent="0.25">
      <c r="A10" s="6"/>
      <c r="B10" s="3"/>
    </row>
    <row r="11" spans="1:4" ht="15" x14ac:dyDescent="0.25">
      <c r="A11" s="6"/>
      <c r="B11" s="3"/>
      <c r="C11" s="8" t="s">
        <v>20</v>
      </c>
      <c r="D11" s="1" t="s">
        <v>55</v>
      </c>
    </row>
    <row r="12" spans="1:4" ht="15" x14ac:dyDescent="0.25">
      <c r="A12" s="6"/>
      <c r="B12" s="3"/>
      <c r="C12" s="8" t="s">
        <v>21</v>
      </c>
      <c r="D12" s="1" t="s">
        <v>54</v>
      </c>
    </row>
    <row r="13" spans="1:4" ht="15" x14ac:dyDescent="0.25">
      <c r="A13" s="6"/>
      <c r="B13" s="3"/>
      <c r="C13" s="8" t="s">
        <v>22</v>
      </c>
      <c r="D13" s="1" t="s">
        <v>58</v>
      </c>
    </row>
    <row r="14" spans="1:4" ht="15" x14ac:dyDescent="0.25">
      <c r="A14" s="6"/>
      <c r="B14" s="3"/>
      <c r="C14" s="8" t="s">
        <v>23</v>
      </c>
      <c r="D14" s="1" t="s">
        <v>57</v>
      </c>
    </row>
    <row r="15" spans="1:4" ht="15" x14ac:dyDescent="0.25">
      <c r="A15" s="7"/>
      <c r="D15" s="1" t="s">
        <v>56</v>
      </c>
    </row>
    <row r="16" spans="1:4" x14ac:dyDescent="0.2">
      <c r="B16" s="3"/>
      <c r="C16" s="8"/>
    </row>
    <row r="18" spans="2:4" x14ac:dyDescent="0.2">
      <c r="B18" s="9" t="s">
        <v>3</v>
      </c>
      <c r="D18" s="9">
        <v>1</v>
      </c>
    </row>
    <row r="20" spans="2:4" x14ac:dyDescent="0.2">
      <c r="B20" s="9" t="s">
        <v>4</v>
      </c>
      <c r="C20" s="10" t="s">
        <v>17</v>
      </c>
      <c r="D20" s="1" t="s">
        <v>60</v>
      </c>
    </row>
    <row r="21" spans="2:4" x14ac:dyDescent="0.2">
      <c r="C21" s="10" t="s">
        <v>59</v>
      </c>
      <c r="D21" s="1" t="s">
        <v>61</v>
      </c>
    </row>
    <row r="22" spans="2:4" x14ac:dyDescent="0.2">
      <c r="C22" s="10"/>
    </row>
    <row r="24" spans="2:4" x14ac:dyDescent="0.2">
      <c r="B24" s="9" t="s">
        <v>5</v>
      </c>
      <c r="C24" s="11" t="s">
        <v>6</v>
      </c>
      <c r="D24" s="1" t="s">
        <v>62</v>
      </c>
    </row>
    <row r="25" spans="2:4" x14ac:dyDescent="0.2">
      <c r="C25" s="11" t="s">
        <v>7</v>
      </c>
      <c r="D25" s="1" t="s">
        <v>63</v>
      </c>
    </row>
    <row r="26" spans="2:4" x14ac:dyDescent="0.2">
      <c r="C26" s="11" t="s">
        <v>8</v>
      </c>
      <c r="D26" s="1" t="s">
        <v>64</v>
      </c>
    </row>
    <row r="27" spans="2:4" x14ac:dyDescent="0.2">
      <c r="C27" s="11" t="s">
        <v>9</v>
      </c>
      <c r="D27" s="1" t="s">
        <v>66</v>
      </c>
    </row>
    <row r="28" spans="2:4" x14ac:dyDescent="0.2">
      <c r="C28" s="11" t="s">
        <v>10</v>
      </c>
      <c r="D28" s="1" t="s">
        <v>65</v>
      </c>
    </row>
    <row r="29" spans="2:4" x14ac:dyDescent="0.2">
      <c r="C29" s="11" t="s">
        <v>11</v>
      </c>
      <c r="D29" s="1" t="s">
        <v>67</v>
      </c>
    </row>
    <row r="30" spans="2:4" x14ac:dyDescent="0.2">
      <c r="C30" s="11" t="s">
        <v>12</v>
      </c>
      <c r="D30" s="1" t="s">
        <v>68</v>
      </c>
    </row>
    <row r="31" spans="2:4" x14ac:dyDescent="0.2">
      <c r="C31" s="11" t="s">
        <v>13</v>
      </c>
      <c r="D31" s="1" t="s">
        <v>69</v>
      </c>
    </row>
    <row r="32" spans="2:4" x14ac:dyDescent="0.2">
      <c r="C32" s="11" t="s">
        <v>14</v>
      </c>
      <c r="D32" s="1" t="s">
        <v>70</v>
      </c>
    </row>
    <row r="33" spans="2:17" x14ac:dyDescent="0.2">
      <c r="C33" s="11" t="s">
        <v>15</v>
      </c>
      <c r="D33" s="1" t="s">
        <v>71</v>
      </c>
    </row>
    <row r="34" spans="2:17" x14ac:dyDescent="0.2">
      <c r="C34" s="11" t="s">
        <v>16</v>
      </c>
      <c r="D34" s="1" t="s">
        <v>74</v>
      </c>
    </row>
    <row r="35" spans="2:17" x14ac:dyDescent="0.2">
      <c r="C35" s="11" t="s">
        <v>72</v>
      </c>
      <c r="D35" s="1" t="s">
        <v>75</v>
      </c>
    </row>
    <row r="36" spans="2:17" x14ac:dyDescent="0.2">
      <c r="C36" s="11" t="s">
        <v>73</v>
      </c>
      <c r="D36" s="1" t="s">
        <v>76</v>
      </c>
    </row>
    <row r="37" spans="2:17" x14ac:dyDescent="0.2">
      <c r="C37" s="11" t="s">
        <v>77</v>
      </c>
      <c r="D37" s="1" t="s">
        <v>79</v>
      </c>
    </row>
    <row r="38" spans="2:17" x14ac:dyDescent="0.2">
      <c r="C38" s="11" t="s">
        <v>78</v>
      </c>
      <c r="D38" s="1" t="s">
        <v>80</v>
      </c>
    </row>
    <row r="39" spans="2:17" x14ac:dyDescent="0.2">
      <c r="C39" s="11"/>
    </row>
    <row r="40" spans="2:17" x14ac:dyDescent="0.2">
      <c r="B40" s="46" t="s">
        <v>81</v>
      </c>
      <c r="C40" s="47"/>
      <c r="D40" s="48" t="s">
        <v>82</v>
      </c>
      <c r="E40" s="49"/>
      <c r="F40" s="49"/>
      <c r="G40" s="49"/>
      <c r="H40" s="51"/>
      <c r="I40" s="51"/>
      <c r="J40" s="51"/>
      <c r="K40" s="51"/>
      <c r="L40" s="51"/>
      <c r="M40" s="51"/>
      <c r="N40" s="51"/>
      <c r="O40" s="49"/>
      <c r="P40" s="49"/>
      <c r="Q40" s="49"/>
    </row>
    <row r="41" spans="2:17" x14ac:dyDescent="0.2">
      <c r="B41" s="49"/>
      <c r="C41" s="49"/>
      <c r="D41" s="48" t="s">
        <v>83</v>
      </c>
      <c r="E41" s="49"/>
      <c r="F41" s="49"/>
      <c r="G41" s="49"/>
      <c r="H41" s="51"/>
      <c r="I41" s="51"/>
      <c r="J41" s="51"/>
      <c r="K41" s="51"/>
      <c r="L41" s="51"/>
      <c r="M41" s="51"/>
      <c r="N41" s="51"/>
      <c r="O41" s="49"/>
      <c r="P41" s="49"/>
      <c r="Q41" s="49"/>
    </row>
    <row r="42" spans="2:17" x14ac:dyDescent="0.2">
      <c r="B42" s="49"/>
      <c r="C42" s="49"/>
      <c r="D42" s="49"/>
      <c r="E42" s="49"/>
      <c r="F42" s="49"/>
      <c r="G42" s="49"/>
      <c r="H42" s="51"/>
      <c r="I42" s="51"/>
      <c r="J42" s="51"/>
      <c r="K42" s="51"/>
      <c r="L42" s="51"/>
      <c r="M42" s="51"/>
      <c r="N42" s="51"/>
      <c r="O42" s="49"/>
      <c r="P42" s="49"/>
      <c r="Q42" s="49"/>
    </row>
    <row r="43" spans="2:17" x14ac:dyDescent="0.2">
      <c r="B43" s="49"/>
      <c r="C43" s="50" t="s">
        <v>84</v>
      </c>
      <c r="D43" s="49" t="s">
        <v>85</v>
      </c>
      <c r="E43" s="49"/>
      <c r="F43" s="49"/>
      <c r="G43" s="49"/>
      <c r="H43" s="51"/>
      <c r="I43" s="51"/>
      <c r="J43" s="51"/>
      <c r="K43" s="51"/>
      <c r="L43" s="51"/>
      <c r="M43" s="51"/>
      <c r="N43" s="51"/>
      <c r="O43" s="49"/>
      <c r="P43" s="49"/>
      <c r="Q43" s="49"/>
    </row>
    <row r="44" spans="2:17" x14ac:dyDescent="0.2">
      <c r="B44" s="49"/>
      <c r="C44" s="49"/>
      <c r="D44" s="47"/>
      <c r="E44" s="49"/>
      <c r="F44" s="49"/>
      <c r="G44" s="49"/>
      <c r="H44" s="51"/>
      <c r="I44" s="51"/>
      <c r="J44" s="51"/>
      <c r="K44" s="51"/>
      <c r="L44" s="51"/>
      <c r="M44" s="51"/>
      <c r="N44" s="51"/>
      <c r="O44" s="49"/>
      <c r="P44" s="49"/>
      <c r="Q44" s="49"/>
    </row>
    <row r="45" spans="2:17" x14ac:dyDescent="0.2">
      <c r="B45" s="49"/>
      <c r="C45" s="49"/>
      <c r="D45" s="47"/>
      <c r="E45" s="49"/>
      <c r="F45" s="49"/>
      <c r="G45" s="49"/>
      <c r="H45" s="51"/>
      <c r="I45" s="51"/>
      <c r="J45" s="51"/>
      <c r="K45" s="51"/>
      <c r="L45" s="51"/>
      <c r="M45" s="51"/>
      <c r="N45" s="51"/>
      <c r="O45" s="49"/>
      <c r="P45" s="49"/>
      <c r="Q45" s="49"/>
    </row>
    <row r="46" spans="2:17" x14ac:dyDescent="0.2">
      <c r="B46" s="49"/>
      <c r="C46" s="49"/>
      <c r="D46" s="47"/>
      <c r="E46" s="49"/>
      <c r="F46" s="49"/>
      <c r="G46" s="49"/>
      <c r="H46" s="51"/>
      <c r="I46" s="51"/>
      <c r="J46" s="51"/>
      <c r="K46" s="51"/>
      <c r="L46" s="51"/>
      <c r="M46" s="51"/>
      <c r="N46" s="51"/>
      <c r="O46" s="49"/>
      <c r="P46" s="49"/>
      <c r="Q46" s="49"/>
    </row>
    <row r="47" spans="2:17" x14ac:dyDescent="0.2">
      <c r="B47" s="49"/>
      <c r="C47" s="49"/>
      <c r="D47" s="47"/>
      <c r="E47" s="49"/>
      <c r="F47" s="49"/>
      <c r="G47" s="49"/>
      <c r="H47" s="51"/>
      <c r="I47" s="51"/>
      <c r="J47" s="51"/>
      <c r="K47" s="51"/>
      <c r="L47" s="51"/>
      <c r="M47" s="51"/>
      <c r="N47" s="51"/>
      <c r="O47" s="49"/>
      <c r="P47" s="49"/>
      <c r="Q47" s="49"/>
    </row>
    <row r="48" spans="2:17" x14ac:dyDescent="0.2">
      <c r="B48" s="49"/>
      <c r="C48" s="49"/>
      <c r="D48" s="47"/>
      <c r="E48" s="49"/>
      <c r="F48" s="49"/>
      <c r="G48" s="49"/>
      <c r="H48" s="51"/>
      <c r="I48" s="51"/>
      <c r="J48" s="51"/>
      <c r="K48" s="51"/>
      <c r="L48" s="51"/>
      <c r="M48" s="51"/>
      <c r="N48" s="51"/>
      <c r="O48" s="49"/>
      <c r="P48" s="49"/>
      <c r="Q48" s="49"/>
    </row>
    <row r="49" spans="2:17" x14ac:dyDescent="0.2">
      <c r="B49" s="49"/>
      <c r="C49" s="50" t="s">
        <v>86</v>
      </c>
      <c r="D49" s="49" t="s">
        <v>87</v>
      </c>
      <c r="E49" s="49"/>
      <c r="F49" s="49"/>
      <c r="G49" s="49"/>
      <c r="H49" s="51"/>
      <c r="I49" s="51"/>
      <c r="J49" s="51"/>
      <c r="K49" s="51"/>
      <c r="L49" s="51"/>
      <c r="M49" s="51"/>
      <c r="N49" s="51"/>
      <c r="O49" s="49"/>
      <c r="P49" s="49"/>
      <c r="Q49" s="49"/>
    </row>
    <row r="50" spans="2:17" x14ac:dyDescent="0.2">
      <c r="B50" s="49"/>
      <c r="C50" s="49"/>
      <c r="D50" s="49"/>
      <c r="E50" s="49"/>
      <c r="F50" s="49"/>
      <c r="G50" s="49"/>
      <c r="H50" s="51"/>
      <c r="I50" s="51"/>
      <c r="J50" s="51"/>
      <c r="K50" s="51"/>
      <c r="L50" s="51"/>
      <c r="M50" s="51"/>
      <c r="N50" s="51"/>
      <c r="O50" s="49"/>
      <c r="P50" s="49"/>
      <c r="Q50" s="49"/>
    </row>
    <row r="51" spans="2:17" x14ac:dyDescent="0.2">
      <c r="B51" s="49"/>
      <c r="C51" s="50" t="s">
        <v>89</v>
      </c>
      <c r="D51" s="49" t="s">
        <v>88</v>
      </c>
      <c r="E51" s="49"/>
      <c r="F51" s="49"/>
      <c r="G51" s="49"/>
      <c r="H51" s="51"/>
      <c r="I51" s="51"/>
      <c r="J51" s="51"/>
      <c r="K51" s="51"/>
      <c r="L51" s="51"/>
      <c r="M51" s="51"/>
      <c r="N51" s="51"/>
      <c r="O51" s="49"/>
      <c r="P51" s="49"/>
      <c r="Q51" s="49"/>
    </row>
    <row r="52" spans="2:17" x14ac:dyDescent="0.2">
      <c r="B52" s="49"/>
      <c r="C52" s="49"/>
      <c r="D52" s="49"/>
      <c r="E52" s="49"/>
      <c r="F52" s="49"/>
      <c r="G52" s="49"/>
      <c r="H52" s="51"/>
      <c r="I52" s="51"/>
      <c r="J52" s="51"/>
      <c r="K52" s="51"/>
      <c r="L52" s="51"/>
      <c r="M52" s="51"/>
      <c r="N52" s="51"/>
      <c r="O52" s="49"/>
      <c r="P52" s="49"/>
      <c r="Q52" s="49"/>
    </row>
    <row r="53" spans="2:17" x14ac:dyDescent="0.2">
      <c r="B53" s="49"/>
      <c r="C53" s="49"/>
      <c r="D53" s="49"/>
      <c r="E53" s="49"/>
      <c r="F53" s="49"/>
      <c r="G53" s="49"/>
      <c r="H53" s="51"/>
      <c r="I53" s="51"/>
      <c r="J53" s="51"/>
      <c r="K53" s="51"/>
      <c r="L53" s="51"/>
      <c r="M53" s="51"/>
      <c r="N53" s="51"/>
      <c r="O53" s="49"/>
      <c r="P53" s="49"/>
      <c r="Q53" s="49"/>
    </row>
    <row r="54" spans="2:17" x14ac:dyDescent="0.2">
      <c r="B54" s="49"/>
      <c r="C54" s="49"/>
      <c r="D54" s="49"/>
      <c r="E54" s="49"/>
      <c r="F54" s="49"/>
      <c r="G54" s="49"/>
      <c r="H54" s="51"/>
      <c r="I54" s="51"/>
      <c r="J54" s="51"/>
      <c r="K54" s="51"/>
      <c r="L54" s="51"/>
      <c r="M54" s="51"/>
      <c r="N54" s="51"/>
      <c r="O54" s="49"/>
      <c r="P54" s="49"/>
      <c r="Q54" s="49"/>
    </row>
    <row r="55" spans="2:17" x14ac:dyDescent="0.2">
      <c r="B55" s="49"/>
      <c r="C55" s="49"/>
      <c r="D55" s="49"/>
      <c r="E55" s="49"/>
      <c r="F55" s="49"/>
      <c r="G55" s="49"/>
      <c r="H55" s="51"/>
      <c r="I55" s="51"/>
      <c r="J55" s="51"/>
      <c r="K55" s="51"/>
      <c r="L55" s="51"/>
      <c r="M55" s="51"/>
      <c r="N55" s="51"/>
      <c r="O55" s="49"/>
      <c r="P55" s="49"/>
      <c r="Q55" s="49"/>
    </row>
    <row r="56" spans="2:17" x14ac:dyDescent="0.2">
      <c r="B56" s="49"/>
      <c r="C56" s="49"/>
      <c r="D56" s="49"/>
      <c r="E56" s="49"/>
      <c r="F56" s="49"/>
      <c r="G56" s="49"/>
      <c r="H56" s="51"/>
      <c r="I56" s="51"/>
      <c r="J56" s="51"/>
      <c r="K56" s="51"/>
      <c r="L56" s="51"/>
      <c r="M56" s="51"/>
      <c r="N56" s="51"/>
      <c r="O56" s="49"/>
      <c r="P56" s="49"/>
      <c r="Q56" s="49"/>
    </row>
    <row r="57" spans="2:17" x14ac:dyDescent="0.2">
      <c r="B57" s="49"/>
      <c r="C57" s="50" t="s">
        <v>90</v>
      </c>
      <c r="D57" s="49" t="s">
        <v>91</v>
      </c>
      <c r="E57" s="49"/>
      <c r="F57" s="49"/>
      <c r="G57" s="49"/>
      <c r="H57" s="51"/>
      <c r="I57" s="51"/>
      <c r="J57" s="51"/>
      <c r="K57" s="51"/>
      <c r="L57" s="51"/>
      <c r="M57" s="51"/>
      <c r="N57" s="51"/>
      <c r="O57" s="49"/>
      <c r="P57" s="49"/>
      <c r="Q57" s="49"/>
    </row>
    <row r="58" spans="2:17" x14ac:dyDescent="0.2">
      <c r="B58" s="49"/>
      <c r="C58" s="49"/>
      <c r="D58" s="49"/>
      <c r="E58" s="49"/>
      <c r="F58" s="49"/>
      <c r="G58" s="49"/>
      <c r="H58" s="51"/>
      <c r="I58" s="51"/>
      <c r="J58" s="51"/>
      <c r="K58" s="51"/>
      <c r="L58" s="51"/>
      <c r="M58" s="51"/>
      <c r="N58" s="51"/>
      <c r="O58" s="49"/>
      <c r="P58" s="49"/>
      <c r="Q58" s="49"/>
    </row>
    <row r="59" spans="2:17" x14ac:dyDescent="0.2">
      <c r="B59" s="49"/>
      <c r="C59" s="49"/>
      <c r="D59" s="49"/>
      <c r="E59" s="49"/>
      <c r="F59" s="49"/>
      <c r="G59" s="49"/>
      <c r="H59" s="51"/>
      <c r="I59" s="51"/>
      <c r="J59" s="51"/>
      <c r="K59" s="51"/>
      <c r="L59" s="51"/>
      <c r="M59" s="51"/>
      <c r="N59" s="51"/>
      <c r="O59" s="49"/>
      <c r="P59" s="49"/>
      <c r="Q59" s="49"/>
    </row>
    <row r="60" spans="2:17" x14ac:dyDescent="0.2">
      <c r="B60" s="49"/>
      <c r="C60" s="49"/>
      <c r="D60" s="49"/>
      <c r="E60" s="49"/>
      <c r="F60" s="49"/>
      <c r="G60" s="49"/>
      <c r="H60" s="51"/>
      <c r="I60" s="51"/>
      <c r="J60" s="51"/>
      <c r="K60" s="51"/>
      <c r="L60" s="51"/>
      <c r="M60" s="51"/>
      <c r="N60" s="51"/>
      <c r="O60" s="49"/>
      <c r="P60" s="49"/>
      <c r="Q60" s="49"/>
    </row>
    <row r="61" spans="2:17" x14ac:dyDescent="0.2">
      <c r="B61" s="49"/>
      <c r="C61" s="49"/>
      <c r="D61" s="49"/>
      <c r="E61" s="49"/>
      <c r="F61" s="49"/>
      <c r="G61" s="49"/>
      <c r="H61" s="51"/>
      <c r="I61" s="51"/>
      <c r="J61" s="51"/>
      <c r="K61" s="51"/>
      <c r="L61" s="51"/>
      <c r="M61" s="51"/>
      <c r="N61" s="51"/>
      <c r="O61" s="49"/>
      <c r="P61" s="49"/>
      <c r="Q61" s="49"/>
    </row>
    <row r="62" spans="2:17" x14ac:dyDescent="0.2">
      <c r="B62" s="49"/>
      <c r="C62" s="49"/>
      <c r="D62" s="49"/>
      <c r="E62" s="49"/>
      <c r="F62" s="49"/>
      <c r="G62" s="49"/>
      <c r="H62" s="51"/>
      <c r="I62" s="51"/>
      <c r="J62" s="51"/>
      <c r="K62" s="51"/>
      <c r="L62" s="51"/>
      <c r="M62" s="51"/>
      <c r="N62" s="51"/>
      <c r="O62" s="49"/>
      <c r="P62" s="49"/>
      <c r="Q62" s="49"/>
    </row>
    <row r="63" spans="2:17" x14ac:dyDescent="0.2">
      <c r="B63" s="49"/>
      <c r="C63" s="49"/>
      <c r="D63" s="48"/>
      <c r="E63" s="49"/>
      <c r="F63" s="49"/>
      <c r="G63" s="49"/>
      <c r="H63" s="51"/>
      <c r="I63" s="51"/>
      <c r="J63" s="51"/>
      <c r="K63" s="51"/>
      <c r="L63" s="51"/>
      <c r="M63" s="51"/>
      <c r="N63" s="51"/>
    </row>
    <row r="64" spans="2:17" x14ac:dyDescent="0.2">
      <c r="B64" s="49"/>
      <c r="C64" s="49"/>
      <c r="D64" s="51"/>
      <c r="E64" s="49"/>
      <c r="F64" s="49"/>
      <c r="G64" s="49"/>
      <c r="H64" s="51"/>
      <c r="I64" s="51"/>
      <c r="J64" s="51"/>
      <c r="K64" s="51"/>
      <c r="L64" s="51"/>
      <c r="M64" s="51"/>
      <c r="N64" s="51"/>
    </row>
    <row r="65" spans="2:14" x14ac:dyDescent="0.2">
      <c r="B65" s="49"/>
      <c r="C65" s="49"/>
      <c r="D65" s="52"/>
      <c r="E65" s="49"/>
      <c r="F65" s="49"/>
      <c r="G65" s="49"/>
      <c r="H65" s="51"/>
      <c r="I65" s="51"/>
      <c r="J65" s="51"/>
      <c r="K65" s="51"/>
      <c r="L65" s="51"/>
      <c r="M65" s="51"/>
      <c r="N65" s="51"/>
    </row>
    <row r="66" spans="2:14" x14ac:dyDescent="0.2">
      <c r="B66" s="49"/>
      <c r="C66" s="49"/>
      <c r="D66" s="51"/>
      <c r="E66" s="49"/>
      <c r="F66" s="49"/>
      <c r="G66" s="49"/>
      <c r="H66" s="51"/>
      <c r="I66" s="51"/>
      <c r="J66" s="51"/>
      <c r="K66" s="51"/>
      <c r="L66" s="51"/>
      <c r="M66" s="51"/>
      <c r="N66" s="51"/>
    </row>
    <row r="67" spans="2:14" x14ac:dyDescent="0.2">
      <c r="B67" s="49"/>
      <c r="C67" s="49"/>
      <c r="D67" s="51"/>
      <c r="E67" s="49"/>
      <c r="F67" s="49"/>
      <c r="G67" s="49"/>
      <c r="H67" s="51"/>
      <c r="I67" s="51"/>
      <c r="J67" s="51"/>
      <c r="K67" s="51"/>
      <c r="L67" s="51"/>
      <c r="M67" s="51"/>
      <c r="N67" s="51"/>
    </row>
    <row r="68" spans="2:14" x14ac:dyDescent="0.2">
      <c r="B68" s="49"/>
      <c r="C68" s="49"/>
      <c r="D68" s="51"/>
      <c r="E68" s="49"/>
      <c r="F68" s="49"/>
      <c r="G68" s="49"/>
      <c r="H68" s="51"/>
      <c r="I68" s="51"/>
      <c r="J68" s="51"/>
      <c r="K68" s="51"/>
      <c r="L68" s="51"/>
      <c r="M68" s="51"/>
      <c r="N68" s="51"/>
    </row>
    <row r="69" spans="2:14" x14ac:dyDescent="0.2"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</row>
  </sheetData>
  <conditionalFormatting sqref="D18">
    <cfRule type="iconSet" priority="1">
      <iconSet reverse="1">
        <cfvo type="percent" val="0"/>
        <cfvo type="num" val="1" gte="0"/>
        <cfvo type="num" val="2" gte="0"/>
      </iconSet>
    </cfRule>
  </conditionalFormatting>
  <hyperlinks>
    <hyperlink ref="A8" location="'SWOT Analysis'!A1" display="SWOT Analysis" xr:uid="{B89450DB-109A-477B-A1E2-81664E2031E9}"/>
    <hyperlink ref="A9" location="'SWOT Competitive Matrix'!A1" display="SWOT Competitive Matrix" xr:uid="{C3CF67CF-5604-43E8-A2A1-CD8B5E059471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75980-E30B-4AFA-820E-08179B26AF35}">
  <sheetPr codeName="Sheet2">
    <tabColor rgb="FF50B47F"/>
    <pageSetUpPr fitToPage="1"/>
  </sheetPr>
  <dimension ref="A1:AB108"/>
  <sheetViews>
    <sheetView showGridLines="0" showRowColHeaders="0" zoomScale="85" zoomScaleNormal="85" workbookViewId="0">
      <selection activeCell="A20" sqref="A20"/>
    </sheetView>
  </sheetViews>
  <sheetFormatPr defaultColWidth="0" defaultRowHeight="0" customHeight="1" zeroHeight="1" x14ac:dyDescent="0.2"/>
  <cols>
    <col min="1" max="1" width="46.42578125" style="13" customWidth="1"/>
    <col min="2" max="2" width="9.85546875" style="13" customWidth="1"/>
    <col min="3" max="3" width="0.42578125" style="20" customWidth="1"/>
    <col min="4" max="4" width="3.42578125" style="13" customWidth="1"/>
    <col min="5" max="7" width="9.140625" style="13" customWidth="1"/>
    <col min="8" max="8" width="7" style="13" customWidth="1"/>
    <col min="9" max="11" width="9.140625" style="13" customWidth="1"/>
    <col min="12" max="12" width="7" style="13" customWidth="1"/>
    <col min="13" max="15" width="9.140625" style="13" customWidth="1"/>
    <col min="16" max="16" width="7" style="13" customWidth="1"/>
    <col min="17" max="19" width="9.140625" style="13" customWidth="1"/>
    <col min="20" max="20" width="7" style="13" customWidth="1"/>
    <col min="21" max="23" width="9.140625" style="13" customWidth="1"/>
    <col min="24" max="24" width="2.7109375" style="13" customWidth="1"/>
    <col min="25" max="28" width="0" style="13" hidden="1" customWidth="1"/>
    <col min="29" max="16384" width="9.140625" style="13" hidden="1"/>
  </cols>
  <sheetData>
    <row r="1" spans="1:24" s="18" customFormat="1" ht="16.5" customHeight="1" x14ac:dyDescent="0.25">
      <c r="A1" s="57" t="s">
        <v>18</v>
      </c>
      <c r="B1" s="57"/>
      <c r="C1" s="17"/>
      <c r="D1" s="57" t="s">
        <v>17</v>
      </c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</row>
    <row r="2" spans="1:24" ht="12.75" customHeight="1" x14ac:dyDescent="0.2">
      <c r="A2" s="58" t="s">
        <v>20</v>
      </c>
      <c r="B2" s="58"/>
      <c r="C2" s="16"/>
      <c r="D2" s="14"/>
      <c r="E2" s="19"/>
      <c r="F2" s="19"/>
      <c r="G2" s="19"/>
    </row>
    <row r="3" spans="1:24" ht="12.75" customHeight="1" x14ac:dyDescent="0.2">
      <c r="A3" s="29" t="s">
        <v>19</v>
      </c>
      <c r="B3" s="30" t="s">
        <v>28</v>
      </c>
      <c r="C3" s="16"/>
      <c r="D3" s="15"/>
      <c r="E3" s="19"/>
      <c r="F3" s="19"/>
      <c r="G3" s="19"/>
    </row>
    <row r="4" spans="1:24" ht="12.75" customHeight="1" x14ac:dyDescent="0.2">
      <c r="A4" s="35" t="s">
        <v>24</v>
      </c>
      <c r="B4" s="36">
        <v>4</v>
      </c>
      <c r="E4" s="19"/>
      <c r="F4" s="19"/>
      <c r="G4" s="19"/>
    </row>
    <row r="5" spans="1:24" ht="12.75" customHeight="1" x14ac:dyDescent="0.2">
      <c r="A5" s="35" t="s">
        <v>25</v>
      </c>
      <c r="B5" s="36">
        <v>2</v>
      </c>
      <c r="E5" s="73" t="s">
        <v>20</v>
      </c>
      <c r="F5" s="74"/>
      <c r="G5" s="74"/>
      <c r="H5" s="74"/>
      <c r="I5" s="74"/>
      <c r="J5" s="74"/>
      <c r="K5" s="74"/>
      <c r="L5" s="75"/>
      <c r="M5" s="27"/>
      <c r="N5" s="27"/>
      <c r="O5" s="27"/>
      <c r="P5" s="61" t="s">
        <v>21</v>
      </c>
      <c r="Q5" s="62"/>
      <c r="R5" s="62"/>
      <c r="S5" s="62"/>
      <c r="T5" s="62"/>
      <c r="U5" s="62"/>
      <c r="V5" s="62"/>
      <c r="W5" s="63"/>
    </row>
    <row r="6" spans="1:24" ht="12.75" customHeight="1" x14ac:dyDescent="0.2">
      <c r="A6" s="35" t="s">
        <v>26</v>
      </c>
      <c r="B6" s="36">
        <v>2</v>
      </c>
      <c r="C6" s="21"/>
      <c r="D6" s="22"/>
      <c r="E6" s="76"/>
      <c r="F6" s="77"/>
      <c r="G6" s="77"/>
      <c r="H6" s="77"/>
      <c r="I6" s="77"/>
      <c r="J6" s="77"/>
      <c r="K6" s="77"/>
      <c r="L6" s="78"/>
      <c r="M6" s="27"/>
      <c r="N6" s="27"/>
      <c r="O6" s="27"/>
      <c r="P6" s="64"/>
      <c r="Q6" s="65"/>
      <c r="R6" s="65"/>
      <c r="S6" s="65"/>
      <c r="T6" s="65"/>
      <c r="U6" s="65"/>
      <c r="V6" s="65"/>
      <c r="W6" s="66"/>
    </row>
    <row r="7" spans="1:24" ht="12.75" customHeight="1" x14ac:dyDescent="0.2">
      <c r="A7" s="35" t="s">
        <v>27</v>
      </c>
      <c r="B7" s="36">
        <v>1</v>
      </c>
      <c r="C7" s="23"/>
      <c r="D7" s="24"/>
      <c r="E7" s="54" t="str">
        <f>IF(A4="","",A4)</f>
        <v>Strength 1</v>
      </c>
      <c r="F7" s="55"/>
      <c r="G7" s="55"/>
      <c r="H7" s="55"/>
      <c r="I7" s="55"/>
      <c r="J7" s="55"/>
      <c r="K7" s="55"/>
      <c r="L7" s="56"/>
      <c r="M7" s="27"/>
      <c r="N7" s="27"/>
      <c r="O7" s="27"/>
      <c r="P7" s="54" t="str">
        <f>IF(A16="","",A16)</f>
        <v>Weakness 1</v>
      </c>
      <c r="Q7" s="55"/>
      <c r="R7" s="55"/>
      <c r="S7" s="55"/>
      <c r="T7" s="55"/>
      <c r="U7" s="55"/>
      <c r="V7" s="55"/>
      <c r="W7" s="56"/>
    </row>
    <row r="8" spans="1:24" ht="12.75" customHeight="1" x14ac:dyDescent="0.2">
      <c r="A8" s="35"/>
      <c r="B8" s="36"/>
      <c r="C8" s="23"/>
      <c r="D8" s="24"/>
      <c r="E8" s="54" t="str">
        <f t="shared" ref="E8:E16" si="0">IF(A5="","",A5)</f>
        <v>Strength 2</v>
      </c>
      <c r="F8" s="55"/>
      <c r="G8" s="55"/>
      <c r="H8" s="55"/>
      <c r="I8" s="55"/>
      <c r="J8" s="55"/>
      <c r="K8" s="55"/>
      <c r="L8" s="56"/>
      <c r="M8" s="24"/>
      <c r="N8" s="24"/>
      <c r="O8" s="24"/>
      <c r="P8" s="54" t="str">
        <f t="shared" ref="P8:P16" si="1">IF(A17="","",A17)</f>
        <v>Weakness 2</v>
      </c>
      <c r="Q8" s="55"/>
      <c r="R8" s="55"/>
      <c r="S8" s="55"/>
      <c r="T8" s="55"/>
      <c r="U8" s="55"/>
      <c r="V8" s="55"/>
      <c r="W8" s="56"/>
    </row>
    <row r="9" spans="1:24" ht="12.75" customHeight="1" x14ac:dyDescent="0.2">
      <c r="A9" s="35"/>
      <c r="B9" s="36"/>
      <c r="C9" s="23"/>
      <c r="D9" s="24"/>
      <c r="E9" s="54" t="str">
        <f t="shared" si="0"/>
        <v>Strength 3</v>
      </c>
      <c r="F9" s="55"/>
      <c r="G9" s="55"/>
      <c r="H9" s="55"/>
      <c r="I9" s="55"/>
      <c r="J9" s="55"/>
      <c r="K9" s="55"/>
      <c r="L9" s="56"/>
      <c r="M9" s="28"/>
      <c r="N9" s="28"/>
      <c r="O9" s="28"/>
      <c r="P9" s="54" t="str">
        <f t="shared" si="1"/>
        <v>Weakness 3</v>
      </c>
      <c r="Q9" s="55"/>
      <c r="R9" s="55"/>
      <c r="S9" s="55"/>
      <c r="T9" s="55"/>
      <c r="U9" s="55"/>
      <c r="V9" s="55"/>
      <c r="W9" s="56"/>
    </row>
    <row r="10" spans="1:24" ht="12.75" customHeight="1" x14ac:dyDescent="0.2">
      <c r="A10" s="35"/>
      <c r="B10" s="36"/>
      <c r="C10" s="23"/>
      <c r="D10" s="24"/>
      <c r="E10" s="54" t="str">
        <f t="shared" si="0"/>
        <v>Strength 4</v>
      </c>
      <c r="F10" s="55"/>
      <c r="G10" s="55"/>
      <c r="H10" s="55"/>
      <c r="I10" s="55"/>
      <c r="J10" s="55"/>
      <c r="K10" s="55"/>
      <c r="L10" s="56"/>
      <c r="M10" s="28"/>
      <c r="N10" s="28"/>
      <c r="O10" s="28"/>
      <c r="P10" s="54" t="str">
        <f t="shared" si="1"/>
        <v>Weakness 4</v>
      </c>
      <c r="Q10" s="55"/>
      <c r="R10" s="55"/>
      <c r="S10" s="55"/>
      <c r="T10" s="55"/>
      <c r="U10" s="55"/>
      <c r="V10" s="55"/>
      <c r="W10" s="56"/>
    </row>
    <row r="11" spans="1:24" ht="12.75" customHeight="1" x14ac:dyDescent="0.2">
      <c r="A11" s="35"/>
      <c r="B11" s="36"/>
      <c r="C11" s="23"/>
      <c r="D11" s="24"/>
      <c r="E11" s="54" t="str">
        <f t="shared" si="0"/>
        <v/>
      </c>
      <c r="F11" s="55"/>
      <c r="G11" s="55"/>
      <c r="H11" s="55"/>
      <c r="I11" s="55"/>
      <c r="J11" s="55"/>
      <c r="K11" s="55"/>
      <c r="L11" s="56"/>
      <c r="M11" s="28"/>
      <c r="N11" s="28"/>
      <c r="O11" s="28"/>
      <c r="P11" s="54" t="str">
        <f t="shared" si="1"/>
        <v>Weakness 5</v>
      </c>
      <c r="Q11" s="55"/>
      <c r="R11" s="55"/>
      <c r="S11" s="55"/>
      <c r="T11" s="55"/>
      <c r="U11" s="55"/>
      <c r="V11" s="55"/>
      <c r="W11" s="56"/>
    </row>
    <row r="12" spans="1:24" ht="12.75" customHeight="1" x14ac:dyDescent="0.2">
      <c r="A12" s="35"/>
      <c r="B12" s="36"/>
      <c r="C12" s="23"/>
      <c r="D12" s="24"/>
      <c r="E12" s="54" t="str">
        <f t="shared" si="0"/>
        <v/>
      </c>
      <c r="F12" s="55"/>
      <c r="G12" s="55"/>
      <c r="H12" s="55"/>
      <c r="I12" s="55"/>
      <c r="J12" s="55"/>
      <c r="K12" s="55"/>
      <c r="L12" s="56"/>
      <c r="M12" s="28"/>
      <c r="N12" s="28"/>
      <c r="O12" s="28"/>
      <c r="P12" s="54" t="str">
        <f t="shared" si="1"/>
        <v>Weakness 6</v>
      </c>
      <c r="Q12" s="55"/>
      <c r="R12" s="55"/>
      <c r="S12" s="55"/>
      <c r="T12" s="55"/>
      <c r="U12" s="55"/>
      <c r="V12" s="55"/>
      <c r="W12" s="56"/>
    </row>
    <row r="13" spans="1:24" ht="12.75" customHeight="1" x14ac:dyDescent="0.2">
      <c r="A13" s="35"/>
      <c r="B13" s="36"/>
      <c r="C13" s="23"/>
      <c r="D13" s="24"/>
      <c r="E13" s="54" t="str">
        <f t="shared" si="0"/>
        <v/>
      </c>
      <c r="F13" s="55"/>
      <c r="G13" s="55"/>
      <c r="H13" s="55"/>
      <c r="I13" s="55"/>
      <c r="J13" s="55"/>
      <c r="K13" s="55"/>
      <c r="L13" s="56"/>
      <c r="M13" s="28"/>
      <c r="N13" s="28"/>
      <c r="O13" s="28"/>
      <c r="P13" s="54" t="str">
        <f t="shared" si="1"/>
        <v/>
      </c>
      <c r="Q13" s="55"/>
      <c r="R13" s="55"/>
      <c r="S13" s="55"/>
      <c r="T13" s="55"/>
      <c r="U13" s="55"/>
      <c r="V13" s="55"/>
      <c r="W13" s="56"/>
    </row>
    <row r="14" spans="1:24" ht="12.75" customHeight="1" x14ac:dyDescent="0.2">
      <c r="A14" s="59" t="s">
        <v>21</v>
      </c>
      <c r="B14" s="59"/>
      <c r="C14" s="23"/>
      <c r="D14" s="24"/>
      <c r="E14" s="54" t="str">
        <f t="shared" si="0"/>
        <v/>
      </c>
      <c r="F14" s="55"/>
      <c r="G14" s="55"/>
      <c r="H14" s="55"/>
      <c r="I14" s="55"/>
      <c r="J14" s="55"/>
      <c r="K14" s="55"/>
      <c r="L14" s="56"/>
      <c r="M14" s="28"/>
      <c r="N14" s="28"/>
      <c r="O14" s="28"/>
      <c r="P14" s="54" t="str">
        <f t="shared" si="1"/>
        <v/>
      </c>
      <c r="Q14" s="55"/>
      <c r="R14" s="55"/>
      <c r="S14" s="55"/>
      <c r="T14" s="55"/>
      <c r="U14" s="55"/>
      <c r="V14" s="55"/>
      <c r="W14" s="56"/>
    </row>
    <row r="15" spans="1:24" ht="12.75" customHeight="1" x14ac:dyDescent="0.2">
      <c r="A15" s="29" t="s">
        <v>19</v>
      </c>
      <c r="B15" s="30" t="s">
        <v>28</v>
      </c>
      <c r="C15" s="23"/>
      <c r="D15" s="24"/>
      <c r="E15" s="54" t="str">
        <f t="shared" si="0"/>
        <v/>
      </c>
      <c r="F15" s="55"/>
      <c r="G15" s="55"/>
      <c r="H15" s="55"/>
      <c r="I15" s="55"/>
      <c r="J15" s="55"/>
      <c r="K15" s="55"/>
      <c r="L15" s="56"/>
      <c r="M15" s="28"/>
      <c r="N15" s="28"/>
      <c r="O15" s="28"/>
      <c r="P15" s="54" t="str">
        <f t="shared" si="1"/>
        <v/>
      </c>
      <c r="Q15" s="55"/>
      <c r="R15" s="55"/>
      <c r="S15" s="55"/>
      <c r="T15" s="55"/>
      <c r="U15" s="55"/>
      <c r="V15" s="55"/>
      <c r="W15" s="56"/>
    </row>
    <row r="16" spans="1:24" ht="12.75" customHeight="1" x14ac:dyDescent="0.2">
      <c r="A16" s="35" t="s">
        <v>41</v>
      </c>
      <c r="B16" s="36">
        <v>1</v>
      </c>
      <c r="C16" s="26"/>
      <c r="D16" s="25"/>
      <c r="E16" s="54" t="str">
        <f t="shared" si="0"/>
        <v/>
      </c>
      <c r="F16" s="55"/>
      <c r="G16" s="55"/>
      <c r="H16" s="55"/>
      <c r="I16" s="55"/>
      <c r="J16" s="55"/>
      <c r="K16" s="55"/>
      <c r="L16" s="56"/>
      <c r="M16" s="28"/>
      <c r="N16" s="28"/>
      <c r="O16" s="28"/>
      <c r="P16" s="54" t="str">
        <f t="shared" si="1"/>
        <v/>
      </c>
      <c r="Q16" s="55"/>
      <c r="R16" s="55"/>
      <c r="S16" s="55"/>
      <c r="T16" s="55"/>
      <c r="U16" s="55"/>
      <c r="V16" s="55"/>
      <c r="W16" s="56"/>
    </row>
    <row r="17" spans="1:23" ht="12.75" customHeight="1" x14ac:dyDescent="0.2">
      <c r="A17" s="35" t="s">
        <v>42</v>
      </c>
      <c r="B17" s="36">
        <v>1</v>
      </c>
      <c r="E17" s="27"/>
      <c r="F17" s="27"/>
      <c r="G17" s="27"/>
      <c r="H17" s="27"/>
      <c r="I17" s="27"/>
      <c r="J17" s="27"/>
      <c r="K17" s="27"/>
      <c r="L17" s="27"/>
      <c r="M17" s="28"/>
      <c r="N17" s="28"/>
      <c r="O17" s="28"/>
      <c r="Q17" s="28"/>
      <c r="R17" s="28"/>
      <c r="S17" s="28"/>
      <c r="U17" s="28"/>
      <c r="V17" s="28"/>
      <c r="W17" s="28"/>
    </row>
    <row r="18" spans="1:23" ht="12.75" customHeight="1" x14ac:dyDescent="0.2">
      <c r="A18" s="35" t="s">
        <v>43</v>
      </c>
      <c r="B18" s="36">
        <v>5</v>
      </c>
      <c r="E18" s="28"/>
      <c r="F18" s="28"/>
      <c r="G18" s="28"/>
      <c r="I18" s="28"/>
      <c r="J18" s="28"/>
      <c r="K18" s="28"/>
      <c r="M18" s="28"/>
      <c r="N18" s="28"/>
      <c r="O18" s="28"/>
      <c r="Q18" s="28"/>
      <c r="R18" s="28"/>
      <c r="S18" s="28"/>
      <c r="U18" s="28"/>
      <c r="V18" s="28"/>
      <c r="W18" s="28"/>
    </row>
    <row r="19" spans="1:23" ht="12.75" customHeight="1" x14ac:dyDescent="0.2">
      <c r="A19" s="35" t="s">
        <v>44</v>
      </c>
      <c r="B19" s="36">
        <v>3</v>
      </c>
      <c r="E19" s="67" t="s">
        <v>22</v>
      </c>
      <c r="F19" s="68"/>
      <c r="G19" s="68"/>
      <c r="H19" s="68"/>
      <c r="I19" s="68"/>
      <c r="J19" s="68"/>
      <c r="K19" s="68"/>
      <c r="L19" s="69"/>
      <c r="P19" s="79" t="s">
        <v>23</v>
      </c>
      <c r="Q19" s="80"/>
      <c r="R19" s="80"/>
      <c r="S19" s="80"/>
      <c r="T19" s="80"/>
      <c r="U19" s="80"/>
      <c r="V19" s="80"/>
      <c r="W19" s="81"/>
    </row>
    <row r="20" spans="1:23" ht="12.75" customHeight="1" x14ac:dyDescent="0.2">
      <c r="A20" s="35" t="s">
        <v>45</v>
      </c>
      <c r="B20" s="36">
        <v>5</v>
      </c>
      <c r="E20" s="70"/>
      <c r="F20" s="71"/>
      <c r="G20" s="71"/>
      <c r="H20" s="71"/>
      <c r="I20" s="71"/>
      <c r="J20" s="71"/>
      <c r="K20" s="71"/>
      <c r="L20" s="72"/>
      <c r="M20" s="28"/>
      <c r="N20" s="28"/>
      <c r="O20" s="28"/>
      <c r="P20" s="82"/>
      <c r="Q20" s="83"/>
      <c r="R20" s="83"/>
      <c r="S20" s="83"/>
      <c r="T20" s="83"/>
      <c r="U20" s="83"/>
      <c r="V20" s="83"/>
      <c r="W20" s="84"/>
    </row>
    <row r="21" spans="1:23" ht="12.75" customHeight="1" x14ac:dyDescent="0.2">
      <c r="A21" s="35" t="s">
        <v>46</v>
      </c>
      <c r="B21" s="36">
        <v>4</v>
      </c>
      <c r="E21" s="54" t="str">
        <f>IF(A28="","",A28)</f>
        <v>Opportunity 1</v>
      </c>
      <c r="F21" s="55"/>
      <c r="G21" s="55"/>
      <c r="H21" s="55"/>
      <c r="I21" s="55"/>
      <c r="J21" s="55"/>
      <c r="K21" s="55"/>
      <c r="L21" s="56"/>
      <c r="M21" s="28"/>
      <c r="N21" s="28"/>
      <c r="O21" s="28"/>
      <c r="P21" s="54" t="str">
        <f>IF(A40="","",A40)</f>
        <v>Threat 1</v>
      </c>
      <c r="Q21" s="55"/>
      <c r="R21" s="55"/>
      <c r="S21" s="55"/>
      <c r="T21" s="55"/>
      <c r="U21" s="55"/>
      <c r="V21" s="55"/>
      <c r="W21" s="56"/>
    </row>
    <row r="22" spans="1:23" ht="12.75" customHeight="1" x14ac:dyDescent="0.2">
      <c r="A22" s="35"/>
      <c r="B22" s="36"/>
      <c r="E22" s="54" t="str">
        <f t="shared" ref="E22:E30" si="2">IF(A29="","",A29)</f>
        <v>Opportunity 2</v>
      </c>
      <c r="F22" s="55"/>
      <c r="G22" s="55"/>
      <c r="H22" s="55"/>
      <c r="I22" s="55"/>
      <c r="J22" s="55"/>
      <c r="K22" s="55"/>
      <c r="L22" s="56"/>
      <c r="M22" s="28"/>
      <c r="N22" s="28"/>
      <c r="O22" s="28"/>
      <c r="P22" s="54" t="str">
        <f t="shared" ref="P22:P29" si="3">IF(A41="","",A41)</f>
        <v>Threat 2</v>
      </c>
      <c r="Q22" s="55"/>
      <c r="R22" s="55"/>
      <c r="S22" s="55"/>
      <c r="T22" s="55"/>
      <c r="U22" s="55"/>
      <c r="V22" s="55"/>
      <c r="W22" s="56"/>
    </row>
    <row r="23" spans="1:23" ht="12.75" customHeight="1" x14ac:dyDescent="0.2">
      <c r="A23" s="35"/>
      <c r="B23" s="36"/>
      <c r="E23" s="54" t="str">
        <f t="shared" si="2"/>
        <v>Opportunity 3</v>
      </c>
      <c r="F23" s="55"/>
      <c r="G23" s="55"/>
      <c r="H23" s="55"/>
      <c r="I23" s="55"/>
      <c r="J23" s="55"/>
      <c r="K23" s="55"/>
      <c r="L23" s="56"/>
      <c r="M23" s="28"/>
      <c r="N23" s="28"/>
      <c r="O23" s="28"/>
      <c r="P23" s="54" t="str">
        <f t="shared" si="3"/>
        <v>Threat 3</v>
      </c>
      <c r="Q23" s="55"/>
      <c r="R23" s="55"/>
      <c r="S23" s="55"/>
      <c r="T23" s="55"/>
      <c r="U23" s="55"/>
      <c r="V23" s="55"/>
      <c r="W23" s="56"/>
    </row>
    <row r="24" spans="1:23" ht="12.75" customHeight="1" x14ac:dyDescent="0.2">
      <c r="A24" s="35"/>
      <c r="B24" s="36"/>
      <c r="E24" s="54" t="str">
        <f t="shared" si="2"/>
        <v/>
      </c>
      <c r="F24" s="55"/>
      <c r="G24" s="55"/>
      <c r="H24" s="55"/>
      <c r="I24" s="55"/>
      <c r="J24" s="55"/>
      <c r="K24" s="55"/>
      <c r="L24" s="56"/>
      <c r="M24" s="28"/>
      <c r="N24" s="28"/>
      <c r="O24" s="28"/>
      <c r="P24" s="54" t="str">
        <f t="shared" si="3"/>
        <v>Threat 4</v>
      </c>
      <c r="Q24" s="55"/>
      <c r="R24" s="55"/>
      <c r="S24" s="55"/>
      <c r="T24" s="55"/>
      <c r="U24" s="55"/>
      <c r="V24" s="55"/>
      <c r="W24" s="56"/>
    </row>
    <row r="25" spans="1:23" ht="12.75" customHeight="1" x14ac:dyDescent="0.2">
      <c r="A25" s="35"/>
      <c r="B25" s="36"/>
      <c r="E25" s="54" t="str">
        <f t="shared" si="2"/>
        <v/>
      </c>
      <c r="F25" s="55"/>
      <c r="G25" s="55"/>
      <c r="H25" s="55"/>
      <c r="I25" s="55"/>
      <c r="J25" s="55"/>
      <c r="K25" s="55"/>
      <c r="L25" s="56"/>
      <c r="P25" s="54" t="str">
        <f t="shared" si="3"/>
        <v/>
      </c>
      <c r="Q25" s="55"/>
      <c r="R25" s="55"/>
      <c r="S25" s="55"/>
      <c r="T25" s="55"/>
      <c r="U25" s="55"/>
      <c r="V25" s="55"/>
      <c r="W25" s="56"/>
    </row>
    <row r="26" spans="1:23" ht="12.75" customHeight="1" x14ac:dyDescent="0.2">
      <c r="A26" s="60" t="s">
        <v>22</v>
      </c>
      <c r="B26" s="60"/>
      <c r="E26" s="54" t="str">
        <f t="shared" si="2"/>
        <v/>
      </c>
      <c r="F26" s="55"/>
      <c r="G26" s="55"/>
      <c r="H26" s="55"/>
      <c r="I26" s="55"/>
      <c r="J26" s="55"/>
      <c r="K26" s="55"/>
      <c r="L26" s="56"/>
      <c r="M26" s="28"/>
      <c r="N26" s="28"/>
      <c r="O26" s="28"/>
      <c r="P26" s="54" t="str">
        <f t="shared" si="3"/>
        <v/>
      </c>
      <c r="Q26" s="55"/>
      <c r="R26" s="55"/>
      <c r="S26" s="55"/>
      <c r="T26" s="55"/>
      <c r="U26" s="55"/>
      <c r="V26" s="55"/>
      <c r="W26" s="56"/>
    </row>
    <row r="27" spans="1:23" ht="12.75" customHeight="1" x14ac:dyDescent="0.2">
      <c r="A27" s="29" t="s">
        <v>19</v>
      </c>
      <c r="B27" s="30" t="s">
        <v>28</v>
      </c>
      <c r="E27" s="54" t="str">
        <f t="shared" si="2"/>
        <v/>
      </c>
      <c r="F27" s="55"/>
      <c r="G27" s="55"/>
      <c r="H27" s="55"/>
      <c r="I27" s="55"/>
      <c r="J27" s="55"/>
      <c r="K27" s="55"/>
      <c r="L27" s="56"/>
      <c r="M27" s="28"/>
      <c r="N27" s="28"/>
      <c r="O27" s="28"/>
      <c r="P27" s="54" t="str">
        <f t="shared" si="3"/>
        <v/>
      </c>
      <c r="Q27" s="55"/>
      <c r="R27" s="55"/>
      <c r="S27" s="55"/>
      <c r="T27" s="55"/>
      <c r="U27" s="55"/>
      <c r="V27" s="55"/>
      <c r="W27" s="56"/>
    </row>
    <row r="28" spans="1:23" ht="12.75" customHeight="1" x14ac:dyDescent="0.2">
      <c r="A28" s="35" t="s">
        <v>47</v>
      </c>
      <c r="B28" s="36">
        <v>5</v>
      </c>
      <c r="E28" s="54" t="str">
        <f t="shared" si="2"/>
        <v/>
      </c>
      <c r="F28" s="55"/>
      <c r="G28" s="55"/>
      <c r="H28" s="55"/>
      <c r="I28" s="55"/>
      <c r="J28" s="55"/>
      <c r="K28" s="55"/>
      <c r="L28" s="56"/>
      <c r="M28" s="28"/>
      <c r="N28" s="28"/>
      <c r="O28" s="28"/>
      <c r="P28" s="54" t="str">
        <f t="shared" si="3"/>
        <v/>
      </c>
      <c r="Q28" s="55"/>
      <c r="R28" s="55"/>
      <c r="S28" s="55"/>
      <c r="T28" s="55"/>
      <c r="U28" s="55"/>
      <c r="V28" s="55"/>
      <c r="W28" s="56"/>
    </row>
    <row r="29" spans="1:23" ht="12.75" customHeight="1" x14ac:dyDescent="0.2">
      <c r="A29" s="35" t="s">
        <v>48</v>
      </c>
      <c r="B29" s="36">
        <v>4</v>
      </c>
      <c r="E29" s="54" t="str">
        <f t="shared" si="2"/>
        <v/>
      </c>
      <c r="F29" s="55"/>
      <c r="G29" s="55"/>
      <c r="H29" s="55"/>
      <c r="I29" s="55"/>
      <c r="J29" s="55"/>
      <c r="K29" s="55"/>
      <c r="L29" s="56"/>
      <c r="M29" s="28"/>
      <c r="N29" s="28"/>
      <c r="O29" s="28"/>
      <c r="P29" s="54" t="str">
        <f t="shared" si="3"/>
        <v/>
      </c>
      <c r="Q29" s="55"/>
      <c r="R29" s="55"/>
      <c r="S29" s="55"/>
      <c r="T29" s="55"/>
      <c r="U29" s="55"/>
      <c r="V29" s="55"/>
      <c r="W29" s="56"/>
    </row>
    <row r="30" spans="1:23" ht="12.75" customHeight="1" x14ac:dyDescent="0.2">
      <c r="A30" s="35" t="s">
        <v>49</v>
      </c>
      <c r="B30" s="36">
        <v>3</v>
      </c>
      <c r="E30" s="54" t="str">
        <f t="shared" si="2"/>
        <v/>
      </c>
      <c r="F30" s="55"/>
      <c r="G30" s="55"/>
      <c r="H30" s="55"/>
      <c r="I30" s="55"/>
      <c r="J30" s="55"/>
      <c r="K30" s="55"/>
      <c r="L30" s="56"/>
      <c r="M30" s="28"/>
      <c r="N30" s="28"/>
      <c r="O30" s="28"/>
      <c r="P30" s="54" t="str">
        <f t="shared" ref="P30:P31" si="4">IF(A49="","",A49)</f>
        <v/>
      </c>
      <c r="Q30" s="55"/>
      <c r="R30" s="55"/>
      <c r="S30" s="55"/>
      <c r="T30" s="55"/>
      <c r="U30" s="55"/>
      <c r="V30" s="55"/>
      <c r="W30" s="56"/>
    </row>
    <row r="31" spans="1:23" ht="12.75" customHeight="1" x14ac:dyDescent="0.2">
      <c r="A31" s="35"/>
      <c r="B31" s="36"/>
      <c r="P31" s="13" t="str">
        <f t="shared" si="4"/>
        <v/>
      </c>
    </row>
    <row r="32" spans="1:23" ht="12.75" customHeight="1" x14ac:dyDescent="0.2">
      <c r="A32" s="35"/>
      <c r="B32" s="36"/>
      <c r="E32" s="28"/>
      <c r="F32" s="28"/>
      <c r="G32" s="28"/>
      <c r="I32" s="28"/>
      <c r="J32" s="28"/>
      <c r="K32" s="28"/>
      <c r="M32" s="28"/>
      <c r="N32" s="28"/>
      <c r="O32" s="28"/>
      <c r="Q32" s="28"/>
      <c r="R32" s="28"/>
      <c r="S32" s="28"/>
      <c r="U32" s="28"/>
      <c r="V32" s="28"/>
      <c r="W32" s="28"/>
    </row>
    <row r="33" spans="1:23" ht="12.75" customHeight="1" x14ac:dyDescent="0.2">
      <c r="A33" s="35"/>
      <c r="B33" s="36"/>
      <c r="E33" s="28"/>
      <c r="F33" s="28"/>
      <c r="G33" s="28"/>
      <c r="I33" s="28"/>
      <c r="J33" s="28"/>
      <c r="K33" s="28"/>
      <c r="M33" s="28"/>
      <c r="N33" s="28"/>
      <c r="O33" s="28"/>
      <c r="Q33" s="28"/>
      <c r="R33" s="28"/>
      <c r="S33" s="28"/>
      <c r="U33" s="28"/>
      <c r="V33" s="28"/>
      <c r="W33" s="28"/>
    </row>
    <row r="34" spans="1:23" ht="12.75" customHeight="1" x14ac:dyDescent="0.2">
      <c r="A34" s="35"/>
      <c r="B34" s="36"/>
      <c r="E34" s="28"/>
      <c r="F34" s="28"/>
      <c r="G34" s="28"/>
      <c r="I34" s="28"/>
      <c r="J34" s="28"/>
      <c r="K34" s="28"/>
      <c r="M34" s="28"/>
      <c r="N34" s="28"/>
      <c r="O34" s="28"/>
      <c r="Q34" s="28"/>
      <c r="R34" s="28"/>
      <c r="S34" s="28"/>
      <c r="U34" s="28"/>
      <c r="V34" s="28"/>
      <c r="W34" s="28"/>
    </row>
    <row r="35" spans="1:23" ht="12.75" customHeight="1" x14ac:dyDescent="0.2">
      <c r="A35" s="35"/>
      <c r="B35" s="36"/>
      <c r="E35" s="28"/>
      <c r="F35" s="28"/>
      <c r="G35" s="28"/>
      <c r="I35" s="28"/>
      <c r="J35" s="28"/>
      <c r="K35" s="28"/>
      <c r="M35" s="28"/>
      <c r="N35" s="28"/>
      <c r="O35" s="28"/>
      <c r="Q35" s="28"/>
      <c r="R35" s="28"/>
      <c r="S35" s="28"/>
      <c r="U35" s="28"/>
      <c r="V35" s="28"/>
      <c r="W35" s="28"/>
    </row>
    <row r="36" spans="1:23" ht="12.75" customHeight="1" x14ac:dyDescent="0.2">
      <c r="A36" s="35"/>
      <c r="B36" s="36"/>
      <c r="E36" s="28"/>
      <c r="F36" s="28"/>
      <c r="G36" s="28"/>
      <c r="I36" s="28"/>
      <c r="J36" s="28"/>
      <c r="K36" s="28"/>
      <c r="M36" s="28"/>
      <c r="N36" s="28"/>
      <c r="O36" s="28"/>
      <c r="Q36" s="28"/>
      <c r="R36" s="28"/>
      <c r="S36" s="28"/>
      <c r="U36" s="28"/>
      <c r="V36" s="28"/>
      <c r="W36" s="28"/>
    </row>
    <row r="37" spans="1:23" ht="12.75" customHeight="1" x14ac:dyDescent="0.2">
      <c r="A37" s="35"/>
      <c r="B37" s="36"/>
    </row>
    <row r="38" spans="1:23" ht="12.75" customHeight="1" x14ac:dyDescent="0.2">
      <c r="A38" s="53" t="s">
        <v>23</v>
      </c>
      <c r="B38" s="53"/>
      <c r="E38" s="28"/>
      <c r="F38" s="28"/>
      <c r="G38" s="28"/>
      <c r="I38" s="28"/>
      <c r="J38" s="28"/>
      <c r="K38" s="28"/>
      <c r="M38" s="28"/>
      <c r="N38" s="28"/>
      <c r="O38" s="28"/>
      <c r="Q38" s="28"/>
      <c r="R38" s="28"/>
      <c r="S38" s="28"/>
      <c r="U38" s="28"/>
      <c r="V38" s="28"/>
      <c r="W38" s="28"/>
    </row>
    <row r="39" spans="1:23" ht="12.75" customHeight="1" x14ac:dyDescent="0.2">
      <c r="A39" s="29" t="s">
        <v>19</v>
      </c>
      <c r="B39" s="30" t="s">
        <v>28</v>
      </c>
      <c r="E39" s="28"/>
      <c r="F39" s="28"/>
      <c r="G39" s="28"/>
      <c r="I39" s="28"/>
      <c r="J39" s="28"/>
      <c r="K39" s="28"/>
      <c r="M39" s="28"/>
      <c r="N39" s="28"/>
      <c r="O39" s="28"/>
      <c r="Q39" s="28"/>
      <c r="R39" s="28"/>
      <c r="S39" s="28"/>
      <c r="U39" s="28"/>
      <c r="V39" s="28"/>
      <c r="W39" s="28"/>
    </row>
    <row r="40" spans="1:23" ht="12.75" customHeight="1" x14ac:dyDescent="0.2">
      <c r="A40" s="35" t="s">
        <v>29</v>
      </c>
      <c r="B40" s="36">
        <v>1</v>
      </c>
      <c r="E40" s="28"/>
      <c r="F40" s="28"/>
      <c r="G40" s="28"/>
      <c r="I40" s="28"/>
      <c r="J40" s="28"/>
      <c r="K40" s="28"/>
      <c r="M40" s="28"/>
      <c r="N40" s="28"/>
      <c r="O40" s="28"/>
      <c r="Q40" s="28"/>
      <c r="R40" s="28"/>
      <c r="S40" s="28"/>
      <c r="U40" s="28"/>
      <c r="V40" s="28"/>
      <c r="W40" s="28"/>
    </row>
    <row r="41" spans="1:23" ht="12.75" customHeight="1" x14ac:dyDescent="0.2">
      <c r="A41" s="35" t="s">
        <v>30</v>
      </c>
      <c r="B41" s="36">
        <v>5</v>
      </c>
      <c r="E41" s="28"/>
      <c r="F41" s="28"/>
      <c r="G41" s="28"/>
      <c r="I41" s="28"/>
      <c r="J41" s="28"/>
      <c r="K41" s="28"/>
      <c r="M41" s="28"/>
      <c r="N41" s="28"/>
      <c r="O41" s="28"/>
      <c r="Q41" s="28"/>
      <c r="R41" s="28"/>
      <c r="S41" s="28"/>
      <c r="U41" s="28"/>
      <c r="V41" s="28"/>
      <c r="W41" s="28"/>
    </row>
    <row r="42" spans="1:23" ht="12.75" customHeight="1" x14ac:dyDescent="0.2">
      <c r="A42" s="35" t="s">
        <v>31</v>
      </c>
      <c r="B42" s="36">
        <v>4</v>
      </c>
      <c r="E42" s="28"/>
      <c r="F42" s="28"/>
      <c r="G42" s="28"/>
      <c r="I42" s="28"/>
      <c r="J42" s="28"/>
      <c r="K42" s="28"/>
      <c r="M42" s="28"/>
      <c r="N42" s="28"/>
      <c r="O42" s="28"/>
      <c r="Q42" s="28"/>
      <c r="R42" s="28"/>
      <c r="S42" s="28"/>
      <c r="U42" s="28"/>
      <c r="V42" s="28"/>
      <c r="W42" s="28"/>
    </row>
    <row r="43" spans="1:23" ht="12.75" customHeight="1" x14ac:dyDescent="0.2">
      <c r="A43" s="35" t="s">
        <v>32</v>
      </c>
      <c r="B43" s="36">
        <v>2</v>
      </c>
    </row>
    <row r="44" spans="1:23" ht="12.75" customHeight="1" x14ac:dyDescent="0.2">
      <c r="A44" s="35"/>
      <c r="B44" s="36"/>
      <c r="E44" s="28"/>
      <c r="F44" s="28"/>
      <c r="G44" s="28"/>
      <c r="I44" s="28"/>
      <c r="J44" s="28"/>
      <c r="K44" s="28"/>
      <c r="M44" s="28"/>
      <c r="N44" s="28"/>
      <c r="O44" s="28"/>
      <c r="Q44" s="28"/>
      <c r="R44" s="28"/>
      <c r="S44" s="28"/>
      <c r="U44" s="28"/>
      <c r="V44" s="28"/>
      <c r="W44" s="28"/>
    </row>
    <row r="45" spans="1:23" ht="12.75" customHeight="1" x14ac:dyDescent="0.2">
      <c r="A45" s="35"/>
      <c r="B45" s="36"/>
      <c r="E45" s="28"/>
      <c r="F45" s="28"/>
      <c r="G45" s="28"/>
      <c r="I45" s="28"/>
      <c r="J45" s="28"/>
      <c r="K45" s="28"/>
      <c r="M45" s="28"/>
      <c r="N45" s="28"/>
      <c r="O45" s="28"/>
      <c r="Q45" s="28"/>
      <c r="R45" s="28"/>
      <c r="S45" s="28"/>
      <c r="U45" s="28"/>
      <c r="V45" s="28"/>
      <c r="W45" s="28"/>
    </row>
    <row r="46" spans="1:23" ht="12.75" customHeight="1" x14ac:dyDescent="0.2">
      <c r="A46" s="35"/>
      <c r="B46" s="36"/>
      <c r="E46" s="28"/>
      <c r="F46" s="28"/>
      <c r="G46" s="28"/>
      <c r="I46" s="28"/>
      <c r="J46" s="28"/>
      <c r="K46" s="28"/>
      <c r="M46" s="28"/>
      <c r="N46" s="28"/>
      <c r="O46" s="28"/>
      <c r="Q46" s="28"/>
      <c r="R46" s="28"/>
      <c r="S46" s="28"/>
      <c r="U46" s="28"/>
      <c r="V46" s="28"/>
      <c r="W46" s="28"/>
    </row>
    <row r="47" spans="1:23" ht="12.75" customHeight="1" x14ac:dyDescent="0.2">
      <c r="A47" s="35"/>
      <c r="B47" s="36"/>
      <c r="E47" s="28"/>
      <c r="F47" s="28"/>
      <c r="G47" s="28"/>
      <c r="I47" s="28"/>
      <c r="J47" s="28"/>
      <c r="K47" s="28"/>
      <c r="M47" s="28"/>
      <c r="N47" s="28"/>
      <c r="O47" s="28"/>
      <c r="Q47" s="28"/>
      <c r="R47" s="28"/>
      <c r="S47" s="28"/>
      <c r="U47" s="28"/>
      <c r="V47" s="28"/>
      <c r="W47" s="28"/>
    </row>
    <row r="48" spans="1:23" ht="12.75" customHeight="1" x14ac:dyDescent="0.2">
      <c r="A48" s="35"/>
      <c r="B48" s="36"/>
      <c r="E48" s="28"/>
      <c r="F48" s="28"/>
      <c r="G48" s="28"/>
      <c r="I48" s="28"/>
      <c r="J48" s="28"/>
      <c r="K48" s="28"/>
      <c r="M48" s="28"/>
      <c r="N48" s="28"/>
      <c r="O48" s="28"/>
      <c r="Q48" s="28"/>
      <c r="R48" s="28"/>
      <c r="S48" s="28"/>
      <c r="U48" s="28"/>
      <c r="V48" s="28"/>
      <c r="W48" s="28"/>
    </row>
    <row r="49" spans="1:23" ht="12.75" customHeight="1" x14ac:dyDescent="0.2">
      <c r="A49" s="35"/>
      <c r="B49" s="36"/>
      <c r="E49" s="28"/>
      <c r="F49" s="28"/>
      <c r="G49" s="28"/>
      <c r="I49" s="28"/>
      <c r="J49" s="28"/>
      <c r="K49" s="28"/>
      <c r="M49" s="28"/>
      <c r="N49" s="28"/>
      <c r="O49" s="28"/>
      <c r="Q49" s="28"/>
      <c r="R49" s="28"/>
      <c r="S49" s="28"/>
      <c r="U49" s="28"/>
      <c r="V49" s="28"/>
      <c r="W49" s="28"/>
    </row>
    <row r="50" spans="1:23" ht="8.25" customHeight="1" x14ac:dyDescent="0.2"/>
    <row r="51" spans="1:23" ht="12.75" hidden="1" customHeight="1" x14ac:dyDescent="0.2"/>
    <row r="52" spans="1:23" ht="12.75" hidden="1" customHeight="1" x14ac:dyDescent="0.2"/>
    <row r="53" spans="1:23" ht="12.75" hidden="1" customHeight="1" x14ac:dyDescent="0.2"/>
    <row r="54" spans="1:23" ht="12.75" hidden="1" customHeight="1" x14ac:dyDescent="0.2"/>
    <row r="55" spans="1:23" ht="12.75" hidden="1" customHeight="1" x14ac:dyDescent="0.2"/>
    <row r="56" spans="1:23" ht="12.75" hidden="1" customHeight="1" x14ac:dyDescent="0.2"/>
    <row r="57" spans="1:23" ht="12.75" hidden="1" customHeight="1" x14ac:dyDescent="0.2"/>
    <row r="58" spans="1:23" ht="12.75" hidden="1" customHeight="1" x14ac:dyDescent="0.2"/>
    <row r="59" spans="1:23" ht="12.75" hidden="1" customHeight="1" x14ac:dyDescent="0.2"/>
    <row r="60" spans="1:23" ht="12.75" hidden="1" customHeight="1" x14ac:dyDescent="0.2"/>
    <row r="61" spans="1:23" ht="12.75" hidden="1" customHeight="1" x14ac:dyDescent="0.2"/>
    <row r="62" spans="1:23" ht="12.75" hidden="1" customHeight="1" x14ac:dyDescent="0.2"/>
    <row r="63" spans="1:23" ht="12.75" hidden="1" customHeight="1" x14ac:dyDescent="0.2"/>
    <row r="64" spans="1:23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  <row r="72" ht="12.75" hidden="1" customHeight="1" x14ac:dyDescent="0.2"/>
    <row r="73" ht="12.75" hidden="1" customHeight="1" x14ac:dyDescent="0.2"/>
    <row r="74" ht="12.75" hidden="1" customHeight="1" x14ac:dyDescent="0.2"/>
    <row r="75" ht="12.75" hidden="1" customHeight="1" x14ac:dyDescent="0.2"/>
    <row r="76" ht="12.75" hidden="1" customHeight="1" x14ac:dyDescent="0.2"/>
    <row r="77" ht="12.75" hidden="1" customHeight="1" x14ac:dyDescent="0.2"/>
    <row r="78" ht="12.75" hidden="1" customHeight="1" x14ac:dyDescent="0.2"/>
    <row r="79" ht="12.75" hidden="1" customHeight="1" x14ac:dyDescent="0.2"/>
    <row r="8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2.75" hidden="1" customHeight="1" x14ac:dyDescent="0.2"/>
    <row r="100" ht="12.75" hidden="1" customHeight="1" thickBot="1" x14ac:dyDescent="0.25"/>
    <row r="101" ht="12.75" hidden="1" customHeight="1" thickBot="1" x14ac:dyDescent="0.25"/>
    <row r="102" ht="12.75" hidden="1" customHeight="1" thickBot="1" x14ac:dyDescent="0.25"/>
    <row r="103" ht="12.75" hidden="1" customHeight="1" thickBot="1" x14ac:dyDescent="0.25"/>
    <row r="104" ht="12.75" hidden="1" customHeight="1" thickBot="1" x14ac:dyDescent="0.25"/>
    <row r="105" ht="12.75" hidden="1" customHeight="1" thickBot="1" x14ac:dyDescent="0.25"/>
    <row r="106" ht="12.75" hidden="1" customHeight="1" thickBot="1" x14ac:dyDescent="0.25"/>
    <row r="107" ht="12.75" hidden="1" customHeight="1" thickBot="1" x14ac:dyDescent="0.25"/>
    <row r="108" ht="12.75" hidden="1" customHeight="1" thickBot="1" x14ac:dyDescent="0.25"/>
  </sheetData>
  <sheetProtection sheet="1" objects="1" scenarios="1" selectLockedCells="1"/>
  <mergeCells count="50">
    <mergeCell ref="P30:W30"/>
    <mergeCell ref="E22:L22"/>
    <mergeCell ref="P25:W25"/>
    <mergeCell ref="P26:W26"/>
    <mergeCell ref="P27:W27"/>
    <mergeCell ref="P28:W28"/>
    <mergeCell ref="P29:W29"/>
    <mergeCell ref="P19:W20"/>
    <mergeCell ref="P21:W21"/>
    <mergeCell ref="P22:W22"/>
    <mergeCell ref="P23:W23"/>
    <mergeCell ref="P24:W24"/>
    <mergeCell ref="E5:L6"/>
    <mergeCell ref="E23:L23"/>
    <mergeCell ref="E24:L24"/>
    <mergeCell ref="E25:L25"/>
    <mergeCell ref="E26:L26"/>
    <mergeCell ref="P8:W8"/>
    <mergeCell ref="P9:W9"/>
    <mergeCell ref="E14:L14"/>
    <mergeCell ref="E15:L15"/>
    <mergeCell ref="E16:L16"/>
    <mergeCell ref="P15:W15"/>
    <mergeCell ref="A1:B1"/>
    <mergeCell ref="D1:X1"/>
    <mergeCell ref="A2:B2"/>
    <mergeCell ref="A14:B14"/>
    <mergeCell ref="A26:B26"/>
    <mergeCell ref="E7:L7"/>
    <mergeCell ref="P5:W6"/>
    <mergeCell ref="P16:W16"/>
    <mergeCell ref="E19:L20"/>
    <mergeCell ref="E21:L21"/>
    <mergeCell ref="P10:W10"/>
    <mergeCell ref="P11:W11"/>
    <mergeCell ref="P12:W12"/>
    <mergeCell ref="P13:W13"/>
    <mergeCell ref="P14:W14"/>
    <mergeCell ref="P7:W7"/>
    <mergeCell ref="A38:B38"/>
    <mergeCell ref="E8:L8"/>
    <mergeCell ref="E9:L9"/>
    <mergeCell ref="E10:L10"/>
    <mergeCell ref="E11:L11"/>
    <mergeCell ref="E12:L12"/>
    <mergeCell ref="E13:L13"/>
    <mergeCell ref="E27:L27"/>
    <mergeCell ref="E28:L28"/>
    <mergeCell ref="E29:L29"/>
    <mergeCell ref="E30:L30"/>
  </mergeCells>
  <phoneticPr fontId="2" type="noConversion"/>
  <conditionalFormatting sqref="E7:L16">
    <cfRule type="expression" dxfId="3" priority="4">
      <formula>A4=""</formula>
    </cfRule>
  </conditionalFormatting>
  <conditionalFormatting sqref="P7:W16">
    <cfRule type="expression" dxfId="2" priority="3">
      <formula>A16=""</formula>
    </cfRule>
  </conditionalFormatting>
  <conditionalFormatting sqref="E21:L30">
    <cfRule type="expression" dxfId="1" priority="2">
      <formula>A28=""</formula>
    </cfRule>
  </conditionalFormatting>
  <conditionalFormatting sqref="P21:W30">
    <cfRule type="expression" dxfId="0" priority="1">
      <formula>A40=""</formula>
    </cfRule>
  </conditionalFormatting>
  <dataValidations disablePrompts="1" count="1">
    <dataValidation type="whole" allowBlank="1" showInputMessage="1" showErrorMessage="1" sqref="B4:B13 B16:B25 B28:B37 B40:B49" xr:uid="{F34DE343-2581-446F-8BA5-E82504DAFFD2}">
      <formula1>0</formula1>
      <formula2>5</formula2>
    </dataValidation>
  </dataValidations>
  <pageMargins left="0.25" right="0.25" top="0.75" bottom="0.75" header="0.3" footer="0.3"/>
  <pageSetup paperSize="9" scale="75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Full_screen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5</xdr:col>
                    <xdr:colOff>9525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Clear_data">
                <anchor moveWithCells="1" sizeWithCells="1">
                  <from>
                    <xdr:col>5</xdr:col>
                    <xdr:colOff>38100</xdr:colOff>
                    <xdr:row>1</xdr:row>
                    <xdr:rowOff>9525</xdr:rowOff>
                  </from>
                  <to>
                    <xdr:col>6</xdr:col>
                    <xdr:colOff>266700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10FD7-85E2-402F-8777-75BAED7000BE}">
  <sheetPr>
    <tabColor rgb="FF8FCFAD"/>
  </sheetPr>
  <dimension ref="A1:M44"/>
  <sheetViews>
    <sheetView showGridLines="0" showRowColHeaders="0" zoomScale="90" zoomScaleNormal="90" workbookViewId="0">
      <pane ySplit="3" topLeftCell="A4" activePane="bottomLeft" state="frozen"/>
      <selection pane="bottomLeft" activeCell="H6" sqref="H6"/>
    </sheetView>
  </sheetViews>
  <sheetFormatPr defaultColWidth="0" defaultRowHeight="12.75" zeroHeight="1" x14ac:dyDescent="0.2"/>
  <cols>
    <col min="1" max="1" width="1" customWidth="1"/>
    <col min="2" max="2" width="8.140625" customWidth="1"/>
    <col min="3" max="3" width="49.42578125" customWidth="1"/>
    <col min="4" max="9" width="10.7109375" customWidth="1"/>
    <col min="10" max="10" width="11.7109375" customWidth="1"/>
    <col min="11" max="11" width="62.7109375" customWidth="1"/>
    <col min="12" max="12" width="14.42578125" customWidth="1"/>
    <col min="13" max="13" width="0.7109375" customWidth="1"/>
    <col min="14" max="16384" width="9.140625" hidden="1"/>
  </cols>
  <sheetData>
    <row r="1" spans="2:12" x14ac:dyDescent="0.2"/>
    <row r="2" spans="2:12" ht="16.5" customHeight="1" x14ac:dyDescent="0.2">
      <c r="C2" s="96" t="s">
        <v>33</v>
      </c>
      <c r="D2" s="92" t="s">
        <v>39</v>
      </c>
      <c r="E2" s="92" t="s">
        <v>34</v>
      </c>
      <c r="F2" s="92" t="s">
        <v>35</v>
      </c>
      <c r="G2" s="92" t="s">
        <v>36</v>
      </c>
      <c r="H2" s="92" t="s">
        <v>37</v>
      </c>
      <c r="I2" s="92" t="s">
        <v>38</v>
      </c>
      <c r="J2" s="94" t="s">
        <v>40</v>
      </c>
      <c r="K2" s="85" t="s">
        <v>50</v>
      </c>
      <c r="L2" s="85" t="s">
        <v>51</v>
      </c>
    </row>
    <row r="3" spans="2:12" ht="21" customHeight="1" thickBot="1" x14ac:dyDescent="0.25">
      <c r="C3" s="97"/>
      <c r="D3" s="93"/>
      <c r="E3" s="93"/>
      <c r="F3" s="93"/>
      <c r="G3" s="93"/>
      <c r="H3" s="93"/>
      <c r="I3" s="93"/>
      <c r="J3" s="95"/>
      <c r="K3" s="85"/>
      <c r="L3" s="85"/>
    </row>
    <row r="4" spans="2:12" x14ac:dyDescent="0.2">
      <c r="B4" s="98" t="s">
        <v>20</v>
      </c>
      <c r="C4" s="31" t="str">
        <f>IFERROR(IF('SWOT Analysis'!A4="","",'SWOT Analysis'!A4),"")</f>
        <v>Strength 1</v>
      </c>
      <c r="D4" s="32">
        <f>IFERROR(IF(VLOOKUP(C4,'SWOT Analysis'!$A$4:$B$13,2,0)="","",VLOOKUP(C4,'SWOT Analysis'!$A$4:$B$13,2,0)),"")</f>
        <v>4</v>
      </c>
      <c r="E4" s="37">
        <v>3</v>
      </c>
      <c r="F4" s="37">
        <v>2</v>
      </c>
      <c r="G4" s="37">
        <v>2</v>
      </c>
      <c r="H4" s="37">
        <v>1</v>
      </c>
      <c r="I4" s="37">
        <v>4</v>
      </c>
      <c r="J4" s="32">
        <f>IFERROR(RANK(D4,D4:I4,0),"")</f>
        <v>1</v>
      </c>
      <c r="K4" s="39"/>
      <c r="L4" s="42"/>
    </row>
    <row r="5" spans="2:12" x14ac:dyDescent="0.2">
      <c r="B5" s="99"/>
      <c r="C5" s="31" t="str">
        <f>IFERROR(IF('SWOT Analysis'!A5="","",'SWOT Analysis'!A5),"")</f>
        <v>Strength 2</v>
      </c>
      <c r="D5" s="32">
        <f>IFERROR(IF(VLOOKUP(C5,'SWOT Analysis'!$A$4:$B$13,2,0)="","",VLOOKUP(C5,'SWOT Analysis'!$A$4:$B$13,2,0)),"")</f>
        <v>2</v>
      </c>
      <c r="E5" s="37">
        <v>5</v>
      </c>
      <c r="F5" s="37">
        <v>4</v>
      </c>
      <c r="G5" s="37">
        <v>3</v>
      </c>
      <c r="H5" s="37">
        <v>4</v>
      </c>
      <c r="I5" s="37">
        <v>2</v>
      </c>
      <c r="J5" s="32">
        <f t="shared" ref="J5:J13" si="0">IFERROR(RANK(D5,D5:I5,0),"")</f>
        <v>5</v>
      </c>
      <c r="K5" s="39"/>
      <c r="L5" s="42"/>
    </row>
    <row r="6" spans="2:12" x14ac:dyDescent="0.2">
      <c r="B6" s="99"/>
      <c r="C6" s="31" t="str">
        <f>IFERROR(IF('SWOT Analysis'!A6="","",'SWOT Analysis'!A6),"")</f>
        <v>Strength 3</v>
      </c>
      <c r="D6" s="32">
        <f>IFERROR(IF(VLOOKUP(C6,'SWOT Analysis'!$A$4:$B$13,2,0)="","",VLOOKUP(C6,'SWOT Analysis'!$A$4:$B$13,2,0)),"")</f>
        <v>2</v>
      </c>
      <c r="E6" s="37">
        <v>2</v>
      </c>
      <c r="F6" s="37">
        <v>2</v>
      </c>
      <c r="G6" s="37">
        <v>5</v>
      </c>
      <c r="H6" s="37">
        <v>4</v>
      </c>
      <c r="I6" s="37">
        <v>3</v>
      </c>
      <c r="J6" s="32">
        <f t="shared" si="0"/>
        <v>4</v>
      </c>
      <c r="K6" s="39"/>
      <c r="L6" s="42"/>
    </row>
    <row r="7" spans="2:12" x14ac:dyDescent="0.2">
      <c r="B7" s="99"/>
      <c r="C7" s="31" t="str">
        <f>IFERROR(IF('SWOT Analysis'!A7="","",'SWOT Analysis'!A7),"")</f>
        <v>Strength 4</v>
      </c>
      <c r="D7" s="32">
        <f>IFERROR(IF(VLOOKUP(C7,'SWOT Analysis'!$A$4:$B$13,2,0)="","",VLOOKUP(C7,'SWOT Analysis'!$A$4:$B$13,2,0)),"")</f>
        <v>1</v>
      </c>
      <c r="E7" s="37">
        <v>3</v>
      </c>
      <c r="F7" s="37">
        <v>1</v>
      </c>
      <c r="G7" s="37">
        <v>4</v>
      </c>
      <c r="H7" s="37">
        <v>2</v>
      </c>
      <c r="I7" s="37">
        <v>5</v>
      </c>
      <c r="J7" s="32">
        <f t="shared" si="0"/>
        <v>5</v>
      </c>
      <c r="K7" s="39"/>
      <c r="L7" s="42"/>
    </row>
    <row r="8" spans="2:12" x14ac:dyDescent="0.2">
      <c r="B8" s="99"/>
      <c r="C8" s="31" t="str">
        <f>IFERROR(IF('SWOT Analysis'!A8="","",'SWOT Analysis'!A8),"")</f>
        <v/>
      </c>
      <c r="D8" s="32" t="str">
        <f>IFERROR(IF(VLOOKUP(C8,'SWOT Analysis'!$A$4:$B$13,2,0)="","",VLOOKUP(C8,'SWOT Analysis'!$A$4:$B$13,2,0)),"")</f>
        <v/>
      </c>
      <c r="E8" s="37"/>
      <c r="F8" s="37"/>
      <c r="G8" s="37"/>
      <c r="H8" s="37"/>
      <c r="I8" s="37"/>
      <c r="J8" s="32" t="str">
        <f t="shared" si="0"/>
        <v/>
      </c>
      <c r="K8" s="39"/>
      <c r="L8" s="42"/>
    </row>
    <row r="9" spans="2:12" x14ac:dyDescent="0.2">
      <c r="B9" s="99"/>
      <c r="C9" s="31" t="str">
        <f>IFERROR(IF('SWOT Analysis'!A9="","",'SWOT Analysis'!A9),"")</f>
        <v/>
      </c>
      <c r="D9" s="32" t="str">
        <f>IFERROR(IF(VLOOKUP(C9,'SWOT Analysis'!$A$4:$B$13,2,0)="","",VLOOKUP(C9,'SWOT Analysis'!$A$4:$B$13,2,0)),"")</f>
        <v/>
      </c>
      <c r="E9" s="37"/>
      <c r="F9" s="37"/>
      <c r="G9" s="37"/>
      <c r="H9" s="37"/>
      <c r="I9" s="37"/>
      <c r="J9" s="32" t="str">
        <f t="shared" si="0"/>
        <v/>
      </c>
      <c r="K9" s="39"/>
      <c r="L9" s="42"/>
    </row>
    <row r="10" spans="2:12" x14ac:dyDescent="0.2">
      <c r="B10" s="99"/>
      <c r="C10" s="31" t="str">
        <f>IFERROR(IF('SWOT Analysis'!A10="","",'SWOT Analysis'!A10),"")</f>
        <v/>
      </c>
      <c r="D10" s="32" t="str">
        <f>IFERROR(IF(VLOOKUP(C10,'SWOT Analysis'!$A$4:$B$13,2,0)="","",VLOOKUP(C10,'SWOT Analysis'!$A$4:$B$13,2,0)),"")</f>
        <v/>
      </c>
      <c r="E10" s="37"/>
      <c r="F10" s="37"/>
      <c r="G10" s="37"/>
      <c r="H10" s="37"/>
      <c r="I10" s="37"/>
      <c r="J10" s="32" t="str">
        <f t="shared" si="0"/>
        <v/>
      </c>
      <c r="K10" s="41"/>
      <c r="L10" s="43"/>
    </row>
    <row r="11" spans="2:12" x14ac:dyDescent="0.2">
      <c r="B11" s="99"/>
      <c r="C11" s="31" t="str">
        <f>IFERROR(IF('SWOT Analysis'!A11="","",'SWOT Analysis'!A11),"")</f>
        <v/>
      </c>
      <c r="D11" s="32" t="str">
        <f>IFERROR(IF(VLOOKUP(C11,'SWOT Analysis'!$A$4:$B$13,2,0)="","",VLOOKUP(C11,'SWOT Analysis'!$A$4:$B$13,2,0)),"")</f>
        <v/>
      </c>
      <c r="E11" s="37"/>
      <c r="F11" s="37"/>
      <c r="G11" s="37"/>
      <c r="H11" s="37"/>
      <c r="I11" s="37"/>
      <c r="J11" s="32" t="str">
        <f t="shared" si="0"/>
        <v/>
      </c>
      <c r="K11" s="39"/>
      <c r="L11" s="42"/>
    </row>
    <row r="12" spans="2:12" x14ac:dyDescent="0.2">
      <c r="B12" s="99"/>
      <c r="C12" s="31" t="str">
        <f>IFERROR(IF('SWOT Analysis'!A12="","",'SWOT Analysis'!A12),"")</f>
        <v/>
      </c>
      <c r="D12" s="32" t="str">
        <f>IFERROR(IF(VLOOKUP(C12,'SWOT Analysis'!$A$4:$B$13,2,0)="","",VLOOKUP(C12,'SWOT Analysis'!$A$4:$B$13,2,0)),"")</f>
        <v/>
      </c>
      <c r="E12" s="37"/>
      <c r="F12" s="37"/>
      <c r="G12" s="37"/>
      <c r="H12" s="37"/>
      <c r="I12" s="37"/>
      <c r="J12" s="32" t="str">
        <f t="shared" si="0"/>
        <v/>
      </c>
      <c r="K12" s="39"/>
      <c r="L12" s="42"/>
    </row>
    <row r="13" spans="2:12" ht="13.5" thickBot="1" x14ac:dyDescent="0.25">
      <c r="B13" s="100"/>
      <c r="C13" s="33" t="str">
        <f>IFERROR(IF('SWOT Analysis'!A13="","",'SWOT Analysis'!A13),"")</f>
        <v/>
      </c>
      <c r="D13" s="34" t="str">
        <f>IFERROR(IF(VLOOKUP(C13,'SWOT Analysis'!$A$4:$B$13,2,0)="","",VLOOKUP(C13,'SWOT Analysis'!$A$4:$B$13,2,0)),"")</f>
        <v/>
      </c>
      <c r="E13" s="38"/>
      <c r="F13" s="38"/>
      <c r="G13" s="38"/>
      <c r="H13" s="38"/>
      <c r="I13" s="38"/>
      <c r="J13" s="34" t="str">
        <f t="shared" si="0"/>
        <v/>
      </c>
      <c r="K13" s="40"/>
      <c r="L13" s="44"/>
    </row>
    <row r="14" spans="2:12" x14ac:dyDescent="0.2">
      <c r="B14" s="101" t="s">
        <v>21</v>
      </c>
      <c r="C14" s="31" t="str">
        <f>IFERROR(IF('SWOT Analysis'!A16="","",'SWOT Analysis'!A16),"")</f>
        <v>Weakness 1</v>
      </c>
      <c r="D14" s="32">
        <f>IFERROR(IF(VLOOKUP(C14,'SWOT Analysis'!$A$16:$B$25,2,0)="","",VLOOKUP(C14,'SWOT Analysis'!$A$16:$B$25,2,0)),"")</f>
        <v>1</v>
      </c>
      <c r="E14" s="37">
        <v>3</v>
      </c>
      <c r="F14" s="37">
        <v>5</v>
      </c>
      <c r="G14" s="37">
        <v>1</v>
      </c>
      <c r="H14" s="37">
        <v>1</v>
      </c>
      <c r="I14" s="37">
        <v>4</v>
      </c>
      <c r="J14" s="32">
        <f>IFERROR(RANK(D14,D14:I14,1),"")</f>
        <v>1</v>
      </c>
      <c r="K14" s="39"/>
      <c r="L14" s="42"/>
    </row>
    <row r="15" spans="2:12" x14ac:dyDescent="0.2">
      <c r="B15" s="102"/>
      <c r="C15" s="31" t="str">
        <f>IFERROR(IF('SWOT Analysis'!A17="","",'SWOT Analysis'!A17),"")</f>
        <v>Weakness 2</v>
      </c>
      <c r="D15" s="32">
        <f>IFERROR(IF(VLOOKUP(C15,'SWOT Analysis'!$A$16:$B$25,2,0)="","",VLOOKUP(C15,'SWOT Analysis'!$A$16:$B$25,2,0)),"")</f>
        <v>1</v>
      </c>
      <c r="E15" s="37">
        <v>5</v>
      </c>
      <c r="F15" s="37">
        <v>4</v>
      </c>
      <c r="G15" s="37">
        <v>3</v>
      </c>
      <c r="H15" s="37">
        <v>4</v>
      </c>
      <c r="I15" s="37">
        <v>2</v>
      </c>
      <c r="J15" s="32">
        <f t="shared" ref="J15:J23" si="1">IFERROR(RANK(D15,D15:I15,1),"")</f>
        <v>1</v>
      </c>
      <c r="K15" s="39"/>
      <c r="L15" s="42"/>
    </row>
    <row r="16" spans="2:12" x14ac:dyDescent="0.2">
      <c r="B16" s="102"/>
      <c r="C16" s="31" t="str">
        <f>IFERROR(IF('SWOT Analysis'!A18="","",'SWOT Analysis'!A18),"")</f>
        <v>Weakness 3</v>
      </c>
      <c r="D16" s="32">
        <f>IFERROR(IF(VLOOKUP(C16,'SWOT Analysis'!$A$16:$B$25,2,0)="","",VLOOKUP(C16,'SWOT Analysis'!$A$16:$B$25,2,0)),"")</f>
        <v>5</v>
      </c>
      <c r="E16" s="37">
        <v>2</v>
      </c>
      <c r="F16" s="37">
        <v>5</v>
      </c>
      <c r="G16" s="37">
        <v>5</v>
      </c>
      <c r="H16" s="37">
        <v>3</v>
      </c>
      <c r="I16" s="37">
        <v>1</v>
      </c>
      <c r="J16" s="32">
        <f t="shared" si="1"/>
        <v>4</v>
      </c>
      <c r="K16" s="39"/>
      <c r="L16" s="42"/>
    </row>
    <row r="17" spans="2:12" x14ac:dyDescent="0.2">
      <c r="B17" s="102"/>
      <c r="C17" s="31" t="str">
        <f>IFERROR(IF('SWOT Analysis'!A19="","",'SWOT Analysis'!A19),"")</f>
        <v>Weakness 4</v>
      </c>
      <c r="D17" s="32">
        <f>IFERROR(IF(VLOOKUP(C17,'SWOT Analysis'!$A$16:$B$25,2,0)="","",VLOOKUP(C17,'SWOT Analysis'!$A$16:$B$25,2,0)),"")</f>
        <v>3</v>
      </c>
      <c r="E17" s="37">
        <v>2</v>
      </c>
      <c r="F17" s="37">
        <v>2</v>
      </c>
      <c r="G17" s="37">
        <v>5</v>
      </c>
      <c r="H17" s="37">
        <v>4</v>
      </c>
      <c r="I17" s="37">
        <v>1</v>
      </c>
      <c r="J17" s="32">
        <f t="shared" si="1"/>
        <v>4</v>
      </c>
      <c r="K17" s="39"/>
      <c r="L17" s="42"/>
    </row>
    <row r="18" spans="2:12" x14ac:dyDescent="0.2">
      <c r="B18" s="102"/>
      <c r="C18" s="31" t="str">
        <f>IFERROR(IF('SWOT Analysis'!A20="","",'SWOT Analysis'!A20),"")</f>
        <v>Weakness 5</v>
      </c>
      <c r="D18" s="32">
        <f>IFERROR(IF(VLOOKUP(C18,'SWOT Analysis'!$A$16:$B$25,2,0)="","",VLOOKUP(C18,'SWOT Analysis'!$A$16:$B$25,2,0)),"")</f>
        <v>5</v>
      </c>
      <c r="E18" s="37">
        <v>2</v>
      </c>
      <c r="F18" s="37">
        <v>2</v>
      </c>
      <c r="G18" s="37">
        <v>5</v>
      </c>
      <c r="H18" s="37">
        <v>3</v>
      </c>
      <c r="I18" s="37">
        <v>2</v>
      </c>
      <c r="J18" s="32">
        <f t="shared" si="1"/>
        <v>5</v>
      </c>
      <c r="K18" s="39"/>
      <c r="L18" s="42"/>
    </row>
    <row r="19" spans="2:12" x14ac:dyDescent="0.2">
      <c r="B19" s="102"/>
      <c r="C19" s="31" t="str">
        <f>IFERROR(IF('SWOT Analysis'!A21="","",'SWOT Analysis'!A21),"")</f>
        <v>Weakness 6</v>
      </c>
      <c r="D19" s="32">
        <f>IFERROR(IF(VLOOKUP(C19,'SWOT Analysis'!$A$16:$B$25,2,0)="","",VLOOKUP(C19,'SWOT Analysis'!$A$16:$B$25,2,0)),"")</f>
        <v>4</v>
      </c>
      <c r="E19" s="37">
        <v>1</v>
      </c>
      <c r="F19" s="37">
        <v>5</v>
      </c>
      <c r="G19" s="37">
        <v>4</v>
      </c>
      <c r="H19" s="37">
        <v>3</v>
      </c>
      <c r="I19" s="37">
        <v>3</v>
      </c>
      <c r="J19" s="32">
        <f t="shared" si="1"/>
        <v>4</v>
      </c>
      <c r="K19" s="39"/>
      <c r="L19" s="42"/>
    </row>
    <row r="20" spans="2:12" x14ac:dyDescent="0.2">
      <c r="B20" s="102"/>
      <c r="C20" s="31" t="str">
        <f>IFERROR(IF('SWOT Analysis'!A22="","",'SWOT Analysis'!A22),"")</f>
        <v/>
      </c>
      <c r="D20" s="32" t="str">
        <f>IFERROR(IF(VLOOKUP(C20,'SWOT Analysis'!$A$16:$B$25,2,0)="","",VLOOKUP(C20,'SWOT Analysis'!$A$16:$B$25,2,0)),"")</f>
        <v/>
      </c>
      <c r="E20" s="37"/>
      <c r="F20" s="37"/>
      <c r="G20" s="37"/>
      <c r="H20" s="37"/>
      <c r="I20" s="37"/>
      <c r="J20" s="32" t="str">
        <f t="shared" si="1"/>
        <v/>
      </c>
      <c r="K20" s="39"/>
      <c r="L20" s="42"/>
    </row>
    <row r="21" spans="2:12" x14ac:dyDescent="0.2">
      <c r="B21" s="102"/>
      <c r="C21" s="31" t="str">
        <f>IFERROR(IF('SWOT Analysis'!A23="","",'SWOT Analysis'!A23),"")</f>
        <v/>
      </c>
      <c r="D21" s="32" t="str">
        <f>IFERROR(IF(VLOOKUP(C21,'SWOT Analysis'!$A$16:$B$25,2,0)="","",VLOOKUP(C21,'SWOT Analysis'!$A$16:$B$25,2,0)),"")</f>
        <v/>
      </c>
      <c r="E21" s="37"/>
      <c r="F21" s="37"/>
      <c r="G21" s="37"/>
      <c r="H21" s="37"/>
      <c r="I21" s="37"/>
      <c r="J21" s="32" t="str">
        <f t="shared" si="1"/>
        <v/>
      </c>
      <c r="K21" s="39"/>
      <c r="L21" s="42"/>
    </row>
    <row r="22" spans="2:12" x14ac:dyDescent="0.2">
      <c r="B22" s="102"/>
      <c r="C22" s="31" t="str">
        <f>IFERROR(IF('SWOT Analysis'!A24="","",'SWOT Analysis'!A24),"")</f>
        <v/>
      </c>
      <c r="D22" s="32" t="str">
        <f>IFERROR(IF(VLOOKUP(C22,'SWOT Analysis'!$A$16:$B$25,2,0)="","",VLOOKUP(C22,'SWOT Analysis'!$A$16:$B$25,2,0)),"")</f>
        <v/>
      </c>
      <c r="E22" s="37"/>
      <c r="F22" s="37"/>
      <c r="G22" s="37"/>
      <c r="H22" s="37"/>
      <c r="I22" s="37"/>
      <c r="J22" s="32" t="str">
        <f t="shared" si="1"/>
        <v/>
      </c>
      <c r="K22" s="39"/>
      <c r="L22" s="42"/>
    </row>
    <row r="23" spans="2:12" ht="13.5" thickBot="1" x14ac:dyDescent="0.25">
      <c r="B23" s="103"/>
      <c r="C23" s="33" t="str">
        <f>IFERROR(IF('SWOT Analysis'!A25="","",'SWOT Analysis'!A25),"")</f>
        <v/>
      </c>
      <c r="D23" s="34" t="str">
        <f>IFERROR(IF(VLOOKUP(C23,'SWOT Analysis'!$A$16:$B$25,2,0)="","",VLOOKUP(C23,'SWOT Analysis'!$A$16:$B$25,2,0)),"")</f>
        <v/>
      </c>
      <c r="E23" s="38"/>
      <c r="F23" s="38"/>
      <c r="G23" s="38"/>
      <c r="H23" s="38"/>
      <c r="I23" s="38"/>
      <c r="J23" s="34" t="str">
        <f t="shared" si="1"/>
        <v/>
      </c>
      <c r="K23" s="40"/>
      <c r="L23" s="44"/>
    </row>
    <row r="24" spans="2:12" x14ac:dyDescent="0.2">
      <c r="B24" s="86" t="s">
        <v>22</v>
      </c>
      <c r="C24" s="31" t="str">
        <f>IFERROR(IF('SWOT Analysis'!A28="","",'SWOT Analysis'!A28),"")</f>
        <v>Opportunity 1</v>
      </c>
      <c r="D24" s="32">
        <f>IFERROR(IF(VLOOKUP(C24,'SWOT Analysis'!$A$28:$B$37,2,0)="","",VLOOKUP(C24,'SWOT Analysis'!$A$28:$B$37,2,0)),"")</f>
        <v>5</v>
      </c>
      <c r="E24" s="37">
        <v>3</v>
      </c>
      <c r="F24" s="37">
        <v>1</v>
      </c>
      <c r="G24" s="37">
        <v>1</v>
      </c>
      <c r="H24" s="37">
        <v>5</v>
      </c>
      <c r="I24" s="37">
        <v>4</v>
      </c>
      <c r="J24" s="32">
        <f>IFERROR(RANK(D24,D24:I24,0),"")</f>
        <v>1</v>
      </c>
      <c r="K24" s="39"/>
      <c r="L24" s="42"/>
    </row>
    <row r="25" spans="2:12" x14ac:dyDescent="0.2">
      <c r="B25" s="87"/>
      <c r="C25" s="31" t="str">
        <f>IFERROR(IF('SWOT Analysis'!A29="","",'SWOT Analysis'!A29),"")</f>
        <v>Opportunity 2</v>
      </c>
      <c r="D25" s="32">
        <f>IFERROR(IF(VLOOKUP(C25,'SWOT Analysis'!$A$28:$B$37,2,0)="","",VLOOKUP(C25,'SWOT Analysis'!$A$28:$B$37,2,0)),"")</f>
        <v>4</v>
      </c>
      <c r="E25" s="37">
        <v>5</v>
      </c>
      <c r="F25" s="37">
        <v>4</v>
      </c>
      <c r="G25" s="37">
        <v>3</v>
      </c>
      <c r="H25" s="37">
        <v>4</v>
      </c>
      <c r="I25" s="37">
        <v>2</v>
      </c>
      <c r="J25" s="32">
        <f t="shared" ref="J25:J33" si="2">IFERROR(RANK(D25,D25:I25,0),"")</f>
        <v>2</v>
      </c>
      <c r="K25" s="39"/>
      <c r="L25" s="42"/>
    </row>
    <row r="26" spans="2:12" x14ac:dyDescent="0.2">
      <c r="B26" s="87"/>
      <c r="C26" s="31" t="str">
        <f>IFERROR(IF('SWOT Analysis'!A30="","",'SWOT Analysis'!A30),"")</f>
        <v>Opportunity 3</v>
      </c>
      <c r="D26" s="32">
        <f>IFERROR(IF(VLOOKUP(C26,'SWOT Analysis'!$A$28:$B$37,2,0)="","",VLOOKUP(C26,'SWOT Analysis'!$A$28:$B$37,2,0)),"")</f>
        <v>3</v>
      </c>
      <c r="E26" s="37">
        <v>2</v>
      </c>
      <c r="F26" s="37">
        <v>4</v>
      </c>
      <c r="G26" s="37">
        <v>5</v>
      </c>
      <c r="H26" s="37">
        <v>2</v>
      </c>
      <c r="I26" s="37">
        <v>1</v>
      </c>
      <c r="J26" s="32">
        <f t="shared" si="2"/>
        <v>3</v>
      </c>
      <c r="K26" s="39"/>
      <c r="L26" s="42"/>
    </row>
    <row r="27" spans="2:12" x14ac:dyDescent="0.2">
      <c r="B27" s="87"/>
      <c r="C27" s="31" t="str">
        <f>IFERROR(IF('SWOT Analysis'!A31="","",'SWOT Analysis'!A31),"")</f>
        <v/>
      </c>
      <c r="D27" s="32" t="str">
        <f>IFERROR(IF(VLOOKUP(C27,'SWOT Analysis'!$A$28:$B$37,2,0)="","",VLOOKUP(C27,'SWOT Analysis'!$A$28:$B$37,2,0)),"")</f>
        <v/>
      </c>
      <c r="E27" s="37"/>
      <c r="F27" s="37"/>
      <c r="G27" s="37"/>
      <c r="H27" s="37"/>
      <c r="I27" s="37"/>
      <c r="J27" s="32" t="str">
        <f t="shared" si="2"/>
        <v/>
      </c>
      <c r="K27" s="39"/>
      <c r="L27" s="42"/>
    </row>
    <row r="28" spans="2:12" x14ac:dyDescent="0.2">
      <c r="B28" s="87"/>
      <c r="C28" s="31" t="str">
        <f>IFERROR(IF('SWOT Analysis'!A32="","",'SWOT Analysis'!A32),"")</f>
        <v/>
      </c>
      <c r="D28" s="32" t="str">
        <f>IFERROR(IF(VLOOKUP(C28,'SWOT Analysis'!$A$28:$B$37,2,0)="","",VLOOKUP(C28,'SWOT Analysis'!$A$28:$B$37,2,0)),"")</f>
        <v/>
      </c>
      <c r="E28" s="37"/>
      <c r="F28" s="37"/>
      <c r="G28" s="37"/>
      <c r="H28" s="37"/>
      <c r="I28" s="37"/>
      <c r="J28" s="32" t="str">
        <f t="shared" si="2"/>
        <v/>
      </c>
      <c r="K28" s="39"/>
      <c r="L28" s="42"/>
    </row>
    <row r="29" spans="2:12" x14ac:dyDescent="0.2">
      <c r="B29" s="87"/>
      <c r="C29" s="31" t="str">
        <f>IFERROR(IF('SWOT Analysis'!A33="","",'SWOT Analysis'!A33),"")</f>
        <v/>
      </c>
      <c r="D29" s="32" t="str">
        <f>IFERROR(IF(VLOOKUP(C29,'SWOT Analysis'!$A$28:$B$37,2,0)="","",VLOOKUP(C29,'SWOT Analysis'!$A$28:$B$37,2,0)),"")</f>
        <v/>
      </c>
      <c r="E29" s="37"/>
      <c r="F29" s="37"/>
      <c r="G29" s="37"/>
      <c r="H29" s="37"/>
      <c r="I29" s="37"/>
      <c r="J29" s="32" t="str">
        <f t="shared" si="2"/>
        <v/>
      </c>
      <c r="K29" s="39"/>
      <c r="L29" s="42"/>
    </row>
    <row r="30" spans="2:12" x14ac:dyDescent="0.2">
      <c r="B30" s="87"/>
      <c r="C30" s="31" t="str">
        <f>IFERROR(IF('SWOT Analysis'!A34="","",'SWOT Analysis'!A34),"")</f>
        <v/>
      </c>
      <c r="D30" s="32" t="str">
        <f>IFERROR(IF(VLOOKUP(C30,'SWOT Analysis'!$A$28:$B$37,2,0)="","",VLOOKUP(C30,'SWOT Analysis'!$A$28:$B$37,2,0)),"")</f>
        <v/>
      </c>
      <c r="E30" s="37"/>
      <c r="F30" s="37"/>
      <c r="G30" s="37"/>
      <c r="H30" s="37"/>
      <c r="I30" s="37"/>
      <c r="J30" s="32" t="str">
        <f t="shared" si="2"/>
        <v/>
      </c>
      <c r="K30" s="39"/>
      <c r="L30" s="42"/>
    </row>
    <row r="31" spans="2:12" x14ac:dyDescent="0.2">
      <c r="B31" s="87"/>
      <c r="C31" s="31" t="str">
        <f>IFERROR(IF('SWOT Analysis'!A35="","",'SWOT Analysis'!A35),"")</f>
        <v/>
      </c>
      <c r="D31" s="32" t="str">
        <f>IFERROR(IF(VLOOKUP(C31,'SWOT Analysis'!$A$28:$B$37,2,0)="","",VLOOKUP(C31,'SWOT Analysis'!$A$28:$B$37,2,0)),"")</f>
        <v/>
      </c>
      <c r="E31" s="37"/>
      <c r="F31" s="37"/>
      <c r="G31" s="37"/>
      <c r="H31" s="37"/>
      <c r="I31" s="37"/>
      <c r="J31" s="32" t="str">
        <f t="shared" si="2"/>
        <v/>
      </c>
      <c r="K31" s="39"/>
      <c r="L31" s="42"/>
    </row>
    <row r="32" spans="2:12" x14ac:dyDescent="0.2">
      <c r="B32" s="87"/>
      <c r="C32" s="31" t="str">
        <f>IFERROR(IF('SWOT Analysis'!A36="","",'SWOT Analysis'!A36),"")</f>
        <v/>
      </c>
      <c r="D32" s="32" t="str">
        <f>IFERROR(IF(VLOOKUP(C32,'SWOT Analysis'!$A$28:$B$37,2,0)="","",VLOOKUP(C32,'SWOT Analysis'!$A$28:$B$37,2,0)),"")</f>
        <v/>
      </c>
      <c r="E32" s="37"/>
      <c r="F32" s="37"/>
      <c r="G32" s="37"/>
      <c r="H32" s="37"/>
      <c r="I32" s="37"/>
      <c r="J32" s="32" t="str">
        <f t="shared" si="2"/>
        <v/>
      </c>
      <c r="K32" s="39"/>
      <c r="L32" s="42"/>
    </row>
    <row r="33" spans="2:12" ht="13.5" thickBot="1" x14ac:dyDescent="0.25">
      <c r="B33" s="88"/>
      <c r="C33" s="33" t="str">
        <f>IFERROR(IF('SWOT Analysis'!A37="","",'SWOT Analysis'!A37),"")</f>
        <v/>
      </c>
      <c r="D33" s="34" t="str">
        <f>IFERROR(IF(VLOOKUP(C33,'SWOT Analysis'!$A$28:$B$37,2,0)="","",VLOOKUP(C33,'SWOT Analysis'!$A$28:$B$37,2,0)),"")</f>
        <v/>
      </c>
      <c r="E33" s="38"/>
      <c r="F33" s="38"/>
      <c r="G33" s="38"/>
      <c r="H33" s="38"/>
      <c r="I33" s="38"/>
      <c r="J33" s="34" t="str">
        <f t="shared" si="2"/>
        <v/>
      </c>
      <c r="K33" s="40"/>
      <c r="L33" s="44"/>
    </row>
    <row r="34" spans="2:12" x14ac:dyDescent="0.2">
      <c r="B34" s="89" t="s">
        <v>23</v>
      </c>
      <c r="C34" s="31" t="str">
        <f>IFERROR(IF('SWOT Analysis'!A40="","",'SWOT Analysis'!A40),"")</f>
        <v>Threat 1</v>
      </c>
      <c r="D34" s="32">
        <f>IFERROR(IF(VLOOKUP(C34,'SWOT Analysis'!$A$40:$B$49,2,0)="","",VLOOKUP(C34,'SWOT Analysis'!$A$40:$B$49,2,0)),"")</f>
        <v>1</v>
      </c>
      <c r="E34" s="37">
        <v>3</v>
      </c>
      <c r="F34" s="37">
        <v>1</v>
      </c>
      <c r="G34" s="37">
        <v>2</v>
      </c>
      <c r="H34" s="37">
        <v>3</v>
      </c>
      <c r="I34" s="37">
        <v>5</v>
      </c>
      <c r="J34" s="32">
        <f>IFERROR(RANK(D34,D34:I34,1),"")</f>
        <v>1</v>
      </c>
      <c r="K34" s="39"/>
      <c r="L34" s="42"/>
    </row>
    <row r="35" spans="2:12" x14ac:dyDescent="0.2">
      <c r="B35" s="90"/>
      <c r="C35" s="31" t="str">
        <f>IFERROR(IF('SWOT Analysis'!A41="","",'SWOT Analysis'!A41),"")</f>
        <v>Threat 2</v>
      </c>
      <c r="D35" s="32">
        <f>IFERROR(IF(VLOOKUP(C35,'SWOT Analysis'!$A$40:$B$49,2,0)="","",VLOOKUP(C35,'SWOT Analysis'!$A$40:$B$49,2,0)),"")</f>
        <v>5</v>
      </c>
      <c r="E35" s="37">
        <v>5</v>
      </c>
      <c r="F35" s="37">
        <v>4</v>
      </c>
      <c r="G35" s="37">
        <v>3</v>
      </c>
      <c r="H35" s="37">
        <v>4</v>
      </c>
      <c r="I35" s="37">
        <v>2</v>
      </c>
      <c r="J35" s="32">
        <f t="shared" ref="J35:J43" si="3">IFERROR(RANK(D35,D35:I35,1),"")</f>
        <v>5</v>
      </c>
      <c r="K35" s="39"/>
      <c r="L35" s="42"/>
    </row>
    <row r="36" spans="2:12" x14ac:dyDescent="0.2">
      <c r="B36" s="90"/>
      <c r="C36" s="31" t="str">
        <f>IFERROR(IF('SWOT Analysis'!A42="","",'SWOT Analysis'!A42),"")</f>
        <v>Threat 3</v>
      </c>
      <c r="D36" s="32">
        <f>IFERROR(IF(VLOOKUP(C36,'SWOT Analysis'!$A$40:$B$49,2,0)="","",VLOOKUP(C36,'SWOT Analysis'!$A$40:$B$49,2,0)),"")</f>
        <v>4</v>
      </c>
      <c r="E36" s="37">
        <v>3</v>
      </c>
      <c r="F36" s="37">
        <v>4</v>
      </c>
      <c r="G36" s="37">
        <v>4</v>
      </c>
      <c r="H36" s="37">
        <v>5</v>
      </c>
      <c r="I36" s="37">
        <v>5</v>
      </c>
      <c r="J36" s="32">
        <f t="shared" si="3"/>
        <v>2</v>
      </c>
      <c r="K36" s="39"/>
      <c r="L36" s="42"/>
    </row>
    <row r="37" spans="2:12" x14ac:dyDescent="0.2">
      <c r="B37" s="90"/>
      <c r="C37" s="31" t="str">
        <f>IFERROR(IF('SWOT Analysis'!A43="","",'SWOT Analysis'!A43),"")</f>
        <v>Threat 4</v>
      </c>
      <c r="D37" s="32">
        <f>IFERROR(IF(VLOOKUP(C37,'SWOT Analysis'!$A$40:$B$49,2,0)="","",VLOOKUP(C37,'SWOT Analysis'!$A$40:$B$49,2,0)),"")</f>
        <v>2</v>
      </c>
      <c r="E37" s="37">
        <v>2</v>
      </c>
      <c r="F37" s="37">
        <v>3</v>
      </c>
      <c r="G37" s="37">
        <v>3</v>
      </c>
      <c r="H37" s="37">
        <v>5</v>
      </c>
      <c r="I37" s="37">
        <v>4</v>
      </c>
      <c r="J37" s="32">
        <f t="shared" si="3"/>
        <v>1</v>
      </c>
      <c r="K37" s="39"/>
      <c r="L37" s="42"/>
    </row>
    <row r="38" spans="2:12" x14ac:dyDescent="0.2">
      <c r="B38" s="90"/>
      <c r="C38" s="31" t="str">
        <f>IFERROR(IF('SWOT Analysis'!A44="","",'SWOT Analysis'!A44),"")</f>
        <v/>
      </c>
      <c r="D38" s="32" t="str">
        <f>IFERROR(IF(VLOOKUP(C38,'SWOT Analysis'!$A$40:$B$49,2,0)="","",VLOOKUP(C38,'SWOT Analysis'!$A$40:$B$49,2,0)),"")</f>
        <v/>
      </c>
      <c r="E38" s="37"/>
      <c r="F38" s="37"/>
      <c r="G38" s="37"/>
      <c r="H38" s="37"/>
      <c r="I38" s="37"/>
      <c r="J38" s="32" t="str">
        <f t="shared" si="3"/>
        <v/>
      </c>
      <c r="K38" s="39"/>
      <c r="L38" s="42"/>
    </row>
    <row r="39" spans="2:12" x14ac:dyDescent="0.2">
      <c r="B39" s="90"/>
      <c r="C39" s="31" t="str">
        <f>IFERROR(IF('SWOT Analysis'!A45="","",'SWOT Analysis'!A45),"")</f>
        <v/>
      </c>
      <c r="D39" s="32" t="str">
        <f>IFERROR(IF(VLOOKUP(C39,'SWOT Analysis'!$A$40:$B$49,2,0)="","",VLOOKUP(C39,'SWOT Analysis'!$A$40:$B$49,2,0)),"")</f>
        <v/>
      </c>
      <c r="E39" s="37"/>
      <c r="F39" s="37"/>
      <c r="G39" s="37"/>
      <c r="H39" s="37"/>
      <c r="I39" s="37"/>
      <c r="J39" s="32" t="str">
        <f t="shared" si="3"/>
        <v/>
      </c>
      <c r="K39" s="39"/>
      <c r="L39" s="42"/>
    </row>
    <row r="40" spans="2:12" x14ac:dyDescent="0.2">
      <c r="B40" s="90"/>
      <c r="C40" s="31" t="str">
        <f>IFERROR(IF('SWOT Analysis'!A46="","",'SWOT Analysis'!A46),"")</f>
        <v/>
      </c>
      <c r="D40" s="32" t="str">
        <f>IFERROR(IF(VLOOKUP(C40,'SWOT Analysis'!$A$40:$B$49,2,0)="","",VLOOKUP(C40,'SWOT Analysis'!$A$40:$B$49,2,0)),"")</f>
        <v/>
      </c>
      <c r="E40" s="37"/>
      <c r="F40" s="37"/>
      <c r="G40" s="37"/>
      <c r="H40" s="37"/>
      <c r="I40" s="37"/>
      <c r="J40" s="32" t="str">
        <f t="shared" si="3"/>
        <v/>
      </c>
      <c r="K40" s="39"/>
      <c r="L40" s="42"/>
    </row>
    <row r="41" spans="2:12" x14ac:dyDescent="0.2">
      <c r="B41" s="90"/>
      <c r="C41" s="31" t="str">
        <f>IFERROR(IF('SWOT Analysis'!A47="","",'SWOT Analysis'!A47),"")</f>
        <v/>
      </c>
      <c r="D41" s="32" t="str">
        <f>IFERROR(IF(VLOOKUP(C41,'SWOT Analysis'!$A$40:$B$49,2,0)="","",VLOOKUP(C41,'SWOT Analysis'!$A$40:$B$49,2,0)),"")</f>
        <v/>
      </c>
      <c r="E41" s="37"/>
      <c r="F41" s="37"/>
      <c r="G41" s="37"/>
      <c r="H41" s="37"/>
      <c r="I41" s="37"/>
      <c r="J41" s="32" t="str">
        <f t="shared" si="3"/>
        <v/>
      </c>
      <c r="K41" s="39"/>
      <c r="L41" s="42"/>
    </row>
    <row r="42" spans="2:12" x14ac:dyDescent="0.2">
      <c r="B42" s="90"/>
      <c r="C42" s="31" t="str">
        <f>IFERROR(IF('SWOT Analysis'!A48="","",'SWOT Analysis'!A48),"")</f>
        <v/>
      </c>
      <c r="D42" s="32" t="str">
        <f>IFERROR(IF(VLOOKUP(C42,'SWOT Analysis'!$A$40:$B$49,2,0)="","",VLOOKUP(C42,'SWOT Analysis'!$A$40:$B$49,2,0)),"")</f>
        <v/>
      </c>
      <c r="E42" s="37"/>
      <c r="F42" s="37"/>
      <c r="G42" s="37"/>
      <c r="H42" s="37"/>
      <c r="I42" s="37"/>
      <c r="J42" s="32" t="str">
        <f t="shared" si="3"/>
        <v/>
      </c>
      <c r="K42" s="39"/>
      <c r="L42" s="42"/>
    </row>
    <row r="43" spans="2:12" ht="13.5" thickBot="1" x14ac:dyDescent="0.25">
      <c r="B43" s="91"/>
      <c r="C43" s="33" t="str">
        <f>IFERROR(IF('SWOT Analysis'!A49="","",'SWOT Analysis'!A49),"")</f>
        <v/>
      </c>
      <c r="D43" s="34" t="str">
        <f>IFERROR(IF(VLOOKUP(C43,'SWOT Analysis'!$A$40:$B$49,2,0)="","",VLOOKUP(C43,'SWOT Analysis'!$A$40:$B$49,2,0)),"")</f>
        <v/>
      </c>
      <c r="E43" s="38"/>
      <c r="F43" s="38"/>
      <c r="G43" s="38"/>
      <c r="H43" s="38"/>
      <c r="I43" s="38"/>
      <c r="J43" s="34" t="str">
        <f t="shared" si="3"/>
        <v/>
      </c>
      <c r="K43" s="40"/>
      <c r="L43" s="44"/>
    </row>
    <row r="44" spans="2:12" ht="8.25" customHeight="1" x14ac:dyDescent="0.2">
      <c r="L44" s="45"/>
    </row>
  </sheetData>
  <sheetProtection sheet="1" objects="1" scenarios="1" selectLockedCells="1"/>
  <mergeCells count="14">
    <mergeCell ref="L2:L3"/>
    <mergeCell ref="B24:B33"/>
    <mergeCell ref="B34:B43"/>
    <mergeCell ref="I2:I3"/>
    <mergeCell ref="J2:J3"/>
    <mergeCell ref="K2:K3"/>
    <mergeCell ref="C2:C3"/>
    <mergeCell ref="B4:B13"/>
    <mergeCell ref="B14:B23"/>
    <mergeCell ref="D2:D3"/>
    <mergeCell ref="E2:E3"/>
    <mergeCell ref="F2:F3"/>
    <mergeCell ref="G2:G3"/>
    <mergeCell ref="H2:H3"/>
  </mergeCells>
  <phoneticPr fontId="2" type="noConversion"/>
  <conditionalFormatting sqref="J4:J13">
    <cfRule type="iconSet" priority="4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J14:J23">
    <cfRule type="iconSet" priority="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J24:J33">
    <cfRule type="iconSet" priority="2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J34:J43">
    <cfRule type="iconSet" priority="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</conditionalFormatting>
  <dataValidations count="1">
    <dataValidation type="whole" allowBlank="1" showInputMessage="1" showErrorMessage="1" sqref="E4:I43" xr:uid="{7EB6B76A-340B-4D1D-AE64-71BD356B5C17}">
      <formula1>0</formula1>
      <formula2>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Introduction</vt:lpstr>
      <vt:lpstr>SWOT Analysis</vt:lpstr>
      <vt:lpstr>SWOT Competitive Matrix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kareem mostafa</dc:creator>
  <cp:lastModifiedBy>QSK1184</cp:lastModifiedBy>
  <cp:lastPrinted>2020-12-14T19:19:50Z</cp:lastPrinted>
  <dcterms:created xsi:type="dcterms:W3CDTF">1901-01-01T04:00:00Z</dcterms:created>
  <dcterms:modified xsi:type="dcterms:W3CDTF">2024-09-20T12:24:16Z</dcterms:modified>
</cp:coreProperties>
</file>