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harts/chartEx1.xml" ContentType="application/vnd.ms-office.chartex+xml"/>
  <Override PartName="/xl/charts/style1.xml" ContentType="application/vnd.ms-office.chartstyle+xml"/>
  <Override PartName="/xl/charts/colors1.xml" ContentType="application/vnd.ms-office.chartcolorstyle+xml"/>
  <Override PartName="/xl/charts/chart1.xml" ContentType="application/vnd.openxmlformats-officedocument.drawingml.chart+xml"/>
  <Override PartName="/xl/charts/style2.xml" ContentType="application/vnd.ms-office.chartstyle+xml"/>
  <Override PartName="/xl/charts/colors2.xml" ContentType="application/vnd.ms-office.chartcolorstyle+xml"/>
  <Override PartName="/xl/charts/chart2.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4470D2CD-2249-CD33-4A35-6F278624656F}"/>
  <workbookPr codeName="ThisWorkbook"/>
  <mc:AlternateContent xmlns:mc="http://schemas.openxmlformats.org/markup-compatibility/2006">
    <mc:Choice Requires="x15">
      <x15ac:absPath xmlns:x15ac="http://schemas.microsoft.com/office/spreadsheetml/2010/11/ac" url="D:\yash_jain_vesu\Future_Vision\books\advance_excel\NEW-FILES-PROJECTS\100+ Premium Excel Templates\Strategy _ Management\"/>
    </mc:Choice>
  </mc:AlternateContent>
  <xr:revisionPtr revIDLastSave="0" documentId="13_ncr:1_{B72632A3-23CC-4F23-901F-632522C481EE}" xr6:coauthVersionLast="47" xr6:coauthVersionMax="47" xr10:uidLastSave="{00000000-0000-0000-0000-000000000000}"/>
  <bookViews>
    <workbookView xWindow="-120" yWindow="-120" windowWidth="29040" windowHeight="15840" xr2:uid="{00000000-000D-0000-FFFF-FFFF00000000}"/>
  </bookViews>
  <sheets>
    <sheet name="Introduction" sheetId="1" r:id="rId1"/>
    <sheet name="Competitor Price Analysis" sheetId="6" r:id="rId2"/>
  </sheets>
  <definedNames>
    <definedName name="_xlchart.v1.0" hidden="1">'Competitor Price Analysis'!$B$24:$B$33</definedName>
    <definedName name="_xlchart.v1.1" hidden="1">'Competitor Price Analysis'!$N$23</definedName>
    <definedName name="_xlchart.v1.2" hidden="1">'Competitor Price Analysis'!$N$24:$N$33</definedName>
    <definedName name="Average">IF('Competitor Price Analysis'!$N$24="",OFFSET('Competitor Price Analysis'!$N$24,0,0,COUNT('Competitor Price Analysis'!$N$24:$N$33)+1),OFFSET('Competitor Price Analysis'!$N$24,0,0,COUNT('Competitor Price Analysis'!$N$24:$N$33)))</definedName>
    <definedName name="gap">IF('Competitor Price Analysis'!$J$24="",OFFSET('Competitor Price Analysis'!$J$24,0,0,COUNT('Competitor Price Analysis'!$J$24:$J$33)+1),OFFSET('Competitor Price Analysis'!$J$24,0,0,COUNT('Competitor Price Analysis'!$J$24:$J$33)))</definedName>
    <definedName name="Market_deviation">IF('Competitor Price Analysis'!$M$24="",OFFSET('Competitor Price Analysis'!$M$24,0,0,COUNT('Competitor Price Analysis'!$M$24:$M$33)+1),OFFSET('Competitor Price Analysis'!$M$24,0,0,COUNT('Competitor Price Analysis'!$M$24:$M$33)))</definedName>
    <definedName name="Min_bars">IF('Competitor Price Analysis'!$L$24="",OFFSET('Competitor Price Analysis'!$L$24,0,0,COUNT('Competitor Price Analysis'!$L$24:$L$33)+1),OFFSET('Competitor Price Analysis'!$L$24,0,0,COUNT('Competitor Price Analysis'!$L$24:$L$33)))</definedName>
    <definedName name="products">IF('Competitor Price Analysis'!$B$24="",OFFSET('Competitor Price Analysis'!$B$24,0,0,COUNT('Competitor Price Analysis'!$B$24:$B$33)+1),OFFSET('Competitor Price Analysis'!$B$24,0,0,COUNT('Competitor Price Analysis'!$B$24:$B$33)))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29" i="6" l="1"/>
  <c r="K30" i="6"/>
  <c r="M31" i="6"/>
  <c r="N31" i="6"/>
  <c r="N32" i="6"/>
  <c r="L32" i="6"/>
  <c r="L33" i="6"/>
  <c r="M33" i="6"/>
  <c r="N29" i="6"/>
  <c r="N28" i="6"/>
  <c r="N27" i="6"/>
  <c r="N26" i="6"/>
  <c r="N25" i="6"/>
  <c r="N24" i="6"/>
  <c r="M24" i="6"/>
  <c r="M32" i="6"/>
  <c r="M28" i="6"/>
  <c r="M27" i="6"/>
  <c r="M26" i="6"/>
  <c r="M25" i="6"/>
  <c r="L24" i="6"/>
  <c r="I24" i="6" s="1"/>
  <c r="L30" i="6"/>
  <c r="I30" i="6" s="1"/>
  <c r="L28" i="6"/>
  <c r="I28" i="6" s="1"/>
  <c r="L27" i="6"/>
  <c r="J27" i="6" s="1"/>
  <c r="L26" i="6"/>
  <c r="I26" i="6" s="1"/>
  <c r="L25" i="6"/>
  <c r="J25" i="6" s="1"/>
  <c r="K24" i="6"/>
  <c r="K32" i="6"/>
  <c r="K29" i="6"/>
  <c r="K28" i="6"/>
  <c r="K27" i="6"/>
  <c r="K26" i="6"/>
  <c r="K25" i="6"/>
  <c r="J28" i="6" l="1"/>
  <c r="J30" i="6"/>
  <c r="I32" i="6"/>
  <c r="J32" i="6"/>
  <c r="I33" i="6"/>
  <c r="J33" i="6"/>
  <c r="K31" i="6"/>
  <c r="L29" i="6"/>
  <c r="N33" i="6"/>
  <c r="L31" i="6"/>
  <c r="M30" i="6"/>
  <c r="K33" i="6"/>
  <c r="N30" i="6"/>
  <c r="I27" i="6"/>
  <c r="J26" i="6"/>
  <c r="I25" i="6"/>
  <c r="J24" i="6"/>
  <c r="I29" i="6" l="1"/>
  <c r="J29" i="6"/>
  <c r="I31" i="6"/>
  <c r="J31" i="6"/>
</calcChain>
</file>

<file path=xl/sharedStrings.xml><?xml version="1.0" encoding="utf-8"?>
<sst xmlns="http://schemas.openxmlformats.org/spreadsheetml/2006/main" count="80" uniqueCount="76">
  <si>
    <t>Title</t>
  </si>
  <si>
    <t>Navigation</t>
  </si>
  <si>
    <t>Content</t>
  </si>
  <si>
    <t>Customization difficulty (1-3)</t>
  </si>
  <si>
    <t>Explanation of sheets</t>
  </si>
  <si>
    <t>How to customize</t>
  </si>
  <si>
    <t>1)</t>
  </si>
  <si>
    <t>2)</t>
  </si>
  <si>
    <t>3)</t>
  </si>
  <si>
    <t>4)</t>
  </si>
  <si>
    <t>5)</t>
  </si>
  <si>
    <t>6)</t>
  </si>
  <si>
    <t>Difinations</t>
  </si>
  <si>
    <t>7)</t>
  </si>
  <si>
    <t>8)</t>
  </si>
  <si>
    <t>9)</t>
  </si>
  <si>
    <t>10)</t>
  </si>
  <si>
    <t>Product</t>
  </si>
  <si>
    <t>Our Price</t>
  </si>
  <si>
    <t>Brand A</t>
  </si>
  <si>
    <t>Brand B</t>
  </si>
  <si>
    <t>Brand C</t>
  </si>
  <si>
    <t>Brand D</t>
  </si>
  <si>
    <t>Brand E</t>
  </si>
  <si>
    <t>Price Gap</t>
  </si>
  <si>
    <t>Max. Price</t>
  </si>
  <si>
    <t>Min. Price</t>
  </si>
  <si>
    <t>Average</t>
  </si>
  <si>
    <t>Market deviation</t>
  </si>
  <si>
    <t>Best Offer</t>
  </si>
  <si>
    <t>ABC</t>
  </si>
  <si>
    <t>Competitor Price Analysis</t>
  </si>
  <si>
    <t>CDA</t>
  </si>
  <si>
    <t>TV</t>
  </si>
  <si>
    <t>WM</t>
  </si>
  <si>
    <t>AC</t>
  </si>
  <si>
    <t>REF</t>
  </si>
  <si>
    <t>ABB</t>
  </si>
  <si>
    <t>CBC</t>
  </si>
  <si>
    <t>DCA</t>
  </si>
  <si>
    <t>BDA</t>
  </si>
  <si>
    <t>Price gap</t>
  </si>
  <si>
    <t>Market Price Deviation</t>
  </si>
  <si>
    <t>11)</t>
  </si>
  <si>
    <t>12)</t>
  </si>
  <si>
    <t>Competitor Price Analysis is a structured approach to analyzing pricing of your direct and indirect competition.</t>
  </si>
  <si>
    <t>This can help you better identify pricing opportunities, business models and your competition.</t>
  </si>
  <si>
    <t>The minimum price of a specific product compared to other brands of the same product category</t>
  </si>
  <si>
    <t>The difference in price between my product price and best offer Minimum Price in the market</t>
  </si>
  <si>
    <t>Positive price gap value indicates that I sell this product with higher value than the market best offer price</t>
  </si>
  <si>
    <t>Negative price gap value indicates that I sell this product with lower value than the market best offer price</t>
  </si>
  <si>
    <t>Index that shows product deviation price in the market and help you identify price adjustment opportunities in the market</t>
  </si>
  <si>
    <t>Main sheet to insert competitor prices and your price</t>
  </si>
  <si>
    <t>In Competitor Price Analysis sheet, register your company products with related market price in first two colums in below table</t>
  </si>
  <si>
    <t>At table header with the light green and black font cells, change the competitors brand names according to you comparison competitors dataset</t>
  </si>
  <si>
    <t>After changing Brand names, record the price of each relevant raw product to compare the two</t>
  </si>
  <si>
    <t>You can now view products price and other brand prices in comparison table</t>
  </si>
  <si>
    <t>On the right side of data table, the calculations of Best Offer, Minimum Price, Market Average Price and Market Deviations will be calculated automatically</t>
  </si>
  <si>
    <t>In the Best Offer column, the brand the offers the best produce at the lowest price will show up for each product category.</t>
  </si>
  <si>
    <t>Use Full Screen Button to make full display screen and ESC keyboard button to exit that view</t>
  </si>
  <si>
    <t>To enter new data, use Clear Data Button</t>
  </si>
  <si>
    <t>At the top of the template are graphs and charts that will update automatically so you can see visualizations of your data.</t>
  </si>
  <si>
    <t>The Best Offer Brand and Price Gap Chart shows the best offer price defined by product and in the top of the bar chart you can see the gap in value between you product and the market best offer</t>
  </si>
  <si>
    <t>Market Deviation Chart shows price deviation for each product in the market according to your dataset</t>
  </si>
  <si>
    <t>Product Market Average Price treemap shows the average price for each product in the market according to your dataset</t>
  </si>
  <si>
    <t>Related To Online Templates</t>
  </si>
  <si>
    <t>Our templates is compatible with online service but some templates that including macros feature is still not supported with Excel Online</t>
  </si>
  <si>
    <t>Here is some hints that replace our macros in case of using Online Template</t>
  </si>
  <si>
    <t>Referesh / Update Data</t>
  </si>
  <si>
    <r>
      <t xml:space="preserve">Some of our templates include </t>
    </r>
    <r>
      <rPr>
        <b/>
        <sz val="10"/>
        <color theme="1"/>
        <rFont val="Arial"/>
        <family val="2"/>
      </rPr>
      <t xml:space="preserve">Referesh/Update data </t>
    </r>
    <r>
      <rPr>
        <sz val="10"/>
        <color theme="1"/>
        <rFont val="Arial"/>
        <family val="2"/>
      </rPr>
      <t>macro button that can be replaced with Referesh All tool in Excel Online ribbon</t>
    </r>
  </si>
  <si>
    <t>Full Screen</t>
  </si>
  <si>
    <r>
      <t xml:space="preserve">Some of our templates have </t>
    </r>
    <r>
      <rPr>
        <b/>
        <sz val="10"/>
        <color theme="1"/>
        <rFont val="Arial"/>
        <family val="2"/>
      </rPr>
      <t xml:space="preserve">Full Screen </t>
    </r>
    <r>
      <rPr>
        <sz val="10"/>
        <color theme="1"/>
        <rFont val="Arial"/>
        <family val="2"/>
      </rPr>
      <t xml:space="preserve">macro button that can be replaced with the itself web browser full screen tool </t>
    </r>
  </si>
  <si>
    <t>Other Macros / Buttons</t>
  </si>
  <si>
    <r>
      <t xml:space="preserve">Other macros is applied on less than ~15% of our templats can be overcome by transferring to Desktop App </t>
    </r>
    <r>
      <rPr>
        <b/>
        <sz val="10"/>
        <color theme="1"/>
        <rFont val="Arial"/>
        <family val="2"/>
      </rPr>
      <t>"Open in Desktop App"</t>
    </r>
    <r>
      <rPr>
        <sz val="10"/>
        <color theme="1"/>
        <rFont val="Arial"/>
        <family val="2"/>
      </rPr>
      <t xml:space="preserve"> button</t>
    </r>
  </si>
  <si>
    <t>Open in Desktop App</t>
  </si>
  <si>
    <t>To open online template using Desktop App be sure that you signed in to your Microsoft account / Onedrive account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</si>
</sst>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164" formatCode="_(&quot;$&quot;* #,##0.00_);_(&quot;$&quot;* \(#,##0.00\);_(&quot;$&quot;* &quot;-&quot;??_);_(@_)"/>
    <numFmt numFmtId="165" formatCode="_(* #,##0.00_);_(* \(#,##0.00\);_(* &quot;-&quot;??_);_(@_)"/>
    <numFmt numFmtId="166" formatCode="_(* #,##0_);_(* \(#,##0\);_(* &quot;-&quot;??_);_(@_)"/>
    <numFmt numFmtId="167" formatCode="0.0"/>
    <numFmt numFmtId="168" formatCode="&quot;$&quot;#,##0"/>
    <numFmt numFmtId="169" formatCode="&quot;$&quot;#,##0.00"/>
  </numFmts>
  <fonts count="24" x14ac:knownFonts="1">
    <font>
      <sz val="11"/>
      <color theme="1"/>
      <name val="Calibri"/>
      <family val="2"/>
      <scheme val="minor"/>
    </font>
    <font>
      <sz val="10"/>
      <color theme="1"/>
      <name val="Arial"/>
      <family val="2"/>
    </font>
    <font>
      <b/>
      <sz val="10"/>
      <color theme="1"/>
      <name val="Arial"/>
      <family val="2"/>
    </font>
    <font>
      <b/>
      <u/>
      <sz val="10"/>
      <color theme="1"/>
      <name val="Arial"/>
      <family val="2"/>
    </font>
    <font>
      <i/>
      <u/>
      <sz val="10"/>
      <color theme="1"/>
      <name val="Arial"/>
      <family val="2"/>
    </font>
    <font>
      <u/>
      <sz val="11"/>
      <color theme="10"/>
      <name val="Calibri"/>
      <family val="2"/>
      <scheme val="minor"/>
    </font>
    <font>
      <b/>
      <sz val="10"/>
      <color theme="0"/>
      <name val="Arial"/>
      <family val="2"/>
    </font>
    <font>
      <sz val="11"/>
      <color theme="0"/>
      <name val="Calibri"/>
      <family val="2"/>
      <scheme val="minor"/>
    </font>
    <font>
      <sz val="11"/>
      <color theme="1"/>
      <name val="Calibri"/>
      <family val="2"/>
      <scheme val="minor"/>
    </font>
    <font>
      <sz val="8"/>
      <name val="Calibri"/>
      <family val="2"/>
      <scheme val="minor"/>
    </font>
    <font>
      <sz val="10"/>
      <color theme="0"/>
      <name val="Arial"/>
      <family val="2"/>
    </font>
    <font>
      <u/>
      <sz val="11"/>
      <color theme="0"/>
      <name val="Calibri"/>
      <family val="2"/>
      <scheme val="minor"/>
    </font>
    <font>
      <sz val="12"/>
      <color theme="0"/>
      <name val="Arial"/>
      <family val="2"/>
    </font>
    <font>
      <sz val="10"/>
      <color theme="0" tint="-0.499984740745262"/>
      <name val="Arial"/>
      <family val="2"/>
    </font>
    <font>
      <sz val="10"/>
      <color theme="1" tint="0.499984740745262"/>
      <name val="Arial"/>
      <family val="2"/>
    </font>
    <font>
      <b/>
      <sz val="10"/>
      <color theme="1" tint="0.499984740745262"/>
      <name val="Arial"/>
      <family val="2"/>
    </font>
    <font>
      <sz val="10"/>
      <color rgb="FFC00000"/>
      <name val="Arial"/>
      <family val="2"/>
    </font>
    <font>
      <sz val="10"/>
      <color rgb="FF50B47F"/>
      <name val="Arial"/>
      <family val="2"/>
    </font>
    <font>
      <sz val="10"/>
      <color theme="1" tint="0.34998626667073579"/>
      <name val="Arial"/>
      <family val="2"/>
    </font>
    <font>
      <sz val="10"/>
      <color rgb="FFBC8F00"/>
      <name val="Arial"/>
      <family val="2"/>
    </font>
    <font>
      <sz val="10"/>
      <color rgb="FFA32319"/>
      <name val="Arial"/>
      <family val="2"/>
    </font>
    <font>
      <sz val="12"/>
      <name val="Arial"/>
      <family val="2"/>
    </font>
    <font>
      <b/>
      <sz val="14"/>
      <color theme="0"/>
      <name val="Arial"/>
      <family val="2"/>
    </font>
    <font>
      <sz val="11"/>
      <color rgb="FF000000"/>
      <name val="Calibri"/>
      <family val="2"/>
    </font>
  </fonts>
  <fills count="8">
    <fill>
      <patternFill patternType="none"/>
    </fill>
    <fill>
      <patternFill patternType="gray125"/>
    </fill>
    <fill>
      <patternFill patternType="solid">
        <fgColor rgb="FF50B47F"/>
        <bgColor indexed="64"/>
      </patternFill>
    </fill>
    <fill>
      <patternFill patternType="solid">
        <fgColor theme="0" tint="-4.9989318521683403E-2"/>
        <bgColor indexed="64"/>
      </patternFill>
    </fill>
    <fill>
      <patternFill patternType="solid">
        <fgColor theme="0" tint="-0.34998626667073579"/>
        <bgColor indexed="64"/>
      </patternFill>
    </fill>
    <fill>
      <patternFill patternType="solid">
        <fgColor rgb="FF8FCFAD"/>
        <bgColor indexed="64"/>
      </patternFill>
    </fill>
    <fill>
      <patternFill patternType="solid">
        <fgColor theme="9" tint="0.79998168889431442"/>
        <bgColor indexed="64"/>
      </patternFill>
    </fill>
    <fill>
      <patternFill patternType="solid">
        <fgColor theme="2" tint="-0.249977111117893"/>
        <bgColor indexed="64"/>
      </patternFill>
    </fill>
  </fills>
  <borders count="17">
    <border>
      <left/>
      <right/>
      <top/>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theme="0" tint="-4.9989318521683403E-2"/>
      </left>
      <right/>
      <top style="thin">
        <color theme="0" tint="-4.9989318521683403E-2"/>
      </top>
      <bottom style="thin">
        <color theme="0" tint="-4.9989318521683403E-2"/>
      </bottom>
      <diagonal/>
    </border>
    <border>
      <left style="thin">
        <color theme="0" tint="-4.9989318521683403E-2"/>
      </left>
      <right style="thin">
        <color theme="0" tint="-4.9989318521683403E-2"/>
      </right>
      <top style="medium">
        <color theme="0" tint="-0.14996795556505021"/>
      </top>
      <bottom style="thin">
        <color theme="0" tint="-4.9989318521683403E-2"/>
      </bottom>
      <diagonal/>
    </border>
    <border>
      <left style="thin">
        <color theme="0" tint="-4.9989318521683403E-2"/>
      </left>
      <right style="thin">
        <color theme="0" tint="-4.9989318521683403E-2"/>
      </right>
      <top style="thin">
        <color theme="0" tint="-4.9989318521683403E-2"/>
      </top>
      <bottom style="medium">
        <color theme="0" tint="-0.14996795556505021"/>
      </bottom>
      <diagonal/>
    </border>
    <border>
      <left style="thin">
        <color theme="0"/>
      </left>
      <right style="medium">
        <color theme="0" tint="-0.14996795556505021"/>
      </right>
      <top style="thin">
        <color theme="0"/>
      </top>
      <bottom style="medium">
        <color theme="0" tint="-0.14996795556505021"/>
      </bottom>
      <diagonal/>
    </border>
    <border>
      <left style="thin">
        <color theme="0" tint="-4.9989318521683403E-2"/>
      </left>
      <right/>
      <top style="thin">
        <color theme="0" tint="-4.9989318521683403E-2"/>
      </top>
      <bottom style="medium">
        <color theme="0" tint="-0.14996795556505021"/>
      </bottom>
      <diagonal/>
    </border>
    <border>
      <left style="thin">
        <color theme="0" tint="-4.9989318521683403E-2"/>
      </left>
      <right style="thin">
        <color theme="0" tint="-4.9989318521683403E-2"/>
      </right>
      <top style="medium">
        <color theme="0" tint="-0.14996795556505021"/>
      </top>
      <bottom/>
      <diagonal/>
    </border>
    <border>
      <left style="thin">
        <color theme="0" tint="-4.9989318521683403E-2"/>
      </left>
      <right/>
      <top style="medium">
        <color theme="0" tint="-0.14996795556505021"/>
      </top>
      <bottom/>
      <diagonal/>
    </border>
    <border>
      <left style="thin">
        <color theme="0" tint="-4.9989318521683403E-2"/>
      </left>
      <right style="medium">
        <color theme="0" tint="-0.14996795556505021"/>
      </right>
      <top style="medium">
        <color theme="0" tint="-0.14996795556505021"/>
      </top>
      <bottom/>
      <diagonal/>
    </border>
    <border>
      <left style="thin">
        <color theme="0"/>
      </left>
      <right style="thin">
        <color theme="0"/>
      </right>
      <top style="thin">
        <color theme="0"/>
      </top>
      <bottom style="thin">
        <color theme="0"/>
      </bottom>
      <diagonal/>
    </border>
    <border>
      <left style="thin">
        <color theme="0"/>
      </left>
      <right style="medium">
        <color theme="0" tint="-0.14996795556505021"/>
      </right>
      <top style="thin">
        <color theme="0"/>
      </top>
      <bottom style="thin">
        <color theme="0"/>
      </bottom>
      <diagonal/>
    </border>
    <border>
      <left style="thin">
        <color theme="0"/>
      </left>
      <right style="thin">
        <color theme="0"/>
      </right>
      <top style="thin">
        <color theme="0"/>
      </top>
      <bottom style="medium">
        <color theme="0" tint="-0.14996795556505021"/>
      </bottom>
      <diagonal/>
    </border>
    <border>
      <left/>
      <right style="thin">
        <color theme="0"/>
      </right>
      <top style="thin">
        <color theme="0"/>
      </top>
      <bottom style="thin">
        <color theme="0"/>
      </bottom>
      <diagonal/>
    </border>
    <border>
      <left/>
      <right style="thin">
        <color theme="0"/>
      </right>
      <top style="thin">
        <color theme="0"/>
      </top>
      <bottom style="medium">
        <color theme="0" tint="-0.14996795556505021"/>
      </bottom>
      <diagonal/>
    </border>
    <border>
      <left style="thin">
        <color theme="0"/>
      </left>
      <right style="thin">
        <color theme="0"/>
      </right>
      <top/>
      <bottom style="thin">
        <color theme="0"/>
      </bottom>
      <diagonal/>
    </border>
    <border>
      <left/>
      <right/>
      <top/>
      <bottom style="medium">
        <color theme="0" tint="-0.24994659260841701"/>
      </bottom>
      <diagonal/>
    </border>
  </borders>
  <cellStyleXfs count="7">
    <xf numFmtId="0" fontId="0" fillId="0" borderId="0"/>
    <xf numFmtId="0" fontId="1" fillId="0" borderId="0"/>
    <xf numFmtId="0" fontId="5" fillId="0" borderId="0" applyNumberFormat="0" applyFill="0" applyBorder="0" applyAlignment="0" applyProtection="0"/>
    <xf numFmtId="165" fontId="8" fillId="0" borderId="0" applyFont="0" applyFill="0" applyBorder="0" applyAlignment="0" applyProtection="0"/>
    <xf numFmtId="9" fontId="8" fillId="0" borderId="0" applyFont="0" applyFill="0" applyBorder="0" applyAlignment="0" applyProtection="0"/>
    <xf numFmtId="164" fontId="8" fillId="0" borderId="0" applyFont="0" applyFill="0" applyBorder="0" applyAlignment="0" applyProtection="0"/>
    <xf numFmtId="0" fontId="1" fillId="0" borderId="0"/>
  </cellStyleXfs>
  <cellXfs count="60">
    <xf numFmtId="0" fontId="0" fillId="0" borderId="0" xfId="0"/>
    <xf numFmtId="0" fontId="1" fillId="0" borderId="0" xfId="0" applyFont="1"/>
    <xf numFmtId="0" fontId="2" fillId="0" borderId="0" xfId="0" applyFont="1"/>
    <xf numFmtId="0" fontId="2" fillId="0" borderId="0" xfId="1" applyFont="1"/>
    <xf numFmtId="0" fontId="4" fillId="0" borderId="0" xfId="0" applyFont="1" applyAlignment="1">
      <alignment horizontal="right"/>
    </xf>
    <xf numFmtId="0" fontId="3" fillId="0" borderId="0" xfId="0" applyFont="1" applyAlignment="1">
      <alignment horizontal="right"/>
    </xf>
    <xf numFmtId="0" fontId="1" fillId="0" borderId="0" xfId="0" applyFont="1" applyAlignment="1">
      <alignment horizontal="right"/>
    </xf>
    <xf numFmtId="0" fontId="1" fillId="2" borderId="0" xfId="0" applyFont="1" applyFill="1"/>
    <xf numFmtId="0" fontId="6" fillId="2" borderId="0" xfId="0" applyFont="1" applyFill="1"/>
    <xf numFmtId="0" fontId="7" fillId="2" borderId="0" xfId="2" applyFont="1" applyFill="1"/>
    <xf numFmtId="0" fontId="10" fillId="2" borderId="0" xfId="0" applyFont="1" applyFill="1"/>
    <xf numFmtId="0" fontId="11" fillId="2" borderId="0" xfId="2" applyFont="1" applyFill="1"/>
    <xf numFmtId="0" fontId="1" fillId="3" borderId="0" xfId="0" applyFont="1" applyFill="1"/>
    <xf numFmtId="0" fontId="1" fillId="3" borderId="0" xfId="0" applyFont="1" applyFill="1" applyAlignment="1">
      <alignment horizontal="center"/>
    </xf>
    <xf numFmtId="166" fontId="1" fillId="3" borderId="0" xfId="0" applyNumberFormat="1" applyFont="1" applyFill="1"/>
    <xf numFmtId="0" fontId="1" fillId="3" borderId="0" xfId="0" applyFont="1" applyFill="1" applyAlignment="1">
      <alignment horizontal="right"/>
    </xf>
    <xf numFmtId="0" fontId="19" fillId="3" borderId="0" xfId="0" applyFont="1" applyFill="1"/>
    <xf numFmtId="0" fontId="16" fillId="3" borderId="0" xfId="0" applyFont="1" applyFill="1"/>
    <xf numFmtId="0" fontId="6" fillId="3" borderId="0" xfId="0" applyFont="1" applyFill="1" applyAlignment="1">
      <alignment vertical="center"/>
    </xf>
    <xf numFmtId="0" fontId="6" fillId="3" borderId="0" xfId="0" applyFont="1" applyFill="1" applyAlignment="1">
      <alignment horizontal="center"/>
    </xf>
    <xf numFmtId="0" fontId="10" fillId="3" borderId="0" xfId="0" applyFont="1" applyFill="1" applyAlignment="1">
      <alignment horizontal="center"/>
    </xf>
    <xf numFmtId="0" fontId="18" fillId="3" borderId="0" xfId="0" applyFont="1" applyFill="1" applyAlignment="1">
      <alignment vertical="center"/>
    </xf>
    <xf numFmtId="9" fontId="17" fillId="3" borderId="0" xfId="4" applyFont="1" applyFill="1" applyBorder="1" applyAlignment="1" applyProtection="1">
      <alignment vertical="center"/>
      <protection locked="0"/>
    </xf>
    <xf numFmtId="1" fontId="20" fillId="3" borderId="0" xfId="4" applyNumberFormat="1" applyFont="1" applyFill="1" applyBorder="1" applyAlignment="1" applyProtection="1">
      <alignment vertical="center"/>
      <protection locked="0"/>
    </xf>
    <xf numFmtId="9" fontId="17" fillId="3" borderId="0" xfId="4" applyFont="1" applyFill="1" applyBorder="1" applyAlignment="1" applyProtection="1">
      <alignment vertical="center"/>
    </xf>
    <xf numFmtId="1" fontId="13" fillId="3" borderId="0" xfId="0" applyNumberFormat="1" applyFont="1" applyFill="1" applyAlignment="1">
      <alignment horizontal="center"/>
    </xf>
    <xf numFmtId="1" fontId="14" fillId="3" borderId="0" xfId="0" applyNumberFormat="1" applyFont="1" applyFill="1" applyAlignment="1">
      <alignment horizontal="center"/>
    </xf>
    <xf numFmtId="168" fontId="14" fillId="3" borderId="0" xfId="0" applyNumberFormat="1" applyFont="1" applyFill="1" applyAlignment="1">
      <alignment horizontal="center"/>
    </xf>
    <xf numFmtId="167" fontId="14" fillId="3" borderId="0" xfId="0" applyNumberFormat="1" applyFont="1" applyFill="1" applyAlignment="1">
      <alignment horizontal="center"/>
    </xf>
    <xf numFmtId="0" fontId="15" fillId="3" borderId="0" xfId="0" applyFont="1" applyFill="1" applyAlignment="1">
      <alignment horizontal="center"/>
    </xf>
    <xf numFmtId="1" fontId="18" fillId="3" borderId="0" xfId="4" applyNumberFormat="1" applyFont="1" applyFill="1" applyBorder="1" applyAlignment="1" applyProtection="1">
      <alignment vertical="center"/>
      <protection locked="0"/>
    </xf>
    <xf numFmtId="166" fontId="21" fillId="5" borderId="3" xfId="3" applyNumberFormat="1" applyFont="1" applyFill="1" applyBorder="1" applyAlignment="1" applyProtection="1">
      <alignment horizontal="center" vertical="center"/>
      <protection locked="0"/>
    </xf>
    <xf numFmtId="169" fontId="1" fillId="3" borderId="11" xfId="0" applyNumberFormat="1" applyFont="1" applyFill="1" applyBorder="1" applyAlignment="1">
      <alignment horizontal="center"/>
    </xf>
    <xf numFmtId="169" fontId="1" fillId="3" borderId="5" xfId="0" applyNumberFormat="1" applyFont="1" applyFill="1" applyBorder="1" applyAlignment="1">
      <alignment horizontal="center"/>
    </xf>
    <xf numFmtId="169" fontId="1" fillId="3" borderId="13" xfId="0" applyNumberFormat="1" applyFont="1" applyFill="1" applyBorder="1" applyAlignment="1">
      <alignment horizontal="center"/>
    </xf>
    <xf numFmtId="169" fontId="1" fillId="3" borderId="14" xfId="0" applyNumberFormat="1" applyFont="1" applyFill="1" applyBorder="1" applyAlignment="1">
      <alignment horizontal="center"/>
    </xf>
    <xf numFmtId="0" fontId="1" fillId="3" borderId="15" xfId="0" applyFont="1" applyFill="1" applyBorder="1" applyAlignment="1">
      <alignment horizontal="center"/>
    </xf>
    <xf numFmtId="0" fontId="1" fillId="3" borderId="10" xfId="0" applyFont="1" applyFill="1" applyBorder="1" applyAlignment="1">
      <alignment horizontal="center"/>
    </xf>
    <xf numFmtId="0" fontId="1" fillId="3" borderId="12" xfId="0" applyFont="1" applyFill="1" applyBorder="1" applyAlignment="1">
      <alignment horizontal="center"/>
    </xf>
    <xf numFmtId="168" fontId="1" fillId="3" borderId="15" xfId="0" applyNumberFormat="1" applyFont="1" applyFill="1" applyBorder="1" applyAlignment="1">
      <alignment horizontal="center"/>
    </xf>
    <xf numFmtId="168" fontId="1" fillId="3" borderId="10" xfId="0" applyNumberFormat="1" applyFont="1" applyFill="1" applyBorder="1" applyAlignment="1">
      <alignment horizontal="center"/>
    </xf>
    <xf numFmtId="168" fontId="1" fillId="3" borderId="12" xfId="0" applyNumberFormat="1" applyFont="1" applyFill="1" applyBorder="1" applyAlignment="1">
      <alignment horizontal="center"/>
    </xf>
    <xf numFmtId="1" fontId="1" fillId="3" borderId="10" xfId="0" applyNumberFormat="1" applyFont="1" applyFill="1" applyBorder="1" applyAlignment="1">
      <alignment horizontal="center"/>
    </xf>
    <xf numFmtId="1" fontId="1" fillId="3" borderId="12" xfId="0" applyNumberFormat="1" applyFont="1" applyFill="1" applyBorder="1" applyAlignment="1">
      <alignment horizontal="center"/>
    </xf>
    <xf numFmtId="0" fontId="1" fillId="0" borderId="1" xfId="0" applyFont="1" applyBorder="1" applyAlignment="1" applyProtection="1">
      <alignment horizontal="center"/>
      <protection locked="0"/>
    </xf>
    <xf numFmtId="168" fontId="1" fillId="0" borderId="1" xfId="5" applyNumberFormat="1" applyFont="1" applyFill="1" applyBorder="1" applyAlignment="1" applyProtection="1">
      <alignment horizontal="center"/>
      <protection locked="0"/>
    </xf>
    <xf numFmtId="168" fontId="1" fillId="0" borderId="2" xfId="5" applyNumberFormat="1" applyFont="1" applyFill="1" applyBorder="1" applyAlignment="1" applyProtection="1">
      <alignment horizontal="center"/>
      <protection locked="0"/>
    </xf>
    <xf numFmtId="0" fontId="1" fillId="0" borderId="4" xfId="0" applyFont="1" applyBorder="1" applyAlignment="1" applyProtection="1">
      <alignment horizontal="center"/>
      <protection locked="0"/>
    </xf>
    <xf numFmtId="168" fontId="1" fillId="0" borderId="4" xfId="5" applyNumberFormat="1" applyFont="1" applyFill="1" applyBorder="1" applyAlignment="1" applyProtection="1">
      <alignment horizontal="center"/>
      <protection locked="0"/>
    </xf>
    <xf numFmtId="168" fontId="1" fillId="0" borderId="6" xfId="5" applyNumberFormat="1" applyFont="1" applyFill="1" applyBorder="1" applyAlignment="1" applyProtection="1">
      <alignment horizontal="center"/>
      <protection locked="0"/>
    </xf>
    <xf numFmtId="166" fontId="21" fillId="6" borderId="3" xfId="3" applyNumberFormat="1" applyFont="1" applyFill="1" applyBorder="1" applyAlignment="1" applyProtection="1">
      <alignment horizontal="center" vertical="center" wrapText="1"/>
    </xf>
    <xf numFmtId="166" fontId="12" fillId="7" borderId="7" xfId="3" applyNumberFormat="1" applyFont="1" applyFill="1" applyBorder="1" applyAlignment="1" applyProtection="1">
      <alignment horizontal="center" vertical="center"/>
    </xf>
    <xf numFmtId="166" fontId="12" fillId="4" borderId="7" xfId="3" applyNumberFormat="1" applyFont="1" applyFill="1" applyBorder="1" applyAlignment="1" applyProtection="1">
      <alignment horizontal="center" vertical="center"/>
    </xf>
    <xf numFmtId="166" fontId="12" fillId="4" borderId="8" xfId="3" applyNumberFormat="1" applyFont="1" applyFill="1" applyBorder="1" applyAlignment="1" applyProtection="1">
      <alignment horizontal="center" vertical="center"/>
    </xf>
    <xf numFmtId="166" fontId="12" fillId="4" borderId="9" xfId="3" applyNumberFormat="1" applyFont="1" applyFill="1" applyBorder="1" applyAlignment="1" applyProtection="1">
      <alignment horizontal="center" vertical="center"/>
    </xf>
    <xf numFmtId="0" fontId="1" fillId="0" borderId="0" xfId="0" applyFont="1" applyAlignment="1">
      <alignment horizontal="left"/>
    </xf>
    <xf numFmtId="0" fontId="1" fillId="0" borderId="0" xfId="6"/>
    <xf numFmtId="0" fontId="2" fillId="0" borderId="0" xfId="0" applyFont="1" applyAlignment="1">
      <alignment horizontal="right"/>
    </xf>
    <xf numFmtId="0" fontId="5" fillId="0" borderId="0" xfId="2"/>
    <xf numFmtId="0" fontId="22" fillId="2" borderId="16" xfId="0" applyFont="1" applyFill="1" applyBorder="1" applyAlignment="1">
      <alignment horizontal="center" vertical="center"/>
    </xf>
  </cellXfs>
  <cellStyles count="7">
    <cellStyle name="Comma" xfId="3" builtinId="3"/>
    <cellStyle name="Currency" xfId="5" builtinId="4"/>
    <cellStyle name="Hyperlink" xfId="2" builtinId="8"/>
    <cellStyle name="Normal" xfId="0" builtinId="0"/>
    <cellStyle name="Normal 2" xfId="1" xr:uid="{4C4B56A4-5300-4763-9054-91E1974E06C1}"/>
    <cellStyle name="Normal 2 2" xfId="6" xr:uid="{F15DAABB-F3AF-44CC-A065-1CF9B548EA66}"/>
    <cellStyle name="Percent" xfId="4" builtinId="5"/>
  </cellStyles>
  <dxfs count="11">
    <dxf>
      <font>
        <color rgb="FFC00000"/>
      </font>
    </dxf>
    <dxf>
      <font>
        <b/>
        <sz val="11"/>
        <color theme="1"/>
      </font>
    </dxf>
    <dxf>
      <fill>
        <patternFill patternType="solid">
          <fgColor theme="0"/>
          <bgColor theme="0"/>
        </patternFill>
      </fill>
      <border>
        <left style="thin">
          <color theme="1" tint="-0.499984740745262"/>
        </left>
        <right style="thin">
          <color theme="1" tint="-0.499984740745262"/>
        </right>
        <top style="thin">
          <color theme="1" tint="-0.499984740745262"/>
        </top>
        <bottom style="thin">
          <color theme="1" tint="-0.499984740745262"/>
        </bottom>
      </border>
    </dxf>
    <dxf>
      <font>
        <b/>
        <sz val="11"/>
        <color theme="1"/>
      </font>
      <fill>
        <patternFill>
          <bgColor rgb="FF50B47F"/>
        </patternFill>
      </fill>
    </dxf>
    <dxf>
      <fill>
        <patternFill patternType="solid">
          <fgColor theme="0"/>
          <bgColor theme="0"/>
        </patternFill>
      </fill>
      <border>
        <left style="thin">
          <color theme="1" tint="-0.499984740745262"/>
        </left>
        <right style="thin">
          <color theme="1" tint="-0.499984740745262"/>
        </right>
        <top style="thin">
          <color theme="1" tint="-0.499984740745262"/>
        </top>
        <bottom style="thin">
          <color theme="1" tint="-0.499984740745262"/>
        </bottom>
      </border>
    </dxf>
    <dxf>
      <font>
        <b/>
        <sz val="11"/>
        <color theme="1"/>
      </font>
    </dxf>
    <dxf>
      <fill>
        <patternFill patternType="solid">
          <fgColor theme="0"/>
          <bgColor theme="0"/>
        </patternFill>
      </fill>
      <border>
        <left style="thin">
          <color theme="1" tint="-0.499984740745262"/>
        </left>
        <right style="thin">
          <color theme="1" tint="-0.499984740745262"/>
        </right>
        <top style="thin">
          <color theme="1" tint="-0.499984740745262"/>
        </top>
        <bottom style="thin">
          <color theme="1" tint="-0.499984740745262"/>
        </bottom>
      </border>
    </dxf>
    <dxf>
      <fill>
        <patternFill>
          <bgColor rgb="FF8FCFAD"/>
        </patternFill>
      </fill>
    </dxf>
    <dxf>
      <fill>
        <patternFill>
          <bgColor rgb="FF8FCFAD"/>
        </patternFill>
      </fill>
    </dxf>
    <dxf>
      <fill>
        <patternFill>
          <bgColor rgb="FF8FCFAD"/>
        </patternFill>
      </fill>
    </dxf>
    <dxf>
      <fill>
        <patternFill>
          <bgColor rgb="FF8FCFAD"/>
        </patternFill>
      </fill>
    </dxf>
  </dxfs>
  <tableStyles count="8" defaultTableStyle="TableStyleMedium2" defaultPivotStyle="PivotStyleLight16">
    <tableStyle name="Invisible" pivot="0" table="0" count="0" xr9:uid="{BD828DAB-4EB6-4FD4-A803-2D1D35610501}"/>
    <tableStyle name="Table Style 1" pivot="0" count="1" xr9:uid="{BB7F0C67-185F-4631-93AA-BD2E768D7A13}">
      <tableStyleElement type="wholeTable" dxfId="10"/>
    </tableStyle>
    <tableStyle name="Table Style 2" pivot="0" count="1" xr9:uid="{3D276D6F-F8EC-4105-AF4E-EF90E0497490}">
      <tableStyleElement type="secondColumnStripe" dxfId="9"/>
    </tableStyle>
    <tableStyle name="Table Style 3" pivot="0" count="1" xr9:uid="{58126073-47CA-432E-9930-0966B1055812}">
      <tableStyleElement type="firstColumnStripe" dxfId="8"/>
    </tableStyle>
    <tableStyle name="Table Style 4" pivot="0" count="1" xr9:uid="{5E1F8E05-1701-4D75-BC47-9223CD34FC6B}">
      <tableStyleElement type="firstRowStripe" dxfId="7"/>
    </tableStyle>
    <tableStyle name="Timeline Style 1" pivot="0" table="0" count="8" xr9:uid="{C2E335C9-31F7-40A6-909D-A0A242EC80DD}">
      <tableStyleElement type="wholeTable" dxfId="6"/>
      <tableStyleElement type="headerRow" dxfId="5"/>
    </tableStyle>
    <tableStyle name="Timeline Style 2" pivot="0" table="0" count="8" xr9:uid="{BD7D3DEA-9F17-4B02-A38B-A505F988F17B}">
      <tableStyleElement type="wholeTable" dxfId="4"/>
      <tableStyleElement type="headerRow" dxfId="3"/>
    </tableStyle>
    <tableStyle name="Timeline Style 3" pivot="0" table="0" count="9" xr9:uid="{03AB8773-F939-4292-A158-497A8B257D1F}">
      <tableStyleElement type="wholeTable" dxfId="2"/>
      <tableStyleElement type="headerRow" dxfId="1"/>
    </tableStyle>
  </tableStyles>
  <colors>
    <mruColors>
      <color rgb="FF50B47F"/>
      <color rgb="FFA32319"/>
      <color rgb="FF8FCFAD"/>
      <color rgb="FFBC8F00"/>
      <color rgb="FFE6AF00"/>
      <color rgb="FFF8F200"/>
      <color rgb="FFDAC108"/>
      <color rgb="FFE8E8E8"/>
      <color rgb="FFEEEEEE"/>
      <color rgb="FFE6E6E6"/>
    </mruColors>
  </colors>
  <extLst>
    <ext xmlns:x14="http://schemas.microsoft.com/office/spreadsheetml/2009/9/main" uri="{EB79DEF2-80B8-43e5-95BD-54CBDDF9020C}">
      <x14:slicerStyles defaultSlicerStyle="SlicerStyleLight1"/>
    </ext>
    <ext xmlns:x15="http://schemas.microsoft.com/office/spreadsheetml/2010/11/main" uri="{A0A4C193-F2C1-4fcb-8827-314CF55A85BB}">
      <x15:dxfs count="19">
        <dxf>
          <fill>
            <patternFill>
              <bgColor rgb="FF8FCFAD"/>
            </patternFill>
          </fill>
        </dxf>
        <dxf>
          <fill>
            <patternFill patternType="solid">
              <fgColor theme="0" tint="-0.14999847407452621"/>
              <bgColor theme="0" tint="-0.14999847407452621"/>
            </patternFill>
          </fill>
        </dxf>
        <dxf>
          <fill>
            <patternFill patternType="solid">
              <fgColor theme="0"/>
              <bgColor theme="0"/>
            </patternFill>
          </fill>
        </dxf>
        <dxf>
          <font>
            <sz val="9"/>
            <color theme="1" tint="0.499984740745262"/>
          </font>
        </dxf>
        <dxf>
          <font>
            <sz val="9"/>
            <color theme="1" tint="0.499984740745262"/>
          </font>
        </dxf>
        <dxf>
          <font>
            <sz val="9"/>
            <color rgb="FF50B47F"/>
            <name val="Calibri"/>
            <family val="2"/>
            <scheme val="minor"/>
          </font>
        </dxf>
        <dxf>
          <font>
            <sz val="10"/>
            <color rgb="FF50B47F"/>
            <name val="Calibri"/>
            <family val="2"/>
            <scheme val="minor"/>
          </font>
        </dxf>
        <dxf>
          <fill>
            <patternFill patternType="solid">
              <fgColor theme="0" tint="-0.14999847407452621"/>
              <bgColor theme="0" tint="-0.14999847407452621"/>
            </patternFill>
          </fill>
        </dxf>
        <dxf>
          <fill>
            <patternFill patternType="solid">
              <fgColor theme="0"/>
              <bgColor rgb="FF8FCFAD"/>
            </patternFill>
          </fill>
        </dxf>
        <dxf>
          <font>
            <sz val="9"/>
            <color theme="1" tint="0.499984740745262"/>
          </font>
        </dxf>
        <dxf>
          <font>
            <sz val="9"/>
            <color theme="1" tint="0.499984740745262"/>
          </font>
        </dxf>
        <dxf>
          <font>
            <sz val="9"/>
            <color theme="1" tint="0.499984740745262"/>
          </font>
        </dxf>
        <dxf>
          <font>
            <sz val="10"/>
            <color theme="1" tint="0.499984740745262"/>
          </font>
        </dxf>
        <dxf>
          <fill>
            <patternFill patternType="solid">
              <fgColor theme="0" tint="-0.14999847407452621"/>
              <bgColor theme="0" tint="-0.14999847407452621"/>
            </patternFill>
          </fill>
        </dxf>
        <dxf>
          <fill>
            <patternFill patternType="solid">
              <fgColor theme="0"/>
              <bgColor rgb="FF8FCFAD"/>
            </patternFill>
          </fill>
        </dxf>
        <dxf>
          <font>
            <sz val="9"/>
            <color theme="1" tint="0.499984740745262"/>
          </font>
        </dxf>
        <dxf>
          <font>
            <sz val="9"/>
            <color theme="1" tint="0.499984740745262"/>
          </font>
        </dxf>
        <dxf>
          <font>
            <sz val="9"/>
            <color theme="1" tint="0.499984740745262"/>
          </font>
        </dxf>
        <dxf>
          <font>
            <sz val="10"/>
            <color theme="1" tint="0.499984740745262"/>
          </font>
        </dxf>
      </x15:dxfs>
    </ext>
    <ext xmlns:x15="http://schemas.microsoft.com/office/spreadsheetml/2010/11/main" uri="{9260A510-F301-46a8-8635-F512D64BE5F5}">
      <x15:timelineStyles defaultTimelineStyle="TimeSlicerStyleLight1">
        <x15:timelineStyle name="Timeline Style 1">
          <x15:timelineStyleElements>
            <x15:timelineStyleElement type="selectionLabel" dxfId="18"/>
            <x15:timelineStyleElement type="timeLevel" dxfId="17"/>
            <x15:timelineStyleElement type="periodLabel1" dxfId="16"/>
            <x15:timelineStyleElement type="periodLabel2" dxfId="15"/>
            <x15:timelineStyleElement type="selectedTimeBlock" dxfId="14"/>
            <x15:timelineStyleElement type="unselectedTimeBlock" dxfId="13"/>
          </x15:timelineStyleElements>
        </x15:timelineStyle>
        <x15:timelineStyle name="Timeline Style 2">
          <x15:timelineStyleElements>
            <x15:timelineStyleElement type="selectionLabel" dxfId="12"/>
            <x15:timelineStyleElement type="timeLevel" dxfId="11"/>
            <x15:timelineStyleElement type="periodLabel1" dxfId="10"/>
            <x15:timelineStyleElement type="periodLabel2" dxfId="9"/>
            <x15:timelineStyleElement type="selectedTimeBlock" dxfId="8"/>
            <x15:timelineStyleElement type="unselectedTimeBlock" dxfId="7"/>
          </x15:timelineStyleElements>
        </x15:timelineStyle>
        <x15:timelineStyle name="Timeline Style 3">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rgbClr val="50B47F"/>
                </a:solidFill>
                <a:latin typeface="Arial" panose="020B0604020202020204" pitchFamily="34" charset="0"/>
                <a:ea typeface="+mn-ea"/>
                <a:cs typeface="Arial" panose="020B0604020202020204" pitchFamily="34" charset="0"/>
              </a:defRPr>
            </a:pPr>
            <a:r>
              <a:rPr lang="en-US" b="0">
                <a:solidFill>
                  <a:srgbClr val="50B47F"/>
                </a:solidFill>
                <a:latin typeface="Arial" panose="020B0604020202020204" pitchFamily="34" charset="0"/>
                <a:cs typeface="Arial" panose="020B0604020202020204" pitchFamily="34" charset="0"/>
              </a:rPr>
              <a:t>Best Offer Price And Price Gap</a:t>
            </a:r>
          </a:p>
        </c:rich>
      </c:tx>
      <c:layout>
        <c:manualLayout>
          <c:xMode val="edge"/>
          <c:yMode val="edge"/>
          <c:x val="0.28280540689989508"/>
          <c:y val="1.782559397452041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rgbClr val="50B47F"/>
              </a:solidFill>
              <a:latin typeface="Arial" panose="020B0604020202020204" pitchFamily="34" charset="0"/>
              <a:ea typeface="+mn-ea"/>
              <a:cs typeface="Arial" panose="020B0604020202020204" pitchFamily="34" charset="0"/>
            </a:defRPr>
          </a:pPr>
          <a:endParaRPr lang="en-US"/>
        </a:p>
      </c:txPr>
    </c:title>
    <c:autoTitleDeleted val="0"/>
    <c:plotArea>
      <c:layout>
        <c:manualLayout>
          <c:layoutTarget val="inner"/>
          <c:xMode val="edge"/>
          <c:yMode val="edge"/>
          <c:x val="6.3054239432192183E-2"/>
          <c:y val="0.10277212754341876"/>
          <c:w val="0.93353558077967524"/>
          <c:h val="0.67956546658251937"/>
        </c:manualLayout>
      </c:layout>
      <c:barChart>
        <c:barDir val="col"/>
        <c:grouping val="stacked"/>
        <c:varyColors val="0"/>
        <c:ser>
          <c:idx val="0"/>
          <c:order val="0"/>
          <c:tx>
            <c:v>Best Offer</c:v>
          </c:tx>
          <c:spPr>
            <a:solidFill>
              <a:srgbClr val="8FCFAD"/>
            </a:solidFill>
            <a:ln>
              <a:noFill/>
            </a:ln>
            <a:effectLst/>
          </c:spPr>
          <c:invertIfNegative val="0"/>
          <c:dLbls>
            <c:dLbl>
              <c:idx val="0"/>
              <c:tx>
                <c:rich>
                  <a:bodyPr/>
                  <a:lstStyle/>
                  <a:p>
                    <a:fld id="{A0613D83-0F16-484D-BE00-F2889F4F572F}" type="CELLRANGE">
                      <a:rPr lang="en-US"/>
                      <a:pPr/>
                      <a:t>[CELLRANGE]</a:t>
                    </a:fld>
                    <a:endParaRPr lang="en-US" baseline="0"/>
                  </a:p>
                  <a:p>
                    <a:fld id="{30B6FD70-DFED-4274-ACE5-B29F41748811}" type="VALUE">
                      <a:rPr lang="en-US"/>
                      <a:pPr/>
                      <a:t>[VALUE]</a:t>
                    </a:fld>
                    <a:endParaRPr lang="en-IN"/>
                  </a:p>
                </c:rich>
              </c:tx>
              <c:dLblPos val="inBase"/>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2-A5B5-40D2-B914-1C1EE010057B}"/>
                </c:ext>
              </c:extLst>
            </c:dLbl>
            <c:dLbl>
              <c:idx val="1"/>
              <c:tx>
                <c:rich>
                  <a:bodyPr/>
                  <a:lstStyle/>
                  <a:p>
                    <a:fld id="{5E89ADE2-87FA-46C8-8D2E-84357A66C8C7}" type="CELLRANGE">
                      <a:rPr lang="en-US"/>
                      <a:pPr/>
                      <a:t>[CELLRANGE]</a:t>
                    </a:fld>
                    <a:endParaRPr lang="en-US" baseline="0"/>
                  </a:p>
                  <a:p>
                    <a:fld id="{CD947C71-A715-4807-B7A3-AF67260E83FE}" type="VALUE">
                      <a:rPr lang="en-US"/>
                      <a:pPr/>
                      <a:t>[VALUE]</a:t>
                    </a:fld>
                    <a:endParaRPr lang="en-IN"/>
                  </a:p>
                </c:rich>
              </c:tx>
              <c:dLblPos val="inBase"/>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3-A5B5-40D2-B914-1C1EE010057B}"/>
                </c:ext>
              </c:extLst>
            </c:dLbl>
            <c:dLbl>
              <c:idx val="2"/>
              <c:tx>
                <c:rich>
                  <a:bodyPr/>
                  <a:lstStyle/>
                  <a:p>
                    <a:fld id="{E1402121-85CC-4027-9B42-05180F9E081C}" type="CELLRANGE">
                      <a:rPr lang="en-US"/>
                      <a:pPr/>
                      <a:t>[CELLRANGE]</a:t>
                    </a:fld>
                    <a:endParaRPr lang="en-US" baseline="0"/>
                  </a:p>
                  <a:p>
                    <a:fld id="{D120B402-F2C9-4CB7-8B32-349AA4E6DBC0}" type="VALUE">
                      <a:rPr lang="en-US"/>
                      <a:pPr/>
                      <a:t>[VALUE]</a:t>
                    </a:fld>
                    <a:endParaRPr lang="en-IN"/>
                  </a:p>
                </c:rich>
              </c:tx>
              <c:dLblPos val="inBase"/>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4-A5B5-40D2-B914-1C1EE010057B}"/>
                </c:ext>
              </c:extLst>
            </c:dLbl>
            <c:dLbl>
              <c:idx val="3"/>
              <c:tx>
                <c:rich>
                  <a:bodyPr/>
                  <a:lstStyle/>
                  <a:p>
                    <a:fld id="{96050350-5BB8-4846-A427-ED1BFDBFBC69}" type="CELLRANGE">
                      <a:rPr lang="en-US"/>
                      <a:pPr/>
                      <a:t>[CELLRANGE]</a:t>
                    </a:fld>
                    <a:endParaRPr lang="en-US" baseline="0"/>
                  </a:p>
                  <a:p>
                    <a:fld id="{E649B502-8DDC-48BC-B63E-1F2B1E3143FB}" type="VALUE">
                      <a:rPr lang="en-US"/>
                      <a:pPr/>
                      <a:t>[VALUE]</a:t>
                    </a:fld>
                    <a:endParaRPr lang="en-IN"/>
                  </a:p>
                </c:rich>
              </c:tx>
              <c:dLblPos val="inBase"/>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5-A5B5-40D2-B914-1C1EE010057B}"/>
                </c:ext>
              </c:extLst>
            </c:dLbl>
            <c:dLbl>
              <c:idx val="4"/>
              <c:tx>
                <c:rich>
                  <a:bodyPr/>
                  <a:lstStyle/>
                  <a:p>
                    <a:fld id="{5A3F8CA7-4225-4D81-AD39-5482102A5C8A}" type="CELLRANGE">
                      <a:rPr lang="en-US"/>
                      <a:pPr/>
                      <a:t>[CELLRANGE]</a:t>
                    </a:fld>
                    <a:endParaRPr lang="en-US" baseline="0"/>
                  </a:p>
                  <a:p>
                    <a:fld id="{1273AC15-3E04-477E-A84C-8BF1F3033D87}" type="VALUE">
                      <a:rPr lang="en-US"/>
                      <a:pPr/>
                      <a:t>[VALUE]</a:t>
                    </a:fld>
                    <a:endParaRPr lang="en-IN"/>
                  </a:p>
                </c:rich>
              </c:tx>
              <c:dLblPos val="inBase"/>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6-A5B5-40D2-B914-1C1EE010057B}"/>
                </c:ext>
              </c:extLst>
            </c:dLbl>
            <c:dLbl>
              <c:idx val="5"/>
              <c:tx>
                <c:rich>
                  <a:bodyPr/>
                  <a:lstStyle/>
                  <a:p>
                    <a:fld id="{5F1CC970-11DB-42C4-AF64-EAA40427A25D}" type="CELLRANGE">
                      <a:rPr lang="en-US"/>
                      <a:pPr/>
                      <a:t>[CELLRANGE]</a:t>
                    </a:fld>
                    <a:endParaRPr lang="en-US" baseline="0"/>
                  </a:p>
                  <a:p>
                    <a:fld id="{2076C8A7-8D89-41AA-AA5C-FE2B6F248839}" type="VALUE">
                      <a:rPr lang="en-US"/>
                      <a:pPr/>
                      <a:t>[VALUE]</a:t>
                    </a:fld>
                    <a:endParaRPr lang="en-IN"/>
                  </a:p>
                </c:rich>
              </c:tx>
              <c:dLblPos val="inBase"/>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7-A5B5-40D2-B914-1C1EE010057B}"/>
                </c:ext>
              </c:extLst>
            </c:dLbl>
            <c:dLbl>
              <c:idx val="6"/>
              <c:tx>
                <c:rich>
                  <a:bodyPr/>
                  <a:lstStyle/>
                  <a:p>
                    <a:fld id="{9636AA76-5EC8-428D-A836-38E0F31F98A5}" type="CELLRANGE">
                      <a:rPr lang="en-US"/>
                      <a:pPr/>
                      <a:t>[CELLRANGE]</a:t>
                    </a:fld>
                    <a:endParaRPr lang="en-US" baseline="0"/>
                  </a:p>
                  <a:p>
                    <a:fld id="{58787505-6A3E-4743-8650-0A70F0D4107C}" type="VALUE">
                      <a:rPr lang="en-US"/>
                      <a:pPr/>
                      <a:t>[VALUE]</a:t>
                    </a:fld>
                    <a:endParaRPr lang="en-IN"/>
                  </a:p>
                </c:rich>
              </c:tx>
              <c:dLblPos val="inBase"/>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8-A5B5-40D2-B914-1C1EE010057B}"/>
                </c:ext>
              </c:extLst>
            </c:dLbl>
            <c:dLbl>
              <c:idx val="7"/>
              <c:tx>
                <c:rich>
                  <a:bodyPr/>
                  <a:lstStyle/>
                  <a:p>
                    <a:fld id="{19BBEC30-623C-4E61-922C-76E594A5D06B}" type="CELLRANGE">
                      <a:rPr lang="en-US"/>
                      <a:pPr/>
                      <a:t>[CELLRANGE]</a:t>
                    </a:fld>
                    <a:endParaRPr lang="en-US" baseline="0"/>
                  </a:p>
                  <a:p>
                    <a:fld id="{71BF0981-18FB-4D63-B2C3-E1DC527BBEE7}" type="VALUE">
                      <a:rPr lang="en-US"/>
                      <a:pPr/>
                      <a:t>[VALUE]</a:t>
                    </a:fld>
                    <a:endParaRPr lang="en-IN"/>
                  </a:p>
                </c:rich>
              </c:tx>
              <c:dLblPos val="inBase"/>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9-A5B5-40D2-B914-1C1EE010057B}"/>
                </c:ext>
              </c:extLst>
            </c:dLbl>
            <c:dLbl>
              <c:idx val="8"/>
              <c:tx>
                <c:rich>
                  <a:bodyPr/>
                  <a:lstStyle/>
                  <a:p>
                    <a:fld id="{1424D35F-3EB3-4434-8099-82FE0CEAC977}" type="CELLRANGE">
                      <a:rPr lang="en-US"/>
                      <a:pPr/>
                      <a:t>[CELLRANGE]</a:t>
                    </a:fld>
                    <a:endParaRPr lang="en-US" baseline="0"/>
                  </a:p>
                  <a:p>
                    <a:fld id="{6174EEE5-6242-4010-97BE-F346D1697C7B}" type="VALUE">
                      <a:rPr lang="en-US"/>
                      <a:pPr/>
                      <a:t>[VALUE]</a:t>
                    </a:fld>
                    <a:endParaRPr lang="en-IN"/>
                  </a:p>
                </c:rich>
              </c:tx>
              <c:dLblPos val="inBase"/>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A-A5B5-40D2-B914-1C1EE010057B}"/>
                </c:ext>
              </c:extLst>
            </c:dLbl>
            <c:dLbl>
              <c:idx val="9"/>
              <c:tx>
                <c:rich>
                  <a:bodyPr/>
                  <a:lstStyle/>
                  <a:p>
                    <a:fld id="{523EECA7-D98A-4071-8912-C8E2F5813D5C}" type="CELLRANGE">
                      <a:rPr lang="en-US"/>
                      <a:pPr/>
                      <a:t>[CELLRANGE]</a:t>
                    </a:fld>
                    <a:endParaRPr lang="en-US" baseline="0"/>
                  </a:p>
                  <a:p>
                    <a:fld id="{64851872-FF5E-4C21-941C-CCE18B725530}" type="VALUE">
                      <a:rPr lang="en-US"/>
                      <a:pPr/>
                      <a:t>[VALUE]</a:t>
                    </a:fld>
                    <a:endParaRPr lang="en-IN"/>
                  </a:p>
                </c:rich>
              </c:tx>
              <c:dLblPos val="inBase"/>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B-A5B5-40D2-B914-1C1EE010057B}"/>
                </c:ext>
              </c:extLst>
            </c:dLbl>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dLblPos val="inBase"/>
            <c:showLegendKey val="0"/>
            <c:showVal val="1"/>
            <c:showCatName val="0"/>
            <c:showSerName val="0"/>
            <c:showPercent val="0"/>
            <c:showBubbleSize val="0"/>
            <c:separator>
</c:separator>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Lit>
              <c:ptCount val="10"/>
              <c:pt idx="0">
                <c:v>Brand C</c:v>
              </c:pt>
              <c:pt idx="1">
                <c:v>Brand C</c:v>
              </c:pt>
              <c:pt idx="2">
                <c:v>Brand E</c:v>
              </c:pt>
              <c:pt idx="3">
                <c:v>Brand E</c:v>
              </c:pt>
              <c:pt idx="4">
                <c:v>Brand E</c:v>
              </c:pt>
              <c:pt idx="5">
                <c:v>Brand B</c:v>
              </c:pt>
              <c:pt idx="6">
                <c:v>Brand D</c:v>
              </c:pt>
              <c:pt idx="7">
                <c:v>Brand A</c:v>
              </c:pt>
              <c:pt idx="8">
                <c:v>Brand E</c:v>
              </c:pt>
              <c:pt idx="9">
                <c:v>Brand B</c:v>
              </c:pt>
            </c:strLit>
          </c:cat>
          <c:val>
            <c:numRef>
              <c:f>[0]!Min_bars</c:f>
              <c:numCache>
                <c:formatCode>"$"#,##0</c:formatCode>
                <c:ptCount val="10"/>
                <c:pt idx="0">
                  <c:v>470</c:v>
                </c:pt>
                <c:pt idx="1">
                  <c:v>340</c:v>
                </c:pt>
                <c:pt idx="2">
                  <c:v>600</c:v>
                </c:pt>
                <c:pt idx="3">
                  <c:v>400</c:v>
                </c:pt>
                <c:pt idx="4">
                  <c:v>510</c:v>
                </c:pt>
                <c:pt idx="5">
                  <c:v>150</c:v>
                </c:pt>
                <c:pt idx="6">
                  <c:v>640</c:v>
                </c:pt>
                <c:pt idx="7">
                  <c:v>365</c:v>
                </c:pt>
                <c:pt idx="8">
                  <c:v>190</c:v>
                </c:pt>
                <c:pt idx="9">
                  <c:v>413</c:v>
                </c:pt>
              </c:numCache>
            </c:numRef>
          </c:val>
          <c:extLst>
            <c:ext xmlns:c15="http://schemas.microsoft.com/office/drawing/2012/chart" uri="{02D57815-91ED-43cb-92C2-25804820EDAC}">
              <c15:datalabelsRange>
                <c15:f>'Competitor Price Analysis'!$B$24:$B$33</c15:f>
                <c15:dlblRangeCache>
                  <c:ptCount val="10"/>
                  <c:pt idx="0">
                    <c:v>TV</c:v>
                  </c:pt>
                  <c:pt idx="1">
                    <c:v>WM</c:v>
                  </c:pt>
                  <c:pt idx="2">
                    <c:v>AC</c:v>
                  </c:pt>
                  <c:pt idx="3">
                    <c:v>REF</c:v>
                  </c:pt>
                  <c:pt idx="4">
                    <c:v>ABC</c:v>
                  </c:pt>
                  <c:pt idx="5">
                    <c:v>ABB</c:v>
                  </c:pt>
                  <c:pt idx="6">
                    <c:v>CDA</c:v>
                  </c:pt>
                  <c:pt idx="7">
                    <c:v>CBC</c:v>
                  </c:pt>
                  <c:pt idx="8">
                    <c:v>DCA</c:v>
                  </c:pt>
                  <c:pt idx="9">
                    <c:v>BDA</c:v>
                  </c:pt>
                </c15:dlblRangeCache>
              </c15:datalabelsRange>
            </c:ext>
            <c:ext xmlns:c16="http://schemas.microsoft.com/office/drawing/2014/chart" uri="{C3380CC4-5D6E-409C-BE32-E72D297353CC}">
              <c16:uniqueId val="{00000000-FA0E-4F75-99D3-B1D83772E459}"/>
            </c:ext>
          </c:extLst>
        </c:ser>
        <c:ser>
          <c:idx val="1"/>
          <c:order val="1"/>
          <c:tx>
            <c:v> Price Gap </c:v>
          </c:tx>
          <c:spPr>
            <a:solidFill>
              <a:srgbClr val="A32319"/>
            </a:solidFill>
            <a:ln>
              <a:noFill/>
            </a:ln>
            <a:effectLst/>
          </c:spPr>
          <c:invertIfNegative val="1"/>
          <c:dLbls>
            <c:numFmt formatCode="&quot;$&quot;#,##0" sourceLinked="0"/>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bg1">
                        <a:lumMod val="95000"/>
                      </a:schemeClr>
                    </a:solidFill>
                    <a:latin typeface="Arial" panose="020B0604020202020204" pitchFamily="34" charset="0"/>
                    <a:ea typeface="+mn-ea"/>
                    <a:cs typeface="Arial" panose="020B0604020202020204" pitchFamily="34" charset="0"/>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0"/>
              <c:pt idx="0">
                <c:v>Brand C</c:v>
              </c:pt>
              <c:pt idx="1">
                <c:v>Brand C</c:v>
              </c:pt>
              <c:pt idx="2">
                <c:v>Brand E</c:v>
              </c:pt>
              <c:pt idx="3">
                <c:v>Brand E</c:v>
              </c:pt>
              <c:pt idx="4">
                <c:v>Brand E</c:v>
              </c:pt>
              <c:pt idx="5">
                <c:v>Brand B</c:v>
              </c:pt>
              <c:pt idx="6">
                <c:v>Brand D</c:v>
              </c:pt>
              <c:pt idx="7">
                <c:v>Brand A</c:v>
              </c:pt>
              <c:pt idx="8">
                <c:v>Brand E</c:v>
              </c:pt>
              <c:pt idx="9">
                <c:v>Brand B</c:v>
              </c:pt>
            </c:strLit>
          </c:cat>
          <c:val>
            <c:numRef>
              <c:f>[0]!gap</c:f>
              <c:numCache>
                <c:formatCode>"$"#,##0</c:formatCode>
                <c:ptCount val="10"/>
                <c:pt idx="0">
                  <c:v>30</c:v>
                </c:pt>
                <c:pt idx="1">
                  <c:v>10</c:v>
                </c:pt>
                <c:pt idx="2">
                  <c:v>30</c:v>
                </c:pt>
                <c:pt idx="3">
                  <c:v>80</c:v>
                </c:pt>
                <c:pt idx="4">
                  <c:v>90</c:v>
                </c:pt>
                <c:pt idx="5">
                  <c:v>20</c:v>
                </c:pt>
                <c:pt idx="6">
                  <c:v>60</c:v>
                </c:pt>
                <c:pt idx="7">
                  <c:v>127</c:v>
                </c:pt>
                <c:pt idx="8">
                  <c:v>10</c:v>
                </c:pt>
                <c:pt idx="9">
                  <c:v>103</c:v>
                </c:pt>
              </c:numCache>
            </c:numRef>
          </c:val>
          <c:extLst>
            <c:ext xmlns:c14="http://schemas.microsoft.com/office/drawing/2007/8/2/chart" uri="{6F2FDCE9-48DA-4B69-8628-5D25D57E5C99}">
              <c14:invertSolidFillFmt>
                <c14:spPr xmlns:c14="http://schemas.microsoft.com/office/drawing/2007/8/2/chart">
                  <a:solidFill>
                    <a:srgbClr val="7F7F7F"/>
                  </a:solidFill>
                  <a:ln>
                    <a:noFill/>
                  </a:ln>
                  <a:effectLst/>
                </c14:spPr>
              </c14:invertSolidFillFmt>
            </c:ext>
            <c:ext xmlns:c16="http://schemas.microsoft.com/office/drawing/2014/chart" uri="{C3380CC4-5D6E-409C-BE32-E72D297353CC}">
              <c16:uniqueId val="{00000002-FA0E-4F75-99D3-B1D83772E459}"/>
            </c:ext>
          </c:extLst>
        </c:ser>
        <c:dLbls>
          <c:showLegendKey val="0"/>
          <c:showVal val="0"/>
          <c:showCatName val="0"/>
          <c:showSerName val="0"/>
          <c:showPercent val="0"/>
          <c:showBubbleSize val="0"/>
        </c:dLbls>
        <c:gapWidth val="157"/>
        <c:overlap val="100"/>
        <c:axId val="1474960063"/>
        <c:axId val="1658767647"/>
      </c:barChart>
      <c:catAx>
        <c:axId val="147496006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58767647"/>
        <c:crosses val="autoZero"/>
        <c:auto val="1"/>
        <c:lblAlgn val="ctr"/>
        <c:lblOffset val="100"/>
        <c:noMultiLvlLbl val="0"/>
      </c:catAx>
      <c:valAx>
        <c:axId val="1658767647"/>
        <c:scaling>
          <c:orientation val="minMax"/>
        </c:scaling>
        <c:delete val="0"/>
        <c:axPos val="l"/>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74960063"/>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rgbClr val="50B47F"/>
                </a:solidFill>
                <a:latin typeface="Arial" panose="020B0604020202020204" pitchFamily="34" charset="0"/>
                <a:ea typeface="+mn-ea"/>
                <a:cs typeface="Arial" panose="020B0604020202020204" pitchFamily="34" charset="0"/>
              </a:defRPr>
            </a:pPr>
            <a:r>
              <a:rPr lang="en-US">
                <a:solidFill>
                  <a:srgbClr val="50B47F"/>
                </a:solidFill>
                <a:latin typeface="Arial" panose="020B0604020202020204" pitchFamily="34" charset="0"/>
                <a:cs typeface="Arial" panose="020B0604020202020204" pitchFamily="34" charset="0"/>
              </a:rPr>
              <a:t>Market</a:t>
            </a:r>
            <a:r>
              <a:rPr lang="en-US" baseline="0">
                <a:solidFill>
                  <a:srgbClr val="50B47F"/>
                </a:solidFill>
                <a:latin typeface="Arial" panose="020B0604020202020204" pitchFamily="34" charset="0"/>
                <a:cs typeface="Arial" panose="020B0604020202020204" pitchFamily="34" charset="0"/>
              </a:rPr>
              <a:t> Price Deviation</a:t>
            </a:r>
            <a:endParaRPr lang="en-US">
              <a:solidFill>
                <a:srgbClr val="50B47F"/>
              </a:solidFill>
              <a:latin typeface="Arial" panose="020B0604020202020204" pitchFamily="34" charset="0"/>
              <a:cs typeface="Arial" panose="020B0604020202020204" pitchFamily="34"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rgbClr val="50B47F"/>
              </a:solidFill>
              <a:latin typeface="Arial" panose="020B0604020202020204" pitchFamily="34" charset="0"/>
              <a:ea typeface="+mn-ea"/>
              <a:cs typeface="Arial" panose="020B0604020202020204" pitchFamily="34" charset="0"/>
            </a:defRPr>
          </a:pPr>
          <a:endParaRPr lang="en-US"/>
        </a:p>
      </c:txPr>
    </c:title>
    <c:autoTitleDeleted val="0"/>
    <c:plotArea>
      <c:layout>
        <c:manualLayout>
          <c:layoutTarget val="inner"/>
          <c:xMode val="edge"/>
          <c:yMode val="edge"/>
          <c:x val="3.6684616300896658E-2"/>
          <c:y val="0.16927814005194677"/>
          <c:w val="0.94845325085538013"/>
          <c:h val="0.53178674846274743"/>
        </c:manualLayout>
      </c:layout>
      <c:barChart>
        <c:barDir val="col"/>
        <c:grouping val="clustered"/>
        <c:varyColors val="0"/>
        <c:ser>
          <c:idx val="0"/>
          <c:order val="0"/>
          <c:tx>
            <c:v> Market deviation </c:v>
          </c:tx>
          <c:spPr>
            <a:solidFill>
              <a:schemeClr val="bg1">
                <a:lumMod val="6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errBars>
            <c:errBarType val="both"/>
            <c:errValType val="stdErr"/>
            <c:noEndCap val="0"/>
            <c:spPr>
              <a:noFill/>
              <a:ln w="9525" cap="flat" cmpd="sng" algn="ctr">
                <a:solidFill>
                  <a:schemeClr val="tx1">
                    <a:lumMod val="65000"/>
                    <a:lumOff val="35000"/>
                  </a:schemeClr>
                </a:solidFill>
                <a:round/>
              </a:ln>
              <a:effectLst/>
            </c:spPr>
          </c:errBars>
          <c:cat>
            <c:strLit>
              <c:ptCount val="10"/>
              <c:pt idx="0">
                <c:v>TV</c:v>
              </c:pt>
              <c:pt idx="1">
                <c:v>WM</c:v>
              </c:pt>
              <c:pt idx="2">
                <c:v>AC</c:v>
              </c:pt>
              <c:pt idx="3">
                <c:v>REF</c:v>
              </c:pt>
              <c:pt idx="4">
                <c:v>ABC</c:v>
              </c:pt>
              <c:pt idx="5">
                <c:v>ABB</c:v>
              </c:pt>
              <c:pt idx="6">
                <c:v>CDA</c:v>
              </c:pt>
              <c:pt idx="7">
                <c:v>CBC</c:v>
              </c:pt>
              <c:pt idx="8">
                <c:v>DCA</c:v>
              </c:pt>
              <c:pt idx="9">
                <c:v>BDA</c:v>
              </c:pt>
            </c:strLit>
          </c:cat>
          <c:val>
            <c:numRef>
              <c:f>[0]!Market_deviation</c:f>
              <c:numCache>
                <c:formatCode>0</c:formatCode>
                <c:ptCount val="10"/>
                <c:pt idx="0">
                  <c:v>18.547236990991408</c:v>
                </c:pt>
                <c:pt idx="1">
                  <c:v>27.27636339397171</c:v>
                </c:pt>
                <c:pt idx="2">
                  <c:v>11.661903789690601</c:v>
                </c:pt>
                <c:pt idx="3">
                  <c:v>30.331501776206203</c:v>
                </c:pt>
                <c:pt idx="4">
                  <c:v>47.074409183759279</c:v>
                </c:pt>
                <c:pt idx="5">
                  <c:v>11.661903789690601</c:v>
                </c:pt>
                <c:pt idx="6">
                  <c:v>25.612496949731394</c:v>
                </c:pt>
                <c:pt idx="7">
                  <c:v>54.691864111584273</c:v>
                </c:pt>
                <c:pt idx="8">
                  <c:v>19.390719429665317</c:v>
                </c:pt>
                <c:pt idx="9">
                  <c:v>59.373394715141558</c:v>
                </c:pt>
              </c:numCache>
            </c:numRef>
          </c:val>
          <c:extLst>
            <c:ext xmlns:c16="http://schemas.microsoft.com/office/drawing/2014/chart" uri="{C3380CC4-5D6E-409C-BE32-E72D297353CC}">
              <c16:uniqueId val="{00000000-F712-42F8-86B2-59B92DD13D6E}"/>
            </c:ext>
          </c:extLst>
        </c:ser>
        <c:dLbls>
          <c:dLblPos val="outEnd"/>
          <c:showLegendKey val="0"/>
          <c:showVal val="1"/>
          <c:showCatName val="0"/>
          <c:showSerName val="0"/>
          <c:showPercent val="0"/>
          <c:showBubbleSize val="0"/>
        </c:dLbls>
        <c:gapWidth val="219"/>
        <c:overlap val="-27"/>
        <c:axId val="967841487"/>
        <c:axId val="931756559"/>
      </c:barChart>
      <c:catAx>
        <c:axId val="96784148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931756559"/>
        <c:crosses val="autoZero"/>
        <c:auto val="1"/>
        <c:lblAlgn val="ctr"/>
        <c:lblOffset val="100"/>
        <c:noMultiLvlLbl val="0"/>
      </c:catAx>
      <c:valAx>
        <c:axId val="931756559"/>
        <c:scaling>
          <c:orientation val="minMax"/>
        </c:scaling>
        <c:delete val="1"/>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crossAx val="96784148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size">
        <cx:f>_xlchart.v1.2</cx:f>
      </cx:numDim>
    </cx:data>
  </cx:chartData>
  <cx:chart>
    <cx:title pos="t" align="ctr" overlay="0">
      <cx:tx>
        <cx:txData>
          <cx:v>Products Market Average Price</cx:v>
        </cx:txData>
      </cx:tx>
      <cx:txPr>
        <a:bodyPr spcFirstLastPara="1" vertOverflow="ellipsis" horzOverflow="overflow" wrap="square" lIns="0" tIns="0" rIns="0" bIns="0" anchor="ctr" anchorCtr="1"/>
        <a:lstStyle/>
        <a:p>
          <a:pPr algn="ctr" rtl="0">
            <a:defRPr sz="1400" b="0">
              <a:solidFill>
                <a:srgbClr val="50B47F"/>
              </a:solidFill>
              <a:latin typeface="Arial" panose="020B0604020202020204" pitchFamily="34" charset="0"/>
              <a:ea typeface="Arial" panose="020B0604020202020204" pitchFamily="34" charset="0"/>
              <a:cs typeface="Arial" panose="020B0604020202020204" pitchFamily="34" charset="0"/>
            </a:defRPr>
          </a:pPr>
          <a:r>
            <a:rPr lang="en-US" sz="1400" b="0" i="0" u="none" strike="noStrike" spc="0" normalizeH="0" baseline="0">
              <a:solidFill>
                <a:srgbClr val="50B47F"/>
              </a:solidFill>
              <a:latin typeface="Arial" panose="020B0604020202020204" pitchFamily="34" charset="0"/>
              <a:cs typeface="Arial" panose="020B0604020202020204" pitchFamily="34" charset="0"/>
            </a:rPr>
            <a:t>Products Market Average Price</a:t>
          </a:r>
        </a:p>
      </cx:txPr>
    </cx:title>
    <cx:plotArea>
      <cx:plotAreaRegion>
        <cx:series layoutId="treemap" uniqueId="{152101E9-9977-4FC4-A927-356AE057BD5F}" formatIdx="0">
          <cx:tx>
            <cx:txData>
              <cx:f>_xlchart.v1.1</cx:f>
              <cx:v> Average </cx:v>
            </cx:txData>
          </cx:tx>
          <cx:dataLabels pos="inEnd">
            <cx:numFmt formatCode="$#,##0" sourceLinked="0"/>
            <cx:txPr>
              <a:bodyPr spcFirstLastPara="1" vertOverflow="ellipsis" horzOverflow="overflow" wrap="square" lIns="38100" tIns="19050" rIns="38100" bIns="19050" anchor="ctr" anchorCtr="1">
                <a:spAutoFit/>
              </a:bodyPr>
              <a:lstStyle/>
              <a:p>
                <a:pPr algn="ctr" rtl="0">
                  <a:defRPr sz="900">
                    <a:latin typeface="Arial" panose="020B0604020202020204" pitchFamily="34" charset="0"/>
                    <a:ea typeface="Arial" panose="020B0604020202020204" pitchFamily="34" charset="0"/>
                    <a:cs typeface="Arial" panose="020B0604020202020204" pitchFamily="34" charset="0"/>
                  </a:defRPr>
                </a:pPr>
                <a:endParaRPr lang="en-US" sz="900" b="0" i="0" u="none" strike="noStrike" baseline="0">
                  <a:solidFill>
                    <a:sysClr val="windowText" lastClr="000000">
                      <a:lumMod val="75000"/>
                      <a:lumOff val="25000"/>
                    </a:sysClr>
                  </a:solidFill>
                  <a:latin typeface="Arial" panose="020B0604020202020204" pitchFamily="34" charset="0"/>
                  <a:cs typeface="Arial" panose="020B0604020202020204" pitchFamily="34" charset="0"/>
                </a:endParaRPr>
              </a:p>
            </cx:txPr>
            <cx:visibility seriesName="0" categoryName="1" value="1"/>
            <cx:separator>
</cx:separator>
          </cx:dataLabels>
          <cx:dataId val="0"/>
          <cx:layoutPr>
            <cx:parentLabelLayout val="overlapping"/>
          </cx:layoutPr>
        </cx:series>
      </cx:plotAreaRegion>
    </cx:plotArea>
  </cx:chart>
  <cx:spPr>
    <a:noFill/>
    <a:ln>
      <a:noFill/>
    </a:ln>
  </cx:spPr>
</cx:chartSpace>
</file>

<file path=xl/charts/colors1.xml><?xml version="1.0" encoding="utf-8"?>
<cs:colorStyle xmlns:cs="http://schemas.microsoft.com/office/drawing/2012/chartStyle" xmlns:a="http://schemas.openxmlformats.org/drawingml/2006/main" meth="withinLinearReversed" id="26">
  <a:schemeClr val="accent6"/>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414">
  <cs:axisTitle>
    <cs:lnRef idx="0"/>
    <cs:fillRef idx="0"/>
    <cs:effectRef idx="0"/>
    <cs:fontRef idx="major">
      <a:schemeClr val="dk1">
        <a:lumMod val="50000"/>
        <a:lumOff val="50000"/>
      </a:schemeClr>
    </cs:fontRef>
    <cs:spPr>
      <a:solidFill>
        <a:schemeClr val="bg1">
          <a:lumMod val="85000"/>
        </a:schemeClr>
      </a:solidFill>
      <a:ln w="19050">
        <a:solidFill>
          <a:schemeClr val="bg1"/>
        </a:solidFill>
      </a:ln>
    </cs:spPr>
    <cs:defRPr sz="900"/>
  </cs:axisTitle>
  <cs:categoryAxis>
    <cs:lnRef idx="0"/>
    <cs:fillRef idx="0"/>
    <cs:effectRef idx="0"/>
    <cs:fontRef idx="major">
      <a:schemeClr val="dk1">
        <a:lumMod val="50000"/>
        <a:lumOff val="50000"/>
      </a:schemeClr>
    </cs:fontRef>
    <cs:defRPr sz="900"/>
  </cs:categoryAxis>
  <cs:chartArea>
    <cs:lnRef idx="0"/>
    <cs:fillRef idx="0"/>
    <cs:effectRef idx="0"/>
    <cs:fontRef idx="minor">
      <a:schemeClr val="dk1"/>
    </cs:fontRef>
    <cs:spPr>
      <a:pattFill prst="dkDnDiag">
        <a:fgClr>
          <a:schemeClr val="lt1"/>
        </a:fgClr>
        <a:bgClr>
          <a:schemeClr val="dk1">
            <a:lumMod val="10000"/>
            <a:lumOff val="90000"/>
          </a:schemeClr>
        </a:bgClr>
      </a:pattFill>
      <a:ln w="9525" cap="flat" cmpd="sng" algn="ctr">
        <a:solidFill>
          <a:schemeClr val="dk1">
            <a:lumMod val="15000"/>
            <a:lumOff val="85000"/>
          </a:schemeClr>
        </a:solidFill>
        <a:round/>
      </a:ln>
    </cs:spPr>
    <cs:defRPr sz="900"/>
  </cs:chartArea>
  <cs:dataLabel>
    <cs:lnRef idx="0"/>
    <cs:fillRef idx="0"/>
    <cs:effectRef idx="0"/>
    <cs:fontRef idx="minor">
      <a:schemeClr val="dk1">
        <a:lumMod val="75000"/>
        <a:lumOff val="25000"/>
      </a:schemeClr>
    </cs:fontRef>
    <cs:defRPr sz="900"/>
    <cs:bodyPr lIns="38100" tIns="19050" rIns="38100" bIns="19050">
      <a:spAutoFit/>
    </cs:bodyPr>
  </cs:dataLabel>
  <cs:dataLabelCallout>
    <cs:lnRef idx="0"/>
    <cs:fillRef idx="0"/>
    <cs:effectRef idx="0"/>
    <cs:fontRef idx="major">
      <a:schemeClr val="dk1">
        <a:lumMod val="50000"/>
        <a:lumOff val="50000"/>
      </a:schemeClr>
    </cs:fontRef>
    <cs:spPr>
      <a:solidFill>
        <a:schemeClr val="lt1">
          <a:alpha val="75000"/>
        </a:schemeClr>
      </a:solidFill>
      <a:ln w="9525">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gradFill>
        <a:gsLst>
          <a:gs pos="100000">
            <a:schemeClr val="phClr">
              <a:lumMod val="60000"/>
              <a:lumOff val="40000"/>
            </a:schemeClr>
          </a:gs>
          <a:gs pos="0">
            <a:schemeClr val="phClr"/>
          </a:gs>
        </a:gsLst>
        <a:lin ang="5400000" scaled="0"/>
      </a:gradFill>
      <a:ln w="9525">
        <a:solidFill>
          <a:schemeClr val="lt1"/>
        </a:solidFill>
      </a:ln>
    </cs:spPr>
  </cs:dataPoint>
  <cs:dataPoint3D>
    <cs:lnRef idx="0"/>
    <cs:fillRef idx="0">
      <cs:styleClr val="auto"/>
    </cs:fillRef>
    <cs:effectRef idx="0"/>
    <cs:fontRef idx="minor">
      <a:schemeClr val="tx1"/>
    </cs:fontRef>
    <cs:spPr>
      <a:solidFill>
        <a:schemeClr val="phClr"/>
      </a:solidFill>
      <a:ln w="9525">
        <a:solidFill>
          <a:schemeClr val="lt1"/>
        </a:solidFill>
      </a:ln>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2857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solidFill>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lumOff val="10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50000"/>
        </a:schemeClr>
      </a:solidFill>
    </cs:spPr>
    <cs:defRPr sz="9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ajor">
      <a:schemeClr val="dk1">
        <a:lumMod val="50000"/>
        <a:lumOff val="50000"/>
      </a:schemeClr>
    </cs:fontRef>
    <cs:defRPr sz="900"/>
  </cs:seriesAxis>
  <cs:seriesLine>
    <cs:lnRef idx="0"/>
    <cs:fillRef idx="0"/>
    <cs:effectRef idx="0"/>
    <cs:fontRef idx="minor">
      <a:schemeClr val="dk1"/>
    </cs:fontRef>
    <cs:spPr>
      <a:ln w="9525" cap="flat">
        <a:solidFill>
          <a:schemeClr val="bg1">
            <a:lumMod val="50000"/>
          </a:schemeClr>
        </a:solidFill>
        <a:round/>
      </a:ln>
    </cs:spPr>
  </cs:seriesLine>
  <cs:title>
    <cs:lnRef idx="0"/>
    <cs:fillRef idx="0"/>
    <cs:effectRef idx="0"/>
    <cs:fontRef idx="major">
      <a:schemeClr val="dk1">
        <a:lumMod val="50000"/>
        <a:lumOff val="50000"/>
      </a:schemeClr>
    </cs:fontRef>
    <cs:defRPr sz="1600" b="1" spc="0" normalizeH="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ajor">
      <a:schemeClr val="dk1">
        <a:lumMod val="50000"/>
        <a:lumOff val="50000"/>
      </a:schemeClr>
    </cs:fontRef>
    <cs:defRPr sz="900"/>
  </cs:trendlineLabel>
  <cs:upBar>
    <cs:lnRef idx="0"/>
    <cs:fillRef idx="0"/>
    <cs:effectRef idx="0"/>
    <cs:fontRef idx="minor">
      <a:schemeClr val="dk1"/>
    </cs:fontRef>
    <cs:spPr>
      <a:solidFill>
        <a:schemeClr val="lt1"/>
      </a:solidFill>
    </cs:spPr>
  </cs:upBar>
  <cs:valueAxis>
    <cs:lnRef idx="0"/>
    <cs:fillRef idx="0"/>
    <cs:effectRef idx="0"/>
    <cs:fontRef idx="major">
      <a:schemeClr val="dk1">
        <a:lumMod val="50000"/>
        <a:lumOff val="50000"/>
      </a:schemeClr>
    </cs:fontRef>
    <cs:defRPr sz="9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GIF"/><Relationship Id="rId1" Type="http://schemas.openxmlformats.org/officeDocument/2006/relationships/image" Target="../media/image1.GIF"/></Relationships>
</file>

<file path=xl/drawings/_rels/drawing2.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chart" Target="../charts/chart1.xml"/><Relationship Id="rId1" Type="http://schemas.microsoft.com/office/2014/relationships/chartEx" Target="../charts/chartEx1.xml"/></Relationships>
</file>

<file path=xl/drawings/drawing1.xml><?xml version="1.0" encoding="utf-8"?>
<xdr:wsDr xmlns:xdr="http://schemas.openxmlformats.org/drawingml/2006/spreadsheetDrawing" xmlns:a="http://schemas.openxmlformats.org/drawingml/2006/main">
  <xdr:twoCellAnchor>
    <xdr:from>
      <xdr:col>3</xdr:col>
      <xdr:colOff>47624</xdr:colOff>
      <xdr:row>41</xdr:row>
      <xdr:rowOff>19050</xdr:rowOff>
    </xdr:from>
    <xdr:to>
      <xdr:col>14</xdr:col>
      <xdr:colOff>119062</xdr:colOff>
      <xdr:row>45</xdr:row>
      <xdr:rowOff>38100</xdr:rowOff>
    </xdr:to>
    <xdr:grpSp>
      <xdr:nvGrpSpPr>
        <xdr:cNvPr id="4" name="Group 3">
          <a:extLst>
            <a:ext uri="{FF2B5EF4-FFF2-40B4-BE49-F238E27FC236}">
              <a16:creationId xmlns:a16="http://schemas.microsoft.com/office/drawing/2014/main" id="{B00B6D46-0528-456E-8060-DE696BE3CB62}"/>
            </a:ext>
          </a:extLst>
        </xdr:cNvPr>
        <xdr:cNvGrpSpPr/>
      </xdr:nvGrpSpPr>
      <xdr:grpSpPr>
        <a:xfrm>
          <a:off x="5322093" y="6924675"/>
          <a:ext cx="6750844" cy="685800"/>
          <a:chOff x="4257674" y="8324850"/>
          <a:chExt cx="7353301" cy="666750"/>
        </a:xfrm>
      </xdr:grpSpPr>
      <xdr:pic>
        <xdr:nvPicPr>
          <xdr:cNvPr id="5" name="Picture 4">
            <a:extLst>
              <a:ext uri="{FF2B5EF4-FFF2-40B4-BE49-F238E27FC236}">
                <a16:creationId xmlns:a16="http://schemas.microsoft.com/office/drawing/2014/main" id="{564CE4F2-0F3D-4C77-A781-82C1D09764A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257674" y="8324850"/>
            <a:ext cx="7353301" cy="666750"/>
          </a:xfrm>
          <a:prstGeom prst="rect">
            <a:avLst/>
          </a:prstGeom>
        </xdr:spPr>
      </xdr:pic>
      <xdr:sp macro="" textlink="">
        <xdr:nvSpPr>
          <xdr:cNvPr id="6" name="Rectangle 5">
            <a:extLst>
              <a:ext uri="{FF2B5EF4-FFF2-40B4-BE49-F238E27FC236}">
                <a16:creationId xmlns:a16="http://schemas.microsoft.com/office/drawing/2014/main" id="{09DA1B9A-AEDC-4F9D-ACFE-71FAD7F91864}"/>
              </a:ext>
            </a:extLst>
          </xdr:cNvPr>
          <xdr:cNvSpPr/>
        </xdr:nvSpPr>
        <xdr:spPr>
          <a:xfrm>
            <a:off x="4333875" y="8572500"/>
            <a:ext cx="819150" cy="209550"/>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7" name="Rectangle 6">
            <a:extLst>
              <a:ext uri="{FF2B5EF4-FFF2-40B4-BE49-F238E27FC236}">
                <a16:creationId xmlns:a16="http://schemas.microsoft.com/office/drawing/2014/main" id="{F1F8DB44-F615-46CB-B5CE-C16AE4B90841}"/>
              </a:ext>
            </a:extLst>
          </xdr:cNvPr>
          <xdr:cNvSpPr/>
        </xdr:nvSpPr>
        <xdr:spPr>
          <a:xfrm>
            <a:off x="7248525" y="8429625"/>
            <a:ext cx="361950" cy="171450"/>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3</xdr:col>
      <xdr:colOff>66674</xdr:colOff>
      <xdr:row>49</xdr:row>
      <xdr:rowOff>95250</xdr:rowOff>
    </xdr:from>
    <xdr:to>
      <xdr:col>14</xdr:col>
      <xdr:colOff>138112</xdr:colOff>
      <xdr:row>53</xdr:row>
      <xdr:rowOff>114300</xdr:rowOff>
    </xdr:to>
    <xdr:grpSp>
      <xdr:nvGrpSpPr>
        <xdr:cNvPr id="8" name="Group 7">
          <a:extLst>
            <a:ext uri="{FF2B5EF4-FFF2-40B4-BE49-F238E27FC236}">
              <a16:creationId xmlns:a16="http://schemas.microsoft.com/office/drawing/2014/main" id="{07343933-CD39-46F4-8BF5-CFEF083D0A1F}"/>
            </a:ext>
          </a:extLst>
        </xdr:cNvPr>
        <xdr:cNvGrpSpPr/>
      </xdr:nvGrpSpPr>
      <xdr:grpSpPr>
        <a:xfrm>
          <a:off x="5341143" y="8334375"/>
          <a:ext cx="6750844" cy="685800"/>
          <a:chOff x="4276724" y="9696450"/>
          <a:chExt cx="7353301" cy="666750"/>
        </a:xfrm>
      </xdr:grpSpPr>
      <xdr:pic>
        <xdr:nvPicPr>
          <xdr:cNvPr id="9" name="Picture 8">
            <a:extLst>
              <a:ext uri="{FF2B5EF4-FFF2-40B4-BE49-F238E27FC236}">
                <a16:creationId xmlns:a16="http://schemas.microsoft.com/office/drawing/2014/main" id="{D060954E-B56E-462C-9C8A-739E85D6CD64}"/>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276724" y="9696450"/>
            <a:ext cx="7353301" cy="666750"/>
          </a:xfrm>
          <a:prstGeom prst="rect">
            <a:avLst/>
          </a:prstGeom>
        </xdr:spPr>
      </xdr:pic>
      <xdr:sp macro="" textlink="">
        <xdr:nvSpPr>
          <xdr:cNvPr id="10" name="Rectangle 9">
            <a:extLst>
              <a:ext uri="{FF2B5EF4-FFF2-40B4-BE49-F238E27FC236}">
                <a16:creationId xmlns:a16="http://schemas.microsoft.com/office/drawing/2014/main" id="{41CEDBFD-95DE-4FCB-87EA-E0FA31214339}"/>
              </a:ext>
            </a:extLst>
          </xdr:cNvPr>
          <xdr:cNvSpPr/>
        </xdr:nvSpPr>
        <xdr:spPr>
          <a:xfrm>
            <a:off x="9782174" y="9791700"/>
            <a:ext cx="923926" cy="180975"/>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3</xdr:col>
      <xdr:colOff>85725</xdr:colOff>
      <xdr:row>55</xdr:row>
      <xdr:rowOff>47625</xdr:rowOff>
    </xdr:from>
    <xdr:to>
      <xdr:col>14</xdr:col>
      <xdr:colOff>93619</xdr:colOff>
      <xdr:row>59</xdr:row>
      <xdr:rowOff>133350</xdr:rowOff>
    </xdr:to>
    <xdr:grpSp>
      <xdr:nvGrpSpPr>
        <xdr:cNvPr id="11" name="Group 10">
          <a:extLst>
            <a:ext uri="{FF2B5EF4-FFF2-40B4-BE49-F238E27FC236}">
              <a16:creationId xmlns:a16="http://schemas.microsoft.com/office/drawing/2014/main" id="{A4AA2AB4-08CC-45FD-BA2D-85D2F1EA4024}"/>
            </a:ext>
          </a:extLst>
        </xdr:cNvPr>
        <xdr:cNvGrpSpPr/>
      </xdr:nvGrpSpPr>
      <xdr:grpSpPr>
        <a:xfrm>
          <a:off x="5360194" y="9286875"/>
          <a:ext cx="6687300" cy="752475"/>
          <a:chOff x="4295775" y="10620375"/>
          <a:chExt cx="7334250" cy="733425"/>
        </a:xfrm>
      </xdr:grpSpPr>
      <xdr:pic>
        <xdr:nvPicPr>
          <xdr:cNvPr id="12" name="Picture 11">
            <a:extLst>
              <a:ext uri="{FF2B5EF4-FFF2-40B4-BE49-F238E27FC236}">
                <a16:creationId xmlns:a16="http://schemas.microsoft.com/office/drawing/2014/main" id="{02ED6E57-5280-4B8E-A395-9EA043DE29CC}"/>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b="8333"/>
          <a:stretch/>
        </xdr:blipFill>
        <xdr:spPr>
          <a:xfrm>
            <a:off x="4295775" y="10620375"/>
            <a:ext cx="7334250" cy="733425"/>
          </a:xfrm>
          <a:prstGeom prst="rect">
            <a:avLst/>
          </a:prstGeom>
        </xdr:spPr>
      </xdr:pic>
      <xdr:sp macro="" textlink="">
        <xdr:nvSpPr>
          <xdr:cNvPr id="13" name="Rectangle 12">
            <a:extLst>
              <a:ext uri="{FF2B5EF4-FFF2-40B4-BE49-F238E27FC236}">
                <a16:creationId xmlns:a16="http://schemas.microsoft.com/office/drawing/2014/main" id="{9CEAC642-3B80-4CED-A9A6-F67DEF477EDB}"/>
              </a:ext>
            </a:extLst>
          </xdr:cNvPr>
          <xdr:cNvSpPr/>
        </xdr:nvSpPr>
        <xdr:spPr>
          <a:xfrm>
            <a:off x="10848975" y="10648949"/>
            <a:ext cx="762000" cy="238125"/>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8</xdr:col>
      <xdr:colOff>19050</xdr:colOff>
      <xdr:row>0</xdr:row>
      <xdr:rowOff>209551</xdr:rowOff>
    </xdr:from>
    <xdr:to>
      <xdr:col>14</xdr:col>
      <xdr:colOff>0</xdr:colOff>
      <xdr:row>9</xdr:row>
      <xdr:rowOff>133351</xdr:rowOff>
    </xdr:to>
    <mc:AlternateContent xmlns:mc="http://schemas.openxmlformats.org/markup-compatibility/2006">
      <mc:Choice xmlns:cx1="http://schemas.microsoft.com/office/drawing/2015/9/8/chartex" Requires="cx1">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6829425" y="209551"/>
              <a:ext cx="6010275" cy="1447800"/>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0</xdr:col>
      <xdr:colOff>38100</xdr:colOff>
      <xdr:row>1</xdr:row>
      <xdr:rowOff>19051</xdr:rowOff>
    </xdr:from>
    <xdr:to>
      <xdr:col>7</xdr:col>
      <xdr:colOff>838200</xdr:colOff>
      <xdr:row>22</xdr:row>
      <xdr:rowOff>0</xdr:rowOff>
    </xdr:to>
    <xdr:graphicFrame macro="">
      <xdr:nvGraphicFramePr>
        <xdr:cNvPr id="4" name="Chart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781050</xdr:colOff>
      <xdr:row>9</xdr:row>
      <xdr:rowOff>109537</xdr:rowOff>
    </xdr:from>
    <xdr:to>
      <xdr:col>13</xdr:col>
      <xdr:colOff>838200</xdr:colOff>
      <xdr:row>21</xdr:row>
      <xdr:rowOff>123825</xdr:rowOff>
    </xdr:to>
    <xdr:graphicFrame macro="">
      <xdr:nvGraphicFramePr>
        <xdr:cNvPr id="5" name="Chart 4">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xdr:from>
          <xdr:col>1</xdr:col>
          <xdr:colOff>9525</xdr:colOff>
          <xdr:row>20</xdr:row>
          <xdr:rowOff>95250</xdr:rowOff>
        </xdr:from>
        <xdr:to>
          <xdr:col>1</xdr:col>
          <xdr:colOff>1066800</xdr:colOff>
          <xdr:row>21</xdr:row>
          <xdr:rowOff>142875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Full Screen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1085850</xdr:colOff>
          <xdr:row>20</xdr:row>
          <xdr:rowOff>95250</xdr:rowOff>
        </xdr:from>
        <xdr:to>
          <xdr:col>3</xdr:col>
          <xdr:colOff>9525</xdr:colOff>
          <xdr:row>21</xdr:row>
          <xdr:rowOff>142875</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Clear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C00000"/>
  </sheetPr>
  <dimension ref="A1:O67"/>
  <sheetViews>
    <sheetView showGridLines="0" showRowColHeaders="0" tabSelected="1" topLeftCell="A33" zoomScale="80" zoomScaleNormal="80" workbookViewId="0">
      <pane xSplit="3" topLeftCell="D1" activePane="topRight" state="frozen"/>
      <selection pane="topRight" activeCell="C61" sqref="C61:G68"/>
    </sheetView>
  </sheetViews>
  <sheetFormatPr defaultColWidth="9.140625" defaultRowHeight="12.75" x14ac:dyDescent="0.2"/>
  <cols>
    <col min="1" max="1" width="26.42578125" style="7" bestFit="1" customWidth="1"/>
    <col min="2" max="2" width="20.28515625" style="1" customWidth="1"/>
    <col min="3" max="3" width="32.28515625" style="1" bestFit="1" customWidth="1"/>
    <col min="4" max="16384" width="9.140625" style="1"/>
  </cols>
  <sheetData>
    <row r="1" spans="1:4" x14ac:dyDescent="0.2">
      <c r="A1" s="1"/>
    </row>
    <row r="2" spans="1:4" x14ac:dyDescent="0.2">
      <c r="A2" s="1"/>
    </row>
    <row r="3" spans="1:4" x14ac:dyDescent="0.2">
      <c r="A3" s="1"/>
    </row>
    <row r="4" spans="1:4" x14ac:dyDescent="0.2">
      <c r="A4" s="1"/>
    </row>
    <row r="5" spans="1:4" x14ac:dyDescent="0.2">
      <c r="B5" s="2"/>
      <c r="D5" s="2"/>
    </row>
    <row r="6" spans="1:4" x14ac:dyDescent="0.2">
      <c r="A6" s="8" t="s">
        <v>1</v>
      </c>
      <c r="B6" s="2" t="s">
        <v>0</v>
      </c>
      <c r="D6" s="2" t="s">
        <v>31</v>
      </c>
    </row>
    <row r="7" spans="1:4" x14ac:dyDescent="0.2">
      <c r="A7" s="10"/>
    </row>
    <row r="8" spans="1:4" ht="15" x14ac:dyDescent="0.25">
      <c r="A8" s="11" t="s">
        <v>31</v>
      </c>
      <c r="B8" s="2" t="s">
        <v>2</v>
      </c>
      <c r="D8" s="1" t="s">
        <v>45</v>
      </c>
    </row>
    <row r="9" spans="1:4" ht="15" x14ac:dyDescent="0.25">
      <c r="A9" s="11"/>
      <c r="B9" s="2"/>
      <c r="D9" s="1" t="s">
        <v>46</v>
      </c>
    </row>
    <row r="10" spans="1:4" ht="15" x14ac:dyDescent="0.25">
      <c r="A10" s="9"/>
    </row>
    <row r="11" spans="1:4" x14ac:dyDescent="0.2">
      <c r="B11" s="2" t="s">
        <v>12</v>
      </c>
      <c r="C11" s="4" t="s">
        <v>29</v>
      </c>
      <c r="D11" s="1" t="s">
        <v>47</v>
      </c>
    </row>
    <row r="12" spans="1:4" x14ac:dyDescent="0.2">
      <c r="B12" s="2"/>
      <c r="C12" s="4" t="s">
        <v>41</v>
      </c>
      <c r="D12" s="1" t="s">
        <v>48</v>
      </c>
    </row>
    <row r="13" spans="1:4" x14ac:dyDescent="0.2">
      <c r="C13" s="4"/>
      <c r="D13" s="1" t="s">
        <v>49</v>
      </c>
    </row>
    <row r="14" spans="1:4" x14ac:dyDescent="0.2">
      <c r="C14" s="4"/>
      <c r="D14" s="1" t="s">
        <v>50</v>
      </c>
    </row>
    <row r="15" spans="1:4" x14ac:dyDescent="0.2">
      <c r="C15" s="4" t="s">
        <v>42</v>
      </c>
      <c r="D15" s="1" t="s">
        <v>51</v>
      </c>
    </row>
    <row r="16" spans="1:4" x14ac:dyDescent="0.2">
      <c r="C16" s="4"/>
    </row>
    <row r="19" spans="2:4" x14ac:dyDescent="0.2">
      <c r="B19" s="3" t="s">
        <v>3</v>
      </c>
      <c r="D19" s="3">
        <v>1</v>
      </c>
    </row>
    <row r="21" spans="2:4" x14ac:dyDescent="0.2">
      <c r="B21" s="3" t="s">
        <v>4</v>
      </c>
      <c r="C21" s="5" t="s">
        <v>31</v>
      </c>
      <c r="D21" s="1" t="s">
        <v>52</v>
      </c>
    </row>
    <row r="22" spans="2:4" x14ac:dyDescent="0.2">
      <c r="C22" s="5"/>
    </row>
    <row r="23" spans="2:4" x14ac:dyDescent="0.2">
      <c r="C23" s="5"/>
    </row>
    <row r="25" spans="2:4" x14ac:dyDescent="0.2">
      <c r="B25" s="3" t="s">
        <v>5</v>
      </c>
      <c r="C25" s="6" t="s">
        <v>6</v>
      </c>
      <c r="D25" s="1" t="s">
        <v>53</v>
      </c>
    </row>
    <row r="26" spans="2:4" x14ac:dyDescent="0.2">
      <c r="C26" s="6" t="s">
        <v>7</v>
      </c>
      <c r="D26" s="1" t="s">
        <v>54</v>
      </c>
    </row>
    <row r="27" spans="2:4" x14ac:dyDescent="0.2">
      <c r="C27" s="6" t="s">
        <v>8</v>
      </c>
      <c r="D27" s="1" t="s">
        <v>55</v>
      </c>
    </row>
    <row r="28" spans="2:4" x14ac:dyDescent="0.2">
      <c r="C28" s="6" t="s">
        <v>9</v>
      </c>
      <c r="D28" s="1" t="s">
        <v>56</v>
      </c>
    </row>
    <row r="29" spans="2:4" x14ac:dyDescent="0.2">
      <c r="C29" s="6" t="s">
        <v>10</v>
      </c>
      <c r="D29" s="1" t="s">
        <v>57</v>
      </c>
    </row>
    <row r="30" spans="2:4" x14ac:dyDescent="0.2">
      <c r="C30" s="6" t="s">
        <v>11</v>
      </c>
      <c r="D30" s="1" t="s">
        <v>58</v>
      </c>
    </row>
    <row r="31" spans="2:4" x14ac:dyDescent="0.2">
      <c r="C31" s="6" t="s">
        <v>13</v>
      </c>
      <c r="D31" s="1" t="s">
        <v>59</v>
      </c>
    </row>
    <row r="32" spans="2:4" x14ac:dyDescent="0.2">
      <c r="C32" s="6" t="s">
        <v>14</v>
      </c>
      <c r="D32" s="1" t="s">
        <v>60</v>
      </c>
    </row>
    <row r="33" spans="2:15" x14ac:dyDescent="0.2">
      <c r="C33" s="6" t="s">
        <v>15</v>
      </c>
      <c r="D33" s="1" t="s">
        <v>61</v>
      </c>
    </row>
    <row r="34" spans="2:15" x14ac:dyDescent="0.2">
      <c r="C34" s="6" t="s">
        <v>16</v>
      </c>
      <c r="D34" s="1" t="s">
        <v>62</v>
      </c>
    </row>
    <row r="35" spans="2:15" x14ac:dyDescent="0.2">
      <c r="C35" s="6" t="s">
        <v>43</v>
      </c>
      <c r="D35" s="1" t="s">
        <v>63</v>
      </c>
    </row>
    <row r="36" spans="2:15" x14ac:dyDescent="0.2">
      <c r="C36" s="6" t="s">
        <v>44</v>
      </c>
      <c r="D36" s="1" t="s">
        <v>64</v>
      </c>
    </row>
    <row r="37" spans="2:15" x14ac:dyDescent="0.2">
      <c r="C37" s="6"/>
    </row>
    <row r="38" spans="2:15" x14ac:dyDescent="0.2">
      <c r="B38" s="2" t="s">
        <v>65</v>
      </c>
      <c r="C38" s="6"/>
      <c r="D38" s="55" t="s">
        <v>66</v>
      </c>
      <c r="H38" s="56"/>
      <c r="I38" s="56"/>
      <c r="J38" s="56"/>
      <c r="K38" s="56"/>
      <c r="L38" s="56"/>
      <c r="M38" s="56"/>
      <c r="N38" s="56"/>
      <c r="O38" s="56"/>
    </row>
    <row r="39" spans="2:15" x14ac:dyDescent="0.2">
      <c r="D39" s="55" t="s">
        <v>67</v>
      </c>
      <c r="H39" s="56"/>
      <c r="I39" s="56"/>
      <c r="J39" s="56"/>
      <c r="K39" s="56"/>
      <c r="L39" s="56"/>
      <c r="M39" s="56"/>
      <c r="N39" s="56"/>
      <c r="O39" s="56"/>
    </row>
    <row r="40" spans="2:15" x14ac:dyDescent="0.2">
      <c r="H40" s="56"/>
      <c r="I40" s="56"/>
      <c r="J40" s="56"/>
      <c r="K40" s="56"/>
      <c r="L40" s="56"/>
      <c r="M40" s="56"/>
      <c r="N40" s="56"/>
      <c r="O40" s="56"/>
    </row>
    <row r="41" spans="2:15" x14ac:dyDescent="0.2">
      <c r="C41" s="57" t="s">
        <v>68</v>
      </c>
      <c r="D41" s="1" t="s">
        <v>69</v>
      </c>
      <c r="H41" s="56"/>
      <c r="I41" s="56"/>
      <c r="J41" s="56"/>
      <c r="K41" s="56"/>
      <c r="L41" s="56"/>
      <c r="M41" s="56"/>
      <c r="N41" s="56"/>
      <c r="O41" s="56"/>
    </row>
    <row r="42" spans="2:15" x14ac:dyDescent="0.2">
      <c r="D42" s="6"/>
      <c r="H42" s="56"/>
      <c r="I42" s="56"/>
      <c r="J42" s="56"/>
      <c r="K42" s="56"/>
      <c r="L42" s="56"/>
      <c r="M42" s="56"/>
      <c r="N42" s="56"/>
      <c r="O42" s="56"/>
    </row>
    <row r="43" spans="2:15" x14ac:dyDescent="0.2">
      <c r="D43" s="6"/>
      <c r="H43" s="56"/>
      <c r="I43" s="56"/>
      <c r="J43" s="56"/>
      <c r="K43" s="56"/>
      <c r="L43" s="56"/>
      <c r="M43" s="56"/>
      <c r="N43" s="56"/>
      <c r="O43" s="56"/>
    </row>
    <row r="44" spans="2:15" x14ac:dyDescent="0.2">
      <c r="D44" s="6"/>
      <c r="H44" s="56"/>
      <c r="I44" s="56"/>
      <c r="J44" s="56"/>
      <c r="K44" s="56"/>
      <c r="L44" s="56"/>
      <c r="M44" s="56"/>
      <c r="N44" s="56"/>
      <c r="O44" s="56"/>
    </row>
    <row r="45" spans="2:15" x14ac:dyDescent="0.2">
      <c r="D45" s="6"/>
      <c r="H45" s="56"/>
      <c r="I45" s="56"/>
      <c r="J45" s="56"/>
      <c r="K45" s="56"/>
      <c r="L45" s="56"/>
      <c r="M45" s="56"/>
      <c r="N45" s="56"/>
      <c r="O45" s="56"/>
    </row>
    <row r="46" spans="2:15" x14ac:dyDescent="0.2">
      <c r="D46" s="6"/>
      <c r="H46" s="56"/>
      <c r="I46" s="56"/>
      <c r="J46" s="56"/>
      <c r="K46" s="56"/>
      <c r="L46" s="56"/>
      <c r="M46" s="56"/>
      <c r="N46" s="56"/>
      <c r="O46" s="56"/>
    </row>
    <row r="47" spans="2:15" x14ac:dyDescent="0.2">
      <c r="C47" s="57" t="s">
        <v>70</v>
      </c>
      <c r="D47" s="1" t="s">
        <v>71</v>
      </c>
      <c r="H47" s="56"/>
      <c r="I47" s="56"/>
      <c r="J47" s="56"/>
      <c r="K47" s="56"/>
      <c r="L47" s="56"/>
      <c r="M47" s="56"/>
      <c r="N47" s="56"/>
      <c r="O47" s="56"/>
    </row>
    <row r="48" spans="2:15" x14ac:dyDescent="0.2">
      <c r="H48" s="56"/>
      <c r="I48" s="56"/>
      <c r="J48" s="56"/>
      <c r="K48" s="56"/>
      <c r="L48" s="56"/>
      <c r="M48" s="56"/>
      <c r="N48" s="56"/>
      <c r="O48" s="56"/>
    </row>
    <row r="49" spans="3:15" x14ac:dyDescent="0.2">
      <c r="C49" s="57" t="s">
        <v>72</v>
      </c>
      <c r="D49" s="1" t="s">
        <v>73</v>
      </c>
      <c r="H49" s="56"/>
      <c r="I49" s="56"/>
      <c r="J49" s="56"/>
      <c r="K49" s="56"/>
      <c r="L49" s="56"/>
      <c r="M49" s="56"/>
      <c r="N49" s="56"/>
      <c r="O49" s="56"/>
    </row>
    <row r="50" spans="3:15" x14ac:dyDescent="0.2">
      <c r="H50" s="56"/>
      <c r="I50" s="56"/>
      <c r="J50" s="56"/>
      <c r="K50" s="56"/>
      <c r="L50" s="56"/>
      <c r="M50" s="56"/>
      <c r="N50" s="56"/>
      <c r="O50" s="56"/>
    </row>
    <row r="51" spans="3:15" x14ac:dyDescent="0.2">
      <c r="H51" s="56"/>
      <c r="I51" s="56"/>
      <c r="J51" s="56"/>
      <c r="K51" s="56"/>
      <c r="L51" s="56"/>
      <c r="M51" s="56"/>
      <c r="N51" s="56"/>
      <c r="O51" s="56"/>
    </row>
    <row r="52" spans="3:15" x14ac:dyDescent="0.2">
      <c r="H52" s="56"/>
      <c r="I52" s="56"/>
      <c r="J52" s="56"/>
      <c r="K52" s="56"/>
      <c r="L52" s="56"/>
      <c r="M52" s="56"/>
      <c r="N52" s="56"/>
      <c r="O52" s="56"/>
    </row>
    <row r="53" spans="3:15" x14ac:dyDescent="0.2">
      <c r="H53" s="56"/>
      <c r="I53" s="56"/>
      <c r="J53" s="56"/>
      <c r="K53" s="56"/>
      <c r="L53" s="56"/>
      <c r="M53" s="56"/>
      <c r="N53" s="56"/>
      <c r="O53" s="56"/>
    </row>
    <row r="54" spans="3:15" x14ac:dyDescent="0.2">
      <c r="H54" s="56"/>
      <c r="I54" s="56"/>
      <c r="J54" s="56"/>
      <c r="K54" s="56"/>
      <c r="L54" s="56"/>
      <c r="M54" s="56"/>
      <c r="N54" s="56"/>
      <c r="O54" s="56"/>
    </row>
    <row r="55" spans="3:15" x14ac:dyDescent="0.2">
      <c r="C55" s="57" t="s">
        <v>74</v>
      </c>
      <c r="D55" s="1" t="s">
        <v>75</v>
      </c>
      <c r="H55" s="56"/>
      <c r="I55" s="56"/>
      <c r="J55" s="56"/>
      <c r="K55" s="56"/>
      <c r="L55" s="56"/>
      <c r="M55" s="56"/>
      <c r="N55" s="56"/>
      <c r="O55" s="56"/>
    </row>
    <row r="56" spans="3:15" x14ac:dyDescent="0.2">
      <c r="H56" s="56"/>
      <c r="I56" s="56"/>
      <c r="J56" s="56"/>
      <c r="K56" s="56"/>
      <c r="L56" s="56"/>
      <c r="M56" s="56"/>
      <c r="N56" s="56"/>
      <c r="O56" s="56"/>
    </row>
    <row r="57" spans="3:15" x14ac:dyDescent="0.2">
      <c r="H57" s="56"/>
      <c r="I57" s="56"/>
      <c r="J57" s="56"/>
      <c r="K57" s="56"/>
      <c r="L57" s="56"/>
      <c r="M57" s="56"/>
      <c r="N57" s="56"/>
      <c r="O57" s="56"/>
    </row>
    <row r="58" spans="3:15" x14ac:dyDescent="0.2">
      <c r="H58" s="56"/>
      <c r="I58" s="56"/>
      <c r="J58" s="56"/>
      <c r="K58" s="56"/>
      <c r="L58" s="56"/>
      <c r="M58" s="56"/>
      <c r="N58" s="56"/>
      <c r="O58" s="56"/>
    </row>
    <row r="59" spans="3:15" x14ac:dyDescent="0.2">
      <c r="H59" s="56"/>
      <c r="I59" s="56"/>
      <c r="J59" s="56"/>
      <c r="K59" s="56"/>
      <c r="L59" s="56"/>
      <c r="M59" s="56"/>
      <c r="N59" s="56"/>
      <c r="O59" s="56"/>
    </row>
    <row r="60" spans="3:15" x14ac:dyDescent="0.2">
      <c r="H60" s="56"/>
      <c r="I60" s="56"/>
      <c r="J60" s="56"/>
      <c r="K60" s="56"/>
      <c r="L60" s="56"/>
      <c r="M60" s="56"/>
      <c r="N60" s="56"/>
      <c r="O60" s="56"/>
    </row>
    <row r="61" spans="3:15" x14ac:dyDescent="0.2">
      <c r="D61" s="55"/>
      <c r="H61" s="56"/>
      <c r="I61" s="56"/>
      <c r="J61" s="56"/>
      <c r="K61" s="56"/>
      <c r="L61" s="56"/>
      <c r="M61" s="56"/>
      <c r="N61" s="56"/>
      <c r="O61" s="56"/>
    </row>
    <row r="62" spans="3:15" x14ac:dyDescent="0.2">
      <c r="D62" s="56"/>
      <c r="H62" s="56"/>
      <c r="I62" s="56"/>
      <c r="J62" s="56"/>
      <c r="K62" s="56"/>
      <c r="L62" s="56"/>
      <c r="M62" s="56"/>
      <c r="N62" s="56"/>
      <c r="O62" s="56"/>
    </row>
    <row r="63" spans="3:15" ht="15" x14ac:dyDescent="0.25">
      <c r="D63" s="58"/>
      <c r="H63" s="56"/>
      <c r="I63" s="56"/>
      <c r="J63" s="56"/>
      <c r="K63" s="56"/>
      <c r="L63" s="56"/>
      <c r="M63" s="56"/>
      <c r="N63" s="56"/>
      <c r="O63" s="56"/>
    </row>
    <row r="64" spans="3:15" x14ac:dyDescent="0.2">
      <c r="D64" s="56"/>
      <c r="H64" s="56"/>
      <c r="I64" s="56"/>
      <c r="J64" s="56"/>
      <c r="K64" s="56"/>
      <c r="L64" s="56"/>
      <c r="M64" s="56"/>
      <c r="N64" s="56"/>
      <c r="O64" s="56"/>
    </row>
    <row r="65" spans="2:15" x14ac:dyDescent="0.2">
      <c r="D65" s="56"/>
      <c r="H65" s="56"/>
      <c r="I65" s="56"/>
      <c r="J65" s="56"/>
      <c r="K65" s="56"/>
      <c r="L65" s="56"/>
      <c r="M65" s="56"/>
      <c r="N65" s="56"/>
      <c r="O65" s="56"/>
    </row>
    <row r="66" spans="2:15" x14ac:dyDescent="0.2">
      <c r="D66" s="56"/>
      <c r="H66" s="56"/>
      <c r="I66" s="56"/>
      <c r="J66" s="56"/>
      <c r="K66" s="56"/>
      <c r="L66" s="56"/>
      <c r="M66" s="56"/>
      <c r="N66" s="56"/>
      <c r="O66" s="56"/>
    </row>
    <row r="67" spans="2:15" x14ac:dyDescent="0.2">
      <c r="B67" s="56"/>
      <c r="C67" s="56"/>
      <c r="D67" s="56"/>
      <c r="E67" s="56"/>
      <c r="F67" s="56"/>
      <c r="G67" s="56"/>
      <c r="H67" s="56"/>
      <c r="I67" s="56"/>
      <c r="J67" s="56"/>
      <c r="K67" s="56"/>
      <c r="L67" s="56"/>
      <c r="M67" s="56"/>
      <c r="N67" s="56"/>
      <c r="O67" s="56"/>
    </row>
  </sheetData>
  <conditionalFormatting sqref="D19">
    <cfRule type="iconSet" priority="1">
      <iconSet reverse="1">
        <cfvo type="percent" val="0"/>
        <cfvo type="num" val="1" gte="0"/>
        <cfvo type="num" val="2" gte="0"/>
      </iconSet>
    </cfRule>
  </conditionalFormatting>
  <hyperlinks>
    <hyperlink ref="A8" location="Competitor_Price_Analysis!A1" display="Competitor Price Analysis" xr:uid="{B354AF61-9A21-44B9-971A-72DF934841D0}"/>
  </hyperlink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C39EE6-5247-439D-8191-E2668B06B567}">
  <sheetPr codeName="Sheet2">
    <tabColor rgb="FF50B47F"/>
  </sheetPr>
  <dimension ref="A1:AF40"/>
  <sheetViews>
    <sheetView showGridLines="0" showRowColHeaders="0" topLeftCell="B1" zoomScaleNormal="100" workbookViewId="0">
      <selection activeCell="B27" sqref="B27"/>
    </sheetView>
  </sheetViews>
  <sheetFormatPr defaultColWidth="0" defaultRowHeight="0" customHeight="1" zeroHeight="1" x14ac:dyDescent="0.2"/>
  <cols>
    <col min="1" max="1" width="0.85546875" style="12" customWidth="1"/>
    <col min="2" max="2" width="18" style="1" customWidth="1"/>
    <col min="3" max="3" width="14.7109375" style="1" customWidth="1"/>
    <col min="4" max="9" width="13.7109375" style="1" customWidth="1"/>
    <col min="10" max="10" width="15.140625" style="1" customWidth="1"/>
    <col min="11" max="11" width="15.7109375" style="1" customWidth="1"/>
    <col min="12" max="12" width="13" style="1" customWidth="1"/>
    <col min="13" max="13" width="19.140625" style="1" customWidth="1"/>
    <col min="14" max="14" width="13.7109375" style="1" customWidth="1"/>
    <col min="15" max="18" width="13.7109375" style="1" hidden="1" customWidth="1"/>
    <col min="19" max="19" width="10" style="1" hidden="1" customWidth="1"/>
    <col min="20" max="26" width="9.140625" style="1" hidden="1" customWidth="1"/>
    <col min="27" max="32" width="1.140625" style="1" hidden="1" customWidth="1"/>
    <col min="33" max="16384" width="9.140625" style="1" hidden="1"/>
  </cols>
  <sheetData>
    <row r="1" spans="1:20" s="59" customFormat="1" ht="18" customHeight="1" thickBot="1" x14ac:dyDescent="0.25">
      <c r="A1" s="12"/>
      <c r="B1" s="59" t="s">
        <v>31</v>
      </c>
    </row>
    <row r="2" spans="1:20" s="12" customFormat="1" ht="12.75" customHeight="1" x14ac:dyDescent="0.2">
      <c r="B2" s="20"/>
      <c r="C2" s="20"/>
      <c r="D2" s="21"/>
      <c r="E2" s="21"/>
      <c r="F2" s="21"/>
      <c r="G2" s="21"/>
      <c r="H2" s="22"/>
      <c r="I2" s="22"/>
      <c r="K2" s="15"/>
      <c r="O2" s="16"/>
      <c r="P2" s="18"/>
    </row>
    <row r="3" spans="1:20" s="12" customFormat="1" ht="12.75" customHeight="1" x14ac:dyDescent="0.2">
      <c r="B3" s="23"/>
      <c r="C3" s="23"/>
      <c r="D3" s="21"/>
      <c r="E3" s="21"/>
      <c r="F3" s="21"/>
      <c r="G3" s="21"/>
      <c r="H3" s="22"/>
      <c r="I3" s="22"/>
      <c r="O3" s="18"/>
      <c r="P3" s="18"/>
      <c r="Q3" s="17"/>
    </row>
    <row r="4" spans="1:20" s="12" customFormat="1" ht="12.75" customHeight="1" x14ac:dyDescent="0.2">
      <c r="B4" s="23"/>
      <c r="C4" s="23"/>
      <c r="O4" s="18"/>
      <c r="P4" s="18"/>
      <c r="Q4" s="19"/>
    </row>
    <row r="5" spans="1:20" s="12" customFormat="1" ht="12.75" customHeight="1" x14ac:dyDescent="0.2"/>
    <row r="6" spans="1:20" s="12" customFormat="1" ht="12.75" customHeight="1" x14ac:dyDescent="0.2">
      <c r="O6" s="13"/>
      <c r="P6" s="13"/>
      <c r="Q6" s="13"/>
      <c r="R6" s="13"/>
      <c r="S6" s="13"/>
    </row>
    <row r="7" spans="1:20" s="12" customFormat="1" ht="12.75" customHeight="1" x14ac:dyDescent="0.2">
      <c r="B7" s="23"/>
      <c r="C7" s="23"/>
      <c r="D7" s="21"/>
      <c r="E7" s="21"/>
      <c r="F7" s="21"/>
      <c r="G7" s="21"/>
      <c r="H7" s="24"/>
      <c r="I7" s="24"/>
      <c r="K7" s="14"/>
      <c r="L7" s="14"/>
      <c r="M7" s="14"/>
      <c r="N7" s="25"/>
      <c r="O7" s="13"/>
      <c r="P7" s="26"/>
      <c r="Q7" s="27"/>
      <c r="R7" s="28"/>
      <c r="S7" s="29"/>
      <c r="T7" s="14"/>
    </row>
    <row r="8" spans="1:20" s="12" customFormat="1" ht="12.75" customHeight="1" x14ac:dyDescent="0.2">
      <c r="B8" s="23"/>
      <c r="C8" s="23"/>
      <c r="K8" s="14"/>
      <c r="L8" s="14"/>
      <c r="M8" s="14"/>
      <c r="N8" s="25"/>
      <c r="O8" s="13"/>
      <c r="P8" s="26"/>
      <c r="Q8" s="27"/>
      <c r="R8" s="28"/>
      <c r="S8" s="29"/>
      <c r="T8" s="14"/>
    </row>
    <row r="9" spans="1:20" s="12" customFormat="1" ht="12.75" customHeight="1" x14ac:dyDescent="0.2">
      <c r="B9" s="23"/>
      <c r="C9" s="23"/>
      <c r="K9" s="14"/>
      <c r="L9" s="14"/>
      <c r="M9" s="14"/>
      <c r="N9" s="25"/>
      <c r="O9" s="13"/>
      <c r="P9" s="26"/>
      <c r="Q9" s="27"/>
      <c r="R9" s="28"/>
      <c r="S9" s="29"/>
      <c r="T9" s="14"/>
    </row>
    <row r="10" spans="1:20" s="12" customFormat="1" ht="12.75" customHeight="1" x14ac:dyDescent="0.2">
      <c r="B10" s="23"/>
      <c r="C10" s="23"/>
      <c r="D10" s="21"/>
      <c r="E10" s="21"/>
      <c r="F10" s="21"/>
      <c r="G10" s="21"/>
      <c r="H10" s="30"/>
      <c r="I10" s="30"/>
      <c r="K10" s="14"/>
      <c r="L10" s="14"/>
      <c r="M10" s="14"/>
      <c r="N10" s="25"/>
      <c r="O10" s="13"/>
      <c r="P10" s="26"/>
      <c r="Q10" s="27"/>
      <c r="R10" s="28"/>
      <c r="S10" s="29"/>
      <c r="T10" s="14"/>
    </row>
    <row r="11" spans="1:20" s="12" customFormat="1" ht="12.75" customHeight="1" x14ac:dyDescent="0.2">
      <c r="B11" s="23"/>
      <c r="C11" s="23"/>
      <c r="D11" s="21"/>
      <c r="E11" s="21"/>
      <c r="F11" s="21"/>
      <c r="G11" s="21"/>
      <c r="H11" s="30"/>
      <c r="I11" s="30"/>
      <c r="K11" s="14"/>
      <c r="L11" s="14"/>
      <c r="M11" s="14"/>
      <c r="N11" s="25"/>
      <c r="O11" s="13"/>
      <c r="P11" s="26"/>
      <c r="Q11" s="27"/>
      <c r="R11" s="28"/>
      <c r="S11" s="29"/>
      <c r="T11" s="14"/>
    </row>
    <row r="12" spans="1:20" s="12" customFormat="1" ht="12.75" customHeight="1" x14ac:dyDescent="0.2">
      <c r="B12" s="23"/>
      <c r="C12" s="23"/>
      <c r="K12" s="14"/>
      <c r="L12" s="14"/>
      <c r="M12" s="14"/>
      <c r="N12" s="25"/>
      <c r="O12" s="13"/>
      <c r="P12" s="26"/>
      <c r="Q12" s="27"/>
      <c r="R12" s="28"/>
      <c r="S12" s="29"/>
      <c r="T12" s="14"/>
    </row>
    <row r="13" spans="1:20" s="12" customFormat="1" ht="12.75" customHeight="1" x14ac:dyDescent="0.2"/>
    <row r="14" spans="1:20" s="12" customFormat="1" ht="12.75" customHeight="1" x14ac:dyDescent="0.2"/>
    <row r="15" spans="1:20" s="12" customFormat="1" ht="12.75" customHeight="1" x14ac:dyDescent="0.2"/>
    <row r="16" spans="1:20" s="12" customFormat="1" ht="12.75" customHeight="1" x14ac:dyDescent="0.2"/>
    <row r="17" spans="2:14" s="12" customFormat="1" ht="12.75" customHeight="1" x14ac:dyDescent="0.2"/>
    <row r="18" spans="2:14" s="12" customFormat="1" ht="12.75" customHeight="1" x14ac:dyDescent="0.2"/>
    <row r="19" spans="2:14" s="12" customFormat="1" ht="12.75" customHeight="1" x14ac:dyDescent="0.2"/>
    <row r="20" spans="2:14" s="12" customFormat="1" ht="12.75" customHeight="1" x14ac:dyDescent="0.2"/>
    <row r="21" spans="2:14" s="12" customFormat="1" ht="12.75" customHeight="1" x14ac:dyDescent="0.2"/>
    <row r="22" spans="2:14" s="12" customFormat="1" ht="12.75" customHeight="1" thickBot="1" x14ac:dyDescent="0.25"/>
    <row r="23" spans="2:14" ht="30.75" customHeight="1" x14ac:dyDescent="0.2">
      <c r="B23" s="50" t="s">
        <v>17</v>
      </c>
      <c r="C23" s="50" t="s">
        <v>18</v>
      </c>
      <c r="D23" s="31" t="s">
        <v>19</v>
      </c>
      <c r="E23" s="31" t="s">
        <v>20</v>
      </c>
      <c r="F23" s="31" t="s">
        <v>21</v>
      </c>
      <c r="G23" s="31" t="s">
        <v>22</v>
      </c>
      <c r="H23" s="31" t="s">
        <v>23</v>
      </c>
      <c r="I23" s="51" t="s">
        <v>29</v>
      </c>
      <c r="J23" s="51" t="s">
        <v>24</v>
      </c>
      <c r="K23" s="52" t="s">
        <v>25</v>
      </c>
      <c r="L23" s="52" t="s">
        <v>26</v>
      </c>
      <c r="M23" s="53" t="s">
        <v>28</v>
      </c>
      <c r="N23" s="54" t="s">
        <v>27</v>
      </c>
    </row>
    <row r="24" spans="2:14" ht="18" customHeight="1" x14ac:dyDescent="0.2">
      <c r="B24" s="44" t="s">
        <v>33</v>
      </c>
      <c r="C24" s="45">
        <v>500</v>
      </c>
      <c r="D24" s="45">
        <v>490</v>
      </c>
      <c r="E24" s="45">
        <v>480</v>
      </c>
      <c r="F24" s="45">
        <v>470</v>
      </c>
      <c r="G24" s="45">
        <v>510</v>
      </c>
      <c r="H24" s="46">
        <v>520</v>
      </c>
      <c r="I24" s="36" t="str">
        <f>IFERROR(INDEX($D$23:$H$23,MATCH(L24,D24:H24,0)),"")</f>
        <v>Brand C</v>
      </c>
      <c r="J24" s="39">
        <f>IFERROR(IF(OR(C24,L24)="","",C24-L24),"")</f>
        <v>30</v>
      </c>
      <c r="K24" s="34">
        <f>IFERROR(IF(COUNT(D24:H24)=0,"",MAX(D24:H24)),"")</f>
        <v>520</v>
      </c>
      <c r="L24" s="40">
        <f>IFERROR(IF(COUNT(D24:H24)=0,"",MIN(D24:H24)),"")</f>
        <v>470</v>
      </c>
      <c r="M24" s="42">
        <f>IFERROR(IF(COUNT(D24:H24)=0,"",_xlfn.STDEV.P(D24:H24)),"")</f>
        <v>18.547236990991408</v>
      </c>
      <c r="N24" s="32">
        <f>IFERROR(IF(COUNT(D24:H24)=0,"",AVERAGE(D24:H24)),"")</f>
        <v>494</v>
      </c>
    </row>
    <row r="25" spans="2:14" ht="18" customHeight="1" x14ac:dyDescent="0.2">
      <c r="B25" s="44" t="s">
        <v>34</v>
      </c>
      <c r="C25" s="45">
        <v>350</v>
      </c>
      <c r="D25" s="45">
        <v>370</v>
      </c>
      <c r="E25" s="45">
        <v>400</v>
      </c>
      <c r="F25" s="45">
        <v>340</v>
      </c>
      <c r="G25" s="45">
        <v>350</v>
      </c>
      <c r="H25" s="46">
        <v>410</v>
      </c>
      <c r="I25" s="37" t="str">
        <f t="shared" ref="I25:I33" si="0">IFERROR(INDEX($D$23:$H$23,MATCH(L25,D25:H25,0)),"")</f>
        <v>Brand C</v>
      </c>
      <c r="J25" s="40">
        <f t="shared" ref="J25:J33" si="1">IFERROR(IF(OR(C25,L25)="","",C25-L25),"")</f>
        <v>10</v>
      </c>
      <c r="K25" s="34">
        <f t="shared" ref="K25:K33" si="2">IFERROR(IF(COUNT(D25:H25)=0,"",MAX(D25:H25)),"")</f>
        <v>410</v>
      </c>
      <c r="L25" s="40">
        <f t="shared" ref="L25:L33" si="3">IFERROR(IF(COUNT(D25:H25)=0,"",MIN(D25:H25)),"")</f>
        <v>340</v>
      </c>
      <c r="M25" s="42">
        <f t="shared" ref="M25:M33" si="4">IFERROR(IF(COUNT(D25:H25)=0,"",_xlfn.STDEV.P(D25:H25)),"")</f>
        <v>27.27636339397171</v>
      </c>
      <c r="N25" s="32">
        <f t="shared" ref="N25:N33" si="5">IFERROR(IF(COUNT(D25:H25)=0,"",AVERAGE(D25:H25)),"")</f>
        <v>374</v>
      </c>
    </row>
    <row r="26" spans="2:14" ht="18" customHeight="1" x14ac:dyDescent="0.2">
      <c r="B26" s="44" t="s">
        <v>35</v>
      </c>
      <c r="C26" s="45">
        <v>630</v>
      </c>
      <c r="D26" s="45">
        <v>610</v>
      </c>
      <c r="E26" s="45">
        <v>630</v>
      </c>
      <c r="F26" s="45">
        <v>620</v>
      </c>
      <c r="G26" s="45">
        <v>630</v>
      </c>
      <c r="H26" s="46">
        <v>600</v>
      </c>
      <c r="I26" s="37" t="str">
        <f t="shared" si="0"/>
        <v>Brand E</v>
      </c>
      <c r="J26" s="40">
        <f t="shared" si="1"/>
        <v>30</v>
      </c>
      <c r="K26" s="34">
        <f t="shared" si="2"/>
        <v>630</v>
      </c>
      <c r="L26" s="40">
        <f t="shared" si="3"/>
        <v>600</v>
      </c>
      <c r="M26" s="42">
        <f t="shared" si="4"/>
        <v>11.661903789690601</v>
      </c>
      <c r="N26" s="32">
        <f t="shared" si="5"/>
        <v>618</v>
      </c>
    </row>
    <row r="27" spans="2:14" ht="18" customHeight="1" x14ac:dyDescent="0.2">
      <c r="B27" s="44" t="s">
        <v>36</v>
      </c>
      <c r="C27" s="45">
        <v>480</v>
      </c>
      <c r="D27" s="45">
        <v>450</v>
      </c>
      <c r="E27" s="45">
        <v>410</v>
      </c>
      <c r="F27" s="45">
        <v>460</v>
      </c>
      <c r="G27" s="45">
        <v>480</v>
      </c>
      <c r="H27" s="46">
        <v>400</v>
      </c>
      <c r="I27" s="37" t="str">
        <f t="shared" si="0"/>
        <v>Brand E</v>
      </c>
      <c r="J27" s="40">
        <f t="shared" si="1"/>
        <v>80</v>
      </c>
      <c r="K27" s="34">
        <f t="shared" si="2"/>
        <v>480</v>
      </c>
      <c r="L27" s="40">
        <f t="shared" si="3"/>
        <v>400</v>
      </c>
      <c r="M27" s="42">
        <f t="shared" si="4"/>
        <v>30.331501776206203</v>
      </c>
      <c r="N27" s="32">
        <f t="shared" si="5"/>
        <v>440</v>
      </c>
    </row>
    <row r="28" spans="2:14" ht="18" customHeight="1" x14ac:dyDescent="0.2">
      <c r="B28" s="44" t="s">
        <v>30</v>
      </c>
      <c r="C28" s="45">
        <v>600</v>
      </c>
      <c r="D28" s="45">
        <v>610</v>
      </c>
      <c r="E28" s="45">
        <v>650</v>
      </c>
      <c r="F28" s="45">
        <v>580</v>
      </c>
      <c r="G28" s="45">
        <v>560</v>
      </c>
      <c r="H28" s="46">
        <v>510</v>
      </c>
      <c r="I28" s="37" t="str">
        <f t="shared" si="0"/>
        <v>Brand E</v>
      </c>
      <c r="J28" s="40">
        <f t="shared" si="1"/>
        <v>90</v>
      </c>
      <c r="K28" s="34">
        <f t="shared" si="2"/>
        <v>650</v>
      </c>
      <c r="L28" s="40">
        <f t="shared" si="3"/>
        <v>510</v>
      </c>
      <c r="M28" s="42">
        <f t="shared" si="4"/>
        <v>47.074409183759279</v>
      </c>
      <c r="N28" s="32">
        <f t="shared" si="5"/>
        <v>582</v>
      </c>
    </row>
    <row r="29" spans="2:14" ht="18" customHeight="1" x14ac:dyDescent="0.2">
      <c r="B29" s="44" t="s">
        <v>37</v>
      </c>
      <c r="C29" s="45">
        <v>170</v>
      </c>
      <c r="D29" s="45">
        <v>160</v>
      </c>
      <c r="E29" s="45">
        <v>150</v>
      </c>
      <c r="F29" s="45">
        <v>180</v>
      </c>
      <c r="G29" s="45">
        <v>180</v>
      </c>
      <c r="H29" s="46">
        <v>170</v>
      </c>
      <c r="I29" s="37" t="str">
        <f t="shared" si="0"/>
        <v>Brand B</v>
      </c>
      <c r="J29" s="40">
        <f t="shared" si="1"/>
        <v>20</v>
      </c>
      <c r="K29" s="34">
        <f t="shared" si="2"/>
        <v>180</v>
      </c>
      <c r="L29" s="40">
        <f t="shared" si="3"/>
        <v>150</v>
      </c>
      <c r="M29" s="42">
        <f t="shared" si="4"/>
        <v>11.661903789690601</v>
      </c>
      <c r="N29" s="32">
        <f t="shared" si="5"/>
        <v>168</v>
      </c>
    </row>
    <row r="30" spans="2:14" ht="18" customHeight="1" x14ac:dyDescent="0.2">
      <c r="B30" s="44" t="s">
        <v>32</v>
      </c>
      <c r="C30" s="45">
        <v>700</v>
      </c>
      <c r="D30" s="45">
        <v>710</v>
      </c>
      <c r="E30" s="45">
        <v>700</v>
      </c>
      <c r="F30" s="45">
        <v>680</v>
      </c>
      <c r="G30" s="45">
        <v>640</v>
      </c>
      <c r="H30" s="46">
        <v>660</v>
      </c>
      <c r="I30" s="37" t="str">
        <f t="shared" si="0"/>
        <v>Brand D</v>
      </c>
      <c r="J30" s="40">
        <f t="shared" si="1"/>
        <v>60</v>
      </c>
      <c r="K30" s="34">
        <f t="shared" si="2"/>
        <v>710</v>
      </c>
      <c r="L30" s="40">
        <f t="shared" si="3"/>
        <v>640</v>
      </c>
      <c r="M30" s="42">
        <f t="shared" si="4"/>
        <v>25.612496949731394</v>
      </c>
      <c r="N30" s="32">
        <f t="shared" si="5"/>
        <v>678</v>
      </c>
    </row>
    <row r="31" spans="2:14" ht="18" customHeight="1" x14ac:dyDescent="0.2">
      <c r="B31" s="44" t="s">
        <v>38</v>
      </c>
      <c r="C31" s="45">
        <v>492</v>
      </c>
      <c r="D31" s="45">
        <v>365</v>
      </c>
      <c r="E31" s="45">
        <v>441</v>
      </c>
      <c r="F31" s="45">
        <v>370</v>
      </c>
      <c r="G31" s="45">
        <v>503</v>
      </c>
      <c r="H31" s="46">
        <v>471</v>
      </c>
      <c r="I31" s="37" t="str">
        <f t="shared" si="0"/>
        <v>Brand A</v>
      </c>
      <c r="J31" s="40">
        <f t="shared" si="1"/>
        <v>127</v>
      </c>
      <c r="K31" s="34">
        <f t="shared" si="2"/>
        <v>503</v>
      </c>
      <c r="L31" s="40">
        <f t="shared" si="3"/>
        <v>365</v>
      </c>
      <c r="M31" s="42">
        <f t="shared" si="4"/>
        <v>54.691864111584273</v>
      </c>
      <c r="N31" s="32">
        <f t="shared" si="5"/>
        <v>430</v>
      </c>
    </row>
    <row r="32" spans="2:14" ht="18" customHeight="1" x14ac:dyDescent="0.2">
      <c r="B32" s="44" t="s">
        <v>39</v>
      </c>
      <c r="C32" s="45">
        <v>200</v>
      </c>
      <c r="D32" s="45">
        <v>210</v>
      </c>
      <c r="E32" s="45">
        <v>220</v>
      </c>
      <c r="F32" s="45">
        <v>250</v>
      </c>
      <c r="G32" s="45">
        <v>220</v>
      </c>
      <c r="H32" s="46">
        <v>190</v>
      </c>
      <c r="I32" s="37" t="str">
        <f t="shared" si="0"/>
        <v>Brand E</v>
      </c>
      <c r="J32" s="40">
        <f t="shared" si="1"/>
        <v>10</v>
      </c>
      <c r="K32" s="34">
        <f t="shared" si="2"/>
        <v>250</v>
      </c>
      <c r="L32" s="40">
        <f t="shared" si="3"/>
        <v>190</v>
      </c>
      <c r="M32" s="42">
        <f t="shared" si="4"/>
        <v>19.390719429665317</v>
      </c>
      <c r="N32" s="32">
        <f t="shared" si="5"/>
        <v>218</v>
      </c>
    </row>
    <row r="33" spans="2:14" ht="18" customHeight="1" thickBot="1" x14ac:dyDescent="0.25">
      <c r="B33" s="47" t="s">
        <v>40</v>
      </c>
      <c r="C33" s="48">
        <v>516</v>
      </c>
      <c r="D33" s="48">
        <v>483</v>
      </c>
      <c r="E33" s="48">
        <v>413</v>
      </c>
      <c r="F33" s="48">
        <v>557</v>
      </c>
      <c r="G33" s="48">
        <v>582</v>
      </c>
      <c r="H33" s="49">
        <v>520</v>
      </c>
      <c r="I33" s="38" t="str">
        <f t="shared" si="0"/>
        <v>Brand B</v>
      </c>
      <c r="J33" s="41">
        <f t="shared" si="1"/>
        <v>103</v>
      </c>
      <c r="K33" s="35">
        <f t="shared" si="2"/>
        <v>582</v>
      </c>
      <c r="L33" s="41">
        <f t="shared" si="3"/>
        <v>413</v>
      </c>
      <c r="M33" s="43">
        <f t="shared" si="4"/>
        <v>59.373394715141558</v>
      </c>
      <c r="N33" s="33">
        <f t="shared" si="5"/>
        <v>511</v>
      </c>
    </row>
    <row r="34" spans="2:14" ht="2.25" customHeight="1" x14ac:dyDescent="0.2"/>
    <row r="35" spans="2:14" ht="12.75" hidden="1" customHeight="1" x14ac:dyDescent="0.2"/>
    <row r="36" spans="2:14" ht="12.75" hidden="1" customHeight="1" x14ac:dyDescent="0.2"/>
    <row r="37" spans="2:14" ht="12.75" hidden="1" customHeight="1" x14ac:dyDescent="0.2"/>
    <row r="38" spans="2:14" ht="12.75" hidden="1" customHeight="1" x14ac:dyDescent="0.2"/>
    <row r="39" spans="2:14" ht="12.75" hidden="1" customHeight="1" x14ac:dyDescent="0.2"/>
    <row r="40" spans="2:14" ht="12.75" hidden="1" customHeight="1" x14ac:dyDescent="0.2"/>
  </sheetData>
  <sheetProtection sheet="1" objects="1" scenarios="1" formatRows="0" selectLockedCells="1"/>
  <mergeCells count="1">
    <mergeCell ref="B1:XFD1"/>
  </mergeCells>
  <phoneticPr fontId="9" type="noConversion"/>
  <conditionalFormatting sqref="J24:J33">
    <cfRule type="cellIs" dxfId="0" priority="1" operator="lessThan">
      <formula>0</formula>
    </cfRule>
  </conditionalFormatting>
  <dataValidations count="2">
    <dataValidation type="decimal" operator="lessThan" allowBlank="1" showInputMessage="1" showErrorMessage="1" errorTitle="Percentage error" error="Quality weighting should be less 100%" sqref="H2:J3" xr:uid="{C02EFF9B-F5F5-4E4A-B1E7-6061DE5347F7}">
      <formula1>1</formula1>
    </dataValidation>
    <dataValidation type="whole" operator="lessThanOrEqual" allowBlank="1" showInputMessage="1" showErrorMessage="1" errorTitle="Maximum Tenders" error="Maximum numbers of tenders is 8" sqref="H10:J11" xr:uid="{EB2A62A4-BA66-4D45-A29F-F0634753C955}">
      <formula1>8</formula1>
    </dataValidation>
  </dataValidations>
  <pageMargins left="0.7" right="0.7" top="0.75" bottom="0.75" header="0.3" footer="0.3"/>
  <pageSetup paperSize="9" orientation="portrait" r:id="rId1"/>
  <ignoredErrors>
    <ignoredError sqref="L24:L33 K24:K25 N24:N33 M24:M25 I24:I33 K26:K28 M26:M28 K29:K33 M29:M33" formulaRange="1"/>
  </ignoredErrors>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Full_screen">
                <anchor moveWithCells="1" sizeWithCells="1">
                  <from>
                    <xdr:col>1</xdr:col>
                    <xdr:colOff>9525</xdr:colOff>
                    <xdr:row>20</xdr:row>
                    <xdr:rowOff>95250</xdr:rowOff>
                  </from>
                  <to>
                    <xdr:col>1</xdr:col>
                    <xdr:colOff>1066800</xdr:colOff>
                    <xdr:row>21</xdr:row>
                    <xdr:rowOff>142875</xdr:rowOff>
                  </to>
                </anchor>
              </controlPr>
            </control>
          </mc:Choice>
        </mc:AlternateContent>
        <mc:AlternateContent xmlns:mc="http://schemas.openxmlformats.org/markup-compatibility/2006">
          <mc:Choice Requires="x14">
            <control shapeId="2050" r:id="rId5" name="Button 2">
              <controlPr defaultSize="0" print="0" autoFill="0" autoPict="0" macro="[0]!Clear_Price">
                <anchor moveWithCells="1" sizeWithCells="1">
                  <from>
                    <xdr:col>1</xdr:col>
                    <xdr:colOff>1085850</xdr:colOff>
                    <xdr:row>20</xdr:row>
                    <xdr:rowOff>95250</xdr:rowOff>
                  </from>
                  <to>
                    <xdr:col>3</xdr:col>
                    <xdr:colOff>9525</xdr:colOff>
                    <xdr:row>21</xdr:row>
                    <xdr:rowOff>142875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Introduction</vt:lpstr>
      <vt:lpstr>Competitor Price Analysis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kareem mostafa</dc:creator>
  <cp:lastModifiedBy>QSK1184</cp:lastModifiedBy>
  <cp:lastPrinted>2020-10-05T15:36:58Z</cp:lastPrinted>
  <dcterms:created xsi:type="dcterms:W3CDTF">2015-06-05T18:17:20Z</dcterms:created>
  <dcterms:modified xsi:type="dcterms:W3CDTF">2024-09-20T12:24:36Z</dcterms:modified>
</cp:coreProperties>
</file>