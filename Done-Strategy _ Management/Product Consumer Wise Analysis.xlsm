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79D1DF7C-3E8F-446B-8BD3-04FAAE7D4135}" xr6:coauthVersionLast="47" xr6:coauthVersionMax="47" xr10:uidLastSave="{00000000-0000-0000-0000-000000000000}"/>
  <bookViews>
    <workbookView xWindow="-120" yWindow="-120" windowWidth="29040" windowHeight="15840" xr2:uid="{00000000-000D-0000-FFFF-FFFF00000000}"/>
  </bookViews>
  <sheets>
    <sheet name="Introduction" sheetId="1" r:id="rId1"/>
    <sheet name="Dashboard" sheetId="4" r:id="rId2"/>
    <sheet name="Raw Data" sheetId="2" r:id="rId3"/>
    <sheet name="Database" sheetId="3" r:id="rId4"/>
    <sheet name="Pivot" sheetId="5" state="hidden" r:id="rId5"/>
    <sheet name="map sheet" sheetId="6" state="hidden" r:id="rId6"/>
  </sheets>
  <definedNames>
    <definedName name="Customer">OFFSET(Database!$K$5,0,0,COUNTA(Database!$K:$K)-2,1)</definedName>
    <definedName name="NativeTimeline_Month">#N/A</definedName>
    <definedName name="Product">OFFSET(Database!$B$5,0,0,COUNTA(Database!$B:$B)-2,1)</definedName>
    <definedName name="Regions">OFFSET('map sheet'!$E$4,0,0,COUNTA('map sheet'!$E:$E)-1,1)</definedName>
    <definedName name="Sector">OFFSET(Database!$H$5,0,0,COUNTA(Database!$H:$H)-2,1)</definedName>
    <definedName name="Slicer_Country">#N/A</definedName>
    <definedName name="Slicer_Customer">#N/A</definedName>
    <definedName name="Slicer_Product">#N/A</definedName>
    <definedName name="Slicer_Region">#N/A</definedName>
    <definedName name="Slicer_Sector">#N/A</definedName>
  </definedNames>
  <calcPr calcId="191029"/>
  <pivotCaches>
    <pivotCache cacheId="3"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4" l="1"/>
  <c r="H2" i="4"/>
  <c r="B100" i="2" l="1"/>
  <c r="C100" i="2"/>
  <c r="E100" i="2"/>
  <c r="F100" i="2"/>
  <c r="H100" i="2"/>
  <c r="I100" i="2"/>
  <c r="K100" i="2"/>
  <c r="L100" i="2" s="1"/>
  <c r="M100" i="2"/>
  <c r="N100" i="2" s="1"/>
  <c r="O100" i="2" s="1"/>
  <c r="P100" i="2" s="1"/>
  <c r="F5" i="6"/>
  <c r="F6" i="6"/>
  <c r="F7" i="6"/>
  <c r="F8" i="6"/>
  <c r="F9" i="6"/>
  <c r="F10" i="6"/>
  <c r="F11" i="6"/>
  <c r="F12" i="6"/>
  <c r="F13" i="6"/>
  <c r="F14" i="6"/>
  <c r="F15" i="6"/>
  <c r="F16" i="6"/>
  <c r="F17" i="6"/>
  <c r="F4" i="6"/>
  <c r="B99" i="2" l="1"/>
  <c r="C99" i="2"/>
  <c r="E99" i="2"/>
  <c r="F99" i="2"/>
  <c r="H99" i="2"/>
  <c r="I99" i="2"/>
  <c r="K99" i="2"/>
  <c r="L99" i="2" s="1"/>
  <c r="M99" i="2"/>
  <c r="N99" i="2" s="1"/>
  <c r="M2" i="4"/>
  <c r="S2" i="4"/>
  <c r="O2" i="4"/>
  <c r="Q2" i="4"/>
  <c r="O99" i="2" l="1"/>
  <c r="P99" i="2" s="1"/>
  <c r="F2" i="4"/>
  <c r="D2" i="4"/>
  <c r="I12" i="2" l="1"/>
  <c r="I20" i="2"/>
  <c r="I28" i="2"/>
  <c r="I36" i="2"/>
  <c r="I44" i="2"/>
  <c r="I52" i="2"/>
  <c r="I60" i="2"/>
  <c r="I68" i="2"/>
  <c r="I76" i="2"/>
  <c r="I84" i="2"/>
  <c r="I92" i="2"/>
  <c r="M6" i="2"/>
  <c r="N6" i="2" s="1"/>
  <c r="F8" i="2"/>
  <c r="K9" i="2"/>
  <c r="L9" i="2" s="1"/>
  <c r="E10" i="2"/>
  <c r="E11" i="2"/>
  <c r="E12" i="2"/>
  <c r="E14" i="2"/>
  <c r="F16" i="2"/>
  <c r="K17" i="2"/>
  <c r="L17" i="2" s="1"/>
  <c r="F18" i="2"/>
  <c r="E19" i="2"/>
  <c r="E20" i="2"/>
  <c r="E22" i="2"/>
  <c r="K24" i="2"/>
  <c r="L24" i="2" s="1"/>
  <c r="E25" i="2"/>
  <c r="K26" i="2"/>
  <c r="L26" i="2" s="1"/>
  <c r="E27" i="2"/>
  <c r="M28" i="2"/>
  <c r="N28" i="2" s="1"/>
  <c r="F30" i="2"/>
  <c r="E32" i="2"/>
  <c r="E33" i="2"/>
  <c r="M34" i="2"/>
  <c r="N34" i="2" s="1"/>
  <c r="E35" i="2"/>
  <c r="M36" i="2"/>
  <c r="N36" i="2" s="1"/>
  <c r="E38" i="2"/>
  <c r="E40" i="2"/>
  <c r="K41" i="2"/>
  <c r="L41" i="2" s="1"/>
  <c r="E42" i="2"/>
  <c r="E43" i="2"/>
  <c r="M44" i="2"/>
  <c r="N44" i="2" s="1"/>
  <c r="F46" i="2"/>
  <c r="F48" i="2"/>
  <c r="M49" i="2"/>
  <c r="N49" i="2" s="1"/>
  <c r="F50" i="2"/>
  <c r="E51" i="2"/>
  <c r="M52" i="2"/>
  <c r="N52" i="2" s="1"/>
  <c r="E54" i="2"/>
  <c r="E56" i="2"/>
  <c r="K57" i="2"/>
  <c r="L57" i="2" s="1"/>
  <c r="K58" i="2"/>
  <c r="L58" i="2" s="1"/>
  <c r="F59" i="2"/>
  <c r="E60" i="2"/>
  <c r="M62" i="2"/>
  <c r="N62" i="2" s="1"/>
  <c r="F64" i="2"/>
  <c r="E65" i="2"/>
  <c r="M66" i="2"/>
  <c r="N66" i="2" s="1"/>
  <c r="E67" i="2"/>
  <c r="E68" i="2"/>
  <c r="F70" i="2"/>
  <c r="E72" i="2"/>
  <c r="E73" i="2"/>
  <c r="E74" i="2"/>
  <c r="E75" i="2"/>
  <c r="E76" i="2"/>
  <c r="K78" i="2"/>
  <c r="L78" i="2" s="1"/>
  <c r="K80" i="2"/>
  <c r="L80" i="2" s="1"/>
  <c r="F81" i="2"/>
  <c r="F82" i="2"/>
  <c r="E83" i="2"/>
  <c r="E84" i="2"/>
  <c r="F86" i="2"/>
  <c r="F88" i="2"/>
  <c r="K89" i="2"/>
  <c r="L89" i="2" s="1"/>
  <c r="K90" i="2"/>
  <c r="L90" i="2" s="1"/>
  <c r="E91" i="2"/>
  <c r="M92" i="2"/>
  <c r="N92" i="2" s="1"/>
  <c r="K94" i="2"/>
  <c r="L94" i="2" s="1"/>
  <c r="K96" i="2"/>
  <c r="L96" i="2" s="1"/>
  <c r="E97" i="2"/>
  <c r="K98" i="2"/>
  <c r="L98" i="2" s="1"/>
  <c r="F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E6" i="2"/>
  <c r="E7" i="2"/>
  <c r="E8" i="2"/>
  <c r="E9" i="2"/>
  <c r="E13" i="2"/>
  <c r="E15" i="2"/>
  <c r="E21" i="2"/>
  <c r="E23" i="2"/>
  <c r="E29" i="2"/>
  <c r="E31" i="2"/>
  <c r="E37" i="2"/>
  <c r="E39" i="2"/>
  <c r="E45" i="2"/>
  <c r="E47" i="2"/>
  <c r="E48" i="2"/>
  <c r="E53" i="2"/>
  <c r="E55" i="2"/>
  <c r="E61" i="2"/>
  <c r="E63" i="2"/>
  <c r="E69" i="2"/>
  <c r="E71" i="2"/>
  <c r="E77" i="2"/>
  <c r="E79" i="2"/>
  <c r="E85" i="2"/>
  <c r="E87" i="2"/>
  <c r="E88" i="2"/>
  <c r="E92" i="2"/>
  <c r="E93" i="2"/>
  <c r="E95" i="2"/>
  <c r="F7" i="2"/>
  <c r="F13" i="2"/>
  <c r="F15" i="2"/>
  <c r="F21" i="2"/>
  <c r="F23" i="2"/>
  <c r="F26" i="2"/>
  <c r="F29" i="2"/>
  <c r="F31" i="2"/>
  <c r="F37" i="2"/>
  <c r="F39" i="2"/>
  <c r="F45" i="2"/>
  <c r="F47" i="2"/>
  <c r="F53" i="2"/>
  <c r="F55" i="2"/>
  <c r="F58" i="2"/>
  <c r="F61" i="2"/>
  <c r="F63" i="2"/>
  <c r="F69" i="2"/>
  <c r="F71" i="2"/>
  <c r="F77" i="2"/>
  <c r="F79" i="2"/>
  <c r="F80" i="2"/>
  <c r="F85" i="2"/>
  <c r="F87" i="2"/>
  <c r="F93" i="2"/>
  <c r="F95" i="2"/>
  <c r="H6" i="2"/>
  <c r="H7" i="2"/>
  <c r="H8" i="2"/>
  <c r="H9" i="2"/>
  <c r="H10" i="2"/>
  <c r="H11" i="2"/>
  <c r="H13" i="2"/>
  <c r="H14" i="2"/>
  <c r="H15" i="2"/>
  <c r="H16" i="2"/>
  <c r="H17" i="2"/>
  <c r="H18" i="2"/>
  <c r="H19" i="2"/>
  <c r="H21" i="2"/>
  <c r="H22" i="2"/>
  <c r="H23" i="2"/>
  <c r="H24" i="2"/>
  <c r="H25" i="2"/>
  <c r="H26" i="2"/>
  <c r="H27" i="2"/>
  <c r="H29" i="2"/>
  <c r="H30" i="2"/>
  <c r="H31" i="2"/>
  <c r="H32" i="2"/>
  <c r="H33" i="2"/>
  <c r="H34" i="2"/>
  <c r="H35" i="2"/>
  <c r="H37" i="2"/>
  <c r="H38" i="2"/>
  <c r="H39" i="2"/>
  <c r="H40" i="2"/>
  <c r="H41" i="2"/>
  <c r="H42" i="2"/>
  <c r="H43" i="2"/>
  <c r="H45" i="2"/>
  <c r="H46" i="2"/>
  <c r="H47" i="2"/>
  <c r="H48" i="2"/>
  <c r="H49" i="2"/>
  <c r="H50" i="2"/>
  <c r="H51" i="2"/>
  <c r="H53" i="2"/>
  <c r="H54" i="2"/>
  <c r="H55" i="2"/>
  <c r="H56" i="2"/>
  <c r="H57" i="2"/>
  <c r="H58" i="2"/>
  <c r="H59" i="2"/>
  <c r="H61" i="2"/>
  <c r="H62" i="2"/>
  <c r="H63" i="2"/>
  <c r="H64" i="2"/>
  <c r="H65" i="2"/>
  <c r="H66" i="2"/>
  <c r="H67" i="2"/>
  <c r="H69" i="2"/>
  <c r="H70" i="2"/>
  <c r="H71" i="2"/>
  <c r="H72" i="2"/>
  <c r="H73" i="2"/>
  <c r="H74" i="2"/>
  <c r="H75" i="2"/>
  <c r="H77" i="2"/>
  <c r="H78" i="2"/>
  <c r="H79" i="2"/>
  <c r="H80" i="2"/>
  <c r="H81" i="2"/>
  <c r="H82" i="2"/>
  <c r="H83" i="2"/>
  <c r="H85" i="2"/>
  <c r="H86" i="2"/>
  <c r="H87" i="2"/>
  <c r="H88" i="2"/>
  <c r="H89" i="2"/>
  <c r="H90" i="2"/>
  <c r="H91" i="2"/>
  <c r="H93" i="2"/>
  <c r="H94" i="2"/>
  <c r="H95" i="2"/>
  <c r="H96" i="2"/>
  <c r="H97" i="2"/>
  <c r="H98" i="2"/>
  <c r="I6" i="2"/>
  <c r="I7" i="2"/>
  <c r="I8" i="2"/>
  <c r="I9" i="2"/>
  <c r="I10" i="2"/>
  <c r="I11" i="2"/>
  <c r="I13" i="2"/>
  <c r="I14" i="2"/>
  <c r="I15" i="2"/>
  <c r="I16" i="2"/>
  <c r="I17" i="2"/>
  <c r="I18" i="2"/>
  <c r="I19" i="2"/>
  <c r="I21" i="2"/>
  <c r="I22" i="2"/>
  <c r="I23" i="2"/>
  <c r="I24" i="2"/>
  <c r="I25" i="2"/>
  <c r="I26" i="2"/>
  <c r="I27" i="2"/>
  <c r="I29" i="2"/>
  <c r="I30" i="2"/>
  <c r="I31" i="2"/>
  <c r="I32" i="2"/>
  <c r="I33" i="2"/>
  <c r="I34" i="2"/>
  <c r="I35" i="2"/>
  <c r="I37" i="2"/>
  <c r="I38" i="2"/>
  <c r="I39" i="2"/>
  <c r="I40" i="2"/>
  <c r="I41" i="2"/>
  <c r="I42" i="2"/>
  <c r="I43" i="2"/>
  <c r="I45" i="2"/>
  <c r="I46" i="2"/>
  <c r="I47" i="2"/>
  <c r="I48" i="2"/>
  <c r="I49" i="2"/>
  <c r="I50" i="2"/>
  <c r="I51" i="2"/>
  <c r="I53" i="2"/>
  <c r="I54" i="2"/>
  <c r="I55" i="2"/>
  <c r="I56" i="2"/>
  <c r="I57" i="2"/>
  <c r="I58" i="2"/>
  <c r="I59" i="2"/>
  <c r="I61" i="2"/>
  <c r="I62" i="2"/>
  <c r="I63" i="2"/>
  <c r="I64" i="2"/>
  <c r="I65" i="2"/>
  <c r="I66" i="2"/>
  <c r="I67" i="2"/>
  <c r="I69" i="2"/>
  <c r="I70" i="2"/>
  <c r="I71" i="2"/>
  <c r="I72" i="2"/>
  <c r="I73" i="2"/>
  <c r="I74" i="2"/>
  <c r="I75" i="2"/>
  <c r="I77" i="2"/>
  <c r="I78" i="2"/>
  <c r="I79" i="2"/>
  <c r="I80" i="2"/>
  <c r="I81" i="2"/>
  <c r="I82" i="2"/>
  <c r="I83" i="2"/>
  <c r="I85" i="2"/>
  <c r="I86" i="2"/>
  <c r="I87" i="2"/>
  <c r="I88" i="2"/>
  <c r="I89" i="2"/>
  <c r="I90" i="2"/>
  <c r="I91" i="2"/>
  <c r="I93" i="2"/>
  <c r="I94" i="2"/>
  <c r="I95" i="2"/>
  <c r="I96" i="2"/>
  <c r="I97" i="2"/>
  <c r="I98" i="2"/>
  <c r="K7" i="2"/>
  <c r="L7" i="2" s="1"/>
  <c r="K8" i="2"/>
  <c r="L8" i="2" s="1"/>
  <c r="K13" i="2"/>
  <c r="L13" i="2" s="1"/>
  <c r="K15" i="2"/>
  <c r="L15" i="2" s="1"/>
  <c r="K21" i="2"/>
  <c r="L21" i="2" s="1"/>
  <c r="K23" i="2"/>
  <c r="L23" i="2" s="1"/>
  <c r="K29" i="2"/>
  <c r="L29" i="2" s="1"/>
  <c r="K31" i="2"/>
  <c r="L31" i="2" s="1"/>
  <c r="K34" i="2"/>
  <c r="L34" i="2" s="1"/>
  <c r="K37" i="2"/>
  <c r="L37" i="2" s="1"/>
  <c r="K39" i="2"/>
  <c r="L39" i="2" s="1"/>
  <c r="K40" i="2"/>
  <c r="L40" i="2" s="1"/>
  <c r="K45" i="2"/>
  <c r="L45" i="2" s="1"/>
  <c r="K47" i="2"/>
  <c r="L47" i="2" s="1"/>
  <c r="K48" i="2"/>
  <c r="L48" i="2" s="1"/>
  <c r="K53" i="2"/>
  <c r="L53" i="2" s="1"/>
  <c r="K55" i="2"/>
  <c r="L55" i="2" s="1"/>
  <c r="K61" i="2"/>
  <c r="L61" i="2" s="1"/>
  <c r="K63" i="2"/>
  <c r="L63" i="2" s="1"/>
  <c r="K66" i="2"/>
  <c r="L66" i="2" s="1"/>
  <c r="K69" i="2"/>
  <c r="L69" i="2" s="1"/>
  <c r="K70" i="2"/>
  <c r="L70" i="2" s="1"/>
  <c r="K71" i="2"/>
  <c r="L71" i="2" s="1"/>
  <c r="K72" i="2"/>
  <c r="L72" i="2" s="1"/>
  <c r="K77" i="2"/>
  <c r="L77" i="2" s="1"/>
  <c r="K79" i="2"/>
  <c r="L79" i="2" s="1"/>
  <c r="K85" i="2"/>
  <c r="L85" i="2" s="1"/>
  <c r="K86" i="2"/>
  <c r="L86" i="2" s="1"/>
  <c r="K87" i="2"/>
  <c r="L87" i="2" s="1"/>
  <c r="K93" i="2"/>
  <c r="L93" i="2" s="1"/>
  <c r="K95" i="2"/>
  <c r="L95" i="2" s="1"/>
  <c r="M7" i="2"/>
  <c r="N7" i="2" s="1"/>
  <c r="M8" i="2"/>
  <c r="N8" i="2" s="1"/>
  <c r="M13" i="2"/>
  <c r="N13" i="2" s="1"/>
  <c r="M14" i="2"/>
  <c r="N14" i="2" s="1"/>
  <c r="M15" i="2"/>
  <c r="N15" i="2" s="1"/>
  <c r="M16" i="2"/>
  <c r="N16" i="2" s="1"/>
  <c r="M21" i="2"/>
  <c r="N21" i="2" s="1"/>
  <c r="M22" i="2"/>
  <c r="N22" i="2" s="1"/>
  <c r="M23" i="2"/>
  <c r="N23" i="2" s="1"/>
  <c r="M29" i="2"/>
  <c r="N29" i="2" s="1"/>
  <c r="M30" i="2"/>
  <c r="N30" i="2" s="1"/>
  <c r="M31" i="2"/>
  <c r="N31" i="2" s="1"/>
  <c r="M32" i="2"/>
  <c r="N32" i="2" s="1"/>
  <c r="M37" i="2"/>
  <c r="N37" i="2" s="1"/>
  <c r="M38" i="2"/>
  <c r="N38" i="2" s="1"/>
  <c r="M39" i="2"/>
  <c r="N39" i="2" s="1"/>
  <c r="M40" i="2"/>
  <c r="N40" i="2" s="1"/>
  <c r="M42" i="2"/>
  <c r="N42" i="2" s="1"/>
  <c r="M45" i="2"/>
  <c r="N45" i="2" s="1"/>
  <c r="M46" i="2"/>
  <c r="N46" i="2" s="1"/>
  <c r="M47" i="2"/>
  <c r="N47" i="2" s="1"/>
  <c r="M53" i="2"/>
  <c r="N53" i="2" s="1"/>
  <c r="M54" i="2"/>
  <c r="N54" i="2" s="1"/>
  <c r="M55" i="2"/>
  <c r="N55" i="2" s="1"/>
  <c r="M56" i="2"/>
  <c r="N56" i="2" s="1"/>
  <c r="M61" i="2"/>
  <c r="N61" i="2" s="1"/>
  <c r="M63" i="2"/>
  <c r="N63" i="2" s="1"/>
  <c r="M69" i="2"/>
  <c r="N69" i="2" s="1"/>
  <c r="M70" i="2"/>
  <c r="N70" i="2" s="1"/>
  <c r="M71" i="2"/>
  <c r="N71" i="2" s="1"/>
  <c r="M72" i="2"/>
  <c r="N72" i="2" s="1"/>
  <c r="M74" i="2"/>
  <c r="N74" i="2" s="1"/>
  <c r="M77" i="2"/>
  <c r="N77" i="2" s="1"/>
  <c r="M78" i="2"/>
  <c r="N78" i="2" s="1"/>
  <c r="M79" i="2"/>
  <c r="N79" i="2" s="1"/>
  <c r="M85" i="2"/>
  <c r="N85" i="2" s="1"/>
  <c r="M87" i="2"/>
  <c r="N87" i="2" s="1"/>
  <c r="M88" i="2"/>
  <c r="N88" i="2" s="1"/>
  <c r="M93" i="2"/>
  <c r="N93" i="2" s="1"/>
  <c r="M94" i="2"/>
  <c r="N94" i="2" s="1"/>
  <c r="M95" i="2"/>
  <c r="N95" i="2" s="1"/>
  <c r="M96" i="2"/>
  <c r="N96" i="2" s="1"/>
  <c r="B5" i="2"/>
  <c r="C5" i="2"/>
  <c r="E5" i="2"/>
  <c r="H5" i="2"/>
  <c r="I5" i="2"/>
  <c r="K5" i="2"/>
  <c r="M5" i="2"/>
  <c r="B4" i="2"/>
  <c r="C4" i="2"/>
  <c r="E4" i="2"/>
  <c r="F4" i="2"/>
  <c r="H4" i="2"/>
  <c r="I4" i="2"/>
  <c r="K4" i="2"/>
  <c r="L4" i="2" s="1"/>
  <c r="M4" i="2"/>
  <c r="N4" i="2" s="1"/>
  <c r="I3" i="2"/>
  <c r="H3" i="2"/>
  <c r="M3" i="2"/>
  <c r="N3" i="2" s="1"/>
  <c r="K3" i="2"/>
  <c r="L3" i="2" s="1"/>
  <c r="F3" i="2"/>
  <c r="E3" i="2"/>
  <c r="E49" i="2" l="1"/>
  <c r="M97" i="2"/>
  <c r="N97" i="2" s="1"/>
  <c r="M80" i="2"/>
  <c r="N80" i="2" s="1"/>
  <c r="O80" i="2" s="1"/>
  <c r="P80" i="2" s="1"/>
  <c r="M24" i="2"/>
  <c r="N24" i="2" s="1"/>
  <c r="O24" i="2" s="1"/>
  <c r="P24" i="2" s="1"/>
  <c r="M9" i="2"/>
  <c r="N9" i="2" s="1"/>
  <c r="O9" i="2" s="1"/>
  <c r="P9" i="2" s="1"/>
  <c r="K88" i="2"/>
  <c r="L88" i="2" s="1"/>
  <c r="O88" i="2" s="1"/>
  <c r="P88" i="2" s="1"/>
  <c r="K56" i="2"/>
  <c r="L56" i="2" s="1"/>
  <c r="O56" i="2" s="1"/>
  <c r="P56" i="2" s="1"/>
  <c r="K16" i="2"/>
  <c r="L16" i="2" s="1"/>
  <c r="O16" i="2" s="1"/>
  <c r="P16" i="2" s="1"/>
  <c r="F41" i="2"/>
  <c r="F9" i="2"/>
  <c r="E64" i="2"/>
  <c r="E24" i="2"/>
  <c r="F96" i="2"/>
  <c r="F57" i="2"/>
  <c r="F40" i="2"/>
  <c r="F24" i="2"/>
  <c r="M64" i="2"/>
  <c r="N64" i="2" s="1"/>
  <c r="M48" i="2"/>
  <c r="N48" i="2" s="1"/>
  <c r="K32" i="2"/>
  <c r="L32" i="2" s="1"/>
  <c r="O32" i="2" s="1"/>
  <c r="P32" i="2" s="1"/>
  <c r="F72" i="2"/>
  <c r="F56" i="2"/>
  <c r="E80" i="2"/>
  <c r="E96" i="2"/>
  <c r="E16" i="2"/>
  <c r="K65" i="2"/>
  <c r="L65" i="2" s="1"/>
  <c r="F33" i="2"/>
  <c r="F17" i="2"/>
  <c r="M33" i="2"/>
  <c r="N33" i="2" s="1"/>
  <c r="M73" i="2"/>
  <c r="N73" i="2" s="1"/>
  <c r="M57" i="2"/>
  <c r="N57" i="2" s="1"/>
  <c r="K64" i="2"/>
  <c r="L64" i="2" s="1"/>
  <c r="F32" i="2"/>
  <c r="M86" i="2"/>
  <c r="N86" i="2" s="1"/>
  <c r="O86" i="2" s="1"/>
  <c r="P86" i="2" s="1"/>
  <c r="K62" i="2"/>
  <c r="L62" i="2" s="1"/>
  <c r="O62" i="2" s="1"/>
  <c r="P62" i="2" s="1"/>
  <c r="K46" i="2"/>
  <c r="L46" i="2" s="1"/>
  <c r="O46" i="2" s="1"/>
  <c r="P46" i="2" s="1"/>
  <c r="F54" i="2"/>
  <c r="F14" i="2"/>
  <c r="E94" i="2"/>
  <c r="K30" i="2"/>
  <c r="L30" i="2" s="1"/>
  <c r="O30" i="2" s="1"/>
  <c r="P30" i="2" s="1"/>
  <c r="K14" i="2"/>
  <c r="L14" i="2" s="1"/>
  <c r="O14" i="2" s="1"/>
  <c r="P14" i="2" s="1"/>
  <c r="H92" i="2"/>
  <c r="H84" i="2"/>
  <c r="H76" i="2"/>
  <c r="H68" i="2"/>
  <c r="H60" i="2"/>
  <c r="H52" i="2"/>
  <c r="H44" i="2"/>
  <c r="H36" i="2"/>
  <c r="H28" i="2"/>
  <c r="H20" i="2"/>
  <c r="H12" i="2"/>
  <c r="F38" i="2"/>
  <c r="E78" i="2"/>
  <c r="E62" i="2"/>
  <c r="F94" i="2"/>
  <c r="F78" i="2"/>
  <c r="F62" i="2"/>
  <c r="E46" i="2"/>
  <c r="E30" i="2"/>
  <c r="F22" i="2"/>
  <c r="K54" i="2"/>
  <c r="L54" i="2" s="1"/>
  <c r="O54" i="2" s="1"/>
  <c r="P54" i="2" s="1"/>
  <c r="K38" i="2"/>
  <c r="L38" i="2" s="1"/>
  <c r="O38" i="2" s="1"/>
  <c r="P38" i="2" s="1"/>
  <c r="K22" i="2"/>
  <c r="L22" i="2" s="1"/>
  <c r="O22" i="2" s="1"/>
  <c r="P22" i="2" s="1"/>
  <c r="K6" i="2"/>
  <c r="L6" i="2" s="1"/>
  <c r="O6" i="2" s="1"/>
  <c r="P6" i="2" s="1"/>
  <c r="F6" i="2"/>
  <c r="E86" i="2"/>
  <c r="E70" i="2"/>
  <c r="O85" i="2"/>
  <c r="P85" i="2" s="1"/>
  <c r="O31" i="2"/>
  <c r="P31" i="2" s="1"/>
  <c r="E18" i="2"/>
  <c r="M84" i="2"/>
  <c r="N84" i="2" s="1"/>
  <c r="M20" i="2"/>
  <c r="N20" i="2" s="1"/>
  <c r="K49" i="2"/>
  <c r="L49" i="2" s="1"/>
  <c r="O49" i="2" s="1"/>
  <c r="P49" i="2" s="1"/>
  <c r="K25" i="2"/>
  <c r="L25" i="2" s="1"/>
  <c r="O66" i="2"/>
  <c r="P66" i="2" s="1"/>
  <c r="O47" i="2"/>
  <c r="P47" i="2" s="1"/>
  <c r="E17" i="2"/>
  <c r="M17" i="2"/>
  <c r="N17" i="2" s="1"/>
  <c r="O17" i="2" s="1"/>
  <c r="P17" i="2" s="1"/>
  <c r="M89" i="2"/>
  <c r="N89" i="2" s="1"/>
  <c r="O89" i="2" s="1"/>
  <c r="P89" i="2" s="1"/>
  <c r="M65" i="2"/>
  <c r="N65" i="2" s="1"/>
  <c r="M41" i="2"/>
  <c r="N41" i="2" s="1"/>
  <c r="O41" i="2" s="1"/>
  <c r="P41" i="2" s="1"/>
  <c r="K33" i="2"/>
  <c r="L33" i="2" s="1"/>
  <c r="E82" i="2"/>
  <c r="E41" i="2"/>
  <c r="F90" i="2"/>
  <c r="F49" i="2"/>
  <c r="F25" i="2"/>
  <c r="E81" i="2"/>
  <c r="E28" i="2"/>
  <c r="M75" i="2"/>
  <c r="N75" i="2" s="1"/>
  <c r="M25" i="2"/>
  <c r="N25" i="2" s="1"/>
  <c r="K97" i="2"/>
  <c r="L97" i="2" s="1"/>
  <c r="O97" i="2" s="1"/>
  <c r="P97" i="2" s="1"/>
  <c r="F89" i="2"/>
  <c r="E50" i="2"/>
  <c r="M82" i="2"/>
  <c r="N82" i="2" s="1"/>
  <c r="K74" i="2"/>
  <c r="L74" i="2" s="1"/>
  <c r="O74" i="2" s="1"/>
  <c r="P74" i="2" s="1"/>
  <c r="E90" i="2"/>
  <c r="E58" i="2"/>
  <c r="M91" i="2"/>
  <c r="N91" i="2" s="1"/>
  <c r="M81" i="2"/>
  <c r="N81" i="2" s="1"/>
  <c r="M50" i="2"/>
  <c r="N50" i="2" s="1"/>
  <c r="M10" i="2"/>
  <c r="N10" i="2" s="1"/>
  <c r="O63" i="2"/>
  <c r="P63" i="2" s="1"/>
  <c r="K73" i="2"/>
  <c r="L73" i="2" s="1"/>
  <c r="K42" i="2"/>
  <c r="L42" i="2" s="1"/>
  <c r="O42" i="2" s="1"/>
  <c r="P42" i="2" s="1"/>
  <c r="K10" i="2"/>
  <c r="L10" i="2" s="1"/>
  <c r="F97" i="2"/>
  <c r="F66" i="2"/>
  <c r="F34" i="2"/>
  <c r="E98" i="2"/>
  <c r="E89" i="2"/>
  <c r="E57" i="2"/>
  <c r="E26" i="2"/>
  <c r="K43" i="2"/>
  <c r="L43" i="2" s="1"/>
  <c r="M90" i="2"/>
  <c r="N90" i="2" s="1"/>
  <c r="O90" i="2" s="1"/>
  <c r="P90" i="2" s="1"/>
  <c r="M18" i="2"/>
  <c r="N18" i="2" s="1"/>
  <c r="K82" i="2"/>
  <c r="L82" i="2" s="1"/>
  <c r="K50" i="2"/>
  <c r="L50" i="2" s="1"/>
  <c r="F75" i="2"/>
  <c r="F65" i="2"/>
  <c r="E66" i="2"/>
  <c r="E34" i="2"/>
  <c r="M11" i="2"/>
  <c r="N11" i="2" s="1"/>
  <c r="F98" i="2"/>
  <c r="M98" i="2"/>
  <c r="N98" i="2" s="1"/>
  <c r="O98" i="2" s="1"/>
  <c r="P98" i="2" s="1"/>
  <c r="M58" i="2"/>
  <c r="N58" i="2" s="1"/>
  <c r="O58" i="2" s="1"/>
  <c r="P58" i="2" s="1"/>
  <c r="M27" i="2"/>
  <c r="N27" i="2" s="1"/>
  <c r="K91" i="2"/>
  <c r="L91" i="2" s="1"/>
  <c r="K81" i="2"/>
  <c r="L81" i="2" s="1"/>
  <c r="K18" i="2"/>
  <c r="L18" i="2" s="1"/>
  <c r="F74" i="2"/>
  <c r="F42" i="2"/>
  <c r="F11" i="2"/>
  <c r="O57" i="2"/>
  <c r="P57" i="2" s="1"/>
  <c r="F73" i="2"/>
  <c r="F10" i="2"/>
  <c r="M26" i="2"/>
  <c r="N26" i="2" s="1"/>
  <c r="O26" i="2" s="1"/>
  <c r="P26" i="2" s="1"/>
  <c r="O95" i="2"/>
  <c r="P95" i="2" s="1"/>
  <c r="E36" i="2"/>
  <c r="M76" i="2"/>
  <c r="N76" i="2" s="1"/>
  <c r="M12" i="2"/>
  <c r="N12" i="2" s="1"/>
  <c r="E44" i="2"/>
  <c r="M68" i="2"/>
  <c r="N68" i="2" s="1"/>
  <c r="E52" i="2"/>
  <c r="M60" i="2"/>
  <c r="N60" i="2" s="1"/>
  <c r="O21" i="2"/>
  <c r="P21" i="2" s="1"/>
  <c r="O7" i="2"/>
  <c r="P7" i="2" s="1"/>
  <c r="K27" i="2"/>
  <c r="L27" i="2" s="1"/>
  <c r="M83" i="2"/>
  <c r="N83" i="2" s="1"/>
  <c r="M19" i="2"/>
  <c r="N19" i="2" s="1"/>
  <c r="K35" i="2"/>
  <c r="L35" i="2" s="1"/>
  <c r="F67" i="2"/>
  <c r="M35" i="2"/>
  <c r="N35" i="2" s="1"/>
  <c r="K51" i="2"/>
  <c r="L51" i="2" s="1"/>
  <c r="F83" i="2"/>
  <c r="F19" i="2"/>
  <c r="O53" i="2"/>
  <c r="P53" i="2" s="1"/>
  <c r="M43" i="2"/>
  <c r="N43" i="2" s="1"/>
  <c r="K59" i="2"/>
  <c r="L59" i="2" s="1"/>
  <c r="F91" i="2"/>
  <c r="F27" i="2"/>
  <c r="O34" i="2"/>
  <c r="P34" i="2" s="1"/>
  <c r="M51" i="2"/>
  <c r="N51" i="2" s="1"/>
  <c r="K67" i="2"/>
  <c r="L67" i="2" s="1"/>
  <c r="F35" i="2"/>
  <c r="M59" i="2"/>
  <c r="N59" i="2" s="1"/>
  <c r="K75" i="2"/>
  <c r="L75" i="2" s="1"/>
  <c r="K11" i="2"/>
  <c r="L11" i="2" s="1"/>
  <c r="F43" i="2"/>
  <c r="M67" i="2"/>
  <c r="N67" i="2" s="1"/>
  <c r="K83" i="2"/>
  <c r="L83" i="2" s="1"/>
  <c r="K19" i="2"/>
  <c r="L19" i="2" s="1"/>
  <c r="F51" i="2"/>
  <c r="E59" i="2"/>
  <c r="O23" i="2"/>
  <c r="P23" i="2" s="1"/>
  <c r="O87" i="2"/>
  <c r="P87" i="2" s="1"/>
  <c r="O15" i="2"/>
  <c r="P15" i="2" s="1"/>
  <c r="O39" i="2"/>
  <c r="P39" i="2" s="1"/>
  <c r="O93" i="2"/>
  <c r="P93" i="2" s="1"/>
  <c r="O69" i="2"/>
  <c r="P69" i="2" s="1"/>
  <c r="O79" i="2"/>
  <c r="P79" i="2" s="1"/>
  <c r="O55" i="2"/>
  <c r="P55" i="2" s="1"/>
  <c r="O94" i="2"/>
  <c r="P94" i="2" s="1"/>
  <c r="O8" i="2"/>
  <c r="P8" i="2" s="1"/>
  <c r="O78" i="2"/>
  <c r="P78" i="2" s="1"/>
  <c r="O71" i="2"/>
  <c r="P71" i="2" s="1"/>
  <c r="F92" i="2"/>
  <c r="F84" i="2"/>
  <c r="F76" i="2"/>
  <c r="F68" i="2"/>
  <c r="F60" i="2"/>
  <c r="F52" i="2"/>
  <c r="F44" i="2"/>
  <c r="F36" i="2"/>
  <c r="F28" i="2"/>
  <c r="F20" i="2"/>
  <c r="F12" i="2"/>
  <c r="K92" i="2"/>
  <c r="L92" i="2" s="1"/>
  <c r="O92" i="2" s="1"/>
  <c r="P92" i="2" s="1"/>
  <c r="K84" i="2"/>
  <c r="L84" i="2" s="1"/>
  <c r="K76" i="2"/>
  <c r="L76" i="2" s="1"/>
  <c r="K68" i="2"/>
  <c r="L68" i="2" s="1"/>
  <c r="K60" i="2"/>
  <c r="L60" i="2" s="1"/>
  <c r="K52" i="2"/>
  <c r="L52" i="2" s="1"/>
  <c r="O52" i="2" s="1"/>
  <c r="P52" i="2" s="1"/>
  <c r="K44" i="2"/>
  <c r="L44" i="2" s="1"/>
  <c r="O44" i="2" s="1"/>
  <c r="P44" i="2" s="1"/>
  <c r="K36" i="2"/>
  <c r="L36" i="2" s="1"/>
  <c r="O36" i="2" s="1"/>
  <c r="P36" i="2" s="1"/>
  <c r="K28" i="2"/>
  <c r="L28" i="2" s="1"/>
  <c r="O28" i="2" s="1"/>
  <c r="P28" i="2" s="1"/>
  <c r="K20" i="2"/>
  <c r="L20" i="2" s="1"/>
  <c r="K12" i="2"/>
  <c r="L12" i="2" s="1"/>
  <c r="O70" i="2"/>
  <c r="P70" i="2" s="1"/>
  <c r="O29" i="2"/>
  <c r="P29" i="2" s="1"/>
  <c r="O61" i="2"/>
  <c r="P61" i="2" s="1"/>
  <c r="O45" i="2"/>
  <c r="P45" i="2" s="1"/>
  <c r="O40" i="2"/>
  <c r="P40" i="2" s="1"/>
  <c r="N5" i="2"/>
  <c r="L5" i="2"/>
  <c r="O96" i="2"/>
  <c r="P96" i="2" s="1"/>
  <c r="O72" i="2"/>
  <c r="P72" i="2" s="1"/>
  <c r="O48" i="2"/>
  <c r="P48" i="2" s="1"/>
  <c r="O77" i="2"/>
  <c r="P77" i="2" s="1"/>
  <c r="O13" i="2"/>
  <c r="P13" i="2" s="1"/>
  <c r="O37" i="2"/>
  <c r="P37" i="2" s="1"/>
  <c r="O4" i="2"/>
  <c r="P4" i="2" s="1"/>
  <c r="O3" i="2"/>
  <c r="P3" i="2" s="1"/>
  <c r="C3" i="2"/>
  <c r="B3" i="2"/>
  <c r="O65" i="2" l="1"/>
  <c r="P65" i="2" s="1"/>
  <c r="O33" i="2"/>
  <c r="P33" i="2" s="1"/>
  <c r="O43" i="2"/>
  <c r="P43" i="2" s="1"/>
  <c r="O25" i="2"/>
  <c r="P25" i="2" s="1"/>
  <c r="O11" i="2"/>
  <c r="P11" i="2" s="1"/>
  <c r="O91" i="2"/>
  <c r="P91" i="2" s="1"/>
  <c r="O73" i="2"/>
  <c r="P73" i="2" s="1"/>
  <c r="O64" i="2"/>
  <c r="P64" i="2" s="1"/>
  <c r="O20" i="2"/>
  <c r="P20" i="2" s="1"/>
  <c r="O59" i="2"/>
  <c r="P59" i="2" s="1"/>
  <c r="O84" i="2"/>
  <c r="P84" i="2" s="1"/>
  <c r="O27" i="2"/>
  <c r="P27" i="2" s="1"/>
  <c r="O76" i="2"/>
  <c r="P76" i="2" s="1"/>
  <c r="O67" i="2"/>
  <c r="P67" i="2" s="1"/>
  <c r="O12" i="2"/>
  <c r="P12" i="2" s="1"/>
  <c r="O10" i="2"/>
  <c r="P10" i="2" s="1"/>
  <c r="O75" i="2"/>
  <c r="P75" i="2" s="1"/>
  <c r="O50" i="2"/>
  <c r="P50" i="2" s="1"/>
  <c r="O81" i="2"/>
  <c r="P81" i="2" s="1"/>
  <c r="O18" i="2"/>
  <c r="P18" i="2" s="1"/>
  <c r="O60" i="2"/>
  <c r="P60" i="2" s="1"/>
  <c r="O68" i="2"/>
  <c r="P68" i="2" s="1"/>
  <c r="O51" i="2"/>
  <c r="P51" i="2" s="1"/>
  <c r="O82" i="2"/>
  <c r="P82" i="2" s="1"/>
  <c r="O19" i="2"/>
  <c r="P19" i="2" s="1"/>
  <c r="O35" i="2"/>
  <c r="P35" i="2" s="1"/>
  <c r="O83" i="2"/>
  <c r="P83" i="2" s="1"/>
  <c r="O5" i="2"/>
  <c r="P5" i="2" s="1"/>
</calcChain>
</file>

<file path=xl/sharedStrings.xml><?xml version="1.0" encoding="utf-8"?>
<sst xmlns="http://schemas.openxmlformats.org/spreadsheetml/2006/main" count="515" uniqueCount="160">
  <si>
    <t>Title</t>
  </si>
  <si>
    <t>Content</t>
  </si>
  <si>
    <t>Customization difficulty (1-3)</t>
  </si>
  <si>
    <t>Explanation of sheets</t>
  </si>
  <si>
    <t>How to customize</t>
  </si>
  <si>
    <t>1)</t>
  </si>
  <si>
    <t>2)</t>
  </si>
  <si>
    <t>3)</t>
  </si>
  <si>
    <t>4)</t>
  </si>
  <si>
    <t>5)</t>
  </si>
  <si>
    <t>6)</t>
  </si>
  <si>
    <t>7)</t>
  </si>
  <si>
    <t>8)</t>
  </si>
  <si>
    <t>9)</t>
  </si>
  <si>
    <t>Date</t>
  </si>
  <si>
    <t>Product</t>
  </si>
  <si>
    <t>Customer</t>
  </si>
  <si>
    <t>Sector</t>
  </si>
  <si>
    <t>Revenue</t>
  </si>
  <si>
    <t>Profit</t>
  </si>
  <si>
    <t>Month</t>
  </si>
  <si>
    <t>Year</t>
  </si>
  <si>
    <t>Country</t>
  </si>
  <si>
    <t>R.O.I</t>
  </si>
  <si>
    <t>Item Cost</t>
  </si>
  <si>
    <t>Item Price</t>
  </si>
  <si>
    <t>Sales Qty.</t>
  </si>
  <si>
    <t>Total Cost</t>
  </si>
  <si>
    <t>Part Number</t>
  </si>
  <si>
    <t>Region</t>
  </si>
  <si>
    <t>ABC</t>
  </si>
  <si>
    <t>ACQ2004</t>
  </si>
  <si>
    <t>ACQ2005</t>
  </si>
  <si>
    <t>43LM55</t>
  </si>
  <si>
    <t>49UK63</t>
  </si>
  <si>
    <t>55UM73</t>
  </si>
  <si>
    <t>ACQ2009</t>
  </si>
  <si>
    <t>65US66</t>
  </si>
  <si>
    <t>ACQ2010</t>
  </si>
  <si>
    <t>MES4111</t>
  </si>
  <si>
    <t>FLDW244</t>
  </si>
  <si>
    <t>MES5014</t>
  </si>
  <si>
    <t>Television</t>
  </si>
  <si>
    <t>Washing Machine</t>
  </si>
  <si>
    <t>FLDBL123</t>
  </si>
  <si>
    <t>FLDQ260</t>
  </si>
  <si>
    <t>MES51214</t>
  </si>
  <si>
    <t>REF22145</t>
  </si>
  <si>
    <t>MAM1543</t>
  </si>
  <si>
    <t>Refrigerator</t>
  </si>
  <si>
    <t>REF23412</t>
  </si>
  <si>
    <t>MAM454</t>
  </si>
  <si>
    <t>AAA</t>
  </si>
  <si>
    <t>ADD</t>
  </si>
  <si>
    <t>BCC</t>
  </si>
  <si>
    <t>CDA</t>
  </si>
  <si>
    <t>Europe</t>
  </si>
  <si>
    <t>Africa</t>
  </si>
  <si>
    <t>Asia</t>
  </si>
  <si>
    <t>South America</t>
  </si>
  <si>
    <t>North America</t>
  </si>
  <si>
    <t>ACC</t>
  </si>
  <si>
    <t>DDD</t>
  </si>
  <si>
    <t>CCC</t>
  </si>
  <si>
    <t>France</t>
  </si>
  <si>
    <t>Egypt</t>
  </si>
  <si>
    <t>China</t>
  </si>
  <si>
    <t>Canada</t>
  </si>
  <si>
    <t>England</t>
  </si>
  <si>
    <t>BBB</t>
  </si>
  <si>
    <t>Brazil</t>
  </si>
  <si>
    <t>Finland</t>
  </si>
  <si>
    <t>Cameroon</t>
  </si>
  <si>
    <t>Middle East</t>
  </si>
  <si>
    <t>Ghana</t>
  </si>
  <si>
    <t>Row Labels</t>
  </si>
  <si>
    <t>Grand Total</t>
  </si>
  <si>
    <t>Product-Customer Dashboard</t>
  </si>
  <si>
    <t>Total Customers</t>
  </si>
  <si>
    <t>Count of Customer</t>
  </si>
  <si>
    <t>Total Products</t>
  </si>
  <si>
    <t>Count of Product</t>
  </si>
  <si>
    <t>Count of Region</t>
  </si>
  <si>
    <t>Supply Regions</t>
  </si>
  <si>
    <t>Sum of Revenue</t>
  </si>
  <si>
    <t>Total Revenue</t>
  </si>
  <si>
    <t>Count of Country</t>
  </si>
  <si>
    <t>Countries</t>
  </si>
  <si>
    <t>Total Sales</t>
  </si>
  <si>
    <t>Sum of Total Cost</t>
  </si>
  <si>
    <t>Sum of Sales Qty.</t>
  </si>
  <si>
    <t>Sum of Profit</t>
  </si>
  <si>
    <t>Total Profit</t>
  </si>
  <si>
    <t>EDA</t>
  </si>
  <si>
    <t>Korea</t>
  </si>
  <si>
    <t>Product details</t>
  </si>
  <si>
    <t>Customer details</t>
  </si>
  <si>
    <t>Sector custom List</t>
  </si>
  <si>
    <t>Accessories</t>
  </si>
  <si>
    <t>Air Conditions</t>
  </si>
  <si>
    <t>Australlia</t>
  </si>
  <si>
    <t>X</t>
  </si>
  <si>
    <t>Y</t>
  </si>
  <si>
    <t>CAD</t>
  </si>
  <si>
    <t>New Zealand</t>
  </si>
  <si>
    <t>Jan</t>
  </si>
  <si>
    <t>Feb</t>
  </si>
  <si>
    <t>Mar</t>
  </si>
  <si>
    <t>Apr</t>
  </si>
  <si>
    <t>Jun</t>
  </si>
  <si>
    <t>Jul</t>
  </si>
  <si>
    <t>Aug</t>
  </si>
  <si>
    <t>Sep</t>
  </si>
  <si>
    <t>Oct</t>
  </si>
  <si>
    <t>Nov</t>
  </si>
  <si>
    <t>Dec</t>
  </si>
  <si>
    <t>May</t>
  </si>
  <si>
    <t>Revenue Map</t>
  </si>
  <si>
    <t>Average of R.O.I</t>
  </si>
  <si>
    <t>Analyize Product-Customer Relationship through Sales quantity, Product segmentation, Profitability and Return On Investement</t>
  </si>
  <si>
    <t xml:space="preserve">Product </t>
  </si>
  <si>
    <t>Dashboard</t>
  </si>
  <si>
    <t>Raw Data</t>
  </si>
  <si>
    <t>Database</t>
  </si>
  <si>
    <t>A product is the item offered for sale.</t>
  </si>
  <si>
    <t>A customer is an individual or business that purchases another company's goods or services.</t>
  </si>
  <si>
    <t>Is an identifier of a particular part design used in a particular industry.</t>
  </si>
  <si>
    <t>Total cost to the organization of acquiring one unit.</t>
  </si>
  <si>
    <t>Is the record in which you can log the selling and buying rate of an item.</t>
  </si>
  <si>
    <t>Product Sector</t>
  </si>
  <si>
    <t>Is a group of related goods produced by the same company under the same brand.</t>
  </si>
  <si>
    <t>Is the income that a business has from its normal business activities, usually from the sale of goods and services to customers</t>
  </si>
  <si>
    <t>Is the revenue remaining after all costs are paid.</t>
  </si>
  <si>
    <t>"Return on investment" is a ratio between net profit and cost of investment . A high ROI means the investment's gains compare favourably to its cost.</t>
  </si>
  <si>
    <t>From this dashboard sheet you can review Product-Customer analysis and trends that help you in decision making</t>
  </si>
  <si>
    <t xml:space="preserve">Through this sheet you will register periodic Product-Customer sales data </t>
  </si>
  <si>
    <t>At this sheet you can establish organization database that reflect "Product details, Customer details"</t>
  </si>
  <si>
    <t xml:space="preserve">Start from database sheet record your organization standards for Product details, Customer details </t>
  </si>
  <si>
    <t xml:space="preserve">Update Sector list to be used in product details </t>
  </si>
  <si>
    <t>For each product row record related Part Number, Sector, Item Cost and Item Price</t>
  </si>
  <si>
    <t>For each customer row insert related Country and select Region</t>
  </si>
  <si>
    <t>Go to Raw Data sheet and start to register monthly or periodically sales data</t>
  </si>
  <si>
    <t>To add new entry just start to record data in last row cell and it will be automatically add new data register</t>
  </si>
  <si>
    <t>Record date of sales then select Product then Select Customer and finally add Sales Qty.</t>
  </si>
  <si>
    <t>Be carefull that raw data only reorded in cloumn of gray header black font "Date, Product, Customer, Sales Qty."</t>
  </si>
  <si>
    <t>Now database is established and raw data is stored and ready to be visualized</t>
  </si>
  <si>
    <t>10)</t>
  </si>
  <si>
    <t>From Dashboard sheet you can visualize all Product-Customer Analysis with dynamic slicers that can easily manipulate all required analysis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</si>
  <si>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</si>
  <si>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</si>
  <si>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</si>
  <si>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</si>
  <si>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t>Full Screen</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</si>
  <si>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</si>
  <si>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</si>
  <si>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</si>
  <si>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</si>
  <si>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</si>
  <si>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</si>
  <si>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Product Consumer Wise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</si>
</sst>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409]mmm\-yy;@"/>
    <numFmt numFmtId="167" formatCode="mmm"/>
    <numFmt numFmtId="168" formatCode="yyyy"/>
  </numFmts>
  <fonts count="22" x14ac:knownFonts="1">
    <font>
      <sz val="11"/>
      <color theme="1"/>
      <name val="Calibri"/>
      <family val="2"/>
      <scheme val="minor"/>
    </font>
    <font>
      <sz val="10"/>
      <color theme="1"/>
      <name val="Arial"/>
      <family val="2"/>
    </font>
    <font>
      <b/>
      <sz val="10"/>
      <color theme="1"/>
      <name val="Arial"/>
      <family val="2"/>
    </font>
    <font>
      <u/>
      <sz val="10"/>
      <color theme="1"/>
      <name val="Arial"/>
      <family val="2"/>
    </font>
    <font>
      <b/>
      <u/>
      <sz val="10"/>
      <color theme="1"/>
      <name val="Arial"/>
      <family val="2"/>
    </font>
    <font>
      <i/>
      <u/>
      <sz val="10"/>
      <color theme="1"/>
      <name val="Arial"/>
      <family val="2"/>
    </font>
    <font>
      <u/>
      <sz val="11"/>
      <color theme="10"/>
      <name val="Calibri"/>
      <family val="2"/>
      <scheme val="minor"/>
    </font>
    <font>
      <b/>
      <sz val="10"/>
      <color theme="0"/>
      <name val="Arial"/>
      <family val="2"/>
    </font>
    <font>
      <sz val="11"/>
      <color theme="0"/>
      <name val="Calibri"/>
      <family val="2"/>
      <scheme val="minor"/>
    </font>
    <font>
      <sz val="11"/>
      <color theme="1"/>
      <name val="Calibri"/>
      <family val="2"/>
      <scheme val="minor"/>
    </font>
    <font>
      <sz val="10"/>
      <color theme="0"/>
      <name val="Arial"/>
      <family val="2"/>
    </font>
    <font>
      <sz val="10"/>
      <name val="Arial"/>
      <family val="2"/>
    </font>
    <font>
      <sz val="14"/>
      <color theme="0"/>
      <name val="Arial"/>
      <family val="2"/>
    </font>
    <font>
      <sz val="20"/>
      <color rgb="FF50B47F"/>
      <name val="Arial"/>
      <family val="2"/>
    </font>
    <font>
      <sz val="36"/>
      <color rgb="FF8FCFAD"/>
      <name val="Arial"/>
      <family val="2"/>
    </font>
    <font>
      <sz val="12"/>
      <color rgb="FF50B47F"/>
      <name val="Arial"/>
      <family val="2"/>
    </font>
    <font>
      <b/>
      <sz val="16"/>
      <color rgb="FFA32319"/>
      <name val="Arial"/>
      <family val="2"/>
    </font>
    <font>
      <b/>
      <sz val="16"/>
      <color rgb="FFDAC108"/>
      <name val="Arial"/>
      <family val="2"/>
    </font>
    <font>
      <sz val="11"/>
      <color theme="1"/>
      <name val="Arial"/>
      <family val="2"/>
    </font>
    <font>
      <b/>
      <sz val="12"/>
      <color rgb="FF50B47F"/>
      <name val="Arial"/>
      <family val="2"/>
    </font>
    <font>
      <sz val="11"/>
      <color rgb="FF000000"/>
      <name val="Calibri"/>
      <family val="2"/>
    </font>
    <font>
      <u/>
      <sz val="11"/>
      <color theme="0"/>
      <name val="Calibri"/>
      <family val="2"/>
      <scheme val="minor"/>
    </font>
  </fonts>
  <fills count="5">
    <fill>
      <patternFill patternType="none"/>
    </fill>
    <fill>
      <patternFill patternType="gray125"/>
    </fill>
    <fill>
      <patternFill patternType="solid">
        <fgColor rgb="FF50B47F"/>
        <bgColor indexed="64"/>
      </patternFill>
    </fill>
    <fill>
      <patternFill patternType="solid">
        <fgColor theme="0" tint="-0.14999847407452621"/>
        <bgColor indexed="64"/>
      </patternFill>
    </fill>
    <fill>
      <patternFill patternType="solid">
        <fgColor theme="0" tint="-4.9989318521683403E-2"/>
        <bgColor indexed="64"/>
      </patternFill>
    </fill>
  </fills>
  <borders count="7">
    <border>
      <left/>
      <right/>
      <top/>
      <bottom/>
      <diagonal/>
    </border>
    <border>
      <left style="thin">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dashed">
        <color theme="0" tint="-0.34998626667073579"/>
      </left>
      <right style="thin">
        <color theme="0" tint="-0.34998626667073579"/>
      </right>
      <top style="dashed">
        <color theme="0" tint="-0.34998626667073579"/>
      </top>
      <bottom style="dashed">
        <color theme="0" tint="-0.34998626667073579"/>
      </bottom>
      <diagonal/>
    </border>
    <border>
      <left/>
      <right style="dashed">
        <color theme="0" tint="-0.34998626667073579"/>
      </right>
      <top style="dashed">
        <color theme="0" tint="-0.34998626667073579"/>
      </top>
      <bottom style="dashed">
        <color theme="0" tint="-0.34998626667073579"/>
      </bottom>
      <diagonal/>
    </border>
    <border>
      <left/>
      <right/>
      <top/>
      <bottom style="medium">
        <color theme="0" tint="-0.499984740745262"/>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0" borderId="0"/>
    <xf numFmtId="0" fontId="6"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 fillId="0" borderId="0"/>
  </cellStyleXfs>
  <cellXfs count="57">
    <xf numFmtId="0" fontId="0" fillId="0" borderId="0" xfId="0"/>
    <xf numFmtId="0" fontId="1" fillId="0" borderId="0" xfId="0" applyFont="1"/>
    <xf numFmtId="0" fontId="2" fillId="0" borderId="0" xfId="0" applyFont="1"/>
    <xf numFmtId="0" fontId="2" fillId="0" borderId="0" xfId="1" applyFont="1"/>
    <xf numFmtId="0" fontId="5" fillId="0" borderId="0" xfId="0" applyFont="1" applyAlignment="1">
      <alignment horizontal="right"/>
    </xf>
    <xf numFmtId="0" fontId="4" fillId="0" borderId="0" xfId="0" applyFont="1" applyAlignment="1">
      <alignment horizontal="right"/>
    </xf>
    <xf numFmtId="0" fontId="1" fillId="0" borderId="0" xfId="0" applyFont="1" applyAlignment="1">
      <alignment horizontal="right"/>
    </xf>
    <xf numFmtId="0" fontId="1" fillId="2" borderId="0" xfId="0" applyFont="1" applyFill="1"/>
    <xf numFmtId="0" fontId="3" fillId="2" borderId="0" xfId="0" applyFont="1" applyFill="1"/>
    <xf numFmtId="0" fontId="8" fillId="2" borderId="0" xfId="2" applyFont="1" applyFill="1"/>
    <xf numFmtId="165" fontId="1" fillId="0" borderId="0" xfId="3" applyNumberFormat="1" applyFont="1"/>
    <xf numFmtId="167" fontId="1" fillId="0" borderId="0" xfId="0" applyNumberFormat="1" applyFont="1"/>
    <xf numFmtId="168" fontId="1" fillId="0" borderId="0" xfId="0" applyNumberFormat="1" applyFont="1"/>
    <xf numFmtId="0" fontId="10" fillId="2" borderId="0" xfId="0" applyFont="1" applyFill="1" applyAlignment="1">
      <alignment horizontal="left" vertical="center"/>
    </xf>
    <xf numFmtId="9" fontId="1" fillId="0" borderId="0" xfId="4" applyFont="1"/>
    <xf numFmtId="166" fontId="1" fillId="0" borderId="0" xfId="0" applyNumberFormat="1" applyFont="1" applyProtection="1">
      <protection locked="0"/>
    </xf>
    <xf numFmtId="0" fontId="1" fillId="0" borderId="0" xfId="0" applyFont="1" applyProtection="1">
      <protection locked="0"/>
    </xf>
    <xf numFmtId="165" fontId="1" fillId="0" borderId="0" xfId="3" applyNumberFormat="1" applyFont="1" applyProtection="1">
      <protection locked="0"/>
    </xf>
    <xf numFmtId="0" fontId="11" fillId="3" borderId="0" xfId="0" applyFont="1" applyFill="1" applyAlignment="1" applyProtection="1">
      <alignment horizontal="left" vertical="center"/>
      <protection locked="0"/>
    </xf>
    <xf numFmtId="0" fontId="11" fillId="3" borderId="0" xfId="0" applyFont="1" applyFill="1" applyAlignment="1">
      <alignment horizontal="left" vertical="center"/>
    </xf>
    <xf numFmtId="0" fontId="0" fillId="0" borderId="0" xfId="0" pivotButton="1"/>
    <xf numFmtId="0" fontId="0" fillId="0" borderId="0" xfId="0" applyAlignment="1">
      <alignment horizontal="left"/>
    </xf>
    <xf numFmtId="165" fontId="0" fillId="0" borderId="0" xfId="0" applyNumberFormat="1"/>
    <xf numFmtId="165" fontId="13" fillId="4" borderId="5" xfId="3" applyNumberFormat="1" applyFont="1" applyFill="1" applyBorder="1" applyAlignment="1">
      <alignment vertical="center"/>
    </xf>
    <xf numFmtId="165" fontId="15" fillId="4" borderId="0" xfId="3" applyNumberFormat="1" applyFont="1" applyFill="1" applyBorder="1" applyAlignment="1">
      <alignment vertical="center"/>
    </xf>
    <xf numFmtId="165" fontId="1" fillId="0" borderId="0" xfId="0" applyNumberFormat="1" applyFont="1"/>
    <xf numFmtId="0" fontId="2" fillId="0" borderId="0" xfId="0" applyFont="1" applyAlignment="1">
      <alignment horizontal="center"/>
    </xf>
    <xf numFmtId="0" fontId="10" fillId="2" borderId="0" xfId="0" applyFont="1" applyFill="1"/>
    <xf numFmtId="0" fontId="1" fillId="0" borderId="1" xfId="0" applyFont="1" applyBorder="1"/>
    <xf numFmtId="0" fontId="1" fillId="0" borderId="4" xfId="0" applyFont="1" applyBorder="1"/>
    <xf numFmtId="0" fontId="1" fillId="0" borderId="2" xfId="0" applyFont="1" applyBorder="1"/>
    <xf numFmtId="0" fontId="1" fillId="0" borderId="3" xfId="0" applyFont="1" applyBorder="1"/>
    <xf numFmtId="0" fontId="8" fillId="2" borderId="6" xfId="0" applyFont="1" applyFill="1" applyBorder="1"/>
    <xf numFmtId="0" fontId="0" fillId="0" borderId="6" xfId="0" applyBorder="1"/>
    <xf numFmtId="165" fontId="0" fillId="0" borderId="6" xfId="3" applyNumberFormat="1" applyFont="1" applyBorder="1"/>
    <xf numFmtId="0" fontId="18" fillId="0" borderId="0" xfId="0" applyFont="1"/>
    <xf numFmtId="165" fontId="18" fillId="0" borderId="0" xfId="0" applyNumberFormat="1" applyFont="1"/>
    <xf numFmtId="9" fontId="0" fillId="0" borderId="0" xfId="0" applyNumberFormat="1"/>
    <xf numFmtId="0" fontId="19" fillId="4" borderId="0" xfId="0" applyFont="1" applyFill="1" applyAlignment="1">
      <alignment horizontal="center"/>
    </xf>
    <xf numFmtId="0" fontId="18" fillId="0" borderId="0" xfId="0" pivotButton="1" applyFont="1"/>
    <xf numFmtId="0" fontId="18" fillId="0" borderId="0" xfId="0" applyFont="1" applyAlignment="1">
      <alignment horizontal="left"/>
    </xf>
    <xf numFmtId="166" fontId="18" fillId="0" borderId="0" xfId="0" applyNumberFormat="1" applyFont="1" applyAlignment="1">
      <alignment horizontal="left"/>
    </xf>
    <xf numFmtId="0" fontId="21" fillId="2" borderId="0" xfId="2" applyFont="1" applyFill="1"/>
    <xf numFmtId="0" fontId="1" fillId="0" borderId="0" xfId="0" applyFont="1" applyAlignment="1">
      <alignment horizontal="left"/>
    </xf>
    <xf numFmtId="0" fontId="1" fillId="0" borderId="0" xfId="5"/>
    <xf numFmtId="0" fontId="2" fillId="0" borderId="0" xfId="0" applyFont="1" applyAlignment="1">
      <alignment horizontal="right"/>
    </xf>
    <xf numFmtId="0" fontId="6" fillId="0" borderId="0" xfId="2"/>
    <xf numFmtId="0" fontId="12" fillId="2" borderId="0" xfId="0" applyFont="1" applyFill="1" applyAlignment="1">
      <alignment horizontal="center" vertical="center" wrapText="1"/>
    </xf>
    <xf numFmtId="0" fontId="12" fillId="2" borderId="5" xfId="0" applyFont="1" applyFill="1" applyBorder="1" applyAlignment="1">
      <alignment horizontal="center" vertical="center" wrapText="1"/>
    </xf>
    <xf numFmtId="0" fontId="19" fillId="4" borderId="0" xfId="0" applyFont="1" applyFill="1" applyAlignment="1">
      <alignment horizontal="center"/>
    </xf>
    <xf numFmtId="0" fontId="14" fillId="4" borderId="0" xfId="0" applyFont="1" applyFill="1" applyAlignment="1">
      <alignment horizontal="right" vertical="center"/>
    </xf>
    <xf numFmtId="0" fontId="14" fillId="4" borderId="5" xfId="0" applyFont="1" applyFill="1" applyBorder="1" applyAlignment="1">
      <alignment horizontal="right" vertical="center"/>
    </xf>
    <xf numFmtId="0" fontId="7" fillId="2" borderId="0" xfId="0" applyFont="1" applyFill="1" applyAlignment="1">
      <alignment horizontal="center"/>
    </xf>
    <xf numFmtId="165" fontId="16" fillId="4" borderId="0" xfId="3" applyNumberFormat="1" applyFont="1" applyFill="1" applyBorder="1" applyAlignment="1">
      <alignment horizontal="center" vertical="center"/>
    </xf>
    <xf numFmtId="165" fontId="16" fillId="4" borderId="5" xfId="3" applyNumberFormat="1" applyFont="1" applyFill="1" applyBorder="1" applyAlignment="1">
      <alignment horizontal="center" vertical="center"/>
    </xf>
    <xf numFmtId="165" fontId="17" fillId="4" borderId="0" xfId="3" applyNumberFormat="1" applyFont="1" applyFill="1" applyBorder="1" applyAlignment="1">
      <alignment horizontal="center" vertical="center"/>
    </xf>
    <xf numFmtId="165" fontId="17" fillId="4" borderId="5" xfId="3" applyNumberFormat="1" applyFont="1" applyFill="1" applyBorder="1" applyAlignment="1">
      <alignment horizontal="center" vertical="center"/>
    </xf>
  </cellXfs>
  <cellStyles count="6">
    <cellStyle name="Comma" xfId="3" builtinId="3"/>
    <cellStyle name="Hyperlink" xfId="2" builtinId="8"/>
    <cellStyle name="Normal" xfId="0" builtinId="0"/>
    <cellStyle name="Normal 2" xfId="1" xr:uid="{4C4B56A4-5300-4763-9054-91E1974E06C1}"/>
    <cellStyle name="Normal 2 2" xfId="5" xr:uid="{ABEEA7AC-901C-49D2-9C31-A635EEB9145F}"/>
    <cellStyle name="Percent" xfId="4" builtinId="5"/>
  </cellStyles>
  <dxfs count="94">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numFmt numFmtId="165" formatCode="_(* #,##0_);_(* \(#,##0\);_(* &quot;-&quot;??_);_(@_)"/>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numFmt numFmtId="13" formatCode="0%"/>
    </dxf>
    <dxf>
      <numFmt numFmtId="13" formatCode="0%"/>
    </dxf>
    <dxf>
      <numFmt numFmtId="0" formatCode="General"/>
    </dxf>
    <dxf>
      <numFmt numFmtId="13" formatCode="0%"/>
    </dxf>
    <dxf>
      <numFmt numFmtId="13" formatCode="0%"/>
    </dxf>
    <dxf>
      <numFmt numFmtId="13" formatCode="0%"/>
    </dxf>
    <dxf>
      <numFmt numFmtId="13" formatCode="0%"/>
    </dxf>
    <dxf>
      <numFmt numFmtId="165" formatCode="_(* #,##0_);_(* \(#,##0\);_(* &quot;-&quot;??_);_(@_)"/>
    </dxf>
    <dxf>
      <numFmt numFmtId="165" formatCode="_(* #,##0_);_(* \(#,##0\);_(* &quot;-&quot;??_);_(@_)"/>
    </dxf>
    <dxf>
      <numFmt numFmtId="165" formatCode="_(* #,##0_);_(* \(#,##0\);_(* &quot;-&quot;??_);_(@_)"/>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numFmt numFmtId="165" formatCode="_(* #,##0_);_(* \(#,##0\);_(* &quot;-&quot;??_);_(@_)"/>
    </dxf>
    <dxf>
      <font>
        <name val="Arial"/>
        <scheme val="none"/>
      </font>
    </dxf>
    <dxf>
      <font>
        <name val="Arial"/>
        <scheme val="none"/>
      </font>
    </dxf>
    <dxf>
      <font>
        <name val="Arial"/>
        <scheme val="none"/>
      </font>
    </dxf>
    <dxf>
      <font>
        <name val="Arial"/>
        <scheme val="none"/>
      </font>
    </dxf>
    <dxf>
      <font>
        <name val="Arial"/>
        <scheme val="none"/>
      </font>
    </dxf>
    <dxf>
      <font>
        <b val="0"/>
        <i val="0"/>
        <strike val="0"/>
        <condense val="0"/>
        <extend val="0"/>
        <outline val="0"/>
        <shadow val="0"/>
        <u val="none"/>
        <vertAlign val="baseline"/>
        <sz val="10"/>
        <color theme="1"/>
        <name val="Arial"/>
        <family val="2"/>
        <scheme val="none"/>
      </font>
      <numFmt numFmtId="13" formatCode="0%"/>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dxf>
    <dxf>
      <font>
        <b val="0"/>
        <i val="0"/>
        <strike val="0"/>
        <condense val="0"/>
        <extend val="0"/>
        <outline val="0"/>
        <shadow val="0"/>
        <u val="none"/>
        <vertAlign val="baseline"/>
        <sz val="10"/>
        <color theme="1"/>
        <name val="Arial"/>
        <family val="2"/>
        <scheme val="none"/>
      </font>
      <numFmt numFmtId="165" formatCode="_(* #,##0_);_(* \(#,##0\);_(* &quot;-&quot;??_);_(@_)"/>
      <protection locked="0" hidden="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protection locked="0" hidden="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protection locked="0" hidden="0"/>
    </dxf>
    <dxf>
      <font>
        <b val="0"/>
        <i val="0"/>
        <strike val="0"/>
        <condense val="0"/>
        <extend val="0"/>
        <outline val="0"/>
        <shadow val="0"/>
        <u val="none"/>
        <vertAlign val="baseline"/>
        <sz val="10"/>
        <color theme="1"/>
        <name val="Arial"/>
        <family val="2"/>
        <scheme val="none"/>
      </font>
      <numFmt numFmtId="168" formatCode="yyyy"/>
    </dxf>
    <dxf>
      <font>
        <b val="0"/>
        <i val="0"/>
        <strike val="0"/>
        <condense val="0"/>
        <extend val="0"/>
        <outline val="0"/>
        <shadow val="0"/>
        <u val="none"/>
        <vertAlign val="baseline"/>
        <sz val="10"/>
        <color theme="1"/>
        <name val="Arial"/>
        <family val="2"/>
        <scheme val="none"/>
      </font>
      <numFmt numFmtId="167" formatCode="mmm"/>
    </dxf>
    <dxf>
      <font>
        <b val="0"/>
        <i val="0"/>
        <strike val="0"/>
        <condense val="0"/>
        <extend val="0"/>
        <outline val="0"/>
        <shadow val="0"/>
        <u val="none"/>
        <vertAlign val="baseline"/>
        <sz val="10"/>
        <color theme="1"/>
        <name val="Arial"/>
        <family val="2"/>
        <scheme val="none"/>
      </font>
      <numFmt numFmtId="166" formatCode="[$-409]mmm\-yy;@"/>
      <protection locked="0" hidden="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left" vertical="center" textRotation="0" wrapText="0" indent="0" justifyLastLine="0" shrinkToFit="0" readingOrder="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rgb="FF8FCFAD"/>
        </patternFill>
      </fill>
    </dxf>
    <dxf>
      <fill>
        <patternFill>
          <bgColor rgb="FF8FCFAD"/>
        </patternFill>
      </fill>
    </dxf>
    <dxf>
      <fill>
        <patternFill>
          <bgColor rgb="FF8FCFAD"/>
        </patternFill>
      </fill>
    </dxf>
    <dxf>
      <fill>
        <patternFill>
          <bgColor rgb="FF8FCFAD"/>
        </patternFill>
      </fill>
    </dxf>
    <dxf>
      <border>
        <left style="thin">
          <color theme="0" tint="-0.34998626667073579"/>
        </left>
        <right style="thin">
          <color theme="0" tint="-0.34998626667073579"/>
        </right>
        <top style="thin">
          <color theme="0" tint="-0.34998626667073579"/>
        </top>
        <bottom style="thin">
          <color theme="0" tint="-0.34998626667073579"/>
        </bottom>
      </border>
    </dxf>
  </dxfs>
  <tableStyles count="8" defaultTableStyle="TableStyleMedium2" defaultPivotStyle="PivotStyleLight16">
    <tableStyle name="Slicer Style 1" pivot="0" table="0" count="8" xr9:uid="{7FB9B135-F5CE-4F6A-B6F8-2066CB088C41}">
      <tableStyleElement type="wholeTable" dxfId="93"/>
    </tableStyle>
    <tableStyle name="Table Style 1" pivot="0" count="1" xr9:uid="{BB7F0C67-185F-4631-93AA-BD2E768D7A13}">
      <tableStyleElement type="wholeTable" dxfId="92"/>
    </tableStyle>
    <tableStyle name="Table Style 2" pivot="0" count="1" xr9:uid="{3D276D6F-F8EC-4105-AF4E-EF90E0497490}">
      <tableStyleElement type="secondColumnStripe" dxfId="91"/>
    </tableStyle>
    <tableStyle name="Table Style 3" pivot="0" count="1" xr9:uid="{58126073-47CA-432E-9930-0966B1055812}">
      <tableStyleElement type="firstColumnStripe" dxfId="90"/>
    </tableStyle>
    <tableStyle name="Table Style 4" pivot="0" count="1" xr9:uid="{5E1F8E05-1701-4D75-BC47-9223CD34FC6B}">
      <tableStyleElement type="firstRowStripe" dxfId="89"/>
    </tableStyle>
    <tableStyle name="Timeline Style 1" pivot="0" table="0" count="8" xr9:uid="{C2E335C9-31F7-40A6-909D-A0A242EC80DD}">
      <tableStyleElement type="wholeTable" dxfId="88"/>
      <tableStyleElement type="headerRow" dxfId="87"/>
    </tableStyle>
    <tableStyle name="Timeline Style 2" pivot="0" table="0" count="8" xr9:uid="{BD7D3DEA-9F17-4B02-A38B-A505F988F17B}">
      <tableStyleElement type="wholeTable" dxfId="86"/>
      <tableStyleElement type="headerRow" dxfId="85"/>
    </tableStyle>
    <tableStyle name="Timeline Style 3" pivot="0" table="0" count="9" xr9:uid="{03AB8773-F939-4292-A158-497A8B257D1F}">
      <tableStyleElement type="wholeTable" dxfId="84"/>
      <tableStyleElement type="headerRow" dxfId="83"/>
    </tableStyle>
  </tableStyles>
  <colors>
    <mruColors>
      <color rgb="FF8FCFAD"/>
      <color rgb="FF50B47F"/>
      <color rgb="FFDAC108"/>
      <color rgb="FFA32319"/>
      <color rgb="FFE6AF00"/>
      <color rgb="FFF8F200"/>
      <color rgb="FFE8E8E8"/>
      <color rgb="FFEEEEEE"/>
      <color rgb="FFE6E6E6"/>
      <color rgb="FFE0E0E0"/>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19">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line Style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11/relationships/timelineCache" Target="timelineCaches/timeline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hyperlink" Target="https://pixabay.com/en/world-map-earth-global-continents-146505/" TargetMode="Externa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8726467331118496E-2"/>
          <c:w val="1"/>
          <c:h val="0.91190557337425593"/>
        </c:manualLayout>
      </c:layout>
      <c:bubbleChart>
        <c:varyColors val="0"/>
        <c:ser>
          <c:idx val="0"/>
          <c:order val="0"/>
          <c:tx>
            <c:v>Location</c:v>
          </c:tx>
          <c:spPr>
            <a:solidFill>
              <a:srgbClr val="8FCFAD"/>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'map sheet'!$C$4:$C$17</c:f>
              <c:numCache>
                <c:formatCode>General</c:formatCode>
                <c:ptCount val="14"/>
                <c:pt idx="0">
                  <c:v>1</c:v>
                </c:pt>
                <c:pt idx="1">
                  <c:v>2.5</c:v>
                </c:pt>
                <c:pt idx="2">
                  <c:v>5</c:v>
                </c:pt>
                <c:pt idx="3">
                  <c:v>6</c:v>
                </c:pt>
                <c:pt idx="4">
                  <c:v>8</c:v>
                </c:pt>
                <c:pt idx="5">
                  <c:v>6.5</c:v>
                </c:pt>
                <c:pt idx="6">
                  <c:v>9.5</c:v>
                </c:pt>
              </c:numCache>
            </c:numRef>
          </c:xVal>
          <c:yVal>
            <c:numRef>
              <c:f>'map sheet'!$D$4:$D$17</c:f>
              <c:numCache>
                <c:formatCode>General</c:formatCode>
                <c:ptCount val="14"/>
                <c:pt idx="0">
                  <c:v>8.5</c:v>
                </c:pt>
                <c:pt idx="1">
                  <c:v>3.5</c:v>
                </c:pt>
                <c:pt idx="2">
                  <c:v>5</c:v>
                </c:pt>
                <c:pt idx="3">
                  <c:v>6.5</c:v>
                </c:pt>
                <c:pt idx="4">
                  <c:v>7</c:v>
                </c:pt>
                <c:pt idx="5">
                  <c:v>8.5</c:v>
                </c:pt>
                <c:pt idx="6">
                  <c:v>2</c:v>
                </c:pt>
              </c:numCache>
            </c:numRef>
          </c:yVal>
          <c:bubbleSize>
            <c:numRef>
              <c:f>'map sheet'!$F$4:$F$17</c:f>
              <c:numCache>
                <c:formatCode>_(* #,##0_);_(* \(#,##0\);_(* "-"??_);_(@_)</c:formatCode>
                <c:ptCount val="14"/>
                <c:pt idx="0">
                  <c:v>7391918</c:v>
                </c:pt>
                <c:pt idx="1">
                  <c:v>5245343</c:v>
                </c:pt>
                <c:pt idx="2">
                  <c:v>18870414</c:v>
                </c:pt>
                <c:pt idx="3">
                  <c:v>11015330</c:v>
                </c:pt>
                <c:pt idx="4">
                  <c:v>14418924</c:v>
                </c:pt>
                <c:pt idx="5">
                  <c:v>37413294</c:v>
                </c:pt>
                <c:pt idx="6">
                  <c:v>1120000</c:v>
                </c:pt>
                <c:pt idx="7">
                  <c:v>0</c:v>
                </c:pt>
                <c:pt idx="8">
                  <c:v>0</c:v>
                </c:pt>
                <c:pt idx="9">
                  <c:v>0</c:v>
                </c:pt>
                <c:pt idx="10">
                  <c:v>0</c:v>
                </c:pt>
                <c:pt idx="11">
                  <c:v>0</c:v>
                </c:pt>
                <c:pt idx="12">
                  <c:v>0</c:v>
                </c:pt>
                <c:pt idx="13">
                  <c:v>0</c:v>
                </c:pt>
              </c:numCache>
            </c:numRef>
          </c:bubbleSize>
          <c:bubble3D val="0"/>
          <c:extLst>
            <c:ext xmlns:c16="http://schemas.microsoft.com/office/drawing/2014/chart" uri="{C3380CC4-5D6E-409C-BE32-E72D297353CC}">
              <c16:uniqueId val="{00000000-D2BB-4635-A92C-58C92732536C}"/>
            </c:ext>
          </c:extLst>
        </c:ser>
        <c:dLbls>
          <c:showLegendKey val="0"/>
          <c:showVal val="0"/>
          <c:showCatName val="0"/>
          <c:showSerName val="0"/>
          <c:showPercent val="0"/>
          <c:showBubbleSize val="0"/>
        </c:dLbls>
        <c:bubbleScale val="80"/>
        <c:showNegBubbles val="0"/>
        <c:axId val="70732239"/>
        <c:axId val="62780287"/>
      </c:bubbleChart>
      <c:valAx>
        <c:axId val="70732239"/>
        <c:scaling>
          <c:orientation val="minMax"/>
          <c:max val="10"/>
          <c:min val="0"/>
        </c:scaling>
        <c:delete val="1"/>
        <c:axPos val="b"/>
        <c:numFmt formatCode="General" sourceLinked="1"/>
        <c:majorTickMark val="out"/>
        <c:minorTickMark val="none"/>
        <c:tickLblPos val="nextTo"/>
        <c:crossAx val="62780287"/>
        <c:crosses val="autoZero"/>
        <c:crossBetween val="midCat"/>
      </c:valAx>
      <c:valAx>
        <c:axId val="62780287"/>
        <c:scaling>
          <c:orientation val="minMax"/>
          <c:max val="10"/>
          <c:min val="0"/>
        </c:scaling>
        <c:delete val="1"/>
        <c:axPos val="l"/>
        <c:numFmt formatCode="General" sourceLinked="1"/>
        <c:majorTickMark val="out"/>
        <c:minorTickMark val="none"/>
        <c:tickLblPos val="nextTo"/>
        <c:crossAx val="70732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52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Consumer Wise Analysis.xlsm]Pivot!Annual Sales</c:name>
    <c:fmtId val="2"/>
  </c:pivotSource>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Pivot!$AB$3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Pivot!$AB$4:$AB$16</c:f>
              <c:numCache>
                <c:formatCode>_(* #,##0_);_(* \(#,##0\);_(* "-"??_);_(@_)</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Cache>
            </c:numRef>
          </c:val>
          <c:smooth val="0"/>
          <c:extLst>
            <c:ext xmlns:c16="http://schemas.microsoft.com/office/drawing/2014/chart" uri="{C3380CC4-5D6E-409C-BE32-E72D297353CC}">
              <c16:uniqueId val="{00000000-E21C-4E63-9AE2-AA22A4D2E25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Consumer Wise Analysis.xlsm]Pivot!Annual Sales</c:name>
    <c:fmtId val="7"/>
  </c:pivotSource>
  <c:chart>
    <c:title>
      <c:tx>
        <c:rich>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Monthly</a:t>
            </a:r>
            <a:r>
              <a:rPr lang="en-US" baseline="0">
                <a:solidFill>
                  <a:srgbClr val="50B47F"/>
                </a:solidFill>
                <a:latin typeface="Arial" panose="020B0604020202020204" pitchFamily="34" charset="0"/>
                <a:cs typeface="Arial" panose="020B0604020202020204" pitchFamily="34" charset="0"/>
              </a:rPr>
              <a:t> Sales Quantity</a:t>
            </a:r>
            <a:endParaRPr lang="en-US">
              <a:solidFill>
                <a:srgbClr val="50B47F"/>
              </a:solidFill>
              <a:latin typeface="Arial" panose="020B0604020202020204" pitchFamily="34" charset="0"/>
              <a:cs typeface="Arial" panose="020B0604020202020204" pitchFamily="34" charset="0"/>
            </a:endParaRPr>
          </a:p>
        </c:rich>
      </c:tx>
      <c:layout>
        <c:manualLayout>
          <c:xMode val="edge"/>
          <c:yMode val="edge"/>
          <c:x val="0.29375352972296903"/>
          <c:y val="1.44340607943038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rgbClr val="50B47F"/>
            </a:solidFill>
            <a:round/>
          </a:ln>
          <a:effectLst/>
        </c:spPr>
        <c:marker>
          <c:symbol val="circle"/>
          <c:size val="4"/>
          <c:spPr>
            <a:solidFill>
              <a:schemeClr val="accent1"/>
            </a:solidFill>
            <a:ln w="9525" cap="flat" cmpd="sng" algn="ctr">
              <a:solidFill>
                <a:srgbClr val="50B47F"/>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590322946478008E-2"/>
          <c:y val="0.19310024727715047"/>
          <c:w val="0.98676209631690248"/>
          <c:h val="0.68281135293158834"/>
        </c:manualLayout>
      </c:layout>
      <c:lineChart>
        <c:grouping val="standard"/>
        <c:varyColors val="0"/>
        <c:ser>
          <c:idx val="0"/>
          <c:order val="0"/>
          <c:tx>
            <c:strRef>
              <c:f>Pivot!$AB$3</c:f>
              <c:strCache>
                <c:ptCount val="1"/>
                <c:pt idx="0">
                  <c:v>Total</c:v>
                </c:pt>
              </c:strCache>
            </c:strRef>
          </c:tx>
          <c:spPr>
            <a:ln w="22225" cap="rnd" cmpd="sng" algn="ctr">
              <a:solidFill>
                <a:srgbClr val="50B47F"/>
              </a:solidFill>
              <a:round/>
            </a:ln>
            <a:effectLst/>
          </c:spPr>
          <c:marker>
            <c:symbol val="circle"/>
            <c:size val="4"/>
            <c:spPr>
              <a:solidFill>
                <a:schemeClr val="accent1"/>
              </a:solidFill>
              <a:ln w="9525" cap="flat" cmpd="sng" algn="ctr">
                <a:solidFill>
                  <a:srgbClr val="50B47F"/>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Pivot!$AA$4:$AA$16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Pivot!$AB$4:$AB$16</c:f>
              <c:numCache>
                <c:formatCode>_(* #,##0_);_(* \(#,##0\);_(* "-"??_);_(@_)</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Cache>
            </c:numRef>
          </c:val>
          <c:smooth val="0"/>
          <c:extLst>
            <c:ext xmlns:c16="http://schemas.microsoft.com/office/drawing/2014/chart" uri="{C3380CC4-5D6E-409C-BE32-E72D297353CC}">
              <c16:uniqueId val="{00000000-C6A2-4714-BB01-29B8DD6D7F9B}"/>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326656"/>
        <c:axId val="1507774208"/>
      </c:lineChart>
      <c:catAx>
        <c:axId val="13863266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74208"/>
        <c:crosses val="autoZero"/>
        <c:auto val="1"/>
        <c:lblAlgn val="ctr"/>
        <c:lblOffset val="100"/>
        <c:noMultiLvlLbl val="0"/>
      </c:catAx>
      <c:valAx>
        <c:axId val="1507774208"/>
        <c:scaling>
          <c:orientation val="minMax"/>
        </c:scaling>
        <c:delete val="1"/>
        <c:axPos val="l"/>
        <c:numFmt formatCode="_(* #,##0_);_(* \(#,##0\);_(* &quot;-&quot;??_);_(@_)" sourceLinked="1"/>
        <c:majorTickMark val="none"/>
        <c:minorTickMark val="none"/>
        <c:tickLblPos val="nextTo"/>
        <c:crossAx val="1386326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Consumer Wise Analysis.xlsm]Pivot!Sector percent</c:name>
    <c:fmtId val="1"/>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Product Sector Analysis</a:t>
            </a:r>
          </a:p>
        </c:rich>
      </c:tx>
      <c:layout>
        <c:manualLayout>
          <c:xMode val="edge"/>
          <c:yMode val="edge"/>
          <c:x val="0.16983662455529014"/>
          <c:y val="1.39802610455987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s>
    <c:plotArea>
      <c:layout>
        <c:manualLayout>
          <c:layoutTarget val="inner"/>
          <c:xMode val="edge"/>
          <c:yMode val="edge"/>
          <c:x val="0.15227276570954412"/>
          <c:y val="0.24483866518214709"/>
          <c:w val="0.70002436076384134"/>
          <c:h val="0.74127254118817976"/>
        </c:manualLayout>
      </c:layout>
      <c:doughnutChart>
        <c:varyColors val="1"/>
        <c:ser>
          <c:idx val="0"/>
          <c:order val="0"/>
          <c:tx>
            <c:strRef>
              <c:f>Pivot!$AE$3</c:f>
              <c:strCache>
                <c:ptCount val="1"/>
                <c:pt idx="0">
                  <c:v>Average of R.O.I</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D3D-47EF-BC1E-0DDFF9E59B6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D3D-47EF-BC1E-0DDFF9E59B6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DD3D-47EF-BC1E-0DDFF9E59B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Pivot!$AD$4:$AD$7</c:f>
              <c:strCache>
                <c:ptCount val="3"/>
                <c:pt idx="0">
                  <c:v>Refrigerator</c:v>
                </c:pt>
                <c:pt idx="1">
                  <c:v>Television</c:v>
                </c:pt>
                <c:pt idx="2">
                  <c:v>Washing Machine</c:v>
                </c:pt>
              </c:strCache>
            </c:strRef>
          </c:cat>
          <c:val>
            <c:numRef>
              <c:f>Pivot!$AE$4:$AE$7</c:f>
              <c:numCache>
                <c:formatCode>0%</c:formatCode>
                <c:ptCount val="3"/>
                <c:pt idx="0">
                  <c:v>0.16250000000000003</c:v>
                </c:pt>
                <c:pt idx="1">
                  <c:v>0.15900033772374203</c:v>
                </c:pt>
                <c:pt idx="2">
                  <c:v>0.26309921962095872</c:v>
                </c:pt>
              </c:numCache>
            </c:numRef>
          </c:val>
          <c:extLst>
            <c:ext xmlns:c16="http://schemas.microsoft.com/office/drawing/2014/chart" uri="{C3380CC4-5D6E-409C-BE32-E72D297353CC}">
              <c16:uniqueId val="{00000006-DD3D-47EF-BC1E-0DDFF9E59B6D}"/>
            </c:ext>
          </c:extLst>
        </c:ser>
        <c:ser>
          <c:idx val="1"/>
          <c:order val="1"/>
          <c:tx>
            <c:strRef>
              <c:f>Pivot!$AF$3</c:f>
              <c:strCache>
                <c:ptCount val="1"/>
                <c:pt idx="0">
                  <c:v>Sum of Sales Qty.</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7-8997-4ED6-8D6B-9CB7D39BADCA}"/>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9-8997-4ED6-8D6B-9CB7D39BADCA}"/>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B-8997-4ED6-8D6B-9CB7D39BAD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Pivot!$AD$4:$AD$7</c:f>
              <c:strCache>
                <c:ptCount val="3"/>
                <c:pt idx="0">
                  <c:v>Refrigerator</c:v>
                </c:pt>
                <c:pt idx="1">
                  <c:v>Television</c:v>
                </c:pt>
                <c:pt idx="2">
                  <c:v>Washing Machine</c:v>
                </c:pt>
              </c:strCache>
            </c:strRef>
          </c:cat>
          <c:val>
            <c:numRef>
              <c:f>Pivot!$AF$4:$AF$7</c:f>
              <c:numCache>
                <c:formatCode>0%</c:formatCode>
                <c:ptCount val="3"/>
                <c:pt idx="0">
                  <c:v>0.29135990173953991</c:v>
                </c:pt>
                <c:pt idx="1">
                  <c:v>0.48530343036107243</c:v>
                </c:pt>
                <c:pt idx="2">
                  <c:v>0.22333666789938764</c:v>
                </c:pt>
              </c:numCache>
            </c:numRef>
          </c:val>
          <c:extLst>
            <c:ext xmlns:c16="http://schemas.microsoft.com/office/drawing/2014/chart" uri="{C3380CC4-5D6E-409C-BE32-E72D297353CC}">
              <c16:uniqueId val="{00000008-B8E0-413B-82B2-35B7B7C66E5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t"/>
      <c:layout>
        <c:manualLayout>
          <c:xMode val="edge"/>
          <c:yMode val="edge"/>
          <c:x val="0"/>
          <c:y val="0.1216282710967093"/>
          <c:w val="0.99648766003168698"/>
          <c:h val="0.1189143556775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Consumer Wise Analysis.xlsm]Pivot!Country chart</c:name>
    <c:fmtId val="1"/>
  </c:pivotSource>
  <c:chart>
    <c:title>
      <c:tx>
        <c:rich>
          <a:bodyPr rot="0" spcFirstLastPara="1" vertOverflow="ellipsis" vert="horz" wrap="square" anchor="ctr" anchorCtr="1"/>
          <a:lstStyle/>
          <a:p>
            <a:pPr>
              <a:defRPr sz="1400" b="0" i="0" u="none" strike="noStrike" kern="1200" cap="all" spc="50" baseline="0">
                <a:solidFill>
                  <a:srgbClr val="50B47F"/>
                </a:solidFill>
                <a:latin typeface="Arial" panose="020B0604020202020204" pitchFamily="34" charset="0"/>
                <a:ea typeface="+mn-ea"/>
                <a:cs typeface="Arial" panose="020B0604020202020204" pitchFamily="34" charset="0"/>
              </a:defRPr>
            </a:pPr>
            <a:r>
              <a:rPr lang="en-US" sz="1400" b="0" cap="none" baseline="0">
                <a:solidFill>
                  <a:srgbClr val="50B47F"/>
                </a:solidFill>
                <a:latin typeface="Arial" panose="020B0604020202020204" pitchFamily="34" charset="0"/>
                <a:cs typeface="Arial" panose="020B0604020202020204" pitchFamily="34" charset="0"/>
              </a:rPr>
              <a:t>Country Sales</a:t>
            </a:r>
          </a:p>
        </c:rich>
      </c:tx>
      <c:layout>
        <c:manualLayout>
          <c:xMode val="edge"/>
          <c:yMode val="edge"/>
          <c:x val="0.29985373130743248"/>
          <c:y val="7.6541275450762369E-3"/>
        </c:manualLayout>
      </c:layout>
      <c:overlay val="0"/>
      <c:spPr>
        <a:noFill/>
        <a:ln>
          <a:noFill/>
        </a:ln>
        <a:effectLst/>
      </c:spPr>
      <c:txPr>
        <a:bodyPr rot="0" spcFirstLastPara="1" vertOverflow="ellipsis" vert="horz" wrap="square" anchor="ctr" anchorCtr="1"/>
        <a:lstStyle/>
        <a:p>
          <a:pPr>
            <a:defRPr sz="1400" b="0" i="0" u="none" strike="noStrike" kern="1200" cap="all" spc="5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0B47F"/>
          </a:solidFill>
          <a:ln>
            <a:solidFill>
              <a:srgbClr val="8FCFA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728041955732418"/>
          <c:y val="0.13418780919529796"/>
          <c:w val="0.68564002914416322"/>
          <c:h val="0.84639477147914488"/>
        </c:manualLayout>
      </c:layout>
      <c:barChart>
        <c:barDir val="bar"/>
        <c:grouping val="clustered"/>
        <c:varyColors val="0"/>
        <c:ser>
          <c:idx val="0"/>
          <c:order val="0"/>
          <c:tx>
            <c:strRef>
              <c:f>Pivot!$AI$3</c:f>
              <c:strCache>
                <c:ptCount val="1"/>
                <c:pt idx="0">
                  <c:v>Total</c:v>
                </c:pt>
              </c:strCache>
            </c:strRef>
          </c:tx>
          <c:spPr>
            <a:solidFill>
              <a:srgbClr val="50B47F"/>
            </a:solidFill>
            <a:ln>
              <a:solidFill>
                <a:srgbClr val="8FCFA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Pivot!$AH$4:$AH$15</c:f>
              <c:strCache>
                <c:ptCount val="11"/>
                <c:pt idx="0">
                  <c:v>Brazil</c:v>
                </c:pt>
                <c:pt idx="1">
                  <c:v>Cameroon</c:v>
                </c:pt>
                <c:pt idx="2">
                  <c:v>Canada</c:v>
                </c:pt>
                <c:pt idx="3">
                  <c:v>China</c:v>
                </c:pt>
                <c:pt idx="4">
                  <c:v>Egypt</c:v>
                </c:pt>
                <c:pt idx="5">
                  <c:v>England</c:v>
                </c:pt>
                <c:pt idx="6">
                  <c:v>Finland</c:v>
                </c:pt>
                <c:pt idx="7">
                  <c:v>France</c:v>
                </c:pt>
                <c:pt idx="8">
                  <c:v>Ghana</c:v>
                </c:pt>
                <c:pt idx="9">
                  <c:v>Korea</c:v>
                </c:pt>
                <c:pt idx="10">
                  <c:v>New Zealand</c:v>
                </c:pt>
              </c:strCache>
            </c:strRef>
          </c:cat>
          <c:val>
            <c:numRef>
              <c:f>Pivot!$AI$4:$AI$15</c:f>
              <c:numCache>
                <c:formatCode>_(* #,##0_);_(* \(#,##0\);_(* "-"??_);_(@_)</c:formatCode>
                <c:ptCount val="11"/>
                <c:pt idx="0">
                  <c:v>395302</c:v>
                </c:pt>
                <c:pt idx="1">
                  <c:v>948184</c:v>
                </c:pt>
                <c:pt idx="2">
                  <c:v>459983</c:v>
                </c:pt>
                <c:pt idx="3">
                  <c:v>808056</c:v>
                </c:pt>
                <c:pt idx="4">
                  <c:v>707858</c:v>
                </c:pt>
                <c:pt idx="5">
                  <c:v>986924</c:v>
                </c:pt>
                <c:pt idx="6">
                  <c:v>564097</c:v>
                </c:pt>
                <c:pt idx="7">
                  <c:v>922565</c:v>
                </c:pt>
                <c:pt idx="8">
                  <c:v>342460</c:v>
                </c:pt>
                <c:pt idx="9">
                  <c:v>65252</c:v>
                </c:pt>
                <c:pt idx="10">
                  <c:v>70000</c:v>
                </c:pt>
              </c:numCache>
            </c:numRef>
          </c:val>
          <c:extLst>
            <c:ext xmlns:c16="http://schemas.microsoft.com/office/drawing/2014/chart" uri="{C3380CC4-5D6E-409C-BE32-E72D297353CC}">
              <c16:uniqueId val="{00000000-74BC-4FDE-81A4-33666496E0C2}"/>
            </c:ext>
          </c:extLst>
        </c:ser>
        <c:dLbls>
          <c:showLegendKey val="0"/>
          <c:showVal val="1"/>
          <c:showCatName val="0"/>
          <c:showSerName val="0"/>
          <c:showPercent val="0"/>
          <c:showBubbleSize val="0"/>
        </c:dLbls>
        <c:gapWidth val="150"/>
        <c:overlap val="-25"/>
        <c:axId val="1517080976"/>
        <c:axId val="1507765472"/>
      </c:barChart>
      <c:catAx>
        <c:axId val="1517080976"/>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765472"/>
        <c:crosses val="autoZero"/>
        <c:auto val="1"/>
        <c:lblAlgn val="ctr"/>
        <c:lblOffset val="100"/>
        <c:noMultiLvlLbl val="0"/>
      </c:catAx>
      <c:valAx>
        <c:axId val="1507765472"/>
        <c:scaling>
          <c:orientation val="minMax"/>
        </c:scaling>
        <c:delete val="1"/>
        <c:axPos val="b"/>
        <c:numFmt formatCode="_(* #,##0_);_(* \(#,##0\);_(* &quot;-&quot;??_);_(@_)" sourceLinked="1"/>
        <c:majorTickMark val="none"/>
        <c:minorTickMark val="none"/>
        <c:tickLblPos val="nextTo"/>
        <c:crossAx val="1517080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[Product Consumer Wise Analysis.xlsm]Pivot!customer analysis</c:name>
    <c:fmtId val="1"/>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Customer Sales Analysis</a:t>
            </a:r>
          </a:p>
        </c:rich>
      </c:tx>
      <c:layout>
        <c:manualLayout>
          <c:xMode val="edge"/>
          <c:yMode val="edge"/>
          <c:x val="0.28726282055798186"/>
          <c:y val="9.855076062563437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0B47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345973076922077E-2"/>
          <c:y val="0.14298691246808645"/>
          <c:w val="0.96365410487365721"/>
          <c:h val="0.76159829230302667"/>
        </c:manualLayout>
      </c:layout>
      <c:barChart>
        <c:barDir val="col"/>
        <c:grouping val="clustered"/>
        <c:varyColors val="0"/>
        <c:ser>
          <c:idx val="0"/>
          <c:order val="0"/>
          <c:tx>
            <c:strRef>
              <c:f>Pivot!$AL$3</c:f>
              <c:strCache>
                <c:ptCount val="1"/>
                <c:pt idx="0">
                  <c:v>Total</c:v>
                </c:pt>
              </c:strCache>
            </c:strRef>
          </c:tx>
          <c:spPr>
            <a:solidFill>
              <a:srgbClr val="50B47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Pivot!$AK$4:$AK$15</c:f>
              <c:strCache>
                <c:ptCount val="11"/>
                <c:pt idx="0">
                  <c:v>AAA</c:v>
                </c:pt>
                <c:pt idx="1">
                  <c:v>ABC</c:v>
                </c:pt>
                <c:pt idx="2">
                  <c:v>ACC</c:v>
                </c:pt>
                <c:pt idx="3">
                  <c:v>ADD</c:v>
                </c:pt>
                <c:pt idx="4">
                  <c:v>BBB</c:v>
                </c:pt>
                <c:pt idx="5">
                  <c:v>BCC</c:v>
                </c:pt>
                <c:pt idx="6">
                  <c:v>CAD</c:v>
                </c:pt>
                <c:pt idx="7">
                  <c:v>CCC</c:v>
                </c:pt>
                <c:pt idx="8">
                  <c:v>CDA</c:v>
                </c:pt>
                <c:pt idx="9">
                  <c:v>DDD</c:v>
                </c:pt>
                <c:pt idx="10">
                  <c:v>EDA</c:v>
                </c:pt>
              </c:strCache>
            </c:strRef>
          </c:cat>
          <c:val>
            <c:numRef>
              <c:f>Pivot!$AL$4:$AL$15</c:f>
              <c:numCache>
                <c:formatCode>_(* #,##0_);_(* \(#,##0\);_(* "-"??_);_(@_)</c:formatCode>
                <c:ptCount val="11"/>
                <c:pt idx="0">
                  <c:v>707858</c:v>
                </c:pt>
                <c:pt idx="1">
                  <c:v>922565</c:v>
                </c:pt>
                <c:pt idx="2">
                  <c:v>459983</c:v>
                </c:pt>
                <c:pt idx="3">
                  <c:v>395302</c:v>
                </c:pt>
                <c:pt idx="4">
                  <c:v>342460</c:v>
                </c:pt>
                <c:pt idx="5">
                  <c:v>808056</c:v>
                </c:pt>
                <c:pt idx="6">
                  <c:v>70000</c:v>
                </c:pt>
                <c:pt idx="7">
                  <c:v>986924</c:v>
                </c:pt>
                <c:pt idx="8">
                  <c:v>564097</c:v>
                </c:pt>
                <c:pt idx="9">
                  <c:v>948184</c:v>
                </c:pt>
                <c:pt idx="10">
                  <c:v>65252</c:v>
                </c:pt>
              </c:numCache>
            </c:numRef>
          </c:val>
          <c:extLst>
            <c:ext xmlns:c16="http://schemas.microsoft.com/office/drawing/2014/chart" uri="{C3380CC4-5D6E-409C-BE32-E72D297353CC}">
              <c16:uniqueId val="{00000000-438A-4F84-80F6-98EEA0B2E2A1}"/>
            </c:ext>
          </c:extLst>
        </c:ser>
        <c:dLbls>
          <c:showLegendKey val="0"/>
          <c:showVal val="1"/>
          <c:showCatName val="0"/>
          <c:showSerName val="0"/>
          <c:showPercent val="0"/>
          <c:showBubbleSize val="0"/>
        </c:dLbls>
        <c:gapWidth val="150"/>
        <c:overlap val="-25"/>
        <c:axId val="1508104048"/>
        <c:axId val="1316874240"/>
      </c:barChart>
      <c:catAx>
        <c:axId val="150810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874240"/>
        <c:crosses val="autoZero"/>
        <c:auto val="1"/>
        <c:lblAlgn val="ctr"/>
        <c:lblOffset val="100"/>
        <c:noMultiLvlLbl val="0"/>
      </c:catAx>
      <c:valAx>
        <c:axId val="1316874240"/>
        <c:scaling>
          <c:orientation val="minMax"/>
        </c:scaling>
        <c:delete val="1"/>
        <c:axPos val="l"/>
        <c:numFmt formatCode="_(* #,##0_);_(* \(#,##0\);_(* &quot;-&quot;??_);_(@_)" sourceLinked="1"/>
        <c:majorTickMark val="none"/>
        <c:minorTickMark val="none"/>
        <c:tickLblPos val="nextTo"/>
        <c:crossAx val="1508104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microsoft.com/office/2007/relationships/hdphoto" Target="../media/hdphoto4.wdp"/><Relationship Id="rId13" Type="http://schemas.openxmlformats.org/officeDocument/2006/relationships/chart" Target="../charts/chart3.xml"/><Relationship Id="rId3" Type="http://schemas.openxmlformats.org/officeDocument/2006/relationships/image" Target="../media/image4.png"/><Relationship Id="rId7" Type="http://schemas.openxmlformats.org/officeDocument/2006/relationships/image" Target="../media/image6.png"/><Relationship Id="rId12" Type="http://schemas.openxmlformats.org/officeDocument/2006/relationships/chart" Target="../charts/chart2.xml"/><Relationship Id="rId2" Type="http://schemas.microsoft.com/office/2007/relationships/hdphoto" Target="../media/hdphoto1.wdp"/><Relationship Id="rId16" Type="http://schemas.openxmlformats.org/officeDocument/2006/relationships/chart" Target="../charts/chart6.xml"/><Relationship Id="rId1" Type="http://schemas.openxmlformats.org/officeDocument/2006/relationships/image" Target="../media/image3.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7.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47624</xdr:colOff>
      <xdr:row>46</xdr:row>
      <xdr:rowOff>19050</xdr:rowOff>
    </xdr:from>
    <xdr:to>
      <xdr:col>14</xdr:col>
      <xdr:colOff>166687</xdr:colOff>
      <xdr:row>50</xdr:row>
      <xdr:rowOff>38100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4214812" y="7781925"/>
          <a:ext cx="6798469" cy="685800"/>
          <a:chOff x="4257674" y="8324850"/>
          <a:chExt cx="7353301" cy="666750"/>
        </a:xfrm>
      </xdr:grpSpPr>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00000000-0008-0000-0000-00000D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54</xdr:row>
      <xdr:rowOff>95250</xdr:rowOff>
    </xdr:from>
    <xdr:to>
      <xdr:col>14</xdr:col>
      <xdr:colOff>185737</xdr:colOff>
      <xdr:row>58</xdr:row>
      <xdr:rowOff>114300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4233862" y="9191625"/>
          <a:ext cx="6798469" cy="685800"/>
          <a:chOff x="4276724" y="9696450"/>
          <a:chExt cx="7353301" cy="666750"/>
        </a:xfrm>
      </xdr:grpSpPr>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00000000-0008-0000-0000-000011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60</xdr:row>
      <xdr:rowOff>47625</xdr:rowOff>
    </xdr:from>
    <xdr:to>
      <xdr:col>14</xdr:col>
      <xdr:colOff>140795</xdr:colOff>
      <xdr:row>64</xdr:row>
      <xdr:rowOff>133350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4252913" y="10144125"/>
          <a:ext cx="6734476" cy="752475"/>
          <a:chOff x="4295775" y="10620375"/>
          <a:chExt cx="7334250" cy="733425"/>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00000000-0008-0000-0000-000014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214684</xdr:colOff>
      <xdr:row>1</xdr:row>
      <xdr:rowOff>152525</xdr:rowOff>
    </xdr:from>
    <xdr:to>
      <xdr:col>6</xdr:col>
      <xdr:colOff>30397</xdr:colOff>
      <xdr:row>3</xdr:row>
      <xdr:rowOff>145692</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duotone>
            <a:srgbClr val="A5A5A5">
              <a:shade val="45000"/>
              <a:satMod val="135000"/>
            </a:srgbClr>
            <a:prstClr val="white"/>
          </a:duotone>
          <a:extLst>
            <a:ext uri="{BEBA8EAE-BF5A-486C-A8C5-ECC9F3942E4B}">
              <a14:imgProps xmlns:a14="http://schemas.microsoft.com/office/drawing/2010/main">
                <a14:imgLayer r:embed="rId2">
                  <a14:imgEffect>
                    <a14:backgroundRemoval t="0" b="100000" l="0" r="100000">
                      <a14:foregroundMark x1="39316" y1="54419" x2="39316" y2="54419"/>
                      <a14:foregroundMark x1="60256" y1="35814" x2="60256" y2="35814"/>
                      <a14:foregroundMark x1="67094" y1="66977" x2="67094" y2="66977"/>
                      <a14:foregroundMark x1="82479" y1="44651" x2="82479" y2="44651"/>
                      <a14:foregroundMark x1="82479" y1="55814" x2="82479" y2="55814"/>
                      <a14:foregroundMark x1="77350" y1="46977" x2="77350" y2="46977"/>
                      <a14:foregroundMark x1="84615" y1="27907" x2="84615" y2="27907"/>
                      <a14:foregroundMark x1="94444" y1="56744" x2="94444" y2="56744"/>
                      <a14:foregroundMark x1="51282" y1="77209" x2="51282" y2="77209"/>
                      <a14:foregroundMark x1="35897" y1="74884" x2="35897" y2="74884"/>
                      <a14:foregroundMark x1="42308" y1="95814" x2="42308" y2="95814"/>
                      <a14:foregroundMark x1="5983" y1="68372" x2="5983" y2="68372"/>
                      <a14:foregroundMark x1="11538" y1="66047" x2="11538" y2="66047"/>
                      <a14:foregroundMark x1="2991" y1="74884" x2="2991" y2="74884"/>
                      <a14:foregroundMark x1="20940" y1="33488" x2="20940" y2="33488"/>
                      <a14:foregroundMark x1="39744" y1="18140" x2="39744" y2="18140"/>
                      <a14:foregroundMark x1="39744" y1="3256" x2="39744" y2="3256"/>
                      <a14:foregroundMark x1="44017" y1="33488" x2="44017" y2="33488"/>
                      <a14:foregroundMark x1="72973" y1="66667" x2="72973" y2="66667"/>
                      <a14:foregroundMark x1="23423" y1="38667" x2="23423" y2="38667"/>
                    </a14:backgroundRemoval>
                  </a14:imgEffect>
                </a14:imgLayer>
              </a14:imgProps>
            </a:ext>
            <a:ext uri="{28A0092B-C50C-407E-A947-70E740481C1C}">
              <a14:useLocalDpi xmlns:a14="http://schemas.microsoft.com/office/drawing/2010/main" val="0"/>
            </a:ext>
          </a:extLst>
        </a:blip>
        <a:stretch>
          <a:fillRect/>
        </a:stretch>
      </xdr:blipFill>
      <xdr:spPr>
        <a:xfrm>
          <a:off x="3386509" y="419225"/>
          <a:ext cx="463413" cy="317017"/>
        </a:xfrm>
        <a:prstGeom prst="rect">
          <a:avLst/>
        </a:prstGeom>
        <a:noFill/>
      </xdr:spPr>
    </xdr:pic>
    <xdr:clientData/>
  </xdr:twoCellAnchor>
  <xdr:twoCellAnchor editAs="oneCell">
    <xdr:from>
      <xdr:col>3</xdr:col>
      <xdr:colOff>242138</xdr:colOff>
      <xdr:row>1</xdr:row>
      <xdr:rowOff>44223</xdr:rowOff>
    </xdr:from>
    <xdr:to>
      <xdr:col>4</xdr:col>
      <xdr:colOff>111794</xdr:colOff>
      <xdr:row>4</xdr:row>
      <xdr:rowOff>92069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extLst>
            <a:ext uri="{BEBA8EAE-BF5A-486C-A8C5-ECC9F3942E4B}">
              <a14:imgProps xmlns:a14="http://schemas.microsoft.com/office/drawing/2010/main">
                <a14:imgLayer r:embed="rId4">
                  <a14:imgEffect>
                    <a14:backgroundRemoval t="10000" b="90000" l="10000" r="90000">
                      <a14:foregroundMark x1="41333" y1="28444" x2="41333" y2="28444"/>
                      <a14:foregroundMark x1="72889" y1="56889" x2="72889" y2="56889"/>
                      <a14:foregroundMark x1="32444" y1="62667" x2="32444" y2="62667"/>
                    </a14:backgroundRemoval>
                  </a14:imgEffect>
                </a14:imgLayer>
              </a14:imgProps>
            </a:ext>
            <a:ext uri="{28A0092B-C50C-407E-A947-70E740481C1C}">
              <a14:useLocalDpi xmlns:a14="http://schemas.microsoft.com/office/drawing/2010/main" val="0"/>
            </a:ext>
          </a:extLst>
        </a:blip>
        <a:stretch>
          <a:fillRect/>
        </a:stretch>
      </xdr:blipFill>
      <xdr:spPr>
        <a:xfrm>
          <a:off x="2118563" y="310923"/>
          <a:ext cx="517356" cy="533621"/>
        </a:xfrm>
        <a:prstGeom prst="rect">
          <a:avLst/>
        </a:prstGeom>
      </xdr:spPr>
    </xdr:pic>
    <xdr:clientData/>
  </xdr:twoCellAnchor>
  <xdr:twoCellAnchor editAs="oneCell">
    <xdr:from>
      <xdr:col>7</xdr:col>
      <xdr:colOff>251159</xdr:colOff>
      <xdr:row>1</xdr:row>
      <xdr:rowOff>89390</xdr:rowOff>
    </xdr:from>
    <xdr:to>
      <xdr:col>8</xdr:col>
      <xdr:colOff>38224</xdr:colOff>
      <xdr:row>4</xdr:row>
      <xdr:rowOff>46902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BEBA8EAE-BF5A-486C-A8C5-ECC9F3942E4B}">
              <a14:imgProps xmlns:a14="http://schemas.microsoft.com/office/drawing/2010/main">
                <a14:imgLayer r:embed="rId6">
                  <a14:imgEffect>
                    <a14:backgroundRemoval t="0" b="100000" l="0" r="100000">
                      <a14:foregroundMark x1="63111" y1="32889" x2="63111" y2="32889"/>
                      <a14:foregroundMark x1="80000" y1="12444" x2="80000" y2="12444"/>
                      <a14:foregroundMark x1="86222" y1="70222" x2="86222" y2="71556"/>
                    </a14:backgroundRemoval>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4718384" y="356090"/>
          <a:ext cx="434765" cy="443287"/>
        </a:xfrm>
        <a:prstGeom prst="rect">
          <a:avLst/>
        </a:prstGeom>
      </xdr:spPr>
    </xdr:pic>
    <xdr:clientData/>
  </xdr:twoCellAnchor>
  <xdr:twoCellAnchor editAs="oneCell">
    <xdr:from>
      <xdr:col>9</xdr:col>
      <xdr:colOff>285752</xdr:colOff>
      <xdr:row>1</xdr:row>
      <xdr:rowOff>79357</xdr:rowOff>
    </xdr:from>
    <xdr:to>
      <xdr:col>10</xdr:col>
      <xdr:colOff>14966</xdr:colOff>
      <xdr:row>4</xdr:row>
      <xdr:rowOff>56934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7" cstate="print">
          <a:duotone>
            <a:schemeClr val="accent3">
              <a:shade val="45000"/>
              <a:satMod val="135000"/>
            </a:schemeClr>
            <a:prstClr val="white"/>
          </a:duotone>
          <a:extLst>
            <a:ext uri="{BEBA8EAE-BF5A-486C-A8C5-ECC9F3942E4B}">
              <a14:imgProps xmlns:a14="http://schemas.microsoft.com/office/drawing/2010/main">
                <a14:imgLayer r:embed="rId8">
                  <a14:imgEffect>
                    <a14:backgroundRemoval t="0" b="99717" l="1023" r="97955">
                      <a14:foregroundMark x1="50455" y1="24717" x2="50455" y2="24717"/>
                    </a14:backgroundRemoval>
                  </a14:imgEffect>
                </a14:imgLayer>
              </a14:imgProps>
            </a:ext>
            <a:ext uri="{28A0092B-C50C-407E-A947-70E740481C1C}">
              <a14:useLocalDpi xmlns:a14="http://schemas.microsoft.com/office/drawing/2010/main" val="0"/>
            </a:ext>
          </a:extLst>
        </a:blip>
        <a:stretch>
          <a:fillRect/>
        </a:stretch>
      </xdr:blipFill>
      <xdr:spPr>
        <a:xfrm>
          <a:off x="6048377" y="346057"/>
          <a:ext cx="376914" cy="463352"/>
        </a:xfrm>
        <a:prstGeom prst="rect">
          <a:avLst/>
        </a:prstGeom>
      </xdr:spPr>
    </xdr:pic>
    <xdr:clientData/>
  </xdr:twoCellAnchor>
  <xdr:twoCellAnchor editAs="oneCell">
    <xdr:from>
      <xdr:col>11</xdr:col>
      <xdr:colOff>243011</xdr:colOff>
      <xdr:row>1</xdr:row>
      <xdr:rowOff>58018</xdr:rowOff>
    </xdr:from>
    <xdr:to>
      <xdr:col>12</xdr:col>
      <xdr:colOff>92617</xdr:colOff>
      <xdr:row>4</xdr:row>
      <xdr:rowOff>78274</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cstate="print">
          <a:duotone>
            <a:schemeClr val="accent3">
              <a:shade val="45000"/>
              <a:satMod val="135000"/>
            </a:schemeClr>
            <a:prstClr val="white"/>
          </a:duotone>
          <a:extLst>
            <a:ext uri="{BEBA8EAE-BF5A-486C-A8C5-ECC9F3942E4B}">
              <a14:imgProps xmlns:a14="http://schemas.microsoft.com/office/drawing/2010/main">
                <a14:imgLayer r:embed="rId10">
                  <a14:imgEffect>
                    <a14:backgroundRemoval t="0" b="100000" l="0" r="100000">
                      <a14:foregroundMark x1="8889" y1="76889" x2="8889" y2="76889"/>
                      <a14:foregroundMark x1="66667" y1="30222" x2="66667" y2="30222"/>
                      <a14:foregroundMark x1="56889" y1="20000" x2="56889" y2="20000"/>
                    </a14:backgroundRemoval>
                  </a14:imgEffect>
                </a14:imgLayer>
              </a14:imgProps>
            </a:ext>
            <a:ext uri="{28A0092B-C50C-407E-A947-70E740481C1C}">
              <a14:useLocalDpi xmlns:a14="http://schemas.microsoft.com/office/drawing/2010/main" val="0"/>
            </a:ext>
          </a:extLst>
        </a:blip>
        <a:stretch>
          <a:fillRect/>
        </a:stretch>
      </xdr:blipFill>
      <xdr:spPr>
        <a:xfrm>
          <a:off x="7301036" y="324718"/>
          <a:ext cx="497306" cy="506031"/>
        </a:xfrm>
        <a:prstGeom prst="rect">
          <a:avLst/>
        </a:prstGeom>
        <a:noFill/>
      </xdr:spPr>
    </xdr:pic>
    <xdr:clientData/>
  </xdr:twoCellAnchor>
  <xdr:twoCellAnchor editAs="oneCell">
    <xdr:from>
      <xdr:col>14</xdr:col>
      <xdr:colOff>0</xdr:colOff>
      <xdr:row>6</xdr:row>
      <xdr:rowOff>1867</xdr:rowOff>
    </xdr:from>
    <xdr:to>
      <xdr:col>19</xdr:col>
      <xdr:colOff>638735</xdr:colOff>
      <xdr:row>13</xdr:row>
      <xdr:rowOff>84668</xdr:rowOff>
    </xdr:to>
    <mc:AlternateContent xmlns:mc="http://schemas.openxmlformats.org/markup-compatibility/2006" xmlns:tsle="http://schemas.microsoft.com/office/drawing/2012/timeslicer">
      <mc:Choice Requires="tsle">
        <xdr:graphicFrame macro="">
          <xdr:nvGraphicFramePr>
            <xdr:cNvPr id="13" name="Month">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2/timeslicer">
              <tsle:timeslicer name="Month"/>
            </a:graphicData>
          </a:graphic>
        </xdr:graphicFrame>
      </mc:Choice>
      <mc:Fallback xmlns="">
        <xdr:sp macro="" textlink="">
          <xdr:nvSpPr>
            <xdr:cNvPr id="0" name=""/>
            <xdr:cNvSpPr>
              <a:spLocks noTextEdit="1"/>
            </xdr:cNvSpPr>
          </xdr:nvSpPr>
          <xdr:spPr>
            <a:xfrm>
              <a:off x="9001125" y="1001992"/>
              <a:ext cx="3877235" cy="121627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10026</xdr:colOff>
      <xdr:row>7</xdr:row>
      <xdr:rowOff>104775</xdr:rowOff>
    </xdr:from>
    <xdr:to>
      <xdr:col>2</xdr:col>
      <xdr:colOff>609600</xdr:colOff>
      <xdr:row>15</xdr:row>
      <xdr:rowOff>100765</xdr:rowOff>
    </xdr:to>
    <mc:AlternateContent xmlns:mc="http://schemas.openxmlformats.org/markup-compatibility/2006" xmlns:a14="http://schemas.microsoft.com/office/drawing/2010/main">
      <mc:Choice Requires="a14">
        <xdr:graphicFrame macro="">
          <xdr:nvGraphicFramePr>
            <xdr:cNvPr id="8" name="Secto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10026" y="1343025"/>
              <a:ext cx="1828299" cy="12913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110792</xdr:rowOff>
    </xdr:from>
    <xdr:to>
      <xdr:col>2</xdr:col>
      <xdr:colOff>609600</xdr:colOff>
      <xdr:row>25</xdr:row>
      <xdr:rowOff>30579</xdr:rowOff>
    </xdr:to>
    <mc:AlternateContent xmlns:mc="http://schemas.openxmlformats.org/markup-compatibility/2006" xmlns:a14="http://schemas.microsoft.com/office/drawing/2010/main">
      <mc:Choice Requires="a14">
        <xdr:graphicFrame macro="">
          <xdr:nvGraphicFramePr>
            <xdr:cNvPr id="10" name="Product">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2644442"/>
              <a:ext cx="1838325" cy="1539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38100</xdr:rowOff>
    </xdr:from>
    <xdr:to>
      <xdr:col>2</xdr:col>
      <xdr:colOff>600075</xdr:colOff>
      <xdr:row>39</xdr:row>
      <xdr:rowOff>0</xdr:rowOff>
    </xdr:to>
    <mc:AlternateContent xmlns:mc="http://schemas.openxmlformats.org/markup-compatibility/2006" xmlns:a14="http://schemas.microsoft.com/office/drawing/2010/main">
      <mc:Choice Requires="a14">
        <xdr:graphicFrame macro="">
          <xdr:nvGraphicFramePr>
            <xdr:cNvPr id="14" name="Customer">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0" y="3651082"/>
              <a:ext cx="1847850" cy="25306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xdr:colOff>
      <xdr:row>13</xdr:row>
      <xdr:rowOff>120314</xdr:rowOff>
    </xdr:from>
    <xdr:to>
      <xdr:col>16</xdr:col>
      <xdr:colOff>320844</xdr:colOff>
      <xdr:row>20</xdr:row>
      <xdr:rowOff>122719</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001126" y="2253914"/>
              <a:ext cx="1616243" cy="1135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350921</xdr:colOff>
      <xdr:row>13</xdr:row>
      <xdr:rowOff>100264</xdr:rowOff>
    </xdr:from>
    <xdr:to>
      <xdr:col>20</xdr:col>
      <xdr:colOff>0</xdr:colOff>
      <xdr:row>20</xdr:row>
      <xdr:rowOff>112058</xdr:rowOff>
    </xdr:to>
    <mc:AlternateContent xmlns:mc="http://schemas.openxmlformats.org/markup-compatibility/2006" xmlns:a14="http://schemas.microsoft.com/office/drawing/2010/main">
      <mc:Choice Requires="a14">
        <xdr:graphicFrame macro="">
          <xdr:nvGraphicFramePr>
            <xdr:cNvPr id="16" name="Country">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647446" y="2233864"/>
              <a:ext cx="2239879" cy="11452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1</xdr:colOff>
      <xdr:row>21</xdr:row>
      <xdr:rowOff>108136</xdr:rowOff>
    </xdr:from>
    <xdr:to>
      <xdr:col>19</xdr:col>
      <xdr:colOff>638175</xdr:colOff>
      <xdr:row>38</xdr:row>
      <xdr:rowOff>69476</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16384</xdr:col>
      <xdr:colOff>6381750</xdr:colOff>
      <xdr:row>5</xdr:row>
      <xdr:rowOff>4762</xdr:rowOff>
    </xdr:from>
    <xdr:to>
      <xdr:col>16384</xdr:col>
      <xdr:colOff>10953750</xdr:colOff>
      <xdr:row>21</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32904</xdr:colOff>
      <xdr:row>6</xdr:row>
      <xdr:rowOff>11207</xdr:rowOff>
    </xdr:from>
    <xdr:to>
      <xdr:col>9</xdr:col>
      <xdr:colOff>403412</xdr:colOff>
      <xdr:row>21</xdr:row>
      <xdr:rowOff>114300</xdr:rowOff>
    </xdr:to>
    <xdr:graphicFrame macro="">
      <xdr:nvGraphicFramePr>
        <xdr:cNvPr id="3" name="Chart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493059</xdr:colOff>
      <xdr:row>21</xdr:row>
      <xdr:rowOff>85726</xdr:rowOff>
    </xdr:from>
    <xdr:to>
      <xdr:col>14</xdr:col>
      <xdr:colOff>33618</xdr:colOff>
      <xdr:row>38</xdr:row>
      <xdr:rowOff>134471</xdr:rowOff>
    </xdr:to>
    <xdr:graphicFrame macro="">
      <xdr:nvGraphicFramePr>
        <xdr:cNvPr id="4" name="Chart 4">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459442</xdr:colOff>
      <xdr:row>6</xdr:row>
      <xdr:rowOff>11207</xdr:rowOff>
    </xdr:from>
    <xdr:to>
      <xdr:col>13</xdr:col>
      <xdr:colOff>616325</xdr:colOff>
      <xdr:row>21</xdr:row>
      <xdr:rowOff>56030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560294</xdr:colOff>
      <xdr:row>21</xdr:row>
      <xdr:rowOff>104775</xdr:rowOff>
    </xdr:from>
    <xdr:to>
      <xdr:col>10</xdr:col>
      <xdr:colOff>44824</xdr:colOff>
      <xdr:row>38</xdr:row>
      <xdr:rowOff>134471</xdr:rowOff>
    </xdr:to>
    <xdr:graphicFrame macro="">
      <xdr:nvGraphicFramePr>
        <xdr:cNvPr id="18" name="Chart 6">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352425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12</xdr:col>
      <xdr:colOff>380598</xdr:colOff>
      <xdr:row>26</xdr:row>
      <xdr:rowOff>38101</xdr:rowOff>
    </xdr:from>
    <xdr:to>
      <xdr:col>14</xdr:col>
      <xdr:colOff>130550</xdr:colOff>
      <xdr:row>28</xdr:row>
      <xdr:rowOff>38101</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8086323" y="4352926"/>
          <a:ext cx="1045352"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lumMod val="50000"/>
                </a:schemeClr>
              </a:solidFill>
              <a:latin typeface="Arial" panose="020B0604020202020204" pitchFamily="34" charset="0"/>
              <a:cs typeface="Arial" panose="020B0604020202020204" pitchFamily="34" charset="0"/>
            </a:rPr>
            <a:t>Outer</a:t>
          </a:r>
          <a:r>
            <a:rPr lang="en-US" sz="900" baseline="0">
              <a:solidFill>
                <a:schemeClr val="bg1">
                  <a:lumMod val="50000"/>
                </a:schemeClr>
              </a:solidFill>
              <a:latin typeface="Arial" panose="020B0604020202020204" pitchFamily="34" charset="0"/>
              <a:cs typeface="Arial" panose="020B0604020202020204" pitchFamily="34" charset="0"/>
            </a:rPr>
            <a:t> "Sales %"</a:t>
          </a:r>
          <a:endParaRPr lang="en-US" sz="90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xdr:from>
      <xdr:col>11</xdr:col>
      <xdr:colOff>252536</xdr:colOff>
      <xdr:row>30</xdr:row>
      <xdr:rowOff>123824</xdr:rowOff>
    </xdr:from>
    <xdr:to>
      <xdr:col>12</xdr:col>
      <xdr:colOff>269109</xdr:colOff>
      <xdr:row>34</xdr:row>
      <xdr:rowOff>123825</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7310561" y="5086349"/>
          <a:ext cx="664273" cy="647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lumMod val="50000"/>
                </a:schemeClr>
              </a:solidFill>
              <a:latin typeface="Arial" panose="020B0604020202020204" pitchFamily="34" charset="0"/>
              <a:cs typeface="Arial" panose="020B0604020202020204" pitchFamily="34" charset="0"/>
            </a:rPr>
            <a:t>Inner "AVG R.O.I"</a:t>
          </a:r>
        </a:p>
      </xdr:txBody>
    </xdr:sp>
    <xdr:clientData/>
  </xdr:twoCellAnchor>
  <mc:AlternateContent xmlns:mc="http://schemas.openxmlformats.org/markup-compatibility/2006">
    <mc:Choice xmlns:a14="http://schemas.microsoft.com/office/drawing/2010/main" Requires="a14">
      <xdr:twoCellAnchor>
        <xdr:from>
          <xdr:col>1</xdr:col>
          <xdr:colOff>371475</xdr:colOff>
          <xdr:row>6</xdr:row>
          <xdr:rowOff>9525</xdr:rowOff>
        </xdr:from>
        <xdr:to>
          <xdr:col>2</xdr:col>
          <xdr:colOff>609600</xdr:colOff>
          <xdr:row>7</xdr:row>
          <xdr:rowOff>104775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39.427561921293" createdVersion="6" refreshedVersion="6" minRefreshableVersion="3" recordCount="98" xr:uid="{6CCF8FE3-0119-4D5F-B6E7-3747E2F030A8}">
  <cacheSource type="worksheet">
    <worksheetSource name="sales"/>
  </cacheSource>
  <cacheFields count="20">
    <cacheField name="Date" numFmtId="166">
      <sharedItems containsSemiMixedTypes="0" containsNonDate="0" containsDate="1" containsString="0" minDate="2016-01-02T00:00:00" maxDate="2020-05-20T00:00:00" count="96">
        <d v="2019-04-06T00:00:00"/>
        <d v="2019-12-20T00:00:00"/>
        <d v="2016-11-06T00:00:00"/>
        <d v="2019-06-15T00:00:00"/>
        <d v="2019-07-19T00:00:00"/>
        <d v="2018-03-15T00:00:00"/>
        <d v="2017-02-15T00:00:00"/>
        <d v="2020-04-25T00:00:00"/>
        <d v="2017-06-21T00:00:00"/>
        <d v="2018-02-09T00:00:00"/>
        <d v="2018-05-21T00:00:00"/>
        <d v="2017-01-23T00:00:00"/>
        <d v="2018-11-17T00:00:00"/>
        <d v="2016-12-06T00:00:00"/>
        <d v="2016-06-29T00:00:00"/>
        <d v="2020-04-28T00:00:00"/>
        <d v="2016-07-22T00:00:00"/>
        <d v="2016-01-02T00:00:00"/>
        <d v="2018-01-26T00:00:00"/>
        <d v="2017-09-21T00:00:00"/>
        <d v="2016-08-17T00:00:00"/>
        <d v="2016-02-03T00:00:00"/>
        <d v="2016-03-03T00:00:00"/>
        <d v="2016-02-06T00:00:00"/>
        <d v="2019-11-04T00:00:00"/>
        <d v="2020-01-21T00:00:00"/>
        <d v="2018-03-05T00:00:00"/>
        <d v="2019-11-13T00:00:00"/>
        <d v="2017-10-25T00:00:00"/>
        <d v="2017-09-25T00:00:00"/>
        <d v="2016-10-20T00:00:00"/>
        <d v="2017-09-04T00:00:00"/>
        <d v="2019-01-28T00:00:00"/>
        <d v="2017-05-13T00:00:00"/>
        <d v="2016-09-26T00:00:00"/>
        <d v="2019-01-18T00:00:00"/>
        <d v="2020-04-24T00:00:00"/>
        <d v="2019-03-21T00:00:00"/>
        <d v="2019-01-27T00:00:00"/>
        <d v="2020-03-26T00:00:00"/>
        <d v="2017-08-04T00:00:00"/>
        <d v="2016-06-03T00:00:00"/>
        <d v="2017-01-09T00:00:00"/>
        <d v="2018-11-01T00:00:00"/>
        <d v="2019-04-28T00:00:00"/>
        <d v="2020-01-25T00:00:00"/>
        <d v="2016-06-19T00:00:00"/>
        <d v="2019-01-13T00:00:00"/>
        <d v="2018-11-02T00:00:00"/>
        <d v="2017-11-15T00:00:00"/>
        <d v="2016-01-20T00:00:00"/>
        <d v="2016-01-21T00:00:00"/>
        <d v="2019-12-04T00:00:00"/>
        <d v="2019-08-02T00:00:00"/>
        <d v="2019-07-20T00:00:00"/>
        <d v="2019-05-31T00:00:00"/>
        <d v="2016-09-02T00:00:00"/>
        <d v="2017-04-19T00:00:00"/>
        <d v="2017-11-09T00:00:00"/>
        <d v="2019-06-16T00:00:00"/>
        <d v="2016-01-10T00:00:00"/>
        <d v="2018-10-08T00:00:00"/>
        <d v="2016-06-07T00:00:00"/>
        <d v="2019-09-17T00:00:00"/>
        <d v="2016-01-26T00:00:00"/>
        <d v="2019-05-30T00:00:00"/>
        <d v="2019-02-04T00:00:00"/>
        <d v="2019-09-12T00:00:00"/>
        <d v="2019-12-23T00:00:00"/>
        <d v="2019-05-25T00:00:00"/>
        <d v="2018-04-21T00:00:00"/>
        <d v="2016-02-07T00:00:00"/>
        <d v="2019-07-06T00:00:00"/>
        <d v="2020-03-18T00:00:00"/>
        <d v="2018-06-03T00:00:00"/>
        <d v="2018-02-16T00:00:00"/>
        <d v="2018-08-31T00:00:00"/>
        <d v="2016-09-05T00:00:00"/>
        <d v="2017-05-28T00:00:00"/>
        <d v="2016-12-28T00:00:00"/>
        <d v="2019-05-22T00:00:00"/>
        <d v="2018-07-07T00:00:00"/>
        <d v="2019-04-29T00:00:00"/>
        <d v="2017-09-01T00:00:00"/>
        <d v="2016-01-09T00:00:00"/>
        <d v="2019-01-02T00:00:00"/>
        <d v="2016-09-27T00:00:00"/>
        <d v="2018-09-11T00:00:00"/>
        <d v="2016-01-03T00:00:00"/>
        <d v="2016-04-26T00:00:00"/>
        <d v="2018-12-10T00:00:00"/>
        <d v="2016-10-24T00:00:00"/>
        <d v="2017-04-11T00:00:00"/>
        <d v="2020-04-13T00:00:00"/>
        <d v="2020-05-19T00:00:00"/>
        <d v="2017-05-01T00:00:00"/>
      </sharedItems>
      <fieldGroup par="19" base="0">
        <rangePr groupBy="months" startDate="2016-01-02T00:00:00" endDate="2020-05-20T00:00:00"/>
        <groupItems count="14">
          <s v="&lt;01/02/2016"/>
          <s v="Jan"/>
          <s v="Feb"/>
          <s v="Mar"/>
          <s v="Apr"/>
          <s v="May"/>
          <s v="Jun"/>
          <s v="Jul"/>
          <s v="Aug"/>
          <s v="Sep"/>
          <s v="Oct"/>
          <s v="Nov"/>
          <s v="Dec"/>
          <s v="&gt;05/20/2020"/>
        </groupItems>
      </fieldGroup>
    </cacheField>
    <cacheField name="Month" numFmtId="167">
      <sharedItems containsSemiMixedTypes="0" containsNonDate="0" containsDate="1" containsString="0" minDate="2016-01-02T00:00:00" maxDate="2020-05-20T00:00:00" count="96">
        <d v="2019-04-06T00:00:00"/>
        <d v="2019-12-20T00:00:00"/>
        <d v="2016-11-06T00:00:00"/>
        <d v="2019-06-15T00:00:00"/>
        <d v="2019-07-19T00:00:00"/>
        <d v="2018-03-15T00:00:00"/>
        <d v="2017-02-15T00:00:00"/>
        <d v="2020-04-25T00:00:00"/>
        <d v="2017-06-21T00:00:00"/>
        <d v="2018-02-09T00:00:00"/>
        <d v="2018-05-21T00:00:00"/>
        <d v="2017-01-23T00:00:00"/>
        <d v="2018-11-17T00:00:00"/>
        <d v="2016-12-06T00:00:00"/>
        <d v="2016-06-29T00:00:00"/>
        <d v="2020-04-28T00:00:00"/>
        <d v="2016-07-22T00:00:00"/>
        <d v="2016-01-02T00:00:00"/>
        <d v="2018-01-26T00:00:00"/>
        <d v="2017-09-21T00:00:00"/>
        <d v="2016-08-17T00:00:00"/>
        <d v="2016-02-03T00:00:00"/>
        <d v="2016-03-03T00:00:00"/>
        <d v="2016-02-06T00:00:00"/>
        <d v="2019-11-04T00:00:00"/>
        <d v="2020-01-21T00:00:00"/>
        <d v="2018-03-05T00:00:00"/>
        <d v="2019-11-13T00:00:00"/>
        <d v="2017-10-25T00:00:00"/>
        <d v="2017-09-25T00:00:00"/>
        <d v="2016-10-20T00:00:00"/>
        <d v="2017-09-04T00:00:00"/>
        <d v="2019-01-28T00:00:00"/>
        <d v="2017-05-13T00:00:00"/>
        <d v="2016-09-26T00:00:00"/>
        <d v="2019-01-18T00:00:00"/>
        <d v="2020-04-24T00:00:00"/>
        <d v="2019-03-21T00:00:00"/>
        <d v="2019-01-27T00:00:00"/>
        <d v="2020-03-26T00:00:00"/>
        <d v="2017-08-04T00:00:00"/>
        <d v="2016-06-03T00:00:00"/>
        <d v="2017-01-09T00:00:00"/>
        <d v="2018-11-01T00:00:00"/>
        <d v="2019-04-28T00:00:00"/>
        <d v="2020-01-25T00:00:00"/>
        <d v="2016-06-19T00:00:00"/>
        <d v="2019-01-13T00:00:00"/>
        <d v="2018-11-02T00:00:00"/>
        <d v="2017-11-15T00:00:00"/>
        <d v="2016-01-20T00:00:00"/>
        <d v="2016-01-21T00:00:00"/>
        <d v="2019-12-04T00:00:00"/>
        <d v="2019-08-02T00:00:00"/>
        <d v="2019-07-20T00:00:00"/>
        <d v="2019-05-31T00:00:00"/>
        <d v="2016-09-02T00:00:00"/>
        <d v="2017-04-19T00:00:00"/>
        <d v="2017-11-09T00:00:00"/>
        <d v="2019-06-16T00:00:00"/>
        <d v="2016-01-10T00:00:00"/>
        <d v="2018-10-08T00:00:00"/>
        <d v="2016-06-07T00:00:00"/>
        <d v="2019-09-17T00:00:00"/>
        <d v="2016-01-26T00:00:00"/>
        <d v="2019-05-30T00:00:00"/>
        <d v="2019-02-04T00:00:00"/>
        <d v="2019-09-12T00:00:00"/>
        <d v="2019-12-23T00:00:00"/>
        <d v="2019-05-25T00:00:00"/>
        <d v="2018-04-21T00:00:00"/>
        <d v="2016-02-07T00:00:00"/>
        <d v="2019-07-06T00:00:00"/>
        <d v="2020-03-18T00:00:00"/>
        <d v="2018-06-03T00:00:00"/>
        <d v="2018-02-16T00:00:00"/>
        <d v="2018-08-31T00:00:00"/>
        <d v="2016-09-05T00:00:00"/>
        <d v="2017-05-28T00:00:00"/>
        <d v="2016-12-28T00:00:00"/>
        <d v="2019-05-22T00:00:00"/>
        <d v="2018-07-07T00:00:00"/>
        <d v="2019-04-29T00:00:00"/>
        <d v="2017-09-01T00:00:00"/>
        <d v="2016-01-09T00:00:00"/>
        <d v="2019-01-02T00:00:00"/>
        <d v="2016-09-27T00:00:00"/>
        <d v="2018-09-11T00:00:00"/>
        <d v="2016-01-03T00:00:00"/>
        <d v="2016-04-26T00:00:00"/>
        <d v="2018-12-10T00:00:00"/>
        <d v="2016-10-24T00:00:00"/>
        <d v="2017-04-11T00:00:00"/>
        <d v="2020-04-13T00:00:00"/>
        <d v="2020-05-19T00:00:00"/>
        <d v="2017-05-01T00:00:00"/>
      </sharedItems>
      <fieldGroup par="17" base="1">
        <rangePr groupBy="months" startDate="2016-01-02T00:00:00" endDate="2020-05-20T00:00:00"/>
        <groupItems count="14">
          <s v="&lt;01/02/2016"/>
          <s v="Jan"/>
          <s v="Feb"/>
          <s v="Mar"/>
          <s v="Apr"/>
          <s v="May"/>
          <s v="Jun"/>
          <s v="Jul"/>
          <s v="Aug"/>
          <s v="Sep"/>
          <s v="Oct"/>
          <s v="Nov"/>
          <s v="Dec"/>
          <s v="&gt;05/20/2020"/>
        </groupItems>
      </fieldGroup>
    </cacheField>
    <cacheField name="Year" numFmtId="168">
      <sharedItems containsSemiMixedTypes="0" containsNonDate="0" containsDate="1" containsString="0" minDate="2016-01-02T00:00:00" maxDate="2020-05-20T00:00:00"/>
    </cacheField>
    <cacheField name="Product" numFmtId="0">
      <sharedItems count="9">
        <s v="FLDW244"/>
        <s v="43LM55"/>
        <s v="49UK63"/>
        <s v="REF23412"/>
        <s v="FLDQ260"/>
        <s v="65US66"/>
        <s v="REF22145"/>
        <s v="FLDBL123"/>
        <s v="55UM73"/>
      </sharedItems>
    </cacheField>
    <cacheField name="Part Number" numFmtId="0">
      <sharedItems/>
    </cacheField>
    <cacheField name="Sector" numFmtId="0">
      <sharedItems count="3">
        <s v="Washing Machine"/>
        <s v="Television"/>
        <s v="Refrigerator"/>
      </sharedItems>
    </cacheField>
    <cacheField name="Customer" numFmtId="0">
      <sharedItems count="11">
        <s v="ACC"/>
        <s v="CDA"/>
        <s v="ABC"/>
        <s v="DDD"/>
        <s v="AAA"/>
        <s v="CCC"/>
        <s v="BCC"/>
        <s v="BBB"/>
        <s v="ADD"/>
        <s v="EDA"/>
        <s v="CAD"/>
      </sharedItems>
    </cacheField>
    <cacheField name="Country" numFmtId="0">
      <sharedItems count="11">
        <s v="Canada"/>
        <s v="Finland"/>
        <s v="France"/>
        <s v="Cameroon"/>
        <s v="Egypt"/>
        <s v="England"/>
        <s v="China"/>
        <s v="Ghana"/>
        <s v="Brazil"/>
        <s v="Korea"/>
        <s v="New Zealand"/>
      </sharedItems>
    </cacheField>
    <cacheField name="Region" numFmtId="0">
      <sharedItems count="7">
        <s v="North America"/>
        <s v="Europe"/>
        <s v="Africa"/>
        <s v="Middle East"/>
        <s v="Asia"/>
        <s v="South America"/>
        <s v="Australlia"/>
      </sharedItems>
    </cacheField>
    <cacheField name="Sales Qty." numFmtId="165">
      <sharedItems containsSemiMixedTypes="0" containsString="0" containsNumber="1" containsInteger="1" minValue="2000" maxValue="79683"/>
    </cacheField>
    <cacheField name="Item Cost" numFmtId="165">
      <sharedItems containsSemiMixedTypes="0" containsString="0" containsNumber="1" containsInteger="1" minValue="9" maxValue="16"/>
    </cacheField>
    <cacheField name="Total Cost" numFmtId="165">
      <sharedItems containsSemiMixedTypes="0" containsString="0" containsNumber="1" containsInteger="1" minValue="18000" maxValue="1238000"/>
    </cacheField>
    <cacheField name="Item Price" numFmtId="165">
      <sharedItems containsSemiMixedTypes="0" containsString="0" containsNumber="1" containsInteger="1" minValue="10" maxValue="18"/>
    </cacheField>
    <cacheField name="Revenue" numFmtId="165">
      <sharedItems containsSemiMixedTypes="0" containsString="0" containsNumber="1" containsInteger="1" minValue="20000" maxValue="1434294"/>
    </cacheField>
    <cacheField name="Profit" numFmtId="165">
      <sharedItems containsSemiMixedTypes="0" containsString="0" containsNumber="1" containsInteger="1" minValue="2000" maxValue="316992"/>
    </cacheField>
    <cacheField name="R.O.I" numFmtId="9">
      <sharedItems containsSemiMixedTypes="0" containsString="0" containsNumber="1" minValue="0.1111111111111111" maxValue="0.33333333333333331"/>
    </cacheField>
    <cacheField name="Quarters" numFmtId="0" databaseField="0">
      <fieldGroup base="1">
        <rangePr groupBy="quarters" startDate="2016-01-02T00:00:00" endDate="2020-05-20T00:00:00"/>
        <groupItems count="6">
          <s v="&lt;01/02/2016"/>
          <s v="Qtr1"/>
          <s v="Qtr2"/>
          <s v="Qtr3"/>
          <s v="Qtr4"/>
          <s v="&gt;05/20/2020"/>
        </groupItems>
      </fieldGroup>
    </cacheField>
    <cacheField name="Years" numFmtId="0" databaseField="0">
      <fieldGroup base="1">
        <rangePr groupBy="years" startDate="2016-01-02T00:00:00" endDate="2020-05-20T00:00:00"/>
        <groupItems count="7">
          <s v="&lt;01/02/2016"/>
          <s v="2016"/>
          <s v="2017"/>
          <s v="2018"/>
          <s v="2019"/>
          <s v="2020"/>
          <s v="&gt;05/20/2020"/>
        </groupItems>
      </fieldGroup>
    </cacheField>
    <cacheField name="Quarters2" numFmtId="0" databaseField="0">
      <fieldGroup base="0">
        <rangePr groupBy="quarters" startDate="2016-01-02T00:00:00" endDate="2020-05-20T00:00:00"/>
        <groupItems count="6">
          <s v="&lt;01/02/2016"/>
          <s v="Qtr1"/>
          <s v="Qtr2"/>
          <s v="Qtr3"/>
          <s v="Qtr4"/>
          <s v="&gt;05/20/2020"/>
        </groupItems>
      </fieldGroup>
    </cacheField>
    <cacheField name="Years2" numFmtId="0" databaseField="0">
      <fieldGroup base="0">
        <rangePr groupBy="years" startDate="2016-01-02T00:00:00" endDate="2020-05-20T00:00:00"/>
        <groupItems count="7">
          <s v="&lt;01/02/2016"/>
          <s v="2016"/>
          <s v="2017"/>
          <s v="2018"/>
          <s v="2019"/>
          <s v="2020"/>
          <s v="&gt;05/20/2020"/>
        </groupItems>
      </fieldGroup>
    </cacheField>
  </cacheFields>
  <extLst>
    <ext xmlns:x14="http://schemas.microsoft.com/office/spreadsheetml/2009/9/main" uri="{725AE2AE-9491-48be-B2B4-4EB974FC3084}">
      <x14:pivotCacheDefinition pivotCacheId="622163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
  <r>
    <x v="0"/>
    <x v="0"/>
    <d v="2019-04-06T00:00:00"/>
    <x v="0"/>
    <s v="MES5014"/>
    <x v="0"/>
    <x v="0"/>
    <x v="0"/>
    <x v="0"/>
    <n v="5000"/>
    <n v="12"/>
    <n v="60000"/>
    <n v="16"/>
    <n v="80000"/>
    <n v="20000"/>
    <n v="0.33333333333333331"/>
  </r>
  <r>
    <x v="1"/>
    <x v="1"/>
    <d v="2019-12-20T00:00:00"/>
    <x v="1"/>
    <s v="ACQ2004"/>
    <x v="1"/>
    <x v="1"/>
    <x v="1"/>
    <x v="1"/>
    <n v="2000"/>
    <n v="9"/>
    <n v="18000"/>
    <n v="10"/>
    <n v="20000"/>
    <n v="2000"/>
    <n v="0.1111111111111111"/>
  </r>
  <r>
    <x v="2"/>
    <x v="2"/>
    <d v="2016-11-06T00:00:00"/>
    <x v="2"/>
    <s v="ACQ2005"/>
    <x v="1"/>
    <x v="2"/>
    <x v="2"/>
    <x v="1"/>
    <n v="58167"/>
    <n v="10"/>
    <n v="581670"/>
    <n v="12"/>
    <n v="698004"/>
    <n v="116334"/>
    <n v="0.2"/>
  </r>
  <r>
    <x v="3"/>
    <x v="3"/>
    <d v="2019-06-15T00:00:00"/>
    <x v="0"/>
    <s v="MES5014"/>
    <x v="0"/>
    <x v="1"/>
    <x v="1"/>
    <x v="1"/>
    <n v="51143"/>
    <n v="12"/>
    <n v="613716"/>
    <n v="16"/>
    <n v="818288"/>
    <n v="204572"/>
    <n v="0.33333333333333331"/>
  </r>
  <r>
    <x v="4"/>
    <x v="4"/>
    <d v="2019-07-19T00:00:00"/>
    <x v="1"/>
    <s v="ACQ2004"/>
    <x v="1"/>
    <x v="3"/>
    <x v="3"/>
    <x v="2"/>
    <n v="57560"/>
    <n v="9"/>
    <n v="518040"/>
    <n v="10"/>
    <n v="575600"/>
    <n v="57560"/>
    <n v="0.1111111111111111"/>
  </r>
  <r>
    <x v="5"/>
    <x v="5"/>
    <d v="2018-03-15T00:00:00"/>
    <x v="2"/>
    <s v="ACQ2005"/>
    <x v="1"/>
    <x v="2"/>
    <x v="2"/>
    <x v="1"/>
    <n v="72242"/>
    <n v="10"/>
    <n v="722420"/>
    <n v="12"/>
    <n v="866904"/>
    <n v="144484"/>
    <n v="0.2"/>
  </r>
  <r>
    <x v="6"/>
    <x v="6"/>
    <d v="2017-02-15T00:00:00"/>
    <x v="3"/>
    <s v="MAM454"/>
    <x v="2"/>
    <x v="1"/>
    <x v="1"/>
    <x v="1"/>
    <n v="76736"/>
    <n v="15"/>
    <n v="1151040"/>
    <n v="18"/>
    <n v="1381248"/>
    <n v="230208"/>
    <n v="0.2"/>
  </r>
  <r>
    <x v="7"/>
    <x v="7"/>
    <d v="2020-04-25T00:00:00"/>
    <x v="0"/>
    <s v="MES5014"/>
    <x v="0"/>
    <x v="2"/>
    <x v="2"/>
    <x v="1"/>
    <n v="79248"/>
    <n v="12"/>
    <n v="950976"/>
    <n v="16"/>
    <n v="1267968"/>
    <n v="316992"/>
    <n v="0.33333333333333331"/>
  </r>
  <r>
    <x v="8"/>
    <x v="8"/>
    <d v="2017-06-21T00:00:00"/>
    <x v="1"/>
    <s v="ACQ2004"/>
    <x v="1"/>
    <x v="4"/>
    <x v="4"/>
    <x v="3"/>
    <n v="59945"/>
    <n v="9"/>
    <n v="539505"/>
    <n v="10"/>
    <n v="599450"/>
    <n v="59945"/>
    <n v="0.1111111111111111"/>
  </r>
  <r>
    <x v="9"/>
    <x v="9"/>
    <d v="2018-02-09T00:00:00"/>
    <x v="4"/>
    <s v="MES4111"/>
    <x v="0"/>
    <x v="5"/>
    <x v="5"/>
    <x v="1"/>
    <n v="77524"/>
    <n v="13"/>
    <n v="1007812"/>
    <n v="15"/>
    <n v="1162860"/>
    <n v="155048"/>
    <n v="0.15384615384615385"/>
  </r>
  <r>
    <x v="10"/>
    <x v="10"/>
    <d v="2018-05-21T00:00:00"/>
    <x v="5"/>
    <s v="ACQ2010"/>
    <x v="1"/>
    <x v="4"/>
    <x v="4"/>
    <x v="3"/>
    <n v="52732"/>
    <n v="14"/>
    <n v="738248"/>
    <n v="16"/>
    <n v="843712"/>
    <n v="105464"/>
    <n v="0.14285714285714285"/>
  </r>
  <r>
    <x v="11"/>
    <x v="11"/>
    <d v="2017-01-23T00:00:00"/>
    <x v="6"/>
    <s v="MAM1543"/>
    <x v="2"/>
    <x v="3"/>
    <x v="3"/>
    <x v="2"/>
    <n v="70583"/>
    <n v="16"/>
    <n v="1129328"/>
    <n v="18"/>
    <n v="1270494"/>
    <n v="141166"/>
    <n v="0.125"/>
  </r>
  <r>
    <x v="12"/>
    <x v="12"/>
    <d v="2018-11-17T00:00:00"/>
    <x v="4"/>
    <s v="MES4111"/>
    <x v="0"/>
    <x v="6"/>
    <x v="6"/>
    <x v="4"/>
    <n v="53112"/>
    <n v="13"/>
    <n v="690456"/>
    <n v="15"/>
    <n v="796680"/>
    <n v="106224"/>
    <n v="0.15384615384615385"/>
  </r>
  <r>
    <x v="13"/>
    <x v="13"/>
    <d v="2016-12-06T00:00:00"/>
    <x v="7"/>
    <s v="MES51214"/>
    <x v="0"/>
    <x v="1"/>
    <x v="1"/>
    <x v="1"/>
    <n v="58491"/>
    <n v="13"/>
    <n v="760383"/>
    <n v="17"/>
    <n v="994347"/>
    <n v="233964"/>
    <n v="0.30769230769230771"/>
  </r>
  <r>
    <x v="14"/>
    <x v="14"/>
    <d v="2016-06-29T00:00:00"/>
    <x v="0"/>
    <s v="MES5014"/>
    <x v="0"/>
    <x v="5"/>
    <x v="5"/>
    <x v="1"/>
    <n v="54185"/>
    <n v="12"/>
    <n v="650220"/>
    <n v="16"/>
    <n v="866960"/>
    <n v="216740"/>
    <n v="0.33333333333333331"/>
  </r>
  <r>
    <x v="15"/>
    <x v="15"/>
    <d v="2020-04-28T00:00:00"/>
    <x v="1"/>
    <s v="ACQ2004"/>
    <x v="1"/>
    <x v="7"/>
    <x v="7"/>
    <x v="2"/>
    <n v="63973"/>
    <n v="9"/>
    <n v="575757"/>
    <n v="10"/>
    <n v="639730"/>
    <n v="63973"/>
    <n v="0.1111111111111111"/>
  </r>
  <r>
    <x v="16"/>
    <x v="16"/>
    <d v="2016-07-22T00:00:00"/>
    <x v="2"/>
    <s v="ACQ2005"/>
    <x v="1"/>
    <x v="5"/>
    <x v="5"/>
    <x v="1"/>
    <n v="79078"/>
    <n v="10"/>
    <n v="790780"/>
    <n v="12"/>
    <n v="948936"/>
    <n v="158156"/>
    <n v="0.2"/>
  </r>
  <r>
    <x v="17"/>
    <x v="17"/>
    <d v="2016-01-02T00:00:00"/>
    <x v="7"/>
    <s v="MES51214"/>
    <x v="0"/>
    <x v="8"/>
    <x v="8"/>
    <x v="5"/>
    <n v="59629"/>
    <n v="13"/>
    <n v="775177"/>
    <n v="17"/>
    <n v="1013693"/>
    <n v="238516"/>
    <n v="0.30769230769230771"/>
  </r>
  <r>
    <x v="18"/>
    <x v="18"/>
    <d v="2018-01-26T00:00:00"/>
    <x v="4"/>
    <s v="MES4111"/>
    <x v="0"/>
    <x v="5"/>
    <x v="5"/>
    <x v="1"/>
    <n v="63435"/>
    <n v="13"/>
    <n v="824655"/>
    <n v="15"/>
    <n v="951525"/>
    <n v="126870"/>
    <n v="0.15384615384615385"/>
  </r>
  <r>
    <x v="19"/>
    <x v="19"/>
    <d v="2017-09-21T00:00:00"/>
    <x v="5"/>
    <s v="ACQ2010"/>
    <x v="1"/>
    <x v="1"/>
    <x v="1"/>
    <x v="1"/>
    <n v="56702"/>
    <n v="14"/>
    <n v="793828"/>
    <n v="16"/>
    <n v="907232"/>
    <n v="113404"/>
    <n v="0.14285714285714285"/>
  </r>
  <r>
    <x v="20"/>
    <x v="20"/>
    <d v="2016-08-17T00:00:00"/>
    <x v="6"/>
    <s v="MAM1543"/>
    <x v="2"/>
    <x v="1"/>
    <x v="1"/>
    <x v="1"/>
    <n v="77375"/>
    <n v="16"/>
    <n v="1238000"/>
    <n v="18"/>
    <n v="1392750"/>
    <n v="154750"/>
    <n v="0.125"/>
  </r>
  <r>
    <x v="21"/>
    <x v="21"/>
    <d v="2016-02-03T00:00:00"/>
    <x v="5"/>
    <s v="ACQ2010"/>
    <x v="1"/>
    <x v="2"/>
    <x v="2"/>
    <x v="1"/>
    <n v="78966"/>
    <n v="14"/>
    <n v="1105524"/>
    <n v="16"/>
    <n v="1263456"/>
    <n v="157932"/>
    <n v="0.14285714285714285"/>
  </r>
  <r>
    <x v="22"/>
    <x v="22"/>
    <d v="2016-03-03T00:00:00"/>
    <x v="5"/>
    <s v="ACQ2010"/>
    <x v="1"/>
    <x v="7"/>
    <x v="7"/>
    <x v="2"/>
    <n v="79489"/>
    <n v="14"/>
    <n v="1112846"/>
    <n v="16"/>
    <n v="1271824"/>
    <n v="158978"/>
    <n v="0.14285714285714285"/>
  </r>
  <r>
    <x v="23"/>
    <x v="23"/>
    <d v="2016-02-06T00:00:00"/>
    <x v="5"/>
    <s v="ACQ2010"/>
    <x v="1"/>
    <x v="2"/>
    <x v="2"/>
    <x v="1"/>
    <n v="66176"/>
    <n v="14"/>
    <n v="926464"/>
    <n v="16"/>
    <n v="1058816"/>
    <n v="132352"/>
    <n v="0.14285714285714285"/>
  </r>
  <r>
    <x v="24"/>
    <x v="24"/>
    <d v="2019-11-04T00:00:00"/>
    <x v="3"/>
    <s v="MAM454"/>
    <x v="2"/>
    <x v="5"/>
    <x v="5"/>
    <x v="1"/>
    <n v="70918"/>
    <n v="15"/>
    <n v="1063770"/>
    <n v="18"/>
    <n v="1276524"/>
    <n v="212754"/>
    <n v="0.2"/>
  </r>
  <r>
    <x v="25"/>
    <x v="25"/>
    <d v="2020-01-21T00:00:00"/>
    <x v="4"/>
    <s v="MES4111"/>
    <x v="0"/>
    <x v="6"/>
    <x v="6"/>
    <x v="4"/>
    <n v="76246"/>
    <n v="13"/>
    <n v="991198"/>
    <n v="15"/>
    <n v="1143690"/>
    <n v="152492"/>
    <n v="0.15384615384615385"/>
  </r>
  <r>
    <x v="26"/>
    <x v="26"/>
    <d v="2018-03-05T00:00:00"/>
    <x v="8"/>
    <s v="ACQ2009"/>
    <x v="1"/>
    <x v="2"/>
    <x v="2"/>
    <x v="1"/>
    <n v="60225"/>
    <n v="12"/>
    <n v="722700"/>
    <n v="15"/>
    <n v="903375"/>
    <n v="180675"/>
    <n v="0.25"/>
  </r>
  <r>
    <x v="27"/>
    <x v="27"/>
    <d v="2019-11-13T00:00:00"/>
    <x v="6"/>
    <s v="MAM1543"/>
    <x v="2"/>
    <x v="0"/>
    <x v="0"/>
    <x v="0"/>
    <n v="51010"/>
    <n v="16"/>
    <n v="816160"/>
    <n v="18"/>
    <n v="918180"/>
    <n v="102020"/>
    <n v="0.125"/>
  </r>
  <r>
    <x v="28"/>
    <x v="28"/>
    <d v="2017-10-25T00:00:00"/>
    <x v="0"/>
    <s v="MES5014"/>
    <x v="0"/>
    <x v="5"/>
    <x v="5"/>
    <x v="1"/>
    <n v="53738"/>
    <n v="12"/>
    <n v="644856"/>
    <n v="16"/>
    <n v="859808"/>
    <n v="214952"/>
    <n v="0.33333333333333331"/>
  </r>
  <r>
    <x v="29"/>
    <x v="29"/>
    <d v="2017-09-25T00:00:00"/>
    <x v="5"/>
    <s v="ACQ2010"/>
    <x v="1"/>
    <x v="2"/>
    <x v="2"/>
    <x v="1"/>
    <n v="51466"/>
    <n v="14"/>
    <n v="720524"/>
    <n v="16"/>
    <n v="823456"/>
    <n v="102932"/>
    <n v="0.14285714285714285"/>
  </r>
  <r>
    <x v="30"/>
    <x v="30"/>
    <d v="2016-10-20T00:00:00"/>
    <x v="4"/>
    <s v="MES4111"/>
    <x v="0"/>
    <x v="0"/>
    <x v="0"/>
    <x v="0"/>
    <n v="76656"/>
    <n v="13"/>
    <n v="996528"/>
    <n v="15"/>
    <n v="1149840"/>
    <n v="153312"/>
    <n v="0.15384615384615385"/>
  </r>
  <r>
    <x v="31"/>
    <x v="31"/>
    <d v="2017-09-04T00:00:00"/>
    <x v="4"/>
    <s v="MES4111"/>
    <x v="0"/>
    <x v="5"/>
    <x v="5"/>
    <x v="1"/>
    <n v="50034"/>
    <n v="13"/>
    <n v="650442"/>
    <n v="15"/>
    <n v="750510"/>
    <n v="100068"/>
    <n v="0.15384615384615385"/>
  </r>
  <r>
    <x v="32"/>
    <x v="32"/>
    <d v="2019-01-28T00:00:00"/>
    <x v="2"/>
    <s v="ACQ2005"/>
    <x v="1"/>
    <x v="2"/>
    <x v="2"/>
    <x v="1"/>
    <n v="61824"/>
    <n v="10"/>
    <n v="618240"/>
    <n v="12"/>
    <n v="741888"/>
    <n v="123648"/>
    <n v="0.2"/>
  </r>
  <r>
    <x v="33"/>
    <x v="33"/>
    <d v="2017-05-13T00:00:00"/>
    <x v="5"/>
    <s v="ACQ2010"/>
    <x v="1"/>
    <x v="3"/>
    <x v="3"/>
    <x v="2"/>
    <n v="56062"/>
    <n v="14"/>
    <n v="784868"/>
    <n v="16"/>
    <n v="896992"/>
    <n v="112124"/>
    <n v="0.14285714285714285"/>
  </r>
  <r>
    <x v="34"/>
    <x v="34"/>
    <d v="2016-09-26T00:00:00"/>
    <x v="6"/>
    <s v="MAM1543"/>
    <x v="2"/>
    <x v="2"/>
    <x v="2"/>
    <x v="1"/>
    <n v="76546"/>
    <n v="16"/>
    <n v="1224736"/>
    <n v="18"/>
    <n v="1377828"/>
    <n v="153092"/>
    <n v="0.125"/>
  </r>
  <r>
    <x v="35"/>
    <x v="35"/>
    <d v="2019-01-18T00:00:00"/>
    <x v="1"/>
    <s v="ACQ2004"/>
    <x v="1"/>
    <x v="4"/>
    <x v="4"/>
    <x v="3"/>
    <n v="61335"/>
    <n v="9"/>
    <n v="552015"/>
    <n v="10"/>
    <n v="613350"/>
    <n v="61335"/>
    <n v="0.1111111111111111"/>
  </r>
  <r>
    <x v="36"/>
    <x v="36"/>
    <d v="2020-04-24T00:00:00"/>
    <x v="5"/>
    <s v="ACQ2010"/>
    <x v="1"/>
    <x v="8"/>
    <x v="8"/>
    <x v="5"/>
    <n v="58501"/>
    <n v="14"/>
    <n v="819014"/>
    <n v="16"/>
    <n v="936016"/>
    <n v="117002"/>
    <n v="0.14285714285714285"/>
  </r>
  <r>
    <x v="37"/>
    <x v="37"/>
    <d v="2019-03-21T00:00:00"/>
    <x v="0"/>
    <s v="MES5014"/>
    <x v="0"/>
    <x v="8"/>
    <x v="8"/>
    <x v="5"/>
    <n v="64852"/>
    <n v="12"/>
    <n v="778224"/>
    <n v="16"/>
    <n v="1037632"/>
    <n v="259408"/>
    <n v="0.33333333333333331"/>
  </r>
  <r>
    <x v="38"/>
    <x v="38"/>
    <d v="2019-01-27T00:00:00"/>
    <x v="2"/>
    <s v="ACQ2005"/>
    <x v="1"/>
    <x v="4"/>
    <x v="4"/>
    <x v="3"/>
    <n v="67383"/>
    <n v="10"/>
    <n v="673830"/>
    <n v="12"/>
    <n v="808596"/>
    <n v="134766"/>
    <n v="0.2"/>
  </r>
  <r>
    <x v="39"/>
    <x v="39"/>
    <d v="2020-03-26T00:00:00"/>
    <x v="7"/>
    <s v="MES51214"/>
    <x v="0"/>
    <x v="6"/>
    <x v="6"/>
    <x v="4"/>
    <n v="74829"/>
    <n v="13"/>
    <n v="972777"/>
    <n v="17"/>
    <n v="1272093"/>
    <n v="299316"/>
    <n v="0.30769230769230771"/>
  </r>
  <r>
    <x v="40"/>
    <x v="40"/>
    <d v="2017-08-04T00:00:00"/>
    <x v="2"/>
    <s v="ACQ2005"/>
    <x v="1"/>
    <x v="3"/>
    <x v="3"/>
    <x v="2"/>
    <n v="69020"/>
    <n v="10"/>
    <n v="690200"/>
    <n v="12"/>
    <n v="828240"/>
    <n v="138040"/>
    <n v="0.2"/>
  </r>
  <r>
    <x v="41"/>
    <x v="41"/>
    <d v="2016-06-03T00:00:00"/>
    <x v="8"/>
    <s v="ACQ2009"/>
    <x v="1"/>
    <x v="2"/>
    <x v="2"/>
    <x v="1"/>
    <n v="69424"/>
    <n v="12"/>
    <n v="833088"/>
    <n v="15"/>
    <n v="1041360"/>
    <n v="208272"/>
    <n v="0.25"/>
  </r>
  <r>
    <x v="42"/>
    <x v="42"/>
    <d v="2017-01-09T00:00:00"/>
    <x v="2"/>
    <s v="ACQ2005"/>
    <x v="1"/>
    <x v="8"/>
    <x v="8"/>
    <x v="5"/>
    <n v="67401"/>
    <n v="10"/>
    <n v="674010"/>
    <n v="12"/>
    <n v="808812"/>
    <n v="134802"/>
    <n v="0.2"/>
  </r>
  <r>
    <x v="43"/>
    <x v="43"/>
    <d v="2018-11-01T00:00:00"/>
    <x v="1"/>
    <s v="ACQ2004"/>
    <x v="1"/>
    <x v="8"/>
    <x v="8"/>
    <x v="5"/>
    <n v="71231"/>
    <n v="9"/>
    <n v="641079"/>
    <n v="10"/>
    <n v="712310"/>
    <n v="71231"/>
    <n v="0.1111111111111111"/>
  </r>
  <r>
    <x v="44"/>
    <x v="44"/>
    <d v="2019-04-28T00:00:00"/>
    <x v="7"/>
    <s v="MES51214"/>
    <x v="0"/>
    <x v="5"/>
    <x v="5"/>
    <x v="1"/>
    <n v="54136"/>
    <n v="13"/>
    <n v="703768"/>
    <n v="17"/>
    <n v="920312"/>
    <n v="216544"/>
    <n v="0.30769230769230771"/>
  </r>
  <r>
    <x v="45"/>
    <x v="45"/>
    <d v="2020-01-25T00:00:00"/>
    <x v="5"/>
    <s v="ACQ2010"/>
    <x v="1"/>
    <x v="3"/>
    <x v="3"/>
    <x v="2"/>
    <n v="74346"/>
    <n v="14"/>
    <n v="1040844"/>
    <n v="16"/>
    <n v="1189536"/>
    <n v="148692"/>
    <n v="0.14285714285714285"/>
  </r>
  <r>
    <x v="46"/>
    <x v="46"/>
    <d v="2016-06-19T00:00:00"/>
    <x v="3"/>
    <s v="MAM454"/>
    <x v="2"/>
    <x v="5"/>
    <x v="5"/>
    <x v="1"/>
    <n v="51187"/>
    <n v="15"/>
    <n v="767805"/>
    <n v="18"/>
    <n v="921366"/>
    <n v="153561"/>
    <n v="0.2"/>
  </r>
  <r>
    <x v="47"/>
    <x v="47"/>
    <d v="2019-01-13T00:00:00"/>
    <x v="2"/>
    <s v="ACQ2005"/>
    <x v="1"/>
    <x v="3"/>
    <x v="3"/>
    <x v="2"/>
    <n v="65014"/>
    <n v="10"/>
    <n v="650140"/>
    <n v="12"/>
    <n v="780168"/>
    <n v="130028"/>
    <n v="0.2"/>
  </r>
  <r>
    <x v="48"/>
    <x v="48"/>
    <d v="2018-11-02T00:00:00"/>
    <x v="4"/>
    <s v="MES4111"/>
    <x v="0"/>
    <x v="6"/>
    <x v="6"/>
    <x v="4"/>
    <n v="59062"/>
    <n v="13"/>
    <n v="767806"/>
    <n v="15"/>
    <n v="885930"/>
    <n v="118124"/>
    <n v="0.15384615384615385"/>
  </r>
  <r>
    <x v="49"/>
    <x v="49"/>
    <d v="2017-11-15T00:00:00"/>
    <x v="5"/>
    <s v="ACQ2010"/>
    <x v="1"/>
    <x v="2"/>
    <x v="2"/>
    <x v="1"/>
    <n v="66105"/>
    <n v="14"/>
    <n v="925470"/>
    <n v="16"/>
    <n v="1057680"/>
    <n v="132210"/>
    <n v="0.14285714285714285"/>
  </r>
  <r>
    <x v="50"/>
    <x v="50"/>
    <d v="2016-01-20T00:00:00"/>
    <x v="6"/>
    <s v="MAM1543"/>
    <x v="2"/>
    <x v="6"/>
    <x v="6"/>
    <x v="4"/>
    <n v="54452"/>
    <n v="16"/>
    <n v="871232"/>
    <n v="18"/>
    <n v="980136"/>
    <n v="108904"/>
    <n v="0.125"/>
  </r>
  <r>
    <x v="51"/>
    <x v="51"/>
    <d v="2016-01-21T00:00:00"/>
    <x v="5"/>
    <s v="ACQ2010"/>
    <x v="1"/>
    <x v="5"/>
    <x v="5"/>
    <x v="1"/>
    <n v="66122"/>
    <n v="14"/>
    <n v="925708"/>
    <n v="16"/>
    <n v="1057952"/>
    <n v="132244"/>
    <n v="0.14285714285714285"/>
  </r>
  <r>
    <x v="52"/>
    <x v="52"/>
    <d v="2019-12-04T00:00:00"/>
    <x v="8"/>
    <s v="ACQ2009"/>
    <x v="1"/>
    <x v="5"/>
    <x v="5"/>
    <x v="1"/>
    <n v="67235"/>
    <n v="12"/>
    <n v="806820"/>
    <n v="15"/>
    <n v="1008525"/>
    <n v="201705"/>
    <n v="0.25"/>
  </r>
  <r>
    <x v="53"/>
    <x v="53"/>
    <d v="2019-08-02T00:00:00"/>
    <x v="4"/>
    <s v="MES4111"/>
    <x v="0"/>
    <x v="0"/>
    <x v="0"/>
    <x v="0"/>
    <n v="75430"/>
    <n v="13"/>
    <n v="980590"/>
    <n v="15"/>
    <n v="1131450"/>
    <n v="150860"/>
    <n v="0.15384615384615385"/>
  </r>
  <r>
    <x v="54"/>
    <x v="54"/>
    <d v="2019-07-20T00:00:00"/>
    <x v="2"/>
    <s v="ACQ2005"/>
    <x v="1"/>
    <x v="2"/>
    <x v="2"/>
    <x v="1"/>
    <n v="56035"/>
    <n v="10"/>
    <n v="560350"/>
    <n v="12"/>
    <n v="672420"/>
    <n v="112070"/>
    <n v="0.2"/>
  </r>
  <r>
    <x v="55"/>
    <x v="55"/>
    <d v="2019-05-31T00:00:00"/>
    <x v="7"/>
    <s v="MES51214"/>
    <x v="0"/>
    <x v="3"/>
    <x v="3"/>
    <x v="2"/>
    <n v="69892"/>
    <n v="13"/>
    <n v="908596"/>
    <n v="17"/>
    <n v="1188164"/>
    <n v="279568"/>
    <n v="0.30769230769230771"/>
  </r>
  <r>
    <x v="56"/>
    <x v="56"/>
    <d v="2016-09-02T00:00:00"/>
    <x v="0"/>
    <s v="MES5014"/>
    <x v="0"/>
    <x v="0"/>
    <x v="0"/>
    <x v="0"/>
    <n v="62345"/>
    <n v="12"/>
    <n v="748140"/>
    <n v="16"/>
    <n v="997520"/>
    <n v="249380"/>
    <n v="0.33333333333333331"/>
  </r>
  <r>
    <x v="57"/>
    <x v="57"/>
    <d v="2017-04-19T00:00:00"/>
    <x v="1"/>
    <s v="ACQ2004"/>
    <x v="1"/>
    <x v="8"/>
    <x v="8"/>
    <x v="5"/>
    <n v="73688"/>
    <n v="9"/>
    <n v="663192"/>
    <n v="10"/>
    <n v="736880"/>
    <n v="73688"/>
    <n v="0.1111111111111111"/>
  </r>
  <r>
    <x v="58"/>
    <x v="58"/>
    <d v="2017-11-09T00:00:00"/>
    <x v="3"/>
    <s v="MAM454"/>
    <x v="2"/>
    <x v="4"/>
    <x v="4"/>
    <x v="3"/>
    <n v="56806"/>
    <n v="15"/>
    <n v="852090"/>
    <n v="18"/>
    <n v="1022508"/>
    <n v="170418"/>
    <n v="0.2"/>
  </r>
  <r>
    <x v="59"/>
    <x v="59"/>
    <d v="2019-06-16T00:00:00"/>
    <x v="7"/>
    <s v="MES51214"/>
    <x v="0"/>
    <x v="6"/>
    <x v="6"/>
    <x v="4"/>
    <n v="70435"/>
    <n v="13"/>
    <n v="915655"/>
    <n v="17"/>
    <n v="1197395"/>
    <n v="281740"/>
    <n v="0.30769230769230771"/>
  </r>
  <r>
    <x v="60"/>
    <x v="60"/>
    <d v="2016-01-10T00:00:00"/>
    <x v="3"/>
    <s v="MAM454"/>
    <x v="2"/>
    <x v="7"/>
    <x v="7"/>
    <x v="2"/>
    <n v="68705"/>
    <n v="15"/>
    <n v="1030575"/>
    <n v="18"/>
    <n v="1236690"/>
    <n v="206115"/>
    <n v="0.2"/>
  </r>
  <r>
    <x v="61"/>
    <x v="61"/>
    <d v="2018-10-08T00:00:00"/>
    <x v="3"/>
    <s v="MAM454"/>
    <x v="2"/>
    <x v="4"/>
    <x v="4"/>
    <x v="3"/>
    <n v="75135"/>
    <n v="15"/>
    <n v="1127025"/>
    <n v="18"/>
    <n v="1352430"/>
    <n v="225405"/>
    <n v="0.2"/>
  </r>
  <r>
    <x v="62"/>
    <x v="62"/>
    <d v="2016-06-07T00:00:00"/>
    <x v="3"/>
    <s v="MAM454"/>
    <x v="2"/>
    <x v="7"/>
    <x v="7"/>
    <x v="2"/>
    <n v="70212"/>
    <n v="15"/>
    <n v="1053180"/>
    <n v="18"/>
    <n v="1263816"/>
    <n v="210636"/>
    <n v="0.2"/>
  </r>
  <r>
    <x v="63"/>
    <x v="63"/>
    <d v="2019-09-17T00:00:00"/>
    <x v="5"/>
    <s v="ACQ2010"/>
    <x v="1"/>
    <x v="3"/>
    <x v="3"/>
    <x v="2"/>
    <n v="74699"/>
    <n v="14"/>
    <n v="1045786"/>
    <n v="16"/>
    <n v="1195184"/>
    <n v="149398"/>
    <n v="0.14285714285714285"/>
  </r>
  <r>
    <x v="64"/>
    <x v="64"/>
    <d v="2016-01-26T00:00:00"/>
    <x v="5"/>
    <s v="ACQ2010"/>
    <x v="1"/>
    <x v="1"/>
    <x v="1"/>
    <x v="1"/>
    <n v="56881"/>
    <n v="14"/>
    <n v="796334"/>
    <n v="16"/>
    <n v="910096"/>
    <n v="113762"/>
    <n v="0.14285714285714285"/>
  </r>
  <r>
    <x v="65"/>
    <x v="65"/>
    <d v="2019-05-30T00:00:00"/>
    <x v="3"/>
    <s v="MAM454"/>
    <x v="2"/>
    <x v="4"/>
    <x v="4"/>
    <x v="3"/>
    <n v="77205"/>
    <n v="15"/>
    <n v="1158075"/>
    <n v="18"/>
    <n v="1389690"/>
    <n v="231615"/>
    <n v="0.2"/>
  </r>
  <r>
    <x v="66"/>
    <x v="66"/>
    <d v="2019-02-04T00:00:00"/>
    <x v="6"/>
    <s v="MAM1543"/>
    <x v="2"/>
    <x v="2"/>
    <x v="2"/>
    <x v="1"/>
    <n v="53930"/>
    <n v="16"/>
    <n v="862880"/>
    <n v="18"/>
    <n v="970740"/>
    <n v="107860"/>
    <n v="0.125"/>
  </r>
  <r>
    <x v="67"/>
    <x v="67"/>
    <d v="2019-09-12T00:00:00"/>
    <x v="6"/>
    <s v="MAM1543"/>
    <x v="2"/>
    <x v="4"/>
    <x v="4"/>
    <x v="3"/>
    <n v="74350"/>
    <n v="16"/>
    <n v="1189600"/>
    <n v="18"/>
    <n v="1338300"/>
    <n v="148700"/>
    <n v="0.125"/>
  </r>
  <r>
    <x v="68"/>
    <x v="68"/>
    <d v="2019-12-23T00:00:00"/>
    <x v="3"/>
    <s v="MAM454"/>
    <x v="2"/>
    <x v="6"/>
    <x v="6"/>
    <x v="4"/>
    <n v="61728"/>
    <n v="15"/>
    <n v="925920"/>
    <n v="18"/>
    <n v="1111104"/>
    <n v="185184"/>
    <n v="0.2"/>
  </r>
  <r>
    <x v="69"/>
    <x v="69"/>
    <d v="2019-05-25T00:00:00"/>
    <x v="3"/>
    <s v="MAM454"/>
    <x v="2"/>
    <x v="0"/>
    <x v="0"/>
    <x v="0"/>
    <n v="50152"/>
    <n v="15"/>
    <n v="752280"/>
    <n v="18"/>
    <n v="902736"/>
    <n v="150456"/>
    <n v="0.2"/>
  </r>
  <r>
    <x v="70"/>
    <x v="70"/>
    <d v="2018-04-21T00:00:00"/>
    <x v="5"/>
    <s v="ACQ2010"/>
    <x v="1"/>
    <x v="6"/>
    <x v="6"/>
    <x v="4"/>
    <n v="73315"/>
    <n v="14"/>
    <n v="1026410"/>
    <n v="16"/>
    <n v="1173040"/>
    <n v="146630"/>
    <n v="0.14285714285714285"/>
  </r>
  <r>
    <x v="71"/>
    <x v="71"/>
    <d v="2016-02-07T00:00:00"/>
    <x v="6"/>
    <s v="MAM1543"/>
    <x v="2"/>
    <x v="4"/>
    <x v="4"/>
    <x v="3"/>
    <n v="59911"/>
    <n v="16"/>
    <n v="958576"/>
    <n v="18"/>
    <n v="1078398"/>
    <n v="119822"/>
    <n v="0.125"/>
  </r>
  <r>
    <x v="72"/>
    <x v="72"/>
    <d v="2019-07-06T00:00:00"/>
    <x v="1"/>
    <s v="ACQ2004"/>
    <x v="1"/>
    <x v="3"/>
    <x v="3"/>
    <x v="2"/>
    <n v="65587"/>
    <n v="9"/>
    <n v="590283"/>
    <n v="10"/>
    <n v="655870"/>
    <n v="65587"/>
    <n v="0.1111111111111111"/>
  </r>
  <r>
    <x v="73"/>
    <x v="73"/>
    <d v="2020-03-18T00:00:00"/>
    <x v="6"/>
    <s v="MAM1543"/>
    <x v="2"/>
    <x v="1"/>
    <x v="1"/>
    <x v="1"/>
    <n v="60771"/>
    <n v="16"/>
    <n v="972336"/>
    <n v="18"/>
    <n v="1093878"/>
    <n v="121542"/>
    <n v="0.125"/>
  </r>
  <r>
    <x v="34"/>
    <x v="34"/>
    <d v="2016-09-26T00:00:00"/>
    <x v="6"/>
    <s v="MAM1543"/>
    <x v="2"/>
    <x v="5"/>
    <x v="5"/>
    <x v="1"/>
    <n v="52051"/>
    <n v="16"/>
    <n v="832816"/>
    <n v="18"/>
    <n v="936918"/>
    <n v="104102"/>
    <n v="0.125"/>
  </r>
  <r>
    <x v="74"/>
    <x v="74"/>
    <d v="2018-06-03T00:00:00"/>
    <x v="2"/>
    <s v="ACQ2005"/>
    <x v="1"/>
    <x v="1"/>
    <x v="1"/>
    <x v="1"/>
    <n v="71692"/>
    <n v="10"/>
    <n v="716920"/>
    <n v="12"/>
    <n v="860304"/>
    <n v="143384"/>
    <n v="0.2"/>
  </r>
  <r>
    <x v="75"/>
    <x v="75"/>
    <d v="2018-02-16T00:00:00"/>
    <x v="8"/>
    <s v="ACQ2009"/>
    <x v="1"/>
    <x v="0"/>
    <x v="0"/>
    <x v="0"/>
    <n v="78719"/>
    <n v="12"/>
    <n v="944628"/>
    <n v="15"/>
    <n v="1180785"/>
    <n v="236157"/>
    <n v="0.25"/>
  </r>
  <r>
    <x v="76"/>
    <x v="76"/>
    <d v="2018-08-31T00:00:00"/>
    <x v="3"/>
    <s v="MAM454"/>
    <x v="2"/>
    <x v="3"/>
    <x v="3"/>
    <x v="2"/>
    <n v="68974"/>
    <n v="15"/>
    <n v="1034610"/>
    <n v="18"/>
    <n v="1241532"/>
    <n v="206922"/>
    <n v="0.2"/>
  </r>
  <r>
    <x v="77"/>
    <x v="77"/>
    <d v="2016-09-05T00:00:00"/>
    <x v="6"/>
    <s v="MAM1543"/>
    <x v="2"/>
    <x v="6"/>
    <x v="6"/>
    <x v="4"/>
    <n v="76108"/>
    <n v="16"/>
    <n v="1217728"/>
    <n v="18"/>
    <n v="1369944"/>
    <n v="152216"/>
    <n v="0.125"/>
  </r>
  <r>
    <x v="78"/>
    <x v="78"/>
    <d v="2017-05-28T00:00:00"/>
    <x v="1"/>
    <s v="ACQ2004"/>
    <x v="1"/>
    <x v="3"/>
    <x v="3"/>
    <x v="2"/>
    <n v="50016"/>
    <n v="9"/>
    <n v="450144"/>
    <n v="10"/>
    <n v="500160"/>
    <n v="50016"/>
    <n v="0.1111111111111111"/>
  </r>
  <r>
    <x v="79"/>
    <x v="79"/>
    <d v="2016-12-28T00:00:00"/>
    <x v="5"/>
    <s v="ACQ2010"/>
    <x v="1"/>
    <x v="5"/>
    <x v="5"/>
    <x v="1"/>
    <n v="58035"/>
    <n v="14"/>
    <n v="812490"/>
    <n v="16"/>
    <n v="928560"/>
    <n v="116070"/>
    <n v="0.14285714285714285"/>
  </r>
  <r>
    <x v="80"/>
    <x v="80"/>
    <d v="2019-05-22T00:00:00"/>
    <x v="2"/>
    <s v="ACQ2005"/>
    <x v="1"/>
    <x v="6"/>
    <x v="6"/>
    <x v="4"/>
    <n v="73911"/>
    <n v="10"/>
    <n v="739110"/>
    <n v="12"/>
    <n v="886932"/>
    <n v="147822"/>
    <n v="0.2"/>
  </r>
  <r>
    <x v="81"/>
    <x v="81"/>
    <d v="2018-07-07T00:00:00"/>
    <x v="7"/>
    <s v="MES51214"/>
    <x v="0"/>
    <x v="0"/>
    <x v="0"/>
    <x v="0"/>
    <n v="60671"/>
    <n v="13"/>
    <n v="788723"/>
    <n v="17"/>
    <n v="1031407"/>
    <n v="242684"/>
    <n v="0.30769230769230771"/>
  </r>
  <r>
    <x v="82"/>
    <x v="82"/>
    <d v="2019-04-29T00:00:00"/>
    <x v="1"/>
    <s v="ACQ2004"/>
    <x v="1"/>
    <x v="5"/>
    <x v="5"/>
    <x v="1"/>
    <n v="66433"/>
    <n v="9"/>
    <n v="597897"/>
    <n v="10"/>
    <n v="664330"/>
    <n v="66433"/>
    <n v="0.1111111111111111"/>
  </r>
  <r>
    <x v="83"/>
    <x v="83"/>
    <d v="2017-09-01T00:00:00"/>
    <x v="6"/>
    <s v="MAM1543"/>
    <x v="2"/>
    <x v="6"/>
    <x v="6"/>
    <x v="4"/>
    <n v="61281"/>
    <n v="16"/>
    <n v="980496"/>
    <n v="18"/>
    <n v="1103058"/>
    <n v="122562"/>
    <n v="0.125"/>
  </r>
  <r>
    <x v="57"/>
    <x v="57"/>
    <d v="2017-04-19T00:00:00"/>
    <x v="3"/>
    <s v="MAM454"/>
    <x v="2"/>
    <x v="6"/>
    <x v="6"/>
    <x v="4"/>
    <n v="73577"/>
    <n v="15"/>
    <n v="1103655"/>
    <n v="18"/>
    <n v="1324386"/>
    <n v="220731"/>
    <n v="0.2"/>
  </r>
  <r>
    <x v="84"/>
    <x v="84"/>
    <d v="2016-01-09T00:00:00"/>
    <x v="2"/>
    <s v="ACQ2005"/>
    <x v="1"/>
    <x v="2"/>
    <x v="2"/>
    <x v="1"/>
    <n v="72211"/>
    <n v="10"/>
    <n v="722110"/>
    <n v="12"/>
    <n v="866532"/>
    <n v="144422"/>
    <n v="0.2"/>
  </r>
  <r>
    <x v="85"/>
    <x v="85"/>
    <d v="2019-01-02T00:00:00"/>
    <x v="3"/>
    <s v="MAM454"/>
    <x v="2"/>
    <x v="3"/>
    <x v="3"/>
    <x v="2"/>
    <n v="79683"/>
    <n v="15"/>
    <n v="1195245"/>
    <n v="18"/>
    <n v="1434294"/>
    <n v="239049"/>
    <n v="0.2"/>
  </r>
  <r>
    <x v="86"/>
    <x v="86"/>
    <d v="2016-09-27T00:00:00"/>
    <x v="5"/>
    <s v="ACQ2010"/>
    <x v="1"/>
    <x v="4"/>
    <x v="4"/>
    <x v="3"/>
    <n v="72676"/>
    <n v="14"/>
    <n v="1017464"/>
    <n v="16"/>
    <n v="1162816"/>
    <n v="145352"/>
    <n v="0.14285714285714285"/>
  </r>
  <r>
    <x v="87"/>
    <x v="87"/>
    <d v="2018-09-11T00:00:00"/>
    <x v="1"/>
    <s v="ACQ2004"/>
    <x v="1"/>
    <x v="5"/>
    <x v="5"/>
    <x v="1"/>
    <n v="65434"/>
    <n v="9"/>
    <n v="588906"/>
    <n v="10"/>
    <n v="654340"/>
    <n v="65434"/>
    <n v="0.1111111111111111"/>
  </r>
  <r>
    <x v="88"/>
    <x v="88"/>
    <d v="2016-01-03T00:00:00"/>
    <x v="6"/>
    <s v="MAM1543"/>
    <x v="2"/>
    <x v="7"/>
    <x v="7"/>
    <x v="2"/>
    <n v="60081"/>
    <n v="16"/>
    <n v="961296"/>
    <n v="18"/>
    <n v="1081458"/>
    <n v="120162"/>
    <n v="0.125"/>
  </r>
  <r>
    <x v="89"/>
    <x v="89"/>
    <d v="2016-04-26T00:00:00"/>
    <x v="0"/>
    <s v="MES5014"/>
    <x v="0"/>
    <x v="4"/>
    <x v="4"/>
    <x v="3"/>
    <n v="50380"/>
    <n v="12"/>
    <n v="604560"/>
    <n v="16"/>
    <n v="806080"/>
    <n v="201520"/>
    <n v="0.33333333333333331"/>
  </r>
  <r>
    <x v="90"/>
    <x v="90"/>
    <d v="2018-12-10T00:00:00"/>
    <x v="1"/>
    <s v="ACQ2004"/>
    <x v="1"/>
    <x v="3"/>
    <x v="3"/>
    <x v="2"/>
    <n v="70157"/>
    <n v="9"/>
    <n v="631413"/>
    <n v="10"/>
    <n v="701570"/>
    <n v="70157"/>
    <n v="0.1111111111111111"/>
  </r>
  <r>
    <x v="91"/>
    <x v="91"/>
    <d v="2016-10-24T00:00:00"/>
    <x v="1"/>
    <s v="ACQ2004"/>
    <x v="1"/>
    <x v="5"/>
    <x v="5"/>
    <x v="1"/>
    <n v="57379"/>
    <n v="9"/>
    <n v="516411"/>
    <n v="10"/>
    <n v="573790"/>
    <n v="57379"/>
    <n v="0.1111111111111111"/>
  </r>
  <r>
    <x v="92"/>
    <x v="92"/>
    <d v="2017-04-11T00:00:00"/>
    <x v="3"/>
    <s v="MAM454"/>
    <x v="2"/>
    <x v="1"/>
    <x v="1"/>
    <x v="1"/>
    <n v="52306"/>
    <n v="15"/>
    <n v="784590"/>
    <n v="18"/>
    <n v="941508"/>
    <n v="156918"/>
    <n v="0.2"/>
  </r>
  <r>
    <x v="93"/>
    <x v="93"/>
    <d v="2020-04-13T00:00:00"/>
    <x v="2"/>
    <s v="ACQ2005"/>
    <x v="1"/>
    <x v="3"/>
    <x v="3"/>
    <x v="2"/>
    <n v="76591"/>
    <n v="10"/>
    <n v="765910"/>
    <n v="12"/>
    <n v="919092"/>
    <n v="153182"/>
    <n v="0.2"/>
  </r>
  <r>
    <x v="94"/>
    <x v="94"/>
    <d v="2020-05-19T00:00:00"/>
    <x v="6"/>
    <s v="MAM1543"/>
    <x v="2"/>
    <x v="9"/>
    <x v="9"/>
    <x v="4"/>
    <n v="65252"/>
    <n v="16"/>
    <n v="1044032"/>
    <n v="18"/>
    <n v="1174536"/>
    <n v="130504"/>
    <n v="0.125"/>
  </r>
  <r>
    <x v="95"/>
    <x v="95"/>
    <d v="2017-05-01T00:00:00"/>
    <x v="5"/>
    <s v="ACQ2010"/>
    <x v="1"/>
    <x v="10"/>
    <x v="10"/>
    <x v="6"/>
    <n v="70000"/>
    <n v="14"/>
    <n v="980000"/>
    <n v="16"/>
    <n v="1120000"/>
    <n v="140000"/>
    <n v="0.142857142857142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0177F8-6D90-42C6-9CA8-34EACEB9257D}" name="Customers count"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17">
  <location ref="B3:C14" firstHeaderRow="1" firstDataRow="1" firstDataCol="1"/>
  <pivotFields count="2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pivotField showAll="0">
      <items count="10">
        <item x="1"/>
        <item x="2"/>
        <item x="8"/>
        <item x="5"/>
        <item x="7"/>
        <item x="4"/>
        <item x="0"/>
        <item x="6"/>
        <item x="3"/>
        <item t="default"/>
      </items>
    </pivotField>
    <pivotField showAll="0"/>
    <pivotField showAll="0">
      <items count="4">
        <item x="2"/>
        <item x="1"/>
        <item x="0"/>
        <item t="default"/>
      </items>
    </pivotField>
    <pivotField axis="axisRow" dataField="1" showAll="0">
      <items count="12">
        <item x="4"/>
        <item x="2"/>
        <item x="0"/>
        <item x="8"/>
        <item x="7"/>
        <item x="6"/>
        <item x="5"/>
        <item x="1"/>
        <item x="3"/>
        <item x="9"/>
        <item x="10"/>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6"/>
  </rowFields>
  <rowItems count="11">
    <i>
      <x/>
    </i>
    <i>
      <x v="1"/>
    </i>
    <i>
      <x v="2"/>
    </i>
    <i>
      <x v="3"/>
    </i>
    <i>
      <x v="4"/>
    </i>
    <i>
      <x v="5"/>
    </i>
    <i>
      <x v="6"/>
    </i>
    <i>
      <x v="7"/>
    </i>
    <i>
      <x v="8"/>
    </i>
    <i>
      <x v="9"/>
    </i>
    <i>
      <x v="10"/>
    </i>
  </rowItems>
  <colItems count="1">
    <i/>
  </colItems>
  <dataFields count="1">
    <dataField name="Count of Customer" fld="6" subtotal="count" baseField="0" baseItem="0"/>
  </dataFields>
  <formats count="5">
    <format dxfId="4">
      <pivotArea type="all" dataOnly="0" outline="0" fieldPosition="0"/>
    </format>
    <format dxfId="3">
      <pivotArea outline="0" collapsedLevelsAreSubtotals="1" fieldPosition="0"/>
    </format>
    <format dxfId="2">
      <pivotArea field="6" type="button" dataOnly="0" labelOnly="1" outline="0" axis="axisRow" fieldPosition="0"/>
    </format>
    <format dxfId="1">
      <pivotArea dataOnly="0" labelOnly="1" fieldPosition="0">
        <references count="1">
          <reference field="6" count="0"/>
        </references>
      </pivotArea>
    </format>
    <format dxfId="0">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C6967-D6A0-4B2E-AB15-CB8FDFD2782E}" name="Annual Sales"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8">
  <location ref="AA3:AB16" firstHeaderRow="1" firstDataRow="1" firstDataCol="1"/>
  <pivotFields count="20">
    <pivotField axis="axisRow"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numFmtId="165" showAll="0"/>
    <pivotField numFmtId="165" showAll="0"/>
    <pivotField numFmtId="165" showAll="0"/>
    <pivotField numFmtId="165" showAll="0"/>
    <pivotField numFmtId="9"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Sales Qty." fld="9" baseField="0" baseItem="0" numFmtId="165"/>
  </dataFields>
  <formats count="9">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12">
            <x v="1"/>
            <x v="2"/>
            <x v="3"/>
            <x v="4"/>
            <x v="5"/>
            <x v="6"/>
            <x v="7"/>
            <x v="8"/>
            <x v="9"/>
            <x v="10"/>
            <x v="11"/>
            <x v="12"/>
          </reference>
        </references>
      </pivotArea>
    </format>
    <format dxfId="8">
      <pivotArea dataOnly="0" labelOnly="1" grandRow="1" outline="0" fieldPosition="0"/>
    </format>
    <format dxfId="7">
      <pivotArea dataOnly="0" labelOnly="1" outline="0" axis="axisValues" fieldPosition="0"/>
    </format>
    <format dxfId="6">
      <pivotArea outline="0" collapsedLevelsAreSubtotals="1" fieldPosition="0"/>
    </format>
    <format dxfId="5">
      <pivotArea dataOnly="0" labelOnly="1" outline="0" axis="axisValues" fieldPosition="0"/>
    </format>
  </formats>
  <chartFormats count="2">
    <chartFormat chart="2"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C8114E-252A-4269-A84C-A1988A58EA96}" name="Product count"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E3:F12" firstHeaderRow="1" firstDataRow="1" firstDataCol="1"/>
  <pivotFields count="20">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axis="axisRow" dataField="1"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numFmtId="165" showAll="0"/>
    <pivotField numFmtId="165" showAll="0"/>
    <pivotField numFmtId="165" showAll="0"/>
    <pivotField numFmtId="165" showAll="0"/>
    <pivotField numFmtId="165" showAll="0"/>
    <pivotField numFmtId="165" showAll="0"/>
    <pivotField numFmtId="9"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9">
    <i>
      <x/>
    </i>
    <i>
      <x v="1"/>
    </i>
    <i>
      <x v="2"/>
    </i>
    <i>
      <x v="3"/>
    </i>
    <i>
      <x v="4"/>
    </i>
    <i>
      <x v="5"/>
    </i>
    <i>
      <x v="6"/>
    </i>
    <i>
      <x v="7"/>
    </i>
    <i>
      <x v="8"/>
    </i>
  </rowItems>
  <colItems count="1">
    <i/>
  </colItems>
  <dataFields count="1">
    <dataField name="Count of Product" fld="3" subtotal="count" baseField="0" baseItem="0"/>
  </dataFields>
  <formats count="5">
    <format dxfId="18">
      <pivotArea type="all" dataOnly="0" outline="0" fieldPosition="0"/>
    </format>
    <format dxfId="17">
      <pivotArea outline="0" collapsedLevelsAreSubtotals="1" fieldPosition="0"/>
    </format>
    <format dxfId="16">
      <pivotArea field="3" type="button" dataOnly="0" labelOnly="1" outline="0" axis="axisRow" fieldPosition="0"/>
    </format>
    <format dxfId="15">
      <pivotArea dataOnly="0" labelOnly="1" fieldPosition="0">
        <references count="1">
          <reference field="3" count="0"/>
        </references>
      </pivotArea>
    </format>
    <format dxfId="14">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E64C88-ACB6-4090-B956-2AB99A97EB5B}" name="Country count"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R3:S14" firstHeaderRow="1" firstDataRow="1" firstDataCol="1"/>
  <pivotFields count="2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axis="axisRow" dataField="1" showAll="0">
      <items count="12">
        <item x="8"/>
        <item x="3"/>
        <item x="0"/>
        <item x="6"/>
        <item x="4"/>
        <item x="5"/>
        <item x="1"/>
        <item x="2"/>
        <item x="7"/>
        <item x="9"/>
        <item x="10"/>
        <item t="default"/>
      </items>
    </pivotField>
    <pivotField showAll="0">
      <items count="8">
        <item x="2"/>
        <item x="4"/>
        <item x="6"/>
        <item x="1"/>
        <item x="3"/>
        <item x="0"/>
        <item x="5"/>
        <item t="default"/>
      </items>
    </pivotField>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1">
    <i>
      <x/>
    </i>
    <i>
      <x v="1"/>
    </i>
    <i>
      <x v="2"/>
    </i>
    <i>
      <x v="3"/>
    </i>
    <i>
      <x v="4"/>
    </i>
    <i>
      <x v="5"/>
    </i>
    <i>
      <x v="6"/>
    </i>
    <i>
      <x v="7"/>
    </i>
    <i>
      <x v="8"/>
    </i>
    <i>
      <x v="9"/>
    </i>
    <i>
      <x v="10"/>
    </i>
  </rowItems>
  <colItems count="1">
    <i/>
  </colItems>
  <dataFields count="1">
    <dataField name="Count of Country" fld="7" subtotal="count" baseField="0" baseItem="0"/>
  </dataFields>
  <formats count="5">
    <format dxfId="23">
      <pivotArea type="all" dataOnly="0" outline="0" fieldPosition="0"/>
    </format>
    <format dxfId="22">
      <pivotArea outline="0" collapsedLevelsAreSubtotals="1" fieldPosition="0"/>
    </format>
    <format dxfId="21">
      <pivotArea field="7" type="button" dataOnly="0" labelOnly="1" outline="0" axis="axisRow" fieldPosition="0"/>
    </format>
    <format dxfId="20">
      <pivotArea dataOnly="0" labelOnly="1" fieldPosition="0">
        <references count="1">
          <reference field="7" count="0"/>
        </references>
      </pivotArea>
    </format>
    <format dxfId="19">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6F1847-8C7B-4CC8-ABF1-7F60D11D4434}" name="Map"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X3:Y10" firstHeaderRow="1" firstDataRow="1" firstDataCol="1"/>
  <pivotFields count="20">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axis="axisRow" showAll="0">
      <items count="8">
        <item x="2"/>
        <item x="4"/>
        <item x="1"/>
        <item x="3"/>
        <item x="0"/>
        <item x="5"/>
        <item x="6"/>
        <item t="default"/>
      </items>
    </pivotField>
    <pivotField numFmtId="165" showAll="0"/>
    <pivotField numFmtId="165" showAll="0"/>
    <pivotField numFmtId="165" showAll="0"/>
    <pivotField numFmtId="165" showAll="0"/>
    <pivotField dataField="1" numFmtId="165" showAll="0"/>
    <pivotField numFmtId="165" showAll="0"/>
    <pivotField numFmtId="9"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7">
    <i>
      <x/>
    </i>
    <i>
      <x v="1"/>
    </i>
    <i>
      <x v="2"/>
    </i>
    <i>
      <x v="3"/>
    </i>
    <i>
      <x v="4"/>
    </i>
    <i>
      <x v="5"/>
    </i>
    <i>
      <x v="6"/>
    </i>
  </rowItems>
  <colItems count="1">
    <i/>
  </colItems>
  <dataFields count="1">
    <dataField name="Sum of Revenue" fld="13" baseField="0" baseItem="0" numFmtId="165"/>
  </dataFields>
  <formats count="8">
    <format dxfId="31">
      <pivotArea outline="0" collapsedLevelsAreSubtotals="1" fieldPosition="0"/>
    </format>
    <format dxfId="30">
      <pivotArea type="all" dataOnly="0" outline="0" fieldPosition="0"/>
    </format>
    <format dxfId="29">
      <pivotArea outline="0" collapsedLevelsAreSubtotals="1" fieldPosition="0"/>
    </format>
    <format dxfId="28">
      <pivotArea field="8" type="button" dataOnly="0" labelOnly="1" outline="0" axis="axisRow" fieldPosition="0"/>
    </format>
    <format dxfId="27">
      <pivotArea dataOnly="0" labelOnly="1" fieldPosition="0">
        <references count="1">
          <reference field="8" count="0"/>
        </references>
      </pivotArea>
    </format>
    <format dxfId="26">
      <pivotArea dataOnly="0" labelOnly="1" outline="0" axis="axisValues" fieldPosition="0"/>
    </format>
    <format dxfId="25">
      <pivotArea outline="0" collapsedLevelsAreSubtotals="1" fieldPosition="0"/>
    </format>
    <format dxfId="24">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EAC502-9B5D-45EF-94B2-DEDD8A0BB2CE}" name="Sales qty"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U3:V15" firstHeaderRow="1" firstDataRow="1" firstDataCol="1"/>
  <pivotFields count="20">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axis="axisRow"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numFmtId="165" showAll="0"/>
    <pivotField numFmtId="165" showAll="0"/>
    <pivotField numFmtId="165" showAll="0"/>
    <pivotField numFmtId="165" showAll="0"/>
    <pivotField numFmtId="9"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7"/>
  </rowFields>
  <rowItems count="12">
    <i>
      <x/>
    </i>
    <i>
      <x v="1"/>
    </i>
    <i>
      <x v="2"/>
    </i>
    <i>
      <x v="3"/>
    </i>
    <i>
      <x v="4"/>
    </i>
    <i>
      <x v="5"/>
    </i>
    <i>
      <x v="6"/>
    </i>
    <i>
      <x v="7"/>
    </i>
    <i>
      <x v="8"/>
    </i>
    <i>
      <x v="9"/>
    </i>
    <i>
      <x v="10"/>
    </i>
    <i t="grand">
      <x/>
    </i>
  </rowItems>
  <colItems count="1">
    <i/>
  </colItems>
  <dataFields count="1">
    <dataField name="Sum of Sales Qty." fld="9" baseField="0" baseItem="0" numFmtId="165"/>
  </dataFields>
  <formats count="9">
    <format dxfId="40">
      <pivotArea outline="0" collapsedLevelsAreSubtotals="1" fieldPosition="0"/>
    </format>
    <format dxfId="39">
      <pivotArea type="all" dataOnly="0" outline="0" fieldPosition="0"/>
    </format>
    <format dxfId="38">
      <pivotArea outline="0" collapsedLevelsAreSubtotals="1" fieldPosition="0"/>
    </format>
    <format dxfId="37">
      <pivotArea field="7" type="button" dataOnly="0" labelOnly="1" outline="0" axis="axisRow" fieldPosition="0"/>
    </format>
    <format dxfId="36">
      <pivotArea dataOnly="0" labelOnly="1" fieldPosition="0">
        <references count="1">
          <reference field="7" count="0"/>
        </references>
      </pivotArea>
    </format>
    <format dxfId="35">
      <pivotArea dataOnly="0" labelOnly="1" grandRow="1" outline="0" fieldPosition="0"/>
    </format>
    <format dxfId="34">
      <pivotArea dataOnly="0" labelOnly="1" outline="0" axis="axisValues" fieldPosition="0"/>
    </format>
    <format dxfId="33">
      <pivotArea outline="0" collapsedLevelsAreSubtotals="1" fieldPosition="0"/>
    </format>
    <format dxfId="32">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5FB390-BE79-49A3-9C07-CD87B1BA6810}" name="Sector percent"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
  <location ref="AD3:AF7" firstHeaderRow="0" firstDataRow="1" firstDataCol="1"/>
  <pivotFields count="20">
    <pivotField numFmtId="166" showAll="0"/>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axis="axisRow"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numFmtId="165" showAll="0"/>
    <pivotField numFmtId="165" showAll="0"/>
    <pivotField numFmtId="165" showAll="0"/>
    <pivotField numFmtId="165" showAll="0"/>
    <pivotField dataField="1" numFmtId="9" showAll="0"/>
    <pivotField showAll="0" defaultSubtotal="0"/>
    <pivotField showAll="0" defaultSubtotal="0"/>
    <pivotField showAll="0" defaultSubtotal="0"/>
    <pivotField showAll="0" defaultSubtotal="0"/>
  </pivotFields>
  <rowFields count="1">
    <field x="5"/>
  </rowFields>
  <rowItems count="4">
    <i>
      <x/>
    </i>
    <i>
      <x v="1"/>
    </i>
    <i>
      <x v="2"/>
    </i>
    <i t="grand">
      <x/>
    </i>
  </rowItems>
  <colFields count="1">
    <field x="-2"/>
  </colFields>
  <colItems count="2">
    <i>
      <x/>
    </i>
    <i i="1">
      <x v="1"/>
    </i>
  </colItems>
  <dataFields count="2">
    <dataField name="Average of R.O.I" fld="15" subtotal="average" baseField="0" baseItem="0" numFmtId="9"/>
    <dataField name="Sum of Sales Qty." fld="9" showDataAs="percentOfTotal" baseField="0" baseItem="0" numFmtId="9"/>
  </dataFields>
  <formats count="5">
    <format dxfId="45">
      <pivotArea outline="0" collapsedLevelsAreSubtotals="1" fieldPosition="0"/>
    </format>
    <format dxfId="44">
      <pivotArea dataOnly="0" labelOnly="1" outline="0" axis="axisValues" fieldPosition="0"/>
    </format>
    <format dxfId="43">
      <pivotArea outline="0" fieldPosition="0">
        <references count="1">
          <reference field="4294967294" count="1">
            <x v="0"/>
          </reference>
        </references>
      </pivotArea>
    </format>
    <format dxfId="42">
      <pivotArea outline="0" collapsedLevelsAreSubtotals="1" fieldPosition="0">
        <references count="1">
          <reference field="4294967294" count="1" selected="0">
            <x v="0"/>
          </reference>
        </references>
      </pivotArea>
    </format>
    <format dxfId="41">
      <pivotArea dataOnly="0" labelOnly="1" outline="0" fieldPosition="0">
        <references count="1">
          <reference field="4294967294" count="1">
            <x v="0"/>
          </reference>
        </references>
      </pivotArea>
    </format>
  </formats>
  <chartFormats count="8">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1"/>
          </reference>
          <reference field="5" count="1" selected="0">
            <x v="0"/>
          </reference>
        </references>
      </pivotArea>
    </chartFormat>
    <chartFormat chart="1" format="3">
      <pivotArea type="data" outline="0" fieldPosition="0">
        <references count="2">
          <reference field="4294967294" count="1" selected="0">
            <x v="1"/>
          </reference>
          <reference field="5" count="1" selected="0">
            <x v="1"/>
          </reference>
        </references>
      </pivotArea>
    </chartFormat>
    <chartFormat chart="1" format="4">
      <pivotArea type="data" outline="0" fieldPosition="0">
        <references count="2">
          <reference field="4294967294" count="1" selected="0">
            <x v="1"/>
          </reference>
          <reference field="5"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pivotArea type="data" outline="0" fieldPosition="0">
        <references count="2">
          <reference field="4294967294" count="1" selected="0">
            <x v="0"/>
          </reference>
          <reference field="5" count="1" selected="0">
            <x v="0"/>
          </reference>
        </references>
      </pivotArea>
    </chartFormat>
    <chartFormat chart="1" format="7">
      <pivotArea type="data" outline="0" fieldPosition="0">
        <references count="2">
          <reference field="4294967294" count="1" selected="0">
            <x v="0"/>
          </reference>
          <reference field="5" count="1" selected="0">
            <x v="1"/>
          </reference>
        </references>
      </pivotArea>
    </chartFormat>
    <chartFormat chart="1" format="8">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A48E074-8E5D-4E9D-87E5-048E8B2EA4F9}" name="ROI"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N3:AO7" firstHeaderRow="1" firstDataRow="1" firstDataCol="1"/>
  <pivotFields count="20">
    <pivotField numFmtId="166" showAll="0"/>
    <pivotField numFmtId="167" showAll="0"/>
    <pivotField numFmtId="168" showAll="0"/>
    <pivotField showAll="0">
      <items count="10">
        <item x="1"/>
        <item x="2"/>
        <item x="8"/>
        <item x="5"/>
        <item x="7"/>
        <item x="4"/>
        <item x="0"/>
        <item x="6"/>
        <item x="3"/>
        <item t="default"/>
      </items>
    </pivotField>
    <pivotField showAll="0"/>
    <pivotField axis="axisRow" showAll="0">
      <items count="4">
        <item x="2"/>
        <item x="1"/>
        <item x="0"/>
        <item t="default"/>
      </items>
    </pivotField>
    <pivotField showAll="0"/>
    <pivotField showAll="0"/>
    <pivotField showAll="0"/>
    <pivotField numFmtId="165" showAll="0"/>
    <pivotField numFmtId="165" showAll="0"/>
    <pivotField numFmtId="165" showAll="0"/>
    <pivotField numFmtId="165" showAll="0"/>
    <pivotField numFmtId="165" showAll="0"/>
    <pivotField numFmtId="165" showAll="0"/>
    <pivotField dataField="1" numFmtId="9" showAll="0"/>
    <pivotField showAll="0" defaultSubtotal="0"/>
    <pivotField showAll="0" defaultSubtotal="0"/>
    <pivotField showAll="0" defaultSubtotal="0"/>
    <pivotField showAll="0" defaultSubtotal="0"/>
  </pivotFields>
  <rowFields count="1">
    <field x="5"/>
  </rowFields>
  <rowItems count="4">
    <i>
      <x/>
    </i>
    <i>
      <x v="1"/>
    </i>
    <i>
      <x v="2"/>
    </i>
    <i t="grand">
      <x/>
    </i>
  </rowItems>
  <colItems count="1">
    <i/>
  </colItems>
  <dataFields count="1">
    <dataField name="Average of R.O.I" fld="15" subtotal="average" baseField="0" baseItem="0" numFmtId="9"/>
  </dataFields>
  <formats count="2">
    <format dxfId="47">
      <pivotArea outline="0" collapsedLevelsAreSubtotals="1" fieldPosition="0"/>
    </format>
    <format dxfId="46">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9AE579-BD9A-4ED0-9D34-BCD8F1F2A37F}" name="Country chart"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
  <location ref="AH3:AI15" firstHeaderRow="1" firstDataRow="1" firstDataCol="1"/>
  <pivotFields count="20">
    <pivotField numFmtId="166" showAll="0"/>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axis="axisRow"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numFmtId="165" showAll="0"/>
    <pivotField numFmtId="165" showAll="0"/>
    <pivotField numFmtId="165" showAll="0"/>
    <pivotField numFmtId="165" showAll="0"/>
    <pivotField numFmtId="9" showAll="0"/>
    <pivotField showAll="0" defaultSubtotal="0"/>
    <pivotField showAll="0" defaultSubtotal="0"/>
    <pivotField showAll="0" defaultSubtotal="0"/>
    <pivotField showAll="0" defaultSubtotal="0"/>
  </pivotFields>
  <rowFields count="1">
    <field x="7"/>
  </rowFields>
  <rowItems count="12">
    <i>
      <x/>
    </i>
    <i>
      <x v="1"/>
    </i>
    <i>
      <x v="2"/>
    </i>
    <i>
      <x v="3"/>
    </i>
    <i>
      <x v="4"/>
    </i>
    <i>
      <x v="5"/>
    </i>
    <i>
      <x v="6"/>
    </i>
    <i>
      <x v="7"/>
    </i>
    <i>
      <x v="8"/>
    </i>
    <i>
      <x v="9"/>
    </i>
    <i>
      <x v="10"/>
    </i>
    <i t="grand">
      <x/>
    </i>
  </rowItems>
  <colItems count="1">
    <i/>
  </colItems>
  <dataFields count="1">
    <dataField name="Sum of Sales Qty." fld="9" baseField="0" baseItem="0" numFmtId="165"/>
  </dataFields>
  <formats count="2">
    <format dxfId="49">
      <pivotArea outline="0" collapsedLevelsAreSubtotals="1" fieldPosition="0"/>
    </format>
    <format dxfId="4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0F79AA9-702E-4FE8-A56D-DEBAC44162A7}" name="Top statistics"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K3:O13" firstHeaderRow="0" firstDataRow="1" firstDataCol="1"/>
  <pivotFields count="20">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axis="axisRow"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dataField="1" numFmtId="165" showAll="0"/>
    <pivotField numFmtId="165" showAll="0"/>
    <pivotField dataField="1" numFmtId="165" showAll="0"/>
    <pivotField dataField="1" numFmtId="165" showAll="0"/>
    <pivotField numFmtId="9"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3"/>
  </rowFields>
  <rowItems count="10">
    <i>
      <x/>
    </i>
    <i>
      <x v="1"/>
    </i>
    <i>
      <x v="2"/>
    </i>
    <i>
      <x v="3"/>
    </i>
    <i>
      <x v="4"/>
    </i>
    <i>
      <x v="5"/>
    </i>
    <i>
      <x v="6"/>
    </i>
    <i>
      <x v="7"/>
    </i>
    <i>
      <x v="8"/>
    </i>
    <i t="grand">
      <x/>
    </i>
  </rowItems>
  <colFields count="1">
    <field x="-2"/>
  </colFields>
  <colItems count="4">
    <i>
      <x/>
    </i>
    <i i="1">
      <x v="1"/>
    </i>
    <i i="2">
      <x v="2"/>
    </i>
    <i i="3">
      <x v="3"/>
    </i>
  </colItems>
  <dataFields count="4">
    <dataField name="Sum of Sales Qty." fld="9" baseField="0" baseItem="0"/>
    <dataField name="Sum of Total Cost" fld="11" baseField="0" baseItem="0"/>
    <dataField name="Sum of Revenue" fld="13" baseField="0" baseItem="0" numFmtId="165"/>
    <dataField name="Sum of Profit" fld="14" baseField="0" baseItem="0"/>
  </dataFields>
  <formats count="8">
    <format dxfId="57">
      <pivotArea type="all" dataOnly="0" outline="0" fieldPosition="0"/>
    </format>
    <format dxfId="56">
      <pivotArea outline="0" collapsedLevelsAreSubtotals="1" fieldPosition="0"/>
    </format>
    <format dxfId="55">
      <pivotArea field="3" type="button" dataOnly="0" labelOnly="1" outline="0" axis="axisRow" fieldPosition="0"/>
    </format>
    <format dxfId="54">
      <pivotArea dataOnly="0" labelOnly="1" fieldPosition="0">
        <references count="1">
          <reference field="3" count="0"/>
        </references>
      </pivotArea>
    </format>
    <format dxfId="53">
      <pivotArea dataOnly="0" labelOnly="1" grandRow="1" outline="0" fieldPosition="0"/>
    </format>
    <format dxfId="52">
      <pivotArea dataOnly="0" labelOnly="1" outline="0" fieldPosition="0">
        <references count="1">
          <reference field="4294967294" count="4">
            <x v="0"/>
            <x v="1"/>
            <x v="2"/>
            <x v="3"/>
          </reference>
        </references>
      </pivotArea>
    </format>
    <format dxfId="51">
      <pivotArea outline="0" collapsedLevelsAreSubtotals="1" fieldPosition="0"/>
    </format>
    <format dxfId="5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B40C5D-E721-496B-9EC1-72D3DCBEE53B}" name="customer analysis"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
  <location ref="AK3:AL15" firstHeaderRow="1" firstDataRow="1" firstDataCol="1"/>
  <pivotFields count="20">
    <pivotField numFmtId="166" showAll="0"/>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axis="axisRow"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showAll="0">
      <items count="8">
        <item x="2"/>
        <item x="4"/>
        <item x="6"/>
        <item x="1"/>
        <item x="3"/>
        <item x="0"/>
        <item x="5"/>
        <item t="default"/>
      </items>
    </pivotField>
    <pivotField dataField="1" numFmtId="165" showAll="0"/>
    <pivotField numFmtId="165" showAll="0"/>
    <pivotField numFmtId="165" showAll="0"/>
    <pivotField numFmtId="165" showAll="0"/>
    <pivotField numFmtId="165" showAll="0"/>
    <pivotField numFmtId="165" showAll="0"/>
    <pivotField numFmtId="9" showAll="0"/>
    <pivotField showAll="0" defaultSubtotal="0"/>
    <pivotField showAll="0" defaultSubtotal="0"/>
    <pivotField showAll="0" defaultSubtotal="0"/>
    <pivotField showAll="0" defaultSubtotal="0"/>
  </pivotFields>
  <rowFields count="1">
    <field x="6"/>
  </rowFields>
  <rowItems count="12">
    <i>
      <x/>
    </i>
    <i>
      <x v="1"/>
    </i>
    <i>
      <x v="2"/>
    </i>
    <i>
      <x v="3"/>
    </i>
    <i>
      <x v="4"/>
    </i>
    <i>
      <x v="5"/>
    </i>
    <i>
      <x v="6"/>
    </i>
    <i>
      <x v="7"/>
    </i>
    <i>
      <x v="8"/>
    </i>
    <i>
      <x v="9"/>
    </i>
    <i>
      <x v="10"/>
    </i>
    <i t="grand">
      <x/>
    </i>
  </rowItems>
  <colItems count="1">
    <i/>
  </colItems>
  <dataFields count="1">
    <dataField name="Sum of Sales Qty." fld="9" baseField="0" baseItem="0" numFmtId="165"/>
  </dataFields>
  <formats count="2">
    <format dxfId="59">
      <pivotArea outline="0" collapsedLevelsAreSubtotals="1" fieldPosition="0"/>
    </format>
    <format dxfId="5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3B0097D-B93B-47B8-AFBB-1A09DBDDA673}" name="Region Count" cacheId="3"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H3:I10" firstHeaderRow="1" firstDataRow="1" firstDataCol="1"/>
  <pivotFields count="20">
    <pivotField numFmtId="166" showAll="0">
      <items count="15">
        <item x="0"/>
        <item x="1"/>
        <item x="2"/>
        <item x="3"/>
        <item x="4"/>
        <item x="5"/>
        <item x="6"/>
        <item x="7"/>
        <item x="8"/>
        <item x="9"/>
        <item x="10"/>
        <item x="11"/>
        <item x="12"/>
        <item x="13"/>
        <item t="default"/>
      </items>
    </pivotField>
    <pivotField numFmtId="167" showAll="0">
      <items count="15">
        <item x="0"/>
        <item x="1"/>
        <item x="2"/>
        <item x="3"/>
        <item x="4"/>
        <item x="5"/>
        <item x="6"/>
        <item x="7"/>
        <item x="8"/>
        <item x="9"/>
        <item x="10"/>
        <item x="11"/>
        <item x="12"/>
        <item x="13"/>
        <item t="default"/>
      </items>
    </pivotField>
    <pivotField numFmtId="168" showAll="0"/>
    <pivotField showAll="0">
      <items count="10">
        <item x="1"/>
        <item x="2"/>
        <item x="8"/>
        <item x="5"/>
        <item x="7"/>
        <item x="4"/>
        <item x="0"/>
        <item x="6"/>
        <item x="3"/>
        <item t="default"/>
      </items>
    </pivotField>
    <pivotField showAll="0"/>
    <pivotField showAll="0">
      <items count="4">
        <item x="2"/>
        <item x="1"/>
        <item x="0"/>
        <item t="default"/>
      </items>
    </pivotField>
    <pivotField showAll="0">
      <items count="12">
        <item x="4"/>
        <item x="2"/>
        <item x="0"/>
        <item x="8"/>
        <item x="7"/>
        <item x="6"/>
        <item x="10"/>
        <item x="5"/>
        <item x="1"/>
        <item x="3"/>
        <item x="9"/>
        <item t="default"/>
      </items>
    </pivotField>
    <pivotField showAll="0">
      <items count="12">
        <item x="8"/>
        <item x="3"/>
        <item x="0"/>
        <item x="6"/>
        <item x="4"/>
        <item x="5"/>
        <item x="1"/>
        <item x="2"/>
        <item x="7"/>
        <item x="9"/>
        <item x="10"/>
        <item t="default"/>
      </items>
    </pivotField>
    <pivotField axis="axisRow" dataField="1" showAll="0">
      <items count="8">
        <item x="2"/>
        <item x="4"/>
        <item x="1"/>
        <item x="3"/>
        <item x="0"/>
        <item x="5"/>
        <item x="6"/>
        <item t="default"/>
      </items>
    </pivotField>
    <pivotField numFmtId="165" showAll="0"/>
    <pivotField numFmtId="165" showAll="0"/>
    <pivotField numFmtId="165" showAll="0"/>
    <pivotField numFmtId="165" showAll="0"/>
    <pivotField numFmtId="165" showAll="0"/>
    <pivotField numFmtId="165" showAll="0"/>
    <pivotField numFmtId="9" showAll="0"/>
    <pivotField showAll="0">
      <items count="7">
        <item x="0"/>
        <item x="1"/>
        <item x="2"/>
        <item x="3"/>
        <item x="4"/>
        <item x="5"/>
        <item t="default"/>
      </items>
    </pivotField>
    <pivotField showAll="0">
      <items count="8">
        <item x="0"/>
        <item x="1"/>
        <item x="2"/>
        <item x="3"/>
        <item x="4"/>
        <item x="5"/>
        <item x="6"/>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8"/>
  </rowFields>
  <rowItems count="7">
    <i>
      <x/>
    </i>
    <i>
      <x v="1"/>
    </i>
    <i>
      <x v="2"/>
    </i>
    <i>
      <x v="3"/>
    </i>
    <i>
      <x v="4"/>
    </i>
    <i>
      <x v="5"/>
    </i>
    <i>
      <x v="6"/>
    </i>
  </rowItems>
  <colItems count="1">
    <i/>
  </colItems>
  <dataFields count="1">
    <dataField name="Count of Region" fld="8" subtotal="count" baseField="0" baseItem="0"/>
  </dataFields>
  <formats count="5">
    <format dxfId="64">
      <pivotArea type="all" dataOnly="0" outline="0" fieldPosition="0"/>
    </format>
    <format dxfId="63">
      <pivotArea outline="0" collapsedLevelsAreSubtotals="1" fieldPosition="0"/>
    </format>
    <format dxfId="62">
      <pivotArea field="8" type="button" dataOnly="0" labelOnly="1" outline="0" axis="axisRow" fieldPosition="0"/>
    </format>
    <format dxfId="61">
      <pivotArea dataOnly="0" labelOnly="1" fieldPosition="0">
        <references count="1">
          <reference field="8" count="0"/>
        </references>
      </pivotArea>
    </format>
    <format dxfId="60">
      <pivotArea dataOnly="0" labelOnly="1" outline="0" axis="axisValues" fieldPosition="0"/>
    </format>
  </formats>
  <pivotTableStyleInfo name="PivotStyleLight16" showRowHeaders="1" showColHeaders="1" showRowStripes="0" showColStripes="0" showLastColumn="1"/>
  <filters count="1">
    <filter fld="1" type="dateBetween" evalOrder="-1" id="75" name="Month">
      <autoFilter ref="A1">
        <filterColumn colId="0">
          <customFilters and="1">
            <customFilter operator="greaterThanOrEqual" val="42370"/>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5B707734-C7C7-4A19-84D0-4F47F48E6D64}" sourceName="Sector">
  <pivotTables>
    <pivotTable tabId="5" name="Country count"/>
    <pivotTable tabId="5" name="Customers count"/>
    <pivotTable tabId="5" name="Product count"/>
    <pivotTable tabId="5" name="Region Count"/>
    <pivotTable tabId="5" name="Top statistics"/>
    <pivotTable tabId="5" name="Map"/>
    <pivotTable tabId="5" name="Sales qty"/>
    <pivotTable tabId="5" name="Annual Sales"/>
    <pivotTable tabId="5" name="Country chart"/>
    <pivotTable tabId="5" name="customer analysis"/>
  </pivotTables>
  <data>
    <tabular pivotCacheId="62216378">
      <items count="3">
        <i x="2" s="1"/>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66AE97C-6615-4D24-8530-74064E59C0EB}" sourceName="Product">
  <pivotTables>
    <pivotTable tabId="5" name="Country count"/>
    <pivotTable tabId="5" name="Customers count"/>
    <pivotTable tabId="5" name="Product count"/>
    <pivotTable tabId="5" name="Region Count"/>
    <pivotTable tabId="5" name="Top statistics"/>
    <pivotTable tabId="5" name="Map"/>
    <pivotTable tabId="5" name="Sales qty"/>
    <pivotTable tabId="5" name="Annual Sales"/>
    <pivotTable tabId="5" name="Country chart"/>
    <pivotTable tabId="5" name="customer analysis"/>
    <pivotTable tabId="5" name="ROI"/>
    <pivotTable tabId="5" name="Sector percent"/>
  </pivotTables>
  <data>
    <tabular pivotCacheId="62216378">
      <items count="9">
        <i x="1" s="1"/>
        <i x="2" s="1"/>
        <i x="8" s="1"/>
        <i x="5" s="1"/>
        <i x="7" s="1"/>
        <i x="4" s="1"/>
        <i x="0" s="1"/>
        <i x="6"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7C52FE9B-1584-425D-AC79-CD8A27DD169D}" sourceName="Customer">
  <pivotTables>
    <pivotTable tabId="5" name="Country count"/>
    <pivotTable tabId="5" name="Customers count"/>
    <pivotTable tabId="5" name="Product count"/>
    <pivotTable tabId="5" name="Region Count"/>
    <pivotTable tabId="5" name="Top statistics"/>
    <pivotTable tabId="5" name="Map"/>
    <pivotTable tabId="5" name="Sales qty"/>
    <pivotTable tabId="5" name="Annual Sales"/>
    <pivotTable tabId="5" name="Country chart"/>
    <pivotTable tabId="5" name="Sector percent"/>
  </pivotTables>
  <data>
    <tabular pivotCacheId="62216378">
      <items count="11">
        <i x="4" s="1"/>
        <i x="2" s="1"/>
        <i x="0" s="1"/>
        <i x="8" s="1"/>
        <i x="7" s="1"/>
        <i x="6" s="1"/>
        <i x="10" s="1"/>
        <i x="5" s="1"/>
        <i x="1" s="1"/>
        <i x="3" s="1"/>
        <i x="9"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ED17A55-81CB-4C4E-9C18-D1C1E38975D5}" sourceName="Region">
  <pivotTables>
    <pivotTable tabId="5" name="Country count"/>
    <pivotTable tabId="5" name="Customers count"/>
    <pivotTable tabId="5" name="Product count"/>
    <pivotTable tabId="5" name="Region Count"/>
    <pivotTable tabId="5" name="Top statistics"/>
    <pivotTable tabId="5" name="Map"/>
    <pivotTable tabId="5" name="Sales qty"/>
    <pivotTable tabId="5" name="Annual Sales"/>
    <pivotTable tabId="5" name="Country chart"/>
    <pivotTable tabId="5" name="Sector percent"/>
    <pivotTable tabId="5" name="customer analysis"/>
  </pivotTables>
  <data>
    <tabular pivotCacheId="62216378">
      <items count="7">
        <i x="2" s="1"/>
        <i x="4" s="1"/>
        <i x="6" s="1"/>
        <i x="1" s="1"/>
        <i x="3" s="1"/>
        <i x="0" s="1"/>
        <i x="5"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2841DE3-331D-4F03-9452-B056C66415DE}" sourceName="Country">
  <pivotTables>
    <pivotTable tabId="5" name="Country count"/>
    <pivotTable tabId="5" name="Customers count"/>
    <pivotTable tabId="5" name="Product count"/>
    <pivotTable tabId="5" name="Region Count"/>
    <pivotTable tabId="5" name="Top statistics"/>
    <pivotTable tabId="5" name="Map"/>
    <pivotTable tabId="5" name="Sales qty"/>
    <pivotTable tabId="5" name="Annual Sales"/>
    <pivotTable tabId="5" name="Sector percent"/>
    <pivotTable tabId="5" name="customer analysis"/>
  </pivotTables>
  <data>
    <tabular pivotCacheId="62216378">
      <items count="11">
        <i x="8" s="1"/>
        <i x="3" s="1"/>
        <i x="0" s="1"/>
        <i x="6" s="1"/>
        <i x="4" s="1"/>
        <i x="5" s="1"/>
        <i x="1" s="1"/>
        <i x="2" s="1"/>
        <i x="7" s="1"/>
        <i x="9" s="1"/>
        <i x="1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or" xr10:uid="{5D5FFB53-ADE2-419B-B59E-BDA7603530B3}" cache="Slicer_Sector" caption="Sector" style="Slicer Style 1" rowHeight="241300"/>
  <slicer name="Product" xr10:uid="{F291D456-12BF-4859-ABD7-25FDE2C22152}" cache="Slicer_Product" caption="Product" columnCount="2" style="Slicer Style 1" rowHeight="241300"/>
  <slicer name="Customer" xr10:uid="{28C7BB44-1279-4BC4-9184-63C240C5FDD3}" cache="Slicer_Customer" caption="Customer" style="Slicer Style 1" rowHeight="241300"/>
  <slicer name="Region" xr10:uid="{6F3DFBB1-5302-4B27-BE60-EA1928341336}" cache="Slicer_Region" caption="Region" style="Slicer Style 1" rowHeight="241300"/>
  <slicer name="Country" xr10:uid="{F9994091-C2DB-4CE2-B5B6-E19038C105C6}" cache="Slicer_Country" caption="Country" columnCount="2"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BE6523-183C-4A19-99DD-E00156E7081E}" name="Sales" displayName="Sales" ref="A2:P100" totalsRowShown="0" headerRowDxfId="82" dataDxfId="81" dataCellStyle="Comma">
  <autoFilter ref="A2:P100" xr:uid="{10E112EE-3CED-40D2-9941-65C3DBBEF2E8}"/>
  <tableColumns count="16">
    <tableColumn id="1" xr3:uid="{2DFAEF98-D5B0-4D83-9781-F5B2C9B21D0C}" name="Date" dataDxfId="80"/>
    <tableColumn id="2" xr3:uid="{30F0DEF7-DF08-4B7B-8429-96E458844EB5}" name="Month" dataDxfId="79">
      <calculatedColumnFormula>IF(Sales[[#This Row],[Date]]="","",Sales[[#This Row],[Date]])</calculatedColumnFormula>
    </tableColumn>
    <tableColumn id="3" xr3:uid="{456BC55C-CAFE-489D-AE95-97E9CEDB5603}" name="Year" dataDxfId="78">
      <calculatedColumnFormula>IF(Sales[[#This Row],[Date]]="","",Sales[[#This Row],[Date]])</calculatedColumnFormula>
    </tableColumn>
    <tableColumn id="4" xr3:uid="{0EF20688-E80E-4BB8-A6CD-6EB82C2D7479}" name="Product" dataDxfId="77"/>
    <tableColumn id="15" xr3:uid="{FE51A372-24D9-44B9-A85D-9B3EABFFFB85}" name="Part Number" dataDxfId="76">
      <calculatedColumnFormula>IFERROR(VLOOKUP(Sales[[#This Row],[Product]],Database!$B:$F,2,0),"")</calculatedColumnFormula>
    </tableColumn>
    <tableColumn id="5" xr3:uid="{31A546C7-3C22-4FF0-B742-2E66E873E739}" name="Sector" dataDxfId="75">
      <calculatedColumnFormula>IFERROR(VLOOKUP(Sales[[#This Row],[Product]],Database!$B:$F,3,0),"")</calculatedColumnFormula>
    </tableColumn>
    <tableColumn id="6" xr3:uid="{257336F3-4E91-4E82-AC1B-08C0E4AD044D}" name="Customer" dataDxfId="74"/>
    <tableColumn id="7" xr3:uid="{1A8FC596-44B4-48A8-AB08-80E2698422AF}" name="Country" dataDxfId="73">
      <calculatedColumnFormula>IFERROR(VLOOKUP(Sales[[#This Row],[Customer]],Database!K:M,2,0),"")</calculatedColumnFormula>
    </tableColumn>
    <tableColumn id="16" xr3:uid="{21BEDF01-99CC-4342-862A-B64E3E990579}" name="Region" dataDxfId="72">
      <calculatedColumnFormula>IFERROR(VLOOKUP(Sales[[#This Row],[Customer]],Database!K:M,3,0),"")</calculatedColumnFormula>
    </tableColumn>
    <tableColumn id="9" xr3:uid="{725DCD88-4656-4F88-BA8C-E956BAA7ED76}" name="Sales Qty." dataDxfId="71" dataCellStyle="Comma"/>
    <tableColumn id="8" xr3:uid="{F516B3E7-0C2F-466A-BE52-B6F031DD43C9}" name="Item Cost" dataDxfId="70" dataCellStyle="Comma">
      <calculatedColumnFormula>IFERROR(VLOOKUP(Sales[[#This Row],[Product]],Database!$B:$F,4,0),"")</calculatedColumnFormula>
    </tableColumn>
    <tableColumn id="14" xr3:uid="{B5A4B073-F8E4-4C54-9A9C-00086D3F167C}" name="Total Cost" dataDxfId="69" dataCellStyle="Comma">
      <calculatedColumnFormula>IFERROR(Sales[[#This Row],[Sales Qty.]]*Sales[[#This Row],[Item Cost]],"")</calculatedColumnFormula>
    </tableColumn>
    <tableColumn id="10" xr3:uid="{3E378520-ECA9-45C5-B2B8-FBB7AA8C9774}" name="Item Price" dataDxfId="68" dataCellStyle="Comma">
      <calculatedColumnFormula>IFERROR(VLOOKUP(Sales[[#This Row],[Product]],Database!$B:$F,5,0),"")</calculatedColumnFormula>
    </tableColumn>
    <tableColumn id="11" xr3:uid="{FFF827C6-9F88-4959-9534-9E8A6442238E}" name="Revenue" dataDxfId="67" dataCellStyle="Comma">
      <calculatedColumnFormula>IFERROR(Sales[[#This Row],[Item Price]]*Sales[[#This Row],[Sales Qty.]],"")</calculatedColumnFormula>
    </tableColumn>
    <tableColumn id="12" xr3:uid="{D1E53CB7-C6ED-48E5-BEB2-9387700182C7}" name="Profit" dataDxfId="66" dataCellStyle="Comma">
      <calculatedColumnFormula>IFERROR(Sales[[#This Row],[Revenue]]-Sales[[#This Row],[Total Cost]],"")</calculatedColumnFormula>
    </tableColumn>
    <tableColumn id="13" xr3:uid="{72AB3505-3D43-475E-B399-D8FB8EEF3854}" name="R.O.I" dataDxfId="65" dataCellStyle="Percent">
      <calculatedColumnFormula>IFERROR(Sales[[#This Row],[Profit]]/Sales[[#This Row],[Total Cost]],"")</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Month" xr10:uid="{DDB95F47-CDAC-4FE2-8244-5BA0F462695D}" sourceName="Month">
  <pivotTables>
    <pivotTable tabId="5" name="Top statistics"/>
    <pivotTable tabId="5" name="Customers count"/>
    <pivotTable tabId="5" name="Country count"/>
    <pivotTable tabId="5" name="Product count"/>
    <pivotTable tabId="5" name="Region Count"/>
    <pivotTable tabId="5" name="Map"/>
    <pivotTable tabId="5" name="Sales qty"/>
    <pivotTable tabId="5" name="Annual Sales"/>
    <pivotTable tabId="5" name="Country chart"/>
    <pivotTable tabId="5" name="Sector percent"/>
    <pivotTable tabId="5" name="customer analysis"/>
  </pivotTables>
  <state minimalRefreshVersion="6" lastRefreshVersion="6" pivotCacheId="62216378" filterType="dateBetween">
    <selection startDate="2016-01-01T00:00:00" endDate="2020-12-31T00:00:00"/>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nth" xr10:uid="{B9962B15-84C2-474E-9EAC-85A4DCCF02DB}" cache="NativeTimeline_Month" caption="Month" showSelectionLabel="0" showHorizontalScrollbar="0" level="0" selectionLevel="0" scrollPosition="2016-01-01T00:00:00" style="Timeline Style 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5.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U72"/>
  <sheetViews>
    <sheetView showGridLines="0" showRowColHeaders="0" tabSelected="1" topLeftCell="A30" zoomScale="80" zoomScaleNormal="80" workbookViewId="0">
      <pane xSplit="3" topLeftCell="D1" activePane="topRight" state="frozen"/>
      <selection pane="topRight" activeCell="C66" sqref="C66:I72"/>
    </sheetView>
  </sheetViews>
  <sheetFormatPr defaultRowHeight="12.75" x14ac:dyDescent="0.2"/>
  <cols>
    <col min="1" max="1" width="17.7109375" style="7"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B5" s="2"/>
      <c r="D5" s="2"/>
    </row>
    <row r="6" spans="1:4" ht="15" x14ac:dyDescent="0.25">
      <c r="A6" s="42" t="s">
        <v>121</v>
      </c>
      <c r="B6" s="2" t="s">
        <v>0</v>
      </c>
      <c r="D6" s="2" t="s">
        <v>159</v>
      </c>
    </row>
    <row r="7" spans="1:4" ht="15" x14ac:dyDescent="0.25">
      <c r="A7" s="42" t="s">
        <v>122</v>
      </c>
    </row>
    <row r="8" spans="1:4" ht="15" x14ac:dyDescent="0.25">
      <c r="A8" s="42" t="s">
        <v>123</v>
      </c>
      <c r="B8" s="2" t="s">
        <v>1</v>
      </c>
      <c r="D8" s="1" t="s">
        <v>119</v>
      </c>
    </row>
    <row r="9" spans="1:4" ht="15" x14ac:dyDescent="0.25">
      <c r="A9" s="9"/>
    </row>
    <row r="11" spans="1:4" x14ac:dyDescent="0.2">
      <c r="A11" s="8"/>
    </row>
    <row r="12" spans="1:4" x14ac:dyDescent="0.2">
      <c r="C12" s="4" t="s">
        <v>120</v>
      </c>
      <c r="D12" s="1" t="s">
        <v>124</v>
      </c>
    </row>
    <row r="13" spans="1:4" x14ac:dyDescent="0.2">
      <c r="C13" s="4" t="s">
        <v>16</v>
      </c>
      <c r="D13" s="1" t="s">
        <v>125</v>
      </c>
    </row>
    <row r="14" spans="1:4" x14ac:dyDescent="0.2">
      <c r="C14" s="4" t="s">
        <v>28</v>
      </c>
      <c r="D14" s="1" t="s">
        <v>126</v>
      </c>
    </row>
    <row r="15" spans="1:4" x14ac:dyDescent="0.2">
      <c r="C15" s="4" t="s">
        <v>129</v>
      </c>
      <c r="D15" s="1" t="s">
        <v>130</v>
      </c>
    </row>
    <row r="16" spans="1:4" x14ac:dyDescent="0.2">
      <c r="C16" s="4" t="s">
        <v>24</v>
      </c>
      <c r="D16" s="1" t="s">
        <v>127</v>
      </c>
    </row>
    <row r="17" spans="2:4" x14ac:dyDescent="0.2">
      <c r="C17" s="4" t="s">
        <v>25</v>
      </c>
      <c r="D17" s="1" t="s">
        <v>128</v>
      </c>
    </row>
    <row r="18" spans="2:4" x14ac:dyDescent="0.2">
      <c r="C18" s="4" t="s">
        <v>18</v>
      </c>
      <c r="D18" s="1" t="s">
        <v>131</v>
      </c>
    </row>
    <row r="19" spans="2:4" x14ac:dyDescent="0.2">
      <c r="C19" s="4" t="s">
        <v>19</v>
      </c>
      <c r="D19" s="1" t="s">
        <v>132</v>
      </c>
    </row>
    <row r="20" spans="2:4" x14ac:dyDescent="0.2">
      <c r="C20" s="4" t="s">
        <v>23</v>
      </c>
      <c r="D20" s="1" t="s">
        <v>133</v>
      </c>
    </row>
    <row r="21" spans="2:4" x14ac:dyDescent="0.2">
      <c r="C21" s="4"/>
    </row>
    <row r="22" spans="2:4" x14ac:dyDescent="0.2">
      <c r="C22" s="4"/>
    </row>
    <row r="25" spans="2:4" x14ac:dyDescent="0.2">
      <c r="B25" s="3" t="s">
        <v>2</v>
      </c>
      <c r="D25" s="3">
        <v>3</v>
      </c>
    </row>
    <row r="27" spans="2:4" x14ac:dyDescent="0.2">
      <c r="B27" s="3" t="s">
        <v>3</v>
      </c>
      <c r="C27" s="5" t="s">
        <v>121</v>
      </c>
      <c r="D27" s="1" t="s">
        <v>134</v>
      </c>
    </row>
    <row r="28" spans="2:4" x14ac:dyDescent="0.2">
      <c r="C28" s="5" t="s">
        <v>122</v>
      </c>
      <c r="D28" s="1" t="s">
        <v>135</v>
      </c>
    </row>
    <row r="29" spans="2:4" x14ac:dyDescent="0.2">
      <c r="C29" s="5" t="s">
        <v>123</v>
      </c>
      <c r="D29" s="1" t="s">
        <v>136</v>
      </c>
    </row>
    <row r="30" spans="2:4" x14ac:dyDescent="0.2">
      <c r="C30" s="5"/>
    </row>
    <row r="32" spans="2:4" x14ac:dyDescent="0.2">
      <c r="B32" s="3" t="s">
        <v>4</v>
      </c>
      <c r="C32" s="6" t="s">
        <v>5</v>
      </c>
      <c r="D32" s="1" t="s">
        <v>137</v>
      </c>
    </row>
    <row r="33" spans="2:21" x14ac:dyDescent="0.2">
      <c r="C33" s="6" t="s">
        <v>6</v>
      </c>
      <c r="D33" s="1" t="s">
        <v>139</v>
      </c>
    </row>
    <row r="34" spans="2:21" x14ac:dyDescent="0.2">
      <c r="C34" s="6" t="s">
        <v>7</v>
      </c>
      <c r="D34" s="1" t="s">
        <v>138</v>
      </c>
    </row>
    <row r="35" spans="2:21" x14ac:dyDescent="0.2">
      <c r="C35" s="6" t="s">
        <v>8</v>
      </c>
      <c r="D35" s="1" t="s">
        <v>140</v>
      </c>
    </row>
    <row r="36" spans="2:21" x14ac:dyDescent="0.2">
      <c r="C36" s="6" t="s">
        <v>9</v>
      </c>
      <c r="D36" s="1" t="s">
        <v>141</v>
      </c>
    </row>
    <row r="37" spans="2:21" x14ac:dyDescent="0.2">
      <c r="C37" s="6" t="s">
        <v>10</v>
      </c>
      <c r="D37" s="1" t="s">
        <v>142</v>
      </c>
    </row>
    <row r="38" spans="2:21" x14ac:dyDescent="0.2">
      <c r="C38" s="6" t="s">
        <v>11</v>
      </c>
      <c r="D38" s="1" t="s">
        <v>143</v>
      </c>
    </row>
    <row r="39" spans="2:21" x14ac:dyDescent="0.2">
      <c r="C39" s="6" t="s">
        <v>12</v>
      </c>
      <c r="D39" s="1" t="s">
        <v>144</v>
      </c>
    </row>
    <row r="40" spans="2:21" x14ac:dyDescent="0.2">
      <c r="C40" s="6" t="s">
        <v>13</v>
      </c>
      <c r="D40" s="1" t="s">
        <v>145</v>
      </c>
    </row>
    <row r="41" spans="2:21" x14ac:dyDescent="0.2">
      <c r="C41" s="6" t="s">
        <v>146</v>
      </c>
      <c r="D41" s="1" t="s">
        <v>147</v>
      </c>
    </row>
    <row r="42" spans="2:21" x14ac:dyDescent="0.2">
      <c r="C42" s="6"/>
    </row>
    <row r="43" spans="2:21" x14ac:dyDescent="0.2">
      <c r="B43" s="2" t="s">
        <v>148</v>
      </c>
      <c r="C43" s="6"/>
      <c r="D43" s="43" t="s">
        <v>149</v>
      </c>
      <c r="H43" s="44"/>
      <c r="I43" s="44"/>
      <c r="J43" s="44"/>
      <c r="K43" s="44"/>
      <c r="L43" s="44"/>
      <c r="M43" s="44"/>
      <c r="N43" s="44"/>
      <c r="P43" s="44"/>
      <c r="Q43" s="44"/>
      <c r="R43" s="44"/>
      <c r="S43" s="44"/>
      <c r="T43" s="44"/>
      <c r="U43" s="44"/>
    </row>
    <row r="44" spans="2:21" x14ac:dyDescent="0.2">
      <c r="D44" s="43" t="s">
        <v>150</v>
      </c>
      <c r="H44" s="44"/>
      <c r="I44" s="44"/>
      <c r="J44" s="44"/>
      <c r="K44" s="44"/>
      <c r="L44" s="44"/>
      <c r="M44" s="44"/>
      <c r="N44" s="44"/>
      <c r="P44" s="44"/>
      <c r="Q44" s="44"/>
      <c r="R44" s="44"/>
      <c r="S44" s="44"/>
      <c r="T44" s="44"/>
      <c r="U44" s="44"/>
    </row>
    <row r="45" spans="2:21" x14ac:dyDescent="0.2">
      <c r="H45" s="44"/>
      <c r="I45" s="44"/>
      <c r="J45" s="44"/>
      <c r="K45" s="44"/>
      <c r="L45" s="44"/>
      <c r="M45" s="44"/>
      <c r="N45" s="44"/>
      <c r="P45" s="44"/>
      <c r="Q45" s="44"/>
      <c r="R45" s="44"/>
      <c r="S45" s="44"/>
      <c r="T45" s="44"/>
      <c r="U45" s="44"/>
    </row>
    <row r="46" spans="2:21" x14ac:dyDescent="0.2">
      <c r="C46" s="45" t="s">
        <v>151</v>
      </c>
      <c r="D46" s="1" t="s">
        <v>153</v>
      </c>
      <c r="H46" s="44"/>
      <c r="I46" s="44"/>
      <c r="J46" s="44"/>
      <c r="K46" s="44"/>
      <c r="L46" s="44"/>
      <c r="M46" s="44"/>
      <c r="N46" s="44"/>
      <c r="P46" s="44"/>
      <c r="Q46" s="44"/>
      <c r="R46" s="44"/>
      <c r="S46" s="44"/>
      <c r="T46" s="44"/>
      <c r="U46" s="44"/>
    </row>
    <row r="47" spans="2:21" x14ac:dyDescent="0.2">
      <c r="D47" s="6"/>
      <c r="H47" s="44"/>
      <c r="I47" s="44"/>
      <c r="J47" s="44"/>
      <c r="K47" s="44"/>
      <c r="L47" s="44"/>
      <c r="M47" s="44"/>
      <c r="N47" s="44"/>
      <c r="P47" s="44"/>
      <c r="Q47" s="44"/>
      <c r="R47" s="44"/>
      <c r="S47" s="44"/>
      <c r="T47" s="44"/>
      <c r="U47" s="44"/>
    </row>
    <row r="48" spans="2:21" x14ac:dyDescent="0.2">
      <c r="D48" s="6"/>
      <c r="H48" s="44"/>
      <c r="I48" s="44"/>
      <c r="J48" s="44"/>
      <c r="K48" s="44"/>
      <c r="L48" s="44"/>
      <c r="M48" s="44"/>
      <c r="N48" s="44"/>
      <c r="P48" s="44"/>
      <c r="Q48" s="44"/>
      <c r="R48" s="44"/>
      <c r="S48" s="44"/>
      <c r="T48" s="44"/>
      <c r="U48" s="44"/>
    </row>
    <row r="49" spans="3:21" x14ac:dyDescent="0.2">
      <c r="D49" s="6"/>
      <c r="H49" s="44"/>
      <c r="I49" s="44"/>
      <c r="J49" s="44"/>
      <c r="K49" s="44"/>
      <c r="L49" s="44"/>
      <c r="M49" s="44"/>
      <c r="N49" s="44"/>
      <c r="P49" s="44"/>
      <c r="Q49" s="44"/>
      <c r="R49" s="44"/>
      <c r="S49" s="44"/>
      <c r="T49" s="44"/>
      <c r="U49" s="44"/>
    </row>
    <row r="50" spans="3:21" x14ac:dyDescent="0.2">
      <c r="D50" s="6"/>
      <c r="H50" s="44"/>
      <c r="I50" s="44"/>
      <c r="J50" s="44"/>
      <c r="K50" s="44"/>
      <c r="L50" s="44"/>
      <c r="M50" s="44"/>
      <c r="N50" s="44"/>
      <c r="P50" s="44"/>
      <c r="Q50" s="44"/>
      <c r="R50" s="44"/>
      <c r="S50" s="44"/>
      <c r="T50" s="44"/>
      <c r="U50" s="44"/>
    </row>
    <row r="51" spans="3:21" x14ac:dyDescent="0.2">
      <c r="D51" s="6"/>
      <c r="H51" s="44"/>
      <c r="I51" s="44"/>
      <c r="J51" s="44"/>
      <c r="K51" s="44"/>
      <c r="L51" s="44"/>
      <c r="M51" s="44"/>
      <c r="N51" s="44"/>
      <c r="P51" s="44"/>
      <c r="Q51" s="44"/>
      <c r="R51" s="44"/>
      <c r="S51" s="44"/>
      <c r="T51" s="44"/>
      <c r="U51" s="44"/>
    </row>
    <row r="52" spans="3:21" x14ac:dyDescent="0.2">
      <c r="C52" s="45" t="s">
        <v>152</v>
      </c>
      <c r="D52" s="1" t="s">
        <v>154</v>
      </c>
      <c r="H52" s="44"/>
      <c r="I52" s="44"/>
      <c r="J52" s="44"/>
      <c r="K52" s="44"/>
      <c r="L52" s="44"/>
      <c r="M52" s="44"/>
      <c r="N52" s="44"/>
      <c r="P52" s="44"/>
      <c r="Q52" s="44"/>
      <c r="R52" s="44"/>
      <c r="S52" s="44"/>
      <c r="T52" s="44"/>
      <c r="U52" s="44"/>
    </row>
    <row r="53" spans="3:21" x14ac:dyDescent="0.2">
      <c r="H53" s="44"/>
      <c r="I53" s="44"/>
      <c r="J53" s="44"/>
      <c r="K53" s="44"/>
      <c r="L53" s="44"/>
      <c r="M53" s="44"/>
      <c r="N53" s="44"/>
      <c r="P53" s="44"/>
      <c r="Q53" s="44"/>
      <c r="R53" s="44"/>
      <c r="S53" s="44"/>
      <c r="T53" s="44"/>
      <c r="U53" s="44"/>
    </row>
    <row r="54" spans="3:21" x14ac:dyDescent="0.2">
      <c r="C54" s="45" t="s">
        <v>155</v>
      </c>
      <c r="D54" s="1" t="s">
        <v>156</v>
      </c>
      <c r="H54" s="44"/>
      <c r="I54" s="44"/>
      <c r="J54" s="44"/>
      <c r="K54" s="44"/>
      <c r="L54" s="44"/>
      <c r="M54" s="44"/>
      <c r="N54" s="44"/>
      <c r="P54" s="44"/>
      <c r="Q54" s="44"/>
      <c r="R54" s="44"/>
      <c r="S54" s="44"/>
      <c r="T54" s="44"/>
      <c r="U54" s="44"/>
    </row>
    <row r="55" spans="3:21" x14ac:dyDescent="0.2">
      <c r="H55" s="44"/>
      <c r="I55" s="44"/>
      <c r="J55" s="44"/>
      <c r="K55" s="44"/>
      <c r="L55" s="44"/>
      <c r="M55" s="44"/>
      <c r="N55" s="44"/>
      <c r="P55" s="44"/>
      <c r="Q55" s="44"/>
      <c r="R55" s="44"/>
      <c r="S55" s="44"/>
      <c r="T55" s="44"/>
      <c r="U55" s="44"/>
    </row>
    <row r="56" spans="3:21" x14ac:dyDescent="0.2">
      <c r="H56" s="44"/>
      <c r="I56" s="44"/>
      <c r="J56" s="44"/>
      <c r="K56" s="44"/>
      <c r="L56" s="44"/>
      <c r="M56" s="44"/>
      <c r="N56" s="44"/>
      <c r="P56" s="44"/>
      <c r="Q56" s="44"/>
      <c r="R56" s="44"/>
      <c r="S56" s="44"/>
      <c r="T56" s="44"/>
      <c r="U56" s="44"/>
    </row>
    <row r="57" spans="3:21" x14ac:dyDescent="0.2">
      <c r="H57" s="44"/>
      <c r="I57" s="44"/>
      <c r="J57" s="44"/>
      <c r="K57" s="44"/>
      <c r="L57" s="44"/>
      <c r="M57" s="44"/>
      <c r="N57" s="44"/>
      <c r="P57" s="44"/>
      <c r="Q57" s="44"/>
      <c r="R57" s="44"/>
      <c r="S57" s="44"/>
      <c r="T57" s="44"/>
      <c r="U57" s="44"/>
    </row>
    <row r="58" spans="3:21" x14ac:dyDescent="0.2">
      <c r="H58" s="44"/>
      <c r="I58" s="44"/>
      <c r="J58" s="44"/>
      <c r="K58" s="44"/>
      <c r="L58" s="44"/>
      <c r="M58" s="44"/>
      <c r="N58" s="44"/>
      <c r="P58" s="44"/>
      <c r="Q58" s="44"/>
      <c r="R58" s="44"/>
      <c r="S58" s="44"/>
      <c r="T58" s="44"/>
      <c r="U58" s="44"/>
    </row>
    <row r="59" spans="3:21" x14ac:dyDescent="0.2">
      <c r="H59" s="44"/>
      <c r="I59" s="44"/>
      <c r="J59" s="44"/>
      <c r="K59" s="44"/>
      <c r="L59" s="44"/>
      <c r="M59" s="44"/>
      <c r="N59" s="44"/>
      <c r="P59" s="44"/>
      <c r="Q59" s="44"/>
      <c r="R59" s="44"/>
      <c r="S59" s="44"/>
      <c r="T59" s="44"/>
      <c r="U59" s="44"/>
    </row>
    <row r="60" spans="3:21" x14ac:dyDescent="0.2">
      <c r="C60" s="45" t="s">
        <v>157</v>
      </c>
      <c r="D60" s="1" t="s">
        <v>158</v>
      </c>
      <c r="H60" s="44"/>
      <c r="I60" s="44"/>
      <c r="J60" s="44"/>
      <c r="K60" s="44"/>
      <c r="L60" s="44"/>
      <c r="M60" s="44"/>
      <c r="N60" s="44"/>
      <c r="P60" s="44"/>
      <c r="Q60" s="44"/>
      <c r="R60" s="44"/>
      <c r="S60" s="44"/>
      <c r="T60" s="44"/>
      <c r="U60" s="44"/>
    </row>
    <row r="61" spans="3:21" x14ac:dyDescent="0.2">
      <c r="H61" s="44"/>
      <c r="I61" s="44"/>
      <c r="J61" s="44"/>
      <c r="K61" s="44"/>
      <c r="L61" s="44"/>
      <c r="M61" s="44"/>
      <c r="N61" s="44"/>
      <c r="P61" s="44"/>
      <c r="Q61" s="44"/>
      <c r="R61" s="44"/>
      <c r="S61" s="44"/>
      <c r="T61" s="44"/>
      <c r="U61" s="44"/>
    </row>
    <row r="62" spans="3:21" x14ac:dyDescent="0.2">
      <c r="H62" s="44"/>
      <c r="I62" s="44"/>
      <c r="J62" s="44"/>
      <c r="K62" s="44"/>
      <c r="L62" s="44"/>
      <c r="M62" s="44"/>
      <c r="N62" s="44"/>
      <c r="P62" s="44"/>
      <c r="Q62" s="44"/>
      <c r="R62" s="44"/>
      <c r="S62" s="44"/>
      <c r="T62" s="44"/>
      <c r="U62" s="44"/>
    </row>
    <row r="63" spans="3:21" x14ac:dyDescent="0.2">
      <c r="H63" s="44"/>
      <c r="I63" s="44"/>
      <c r="J63" s="44"/>
      <c r="K63" s="44"/>
      <c r="L63" s="44"/>
      <c r="M63" s="44"/>
      <c r="N63" s="44"/>
      <c r="P63" s="44"/>
      <c r="Q63" s="44"/>
      <c r="R63" s="44"/>
      <c r="S63" s="44"/>
      <c r="T63" s="44"/>
      <c r="U63" s="44"/>
    </row>
    <row r="64" spans="3:21" x14ac:dyDescent="0.2">
      <c r="H64" s="44"/>
      <c r="I64" s="44"/>
      <c r="J64" s="44"/>
      <c r="K64" s="44"/>
      <c r="L64" s="44"/>
      <c r="M64" s="44"/>
      <c r="N64" s="44"/>
      <c r="P64" s="44"/>
      <c r="Q64" s="44"/>
      <c r="R64" s="44"/>
      <c r="S64" s="44"/>
      <c r="T64" s="44"/>
      <c r="U64" s="44"/>
    </row>
    <row r="65" spans="2:21" x14ac:dyDescent="0.2">
      <c r="H65" s="44"/>
      <c r="I65" s="44"/>
      <c r="J65" s="44"/>
      <c r="K65" s="44"/>
      <c r="L65" s="44"/>
      <c r="M65" s="44"/>
      <c r="N65" s="44"/>
      <c r="P65" s="44"/>
      <c r="Q65" s="44"/>
      <c r="R65" s="44"/>
      <c r="S65" s="44"/>
      <c r="T65" s="44"/>
      <c r="U65" s="44"/>
    </row>
    <row r="66" spans="2:21" x14ac:dyDescent="0.2">
      <c r="D66" s="43"/>
      <c r="H66" s="44"/>
      <c r="I66" s="44"/>
      <c r="J66" s="44"/>
      <c r="K66" s="44"/>
      <c r="L66" s="44"/>
      <c r="M66" s="44"/>
      <c r="N66" s="44"/>
    </row>
    <row r="67" spans="2:21" x14ac:dyDescent="0.2">
      <c r="D67" s="44"/>
      <c r="H67" s="44"/>
      <c r="I67" s="44"/>
      <c r="J67" s="44"/>
      <c r="K67" s="44"/>
      <c r="L67" s="44"/>
      <c r="M67" s="44"/>
      <c r="N67" s="44"/>
    </row>
    <row r="68" spans="2:21" ht="15" x14ac:dyDescent="0.25">
      <c r="D68" s="46"/>
      <c r="H68" s="44"/>
      <c r="I68" s="44"/>
      <c r="J68" s="44"/>
      <c r="K68" s="44"/>
      <c r="L68" s="44"/>
      <c r="M68" s="44"/>
      <c r="N68" s="44"/>
    </row>
    <row r="69" spans="2:21" x14ac:dyDescent="0.2">
      <c r="D69" s="44"/>
      <c r="H69" s="44"/>
      <c r="I69" s="44"/>
      <c r="J69" s="44"/>
      <c r="K69" s="44"/>
      <c r="L69" s="44"/>
      <c r="M69" s="44"/>
      <c r="N69" s="44"/>
    </row>
    <row r="70" spans="2:21" x14ac:dyDescent="0.2">
      <c r="D70" s="44"/>
      <c r="H70" s="44"/>
      <c r="I70" s="44"/>
      <c r="J70" s="44"/>
      <c r="K70" s="44"/>
      <c r="L70" s="44"/>
      <c r="M70" s="44"/>
      <c r="N70" s="44"/>
    </row>
    <row r="71" spans="2:21" x14ac:dyDescent="0.2">
      <c r="D71" s="44"/>
      <c r="H71" s="44"/>
      <c r="I71" s="44"/>
      <c r="J71" s="44"/>
      <c r="K71" s="44"/>
      <c r="L71" s="44"/>
      <c r="M71" s="44"/>
      <c r="N71" s="44"/>
    </row>
    <row r="72" spans="2:21" x14ac:dyDescent="0.2">
      <c r="B72" s="44"/>
      <c r="C72" s="44"/>
      <c r="D72" s="44"/>
      <c r="E72" s="44"/>
      <c r="F72" s="44"/>
      <c r="G72" s="44"/>
      <c r="H72" s="44"/>
      <c r="I72" s="44"/>
      <c r="J72" s="44"/>
      <c r="K72" s="44"/>
      <c r="L72" s="44"/>
      <c r="M72" s="44"/>
      <c r="N72" s="44"/>
    </row>
  </sheetData>
  <conditionalFormatting sqref="D25">
    <cfRule type="iconSet" priority="1">
      <iconSet reverse="1">
        <cfvo type="percent" val="0"/>
        <cfvo type="num" val="1" gte="0"/>
        <cfvo type="num" val="2" gte="0"/>
      </iconSet>
    </cfRule>
  </conditionalFormatting>
  <hyperlinks>
    <hyperlink ref="A6" location="Dashboard!A1" display="Dashboard" xr:uid="{B750E473-2D27-4488-AAA8-F8779EAB1FEF}"/>
    <hyperlink ref="A7" location="'Raw Data'!A1" display="Raw Data" xr:uid="{8CC00887-B4B6-42BE-B0AB-4697EF9CE2D9}"/>
    <hyperlink ref="A8" location="Database!A1" display="Database" xr:uid="{EC55BB6E-CC63-4F8A-A1E2-F29EA00E7C5B}"/>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BE5E7-56FE-477D-9226-1AE46C73938A}">
  <sheetPr codeName="Sheet2">
    <tabColor rgb="FF50B47F"/>
  </sheetPr>
  <dimension ref="A1:T39"/>
  <sheetViews>
    <sheetView showGridLines="0" showRowColHeaders="0" zoomScaleNormal="100" workbookViewId="0">
      <selection sqref="A1:C6"/>
    </sheetView>
  </sheetViews>
  <sheetFormatPr defaultColWidth="0" defaultRowHeight="12.75" zeroHeight="1" x14ac:dyDescent="0.2"/>
  <cols>
    <col min="1" max="1" width="8.7109375" style="1" customWidth="1"/>
    <col min="2" max="20" width="9.7109375" style="1" customWidth="1"/>
    <col min="21" max="16384" width="9.140625" style="1" hidden="1"/>
  </cols>
  <sheetData>
    <row r="1" spans="1:20" ht="21" customHeight="1" x14ac:dyDescent="0.25">
      <c r="A1" s="47" t="s">
        <v>77</v>
      </c>
      <c r="B1" s="47"/>
      <c r="C1" s="47"/>
      <c r="D1" s="49" t="s">
        <v>80</v>
      </c>
      <c r="E1" s="49"/>
      <c r="F1" s="49" t="s">
        <v>78</v>
      </c>
      <c r="G1" s="49"/>
      <c r="H1" s="49" t="s">
        <v>83</v>
      </c>
      <c r="I1" s="49"/>
      <c r="J1" s="49" t="s">
        <v>87</v>
      </c>
      <c r="K1" s="49"/>
      <c r="L1" s="38"/>
      <c r="M1" s="49" t="s">
        <v>88</v>
      </c>
      <c r="N1" s="49"/>
      <c r="O1" s="49" t="s">
        <v>27</v>
      </c>
      <c r="P1" s="49"/>
      <c r="Q1" s="49" t="s">
        <v>85</v>
      </c>
      <c r="R1" s="49"/>
      <c r="S1" s="49" t="s">
        <v>92</v>
      </c>
      <c r="T1" s="49"/>
    </row>
    <row r="2" spans="1:20" ht="12.75" customHeight="1" x14ac:dyDescent="0.2">
      <c r="A2" s="47"/>
      <c r="B2" s="47"/>
      <c r="C2" s="47"/>
      <c r="D2" s="50">
        <f>IFERROR(COUNT(Pivot!F:F),"")</f>
        <v>9</v>
      </c>
      <c r="E2" s="50"/>
      <c r="F2" s="50">
        <f>IFERROR(COUNT(Pivot!C:C),"")</f>
        <v>11</v>
      </c>
      <c r="G2" s="50"/>
      <c r="H2" s="50">
        <f>IFERROR(COUNT(Pivot!I:I),"")</f>
        <v>7</v>
      </c>
      <c r="I2" s="50"/>
      <c r="J2" s="50">
        <f>IFERROR(COUNT(Pivot!S:S),"")</f>
        <v>11</v>
      </c>
      <c r="K2" s="50"/>
      <c r="L2" s="24"/>
      <c r="M2" s="55">
        <f>IFERROR(GETPIVOTDATA("sales qty.",Pivot!$K$3),"")</f>
        <v>6270681</v>
      </c>
      <c r="N2" s="55"/>
      <c r="O2" s="55">
        <f>IFERROR(GETPIVOTDATA("total cost",Pivot!$K$3),"")</f>
        <v>80751724</v>
      </c>
      <c r="P2" s="55"/>
      <c r="Q2" s="53">
        <f>IFERROR(GETPIVOTDATA("Revenue",Pivot!$K$3),"")</f>
        <v>95475223</v>
      </c>
      <c r="R2" s="53"/>
      <c r="S2" s="53">
        <f>IFERROR(GETPIVOTDATA("Profit",Pivot!$K$3),"")</f>
        <v>14723499</v>
      </c>
      <c r="T2" s="53"/>
    </row>
    <row r="3" spans="1:20" ht="12.75" customHeight="1" x14ac:dyDescent="0.2">
      <c r="A3" s="47"/>
      <c r="B3" s="47"/>
      <c r="C3" s="47"/>
      <c r="D3" s="50"/>
      <c r="E3" s="50"/>
      <c r="F3" s="50"/>
      <c r="G3" s="50"/>
      <c r="H3" s="50"/>
      <c r="I3" s="50"/>
      <c r="J3" s="50"/>
      <c r="K3" s="50"/>
      <c r="L3" s="24"/>
      <c r="M3" s="55"/>
      <c r="N3" s="55"/>
      <c r="O3" s="55"/>
      <c r="P3" s="55"/>
      <c r="Q3" s="53"/>
      <c r="R3" s="53"/>
      <c r="S3" s="53"/>
      <c r="T3" s="53"/>
    </row>
    <row r="4" spans="1:20" ht="12.75" customHeight="1" x14ac:dyDescent="0.2">
      <c r="A4" s="47"/>
      <c r="B4" s="47"/>
      <c r="C4" s="47"/>
      <c r="D4" s="50"/>
      <c r="E4" s="50"/>
      <c r="F4" s="50"/>
      <c r="G4" s="50"/>
      <c r="H4" s="50"/>
      <c r="I4" s="50"/>
      <c r="J4" s="50"/>
      <c r="K4" s="50"/>
      <c r="L4" s="24"/>
      <c r="M4" s="55"/>
      <c r="N4" s="55"/>
      <c r="O4" s="55"/>
      <c r="P4" s="55"/>
      <c r="Q4" s="53"/>
      <c r="R4" s="53"/>
      <c r="S4" s="53"/>
      <c r="T4" s="53"/>
    </row>
    <row r="5" spans="1:20" ht="12.75" customHeight="1" x14ac:dyDescent="0.2">
      <c r="A5" s="47"/>
      <c r="B5" s="47"/>
      <c r="C5" s="47"/>
      <c r="D5" s="50"/>
      <c r="E5" s="50"/>
      <c r="F5" s="50"/>
      <c r="G5" s="50"/>
      <c r="H5" s="50"/>
      <c r="I5" s="50"/>
      <c r="J5" s="50"/>
      <c r="K5" s="50"/>
      <c r="L5" s="24"/>
      <c r="M5" s="55"/>
      <c r="N5" s="55"/>
      <c r="O5" s="55"/>
      <c r="P5" s="55"/>
      <c r="Q5" s="53"/>
      <c r="R5" s="53"/>
      <c r="S5" s="53"/>
      <c r="T5" s="53"/>
    </row>
    <row r="6" spans="1:20" ht="12.75" customHeight="1" thickBot="1" x14ac:dyDescent="0.25">
      <c r="A6" s="48"/>
      <c r="B6" s="48"/>
      <c r="C6" s="48"/>
      <c r="D6" s="51"/>
      <c r="E6" s="51"/>
      <c r="F6" s="51"/>
      <c r="G6" s="51"/>
      <c r="H6" s="51"/>
      <c r="I6" s="51"/>
      <c r="J6" s="51"/>
      <c r="K6" s="51"/>
      <c r="L6" s="23"/>
      <c r="M6" s="56"/>
      <c r="N6" s="56"/>
      <c r="O6" s="56"/>
      <c r="P6" s="56"/>
      <c r="Q6" s="54"/>
      <c r="R6" s="54"/>
      <c r="S6" s="54"/>
      <c r="T6" s="54"/>
    </row>
    <row r="7" spans="1:20" x14ac:dyDescent="0.2"/>
    <row r="8" spans="1:20" x14ac:dyDescent="0.2"/>
    <row r="9" spans="1:20" x14ac:dyDescent="0.2"/>
    <row r="10" spans="1:20" x14ac:dyDescent="0.2"/>
    <row r="11" spans="1:20" x14ac:dyDescent="0.2">
      <c r="R11" s="25"/>
    </row>
    <row r="12" spans="1:20" x14ac:dyDescent="0.2"/>
    <row r="13" spans="1:20" x14ac:dyDescent="0.2"/>
    <row r="14" spans="1:20" x14ac:dyDescent="0.2"/>
    <row r="15" spans="1:20" x14ac:dyDescent="0.2"/>
    <row r="16" spans="1:20" x14ac:dyDescent="0.2"/>
    <row r="17" spans="15:20" x14ac:dyDescent="0.2"/>
    <row r="18" spans="15:20" x14ac:dyDescent="0.2"/>
    <row r="19" spans="15:20" x14ac:dyDescent="0.2"/>
    <row r="20" spans="15:20" x14ac:dyDescent="0.2"/>
    <row r="21" spans="15:20" x14ac:dyDescent="0.2"/>
    <row r="22" spans="15:20" x14ac:dyDescent="0.2">
      <c r="O22" s="52" t="s">
        <v>117</v>
      </c>
      <c r="P22" s="52"/>
      <c r="Q22" s="52"/>
      <c r="R22" s="52"/>
      <c r="S22" s="52"/>
      <c r="T22" s="52"/>
    </row>
    <row r="23" spans="15:20" x14ac:dyDescent="0.2"/>
    <row r="24" spans="15:20" x14ac:dyDescent="0.2"/>
    <row r="25" spans="15:20" x14ac:dyDescent="0.2"/>
    <row r="26" spans="15:20" x14ac:dyDescent="0.2"/>
    <row r="27" spans="15:20" x14ac:dyDescent="0.2"/>
    <row r="28" spans="15:20" x14ac:dyDescent="0.2"/>
    <row r="29" spans="15:20" x14ac:dyDescent="0.2"/>
    <row r="30" spans="15:20" x14ac:dyDescent="0.2"/>
    <row r="31" spans="15:20" x14ac:dyDescent="0.2"/>
    <row r="32" spans="15:20" x14ac:dyDescent="0.2"/>
    <row r="33" x14ac:dyDescent="0.2"/>
    <row r="34" x14ac:dyDescent="0.2"/>
    <row r="35" x14ac:dyDescent="0.2"/>
    <row r="36" x14ac:dyDescent="0.2"/>
    <row r="37" x14ac:dyDescent="0.2"/>
    <row r="38" x14ac:dyDescent="0.2"/>
    <row r="39" x14ac:dyDescent="0.2"/>
  </sheetData>
  <sheetProtection selectLockedCells="1" selectUnlockedCells="1"/>
  <mergeCells count="18">
    <mergeCell ref="O22:T22"/>
    <mergeCell ref="S2:T6"/>
    <mergeCell ref="S1:T1"/>
    <mergeCell ref="J1:K1"/>
    <mergeCell ref="J2:K6"/>
    <mergeCell ref="Q1:R1"/>
    <mergeCell ref="M1:N1"/>
    <mergeCell ref="Q2:R6"/>
    <mergeCell ref="M2:N6"/>
    <mergeCell ref="O2:P6"/>
    <mergeCell ref="O1:P1"/>
    <mergeCell ref="A1:C6"/>
    <mergeCell ref="H1:I1"/>
    <mergeCell ref="D1:E1"/>
    <mergeCell ref="H2:I6"/>
    <mergeCell ref="D2:E6"/>
    <mergeCell ref="F2:G6"/>
    <mergeCell ref="F1:G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
                <anchor moveWithCells="1" sizeWithCells="1">
                  <from>
                    <xdr:col>0</xdr:col>
                    <xdr:colOff>47625</xdr:colOff>
                    <xdr:row>6</xdr:row>
                    <xdr:rowOff>9525</xdr:rowOff>
                  </from>
                  <to>
                    <xdr:col>1</xdr:col>
                    <xdr:colOff>352425</xdr:colOff>
                    <xdr:row>7</xdr:row>
                    <xdr:rowOff>104775</xdr:rowOff>
                  </to>
                </anchor>
              </controlPr>
            </control>
          </mc:Choice>
        </mc:AlternateContent>
        <mc:AlternateContent xmlns:mc="http://schemas.openxmlformats.org/markup-compatibility/2006">
          <mc:Choice Requires="x14">
            <control shapeId="2051" r:id="rId5" name="Button 3">
              <controlPr defaultSize="0" print="0" autoFill="0" autoPict="0" macro="[0]!Full_screen">
                <anchor moveWithCells="1" sizeWithCells="1">
                  <from>
                    <xdr:col>1</xdr:col>
                    <xdr:colOff>371475</xdr:colOff>
                    <xdr:row>6</xdr:row>
                    <xdr:rowOff>9525</xdr:rowOff>
                  </from>
                  <to>
                    <xdr:col>2</xdr:col>
                    <xdr:colOff>609600</xdr:colOff>
                    <xdr:row>7</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E58D-372B-40D4-9D8A-FA6F341F0C6E}">
  <sheetPr codeName="Sheet3">
    <tabColor rgb="FF8FCFAD"/>
  </sheetPr>
  <dimension ref="A1:S100"/>
  <sheetViews>
    <sheetView showGridLines="0" showRowColHeaders="0" zoomScaleNormal="100" workbookViewId="0">
      <pane ySplit="2" topLeftCell="A90" activePane="bottomLeft" state="frozen"/>
      <selection pane="bottomLeft" activeCell="A101" sqref="A101"/>
    </sheetView>
  </sheetViews>
  <sheetFormatPr defaultColWidth="0" defaultRowHeight="15" x14ac:dyDescent="0.25"/>
  <cols>
    <col min="1" max="1" width="10.7109375" style="15" customWidth="1"/>
    <col min="2" max="3" width="10.7109375" style="1" customWidth="1"/>
    <col min="4" max="4" width="14.7109375" style="16" customWidth="1"/>
    <col min="5" max="5" width="14.7109375" style="1" customWidth="1"/>
    <col min="6" max="6" width="17.140625" style="1" customWidth="1"/>
    <col min="7" max="7" width="14.7109375" style="16" customWidth="1"/>
    <col min="8" max="9" width="14.7109375" style="1" customWidth="1"/>
    <col min="10" max="10" width="12.7109375" style="16" customWidth="1"/>
    <col min="11" max="13" width="12.7109375" style="1" customWidth="1"/>
    <col min="14" max="15" width="12.7109375" customWidth="1"/>
    <col min="16" max="16" width="12.7109375" style="1" customWidth="1"/>
    <col min="17" max="17" width="2.42578125" style="1" customWidth="1"/>
    <col min="18" max="19" width="0" style="1" hidden="1" customWidth="1"/>
    <col min="20" max="16384" width="9.140625" style="1" hidden="1"/>
  </cols>
  <sheetData>
    <row r="1" spans="1:16" x14ac:dyDescent="0.25">
      <c r="A1" s="1"/>
      <c r="D1" s="1"/>
      <c r="G1" s="1"/>
      <c r="J1" s="1"/>
    </row>
    <row r="2" spans="1:16" ht="12.75" x14ac:dyDescent="0.2">
      <c r="A2" s="18" t="s">
        <v>14</v>
      </c>
      <c r="B2" s="13" t="s">
        <v>20</v>
      </c>
      <c r="C2" s="13" t="s">
        <v>21</v>
      </c>
      <c r="D2" s="19" t="s">
        <v>15</v>
      </c>
      <c r="E2" s="13" t="s">
        <v>28</v>
      </c>
      <c r="F2" s="13" t="s">
        <v>17</v>
      </c>
      <c r="G2" s="19" t="s">
        <v>16</v>
      </c>
      <c r="H2" s="13" t="s">
        <v>22</v>
      </c>
      <c r="I2" s="13" t="s">
        <v>29</v>
      </c>
      <c r="J2" s="19" t="s">
        <v>26</v>
      </c>
      <c r="K2" s="13" t="s">
        <v>24</v>
      </c>
      <c r="L2" s="13" t="s">
        <v>27</v>
      </c>
      <c r="M2" s="13" t="s">
        <v>25</v>
      </c>
      <c r="N2" s="13" t="s">
        <v>18</v>
      </c>
      <c r="O2" s="13" t="s">
        <v>19</v>
      </c>
      <c r="P2" s="13" t="s">
        <v>23</v>
      </c>
    </row>
    <row r="3" spans="1:16" ht="12.75" x14ac:dyDescent="0.2">
      <c r="A3" s="15">
        <v>43561</v>
      </c>
      <c r="B3" s="11">
        <f>IF(Sales[[#This Row],[Date]]="","",Sales[[#This Row],[Date]])</f>
        <v>43561</v>
      </c>
      <c r="C3" s="12">
        <f>IF(Sales[[#This Row],[Date]]="","",Sales[[#This Row],[Date]])</f>
        <v>43561</v>
      </c>
      <c r="D3" s="16" t="s">
        <v>40</v>
      </c>
      <c r="E3" s="1" t="str">
        <f>IFERROR(VLOOKUP(Sales[[#This Row],[Product]],Database!$B:$F,2,0),"")</f>
        <v>MES5014</v>
      </c>
      <c r="F3" s="1" t="str">
        <f>IFERROR(VLOOKUP(Sales[[#This Row],[Product]],Database!$B:$F,3,0),"")</f>
        <v>Washing Machine</v>
      </c>
      <c r="G3" s="16" t="s">
        <v>61</v>
      </c>
      <c r="H3" s="1" t="str">
        <f>IFERROR(VLOOKUP(Sales[[#This Row],[Customer]],Database!K:M,2,0),"")</f>
        <v>Canada</v>
      </c>
      <c r="I3" s="1" t="str">
        <f>IFERROR(VLOOKUP(Sales[[#This Row],[Customer]],Database!K:M,3,0),"")</f>
        <v>North America</v>
      </c>
      <c r="J3" s="17">
        <v>5000</v>
      </c>
      <c r="K3" s="10">
        <f>IFERROR(VLOOKUP(Sales[[#This Row],[Product]],Database!$B:$F,4,0),"")</f>
        <v>12</v>
      </c>
      <c r="L3" s="10">
        <f>IFERROR(Sales[[#This Row],[Sales Qty.]]*Sales[[#This Row],[Item Cost]],"")</f>
        <v>60000</v>
      </c>
      <c r="M3" s="10">
        <f>IFERROR(VLOOKUP(Sales[[#This Row],[Product]],Database!$B:$F,5,0),"")</f>
        <v>16</v>
      </c>
      <c r="N3" s="10">
        <f>IFERROR(Sales[[#This Row],[Item Price]]*Sales[[#This Row],[Sales Qty.]],"")</f>
        <v>80000</v>
      </c>
      <c r="O3" s="10">
        <f>IFERROR(Sales[[#This Row],[Revenue]]-Sales[[#This Row],[Total Cost]],"")</f>
        <v>20000</v>
      </c>
      <c r="P3" s="14">
        <f>IFERROR(Sales[[#This Row],[Profit]]/Sales[[#This Row],[Total Cost]],"")</f>
        <v>0.33333333333333331</v>
      </c>
    </row>
    <row r="4" spans="1:16" ht="12.75" x14ac:dyDescent="0.2">
      <c r="A4" s="15">
        <v>43819</v>
      </c>
      <c r="B4" s="11">
        <f>IF(Sales[[#This Row],[Date]]="","",Sales[[#This Row],[Date]])</f>
        <v>43819</v>
      </c>
      <c r="C4" s="12">
        <f>IF(Sales[[#This Row],[Date]]="","",Sales[[#This Row],[Date]])</f>
        <v>43819</v>
      </c>
      <c r="D4" s="16" t="s">
        <v>33</v>
      </c>
      <c r="E4" s="1" t="str">
        <f>IFERROR(VLOOKUP(Sales[[#This Row],[Product]],Database!$B:$F,2,0),"")</f>
        <v>ACQ2004</v>
      </c>
      <c r="F4" s="1" t="str">
        <f>IFERROR(VLOOKUP(Sales[[#This Row],[Product]],Database!$B:$F,3,0),"")</f>
        <v>Television</v>
      </c>
      <c r="G4" s="16" t="s">
        <v>55</v>
      </c>
      <c r="H4" s="1" t="str">
        <f>IFERROR(VLOOKUP(Sales[[#This Row],[Customer]],Database!K:M,2,0),"")</f>
        <v>Finland</v>
      </c>
      <c r="I4" s="1" t="str">
        <f>IFERROR(VLOOKUP(Sales[[#This Row],[Customer]],Database!K:M,3,0),"")</f>
        <v>Europe</v>
      </c>
      <c r="J4" s="17">
        <v>2000</v>
      </c>
      <c r="K4" s="10">
        <f>IFERROR(VLOOKUP(Sales[[#This Row],[Product]],Database!$B:$F,4,0),"")</f>
        <v>9</v>
      </c>
      <c r="L4" s="10">
        <f>IFERROR(Sales[[#This Row],[Sales Qty.]]*Sales[[#This Row],[Item Cost]],"")</f>
        <v>18000</v>
      </c>
      <c r="M4" s="10">
        <f>IFERROR(VLOOKUP(Sales[[#This Row],[Product]],Database!$B:$F,5,0),"")</f>
        <v>10</v>
      </c>
      <c r="N4" s="10">
        <f>IFERROR(Sales[[#This Row],[Item Price]]*Sales[[#This Row],[Sales Qty.]],"")</f>
        <v>20000</v>
      </c>
      <c r="O4" s="10">
        <f>IFERROR(Sales[[#This Row],[Revenue]]-Sales[[#This Row],[Total Cost]],"")</f>
        <v>2000</v>
      </c>
      <c r="P4" s="14">
        <f>IFERROR(Sales[[#This Row],[Profit]]/Sales[[#This Row],[Total Cost]],"")</f>
        <v>0.1111111111111111</v>
      </c>
    </row>
    <row r="5" spans="1:16" ht="12.75" x14ac:dyDescent="0.2">
      <c r="A5" s="15">
        <v>42680</v>
      </c>
      <c r="B5" s="11">
        <f>IF(Sales[[#This Row],[Date]]="","",Sales[[#This Row],[Date]])</f>
        <v>42680</v>
      </c>
      <c r="C5" s="12">
        <f>IF(Sales[[#This Row],[Date]]="","",Sales[[#This Row],[Date]])</f>
        <v>42680</v>
      </c>
      <c r="D5" s="16" t="s">
        <v>34</v>
      </c>
      <c r="E5" s="1" t="str">
        <f>IFERROR(VLOOKUP(Sales[[#This Row],[Product]],Database!$B:$F,2,0),"")</f>
        <v>ACQ2005</v>
      </c>
      <c r="F5" s="1" t="str">
        <f>IFERROR(VLOOKUP(Sales[[#This Row],[Product]],Database!$B:$F,3,0),"")</f>
        <v>Television</v>
      </c>
      <c r="G5" s="16" t="s">
        <v>30</v>
      </c>
      <c r="H5" s="1" t="str">
        <f>IFERROR(VLOOKUP(Sales[[#This Row],[Customer]],Database!K:M,2,0),"")</f>
        <v>France</v>
      </c>
      <c r="I5" s="1" t="str">
        <f>IFERROR(VLOOKUP(Sales[[#This Row],[Customer]],Database!K:M,3,0),"")</f>
        <v>Europe</v>
      </c>
      <c r="J5" s="17">
        <v>58167</v>
      </c>
      <c r="K5" s="10">
        <f>IFERROR(VLOOKUP(Sales[[#This Row],[Product]],Database!$B:$F,4,0),"")</f>
        <v>10</v>
      </c>
      <c r="L5" s="10">
        <f>IFERROR(Sales[[#This Row],[Sales Qty.]]*Sales[[#This Row],[Item Cost]],"")</f>
        <v>581670</v>
      </c>
      <c r="M5" s="10">
        <f>IFERROR(VLOOKUP(Sales[[#This Row],[Product]],Database!$B:$F,5,0),"")</f>
        <v>12</v>
      </c>
      <c r="N5" s="10">
        <f>IFERROR(Sales[[#This Row],[Item Price]]*Sales[[#This Row],[Sales Qty.]],"")</f>
        <v>698004</v>
      </c>
      <c r="O5" s="10">
        <f>IFERROR(Sales[[#This Row],[Revenue]]-Sales[[#This Row],[Total Cost]],"")</f>
        <v>116334</v>
      </c>
      <c r="P5" s="14">
        <f>IFERROR(Sales[[#This Row],[Profit]]/Sales[[#This Row],[Total Cost]],"")</f>
        <v>0.2</v>
      </c>
    </row>
    <row r="6" spans="1:16" ht="12.75" x14ac:dyDescent="0.2">
      <c r="A6" s="15">
        <v>43631</v>
      </c>
      <c r="B6" s="11">
        <f>IF(Sales[[#This Row],[Date]]="","",Sales[[#This Row],[Date]])</f>
        <v>43631</v>
      </c>
      <c r="C6" s="12">
        <f>IF(Sales[[#This Row],[Date]]="","",Sales[[#This Row],[Date]])</f>
        <v>43631</v>
      </c>
      <c r="D6" s="16" t="s">
        <v>40</v>
      </c>
      <c r="E6" s="1" t="str">
        <f>IFERROR(VLOOKUP(Sales[[#This Row],[Product]],Database!$B:$F,2,0),"")</f>
        <v>MES5014</v>
      </c>
      <c r="F6" s="1" t="str">
        <f>IFERROR(VLOOKUP(Sales[[#This Row],[Product]],Database!$B:$F,3,0),"")</f>
        <v>Washing Machine</v>
      </c>
      <c r="G6" s="16" t="s">
        <v>55</v>
      </c>
      <c r="H6" s="1" t="str">
        <f>IFERROR(VLOOKUP(Sales[[#This Row],[Customer]],Database!K:M,2,0),"")</f>
        <v>Finland</v>
      </c>
      <c r="I6" s="1" t="str">
        <f>IFERROR(VLOOKUP(Sales[[#This Row],[Customer]],Database!K:M,3,0),"")</f>
        <v>Europe</v>
      </c>
      <c r="J6" s="17">
        <v>51143</v>
      </c>
      <c r="K6" s="10">
        <f>IFERROR(VLOOKUP(Sales[[#This Row],[Product]],Database!$B:$F,4,0),"")</f>
        <v>12</v>
      </c>
      <c r="L6" s="10">
        <f>IFERROR(Sales[[#This Row],[Sales Qty.]]*Sales[[#This Row],[Item Cost]],"")</f>
        <v>613716</v>
      </c>
      <c r="M6" s="10">
        <f>IFERROR(VLOOKUP(Sales[[#This Row],[Product]],Database!$B:$F,5,0),"")</f>
        <v>16</v>
      </c>
      <c r="N6" s="10">
        <f>IFERROR(Sales[[#This Row],[Item Price]]*Sales[[#This Row],[Sales Qty.]],"")</f>
        <v>818288</v>
      </c>
      <c r="O6" s="10">
        <f>IFERROR(Sales[[#This Row],[Revenue]]-Sales[[#This Row],[Total Cost]],"")</f>
        <v>204572</v>
      </c>
      <c r="P6" s="14">
        <f>IFERROR(Sales[[#This Row],[Profit]]/Sales[[#This Row],[Total Cost]],"")</f>
        <v>0.33333333333333331</v>
      </c>
    </row>
    <row r="7" spans="1:16" ht="12.75" x14ac:dyDescent="0.2">
      <c r="A7" s="15">
        <v>43665</v>
      </c>
      <c r="B7" s="11">
        <f>IF(Sales[[#This Row],[Date]]="","",Sales[[#This Row],[Date]])</f>
        <v>43665</v>
      </c>
      <c r="C7" s="12">
        <f>IF(Sales[[#This Row],[Date]]="","",Sales[[#This Row],[Date]])</f>
        <v>43665</v>
      </c>
      <c r="D7" s="16" t="s">
        <v>33</v>
      </c>
      <c r="E7" s="1" t="str">
        <f>IFERROR(VLOOKUP(Sales[[#This Row],[Product]],Database!$B:$F,2,0),"")</f>
        <v>ACQ2004</v>
      </c>
      <c r="F7" s="1" t="str">
        <f>IFERROR(VLOOKUP(Sales[[#This Row],[Product]],Database!$B:$F,3,0),"")</f>
        <v>Television</v>
      </c>
      <c r="G7" s="16" t="s">
        <v>62</v>
      </c>
      <c r="H7" s="1" t="str">
        <f>IFERROR(VLOOKUP(Sales[[#This Row],[Customer]],Database!K:M,2,0),"")</f>
        <v>Cameroon</v>
      </c>
      <c r="I7" s="1" t="str">
        <f>IFERROR(VLOOKUP(Sales[[#This Row],[Customer]],Database!K:M,3,0),"")</f>
        <v>Africa</v>
      </c>
      <c r="J7" s="17">
        <v>57560</v>
      </c>
      <c r="K7" s="10">
        <f>IFERROR(VLOOKUP(Sales[[#This Row],[Product]],Database!$B:$F,4,0),"")</f>
        <v>9</v>
      </c>
      <c r="L7" s="10">
        <f>IFERROR(Sales[[#This Row],[Sales Qty.]]*Sales[[#This Row],[Item Cost]],"")</f>
        <v>518040</v>
      </c>
      <c r="M7" s="10">
        <f>IFERROR(VLOOKUP(Sales[[#This Row],[Product]],Database!$B:$F,5,0),"")</f>
        <v>10</v>
      </c>
      <c r="N7" s="10">
        <f>IFERROR(Sales[[#This Row],[Item Price]]*Sales[[#This Row],[Sales Qty.]],"")</f>
        <v>575600</v>
      </c>
      <c r="O7" s="10">
        <f>IFERROR(Sales[[#This Row],[Revenue]]-Sales[[#This Row],[Total Cost]],"")</f>
        <v>57560</v>
      </c>
      <c r="P7" s="14">
        <f>IFERROR(Sales[[#This Row],[Profit]]/Sales[[#This Row],[Total Cost]],"")</f>
        <v>0.1111111111111111</v>
      </c>
    </row>
    <row r="8" spans="1:16" ht="12.75" x14ac:dyDescent="0.2">
      <c r="A8" s="15">
        <v>43174</v>
      </c>
      <c r="B8" s="11">
        <f>IF(Sales[[#This Row],[Date]]="","",Sales[[#This Row],[Date]])</f>
        <v>43174</v>
      </c>
      <c r="C8" s="12">
        <f>IF(Sales[[#This Row],[Date]]="","",Sales[[#This Row],[Date]])</f>
        <v>43174</v>
      </c>
      <c r="D8" s="16" t="s">
        <v>34</v>
      </c>
      <c r="E8" s="1" t="str">
        <f>IFERROR(VLOOKUP(Sales[[#This Row],[Product]],Database!$B:$F,2,0),"")</f>
        <v>ACQ2005</v>
      </c>
      <c r="F8" s="1" t="str">
        <f>IFERROR(VLOOKUP(Sales[[#This Row],[Product]],Database!$B:$F,3,0),"")</f>
        <v>Television</v>
      </c>
      <c r="G8" s="16" t="s">
        <v>30</v>
      </c>
      <c r="H8" s="1" t="str">
        <f>IFERROR(VLOOKUP(Sales[[#This Row],[Customer]],Database!K:M,2,0),"")</f>
        <v>France</v>
      </c>
      <c r="I8" s="1" t="str">
        <f>IFERROR(VLOOKUP(Sales[[#This Row],[Customer]],Database!K:M,3,0),"")</f>
        <v>Europe</v>
      </c>
      <c r="J8" s="17">
        <v>72242</v>
      </c>
      <c r="K8" s="10">
        <f>IFERROR(VLOOKUP(Sales[[#This Row],[Product]],Database!$B:$F,4,0),"")</f>
        <v>10</v>
      </c>
      <c r="L8" s="10">
        <f>IFERROR(Sales[[#This Row],[Sales Qty.]]*Sales[[#This Row],[Item Cost]],"")</f>
        <v>722420</v>
      </c>
      <c r="M8" s="10">
        <f>IFERROR(VLOOKUP(Sales[[#This Row],[Product]],Database!$B:$F,5,0),"")</f>
        <v>12</v>
      </c>
      <c r="N8" s="10">
        <f>IFERROR(Sales[[#This Row],[Item Price]]*Sales[[#This Row],[Sales Qty.]],"")</f>
        <v>866904</v>
      </c>
      <c r="O8" s="10">
        <f>IFERROR(Sales[[#This Row],[Revenue]]-Sales[[#This Row],[Total Cost]],"")</f>
        <v>144484</v>
      </c>
      <c r="P8" s="14">
        <f>IFERROR(Sales[[#This Row],[Profit]]/Sales[[#This Row],[Total Cost]],"")</f>
        <v>0.2</v>
      </c>
    </row>
    <row r="9" spans="1:16" ht="12.75" x14ac:dyDescent="0.2">
      <c r="A9" s="15">
        <v>42781</v>
      </c>
      <c r="B9" s="11">
        <f>IF(Sales[[#This Row],[Date]]="","",Sales[[#This Row],[Date]])</f>
        <v>42781</v>
      </c>
      <c r="C9" s="12">
        <f>IF(Sales[[#This Row],[Date]]="","",Sales[[#This Row],[Date]])</f>
        <v>42781</v>
      </c>
      <c r="D9" s="16" t="s">
        <v>50</v>
      </c>
      <c r="E9" s="1" t="str">
        <f>IFERROR(VLOOKUP(Sales[[#This Row],[Product]],Database!$B:$F,2,0),"")</f>
        <v>MAM454</v>
      </c>
      <c r="F9" s="1" t="str">
        <f>IFERROR(VLOOKUP(Sales[[#This Row],[Product]],Database!$B:$F,3,0),"")</f>
        <v>Refrigerator</v>
      </c>
      <c r="G9" s="16" t="s">
        <v>55</v>
      </c>
      <c r="H9" s="1" t="str">
        <f>IFERROR(VLOOKUP(Sales[[#This Row],[Customer]],Database!K:M,2,0),"")</f>
        <v>Finland</v>
      </c>
      <c r="I9" s="1" t="str">
        <f>IFERROR(VLOOKUP(Sales[[#This Row],[Customer]],Database!K:M,3,0),"")</f>
        <v>Europe</v>
      </c>
      <c r="J9" s="17">
        <v>76736</v>
      </c>
      <c r="K9" s="10">
        <f>IFERROR(VLOOKUP(Sales[[#This Row],[Product]],Database!$B:$F,4,0),"")</f>
        <v>15</v>
      </c>
      <c r="L9" s="10">
        <f>IFERROR(Sales[[#This Row],[Sales Qty.]]*Sales[[#This Row],[Item Cost]],"")</f>
        <v>1151040</v>
      </c>
      <c r="M9" s="10">
        <f>IFERROR(VLOOKUP(Sales[[#This Row],[Product]],Database!$B:$F,5,0),"")</f>
        <v>18</v>
      </c>
      <c r="N9" s="10">
        <f>IFERROR(Sales[[#This Row],[Item Price]]*Sales[[#This Row],[Sales Qty.]],"")</f>
        <v>1381248</v>
      </c>
      <c r="O9" s="10">
        <f>IFERROR(Sales[[#This Row],[Revenue]]-Sales[[#This Row],[Total Cost]],"")</f>
        <v>230208</v>
      </c>
      <c r="P9" s="14">
        <f>IFERROR(Sales[[#This Row],[Profit]]/Sales[[#This Row],[Total Cost]],"")</f>
        <v>0.2</v>
      </c>
    </row>
    <row r="10" spans="1:16" ht="12.75" x14ac:dyDescent="0.2">
      <c r="A10" s="15">
        <v>43946</v>
      </c>
      <c r="B10" s="11">
        <f>IF(Sales[[#This Row],[Date]]="","",Sales[[#This Row],[Date]])</f>
        <v>43946</v>
      </c>
      <c r="C10" s="12">
        <f>IF(Sales[[#This Row],[Date]]="","",Sales[[#This Row],[Date]])</f>
        <v>43946</v>
      </c>
      <c r="D10" s="16" t="s">
        <v>40</v>
      </c>
      <c r="E10" s="1" t="str">
        <f>IFERROR(VLOOKUP(Sales[[#This Row],[Product]],Database!$B:$F,2,0),"")</f>
        <v>MES5014</v>
      </c>
      <c r="F10" s="1" t="str">
        <f>IFERROR(VLOOKUP(Sales[[#This Row],[Product]],Database!$B:$F,3,0),"")</f>
        <v>Washing Machine</v>
      </c>
      <c r="G10" s="16" t="s">
        <v>30</v>
      </c>
      <c r="H10" s="1" t="str">
        <f>IFERROR(VLOOKUP(Sales[[#This Row],[Customer]],Database!K:M,2,0),"")</f>
        <v>France</v>
      </c>
      <c r="I10" s="1" t="str">
        <f>IFERROR(VLOOKUP(Sales[[#This Row],[Customer]],Database!K:M,3,0),"")</f>
        <v>Europe</v>
      </c>
      <c r="J10" s="17">
        <v>79248</v>
      </c>
      <c r="K10" s="10">
        <f>IFERROR(VLOOKUP(Sales[[#This Row],[Product]],Database!$B:$F,4,0),"")</f>
        <v>12</v>
      </c>
      <c r="L10" s="10">
        <f>IFERROR(Sales[[#This Row],[Sales Qty.]]*Sales[[#This Row],[Item Cost]],"")</f>
        <v>950976</v>
      </c>
      <c r="M10" s="10">
        <f>IFERROR(VLOOKUP(Sales[[#This Row],[Product]],Database!$B:$F,5,0),"")</f>
        <v>16</v>
      </c>
      <c r="N10" s="10">
        <f>IFERROR(Sales[[#This Row],[Item Price]]*Sales[[#This Row],[Sales Qty.]],"")</f>
        <v>1267968</v>
      </c>
      <c r="O10" s="10">
        <f>IFERROR(Sales[[#This Row],[Revenue]]-Sales[[#This Row],[Total Cost]],"")</f>
        <v>316992</v>
      </c>
      <c r="P10" s="14">
        <f>IFERROR(Sales[[#This Row],[Profit]]/Sales[[#This Row],[Total Cost]],"")</f>
        <v>0.33333333333333331</v>
      </c>
    </row>
    <row r="11" spans="1:16" ht="12.75" x14ac:dyDescent="0.2">
      <c r="A11" s="15">
        <v>42907</v>
      </c>
      <c r="B11" s="11">
        <f>IF(Sales[[#This Row],[Date]]="","",Sales[[#This Row],[Date]])</f>
        <v>42907</v>
      </c>
      <c r="C11" s="12">
        <f>IF(Sales[[#This Row],[Date]]="","",Sales[[#This Row],[Date]])</f>
        <v>42907</v>
      </c>
      <c r="D11" s="16" t="s">
        <v>33</v>
      </c>
      <c r="E11" s="1" t="str">
        <f>IFERROR(VLOOKUP(Sales[[#This Row],[Product]],Database!$B:$F,2,0),"")</f>
        <v>ACQ2004</v>
      </c>
      <c r="F11" s="1" t="str">
        <f>IFERROR(VLOOKUP(Sales[[#This Row],[Product]],Database!$B:$F,3,0),"")</f>
        <v>Television</v>
      </c>
      <c r="G11" s="16" t="s">
        <v>52</v>
      </c>
      <c r="H11" s="1" t="str">
        <f>IFERROR(VLOOKUP(Sales[[#This Row],[Customer]],Database!K:M,2,0),"")</f>
        <v>Egypt</v>
      </c>
      <c r="I11" s="1" t="str">
        <f>IFERROR(VLOOKUP(Sales[[#This Row],[Customer]],Database!K:M,3,0),"")</f>
        <v>Middle East</v>
      </c>
      <c r="J11" s="17">
        <v>59945</v>
      </c>
      <c r="K11" s="10">
        <f>IFERROR(VLOOKUP(Sales[[#This Row],[Product]],Database!$B:$F,4,0),"")</f>
        <v>9</v>
      </c>
      <c r="L11" s="10">
        <f>IFERROR(Sales[[#This Row],[Sales Qty.]]*Sales[[#This Row],[Item Cost]],"")</f>
        <v>539505</v>
      </c>
      <c r="M11" s="10">
        <f>IFERROR(VLOOKUP(Sales[[#This Row],[Product]],Database!$B:$F,5,0),"")</f>
        <v>10</v>
      </c>
      <c r="N11" s="10">
        <f>IFERROR(Sales[[#This Row],[Item Price]]*Sales[[#This Row],[Sales Qty.]],"")</f>
        <v>599450</v>
      </c>
      <c r="O11" s="10">
        <f>IFERROR(Sales[[#This Row],[Revenue]]-Sales[[#This Row],[Total Cost]],"")</f>
        <v>59945</v>
      </c>
      <c r="P11" s="14">
        <f>IFERROR(Sales[[#This Row],[Profit]]/Sales[[#This Row],[Total Cost]],"")</f>
        <v>0.1111111111111111</v>
      </c>
    </row>
    <row r="12" spans="1:16" ht="12.75" x14ac:dyDescent="0.2">
      <c r="A12" s="15">
        <v>43140</v>
      </c>
      <c r="B12" s="11">
        <f>IF(Sales[[#This Row],[Date]]="","",Sales[[#This Row],[Date]])</f>
        <v>43140</v>
      </c>
      <c r="C12" s="12">
        <f>IF(Sales[[#This Row],[Date]]="","",Sales[[#This Row],[Date]])</f>
        <v>43140</v>
      </c>
      <c r="D12" s="16" t="s">
        <v>45</v>
      </c>
      <c r="E12" s="1" t="str">
        <f>IFERROR(VLOOKUP(Sales[[#This Row],[Product]],Database!$B:$F,2,0),"")</f>
        <v>MES4111</v>
      </c>
      <c r="F12" s="1" t="str">
        <f>IFERROR(VLOOKUP(Sales[[#This Row],[Product]],Database!$B:$F,3,0),"")</f>
        <v>Washing Machine</v>
      </c>
      <c r="G12" s="16" t="s">
        <v>63</v>
      </c>
      <c r="H12" s="1" t="str">
        <f>IFERROR(VLOOKUP(Sales[[#This Row],[Customer]],Database!K:M,2,0),"")</f>
        <v>England</v>
      </c>
      <c r="I12" s="1" t="str">
        <f>IFERROR(VLOOKUP(Sales[[#This Row],[Customer]],Database!K:M,3,0),"")</f>
        <v>Europe</v>
      </c>
      <c r="J12" s="17">
        <v>77524</v>
      </c>
      <c r="K12" s="10">
        <f>IFERROR(VLOOKUP(Sales[[#This Row],[Product]],Database!$B:$F,4,0),"")</f>
        <v>13</v>
      </c>
      <c r="L12" s="10">
        <f>IFERROR(Sales[[#This Row],[Sales Qty.]]*Sales[[#This Row],[Item Cost]],"")</f>
        <v>1007812</v>
      </c>
      <c r="M12" s="10">
        <f>IFERROR(VLOOKUP(Sales[[#This Row],[Product]],Database!$B:$F,5,0),"")</f>
        <v>15</v>
      </c>
      <c r="N12" s="10">
        <f>IFERROR(Sales[[#This Row],[Item Price]]*Sales[[#This Row],[Sales Qty.]],"")</f>
        <v>1162860</v>
      </c>
      <c r="O12" s="10">
        <f>IFERROR(Sales[[#This Row],[Revenue]]-Sales[[#This Row],[Total Cost]],"")</f>
        <v>155048</v>
      </c>
      <c r="P12" s="14">
        <f>IFERROR(Sales[[#This Row],[Profit]]/Sales[[#This Row],[Total Cost]],"")</f>
        <v>0.15384615384615385</v>
      </c>
    </row>
    <row r="13" spans="1:16" ht="12.75" x14ac:dyDescent="0.2">
      <c r="A13" s="15">
        <v>43241</v>
      </c>
      <c r="B13" s="11">
        <f>IF(Sales[[#This Row],[Date]]="","",Sales[[#This Row],[Date]])</f>
        <v>43241</v>
      </c>
      <c r="C13" s="12">
        <f>IF(Sales[[#This Row],[Date]]="","",Sales[[#This Row],[Date]])</f>
        <v>43241</v>
      </c>
      <c r="D13" s="16" t="s">
        <v>37</v>
      </c>
      <c r="E13" s="1" t="str">
        <f>IFERROR(VLOOKUP(Sales[[#This Row],[Product]],Database!$B:$F,2,0),"")</f>
        <v>ACQ2010</v>
      </c>
      <c r="F13" s="1" t="str">
        <f>IFERROR(VLOOKUP(Sales[[#This Row],[Product]],Database!$B:$F,3,0),"")</f>
        <v>Television</v>
      </c>
      <c r="G13" s="16" t="s">
        <v>52</v>
      </c>
      <c r="H13" s="1" t="str">
        <f>IFERROR(VLOOKUP(Sales[[#This Row],[Customer]],Database!K:M,2,0),"")</f>
        <v>Egypt</v>
      </c>
      <c r="I13" s="1" t="str">
        <f>IFERROR(VLOOKUP(Sales[[#This Row],[Customer]],Database!K:M,3,0),"")</f>
        <v>Middle East</v>
      </c>
      <c r="J13" s="17">
        <v>52732</v>
      </c>
      <c r="K13" s="10">
        <f>IFERROR(VLOOKUP(Sales[[#This Row],[Product]],Database!$B:$F,4,0),"")</f>
        <v>14</v>
      </c>
      <c r="L13" s="10">
        <f>IFERROR(Sales[[#This Row],[Sales Qty.]]*Sales[[#This Row],[Item Cost]],"")</f>
        <v>738248</v>
      </c>
      <c r="M13" s="10">
        <f>IFERROR(VLOOKUP(Sales[[#This Row],[Product]],Database!$B:$F,5,0),"")</f>
        <v>16</v>
      </c>
      <c r="N13" s="10">
        <f>IFERROR(Sales[[#This Row],[Item Price]]*Sales[[#This Row],[Sales Qty.]],"")</f>
        <v>843712</v>
      </c>
      <c r="O13" s="10">
        <f>IFERROR(Sales[[#This Row],[Revenue]]-Sales[[#This Row],[Total Cost]],"")</f>
        <v>105464</v>
      </c>
      <c r="P13" s="14">
        <f>IFERROR(Sales[[#This Row],[Profit]]/Sales[[#This Row],[Total Cost]],"")</f>
        <v>0.14285714285714285</v>
      </c>
    </row>
    <row r="14" spans="1:16" ht="12.75" x14ac:dyDescent="0.2">
      <c r="A14" s="15">
        <v>42758</v>
      </c>
      <c r="B14" s="11">
        <f>IF(Sales[[#This Row],[Date]]="","",Sales[[#This Row],[Date]])</f>
        <v>42758</v>
      </c>
      <c r="C14" s="12">
        <f>IF(Sales[[#This Row],[Date]]="","",Sales[[#This Row],[Date]])</f>
        <v>42758</v>
      </c>
      <c r="D14" s="16" t="s">
        <v>47</v>
      </c>
      <c r="E14" s="1" t="str">
        <f>IFERROR(VLOOKUP(Sales[[#This Row],[Product]],Database!$B:$F,2,0),"")</f>
        <v>MAM1543</v>
      </c>
      <c r="F14" s="1" t="str">
        <f>IFERROR(VLOOKUP(Sales[[#This Row],[Product]],Database!$B:$F,3,0),"")</f>
        <v>Refrigerator</v>
      </c>
      <c r="G14" s="16" t="s">
        <v>62</v>
      </c>
      <c r="H14" s="1" t="str">
        <f>IFERROR(VLOOKUP(Sales[[#This Row],[Customer]],Database!K:M,2,0),"")</f>
        <v>Cameroon</v>
      </c>
      <c r="I14" s="1" t="str">
        <f>IFERROR(VLOOKUP(Sales[[#This Row],[Customer]],Database!K:M,3,0),"")</f>
        <v>Africa</v>
      </c>
      <c r="J14" s="17">
        <v>70583</v>
      </c>
      <c r="K14" s="10">
        <f>IFERROR(VLOOKUP(Sales[[#This Row],[Product]],Database!$B:$F,4,0),"")</f>
        <v>16</v>
      </c>
      <c r="L14" s="10">
        <f>IFERROR(Sales[[#This Row],[Sales Qty.]]*Sales[[#This Row],[Item Cost]],"")</f>
        <v>1129328</v>
      </c>
      <c r="M14" s="10">
        <f>IFERROR(VLOOKUP(Sales[[#This Row],[Product]],Database!$B:$F,5,0),"")</f>
        <v>18</v>
      </c>
      <c r="N14" s="10">
        <f>IFERROR(Sales[[#This Row],[Item Price]]*Sales[[#This Row],[Sales Qty.]],"")</f>
        <v>1270494</v>
      </c>
      <c r="O14" s="10">
        <f>IFERROR(Sales[[#This Row],[Revenue]]-Sales[[#This Row],[Total Cost]],"")</f>
        <v>141166</v>
      </c>
      <c r="P14" s="14">
        <f>IFERROR(Sales[[#This Row],[Profit]]/Sales[[#This Row],[Total Cost]],"")</f>
        <v>0.125</v>
      </c>
    </row>
    <row r="15" spans="1:16" ht="12.75" x14ac:dyDescent="0.2">
      <c r="A15" s="15">
        <v>43421</v>
      </c>
      <c r="B15" s="11">
        <f>IF(Sales[[#This Row],[Date]]="","",Sales[[#This Row],[Date]])</f>
        <v>43421</v>
      </c>
      <c r="C15" s="12">
        <f>IF(Sales[[#This Row],[Date]]="","",Sales[[#This Row],[Date]])</f>
        <v>43421</v>
      </c>
      <c r="D15" s="16" t="s">
        <v>45</v>
      </c>
      <c r="E15" s="1" t="str">
        <f>IFERROR(VLOOKUP(Sales[[#This Row],[Product]],Database!$B:$F,2,0),"")</f>
        <v>MES4111</v>
      </c>
      <c r="F15" s="1" t="str">
        <f>IFERROR(VLOOKUP(Sales[[#This Row],[Product]],Database!$B:$F,3,0),"")</f>
        <v>Washing Machine</v>
      </c>
      <c r="G15" s="16" t="s">
        <v>54</v>
      </c>
      <c r="H15" s="1" t="str">
        <f>IFERROR(VLOOKUP(Sales[[#This Row],[Customer]],Database!K:M,2,0),"")</f>
        <v>China</v>
      </c>
      <c r="I15" s="1" t="str">
        <f>IFERROR(VLOOKUP(Sales[[#This Row],[Customer]],Database!K:M,3,0),"")</f>
        <v>Asia</v>
      </c>
      <c r="J15" s="17">
        <v>53112</v>
      </c>
      <c r="K15" s="10">
        <f>IFERROR(VLOOKUP(Sales[[#This Row],[Product]],Database!$B:$F,4,0),"")</f>
        <v>13</v>
      </c>
      <c r="L15" s="10">
        <f>IFERROR(Sales[[#This Row],[Sales Qty.]]*Sales[[#This Row],[Item Cost]],"")</f>
        <v>690456</v>
      </c>
      <c r="M15" s="10">
        <f>IFERROR(VLOOKUP(Sales[[#This Row],[Product]],Database!$B:$F,5,0),"")</f>
        <v>15</v>
      </c>
      <c r="N15" s="10">
        <f>IFERROR(Sales[[#This Row],[Item Price]]*Sales[[#This Row],[Sales Qty.]],"")</f>
        <v>796680</v>
      </c>
      <c r="O15" s="10">
        <f>IFERROR(Sales[[#This Row],[Revenue]]-Sales[[#This Row],[Total Cost]],"")</f>
        <v>106224</v>
      </c>
      <c r="P15" s="14">
        <f>IFERROR(Sales[[#This Row],[Profit]]/Sales[[#This Row],[Total Cost]],"")</f>
        <v>0.15384615384615385</v>
      </c>
    </row>
    <row r="16" spans="1:16" ht="12.75" x14ac:dyDescent="0.2">
      <c r="A16" s="15">
        <v>42710</v>
      </c>
      <c r="B16" s="11">
        <f>IF(Sales[[#This Row],[Date]]="","",Sales[[#This Row],[Date]])</f>
        <v>42710</v>
      </c>
      <c r="C16" s="12">
        <f>IF(Sales[[#This Row],[Date]]="","",Sales[[#This Row],[Date]])</f>
        <v>42710</v>
      </c>
      <c r="D16" s="16" t="s">
        <v>44</v>
      </c>
      <c r="E16" s="1" t="str">
        <f>IFERROR(VLOOKUP(Sales[[#This Row],[Product]],Database!$B:$F,2,0),"")</f>
        <v>MES51214</v>
      </c>
      <c r="F16" s="1" t="str">
        <f>IFERROR(VLOOKUP(Sales[[#This Row],[Product]],Database!$B:$F,3,0),"")</f>
        <v>Washing Machine</v>
      </c>
      <c r="G16" s="16" t="s">
        <v>55</v>
      </c>
      <c r="H16" s="1" t="str">
        <f>IFERROR(VLOOKUP(Sales[[#This Row],[Customer]],Database!K:M,2,0),"")</f>
        <v>Finland</v>
      </c>
      <c r="I16" s="1" t="str">
        <f>IFERROR(VLOOKUP(Sales[[#This Row],[Customer]],Database!K:M,3,0),"")</f>
        <v>Europe</v>
      </c>
      <c r="J16" s="17">
        <v>58491</v>
      </c>
      <c r="K16" s="10">
        <f>IFERROR(VLOOKUP(Sales[[#This Row],[Product]],Database!$B:$F,4,0),"")</f>
        <v>13</v>
      </c>
      <c r="L16" s="10">
        <f>IFERROR(Sales[[#This Row],[Sales Qty.]]*Sales[[#This Row],[Item Cost]],"")</f>
        <v>760383</v>
      </c>
      <c r="M16" s="10">
        <f>IFERROR(VLOOKUP(Sales[[#This Row],[Product]],Database!$B:$F,5,0),"")</f>
        <v>17</v>
      </c>
      <c r="N16" s="10">
        <f>IFERROR(Sales[[#This Row],[Item Price]]*Sales[[#This Row],[Sales Qty.]],"")</f>
        <v>994347</v>
      </c>
      <c r="O16" s="10">
        <f>IFERROR(Sales[[#This Row],[Revenue]]-Sales[[#This Row],[Total Cost]],"")</f>
        <v>233964</v>
      </c>
      <c r="P16" s="14">
        <f>IFERROR(Sales[[#This Row],[Profit]]/Sales[[#This Row],[Total Cost]],"")</f>
        <v>0.30769230769230771</v>
      </c>
    </row>
    <row r="17" spans="1:16" ht="12.75" x14ac:dyDescent="0.2">
      <c r="A17" s="15">
        <v>42550</v>
      </c>
      <c r="B17" s="11">
        <f>IF(Sales[[#This Row],[Date]]="","",Sales[[#This Row],[Date]])</f>
        <v>42550</v>
      </c>
      <c r="C17" s="12">
        <f>IF(Sales[[#This Row],[Date]]="","",Sales[[#This Row],[Date]])</f>
        <v>42550</v>
      </c>
      <c r="D17" s="16" t="s">
        <v>40</v>
      </c>
      <c r="E17" s="1" t="str">
        <f>IFERROR(VLOOKUP(Sales[[#This Row],[Product]],Database!$B:$F,2,0),"")</f>
        <v>MES5014</v>
      </c>
      <c r="F17" s="1" t="str">
        <f>IFERROR(VLOOKUP(Sales[[#This Row],[Product]],Database!$B:$F,3,0),"")</f>
        <v>Washing Machine</v>
      </c>
      <c r="G17" s="16" t="s">
        <v>63</v>
      </c>
      <c r="H17" s="1" t="str">
        <f>IFERROR(VLOOKUP(Sales[[#This Row],[Customer]],Database!K:M,2,0),"")</f>
        <v>England</v>
      </c>
      <c r="I17" s="1" t="str">
        <f>IFERROR(VLOOKUP(Sales[[#This Row],[Customer]],Database!K:M,3,0),"")</f>
        <v>Europe</v>
      </c>
      <c r="J17" s="17">
        <v>54185</v>
      </c>
      <c r="K17" s="10">
        <f>IFERROR(VLOOKUP(Sales[[#This Row],[Product]],Database!$B:$F,4,0),"")</f>
        <v>12</v>
      </c>
      <c r="L17" s="10">
        <f>IFERROR(Sales[[#This Row],[Sales Qty.]]*Sales[[#This Row],[Item Cost]],"")</f>
        <v>650220</v>
      </c>
      <c r="M17" s="10">
        <f>IFERROR(VLOOKUP(Sales[[#This Row],[Product]],Database!$B:$F,5,0),"")</f>
        <v>16</v>
      </c>
      <c r="N17" s="10">
        <f>IFERROR(Sales[[#This Row],[Item Price]]*Sales[[#This Row],[Sales Qty.]],"")</f>
        <v>866960</v>
      </c>
      <c r="O17" s="10">
        <f>IFERROR(Sales[[#This Row],[Revenue]]-Sales[[#This Row],[Total Cost]],"")</f>
        <v>216740</v>
      </c>
      <c r="P17" s="14">
        <f>IFERROR(Sales[[#This Row],[Profit]]/Sales[[#This Row],[Total Cost]],"")</f>
        <v>0.33333333333333331</v>
      </c>
    </row>
    <row r="18" spans="1:16" ht="12.75" x14ac:dyDescent="0.2">
      <c r="A18" s="15">
        <v>43949</v>
      </c>
      <c r="B18" s="11">
        <f>IF(Sales[[#This Row],[Date]]="","",Sales[[#This Row],[Date]])</f>
        <v>43949</v>
      </c>
      <c r="C18" s="12">
        <f>IF(Sales[[#This Row],[Date]]="","",Sales[[#This Row],[Date]])</f>
        <v>43949</v>
      </c>
      <c r="D18" s="16" t="s">
        <v>33</v>
      </c>
      <c r="E18" s="1" t="str">
        <f>IFERROR(VLOOKUP(Sales[[#This Row],[Product]],Database!$B:$F,2,0),"")</f>
        <v>ACQ2004</v>
      </c>
      <c r="F18" s="1" t="str">
        <f>IFERROR(VLOOKUP(Sales[[#This Row],[Product]],Database!$B:$F,3,0),"")</f>
        <v>Television</v>
      </c>
      <c r="G18" s="16" t="s">
        <v>69</v>
      </c>
      <c r="H18" s="1" t="str">
        <f>IFERROR(VLOOKUP(Sales[[#This Row],[Customer]],Database!K:M,2,0),"")</f>
        <v>Ghana</v>
      </c>
      <c r="I18" s="1" t="str">
        <f>IFERROR(VLOOKUP(Sales[[#This Row],[Customer]],Database!K:M,3,0),"")</f>
        <v>Africa</v>
      </c>
      <c r="J18" s="17">
        <v>63973</v>
      </c>
      <c r="K18" s="10">
        <f>IFERROR(VLOOKUP(Sales[[#This Row],[Product]],Database!$B:$F,4,0),"")</f>
        <v>9</v>
      </c>
      <c r="L18" s="10">
        <f>IFERROR(Sales[[#This Row],[Sales Qty.]]*Sales[[#This Row],[Item Cost]],"")</f>
        <v>575757</v>
      </c>
      <c r="M18" s="10">
        <f>IFERROR(VLOOKUP(Sales[[#This Row],[Product]],Database!$B:$F,5,0),"")</f>
        <v>10</v>
      </c>
      <c r="N18" s="10">
        <f>IFERROR(Sales[[#This Row],[Item Price]]*Sales[[#This Row],[Sales Qty.]],"")</f>
        <v>639730</v>
      </c>
      <c r="O18" s="10">
        <f>IFERROR(Sales[[#This Row],[Revenue]]-Sales[[#This Row],[Total Cost]],"")</f>
        <v>63973</v>
      </c>
      <c r="P18" s="14">
        <f>IFERROR(Sales[[#This Row],[Profit]]/Sales[[#This Row],[Total Cost]],"")</f>
        <v>0.1111111111111111</v>
      </c>
    </row>
    <row r="19" spans="1:16" ht="12.75" x14ac:dyDescent="0.2">
      <c r="A19" s="15">
        <v>42573</v>
      </c>
      <c r="B19" s="11">
        <f>IF(Sales[[#This Row],[Date]]="","",Sales[[#This Row],[Date]])</f>
        <v>42573</v>
      </c>
      <c r="C19" s="12">
        <f>IF(Sales[[#This Row],[Date]]="","",Sales[[#This Row],[Date]])</f>
        <v>42573</v>
      </c>
      <c r="D19" s="16" t="s">
        <v>34</v>
      </c>
      <c r="E19" s="1" t="str">
        <f>IFERROR(VLOOKUP(Sales[[#This Row],[Product]],Database!$B:$F,2,0),"")</f>
        <v>ACQ2005</v>
      </c>
      <c r="F19" s="1" t="str">
        <f>IFERROR(VLOOKUP(Sales[[#This Row],[Product]],Database!$B:$F,3,0),"")</f>
        <v>Television</v>
      </c>
      <c r="G19" s="16" t="s">
        <v>63</v>
      </c>
      <c r="H19" s="1" t="str">
        <f>IFERROR(VLOOKUP(Sales[[#This Row],[Customer]],Database!K:M,2,0),"")</f>
        <v>England</v>
      </c>
      <c r="I19" s="1" t="str">
        <f>IFERROR(VLOOKUP(Sales[[#This Row],[Customer]],Database!K:M,3,0),"")</f>
        <v>Europe</v>
      </c>
      <c r="J19" s="17">
        <v>79078</v>
      </c>
      <c r="K19" s="10">
        <f>IFERROR(VLOOKUP(Sales[[#This Row],[Product]],Database!$B:$F,4,0),"")</f>
        <v>10</v>
      </c>
      <c r="L19" s="10">
        <f>IFERROR(Sales[[#This Row],[Sales Qty.]]*Sales[[#This Row],[Item Cost]],"")</f>
        <v>790780</v>
      </c>
      <c r="M19" s="10">
        <f>IFERROR(VLOOKUP(Sales[[#This Row],[Product]],Database!$B:$F,5,0),"")</f>
        <v>12</v>
      </c>
      <c r="N19" s="10">
        <f>IFERROR(Sales[[#This Row],[Item Price]]*Sales[[#This Row],[Sales Qty.]],"")</f>
        <v>948936</v>
      </c>
      <c r="O19" s="10">
        <f>IFERROR(Sales[[#This Row],[Revenue]]-Sales[[#This Row],[Total Cost]],"")</f>
        <v>158156</v>
      </c>
      <c r="P19" s="14">
        <f>IFERROR(Sales[[#This Row],[Profit]]/Sales[[#This Row],[Total Cost]],"")</f>
        <v>0.2</v>
      </c>
    </row>
    <row r="20" spans="1:16" ht="12.75" x14ac:dyDescent="0.2">
      <c r="A20" s="15">
        <v>42371</v>
      </c>
      <c r="B20" s="11">
        <f>IF(Sales[[#This Row],[Date]]="","",Sales[[#This Row],[Date]])</f>
        <v>42371</v>
      </c>
      <c r="C20" s="12">
        <f>IF(Sales[[#This Row],[Date]]="","",Sales[[#This Row],[Date]])</f>
        <v>42371</v>
      </c>
      <c r="D20" s="16" t="s">
        <v>44</v>
      </c>
      <c r="E20" s="1" t="str">
        <f>IFERROR(VLOOKUP(Sales[[#This Row],[Product]],Database!$B:$F,2,0),"")</f>
        <v>MES51214</v>
      </c>
      <c r="F20" s="1" t="str">
        <f>IFERROR(VLOOKUP(Sales[[#This Row],[Product]],Database!$B:$F,3,0),"")</f>
        <v>Washing Machine</v>
      </c>
      <c r="G20" s="16" t="s">
        <v>53</v>
      </c>
      <c r="H20" s="1" t="str">
        <f>IFERROR(VLOOKUP(Sales[[#This Row],[Customer]],Database!K:M,2,0),"")</f>
        <v>Brazil</v>
      </c>
      <c r="I20" s="1" t="str">
        <f>IFERROR(VLOOKUP(Sales[[#This Row],[Customer]],Database!K:M,3,0),"")</f>
        <v>South America</v>
      </c>
      <c r="J20" s="17">
        <v>59629</v>
      </c>
      <c r="K20" s="10">
        <f>IFERROR(VLOOKUP(Sales[[#This Row],[Product]],Database!$B:$F,4,0),"")</f>
        <v>13</v>
      </c>
      <c r="L20" s="10">
        <f>IFERROR(Sales[[#This Row],[Sales Qty.]]*Sales[[#This Row],[Item Cost]],"")</f>
        <v>775177</v>
      </c>
      <c r="M20" s="10">
        <f>IFERROR(VLOOKUP(Sales[[#This Row],[Product]],Database!$B:$F,5,0),"")</f>
        <v>17</v>
      </c>
      <c r="N20" s="10">
        <f>IFERROR(Sales[[#This Row],[Item Price]]*Sales[[#This Row],[Sales Qty.]],"")</f>
        <v>1013693</v>
      </c>
      <c r="O20" s="10">
        <f>IFERROR(Sales[[#This Row],[Revenue]]-Sales[[#This Row],[Total Cost]],"")</f>
        <v>238516</v>
      </c>
      <c r="P20" s="14">
        <f>IFERROR(Sales[[#This Row],[Profit]]/Sales[[#This Row],[Total Cost]],"")</f>
        <v>0.30769230769230771</v>
      </c>
    </row>
    <row r="21" spans="1:16" ht="12.75" x14ac:dyDescent="0.2">
      <c r="A21" s="15">
        <v>43126</v>
      </c>
      <c r="B21" s="11">
        <f>IF(Sales[[#This Row],[Date]]="","",Sales[[#This Row],[Date]])</f>
        <v>43126</v>
      </c>
      <c r="C21" s="12">
        <f>IF(Sales[[#This Row],[Date]]="","",Sales[[#This Row],[Date]])</f>
        <v>43126</v>
      </c>
      <c r="D21" s="16" t="s">
        <v>45</v>
      </c>
      <c r="E21" s="1" t="str">
        <f>IFERROR(VLOOKUP(Sales[[#This Row],[Product]],Database!$B:$F,2,0),"")</f>
        <v>MES4111</v>
      </c>
      <c r="F21" s="1" t="str">
        <f>IFERROR(VLOOKUP(Sales[[#This Row],[Product]],Database!$B:$F,3,0),"")</f>
        <v>Washing Machine</v>
      </c>
      <c r="G21" s="16" t="s">
        <v>63</v>
      </c>
      <c r="H21" s="1" t="str">
        <f>IFERROR(VLOOKUP(Sales[[#This Row],[Customer]],Database!K:M,2,0),"")</f>
        <v>England</v>
      </c>
      <c r="I21" s="1" t="str">
        <f>IFERROR(VLOOKUP(Sales[[#This Row],[Customer]],Database!K:M,3,0),"")</f>
        <v>Europe</v>
      </c>
      <c r="J21" s="17">
        <v>63435</v>
      </c>
      <c r="K21" s="10">
        <f>IFERROR(VLOOKUP(Sales[[#This Row],[Product]],Database!$B:$F,4,0),"")</f>
        <v>13</v>
      </c>
      <c r="L21" s="10">
        <f>IFERROR(Sales[[#This Row],[Sales Qty.]]*Sales[[#This Row],[Item Cost]],"")</f>
        <v>824655</v>
      </c>
      <c r="M21" s="10">
        <f>IFERROR(VLOOKUP(Sales[[#This Row],[Product]],Database!$B:$F,5,0),"")</f>
        <v>15</v>
      </c>
      <c r="N21" s="10">
        <f>IFERROR(Sales[[#This Row],[Item Price]]*Sales[[#This Row],[Sales Qty.]],"")</f>
        <v>951525</v>
      </c>
      <c r="O21" s="10">
        <f>IFERROR(Sales[[#This Row],[Revenue]]-Sales[[#This Row],[Total Cost]],"")</f>
        <v>126870</v>
      </c>
      <c r="P21" s="14">
        <f>IFERROR(Sales[[#This Row],[Profit]]/Sales[[#This Row],[Total Cost]],"")</f>
        <v>0.15384615384615385</v>
      </c>
    </row>
    <row r="22" spans="1:16" ht="12.75" x14ac:dyDescent="0.2">
      <c r="A22" s="15">
        <v>42999</v>
      </c>
      <c r="B22" s="11">
        <f>IF(Sales[[#This Row],[Date]]="","",Sales[[#This Row],[Date]])</f>
        <v>42999</v>
      </c>
      <c r="C22" s="12">
        <f>IF(Sales[[#This Row],[Date]]="","",Sales[[#This Row],[Date]])</f>
        <v>42999</v>
      </c>
      <c r="D22" s="16" t="s">
        <v>37</v>
      </c>
      <c r="E22" s="1" t="str">
        <f>IFERROR(VLOOKUP(Sales[[#This Row],[Product]],Database!$B:$F,2,0),"")</f>
        <v>ACQ2010</v>
      </c>
      <c r="F22" s="1" t="str">
        <f>IFERROR(VLOOKUP(Sales[[#This Row],[Product]],Database!$B:$F,3,0),"")</f>
        <v>Television</v>
      </c>
      <c r="G22" s="16" t="s">
        <v>55</v>
      </c>
      <c r="H22" s="1" t="str">
        <f>IFERROR(VLOOKUP(Sales[[#This Row],[Customer]],Database!K:M,2,0),"")</f>
        <v>Finland</v>
      </c>
      <c r="I22" s="1" t="str">
        <f>IFERROR(VLOOKUP(Sales[[#This Row],[Customer]],Database!K:M,3,0),"")</f>
        <v>Europe</v>
      </c>
      <c r="J22" s="17">
        <v>56702</v>
      </c>
      <c r="K22" s="10">
        <f>IFERROR(VLOOKUP(Sales[[#This Row],[Product]],Database!$B:$F,4,0),"")</f>
        <v>14</v>
      </c>
      <c r="L22" s="10">
        <f>IFERROR(Sales[[#This Row],[Sales Qty.]]*Sales[[#This Row],[Item Cost]],"")</f>
        <v>793828</v>
      </c>
      <c r="M22" s="10">
        <f>IFERROR(VLOOKUP(Sales[[#This Row],[Product]],Database!$B:$F,5,0),"")</f>
        <v>16</v>
      </c>
      <c r="N22" s="10">
        <f>IFERROR(Sales[[#This Row],[Item Price]]*Sales[[#This Row],[Sales Qty.]],"")</f>
        <v>907232</v>
      </c>
      <c r="O22" s="10">
        <f>IFERROR(Sales[[#This Row],[Revenue]]-Sales[[#This Row],[Total Cost]],"")</f>
        <v>113404</v>
      </c>
      <c r="P22" s="14">
        <f>IFERROR(Sales[[#This Row],[Profit]]/Sales[[#This Row],[Total Cost]],"")</f>
        <v>0.14285714285714285</v>
      </c>
    </row>
    <row r="23" spans="1:16" ht="12.75" x14ac:dyDescent="0.2">
      <c r="A23" s="15">
        <v>42599</v>
      </c>
      <c r="B23" s="11">
        <f>IF(Sales[[#This Row],[Date]]="","",Sales[[#This Row],[Date]])</f>
        <v>42599</v>
      </c>
      <c r="C23" s="12">
        <f>IF(Sales[[#This Row],[Date]]="","",Sales[[#This Row],[Date]])</f>
        <v>42599</v>
      </c>
      <c r="D23" s="16" t="s">
        <v>47</v>
      </c>
      <c r="E23" s="1" t="str">
        <f>IFERROR(VLOOKUP(Sales[[#This Row],[Product]],Database!$B:$F,2,0),"")</f>
        <v>MAM1543</v>
      </c>
      <c r="F23" s="1" t="str">
        <f>IFERROR(VLOOKUP(Sales[[#This Row],[Product]],Database!$B:$F,3,0),"")</f>
        <v>Refrigerator</v>
      </c>
      <c r="G23" s="16" t="s">
        <v>55</v>
      </c>
      <c r="H23" s="1" t="str">
        <f>IFERROR(VLOOKUP(Sales[[#This Row],[Customer]],Database!K:M,2,0),"")</f>
        <v>Finland</v>
      </c>
      <c r="I23" s="1" t="str">
        <f>IFERROR(VLOOKUP(Sales[[#This Row],[Customer]],Database!K:M,3,0),"")</f>
        <v>Europe</v>
      </c>
      <c r="J23" s="17">
        <v>77375</v>
      </c>
      <c r="K23" s="10">
        <f>IFERROR(VLOOKUP(Sales[[#This Row],[Product]],Database!$B:$F,4,0),"")</f>
        <v>16</v>
      </c>
      <c r="L23" s="10">
        <f>IFERROR(Sales[[#This Row],[Sales Qty.]]*Sales[[#This Row],[Item Cost]],"")</f>
        <v>1238000</v>
      </c>
      <c r="M23" s="10">
        <f>IFERROR(VLOOKUP(Sales[[#This Row],[Product]],Database!$B:$F,5,0),"")</f>
        <v>18</v>
      </c>
      <c r="N23" s="10">
        <f>IFERROR(Sales[[#This Row],[Item Price]]*Sales[[#This Row],[Sales Qty.]],"")</f>
        <v>1392750</v>
      </c>
      <c r="O23" s="10">
        <f>IFERROR(Sales[[#This Row],[Revenue]]-Sales[[#This Row],[Total Cost]],"")</f>
        <v>154750</v>
      </c>
      <c r="P23" s="14">
        <f>IFERROR(Sales[[#This Row],[Profit]]/Sales[[#This Row],[Total Cost]],"")</f>
        <v>0.125</v>
      </c>
    </row>
    <row r="24" spans="1:16" ht="12.75" x14ac:dyDescent="0.2">
      <c r="A24" s="15">
        <v>42403</v>
      </c>
      <c r="B24" s="11">
        <f>IF(Sales[[#This Row],[Date]]="","",Sales[[#This Row],[Date]])</f>
        <v>42403</v>
      </c>
      <c r="C24" s="12">
        <f>IF(Sales[[#This Row],[Date]]="","",Sales[[#This Row],[Date]])</f>
        <v>42403</v>
      </c>
      <c r="D24" s="16" t="s">
        <v>37</v>
      </c>
      <c r="E24" s="1" t="str">
        <f>IFERROR(VLOOKUP(Sales[[#This Row],[Product]],Database!$B:$F,2,0),"")</f>
        <v>ACQ2010</v>
      </c>
      <c r="F24" s="1" t="str">
        <f>IFERROR(VLOOKUP(Sales[[#This Row],[Product]],Database!$B:$F,3,0),"")</f>
        <v>Television</v>
      </c>
      <c r="G24" s="16" t="s">
        <v>30</v>
      </c>
      <c r="H24" s="1" t="str">
        <f>IFERROR(VLOOKUP(Sales[[#This Row],[Customer]],Database!K:M,2,0),"")</f>
        <v>France</v>
      </c>
      <c r="I24" s="1" t="str">
        <f>IFERROR(VLOOKUP(Sales[[#This Row],[Customer]],Database!K:M,3,0),"")</f>
        <v>Europe</v>
      </c>
      <c r="J24" s="17">
        <v>78966</v>
      </c>
      <c r="K24" s="10">
        <f>IFERROR(VLOOKUP(Sales[[#This Row],[Product]],Database!$B:$F,4,0),"")</f>
        <v>14</v>
      </c>
      <c r="L24" s="10">
        <f>IFERROR(Sales[[#This Row],[Sales Qty.]]*Sales[[#This Row],[Item Cost]],"")</f>
        <v>1105524</v>
      </c>
      <c r="M24" s="10">
        <f>IFERROR(VLOOKUP(Sales[[#This Row],[Product]],Database!$B:$F,5,0),"")</f>
        <v>16</v>
      </c>
      <c r="N24" s="10">
        <f>IFERROR(Sales[[#This Row],[Item Price]]*Sales[[#This Row],[Sales Qty.]],"")</f>
        <v>1263456</v>
      </c>
      <c r="O24" s="10">
        <f>IFERROR(Sales[[#This Row],[Revenue]]-Sales[[#This Row],[Total Cost]],"")</f>
        <v>157932</v>
      </c>
      <c r="P24" s="14">
        <f>IFERROR(Sales[[#This Row],[Profit]]/Sales[[#This Row],[Total Cost]],"")</f>
        <v>0.14285714285714285</v>
      </c>
    </row>
    <row r="25" spans="1:16" ht="12.75" x14ac:dyDescent="0.2">
      <c r="A25" s="15">
        <v>42432</v>
      </c>
      <c r="B25" s="11">
        <f>IF(Sales[[#This Row],[Date]]="","",Sales[[#This Row],[Date]])</f>
        <v>42432</v>
      </c>
      <c r="C25" s="12">
        <f>IF(Sales[[#This Row],[Date]]="","",Sales[[#This Row],[Date]])</f>
        <v>42432</v>
      </c>
      <c r="D25" s="16" t="s">
        <v>37</v>
      </c>
      <c r="E25" s="1" t="str">
        <f>IFERROR(VLOOKUP(Sales[[#This Row],[Product]],Database!$B:$F,2,0),"")</f>
        <v>ACQ2010</v>
      </c>
      <c r="F25" s="1" t="str">
        <f>IFERROR(VLOOKUP(Sales[[#This Row],[Product]],Database!$B:$F,3,0),"")</f>
        <v>Television</v>
      </c>
      <c r="G25" s="16" t="s">
        <v>69</v>
      </c>
      <c r="H25" s="1" t="str">
        <f>IFERROR(VLOOKUP(Sales[[#This Row],[Customer]],Database!K:M,2,0),"")</f>
        <v>Ghana</v>
      </c>
      <c r="I25" s="1" t="str">
        <f>IFERROR(VLOOKUP(Sales[[#This Row],[Customer]],Database!K:M,3,0),"")</f>
        <v>Africa</v>
      </c>
      <c r="J25" s="17">
        <v>79489</v>
      </c>
      <c r="K25" s="10">
        <f>IFERROR(VLOOKUP(Sales[[#This Row],[Product]],Database!$B:$F,4,0),"")</f>
        <v>14</v>
      </c>
      <c r="L25" s="10">
        <f>IFERROR(Sales[[#This Row],[Sales Qty.]]*Sales[[#This Row],[Item Cost]],"")</f>
        <v>1112846</v>
      </c>
      <c r="M25" s="10">
        <f>IFERROR(VLOOKUP(Sales[[#This Row],[Product]],Database!$B:$F,5,0),"")</f>
        <v>16</v>
      </c>
      <c r="N25" s="10">
        <f>IFERROR(Sales[[#This Row],[Item Price]]*Sales[[#This Row],[Sales Qty.]],"")</f>
        <v>1271824</v>
      </c>
      <c r="O25" s="10">
        <f>IFERROR(Sales[[#This Row],[Revenue]]-Sales[[#This Row],[Total Cost]],"")</f>
        <v>158978</v>
      </c>
      <c r="P25" s="14">
        <f>IFERROR(Sales[[#This Row],[Profit]]/Sales[[#This Row],[Total Cost]],"")</f>
        <v>0.14285714285714285</v>
      </c>
    </row>
    <row r="26" spans="1:16" ht="12.75" x14ac:dyDescent="0.2">
      <c r="A26" s="15">
        <v>42406</v>
      </c>
      <c r="B26" s="11">
        <f>IF(Sales[[#This Row],[Date]]="","",Sales[[#This Row],[Date]])</f>
        <v>42406</v>
      </c>
      <c r="C26" s="12">
        <f>IF(Sales[[#This Row],[Date]]="","",Sales[[#This Row],[Date]])</f>
        <v>42406</v>
      </c>
      <c r="D26" s="16" t="s">
        <v>37</v>
      </c>
      <c r="E26" s="1" t="str">
        <f>IFERROR(VLOOKUP(Sales[[#This Row],[Product]],Database!$B:$F,2,0),"")</f>
        <v>ACQ2010</v>
      </c>
      <c r="F26" s="1" t="str">
        <f>IFERROR(VLOOKUP(Sales[[#This Row],[Product]],Database!$B:$F,3,0),"")</f>
        <v>Television</v>
      </c>
      <c r="G26" s="16" t="s">
        <v>30</v>
      </c>
      <c r="H26" s="1" t="str">
        <f>IFERROR(VLOOKUP(Sales[[#This Row],[Customer]],Database!K:M,2,0),"")</f>
        <v>France</v>
      </c>
      <c r="I26" s="1" t="str">
        <f>IFERROR(VLOOKUP(Sales[[#This Row],[Customer]],Database!K:M,3,0),"")</f>
        <v>Europe</v>
      </c>
      <c r="J26" s="17">
        <v>66176</v>
      </c>
      <c r="K26" s="10">
        <f>IFERROR(VLOOKUP(Sales[[#This Row],[Product]],Database!$B:$F,4,0),"")</f>
        <v>14</v>
      </c>
      <c r="L26" s="10">
        <f>IFERROR(Sales[[#This Row],[Sales Qty.]]*Sales[[#This Row],[Item Cost]],"")</f>
        <v>926464</v>
      </c>
      <c r="M26" s="10">
        <f>IFERROR(VLOOKUP(Sales[[#This Row],[Product]],Database!$B:$F,5,0),"")</f>
        <v>16</v>
      </c>
      <c r="N26" s="10">
        <f>IFERROR(Sales[[#This Row],[Item Price]]*Sales[[#This Row],[Sales Qty.]],"")</f>
        <v>1058816</v>
      </c>
      <c r="O26" s="10">
        <f>IFERROR(Sales[[#This Row],[Revenue]]-Sales[[#This Row],[Total Cost]],"")</f>
        <v>132352</v>
      </c>
      <c r="P26" s="14">
        <f>IFERROR(Sales[[#This Row],[Profit]]/Sales[[#This Row],[Total Cost]],"")</f>
        <v>0.14285714285714285</v>
      </c>
    </row>
    <row r="27" spans="1:16" ht="12.75" x14ac:dyDescent="0.2">
      <c r="A27" s="15">
        <v>43773</v>
      </c>
      <c r="B27" s="11">
        <f>IF(Sales[[#This Row],[Date]]="","",Sales[[#This Row],[Date]])</f>
        <v>43773</v>
      </c>
      <c r="C27" s="12">
        <f>IF(Sales[[#This Row],[Date]]="","",Sales[[#This Row],[Date]])</f>
        <v>43773</v>
      </c>
      <c r="D27" s="16" t="s">
        <v>50</v>
      </c>
      <c r="E27" s="1" t="str">
        <f>IFERROR(VLOOKUP(Sales[[#This Row],[Product]],Database!$B:$F,2,0),"")</f>
        <v>MAM454</v>
      </c>
      <c r="F27" s="1" t="str">
        <f>IFERROR(VLOOKUP(Sales[[#This Row],[Product]],Database!$B:$F,3,0),"")</f>
        <v>Refrigerator</v>
      </c>
      <c r="G27" s="16" t="s">
        <v>63</v>
      </c>
      <c r="H27" s="1" t="str">
        <f>IFERROR(VLOOKUP(Sales[[#This Row],[Customer]],Database!K:M,2,0),"")</f>
        <v>England</v>
      </c>
      <c r="I27" s="1" t="str">
        <f>IFERROR(VLOOKUP(Sales[[#This Row],[Customer]],Database!K:M,3,0),"")</f>
        <v>Europe</v>
      </c>
      <c r="J27" s="17">
        <v>70918</v>
      </c>
      <c r="K27" s="10">
        <f>IFERROR(VLOOKUP(Sales[[#This Row],[Product]],Database!$B:$F,4,0),"")</f>
        <v>15</v>
      </c>
      <c r="L27" s="10">
        <f>IFERROR(Sales[[#This Row],[Sales Qty.]]*Sales[[#This Row],[Item Cost]],"")</f>
        <v>1063770</v>
      </c>
      <c r="M27" s="10">
        <f>IFERROR(VLOOKUP(Sales[[#This Row],[Product]],Database!$B:$F,5,0),"")</f>
        <v>18</v>
      </c>
      <c r="N27" s="10">
        <f>IFERROR(Sales[[#This Row],[Item Price]]*Sales[[#This Row],[Sales Qty.]],"")</f>
        <v>1276524</v>
      </c>
      <c r="O27" s="10">
        <f>IFERROR(Sales[[#This Row],[Revenue]]-Sales[[#This Row],[Total Cost]],"")</f>
        <v>212754</v>
      </c>
      <c r="P27" s="14">
        <f>IFERROR(Sales[[#This Row],[Profit]]/Sales[[#This Row],[Total Cost]],"")</f>
        <v>0.2</v>
      </c>
    </row>
    <row r="28" spans="1:16" ht="12.75" x14ac:dyDescent="0.2">
      <c r="A28" s="15">
        <v>43851</v>
      </c>
      <c r="B28" s="11">
        <f>IF(Sales[[#This Row],[Date]]="","",Sales[[#This Row],[Date]])</f>
        <v>43851</v>
      </c>
      <c r="C28" s="12">
        <f>IF(Sales[[#This Row],[Date]]="","",Sales[[#This Row],[Date]])</f>
        <v>43851</v>
      </c>
      <c r="D28" s="16" t="s">
        <v>45</v>
      </c>
      <c r="E28" s="1" t="str">
        <f>IFERROR(VLOOKUP(Sales[[#This Row],[Product]],Database!$B:$F,2,0),"")</f>
        <v>MES4111</v>
      </c>
      <c r="F28" s="1" t="str">
        <f>IFERROR(VLOOKUP(Sales[[#This Row],[Product]],Database!$B:$F,3,0),"")</f>
        <v>Washing Machine</v>
      </c>
      <c r="G28" s="16" t="s">
        <v>54</v>
      </c>
      <c r="H28" s="1" t="str">
        <f>IFERROR(VLOOKUP(Sales[[#This Row],[Customer]],Database!K:M,2,0),"")</f>
        <v>China</v>
      </c>
      <c r="I28" s="1" t="str">
        <f>IFERROR(VLOOKUP(Sales[[#This Row],[Customer]],Database!K:M,3,0),"")</f>
        <v>Asia</v>
      </c>
      <c r="J28" s="17">
        <v>76246</v>
      </c>
      <c r="K28" s="10">
        <f>IFERROR(VLOOKUP(Sales[[#This Row],[Product]],Database!$B:$F,4,0),"")</f>
        <v>13</v>
      </c>
      <c r="L28" s="10">
        <f>IFERROR(Sales[[#This Row],[Sales Qty.]]*Sales[[#This Row],[Item Cost]],"")</f>
        <v>991198</v>
      </c>
      <c r="M28" s="10">
        <f>IFERROR(VLOOKUP(Sales[[#This Row],[Product]],Database!$B:$F,5,0),"")</f>
        <v>15</v>
      </c>
      <c r="N28" s="10">
        <f>IFERROR(Sales[[#This Row],[Item Price]]*Sales[[#This Row],[Sales Qty.]],"")</f>
        <v>1143690</v>
      </c>
      <c r="O28" s="10">
        <f>IFERROR(Sales[[#This Row],[Revenue]]-Sales[[#This Row],[Total Cost]],"")</f>
        <v>152492</v>
      </c>
      <c r="P28" s="14">
        <f>IFERROR(Sales[[#This Row],[Profit]]/Sales[[#This Row],[Total Cost]],"")</f>
        <v>0.15384615384615385</v>
      </c>
    </row>
    <row r="29" spans="1:16" ht="12.75" x14ac:dyDescent="0.2">
      <c r="A29" s="15">
        <v>43164</v>
      </c>
      <c r="B29" s="11">
        <f>IF(Sales[[#This Row],[Date]]="","",Sales[[#This Row],[Date]])</f>
        <v>43164</v>
      </c>
      <c r="C29" s="12">
        <f>IF(Sales[[#This Row],[Date]]="","",Sales[[#This Row],[Date]])</f>
        <v>43164</v>
      </c>
      <c r="D29" s="16" t="s">
        <v>35</v>
      </c>
      <c r="E29" s="1" t="str">
        <f>IFERROR(VLOOKUP(Sales[[#This Row],[Product]],Database!$B:$F,2,0),"")</f>
        <v>ACQ2009</v>
      </c>
      <c r="F29" s="1" t="str">
        <f>IFERROR(VLOOKUP(Sales[[#This Row],[Product]],Database!$B:$F,3,0),"")</f>
        <v>Television</v>
      </c>
      <c r="G29" s="16" t="s">
        <v>30</v>
      </c>
      <c r="H29" s="1" t="str">
        <f>IFERROR(VLOOKUP(Sales[[#This Row],[Customer]],Database!K:M,2,0),"")</f>
        <v>France</v>
      </c>
      <c r="I29" s="1" t="str">
        <f>IFERROR(VLOOKUP(Sales[[#This Row],[Customer]],Database!K:M,3,0),"")</f>
        <v>Europe</v>
      </c>
      <c r="J29" s="17">
        <v>60225</v>
      </c>
      <c r="K29" s="10">
        <f>IFERROR(VLOOKUP(Sales[[#This Row],[Product]],Database!$B:$F,4,0),"")</f>
        <v>12</v>
      </c>
      <c r="L29" s="10">
        <f>IFERROR(Sales[[#This Row],[Sales Qty.]]*Sales[[#This Row],[Item Cost]],"")</f>
        <v>722700</v>
      </c>
      <c r="M29" s="10">
        <f>IFERROR(VLOOKUP(Sales[[#This Row],[Product]],Database!$B:$F,5,0),"")</f>
        <v>15</v>
      </c>
      <c r="N29" s="10">
        <f>IFERROR(Sales[[#This Row],[Item Price]]*Sales[[#This Row],[Sales Qty.]],"")</f>
        <v>903375</v>
      </c>
      <c r="O29" s="10">
        <f>IFERROR(Sales[[#This Row],[Revenue]]-Sales[[#This Row],[Total Cost]],"")</f>
        <v>180675</v>
      </c>
      <c r="P29" s="14">
        <f>IFERROR(Sales[[#This Row],[Profit]]/Sales[[#This Row],[Total Cost]],"")</f>
        <v>0.25</v>
      </c>
    </row>
    <row r="30" spans="1:16" ht="12.75" x14ac:dyDescent="0.2">
      <c r="A30" s="15">
        <v>43782</v>
      </c>
      <c r="B30" s="11">
        <f>IF(Sales[[#This Row],[Date]]="","",Sales[[#This Row],[Date]])</f>
        <v>43782</v>
      </c>
      <c r="C30" s="12">
        <f>IF(Sales[[#This Row],[Date]]="","",Sales[[#This Row],[Date]])</f>
        <v>43782</v>
      </c>
      <c r="D30" s="16" t="s">
        <v>47</v>
      </c>
      <c r="E30" s="1" t="str">
        <f>IFERROR(VLOOKUP(Sales[[#This Row],[Product]],Database!$B:$F,2,0),"")</f>
        <v>MAM1543</v>
      </c>
      <c r="F30" s="1" t="str">
        <f>IFERROR(VLOOKUP(Sales[[#This Row],[Product]],Database!$B:$F,3,0),"")</f>
        <v>Refrigerator</v>
      </c>
      <c r="G30" s="16" t="s">
        <v>61</v>
      </c>
      <c r="H30" s="1" t="str">
        <f>IFERROR(VLOOKUP(Sales[[#This Row],[Customer]],Database!K:M,2,0),"")</f>
        <v>Canada</v>
      </c>
      <c r="I30" s="1" t="str">
        <f>IFERROR(VLOOKUP(Sales[[#This Row],[Customer]],Database!K:M,3,0),"")</f>
        <v>North America</v>
      </c>
      <c r="J30" s="17">
        <v>51010</v>
      </c>
      <c r="K30" s="10">
        <f>IFERROR(VLOOKUP(Sales[[#This Row],[Product]],Database!$B:$F,4,0),"")</f>
        <v>16</v>
      </c>
      <c r="L30" s="10">
        <f>IFERROR(Sales[[#This Row],[Sales Qty.]]*Sales[[#This Row],[Item Cost]],"")</f>
        <v>816160</v>
      </c>
      <c r="M30" s="10">
        <f>IFERROR(VLOOKUP(Sales[[#This Row],[Product]],Database!$B:$F,5,0),"")</f>
        <v>18</v>
      </c>
      <c r="N30" s="10">
        <f>IFERROR(Sales[[#This Row],[Item Price]]*Sales[[#This Row],[Sales Qty.]],"")</f>
        <v>918180</v>
      </c>
      <c r="O30" s="10">
        <f>IFERROR(Sales[[#This Row],[Revenue]]-Sales[[#This Row],[Total Cost]],"")</f>
        <v>102020</v>
      </c>
      <c r="P30" s="14">
        <f>IFERROR(Sales[[#This Row],[Profit]]/Sales[[#This Row],[Total Cost]],"")</f>
        <v>0.125</v>
      </c>
    </row>
    <row r="31" spans="1:16" ht="12.75" x14ac:dyDescent="0.2">
      <c r="A31" s="15">
        <v>43033</v>
      </c>
      <c r="B31" s="11">
        <f>IF(Sales[[#This Row],[Date]]="","",Sales[[#This Row],[Date]])</f>
        <v>43033</v>
      </c>
      <c r="C31" s="12">
        <f>IF(Sales[[#This Row],[Date]]="","",Sales[[#This Row],[Date]])</f>
        <v>43033</v>
      </c>
      <c r="D31" s="16" t="s">
        <v>40</v>
      </c>
      <c r="E31" s="1" t="str">
        <f>IFERROR(VLOOKUP(Sales[[#This Row],[Product]],Database!$B:$F,2,0),"")</f>
        <v>MES5014</v>
      </c>
      <c r="F31" s="1" t="str">
        <f>IFERROR(VLOOKUP(Sales[[#This Row],[Product]],Database!$B:$F,3,0),"")</f>
        <v>Washing Machine</v>
      </c>
      <c r="G31" s="16" t="s">
        <v>63</v>
      </c>
      <c r="H31" s="1" t="str">
        <f>IFERROR(VLOOKUP(Sales[[#This Row],[Customer]],Database!K:M,2,0),"")</f>
        <v>England</v>
      </c>
      <c r="I31" s="1" t="str">
        <f>IFERROR(VLOOKUP(Sales[[#This Row],[Customer]],Database!K:M,3,0),"")</f>
        <v>Europe</v>
      </c>
      <c r="J31" s="17">
        <v>53738</v>
      </c>
      <c r="K31" s="10">
        <f>IFERROR(VLOOKUP(Sales[[#This Row],[Product]],Database!$B:$F,4,0),"")</f>
        <v>12</v>
      </c>
      <c r="L31" s="10">
        <f>IFERROR(Sales[[#This Row],[Sales Qty.]]*Sales[[#This Row],[Item Cost]],"")</f>
        <v>644856</v>
      </c>
      <c r="M31" s="10">
        <f>IFERROR(VLOOKUP(Sales[[#This Row],[Product]],Database!$B:$F,5,0),"")</f>
        <v>16</v>
      </c>
      <c r="N31" s="10">
        <f>IFERROR(Sales[[#This Row],[Item Price]]*Sales[[#This Row],[Sales Qty.]],"")</f>
        <v>859808</v>
      </c>
      <c r="O31" s="10">
        <f>IFERROR(Sales[[#This Row],[Revenue]]-Sales[[#This Row],[Total Cost]],"")</f>
        <v>214952</v>
      </c>
      <c r="P31" s="14">
        <f>IFERROR(Sales[[#This Row],[Profit]]/Sales[[#This Row],[Total Cost]],"")</f>
        <v>0.33333333333333331</v>
      </c>
    </row>
    <row r="32" spans="1:16" ht="12.75" x14ac:dyDescent="0.2">
      <c r="A32" s="15">
        <v>43003</v>
      </c>
      <c r="B32" s="11">
        <f>IF(Sales[[#This Row],[Date]]="","",Sales[[#This Row],[Date]])</f>
        <v>43003</v>
      </c>
      <c r="C32" s="12">
        <f>IF(Sales[[#This Row],[Date]]="","",Sales[[#This Row],[Date]])</f>
        <v>43003</v>
      </c>
      <c r="D32" s="16" t="s">
        <v>37</v>
      </c>
      <c r="E32" s="1" t="str">
        <f>IFERROR(VLOOKUP(Sales[[#This Row],[Product]],Database!$B:$F,2,0),"")</f>
        <v>ACQ2010</v>
      </c>
      <c r="F32" s="1" t="str">
        <f>IFERROR(VLOOKUP(Sales[[#This Row],[Product]],Database!$B:$F,3,0),"")</f>
        <v>Television</v>
      </c>
      <c r="G32" s="16" t="s">
        <v>30</v>
      </c>
      <c r="H32" s="1" t="str">
        <f>IFERROR(VLOOKUP(Sales[[#This Row],[Customer]],Database!K:M,2,0),"")</f>
        <v>France</v>
      </c>
      <c r="I32" s="1" t="str">
        <f>IFERROR(VLOOKUP(Sales[[#This Row],[Customer]],Database!K:M,3,0),"")</f>
        <v>Europe</v>
      </c>
      <c r="J32" s="17">
        <v>51466</v>
      </c>
      <c r="K32" s="10">
        <f>IFERROR(VLOOKUP(Sales[[#This Row],[Product]],Database!$B:$F,4,0),"")</f>
        <v>14</v>
      </c>
      <c r="L32" s="10">
        <f>IFERROR(Sales[[#This Row],[Sales Qty.]]*Sales[[#This Row],[Item Cost]],"")</f>
        <v>720524</v>
      </c>
      <c r="M32" s="10">
        <f>IFERROR(VLOOKUP(Sales[[#This Row],[Product]],Database!$B:$F,5,0),"")</f>
        <v>16</v>
      </c>
      <c r="N32" s="10">
        <f>IFERROR(Sales[[#This Row],[Item Price]]*Sales[[#This Row],[Sales Qty.]],"")</f>
        <v>823456</v>
      </c>
      <c r="O32" s="10">
        <f>IFERROR(Sales[[#This Row],[Revenue]]-Sales[[#This Row],[Total Cost]],"")</f>
        <v>102932</v>
      </c>
      <c r="P32" s="14">
        <f>IFERROR(Sales[[#This Row],[Profit]]/Sales[[#This Row],[Total Cost]],"")</f>
        <v>0.14285714285714285</v>
      </c>
    </row>
    <row r="33" spans="1:16" ht="12.75" x14ac:dyDescent="0.2">
      <c r="A33" s="15">
        <v>42663</v>
      </c>
      <c r="B33" s="11">
        <f>IF(Sales[[#This Row],[Date]]="","",Sales[[#This Row],[Date]])</f>
        <v>42663</v>
      </c>
      <c r="C33" s="12">
        <f>IF(Sales[[#This Row],[Date]]="","",Sales[[#This Row],[Date]])</f>
        <v>42663</v>
      </c>
      <c r="D33" s="16" t="s">
        <v>45</v>
      </c>
      <c r="E33" s="1" t="str">
        <f>IFERROR(VLOOKUP(Sales[[#This Row],[Product]],Database!$B:$F,2,0),"")</f>
        <v>MES4111</v>
      </c>
      <c r="F33" s="1" t="str">
        <f>IFERROR(VLOOKUP(Sales[[#This Row],[Product]],Database!$B:$F,3,0),"")</f>
        <v>Washing Machine</v>
      </c>
      <c r="G33" s="16" t="s">
        <v>61</v>
      </c>
      <c r="H33" s="1" t="str">
        <f>IFERROR(VLOOKUP(Sales[[#This Row],[Customer]],Database!K:M,2,0),"")</f>
        <v>Canada</v>
      </c>
      <c r="I33" s="1" t="str">
        <f>IFERROR(VLOOKUP(Sales[[#This Row],[Customer]],Database!K:M,3,0),"")</f>
        <v>North America</v>
      </c>
      <c r="J33" s="17">
        <v>76656</v>
      </c>
      <c r="K33" s="10">
        <f>IFERROR(VLOOKUP(Sales[[#This Row],[Product]],Database!$B:$F,4,0),"")</f>
        <v>13</v>
      </c>
      <c r="L33" s="10">
        <f>IFERROR(Sales[[#This Row],[Sales Qty.]]*Sales[[#This Row],[Item Cost]],"")</f>
        <v>996528</v>
      </c>
      <c r="M33" s="10">
        <f>IFERROR(VLOOKUP(Sales[[#This Row],[Product]],Database!$B:$F,5,0),"")</f>
        <v>15</v>
      </c>
      <c r="N33" s="10">
        <f>IFERROR(Sales[[#This Row],[Item Price]]*Sales[[#This Row],[Sales Qty.]],"")</f>
        <v>1149840</v>
      </c>
      <c r="O33" s="10">
        <f>IFERROR(Sales[[#This Row],[Revenue]]-Sales[[#This Row],[Total Cost]],"")</f>
        <v>153312</v>
      </c>
      <c r="P33" s="14">
        <f>IFERROR(Sales[[#This Row],[Profit]]/Sales[[#This Row],[Total Cost]],"")</f>
        <v>0.15384615384615385</v>
      </c>
    </row>
    <row r="34" spans="1:16" ht="12.75" x14ac:dyDescent="0.2">
      <c r="A34" s="15">
        <v>42982</v>
      </c>
      <c r="B34" s="11">
        <f>IF(Sales[[#This Row],[Date]]="","",Sales[[#This Row],[Date]])</f>
        <v>42982</v>
      </c>
      <c r="C34" s="12">
        <f>IF(Sales[[#This Row],[Date]]="","",Sales[[#This Row],[Date]])</f>
        <v>42982</v>
      </c>
      <c r="D34" s="16" t="s">
        <v>45</v>
      </c>
      <c r="E34" s="1" t="str">
        <f>IFERROR(VLOOKUP(Sales[[#This Row],[Product]],Database!$B:$F,2,0),"")</f>
        <v>MES4111</v>
      </c>
      <c r="F34" s="1" t="str">
        <f>IFERROR(VLOOKUP(Sales[[#This Row],[Product]],Database!$B:$F,3,0),"")</f>
        <v>Washing Machine</v>
      </c>
      <c r="G34" s="16" t="s">
        <v>63</v>
      </c>
      <c r="H34" s="1" t="str">
        <f>IFERROR(VLOOKUP(Sales[[#This Row],[Customer]],Database!K:M,2,0),"")</f>
        <v>England</v>
      </c>
      <c r="I34" s="1" t="str">
        <f>IFERROR(VLOOKUP(Sales[[#This Row],[Customer]],Database!K:M,3,0),"")</f>
        <v>Europe</v>
      </c>
      <c r="J34" s="17">
        <v>50034</v>
      </c>
      <c r="K34" s="10">
        <f>IFERROR(VLOOKUP(Sales[[#This Row],[Product]],Database!$B:$F,4,0),"")</f>
        <v>13</v>
      </c>
      <c r="L34" s="10">
        <f>IFERROR(Sales[[#This Row],[Sales Qty.]]*Sales[[#This Row],[Item Cost]],"")</f>
        <v>650442</v>
      </c>
      <c r="M34" s="10">
        <f>IFERROR(VLOOKUP(Sales[[#This Row],[Product]],Database!$B:$F,5,0),"")</f>
        <v>15</v>
      </c>
      <c r="N34" s="10">
        <f>IFERROR(Sales[[#This Row],[Item Price]]*Sales[[#This Row],[Sales Qty.]],"")</f>
        <v>750510</v>
      </c>
      <c r="O34" s="10">
        <f>IFERROR(Sales[[#This Row],[Revenue]]-Sales[[#This Row],[Total Cost]],"")</f>
        <v>100068</v>
      </c>
      <c r="P34" s="14">
        <f>IFERROR(Sales[[#This Row],[Profit]]/Sales[[#This Row],[Total Cost]],"")</f>
        <v>0.15384615384615385</v>
      </c>
    </row>
    <row r="35" spans="1:16" ht="12.75" x14ac:dyDescent="0.2">
      <c r="A35" s="15">
        <v>43493</v>
      </c>
      <c r="B35" s="11">
        <f>IF(Sales[[#This Row],[Date]]="","",Sales[[#This Row],[Date]])</f>
        <v>43493</v>
      </c>
      <c r="C35" s="12">
        <f>IF(Sales[[#This Row],[Date]]="","",Sales[[#This Row],[Date]])</f>
        <v>43493</v>
      </c>
      <c r="D35" s="16" t="s">
        <v>34</v>
      </c>
      <c r="E35" s="1" t="str">
        <f>IFERROR(VLOOKUP(Sales[[#This Row],[Product]],Database!$B:$F,2,0),"")</f>
        <v>ACQ2005</v>
      </c>
      <c r="F35" s="1" t="str">
        <f>IFERROR(VLOOKUP(Sales[[#This Row],[Product]],Database!$B:$F,3,0),"")</f>
        <v>Television</v>
      </c>
      <c r="G35" s="16" t="s">
        <v>30</v>
      </c>
      <c r="H35" s="1" t="str">
        <f>IFERROR(VLOOKUP(Sales[[#This Row],[Customer]],Database!K:M,2,0),"")</f>
        <v>France</v>
      </c>
      <c r="I35" s="1" t="str">
        <f>IFERROR(VLOOKUP(Sales[[#This Row],[Customer]],Database!K:M,3,0),"")</f>
        <v>Europe</v>
      </c>
      <c r="J35" s="17">
        <v>61824</v>
      </c>
      <c r="K35" s="10">
        <f>IFERROR(VLOOKUP(Sales[[#This Row],[Product]],Database!$B:$F,4,0),"")</f>
        <v>10</v>
      </c>
      <c r="L35" s="10">
        <f>IFERROR(Sales[[#This Row],[Sales Qty.]]*Sales[[#This Row],[Item Cost]],"")</f>
        <v>618240</v>
      </c>
      <c r="M35" s="10">
        <f>IFERROR(VLOOKUP(Sales[[#This Row],[Product]],Database!$B:$F,5,0),"")</f>
        <v>12</v>
      </c>
      <c r="N35" s="10">
        <f>IFERROR(Sales[[#This Row],[Item Price]]*Sales[[#This Row],[Sales Qty.]],"")</f>
        <v>741888</v>
      </c>
      <c r="O35" s="10">
        <f>IFERROR(Sales[[#This Row],[Revenue]]-Sales[[#This Row],[Total Cost]],"")</f>
        <v>123648</v>
      </c>
      <c r="P35" s="14">
        <f>IFERROR(Sales[[#This Row],[Profit]]/Sales[[#This Row],[Total Cost]],"")</f>
        <v>0.2</v>
      </c>
    </row>
    <row r="36" spans="1:16" ht="12.75" x14ac:dyDescent="0.2">
      <c r="A36" s="15">
        <v>42868</v>
      </c>
      <c r="B36" s="11">
        <f>IF(Sales[[#This Row],[Date]]="","",Sales[[#This Row],[Date]])</f>
        <v>42868</v>
      </c>
      <c r="C36" s="12">
        <f>IF(Sales[[#This Row],[Date]]="","",Sales[[#This Row],[Date]])</f>
        <v>42868</v>
      </c>
      <c r="D36" s="16" t="s">
        <v>37</v>
      </c>
      <c r="E36" s="1" t="str">
        <f>IFERROR(VLOOKUP(Sales[[#This Row],[Product]],Database!$B:$F,2,0),"")</f>
        <v>ACQ2010</v>
      </c>
      <c r="F36" s="1" t="str">
        <f>IFERROR(VLOOKUP(Sales[[#This Row],[Product]],Database!$B:$F,3,0),"")</f>
        <v>Television</v>
      </c>
      <c r="G36" s="16" t="s">
        <v>62</v>
      </c>
      <c r="H36" s="1" t="str">
        <f>IFERROR(VLOOKUP(Sales[[#This Row],[Customer]],Database!K:M,2,0),"")</f>
        <v>Cameroon</v>
      </c>
      <c r="I36" s="1" t="str">
        <f>IFERROR(VLOOKUP(Sales[[#This Row],[Customer]],Database!K:M,3,0),"")</f>
        <v>Africa</v>
      </c>
      <c r="J36" s="17">
        <v>56062</v>
      </c>
      <c r="K36" s="10">
        <f>IFERROR(VLOOKUP(Sales[[#This Row],[Product]],Database!$B:$F,4,0),"")</f>
        <v>14</v>
      </c>
      <c r="L36" s="10">
        <f>IFERROR(Sales[[#This Row],[Sales Qty.]]*Sales[[#This Row],[Item Cost]],"")</f>
        <v>784868</v>
      </c>
      <c r="M36" s="10">
        <f>IFERROR(VLOOKUP(Sales[[#This Row],[Product]],Database!$B:$F,5,0),"")</f>
        <v>16</v>
      </c>
      <c r="N36" s="10">
        <f>IFERROR(Sales[[#This Row],[Item Price]]*Sales[[#This Row],[Sales Qty.]],"")</f>
        <v>896992</v>
      </c>
      <c r="O36" s="10">
        <f>IFERROR(Sales[[#This Row],[Revenue]]-Sales[[#This Row],[Total Cost]],"")</f>
        <v>112124</v>
      </c>
      <c r="P36" s="14">
        <f>IFERROR(Sales[[#This Row],[Profit]]/Sales[[#This Row],[Total Cost]],"")</f>
        <v>0.14285714285714285</v>
      </c>
    </row>
    <row r="37" spans="1:16" ht="12.75" x14ac:dyDescent="0.2">
      <c r="A37" s="15">
        <v>42639</v>
      </c>
      <c r="B37" s="11">
        <f>IF(Sales[[#This Row],[Date]]="","",Sales[[#This Row],[Date]])</f>
        <v>42639</v>
      </c>
      <c r="C37" s="12">
        <f>IF(Sales[[#This Row],[Date]]="","",Sales[[#This Row],[Date]])</f>
        <v>42639</v>
      </c>
      <c r="D37" s="16" t="s">
        <v>47</v>
      </c>
      <c r="E37" s="1" t="str">
        <f>IFERROR(VLOOKUP(Sales[[#This Row],[Product]],Database!$B:$F,2,0),"")</f>
        <v>MAM1543</v>
      </c>
      <c r="F37" s="1" t="str">
        <f>IFERROR(VLOOKUP(Sales[[#This Row],[Product]],Database!$B:$F,3,0),"")</f>
        <v>Refrigerator</v>
      </c>
      <c r="G37" s="16" t="s">
        <v>30</v>
      </c>
      <c r="H37" s="1" t="str">
        <f>IFERROR(VLOOKUP(Sales[[#This Row],[Customer]],Database!K:M,2,0),"")</f>
        <v>France</v>
      </c>
      <c r="I37" s="1" t="str">
        <f>IFERROR(VLOOKUP(Sales[[#This Row],[Customer]],Database!K:M,3,0),"")</f>
        <v>Europe</v>
      </c>
      <c r="J37" s="17">
        <v>76546</v>
      </c>
      <c r="K37" s="10">
        <f>IFERROR(VLOOKUP(Sales[[#This Row],[Product]],Database!$B:$F,4,0),"")</f>
        <v>16</v>
      </c>
      <c r="L37" s="10">
        <f>IFERROR(Sales[[#This Row],[Sales Qty.]]*Sales[[#This Row],[Item Cost]],"")</f>
        <v>1224736</v>
      </c>
      <c r="M37" s="10">
        <f>IFERROR(VLOOKUP(Sales[[#This Row],[Product]],Database!$B:$F,5,0),"")</f>
        <v>18</v>
      </c>
      <c r="N37" s="10">
        <f>IFERROR(Sales[[#This Row],[Item Price]]*Sales[[#This Row],[Sales Qty.]],"")</f>
        <v>1377828</v>
      </c>
      <c r="O37" s="10">
        <f>IFERROR(Sales[[#This Row],[Revenue]]-Sales[[#This Row],[Total Cost]],"")</f>
        <v>153092</v>
      </c>
      <c r="P37" s="14">
        <f>IFERROR(Sales[[#This Row],[Profit]]/Sales[[#This Row],[Total Cost]],"")</f>
        <v>0.125</v>
      </c>
    </row>
    <row r="38" spans="1:16" ht="12.75" x14ac:dyDescent="0.2">
      <c r="A38" s="15">
        <v>43483</v>
      </c>
      <c r="B38" s="11">
        <f>IF(Sales[[#This Row],[Date]]="","",Sales[[#This Row],[Date]])</f>
        <v>43483</v>
      </c>
      <c r="C38" s="12">
        <f>IF(Sales[[#This Row],[Date]]="","",Sales[[#This Row],[Date]])</f>
        <v>43483</v>
      </c>
      <c r="D38" s="16" t="s">
        <v>33</v>
      </c>
      <c r="E38" s="1" t="str">
        <f>IFERROR(VLOOKUP(Sales[[#This Row],[Product]],Database!$B:$F,2,0),"")</f>
        <v>ACQ2004</v>
      </c>
      <c r="F38" s="1" t="str">
        <f>IFERROR(VLOOKUP(Sales[[#This Row],[Product]],Database!$B:$F,3,0),"")</f>
        <v>Television</v>
      </c>
      <c r="G38" s="16" t="s">
        <v>52</v>
      </c>
      <c r="H38" s="1" t="str">
        <f>IFERROR(VLOOKUP(Sales[[#This Row],[Customer]],Database!K:M,2,0),"")</f>
        <v>Egypt</v>
      </c>
      <c r="I38" s="1" t="str">
        <f>IFERROR(VLOOKUP(Sales[[#This Row],[Customer]],Database!K:M,3,0),"")</f>
        <v>Middle East</v>
      </c>
      <c r="J38" s="17">
        <v>61335</v>
      </c>
      <c r="K38" s="10">
        <f>IFERROR(VLOOKUP(Sales[[#This Row],[Product]],Database!$B:$F,4,0),"")</f>
        <v>9</v>
      </c>
      <c r="L38" s="10">
        <f>IFERROR(Sales[[#This Row],[Sales Qty.]]*Sales[[#This Row],[Item Cost]],"")</f>
        <v>552015</v>
      </c>
      <c r="M38" s="10">
        <f>IFERROR(VLOOKUP(Sales[[#This Row],[Product]],Database!$B:$F,5,0),"")</f>
        <v>10</v>
      </c>
      <c r="N38" s="10">
        <f>IFERROR(Sales[[#This Row],[Item Price]]*Sales[[#This Row],[Sales Qty.]],"")</f>
        <v>613350</v>
      </c>
      <c r="O38" s="10">
        <f>IFERROR(Sales[[#This Row],[Revenue]]-Sales[[#This Row],[Total Cost]],"")</f>
        <v>61335</v>
      </c>
      <c r="P38" s="14">
        <f>IFERROR(Sales[[#This Row],[Profit]]/Sales[[#This Row],[Total Cost]],"")</f>
        <v>0.1111111111111111</v>
      </c>
    </row>
    <row r="39" spans="1:16" ht="12.75" x14ac:dyDescent="0.2">
      <c r="A39" s="15">
        <v>43945</v>
      </c>
      <c r="B39" s="11">
        <f>IF(Sales[[#This Row],[Date]]="","",Sales[[#This Row],[Date]])</f>
        <v>43945</v>
      </c>
      <c r="C39" s="12">
        <f>IF(Sales[[#This Row],[Date]]="","",Sales[[#This Row],[Date]])</f>
        <v>43945</v>
      </c>
      <c r="D39" s="16" t="s">
        <v>37</v>
      </c>
      <c r="E39" s="1" t="str">
        <f>IFERROR(VLOOKUP(Sales[[#This Row],[Product]],Database!$B:$F,2,0),"")</f>
        <v>ACQ2010</v>
      </c>
      <c r="F39" s="1" t="str">
        <f>IFERROR(VLOOKUP(Sales[[#This Row],[Product]],Database!$B:$F,3,0),"")</f>
        <v>Television</v>
      </c>
      <c r="G39" s="16" t="s">
        <v>53</v>
      </c>
      <c r="H39" s="1" t="str">
        <f>IFERROR(VLOOKUP(Sales[[#This Row],[Customer]],Database!K:M,2,0),"")</f>
        <v>Brazil</v>
      </c>
      <c r="I39" s="1" t="str">
        <f>IFERROR(VLOOKUP(Sales[[#This Row],[Customer]],Database!K:M,3,0),"")</f>
        <v>South America</v>
      </c>
      <c r="J39" s="17">
        <v>58501</v>
      </c>
      <c r="K39" s="10">
        <f>IFERROR(VLOOKUP(Sales[[#This Row],[Product]],Database!$B:$F,4,0),"")</f>
        <v>14</v>
      </c>
      <c r="L39" s="10">
        <f>IFERROR(Sales[[#This Row],[Sales Qty.]]*Sales[[#This Row],[Item Cost]],"")</f>
        <v>819014</v>
      </c>
      <c r="M39" s="10">
        <f>IFERROR(VLOOKUP(Sales[[#This Row],[Product]],Database!$B:$F,5,0),"")</f>
        <v>16</v>
      </c>
      <c r="N39" s="10">
        <f>IFERROR(Sales[[#This Row],[Item Price]]*Sales[[#This Row],[Sales Qty.]],"")</f>
        <v>936016</v>
      </c>
      <c r="O39" s="10">
        <f>IFERROR(Sales[[#This Row],[Revenue]]-Sales[[#This Row],[Total Cost]],"")</f>
        <v>117002</v>
      </c>
      <c r="P39" s="14">
        <f>IFERROR(Sales[[#This Row],[Profit]]/Sales[[#This Row],[Total Cost]],"")</f>
        <v>0.14285714285714285</v>
      </c>
    </row>
    <row r="40" spans="1:16" ht="12.75" x14ac:dyDescent="0.2">
      <c r="A40" s="15">
        <v>43545</v>
      </c>
      <c r="B40" s="11">
        <f>IF(Sales[[#This Row],[Date]]="","",Sales[[#This Row],[Date]])</f>
        <v>43545</v>
      </c>
      <c r="C40" s="12">
        <f>IF(Sales[[#This Row],[Date]]="","",Sales[[#This Row],[Date]])</f>
        <v>43545</v>
      </c>
      <c r="D40" s="16" t="s">
        <v>40</v>
      </c>
      <c r="E40" s="1" t="str">
        <f>IFERROR(VLOOKUP(Sales[[#This Row],[Product]],Database!$B:$F,2,0),"")</f>
        <v>MES5014</v>
      </c>
      <c r="F40" s="1" t="str">
        <f>IFERROR(VLOOKUP(Sales[[#This Row],[Product]],Database!$B:$F,3,0),"")</f>
        <v>Washing Machine</v>
      </c>
      <c r="G40" s="16" t="s">
        <v>53</v>
      </c>
      <c r="H40" s="1" t="str">
        <f>IFERROR(VLOOKUP(Sales[[#This Row],[Customer]],Database!K:M,2,0),"")</f>
        <v>Brazil</v>
      </c>
      <c r="I40" s="1" t="str">
        <f>IFERROR(VLOOKUP(Sales[[#This Row],[Customer]],Database!K:M,3,0),"")</f>
        <v>South America</v>
      </c>
      <c r="J40" s="17">
        <v>64852</v>
      </c>
      <c r="K40" s="10">
        <f>IFERROR(VLOOKUP(Sales[[#This Row],[Product]],Database!$B:$F,4,0),"")</f>
        <v>12</v>
      </c>
      <c r="L40" s="10">
        <f>IFERROR(Sales[[#This Row],[Sales Qty.]]*Sales[[#This Row],[Item Cost]],"")</f>
        <v>778224</v>
      </c>
      <c r="M40" s="10">
        <f>IFERROR(VLOOKUP(Sales[[#This Row],[Product]],Database!$B:$F,5,0),"")</f>
        <v>16</v>
      </c>
      <c r="N40" s="10">
        <f>IFERROR(Sales[[#This Row],[Item Price]]*Sales[[#This Row],[Sales Qty.]],"")</f>
        <v>1037632</v>
      </c>
      <c r="O40" s="10">
        <f>IFERROR(Sales[[#This Row],[Revenue]]-Sales[[#This Row],[Total Cost]],"")</f>
        <v>259408</v>
      </c>
      <c r="P40" s="14">
        <f>IFERROR(Sales[[#This Row],[Profit]]/Sales[[#This Row],[Total Cost]],"")</f>
        <v>0.33333333333333331</v>
      </c>
    </row>
    <row r="41" spans="1:16" ht="12.75" x14ac:dyDescent="0.2">
      <c r="A41" s="15">
        <v>43492</v>
      </c>
      <c r="B41" s="11">
        <f>IF(Sales[[#This Row],[Date]]="","",Sales[[#This Row],[Date]])</f>
        <v>43492</v>
      </c>
      <c r="C41" s="12">
        <f>IF(Sales[[#This Row],[Date]]="","",Sales[[#This Row],[Date]])</f>
        <v>43492</v>
      </c>
      <c r="D41" s="16" t="s">
        <v>34</v>
      </c>
      <c r="E41" s="1" t="str">
        <f>IFERROR(VLOOKUP(Sales[[#This Row],[Product]],Database!$B:$F,2,0),"")</f>
        <v>ACQ2005</v>
      </c>
      <c r="F41" s="1" t="str">
        <f>IFERROR(VLOOKUP(Sales[[#This Row],[Product]],Database!$B:$F,3,0),"")</f>
        <v>Television</v>
      </c>
      <c r="G41" s="16" t="s">
        <v>52</v>
      </c>
      <c r="H41" s="1" t="str">
        <f>IFERROR(VLOOKUP(Sales[[#This Row],[Customer]],Database!K:M,2,0),"")</f>
        <v>Egypt</v>
      </c>
      <c r="I41" s="1" t="str">
        <f>IFERROR(VLOOKUP(Sales[[#This Row],[Customer]],Database!K:M,3,0),"")</f>
        <v>Middle East</v>
      </c>
      <c r="J41" s="17">
        <v>67383</v>
      </c>
      <c r="K41" s="10">
        <f>IFERROR(VLOOKUP(Sales[[#This Row],[Product]],Database!$B:$F,4,0),"")</f>
        <v>10</v>
      </c>
      <c r="L41" s="10">
        <f>IFERROR(Sales[[#This Row],[Sales Qty.]]*Sales[[#This Row],[Item Cost]],"")</f>
        <v>673830</v>
      </c>
      <c r="M41" s="10">
        <f>IFERROR(VLOOKUP(Sales[[#This Row],[Product]],Database!$B:$F,5,0),"")</f>
        <v>12</v>
      </c>
      <c r="N41" s="10">
        <f>IFERROR(Sales[[#This Row],[Item Price]]*Sales[[#This Row],[Sales Qty.]],"")</f>
        <v>808596</v>
      </c>
      <c r="O41" s="10">
        <f>IFERROR(Sales[[#This Row],[Revenue]]-Sales[[#This Row],[Total Cost]],"")</f>
        <v>134766</v>
      </c>
      <c r="P41" s="14">
        <f>IFERROR(Sales[[#This Row],[Profit]]/Sales[[#This Row],[Total Cost]],"")</f>
        <v>0.2</v>
      </c>
    </row>
    <row r="42" spans="1:16" ht="12.75" x14ac:dyDescent="0.2">
      <c r="A42" s="15">
        <v>43916</v>
      </c>
      <c r="B42" s="11">
        <f>IF(Sales[[#This Row],[Date]]="","",Sales[[#This Row],[Date]])</f>
        <v>43916</v>
      </c>
      <c r="C42" s="12">
        <f>IF(Sales[[#This Row],[Date]]="","",Sales[[#This Row],[Date]])</f>
        <v>43916</v>
      </c>
      <c r="D42" s="16" t="s">
        <v>44</v>
      </c>
      <c r="E42" s="1" t="str">
        <f>IFERROR(VLOOKUP(Sales[[#This Row],[Product]],Database!$B:$F,2,0),"")</f>
        <v>MES51214</v>
      </c>
      <c r="F42" s="1" t="str">
        <f>IFERROR(VLOOKUP(Sales[[#This Row],[Product]],Database!$B:$F,3,0),"")</f>
        <v>Washing Machine</v>
      </c>
      <c r="G42" s="16" t="s">
        <v>54</v>
      </c>
      <c r="H42" s="1" t="str">
        <f>IFERROR(VLOOKUP(Sales[[#This Row],[Customer]],Database!K:M,2,0),"")</f>
        <v>China</v>
      </c>
      <c r="I42" s="1" t="str">
        <f>IFERROR(VLOOKUP(Sales[[#This Row],[Customer]],Database!K:M,3,0),"")</f>
        <v>Asia</v>
      </c>
      <c r="J42" s="17">
        <v>74829</v>
      </c>
      <c r="K42" s="10">
        <f>IFERROR(VLOOKUP(Sales[[#This Row],[Product]],Database!$B:$F,4,0),"")</f>
        <v>13</v>
      </c>
      <c r="L42" s="10">
        <f>IFERROR(Sales[[#This Row],[Sales Qty.]]*Sales[[#This Row],[Item Cost]],"")</f>
        <v>972777</v>
      </c>
      <c r="M42" s="10">
        <f>IFERROR(VLOOKUP(Sales[[#This Row],[Product]],Database!$B:$F,5,0),"")</f>
        <v>17</v>
      </c>
      <c r="N42" s="10">
        <f>IFERROR(Sales[[#This Row],[Item Price]]*Sales[[#This Row],[Sales Qty.]],"")</f>
        <v>1272093</v>
      </c>
      <c r="O42" s="10">
        <f>IFERROR(Sales[[#This Row],[Revenue]]-Sales[[#This Row],[Total Cost]],"")</f>
        <v>299316</v>
      </c>
      <c r="P42" s="14">
        <f>IFERROR(Sales[[#This Row],[Profit]]/Sales[[#This Row],[Total Cost]],"")</f>
        <v>0.30769230769230771</v>
      </c>
    </row>
    <row r="43" spans="1:16" ht="12.75" x14ac:dyDescent="0.2">
      <c r="A43" s="15">
        <v>42951</v>
      </c>
      <c r="B43" s="11">
        <f>IF(Sales[[#This Row],[Date]]="","",Sales[[#This Row],[Date]])</f>
        <v>42951</v>
      </c>
      <c r="C43" s="12">
        <f>IF(Sales[[#This Row],[Date]]="","",Sales[[#This Row],[Date]])</f>
        <v>42951</v>
      </c>
      <c r="D43" s="16" t="s">
        <v>34</v>
      </c>
      <c r="E43" s="1" t="str">
        <f>IFERROR(VLOOKUP(Sales[[#This Row],[Product]],Database!$B:$F,2,0),"")</f>
        <v>ACQ2005</v>
      </c>
      <c r="F43" s="1" t="str">
        <f>IFERROR(VLOOKUP(Sales[[#This Row],[Product]],Database!$B:$F,3,0),"")</f>
        <v>Television</v>
      </c>
      <c r="G43" s="16" t="s">
        <v>62</v>
      </c>
      <c r="H43" s="1" t="str">
        <f>IFERROR(VLOOKUP(Sales[[#This Row],[Customer]],Database!K:M,2,0),"")</f>
        <v>Cameroon</v>
      </c>
      <c r="I43" s="1" t="str">
        <f>IFERROR(VLOOKUP(Sales[[#This Row],[Customer]],Database!K:M,3,0),"")</f>
        <v>Africa</v>
      </c>
      <c r="J43" s="17">
        <v>69020</v>
      </c>
      <c r="K43" s="10">
        <f>IFERROR(VLOOKUP(Sales[[#This Row],[Product]],Database!$B:$F,4,0),"")</f>
        <v>10</v>
      </c>
      <c r="L43" s="10">
        <f>IFERROR(Sales[[#This Row],[Sales Qty.]]*Sales[[#This Row],[Item Cost]],"")</f>
        <v>690200</v>
      </c>
      <c r="M43" s="10">
        <f>IFERROR(VLOOKUP(Sales[[#This Row],[Product]],Database!$B:$F,5,0),"")</f>
        <v>12</v>
      </c>
      <c r="N43" s="10">
        <f>IFERROR(Sales[[#This Row],[Item Price]]*Sales[[#This Row],[Sales Qty.]],"")</f>
        <v>828240</v>
      </c>
      <c r="O43" s="10">
        <f>IFERROR(Sales[[#This Row],[Revenue]]-Sales[[#This Row],[Total Cost]],"")</f>
        <v>138040</v>
      </c>
      <c r="P43" s="14">
        <f>IFERROR(Sales[[#This Row],[Profit]]/Sales[[#This Row],[Total Cost]],"")</f>
        <v>0.2</v>
      </c>
    </row>
    <row r="44" spans="1:16" ht="12.75" x14ac:dyDescent="0.2">
      <c r="A44" s="15">
        <v>42524</v>
      </c>
      <c r="B44" s="11">
        <f>IF(Sales[[#This Row],[Date]]="","",Sales[[#This Row],[Date]])</f>
        <v>42524</v>
      </c>
      <c r="C44" s="12">
        <f>IF(Sales[[#This Row],[Date]]="","",Sales[[#This Row],[Date]])</f>
        <v>42524</v>
      </c>
      <c r="D44" s="16" t="s">
        <v>35</v>
      </c>
      <c r="E44" s="1" t="str">
        <f>IFERROR(VLOOKUP(Sales[[#This Row],[Product]],Database!$B:$F,2,0),"")</f>
        <v>ACQ2009</v>
      </c>
      <c r="F44" s="1" t="str">
        <f>IFERROR(VLOOKUP(Sales[[#This Row],[Product]],Database!$B:$F,3,0),"")</f>
        <v>Television</v>
      </c>
      <c r="G44" s="16" t="s">
        <v>30</v>
      </c>
      <c r="H44" s="1" t="str">
        <f>IFERROR(VLOOKUP(Sales[[#This Row],[Customer]],Database!K:M,2,0),"")</f>
        <v>France</v>
      </c>
      <c r="I44" s="1" t="str">
        <f>IFERROR(VLOOKUP(Sales[[#This Row],[Customer]],Database!K:M,3,0),"")</f>
        <v>Europe</v>
      </c>
      <c r="J44" s="17">
        <v>69424</v>
      </c>
      <c r="K44" s="10">
        <f>IFERROR(VLOOKUP(Sales[[#This Row],[Product]],Database!$B:$F,4,0),"")</f>
        <v>12</v>
      </c>
      <c r="L44" s="10">
        <f>IFERROR(Sales[[#This Row],[Sales Qty.]]*Sales[[#This Row],[Item Cost]],"")</f>
        <v>833088</v>
      </c>
      <c r="M44" s="10">
        <f>IFERROR(VLOOKUP(Sales[[#This Row],[Product]],Database!$B:$F,5,0),"")</f>
        <v>15</v>
      </c>
      <c r="N44" s="10">
        <f>IFERROR(Sales[[#This Row],[Item Price]]*Sales[[#This Row],[Sales Qty.]],"")</f>
        <v>1041360</v>
      </c>
      <c r="O44" s="10">
        <f>IFERROR(Sales[[#This Row],[Revenue]]-Sales[[#This Row],[Total Cost]],"")</f>
        <v>208272</v>
      </c>
      <c r="P44" s="14">
        <f>IFERROR(Sales[[#This Row],[Profit]]/Sales[[#This Row],[Total Cost]],"")</f>
        <v>0.25</v>
      </c>
    </row>
    <row r="45" spans="1:16" ht="12.75" x14ac:dyDescent="0.2">
      <c r="A45" s="15">
        <v>42744</v>
      </c>
      <c r="B45" s="11">
        <f>IF(Sales[[#This Row],[Date]]="","",Sales[[#This Row],[Date]])</f>
        <v>42744</v>
      </c>
      <c r="C45" s="12">
        <f>IF(Sales[[#This Row],[Date]]="","",Sales[[#This Row],[Date]])</f>
        <v>42744</v>
      </c>
      <c r="D45" s="16" t="s">
        <v>34</v>
      </c>
      <c r="E45" s="1" t="str">
        <f>IFERROR(VLOOKUP(Sales[[#This Row],[Product]],Database!$B:$F,2,0),"")</f>
        <v>ACQ2005</v>
      </c>
      <c r="F45" s="1" t="str">
        <f>IFERROR(VLOOKUP(Sales[[#This Row],[Product]],Database!$B:$F,3,0),"")</f>
        <v>Television</v>
      </c>
      <c r="G45" s="16" t="s">
        <v>53</v>
      </c>
      <c r="H45" s="1" t="str">
        <f>IFERROR(VLOOKUP(Sales[[#This Row],[Customer]],Database!K:M,2,0),"")</f>
        <v>Brazil</v>
      </c>
      <c r="I45" s="1" t="str">
        <f>IFERROR(VLOOKUP(Sales[[#This Row],[Customer]],Database!K:M,3,0),"")</f>
        <v>South America</v>
      </c>
      <c r="J45" s="17">
        <v>67401</v>
      </c>
      <c r="K45" s="10">
        <f>IFERROR(VLOOKUP(Sales[[#This Row],[Product]],Database!$B:$F,4,0),"")</f>
        <v>10</v>
      </c>
      <c r="L45" s="10">
        <f>IFERROR(Sales[[#This Row],[Sales Qty.]]*Sales[[#This Row],[Item Cost]],"")</f>
        <v>674010</v>
      </c>
      <c r="M45" s="10">
        <f>IFERROR(VLOOKUP(Sales[[#This Row],[Product]],Database!$B:$F,5,0),"")</f>
        <v>12</v>
      </c>
      <c r="N45" s="10">
        <f>IFERROR(Sales[[#This Row],[Item Price]]*Sales[[#This Row],[Sales Qty.]],"")</f>
        <v>808812</v>
      </c>
      <c r="O45" s="10">
        <f>IFERROR(Sales[[#This Row],[Revenue]]-Sales[[#This Row],[Total Cost]],"")</f>
        <v>134802</v>
      </c>
      <c r="P45" s="14">
        <f>IFERROR(Sales[[#This Row],[Profit]]/Sales[[#This Row],[Total Cost]],"")</f>
        <v>0.2</v>
      </c>
    </row>
    <row r="46" spans="1:16" ht="12.75" x14ac:dyDescent="0.2">
      <c r="A46" s="15">
        <v>43405</v>
      </c>
      <c r="B46" s="11">
        <f>IF(Sales[[#This Row],[Date]]="","",Sales[[#This Row],[Date]])</f>
        <v>43405</v>
      </c>
      <c r="C46" s="12">
        <f>IF(Sales[[#This Row],[Date]]="","",Sales[[#This Row],[Date]])</f>
        <v>43405</v>
      </c>
      <c r="D46" s="16" t="s">
        <v>33</v>
      </c>
      <c r="E46" s="1" t="str">
        <f>IFERROR(VLOOKUP(Sales[[#This Row],[Product]],Database!$B:$F,2,0),"")</f>
        <v>ACQ2004</v>
      </c>
      <c r="F46" s="1" t="str">
        <f>IFERROR(VLOOKUP(Sales[[#This Row],[Product]],Database!$B:$F,3,0),"")</f>
        <v>Television</v>
      </c>
      <c r="G46" s="16" t="s">
        <v>53</v>
      </c>
      <c r="H46" s="1" t="str">
        <f>IFERROR(VLOOKUP(Sales[[#This Row],[Customer]],Database!K:M,2,0),"")</f>
        <v>Brazil</v>
      </c>
      <c r="I46" s="1" t="str">
        <f>IFERROR(VLOOKUP(Sales[[#This Row],[Customer]],Database!K:M,3,0),"")</f>
        <v>South America</v>
      </c>
      <c r="J46" s="17">
        <v>71231</v>
      </c>
      <c r="K46" s="10">
        <f>IFERROR(VLOOKUP(Sales[[#This Row],[Product]],Database!$B:$F,4,0),"")</f>
        <v>9</v>
      </c>
      <c r="L46" s="10">
        <f>IFERROR(Sales[[#This Row],[Sales Qty.]]*Sales[[#This Row],[Item Cost]],"")</f>
        <v>641079</v>
      </c>
      <c r="M46" s="10">
        <f>IFERROR(VLOOKUP(Sales[[#This Row],[Product]],Database!$B:$F,5,0),"")</f>
        <v>10</v>
      </c>
      <c r="N46" s="10">
        <f>IFERROR(Sales[[#This Row],[Item Price]]*Sales[[#This Row],[Sales Qty.]],"")</f>
        <v>712310</v>
      </c>
      <c r="O46" s="10">
        <f>IFERROR(Sales[[#This Row],[Revenue]]-Sales[[#This Row],[Total Cost]],"")</f>
        <v>71231</v>
      </c>
      <c r="P46" s="14">
        <f>IFERROR(Sales[[#This Row],[Profit]]/Sales[[#This Row],[Total Cost]],"")</f>
        <v>0.1111111111111111</v>
      </c>
    </row>
    <row r="47" spans="1:16" ht="12.75" x14ac:dyDescent="0.2">
      <c r="A47" s="15">
        <v>43583</v>
      </c>
      <c r="B47" s="11">
        <f>IF(Sales[[#This Row],[Date]]="","",Sales[[#This Row],[Date]])</f>
        <v>43583</v>
      </c>
      <c r="C47" s="12">
        <f>IF(Sales[[#This Row],[Date]]="","",Sales[[#This Row],[Date]])</f>
        <v>43583</v>
      </c>
      <c r="D47" s="16" t="s">
        <v>44</v>
      </c>
      <c r="E47" s="1" t="str">
        <f>IFERROR(VLOOKUP(Sales[[#This Row],[Product]],Database!$B:$F,2,0),"")</f>
        <v>MES51214</v>
      </c>
      <c r="F47" s="1" t="str">
        <f>IFERROR(VLOOKUP(Sales[[#This Row],[Product]],Database!$B:$F,3,0),"")</f>
        <v>Washing Machine</v>
      </c>
      <c r="G47" s="16" t="s">
        <v>63</v>
      </c>
      <c r="H47" s="1" t="str">
        <f>IFERROR(VLOOKUP(Sales[[#This Row],[Customer]],Database!K:M,2,0),"")</f>
        <v>England</v>
      </c>
      <c r="I47" s="1" t="str">
        <f>IFERROR(VLOOKUP(Sales[[#This Row],[Customer]],Database!K:M,3,0),"")</f>
        <v>Europe</v>
      </c>
      <c r="J47" s="17">
        <v>54136</v>
      </c>
      <c r="K47" s="10">
        <f>IFERROR(VLOOKUP(Sales[[#This Row],[Product]],Database!$B:$F,4,0),"")</f>
        <v>13</v>
      </c>
      <c r="L47" s="10">
        <f>IFERROR(Sales[[#This Row],[Sales Qty.]]*Sales[[#This Row],[Item Cost]],"")</f>
        <v>703768</v>
      </c>
      <c r="M47" s="10">
        <f>IFERROR(VLOOKUP(Sales[[#This Row],[Product]],Database!$B:$F,5,0),"")</f>
        <v>17</v>
      </c>
      <c r="N47" s="10">
        <f>IFERROR(Sales[[#This Row],[Item Price]]*Sales[[#This Row],[Sales Qty.]],"")</f>
        <v>920312</v>
      </c>
      <c r="O47" s="10">
        <f>IFERROR(Sales[[#This Row],[Revenue]]-Sales[[#This Row],[Total Cost]],"")</f>
        <v>216544</v>
      </c>
      <c r="P47" s="14">
        <f>IFERROR(Sales[[#This Row],[Profit]]/Sales[[#This Row],[Total Cost]],"")</f>
        <v>0.30769230769230771</v>
      </c>
    </row>
    <row r="48" spans="1:16" ht="12.75" x14ac:dyDescent="0.2">
      <c r="A48" s="15">
        <v>43855</v>
      </c>
      <c r="B48" s="11">
        <f>IF(Sales[[#This Row],[Date]]="","",Sales[[#This Row],[Date]])</f>
        <v>43855</v>
      </c>
      <c r="C48" s="12">
        <f>IF(Sales[[#This Row],[Date]]="","",Sales[[#This Row],[Date]])</f>
        <v>43855</v>
      </c>
      <c r="D48" s="16" t="s">
        <v>37</v>
      </c>
      <c r="E48" s="1" t="str">
        <f>IFERROR(VLOOKUP(Sales[[#This Row],[Product]],Database!$B:$F,2,0),"")</f>
        <v>ACQ2010</v>
      </c>
      <c r="F48" s="1" t="str">
        <f>IFERROR(VLOOKUP(Sales[[#This Row],[Product]],Database!$B:$F,3,0),"")</f>
        <v>Television</v>
      </c>
      <c r="G48" s="16" t="s">
        <v>62</v>
      </c>
      <c r="H48" s="1" t="str">
        <f>IFERROR(VLOOKUP(Sales[[#This Row],[Customer]],Database!K:M,2,0),"")</f>
        <v>Cameroon</v>
      </c>
      <c r="I48" s="1" t="str">
        <f>IFERROR(VLOOKUP(Sales[[#This Row],[Customer]],Database!K:M,3,0),"")</f>
        <v>Africa</v>
      </c>
      <c r="J48" s="17">
        <v>74346</v>
      </c>
      <c r="K48" s="10">
        <f>IFERROR(VLOOKUP(Sales[[#This Row],[Product]],Database!$B:$F,4,0),"")</f>
        <v>14</v>
      </c>
      <c r="L48" s="10">
        <f>IFERROR(Sales[[#This Row],[Sales Qty.]]*Sales[[#This Row],[Item Cost]],"")</f>
        <v>1040844</v>
      </c>
      <c r="M48" s="10">
        <f>IFERROR(VLOOKUP(Sales[[#This Row],[Product]],Database!$B:$F,5,0),"")</f>
        <v>16</v>
      </c>
      <c r="N48" s="10">
        <f>IFERROR(Sales[[#This Row],[Item Price]]*Sales[[#This Row],[Sales Qty.]],"")</f>
        <v>1189536</v>
      </c>
      <c r="O48" s="10">
        <f>IFERROR(Sales[[#This Row],[Revenue]]-Sales[[#This Row],[Total Cost]],"")</f>
        <v>148692</v>
      </c>
      <c r="P48" s="14">
        <f>IFERROR(Sales[[#This Row],[Profit]]/Sales[[#This Row],[Total Cost]],"")</f>
        <v>0.14285714285714285</v>
      </c>
    </row>
    <row r="49" spans="1:16" ht="12.75" x14ac:dyDescent="0.2">
      <c r="A49" s="15">
        <v>42540</v>
      </c>
      <c r="B49" s="11">
        <f>IF(Sales[[#This Row],[Date]]="","",Sales[[#This Row],[Date]])</f>
        <v>42540</v>
      </c>
      <c r="C49" s="12">
        <f>IF(Sales[[#This Row],[Date]]="","",Sales[[#This Row],[Date]])</f>
        <v>42540</v>
      </c>
      <c r="D49" s="16" t="s">
        <v>50</v>
      </c>
      <c r="E49" s="1" t="str">
        <f>IFERROR(VLOOKUP(Sales[[#This Row],[Product]],Database!$B:$F,2,0),"")</f>
        <v>MAM454</v>
      </c>
      <c r="F49" s="1" t="str">
        <f>IFERROR(VLOOKUP(Sales[[#This Row],[Product]],Database!$B:$F,3,0),"")</f>
        <v>Refrigerator</v>
      </c>
      <c r="G49" s="16" t="s">
        <v>63</v>
      </c>
      <c r="H49" s="1" t="str">
        <f>IFERROR(VLOOKUP(Sales[[#This Row],[Customer]],Database!K:M,2,0),"")</f>
        <v>England</v>
      </c>
      <c r="I49" s="1" t="str">
        <f>IFERROR(VLOOKUP(Sales[[#This Row],[Customer]],Database!K:M,3,0),"")</f>
        <v>Europe</v>
      </c>
      <c r="J49" s="17">
        <v>51187</v>
      </c>
      <c r="K49" s="10">
        <f>IFERROR(VLOOKUP(Sales[[#This Row],[Product]],Database!$B:$F,4,0),"")</f>
        <v>15</v>
      </c>
      <c r="L49" s="10">
        <f>IFERROR(Sales[[#This Row],[Sales Qty.]]*Sales[[#This Row],[Item Cost]],"")</f>
        <v>767805</v>
      </c>
      <c r="M49" s="10">
        <f>IFERROR(VLOOKUP(Sales[[#This Row],[Product]],Database!$B:$F,5,0),"")</f>
        <v>18</v>
      </c>
      <c r="N49" s="10">
        <f>IFERROR(Sales[[#This Row],[Item Price]]*Sales[[#This Row],[Sales Qty.]],"")</f>
        <v>921366</v>
      </c>
      <c r="O49" s="10">
        <f>IFERROR(Sales[[#This Row],[Revenue]]-Sales[[#This Row],[Total Cost]],"")</f>
        <v>153561</v>
      </c>
      <c r="P49" s="14">
        <f>IFERROR(Sales[[#This Row],[Profit]]/Sales[[#This Row],[Total Cost]],"")</f>
        <v>0.2</v>
      </c>
    </row>
    <row r="50" spans="1:16" ht="12.75" x14ac:dyDescent="0.2">
      <c r="A50" s="15">
        <v>43478</v>
      </c>
      <c r="B50" s="11">
        <f>IF(Sales[[#This Row],[Date]]="","",Sales[[#This Row],[Date]])</f>
        <v>43478</v>
      </c>
      <c r="C50" s="12">
        <f>IF(Sales[[#This Row],[Date]]="","",Sales[[#This Row],[Date]])</f>
        <v>43478</v>
      </c>
      <c r="D50" s="16" t="s">
        <v>34</v>
      </c>
      <c r="E50" s="1" t="str">
        <f>IFERROR(VLOOKUP(Sales[[#This Row],[Product]],Database!$B:$F,2,0),"")</f>
        <v>ACQ2005</v>
      </c>
      <c r="F50" s="1" t="str">
        <f>IFERROR(VLOOKUP(Sales[[#This Row],[Product]],Database!$B:$F,3,0),"")</f>
        <v>Television</v>
      </c>
      <c r="G50" s="16" t="s">
        <v>62</v>
      </c>
      <c r="H50" s="1" t="str">
        <f>IFERROR(VLOOKUP(Sales[[#This Row],[Customer]],Database!K:M,2,0),"")</f>
        <v>Cameroon</v>
      </c>
      <c r="I50" s="1" t="str">
        <f>IFERROR(VLOOKUP(Sales[[#This Row],[Customer]],Database!K:M,3,0),"")</f>
        <v>Africa</v>
      </c>
      <c r="J50" s="17">
        <v>65014</v>
      </c>
      <c r="K50" s="10">
        <f>IFERROR(VLOOKUP(Sales[[#This Row],[Product]],Database!$B:$F,4,0),"")</f>
        <v>10</v>
      </c>
      <c r="L50" s="10">
        <f>IFERROR(Sales[[#This Row],[Sales Qty.]]*Sales[[#This Row],[Item Cost]],"")</f>
        <v>650140</v>
      </c>
      <c r="M50" s="10">
        <f>IFERROR(VLOOKUP(Sales[[#This Row],[Product]],Database!$B:$F,5,0),"")</f>
        <v>12</v>
      </c>
      <c r="N50" s="10">
        <f>IFERROR(Sales[[#This Row],[Item Price]]*Sales[[#This Row],[Sales Qty.]],"")</f>
        <v>780168</v>
      </c>
      <c r="O50" s="10">
        <f>IFERROR(Sales[[#This Row],[Revenue]]-Sales[[#This Row],[Total Cost]],"")</f>
        <v>130028</v>
      </c>
      <c r="P50" s="14">
        <f>IFERROR(Sales[[#This Row],[Profit]]/Sales[[#This Row],[Total Cost]],"")</f>
        <v>0.2</v>
      </c>
    </row>
    <row r="51" spans="1:16" ht="12.75" x14ac:dyDescent="0.2">
      <c r="A51" s="15">
        <v>43406</v>
      </c>
      <c r="B51" s="11">
        <f>IF(Sales[[#This Row],[Date]]="","",Sales[[#This Row],[Date]])</f>
        <v>43406</v>
      </c>
      <c r="C51" s="12">
        <f>IF(Sales[[#This Row],[Date]]="","",Sales[[#This Row],[Date]])</f>
        <v>43406</v>
      </c>
      <c r="D51" s="16" t="s">
        <v>45</v>
      </c>
      <c r="E51" s="1" t="str">
        <f>IFERROR(VLOOKUP(Sales[[#This Row],[Product]],Database!$B:$F,2,0),"")</f>
        <v>MES4111</v>
      </c>
      <c r="F51" s="1" t="str">
        <f>IFERROR(VLOOKUP(Sales[[#This Row],[Product]],Database!$B:$F,3,0),"")</f>
        <v>Washing Machine</v>
      </c>
      <c r="G51" s="16" t="s">
        <v>54</v>
      </c>
      <c r="H51" s="1" t="str">
        <f>IFERROR(VLOOKUP(Sales[[#This Row],[Customer]],Database!K:M,2,0),"")</f>
        <v>China</v>
      </c>
      <c r="I51" s="1" t="str">
        <f>IFERROR(VLOOKUP(Sales[[#This Row],[Customer]],Database!K:M,3,0),"")</f>
        <v>Asia</v>
      </c>
      <c r="J51" s="17">
        <v>59062</v>
      </c>
      <c r="K51" s="10">
        <f>IFERROR(VLOOKUP(Sales[[#This Row],[Product]],Database!$B:$F,4,0),"")</f>
        <v>13</v>
      </c>
      <c r="L51" s="10">
        <f>IFERROR(Sales[[#This Row],[Sales Qty.]]*Sales[[#This Row],[Item Cost]],"")</f>
        <v>767806</v>
      </c>
      <c r="M51" s="10">
        <f>IFERROR(VLOOKUP(Sales[[#This Row],[Product]],Database!$B:$F,5,0),"")</f>
        <v>15</v>
      </c>
      <c r="N51" s="10">
        <f>IFERROR(Sales[[#This Row],[Item Price]]*Sales[[#This Row],[Sales Qty.]],"")</f>
        <v>885930</v>
      </c>
      <c r="O51" s="10">
        <f>IFERROR(Sales[[#This Row],[Revenue]]-Sales[[#This Row],[Total Cost]],"")</f>
        <v>118124</v>
      </c>
      <c r="P51" s="14">
        <f>IFERROR(Sales[[#This Row],[Profit]]/Sales[[#This Row],[Total Cost]],"")</f>
        <v>0.15384615384615385</v>
      </c>
    </row>
    <row r="52" spans="1:16" ht="12.75" x14ac:dyDescent="0.2">
      <c r="A52" s="15">
        <v>43054</v>
      </c>
      <c r="B52" s="11">
        <f>IF(Sales[[#This Row],[Date]]="","",Sales[[#This Row],[Date]])</f>
        <v>43054</v>
      </c>
      <c r="C52" s="12">
        <f>IF(Sales[[#This Row],[Date]]="","",Sales[[#This Row],[Date]])</f>
        <v>43054</v>
      </c>
      <c r="D52" s="16" t="s">
        <v>37</v>
      </c>
      <c r="E52" s="1" t="str">
        <f>IFERROR(VLOOKUP(Sales[[#This Row],[Product]],Database!$B:$F,2,0),"")</f>
        <v>ACQ2010</v>
      </c>
      <c r="F52" s="1" t="str">
        <f>IFERROR(VLOOKUP(Sales[[#This Row],[Product]],Database!$B:$F,3,0),"")</f>
        <v>Television</v>
      </c>
      <c r="G52" s="16" t="s">
        <v>30</v>
      </c>
      <c r="H52" s="1" t="str">
        <f>IFERROR(VLOOKUP(Sales[[#This Row],[Customer]],Database!K:M,2,0),"")</f>
        <v>France</v>
      </c>
      <c r="I52" s="1" t="str">
        <f>IFERROR(VLOOKUP(Sales[[#This Row],[Customer]],Database!K:M,3,0),"")</f>
        <v>Europe</v>
      </c>
      <c r="J52" s="17">
        <v>66105</v>
      </c>
      <c r="K52" s="10">
        <f>IFERROR(VLOOKUP(Sales[[#This Row],[Product]],Database!$B:$F,4,0),"")</f>
        <v>14</v>
      </c>
      <c r="L52" s="10">
        <f>IFERROR(Sales[[#This Row],[Sales Qty.]]*Sales[[#This Row],[Item Cost]],"")</f>
        <v>925470</v>
      </c>
      <c r="M52" s="10">
        <f>IFERROR(VLOOKUP(Sales[[#This Row],[Product]],Database!$B:$F,5,0),"")</f>
        <v>16</v>
      </c>
      <c r="N52" s="10">
        <f>IFERROR(Sales[[#This Row],[Item Price]]*Sales[[#This Row],[Sales Qty.]],"")</f>
        <v>1057680</v>
      </c>
      <c r="O52" s="10">
        <f>IFERROR(Sales[[#This Row],[Revenue]]-Sales[[#This Row],[Total Cost]],"")</f>
        <v>132210</v>
      </c>
      <c r="P52" s="14">
        <f>IFERROR(Sales[[#This Row],[Profit]]/Sales[[#This Row],[Total Cost]],"")</f>
        <v>0.14285714285714285</v>
      </c>
    </row>
    <row r="53" spans="1:16" ht="12.75" x14ac:dyDescent="0.2">
      <c r="A53" s="15">
        <v>42389</v>
      </c>
      <c r="B53" s="11">
        <f>IF(Sales[[#This Row],[Date]]="","",Sales[[#This Row],[Date]])</f>
        <v>42389</v>
      </c>
      <c r="C53" s="12">
        <f>IF(Sales[[#This Row],[Date]]="","",Sales[[#This Row],[Date]])</f>
        <v>42389</v>
      </c>
      <c r="D53" s="16" t="s">
        <v>47</v>
      </c>
      <c r="E53" s="1" t="str">
        <f>IFERROR(VLOOKUP(Sales[[#This Row],[Product]],Database!$B:$F,2,0),"")</f>
        <v>MAM1543</v>
      </c>
      <c r="F53" s="1" t="str">
        <f>IFERROR(VLOOKUP(Sales[[#This Row],[Product]],Database!$B:$F,3,0),"")</f>
        <v>Refrigerator</v>
      </c>
      <c r="G53" s="16" t="s">
        <v>54</v>
      </c>
      <c r="H53" s="1" t="str">
        <f>IFERROR(VLOOKUP(Sales[[#This Row],[Customer]],Database!K:M,2,0),"")</f>
        <v>China</v>
      </c>
      <c r="I53" s="1" t="str">
        <f>IFERROR(VLOOKUP(Sales[[#This Row],[Customer]],Database!K:M,3,0),"")</f>
        <v>Asia</v>
      </c>
      <c r="J53" s="17">
        <v>54452</v>
      </c>
      <c r="K53" s="10">
        <f>IFERROR(VLOOKUP(Sales[[#This Row],[Product]],Database!$B:$F,4,0),"")</f>
        <v>16</v>
      </c>
      <c r="L53" s="10">
        <f>IFERROR(Sales[[#This Row],[Sales Qty.]]*Sales[[#This Row],[Item Cost]],"")</f>
        <v>871232</v>
      </c>
      <c r="M53" s="10">
        <f>IFERROR(VLOOKUP(Sales[[#This Row],[Product]],Database!$B:$F,5,0),"")</f>
        <v>18</v>
      </c>
      <c r="N53" s="10">
        <f>IFERROR(Sales[[#This Row],[Item Price]]*Sales[[#This Row],[Sales Qty.]],"")</f>
        <v>980136</v>
      </c>
      <c r="O53" s="10">
        <f>IFERROR(Sales[[#This Row],[Revenue]]-Sales[[#This Row],[Total Cost]],"")</f>
        <v>108904</v>
      </c>
      <c r="P53" s="14">
        <f>IFERROR(Sales[[#This Row],[Profit]]/Sales[[#This Row],[Total Cost]],"")</f>
        <v>0.125</v>
      </c>
    </row>
    <row r="54" spans="1:16" ht="12.75" x14ac:dyDescent="0.2">
      <c r="A54" s="15">
        <v>42390</v>
      </c>
      <c r="B54" s="11">
        <f>IF(Sales[[#This Row],[Date]]="","",Sales[[#This Row],[Date]])</f>
        <v>42390</v>
      </c>
      <c r="C54" s="12">
        <f>IF(Sales[[#This Row],[Date]]="","",Sales[[#This Row],[Date]])</f>
        <v>42390</v>
      </c>
      <c r="D54" s="16" t="s">
        <v>37</v>
      </c>
      <c r="E54" s="1" t="str">
        <f>IFERROR(VLOOKUP(Sales[[#This Row],[Product]],Database!$B:$F,2,0),"")</f>
        <v>ACQ2010</v>
      </c>
      <c r="F54" s="1" t="str">
        <f>IFERROR(VLOOKUP(Sales[[#This Row],[Product]],Database!$B:$F,3,0),"")</f>
        <v>Television</v>
      </c>
      <c r="G54" s="16" t="s">
        <v>63</v>
      </c>
      <c r="H54" s="1" t="str">
        <f>IFERROR(VLOOKUP(Sales[[#This Row],[Customer]],Database!K:M,2,0),"")</f>
        <v>England</v>
      </c>
      <c r="I54" s="1" t="str">
        <f>IFERROR(VLOOKUP(Sales[[#This Row],[Customer]],Database!K:M,3,0),"")</f>
        <v>Europe</v>
      </c>
      <c r="J54" s="17">
        <v>66122</v>
      </c>
      <c r="K54" s="10">
        <f>IFERROR(VLOOKUP(Sales[[#This Row],[Product]],Database!$B:$F,4,0),"")</f>
        <v>14</v>
      </c>
      <c r="L54" s="10">
        <f>IFERROR(Sales[[#This Row],[Sales Qty.]]*Sales[[#This Row],[Item Cost]],"")</f>
        <v>925708</v>
      </c>
      <c r="M54" s="10">
        <f>IFERROR(VLOOKUP(Sales[[#This Row],[Product]],Database!$B:$F,5,0),"")</f>
        <v>16</v>
      </c>
      <c r="N54" s="10">
        <f>IFERROR(Sales[[#This Row],[Item Price]]*Sales[[#This Row],[Sales Qty.]],"")</f>
        <v>1057952</v>
      </c>
      <c r="O54" s="10">
        <f>IFERROR(Sales[[#This Row],[Revenue]]-Sales[[#This Row],[Total Cost]],"")</f>
        <v>132244</v>
      </c>
      <c r="P54" s="14">
        <f>IFERROR(Sales[[#This Row],[Profit]]/Sales[[#This Row],[Total Cost]],"")</f>
        <v>0.14285714285714285</v>
      </c>
    </row>
    <row r="55" spans="1:16" ht="12.75" x14ac:dyDescent="0.2">
      <c r="A55" s="15">
        <v>43803</v>
      </c>
      <c r="B55" s="11">
        <f>IF(Sales[[#This Row],[Date]]="","",Sales[[#This Row],[Date]])</f>
        <v>43803</v>
      </c>
      <c r="C55" s="12">
        <f>IF(Sales[[#This Row],[Date]]="","",Sales[[#This Row],[Date]])</f>
        <v>43803</v>
      </c>
      <c r="D55" s="16" t="s">
        <v>35</v>
      </c>
      <c r="E55" s="1" t="str">
        <f>IFERROR(VLOOKUP(Sales[[#This Row],[Product]],Database!$B:$F,2,0),"")</f>
        <v>ACQ2009</v>
      </c>
      <c r="F55" s="1" t="str">
        <f>IFERROR(VLOOKUP(Sales[[#This Row],[Product]],Database!$B:$F,3,0),"")</f>
        <v>Television</v>
      </c>
      <c r="G55" s="16" t="s">
        <v>63</v>
      </c>
      <c r="H55" s="1" t="str">
        <f>IFERROR(VLOOKUP(Sales[[#This Row],[Customer]],Database!K:M,2,0),"")</f>
        <v>England</v>
      </c>
      <c r="I55" s="1" t="str">
        <f>IFERROR(VLOOKUP(Sales[[#This Row],[Customer]],Database!K:M,3,0),"")</f>
        <v>Europe</v>
      </c>
      <c r="J55" s="17">
        <v>67235</v>
      </c>
      <c r="K55" s="10">
        <f>IFERROR(VLOOKUP(Sales[[#This Row],[Product]],Database!$B:$F,4,0),"")</f>
        <v>12</v>
      </c>
      <c r="L55" s="10">
        <f>IFERROR(Sales[[#This Row],[Sales Qty.]]*Sales[[#This Row],[Item Cost]],"")</f>
        <v>806820</v>
      </c>
      <c r="M55" s="10">
        <f>IFERROR(VLOOKUP(Sales[[#This Row],[Product]],Database!$B:$F,5,0),"")</f>
        <v>15</v>
      </c>
      <c r="N55" s="10">
        <f>IFERROR(Sales[[#This Row],[Item Price]]*Sales[[#This Row],[Sales Qty.]],"")</f>
        <v>1008525</v>
      </c>
      <c r="O55" s="10">
        <f>IFERROR(Sales[[#This Row],[Revenue]]-Sales[[#This Row],[Total Cost]],"")</f>
        <v>201705</v>
      </c>
      <c r="P55" s="14">
        <f>IFERROR(Sales[[#This Row],[Profit]]/Sales[[#This Row],[Total Cost]],"")</f>
        <v>0.25</v>
      </c>
    </row>
    <row r="56" spans="1:16" ht="12.75" x14ac:dyDescent="0.2">
      <c r="A56" s="15">
        <v>43679</v>
      </c>
      <c r="B56" s="11">
        <f>IF(Sales[[#This Row],[Date]]="","",Sales[[#This Row],[Date]])</f>
        <v>43679</v>
      </c>
      <c r="C56" s="12">
        <f>IF(Sales[[#This Row],[Date]]="","",Sales[[#This Row],[Date]])</f>
        <v>43679</v>
      </c>
      <c r="D56" s="16" t="s">
        <v>45</v>
      </c>
      <c r="E56" s="1" t="str">
        <f>IFERROR(VLOOKUP(Sales[[#This Row],[Product]],Database!$B:$F,2,0),"")</f>
        <v>MES4111</v>
      </c>
      <c r="F56" s="1" t="str">
        <f>IFERROR(VLOOKUP(Sales[[#This Row],[Product]],Database!$B:$F,3,0),"")</f>
        <v>Washing Machine</v>
      </c>
      <c r="G56" s="16" t="s">
        <v>61</v>
      </c>
      <c r="H56" s="1" t="str">
        <f>IFERROR(VLOOKUP(Sales[[#This Row],[Customer]],Database!K:M,2,0),"")</f>
        <v>Canada</v>
      </c>
      <c r="I56" s="1" t="str">
        <f>IFERROR(VLOOKUP(Sales[[#This Row],[Customer]],Database!K:M,3,0),"")</f>
        <v>North America</v>
      </c>
      <c r="J56" s="17">
        <v>75430</v>
      </c>
      <c r="K56" s="10">
        <f>IFERROR(VLOOKUP(Sales[[#This Row],[Product]],Database!$B:$F,4,0),"")</f>
        <v>13</v>
      </c>
      <c r="L56" s="10">
        <f>IFERROR(Sales[[#This Row],[Sales Qty.]]*Sales[[#This Row],[Item Cost]],"")</f>
        <v>980590</v>
      </c>
      <c r="M56" s="10">
        <f>IFERROR(VLOOKUP(Sales[[#This Row],[Product]],Database!$B:$F,5,0),"")</f>
        <v>15</v>
      </c>
      <c r="N56" s="10">
        <f>IFERROR(Sales[[#This Row],[Item Price]]*Sales[[#This Row],[Sales Qty.]],"")</f>
        <v>1131450</v>
      </c>
      <c r="O56" s="10">
        <f>IFERROR(Sales[[#This Row],[Revenue]]-Sales[[#This Row],[Total Cost]],"")</f>
        <v>150860</v>
      </c>
      <c r="P56" s="14">
        <f>IFERROR(Sales[[#This Row],[Profit]]/Sales[[#This Row],[Total Cost]],"")</f>
        <v>0.15384615384615385</v>
      </c>
    </row>
    <row r="57" spans="1:16" ht="12.75" x14ac:dyDescent="0.2">
      <c r="A57" s="15">
        <v>43666</v>
      </c>
      <c r="B57" s="11">
        <f>IF(Sales[[#This Row],[Date]]="","",Sales[[#This Row],[Date]])</f>
        <v>43666</v>
      </c>
      <c r="C57" s="12">
        <f>IF(Sales[[#This Row],[Date]]="","",Sales[[#This Row],[Date]])</f>
        <v>43666</v>
      </c>
      <c r="D57" s="16" t="s">
        <v>34</v>
      </c>
      <c r="E57" s="1" t="str">
        <f>IFERROR(VLOOKUP(Sales[[#This Row],[Product]],Database!$B:$F,2,0),"")</f>
        <v>ACQ2005</v>
      </c>
      <c r="F57" s="1" t="str">
        <f>IFERROR(VLOOKUP(Sales[[#This Row],[Product]],Database!$B:$F,3,0),"")</f>
        <v>Television</v>
      </c>
      <c r="G57" s="16" t="s">
        <v>30</v>
      </c>
      <c r="H57" s="1" t="str">
        <f>IFERROR(VLOOKUP(Sales[[#This Row],[Customer]],Database!K:M,2,0),"")</f>
        <v>France</v>
      </c>
      <c r="I57" s="1" t="str">
        <f>IFERROR(VLOOKUP(Sales[[#This Row],[Customer]],Database!K:M,3,0),"")</f>
        <v>Europe</v>
      </c>
      <c r="J57" s="17">
        <v>56035</v>
      </c>
      <c r="K57" s="10">
        <f>IFERROR(VLOOKUP(Sales[[#This Row],[Product]],Database!$B:$F,4,0),"")</f>
        <v>10</v>
      </c>
      <c r="L57" s="10">
        <f>IFERROR(Sales[[#This Row],[Sales Qty.]]*Sales[[#This Row],[Item Cost]],"")</f>
        <v>560350</v>
      </c>
      <c r="M57" s="10">
        <f>IFERROR(VLOOKUP(Sales[[#This Row],[Product]],Database!$B:$F,5,0),"")</f>
        <v>12</v>
      </c>
      <c r="N57" s="10">
        <f>IFERROR(Sales[[#This Row],[Item Price]]*Sales[[#This Row],[Sales Qty.]],"")</f>
        <v>672420</v>
      </c>
      <c r="O57" s="10">
        <f>IFERROR(Sales[[#This Row],[Revenue]]-Sales[[#This Row],[Total Cost]],"")</f>
        <v>112070</v>
      </c>
      <c r="P57" s="14">
        <f>IFERROR(Sales[[#This Row],[Profit]]/Sales[[#This Row],[Total Cost]],"")</f>
        <v>0.2</v>
      </c>
    </row>
    <row r="58" spans="1:16" ht="12.75" x14ac:dyDescent="0.2">
      <c r="A58" s="15">
        <v>43616</v>
      </c>
      <c r="B58" s="11">
        <f>IF(Sales[[#This Row],[Date]]="","",Sales[[#This Row],[Date]])</f>
        <v>43616</v>
      </c>
      <c r="C58" s="12">
        <f>IF(Sales[[#This Row],[Date]]="","",Sales[[#This Row],[Date]])</f>
        <v>43616</v>
      </c>
      <c r="D58" s="16" t="s">
        <v>44</v>
      </c>
      <c r="E58" s="1" t="str">
        <f>IFERROR(VLOOKUP(Sales[[#This Row],[Product]],Database!$B:$F,2,0),"")</f>
        <v>MES51214</v>
      </c>
      <c r="F58" s="1" t="str">
        <f>IFERROR(VLOOKUP(Sales[[#This Row],[Product]],Database!$B:$F,3,0),"")</f>
        <v>Washing Machine</v>
      </c>
      <c r="G58" s="16" t="s">
        <v>62</v>
      </c>
      <c r="H58" s="1" t="str">
        <f>IFERROR(VLOOKUP(Sales[[#This Row],[Customer]],Database!K:M,2,0),"")</f>
        <v>Cameroon</v>
      </c>
      <c r="I58" s="1" t="str">
        <f>IFERROR(VLOOKUP(Sales[[#This Row],[Customer]],Database!K:M,3,0),"")</f>
        <v>Africa</v>
      </c>
      <c r="J58" s="17">
        <v>69892</v>
      </c>
      <c r="K58" s="10">
        <f>IFERROR(VLOOKUP(Sales[[#This Row],[Product]],Database!$B:$F,4,0),"")</f>
        <v>13</v>
      </c>
      <c r="L58" s="10">
        <f>IFERROR(Sales[[#This Row],[Sales Qty.]]*Sales[[#This Row],[Item Cost]],"")</f>
        <v>908596</v>
      </c>
      <c r="M58" s="10">
        <f>IFERROR(VLOOKUP(Sales[[#This Row],[Product]],Database!$B:$F,5,0),"")</f>
        <v>17</v>
      </c>
      <c r="N58" s="10">
        <f>IFERROR(Sales[[#This Row],[Item Price]]*Sales[[#This Row],[Sales Qty.]],"")</f>
        <v>1188164</v>
      </c>
      <c r="O58" s="10">
        <f>IFERROR(Sales[[#This Row],[Revenue]]-Sales[[#This Row],[Total Cost]],"")</f>
        <v>279568</v>
      </c>
      <c r="P58" s="14">
        <f>IFERROR(Sales[[#This Row],[Profit]]/Sales[[#This Row],[Total Cost]],"")</f>
        <v>0.30769230769230771</v>
      </c>
    </row>
    <row r="59" spans="1:16" ht="12.75" x14ac:dyDescent="0.2">
      <c r="A59" s="15">
        <v>42615</v>
      </c>
      <c r="B59" s="11">
        <f>IF(Sales[[#This Row],[Date]]="","",Sales[[#This Row],[Date]])</f>
        <v>42615</v>
      </c>
      <c r="C59" s="12">
        <f>IF(Sales[[#This Row],[Date]]="","",Sales[[#This Row],[Date]])</f>
        <v>42615</v>
      </c>
      <c r="D59" s="16" t="s">
        <v>40</v>
      </c>
      <c r="E59" s="1" t="str">
        <f>IFERROR(VLOOKUP(Sales[[#This Row],[Product]],Database!$B:$F,2,0),"")</f>
        <v>MES5014</v>
      </c>
      <c r="F59" s="1" t="str">
        <f>IFERROR(VLOOKUP(Sales[[#This Row],[Product]],Database!$B:$F,3,0),"")</f>
        <v>Washing Machine</v>
      </c>
      <c r="G59" s="16" t="s">
        <v>61</v>
      </c>
      <c r="H59" s="1" t="str">
        <f>IFERROR(VLOOKUP(Sales[[#This Row],[Customer]],Database!K:M,2,0),"")</f>
        <v>Canada</v>
      </c>
      <c r="I59" s="1" t="str">
        <f>IFERROR(VLOOKUP(Sales[[#This Row],[Customer]],Database!K:M,3,0),"")</f>
        <v>North America</v>
      </c>
      <c r="J59" s="17">
        <v>62345</v>
      </c>
      <c r="K59" s="10">
        <f>IFERROR(VLOOKUP(Sales[[#This Row],[Product]],Database!$B:$F,4,0),"")</f>
        <v>12</v>
      </c>
      <c r="L59" s="10">
        <f>IFERROR(Sales[[#This Row],[Sales Qty.]]*Sales[[#This Row],[Item Cost]],"")</f>
        <v>748140</v>
      </c>
      <c r="M59" s="10">
        <f>IFERROR(VLOOKUP(Sales[[#This Row],[Product]],Database!$B:$F,5,0),"")</f>
        <v>16</v>
      </c>
      <c r="N59" s="10">
        <f>IFERROR(Sales[[#This Row],[Item Price]]*Sales[[#This Row],[Sales Qty.]],"")</f>
        <v>997520</v>
      </c>
      <c r="O59" s="10">
        <f>IFERROR(Sales[[#This Row],[Revenue]]-Sales[[#This Row],[Total Cost]],"")</f>
        <v>249380</v>
      </c>
      <c r="P59" s="14">
        <f>IFERROR(Sales[[#This Row],[Profit]]/Sales[[#This Row],[Total Cost]],"")</f>
        <v>0.33333333333333331</v>
      </c>
    </row>
    <row r="60" spans="1:16" ht="12.75" x14ac:dyDescent="0.2">
      <c r="A60" s="15">
        <v>42844</v>
      </c>
      <c r="B60" s="11">
        <f>IF(Sales[[#This Row],[Date]]="","",Sales[[#This Row],[Date]])</f>
        <v>42844</v>
      </c>
      <c r="C60" s="12">
        <f>IF(Sales[[#This Row],[Date]]="","",Sales[[#This Row],[Date]])</f>
        <v>42844</v>
      </c>
      <c r="D60" s="16" t="s">
        <v>33</v>
      </c>
      <c r="E60" s="1" t="str">
        <f>IFERROR(VLOOKUP(Sales[[#This Row],[Product]],Database!$B:$F,2,0),"")</f>
        <v>ACQ2004</v>
      </c>
      <c r="F60" s="1" t="str">
        <f>IFERROR(VLOOKUP(Sales[[#This Row],[Product]],Database!$B:$F,3,0),"")</f>
        <v>Television</v>
      </c>
      <c r="G60" s="16" t="s">
        <v>53</v>
      </c>
      <c r="H60" s="1" t="str">
        <f>IFERROR(VLOOKUP(Sales[[#This Row],[Customer]],Database!K:M,2,0),"")</f>
        <v>Brazil</v>
      </c>
      <c r="I60" s="1" t="str">
        <f>IFERROR(VLOOKUP(Sales[[#This Row],[Customer]],Database!K:M,3,0),"")</f>
        <v>South America</v>
      </c>
      <c r="J60" s="17">
        <v>73688</v>
      </c>
      <c r="K60" s="10">
        <f>IFERROR(VLOOKUP(Sales[[#This Row],[Product]],Database!$B:$F,4,0),"")</f>
        <v>9</v>
      </c>
      <c r="L60" s="10">
        <f>IFERROR(Sales[[#This Row],[Sales Qty.]]*Sales[[#This Row],[Item Cost]],"")</f>
        <v>663192</v>
      </c>
      <c r="M60" s="10">
        <f>IFERROR(VLOOKUP(Sales[[#This Row],[Product]],Database!$B:$F,5,0),"")</f>
        <v>10</v>
      </c>
      <c r="N60" s="10">
        <f>IFERROR(Sales[[#This Row],[Item Price]]*Sales[[#This Row],[Sales Qty.]],"")</f>
        <v>736880</v>
      </c>
      <c r="O60" s="10">
        <f>IFERROR(Sales[[#This Row],[Revenue]]-Sales[[#This Row],[Total Cost]],"")</f>
        <v>73688</v>
      </c>
      <c r="P60" s="14">
        <f>IFERROR(Sales[[#This Row],[Profit]]/Sales[[#This Row],[Total Cost]],"")</f>
        <v>0.1111111111111111</v>
      </c>
    </row>
    <row r="61" spans="1:16" ht="12.75" x14ac:dyDescent="0.2">
      <c r="A61" s="15">
        <v>43048</v>
      </c>
      <c r="B61" s="11">
        <f>IF(Sales[[#This Row],[Date]]="","",Sales[[#This Row],[Date]])</f>
        <v>43048</v>
      </c>
      <c r="C61" s="12">
        <f>IF(Sales[[#This Row],[Date]]="","",Sales[[#This Row],[Date]])</f>
        <v>43048</v>
      </c>
      <c r="D61" s="16" t="s">
        <v>50</v>
      </c>
      <c r="E61" s="1" t="str">
        <f>IFERROR(VLOOKUP(Sales[[#This Row],[Product]],Database!$B:$F,2,0),"")</f>
        <v>MAM454</v>
      </c>
      <c r="F61" s="1" t="str">
        <f>IFERROR(VLOOKUP(Sales[[#This Row],[Product]],Database!$B:$F,3,0),"")</f>
        <v>Refrigerator</v>
      </c>
      <c r="G61" s="16" t="s">
        <v>52</v>
      </c>
      <c r="H61" s="1" t="str">
        <f>IFERROR(VLOOKUP(Sales[[#This Row],[Customer]],Database!K:M,2,0),"")</f>
        <v>Egypt</v>
      </c>
      <c r="I61" s="1" t="str">
        <f>IFERROR(VLOOKUP(Sales[[#This Row],[Customer]],Database!K:M,3,0),"")</f>
        <v>Middle East</v>
      </c>
      <c r="J61" s="17">
        <v>56806</v>
      </c>
      <c r="K61" s="10">
        <f>IFERROR(VLOOKUP(Sales[[#This Row],[Product]],Database!$B:$F,4,0),"")</f>
        <v>15</v>
      </c>
      <c r="L61" s="10">
        <f>IFERROR(Sales[[#This Row],[Sales Qty.]]*Sales[[#This Row],[Item Cost]],"")</f>
        <v>852090</v>
      </c>
      <c r="M61" s="10">
        <f>IFERROR(VLOOKUP(Sales[[#This Row],[Product]],Database!$B:$F,5,0),"")</f>
        <v>18</v>
      </c>
      <c r="N61" s="10">
        <f>IFERROR(Sales[[#This Row],[Item Price]]*Sales[[#This Row],[Sales Qty.]],"")</f>
        <v>1022508</v>
      </c>
      <c r="O61" s="10">
        <f>IFERROR(Sales[[#This Row],[Revenue]]-Sales[[#This Row],[Total Cost]],"")</f>
        <v>170418</v>
      </c>
      <c r="P61" s="14">
        <f>IFERROR(Sales[[#This Row],[Profit]]/Sales[[#This Row],[Total Cost]],"")</f>
        <v>0.2</v>
      </c>
    </row>
    <row r="62" spans="1:16" ht="12.75" x14ac:dyDescent="0.2">
      <c r="A62" s="15">
        <v>43632</v>
      </c>
      <c r="B62" s="11">
        <f>IF(Sales[[#This Row],[Date]]="","",Sales[[#This Row],[Date]])</f>
        <v>43632</v>
      </c>
      <c r="C62" s="12">
        <f>IF(Sales[[#This Row],[Date]]="","",Sales[[#This Row],[Date]])</f>
        <v>43632</v>
      </c>
      <c r="D62" s="16" t="s">
        <v>44</v>
      </c>
      <c r="E62" s="1" t="str">
        <f>IFERROR(VLOOKUP(Sales[[#This Row],[Product]],Database!$B:$F,2,0),"")</f>
        <v>MES51214</v>
      </c>
      <c r="F62" s="1" t="str">
        <f>IFERROR(VLOOKUP(Sales[[#This Row],[Product]],Database!$B:$F,3,0),"")</f>
        <v>Washing Machine</v>
      </c>
      <c r="G62" s="16" t="s">
        <v>54</v>
      </c>
      <c r="H62" s="1" t="str">
        <f>IFERROR(VLOOKUP(Sales[[#This Row],[Customer]],Database!K:M,2,0),"")</f>
        <v>China</v>
      </c>
      <c r="I62" s="1" t="str">
        <f>IFERROR(VLOOKUP(Sales[[#This Row],[Customer]],Database!K:M,3,0),"")</f>
        <v>Asia</v>
      </c>
      <c r="J62" s="17">
        <v>70435</v>
      </c>
      <c r="K62" s="10">
        <f>IFERROR(VLOOKUP(Sales[[#This Row],[Product]],Database!$B:$F,4,0),"")</f>
        <v>13</v>
      </c>
      <c r="L62" s="10">
        <f>IFERROR(Sales[[#This Row],[Sales Qty.]]*Sales[[#This Row],[Item Cost]],"")</f>
        <v>915655</v>
      </c>
      <c r="M62" s="10">
        <f>IFERROR(VLOOKUP(Sales[[#This Row],[Product]],Database!$B:$F,5,0),"")</f>
        <v>17</v>
      </c>
      <c r="N62" s="10">
        <f>IFERROR(Sales[[#This Row],[Item Price]]*Sales[[#This Row],[Sales Qty.]],"")</f>
        <v>1197395</v>
      </c>
      <c r="O62" s="10">
        <f>IFERROR(Sales[[#This Row],[Revenue]]-Sales[[#This Row],[Total Cost]],"")</f>
        <v>281740</v>
      </c>
      <c r="P62" s="14">
        <f>IFERROR(Sales[[#This Row],[Profit]]/Sales[[#This Row],[Total Cost]],"")</f>
        <v>0.30769230769230771</v>
      </c>
    </row>
    <row r="63" spans="1:16" ht="12.75" x14ac:dyDescent="0.2">
      <c r="A63" s="15">
        <v>42379</v>
      </c>
      <c r="B63" s="11">
        <f>IF(Sales[[#This Row],[Date]]="","",Sales[[#This Row],[Date]])</f>
        <v>42379</v>
      </c>
      <c r="C63" s="12">
        <f>IF(Sales[[#This Row],[Date]]="","",Sales[[#This Row],[Date]])</f>
        <v>42379</v>
      </c>
      <c r="D63" s="16" t="s">
        <v>50</v>
      </c>
      <c r="E63" s="1" t="str">
        <f>IFERROR(VLOOKUP(Sales[[#This Row],[Product]],Database!$B:$F,2,0),"")</f>
        <v>MAM454</v>
      </c>
      <c r="F63" s="1" t="str">
        <f>IFERROR(VLOOKUP(Sales[[#This Row],[Product]],Database!$B:$F,3,0),"")</f>
        <v>Refrigerator</v>
      </c>
      <c r="G63" s="16" t="s">
        <v>69</v>
      </c>
      <c r="H63" s="1" t="str">
        <f>IFERROR(VLOOKUP(Sales[[#This Row],[Customer]],Database!K:M,2,0),"")</f>
        <v>Ghana</v>
      </c>
      <c r="I63" s="1" t="str">
        <f>IFERROR(VLOOKUP(Sales[[#This Row],[Customer]],Database!K:M,3,0),"")</f>
        <v>Africa</v>
      </c>
      <c r="J63" s="17">
        <v>68705</v>
      </c>
      <c r="K63" s="10">
        <f>IFERROR(VLOOKUP(Sales[[#This Row],[Product]],Database!$B:$F,4,0),"")</f>
        <v>15</v>
      </c>
      <c r="L63" s="10">
        <f>IFERROR(Sales[[#This Row],[Sales Qty.]]*Sales[[#This Row],[Item Cost]],"")</f>
        <v>1030575</v>
      </c>
      <c r="M63" s="10">
        <f>IFERROR(VLOOKUP(Sales[[#This Row],[Product]],Database!$B:$F,5,0),"")</f>
        <v>18</v>
      </c>
      <c r="N63" s="10">
        <f>IFERROR(Sales[[#This Row],[Item Price]]*Sales[[#This Row],[Sales Qty.]],"")</f>
        <v>1236690</v>
      </c>
      <c r="O63" s="10">
        <f>IFERROR(Sales[[#This Row],[Revenue]]-Sales[[#This Row],[Total Cost]],"")</f>
        <v>206115</v>
      </c>
      <c r="P63" s="14">
        <f>IFERROR(Sales[[#This Row],[Profit]]/Sales[[#This Row],[Total Cost]],"")</f>
        <v>0.2</v>
      </c>
    </row>
    <row r="64" spans="1:16" ht="12.75" x14ac:dyDescent="0.2">
      <c r="A64" s="15">
        <v>43381</v>
      </c>
      <c r="B64" s="11">
        <f>IF(Sales[[#This Row],[Date]]="","",Sales[[#This Row],[Date]])</f>
        <v>43381</v>
      </c>
      <c r="C64" s="12">
        <f>IF(Sales[[#This Row],[Date]]="","",Sales[[#This Row],[Date]])</f>
        <v>43381</v>
      </c>
      <c r="D64" s="16" t="s">
        <v>50</v>
      </c>
      <c r="E64" s="1" t="str">
        <f>IFERROR(VLOOKUP(Sales[[#This Row],[Product]],Database!$B:$F,2,0),"")</f>
        <v>MAM454</v>
      </c>
      <c r="F64" s="1" t="str">
        <f>IFERROR(VLOOKUP(Sales[[#This Row],[Product]],Database!$B:$F,3,0),"")</f>
        <v>Refrigerator</v>
      </c>
      <c r="G64" s="16" t="s">
        <v>52</v>
      </c>
      <c r="H64" s="1" t="str">
        <f>IFERROR(VLOOKUP(Sales[[#This Row],[Customer]],Database!K:M,2,0),"")</f>
        <v>Egypt</v>
      </c>
      <c r="I64" s="1" t="str">
        <f>IFERROR(VLOOKUP(Sales[[#This Row],[Customer]],Database!K:M,3,0),"")</f>
        <v>Middle East</v>
      </c>
      <c r="J64" s="17">
        <v>75135</v>
      </c>
      <c r="K64" s="10">
        <f>IFERROR(VLOOKUP(Sales[[#This Row],[Product]],Database!$B:$F,4,0),"")</f>
        <v>15</v>
      </c>
      <c r="L64" s="10">
        <f>IFERROR(Sales[[#This Row],[Sales Qty.]]*Sales[[#This Row],[Item Cost]],"")</f>
        <v>1127025</v>
      </c>
      <c r="M64" s="10">
        <f>IFERROR(VLOOKUP(Sales[[#This Row],[Product]],Database!$B:$F,5,0),"")</f>
        <v>18</v>
      </c>
      <c r="N64" s="10">
        <f>IFERROR(Sales[[#This Row],[Item Price]]*Sales[[#This Row],[Sales Qty.]],"")</f>
        <v>1352430</v>
      </c>
      <c r="O64" s="10">
        <f>IFERROR(Sales[[#This Row],[Revenue]]-Sales[[#This Row],[Total Cost]],"")</f>
        <v>225405</v>
      </c>
      <c r="P64" s="14">
        <f>IFERROR(Sales[[#This Row],[Profit]]/Sales[[#This Row],[Total Cost]],"")</f>
        <v>0.2</v>
      </c>
    </row>
    <row r="65" spans="1:16" ht="12.75" x14ac:dyDescent="0.2">
      <c r="A65" s="15">
        <v>42528</v>
      </c>
      <c r="B65" s="11">
        <f>IF(Sales[[#This Row],[Date]]="","",Sales[[#This Row],[Date]])</f>
        <v>42528</v>
      </c>
      <c r="C65" s="12">
        <f>IF(Sales[[#This Row],[Date]]="","",Sales[[#This Row],[Date]])</f>
        <v>42528</v>
      </c>
      <c r="D65" s="16" t="s">
        <v>50</v>
      </c>
      <c r="E65" s="1" t="str">
        <f>IFERROR(VLOOKUP(Sales[[#This Row],[Product]],Database!$B:$F,2,0),"")</f>
        <v>MAM454</v>
      </c>
      <c r="F65" s="1" t="str">
        <f>IFERROR(VLOOKUP(Sales[[#This Row],[Product]],Database!$B:$F,3,0),"")</f>
        <v>Refrigerator</v>
      </c>
      <c r="G65" s="16" t="s">
        <v>69</v>
      </c>
      <c r="H65" s="1" t="str">
        <f>IFERROR(VLOOKUP(Sales[[#This Row],[Customer]],Database!K:M,2,0),"")</f>
        <v>Ghana</v>
      </c>
      <c r="I65" s="1" t="str">
        <f>IFERROR(VLOOKUP(Sales[[#This Row],[Customer]],Database!K:M,3,0),"")</f>
        <v>Africa</v>
      </c>
      <c r="J65" s="17">
        <v>70212</v>
      </c>
      <c r="K65" s="10">
        <f>IFERROR(VLOOKUP(Sales[[#This Row],[Product]],Database!$B:$F,4,0),"")</f>
        <v>15</v>
      </c>
      <c r="L65" s="10">
        <f>IFERROR(Sales[[#This Row],[Sales Qty.]]*Sales[[#This Row],[Item Cost]],"")</f>
        <v>1053180</v>
      </c>
      <c r="M65" s="10">
        <f>IFERROR(VLOOKUP(Sales[[#This Row],[Product]],Database!$B:$F,5,0),"")</f>
        <v>18</v>
      </c>
      <c r="N65" s="10">
        <f>IFERROR(Sales[[#This Row],[Item Price]]*Sales[[#This Row],[Sales Qty.]],"")</f>
        <v>1263816</v>
      </c>
      <c r="O65" s="10">
        <f>IFERROR(Sales[[#This Row],[Revenue]]-Sales[[#This Row],[Total Cost]],"")</f>
        <v>210636</v>
      </c>
      <c r="P65" s="14">
        <f>IFERROR(Sales[[#This Row],[Profit]]/Sales[[#This Row],[Total Cost]],"")</f>
        <v>0.2</v>
      </c>
    </row>
    <row r="66" spans="1:16" ht="12.75" x14ac:dyDescent="0.2">
      <c r="A66" s="15">
        <v>43725</v>
      </c>
      <c r="B66" s="11">
        <f>IF(Sales[[#This Row],[Date]]="","",Sales[[#This Row],[Date]])</f>
        <v>43725</v>
      </c>
      <c r="C66" s="12">
        <f>IF(Sales[[#This Row],[Date]]="","",Sales[[#This Row],[Date]])</f>
        <v>43725</v>
      </c>
      <c r="D66" s="16" t="s">
        <v>37</v>
      </c>
      <c r="E66" s="1" t="str">
        <f>IFERROR(VLOOKUP(Sales[[#This Row],[Product]],Database!$B:$F,2,0),"")</f>
        <v>ACQ2010</v>
      </c>
      <c r="F66" s="1" t="str">
        <f>IFERROR(VLOOKUP(Sales[[#This Row],[Product]],Database!$B:$F,3,0),"")</f>
        <v>Television</v>
      </c>
      <c r="G66" s="16" t="s">
        <v>62</v>
      </c>
      <c r="H66" s="1" t="str">
        <f>IFERROR(VLOOKUP(Sales[[#This Row],[Customer]],Database!K:M,2,0),"")</f>
        <v>Cameroon</v>
      </c>
      <c r="I66" s="1" t="str">
        <f>IFERROR(VLOOKUP(Sales[[#This Row],[Customer]],Database!K:M,3,0),"")</f>
        <v>Africa</v>
      </c>
      <c r="J66" s="17">
        <v>74699</v>
      </c>
      <c r="K66" s="10">
        <f>IFERROR(VLOOKUP(Sales[[#This Row],[Product]],Database!$B:$F,4,0),"")</f>
        <v>14</v>
      </c>
      <c r="L66" s="10">
        <f>IFERROR(Sales[[#This Row],[Sales Qty.]]*Sales[[#This Row],[Item Cost]],"")</f>
        <v>1045786</v>
      </c>
      <c r="M66" s="10">
        <f>IFERROR(VLOOKUP(Sales[[#This Row],[Product]],Database!$B:$F,5,0),"")</f>
        <v>16</v>
      </c>
      <c r="N66" s="10">
        <f>IFERROR(Sales[[#This Row],[Item Price]]*Sales[[#This Row],[Sales Qty.]],"")</f>
        <v>1195184</v>
      </c>
      <c r="O66" s="10">
        <f>IFERROR(Sales[[#This Row],[Revenue]]-Sales[[#This Row],[Total Cost]],"")</f>
        <v>149398</v>
      </c>
      <c r="P66" s="14">
        <f>IFERROR(Sales[[#This Row],[Profit]]/Sales[[#This Row],[Total Cost]],"")</f>
        <v>0.14285714285714285</v>
      </c>
    </row>
    <row r="67" spans="1:16" ht="12.75" x14ac:dyDescent="0.2">
      <c r="A67" s="15">
        <v>42395</v>
      </c>
      <c r="B67" s="11">
        <f>IF(Sales[[#This Row],[Date]]="","",Sales[[#This Row],[Date]])</f>
        <v>42395</v>
      </c>
      <c r="C67" s="12">
        <f>IF(Sales[[#This Row],[Date]]="","",Sales[[#This Row],[Date]])</f>
        <v>42395</v>
      </c>
      <c r="D67" s="16" t="s">
        <v>37</v>
      </c>
      <c r="E67" s="1" t="str">
        <f>IFERROR(VLOOKUP(Sales[[#This Row],[Product]],Database!$B:$F,2,0),"")</f>
        <v>ACQ2010</v>
      </c>
      <c r="F67" s="1" t="str">
        <f>IFERROR(VLOOKUP(Sales[[#This Row],[Product]],Database!$B:$F,3,0),"")</f>
        <v>Television</v>
      </c>
      <c r="G67" s="16" t="s">
        <v>55</v>
      </c>
      <c r="H67" s="1" t="str">
        <f>IFERROR(VLOOKUP(Sales[[#This Row],[Customer]],Database!K:M,2,0),"")</f>
        <v>Finland</v>
      </c>
      <c r="I67" s="1" t="str">
        <f>IFERROR(VLOOKUP(Sales[[#This Row],[Customer]],Database!K:M,3,0),"")</f>
        <v>Europe</v>
      </c>
      <c r="J67" s="17">
        <v>56881</v>
      </c>
      <c r="K67" s="10">
        <f>IFERROR(VLOOKUP(Sales[[#This Row],[Product]],Database!$B:$F,4,0),"")</f>
        <v>14</v>
      </c>
      <c r="L67" s="10">
        <f>IFERROR(Sales[[#This Row],[Sales Qty.]]*Sales[[#This Row],[Item Cost]],"")</f>
        <v>796334</v>
      </c>
      <c r="M67" s="10">
        <f>IFERROR(VLOOKUP(Sales[[#This Row],[Product]],Database!$B:$F,5,0),"")</f>
        <v>16</v>
      </c>
      <c r="N67" s="10">
        <f>IFERROR(Sales[[#This Row],[Item Price]]*Sales[[#This Row],[Sales Qty.]],"")</f>
        <v>910096</v>
      </c>
      <c r="O67" s="10">
        <f>IFERROR(Sales[[#This Row],[Revenue]]-Sales[[#This Row],[Total Cost]],"")</f>
        <v>113762</v>
      </c>
      <c r="P67" s="14">
        <f>IFERROR(Sales[[#This Row],[Profit]]/Sales[[#This Row],[Total Cost]],"")</f>
        <v>0.14285714285714285</v>
      </c>
    </row>
    <row r="68" spans="1:16" ht="12.75" x14ac:dyDescent="0.2">
      <c r="A68" s="15">
        <v>43615</v>
      </c>
      <c r="B68" s="11">
        <f>IF(Sales[[#This Row],[Date]]="","",Sales[[#This Row],[Date]])</f>
        <v>43615</v>
      </c>
      <c r="C68" s="12">
        <f>IF(Sales[[#This Row],[Date]]="","",Sales[[#This Row],[Date]])</f>
        <v>43615</v>
      </c>
      <c r="D68" s="16" t="s">
        <v>50</v>
      </c>
      <c r="E68" s="1" t="str">
        <f>IFERROR(VLOOKUP(Sales[[#This Row],[Product]],Database!$B:$F,2,0),"")</f>
        <v>MAM454</v>
      </c>
      <c r="F68" s="1" t="str">
        <f>IFERROR(VLOOKUP(Sales[[#This Row],[Product]],Database!$B:$F,3,0),"")</f>
        <v>Refrigerator</v>
      </c>
      <c r="G68" s="16" t="s">
        <v>52</v>
      </c>
      <c r="H68" s="1" t="str">
        <f>IFERROR(VLOOKUP(Sales[[#This Row],[Customer]],Database!K:M,2,0),"")</f>
        <v>Egypt</v>
      </c>
      <c r="I68" s="1" t="str">
        <f>IFERROR(VLOOKUP(Sales[[#This Row],[Customer]],Database!K:M,3,0),"")</f>
        <v>Middle East</v>
      </c>
      <c r="J68" s="17">
        <v>77205</v>
      </c>
      <c r="K68" s="10">
        <f>IFERROR(VLOOKUP(Sales[[#This Row],[Product]],Database!$B:$F,4,0),"")</f>
        <v>15</v>
      </c>
      <c r="L68" s="10">
        <f>IFERROR(Sales[[#This Row],[Sales Qty.]]*Sales[[#This Row],[Item Cost]],"")</f>
        <v>1158075</v>
      </c>
      <c r="M68" s="10">
        <f>IFERROR(VLOOKUP(Sales[[#This Row],[Product]],Database!$B:$F,5,0),"")</f>
        <v>18</v>
      </c>
      <c r="N68" s="10">
        <f>IFERROR(Sales[[#This Row],[Item Price]]*Sales[[#This Row],[Sales Qty.]],"")</f>
        <v>1389690</v>
      </c>
      <c r="O68" s="10">
        <f>IFERROR(Sales[[#This Row],[Revenue]]-Sales[[#This Row],[Total Cost]],"")</f>
        <v>231615</v>
      </c>
      <c r="P68" s="14">
        <f>IFERROR(Sales[[#This Row],[Profit]]/Sales[[#This Row],[Total Cost]],"")</f>
        <v>0.2</v>
      </c>
    </row>
    <row r="69" spans="1:16" ht="12.75" x14ac:dyDescent="0.2">
      <c r="A69" s="15">
        <v>43500</v>
      </c>
      <c r="B69" s="11">
        <f>IF(Sales[[#This Row],[Date]]="","",Sales[[#This Row],[Date]])</f>
        <v>43500</v>
      </c>
      <c r="C69" s="12">
        <f>IF(Sales[[#This Row],[Date]]="","",Sales[[#This Row],[Date]])</f>
        <v>43500</v>
      </c>
      <c r="D69" s="16" t="s">
        <v>47</v>
      </c>
      <c r="E69" s="1" t="str">
        <f>IFERROR(VLOOKUP(Sales[[#This Row],[Product]],Database!$B:$F,2,0),"")</f>
        <v>MAM1543</v>
      </c>
      <c r="F69" s="1" t="str">
        <f>IFERROR(VLOOKUP(Sales[[#This Row],[Product]],Database!$B:$F,3,0),"")</f>
        <v>Refrigerator</v>
      </c>
      <c r="G69" s="16" t="s">
        <v>30</v>
      </c>
      <c r="H69" s="1" t="str">
        <f>IFERROR(VLOOKUP(Sales[[#This Row],[Customer]],Database!K:M,2,0),"")</f>
        <v>France</v>
      </c>
      <c r="I69" s="1" t="str">
        <f>IFERROR(VLOOKUP(Sales[[#This Row],[Customer]],Database!K:M,3,0),"")</f>
        <v>Europe</v>
      </c>
      <c r="J69" s="17">
        <v>53930</v>
      </c>
      <c r="K69" s="10">
        <f>IFERROR(VLOOKUP(Sales[[#This Row],[Product]],Database!$B:$F,4,0),"")</f>
        <v>16</v>
      </c>
      <c r="L69" s="10">
        <f>IFERROR(Sales[[#This Row],[Sales Qty.]]*Sales[[#This Row],[Item Cost]],"")</f>
        <v>862880</v>
      </c>
      <c r="M69" s="10">
        <f>IFERROR(VLOOKUP(Sales[[#This Row],[Product]],Database!$B:$F,5,0),"")</f>
        <v>18</v>
      </c>
      <c r="N69" s="10">
        <f>IFERROR(Sales[[#This Row],[Item Price]]*Sales[[#This Row],[Sales Qty.]],"")</f>
        <v>970740</v>
      </c>
      <c r="O69" s="10">
        <f>IFERROR(Sales[[#This Row],[Revenue]]-Sales[[#This Row],[Total Cost]],"")</f>
        <v>107860</v>
      </c>
      <c r="P69" s="14">
        <f>IFERROR(Sales[[#This Row],[Profit]]/Sales[[#This Row],[Total Cost]],"")</f>
        <v>0.125</v>
      </c>
    </row>
    <row r="70" spans="1:16" ht="12.75" x14ac:dyDescent="0.2">
      <c r="A70" s="15">
        <v>43720</v>
      </c>
      <c r="B70" s="11">
        <f>IF(Sales[[#This Row],[Date]]="","",Sales[[#This Row],[Date]])</f>
        <v>43720</v>
      </c>
      <c r="C70" s="12">
        <f>IF(Sales[[#This Row],[Date]]="","",Sales[[#This Row],[Date]])</f>
        <v>43720</v>
      </c>
      <c r="D70" s="16" t="s">
        <v>47</v>
      </c>
      <c r="E70" s="1" t="str">
        <f>IFERROR(VLOOKUP(Sales[[#This Row],[Product]],Database!$B:$F,2,0),"")</f>
        <v>MAM1543</v>
      </c>
      <c r="F70" s="1" t="str">
        <f>IFERROR(VLOOKUP(Sales[[#This Row],[Product]],Database!$B:$F,3,0),"")</f>
        <v>Refrigerator</v>
      </c>
      <c r="G70" s="16" t="s">
        <v>52</v>
      </c>
      <c r="H70" s="1" t="str">
        <f>IFERROR(VLOOKUP(Sales[[#This Row],[Customer]],Database!K:M,2,0),"")</f>
        <v>Egypt</v>
      </c>
      <c r="I70" s="1" t="str">
        <f>IFERROR(VLOOKUP(Sales[[#This Row],[Customer]],Database!K:M,3,0),"")</f>
        <v>Middle East</v>
      </c>
      <c r="J70" s="17">
        <v>74350</v>
      </c>
      <c r="K70" s="10">
        <f>IFERROR(VLOOKUP(Sales[[#This Row],[Product]],Database!$B:$F,4,0),"")</f>
        <v>16</v>
      </c>
      <c r="L70" s="10">
        <f>IFERROR(Sales[[#This Row],[Sales Qty.]]*Sales[[#This Row],[Item Cost]],"")</f>
        <v>1189600</v>
      </c>
      <c r="M70" s="10">
        <f>IFERROR(VLOOKUP(Sales[[#This Row],[Product]],Database!$B:$F,5,0),"")</f>
        <v>18</v>
      </c>
      <c r="N70" s="10">
        <f>IFERROR(Sales[[#This Row],[Item Price]]*Sales[[#This Row],[Sales Qty.]],"")</f>
        <v>1338300</v>
      </c>
      <c r="O70" s="10">
        <f>IFERROR(Sales[[#This Row],[Revenue]]-Sales[[#This Row],[Total Cost]],"")</f>
        <v>148700</v>
      </c>
      <c r="P70" s="14">
        <f>IFERROR(Sales[[#This Row],[Profit]]/Sales[[#This Row],[Total Cost]],"")</f>
        <v>0.125</v>
      </c>
    </row>
    <row r="71" spans="1:16" ht="12.75" x14ac:dyDescent="0.2">
      <c r="A71" s="15">
        <v>43822</v>
      </c>
      <c r="B71" s="11">
        <f>IF(Sales[[#This Row],[Date]]="","",Sales[[#This Row],[Date]])</f>
        <v>43822</v>
      </c>
      <c r="C71" s="12">
        <f>IF(Sales[[#This Row],[Date]]="","",Sales[[#This Row],[Date]])</f>
        <v>43822</v>
      </c>
      <c r="D71" s="16" t="s">
        <v>50</v>
      </c>
      <c r="E71" s="1" t="str">
        <f>IFERROR(VLOOKUP(Sales[[#This Row],[Product]],Database!$B:$F,2,0),"")</f>
        <v>MAM454</v>
      </c>
      <c r="F71" s="1" t="str">
        <f>IFERROR(VLOOKUP(Sales[[#This Row],[Product]],Database!$B:$F,3,0),"")</f>
        <v>Refrigerator</v>
      </c>
      <c r="G71" s="16" t="s">
        <v>54</v>
      </c>
      <c r="H71" s="1" t="str">
        <f>IFERROR(VLOOKUP(Sales[[#This Row],[Customer]],Database!K:M,2,0),"")</f>
        <v>China</v>
      </c>
      <c r="I71" s="1" t="str">
        <f>IFERROR(VLOOKUP(Sales[[#This Row],[Customer]],Database!K:M,3,0),"")</f>
        <v>Asia</v>
      </c>
      <c r="J71" s="17">
        <v>61728</v>
      </c>
      <c r="K71" s="10">
        <f>IFERROR(VLOOKUP(Sales[[#This Row],[Product]],Database!$B:$F,4,0),"")</f>
        <v>15</v>
      </c>
      <c r="L71" s="10">
        <f>IFERROR(Sales[[#This Row],[Sales Qty.]]*Sales[[#This Row],[Item Cost]],"")</f>
        <v>925920</v>
      </c>
      <c r="M71" s="10">
        <f>IFERROR(VLOOKUP(Sales[[#This Row],[Product]],Database!$B:$F,5,0),"")</f>
        <v>18</v>
      </c>
      <c r="N71" s="10">
        <f>IFERROR(Sales[[#This Row],[Item Price]]*Sales[[#This Row],[Sales Qty.]],"")</f>
        <v>1111104</v>
      </c>
      <c r="O71" s="10">
        <f>IFERROR(Sales[[#This Row],[Revenue]]-Sales[[#This Row],[Total Cost]],"")</f>
        <v>185184</v>
      </c>
      <c r="P71" s="14">
        <f>IFERROR(Sales[[#This Row],[Profit]]/Sales[[#This Row],[Total Cost]],"")</f>
        <v>0.2</v>
      </c>
    </row>
    <row r="72" spans="1:16" ht="12.75" x14ac:dyDescent="0.2">
      <c r="A72" s="15">
        <v>43610</v>
      </c>
      <c r="B72" s="11">
        <f>IF(Sales[[#This Row],[Date]]="","",Sales[[#This Row],[Date]])</f>
        <v>43610</v>
      </c>
      <c r="C72" s="12">
        <f>IF(Sales[[#This Row],[Date]]="","",Sales[[#This Row],[Date]])</f>
        <v>43610</v>
      </c>
      <c r="D72" s="16" t="s">
        <v>50</v>
      </c>
      <c r="E72" s="1" t="str">
        <f>IFERROR(VLOOKUP(Sales[[#This Row],[Product]],Database!$B:$F,2,0),"")</f>
        <v>MAM454</v>
      </c>
      <c r="F72" s="1" t="str">
        <f>IFERROR(VLOOKUP(Sales[[#This Row],[Product]],Database!$B:$F,3,0),"")</f>
        <v>Refrigerator</v>
      </c>
      <c r="G72" s="16" t="s">
        <v>61</v>
      </c>
      <c r="H72" s="1" t="str">
        <f>IFERROR(VLOOKUP(Sales[[#This Row],[Customer]],Database!K:M,2,0),"")</f>
        <v>Canada</v>
      </c>
      <c r="I72" s="1" t="str">
        <f>IFERROR(VLOOKUP(Sales[[#This Row],[Customer]],Database!K:M,3,0),"")</f>
        <v>North America</v>
      </c>
      <c r="J72" s="17">
        <v>50152</v>
      </c>
      <c r="K72" s="10">
        <f>IFERROR(VLOOKUP(Sales[[#This Row],[Product]],Database!$B:$F,4,0),"")</f>
        <v>15</v>
      </c>
      <c r="L72" s="10">
        <f>IFERROR(Sales[[#This Row],[Sales Qty.]]*Sales[[#This Row],[Item Cost]],"")</f>
        <v>752280</v>
      </c>
      <c r="M72" s="10">
        <f>IFERROR(VLOOKUP(Sales[[#This Row],[Product]],Database!$B:$F,5,0),"")</f>
        <v>18</v>
      </c>
      <c r="N72" s="10">
        <f>IFERROR(Sales[[#This Row],[Item Price]]*Sales[[#This Row],[Sales Qty.]],"")</f>
        <v>902736</v>
      </c>
      <c r="O72" s="10">
        <f>IFERROR(Sales[[#This Row],[Revenue]]-Sales[[#This Row],[Total Cost]],"")</f>
        <v>150456</v>
      </c>
      <c r="P72" s="14">
        <f>IFERROR(Sales[[#This Row],[Profit]]/Sales[[#This Row],[Total Cost]],"")</f>
        <v>0.2</v>
      </c>
    </row>
    <row r="73" spans="1:16" ht="12.75" x14ac:dyDescent="0.2">
      <c r="A73" s="15">
        <v>43211</v>
      </c>
      <c r="B73" s="11">
        <f>IF(Sales[[#This Row],[Date]]="","",Sales[[#This Row],[Date]])</f>
        <v>43211</v>
      </c>
      <c r="C73" s="12">
        <f>IF(Sales[[#This Row],[Date]]="","",Sales[[#This Row],[Date]])</f>
        <v>43211</v>
      </c>
      <c r="D73" s="16" t="s">
        <v>37</v>
      </c>
      <c r="E73" s="1" t="str">
        <f>IFERROR(VLOOKUP(Sales[[#This Row],[Product]],Database!$B:$F,2,0),"")</f>
        <v>ACQ2010</v>
      </c>
      <c r="F73" s="1" t="str">
        <f>IFERROR(VLOOKUP(Sales[[#This Row],[Product]],Database!$B:$F,3,0),"")</f>
        <v>Television</v>
      </c>
      <c r="G73" s="16" t="s">
        <v>54</v>
      </c>
      <c r="H73" s="1" t="str">
        <f>IFERROR(VLOOKUP(Sales[[#This Row],[Customer]],Database!K:M,2,0),"")</f>
        <v>China</v>
      </c>
      <c r="I73" s="1" t="str">
        <f>IFERROR(VLOOKUP(Sales[[#This Row],[Customer]],Database!K:M,3,0),"")</f>
        <v>Asia</v>
      </c>
      <c r="J73" s="17">
        <v>73315</v>
      </c>
      <c r="K73" s="10">
        <f>IFERROR(VLOOKUP(Sales[[#This Row],[Product]],Database!$B:$F,4,0),"")</f>
        <v>14</v>
      </c>
      <c r="L73" s="10">
        <f>IFERROR(Sales[[#This Row],[Sales Qty.]]*Sales[[#This Row],[Item Cost]],"")</f>
        <v>1026410</v>
      </c>
      <c r="M73" s="10">
        <f>IFERROR(VLOOKUP(Sales[[#This Row],[Product]],Database!$B:$F,5,0),"")</f>
        <v>16</v>
      </c>
      <c r="N73" s="10">
        <f>IFERROR(Sales[[#This Row],[Item Price]]*Sales[[#This Row],[Sales Qty.]],"")</f>
        <v>1173040</v>
      </c>
      <c r="O73" s="10">
        <f>IFERROR(Sales[[#This Row],[Revenue]]-Sales[[#This Row],[Total Cost]],"")</f>
        <v>146630</v>
      </c>
      <c r="P73" s="14">
        <f>IFERROR(Sales[[#This Row],[Profit]]/Sales[[#This Row],[Total Cost]],"")</f>
        <v>0.14285714285714285</v>
      </c>
    </row>
    <row r="74" spans="1:16" ht="12.75" x14ac:dyDescent="0.2">
      <c r="A74" s="15">
        <v>42407</v>
      </c>
      <c r="B74" s="11">
        <f>IF(Sales[[#This Row],[Date]]="","",Sales[[#This Row],[Date]])</f>
        <v>42407</v>
      </c>
      <c r="C74" s="12">
        <f>IF(Sales[[#This Row],[Date]]="","",Sales[[#This Row],[Date]])</f>
        <v>42407</v>
      </c>
      <c r="D74" s="16" t="s">
        <v>47</v>
      </c>
      <c r="E74" s="1" t="str">
        <f>IFERROR(VLOOKUP(Sales[[#This Row],[Product]],Database!$B:$F,2,0),"")</f>
        <v>MAM1543</v>
      </c>
      <c r="F74" s="1" t="str">
        <f>IFERROR(VLOOKUP(Sales[[#This Row],[Product]],Database!$B:$F,3,0),"")</f>
        <v>Refrigerator</v>
      </c>
      <c r="G74" s="16" t="s">
        <v>52</v>
      </c>
      <c r="H74" s="1" t="str">
        <f>IFERROR(VLOOKUP(Sales[[#This Row],[Customer]],Database!K:M,2,0),"")</f>
        <v>Egypt</v>
      </c>
      <c r="I74" s="1" t="str">
        <f>IFERROR(VLOOKUP(Sales[[#This Row],[Customer]],Database!K:M,3,0),"")</f>
        <v>Middle East</v>
      </c>
      <c r="J74" s="17">
        <v>59911</v>
      </c>
      <c r="K74" s="10">
        <f>IFERROR(VLOOKUP(Sales[[#This Row],[Product]],Database!$B:$F,4,0),"")</f>
        <v>16</v>
      </c>
      <c r="L74" s="10">
        <f>IFERROR(Sales[[#This Row],[Sales Qty.]]*Sales[[#This Row],[Item Cost]],"")</f>
        <v>958576</v>
      </c>
      <c r="M74" s="10">
        <f>IFERROR(VLOOKUP(Sales[[#This Row],[Product]],Database!$B:$F,5,0),"")</f>
        <v>18</v>
      </c>
      <c r="N74" s="10">
        <f>IFERROR(Sales[[#This Row],[Item Price]]*Sales[[#This Row],[Sales Qty.]],"")</f>
        <v>1078398</v>
      </c>
      <c r="O74" s="10">
        <f>IFERROR(Sales[[#This Row],[Revenue]]-Sales[[#This Row],[Total Cost]],"")</f>
        <v>119822</v>
      </c>
      <c r="P74" s="14">
        <f>IFERROR(Sales[[#This Row],[Profit]]/Sales[[#This Row],[Total Cost]],"")</f>
        <v>0.125</v>
      </c>
    </row>
    <row r="75" spans="1:16" ht="12.75" x14ac:dyDescent="0.2">
      <c r="A75" s="15">
        <v>43652</v>
      </c>
      <c r="B75" s="11">
        <f>IF(Sales[[#This Row],[Date]]="","",Sales[[#This Row],[Date]])</f>
        <v>43652</v>
      </c>
      <c r="C75" s="12">
        <f>IF(Sales[[#This Row],[Date]]="","",Sales[[#This Row],[Date]])</f>
        <v>43652</v>
      </c>
      <c r="D75" s="16" t="s">
        <v>33</v>
      </c>
      <c r="E75" s="1" t="str">
        <f>IFERROR(VLOOKUP(Sales[[#This Row],[Product]],Database!$B:$F,2,0),"")</f>
        <v>ACQ2004</v>
      </c>
      <c r="F75" s="1" t="str">
        <f>IFERROR(VLOOKUP(Sales[[#This Row],[Product]],Database!$B:$F,3,0),"")</f>
        <v>Television</v>
      </c>
      <c r="G75" s="16" t="s">
        <v>62</v>
      </c>
      <c r="H75" s="1" t="str">
        <f>IFERROR(VLOOKUP(Sales[[#This Row],[Customer]],Database!K:M,2,0),"")</f>
        <v>Cameroon</v>
      </c>
      <c r="I75" s="1" t="str">
        <f>IFERROR(VLOOKUP(Sales[[#This Row],[Customer]],Database!K:M,3,0),"")</f>
        <v>Africa</v>
      </c>
      <c r="J75" s="17">
        <v>65587</v>
      </c>
      <c r="K75" s="10">
        <f>IFERROR(VLOOKUP(Sales[[#This Row],[Product]],Database!$B:$F,4,0),"")</f>
        <v>9</v>
      </c>
      <c r="L75" s="10">
        <f>IFERROR(Sales[[#This Row],[Sales Qty.]]*Sales[[#This Row],[Item Cost]],"")</f>
        <v>590283</v>
      </c>
      <c r="M75" s="10">
        <f>IFERROR(VLOOKUP(Sales[[#This Row],[Product]],Database!$B:$F,5,0),"")</f>
        <v>10</v>
      </c>
      <c r="N75" s="10">
        <f>IFERROR(Sales[[#This Row],[Item Price]]*Sales[[#This Row],[Sales Qty.]],"")</f>
        <v>655870</v>
      </c>
      <c r="O75" s="10">
        <f>IFERROR(Sales[[#This Row],[Revenue]]-Sales[[#This Row],[Total Cost]],"")</f>
        <v>65587</v>
      </c>
      <c r="P75" s="14">
        <f>IFERROR(Sales[[#This Row],[Profit]]/Sales[[#This Row],[Total Cost]],"")</f>
        <v>0.1111111111111111</v>
      </c>
    </row>
    <row r="76" spans="1:16" ht="12.75" x14ac:dyDescent="0.2">
      <c r="A76" s="15">
        <v>43908</v>
      </c>
      <c r="B76" s="11">
        <f>IF(Sales[[#This Row],[Date]]="","",Sales[[#This Row],[Date]])</f>
        <v>43908</v>
      </c>
      <c r="C76" s="12">
        <f>IF(Sales[[#This Row],[Date]]="","",Sales[[#This Row],[Date]])</f>
        <v>43908</v>
      </c>
      <c r="D76" s="16" t="s">
        <v>47</v>
      </c>
      <c r="E76" s="1" t="str">
        <f>IFERROR(VLOOKUP(Sales[[#This Row],[Product]],Database!$B:$F,2,0),"")</f>
        <v>MAM1543</v>
      </c>
      <c r="F76" s="1" t="str">
        <f>IFERROR(VLOOKUP(Sales[[#This Row],[Product]],Database!$B:$F,3,0),"")</f>
        <v>Refrigerator</v>
      </c>
      <c r="G76" s="16" t="s">
        <v>55</v>
      </c>
      <c r="H76" s="1" t="str">
        <f>IFERROR(VLOOKUP(Sales[[#This Row],[Customer]],Database!K:M,2,0),"")</f>
        <v>Finland</v>
      </c>
      <c r="I76" s="1" t="str">
        <f>IFERROR(VLOOKUP(Sales[[#This Row],[Customer]],Database!K:M,3,0),"")</f>
        <v>Europe</v>
      </c>
      <c r="J76" s="17">
        <v>60771</v>
      </c>
      <c r="K76" s="10">
        <f>IFERROR(VLOOKUP(Sales[[#This Row],[Product]],Database!$B:$F,4,0),"")</f>
        <v>16</v>
      </c>
      <c r="L76" s="10">
        <f>IFERROR(Sales[[#This Row],[Sales Qty.]]*Sales[[#This Row],[Item Cost]],"")</f>
        <v>972336</v>
      </c>
      <c r="M76" s="10">
        <f>IFERROR(VLOOKUP(Sales[[#This Row],[Product]],Database!$B:$F,5,0),"")</f>
        <v>18</v>
      </c>
      <c r="N76" s="10">
        <f>IFERROR(Sales[[#This Row],[Item Price]]*Sales[[#This Row],[Sales Qty.]],"")</f>
        <v>1093878</v>
      </c>
      <c r="O76" s="10">
        <f>IFERROR(Sales[[#This Row],[Revenue]]-Sales[[#This Row],[Total Cost]],"")</f>
        <v>121542</v>
      </c>
      <c r="P76" s="14">
        <f>IFERROR(Sales[[#This Row],[Profit]]/Sales[[#This Row],[Total Cost]],"")</f>
        <v>0.125</v>
      </c>
    </row>
    <row r="77" spans="1:16" ht="12.75" x14ac:dyDescent="0.2">
      <c r="A77" s="15">
        <v>42639</v>
      </c>
      <c r="B77" s="11">
        <f>IF(Sales[[#This Row],[Date]]="","",Sales[[#This Row],[Date]])</f>
        <v>42639</v>
      </c>
      <c r="C77" s="12">
        <f>IF(Sales[[#This Row],[Date]]="","",Sales[[#This Row],[Date]])</f>
        <v>42639</v>
      </c>
      <c r="D77" s="16" t="s">
        <v>47</v>
      </c>
      <c r="E77" s="1" t="str">
        <f>IFERROR(VLOOKUP(Sales[[#This Row],[Product]],Database!$B:$F,2,0),"")</f>
        <v>MAM1543</v>
      </c>
      <c r="F77" s="1" t="str">
        <f>IFERROR(VLOOKUP(Sales[[#This Row],[Product]],Database!$B:$F,3,0),"")</f>
        <v>Refrigerator</v>
      </c>
      <c r="G77" s="16" t="s">
        <v>63</v>
      </c>
      <c r="H77" s="1" t="str">
        <f>IFERROR(VLOOKUP(Sales[[#This Row],[Customer]],Database!K:M,2,0),"")</f>
        <v>England</v>
      </c>
      <c r="I77" s="1" t="str">
        <f>IFERROR(VLOOKUP(Sales[[#This Row],[Customer]],Database!K:M,3,0),"")</f>
        <v>Europe</v>
      </c>
      <c r="J77" s="17">
        <v>52051</v>
      </c>
      <c r="K77" s="10">
        <f>IFERROR(VLOOKUP(Sales[[#This Row],[Product]],Database!$B:$F,4,0),"")</f>
        <v>16</v>
      </c>
      <c r="L77" s="10">
        <f>IFERROR(Sales[[#This Row],[Sales Qty.]]*Sales[[#This Row],[Item Cost]],"")</f>
        <v>832816</v>
      </c>
      <c r="M77" s="10">
        <f>IFERROR(VLOOKUP(Sales[[#This Row],[Product]],Database!$B:$F,5,0),"")</f>
        <v>18</v>
      </c>
      <c r="N77" s="10">
        <f>IFERROR(Sales[[#This Row],[Item Price]]*Sales[[#This Row],[Sales Qty.]],"")</f>
        <v>936918</v>
      </c>
      <c r="O77" s="10">
        <f>IFERROR(Sales[[#This Row],[Revenue]]-Sales[[#This Row],[Total Cost]],"")</f>
        <v>104102</v>
      </c>
      <c r="P77" s="14">
        <f>IFERROR(Sales[[#This Row],[Profit]]/Sales[[#This Row],[Total Cost]],"")</f>
        <v>0.125</v>
      </c>
    </row>
    <row r="78" spans="1:16" ht="12.75" x14ac:dyDescent="0.2">
      <c r="A78" s="15">
        <v>43254</v>
      </c>
      <c r="B78" s="11">
        <f>IF(Sales[[#This Row],[Date]]="","",Sales[[#This Row],[Date]])</f>
        <v>43254</v>
      </c>
      <c r="C78" s="12">
        <f>IF(Sales[[#This Row],[Date]]="","",Sales[[#This Row],[Date]])</f>
        <v>43254</v>
      </c>
      <c r="D78" s="16" t="s">
        <v>34</v>
      </c>
      <c r="E78" s="1" t="str">
        <f>IFERROR(VLOOKUP(Sales[[#This Row],[Product]],Database!$B:$F,2,0),"")</f>
        <v>ACQ2005</v>
      </c>
      <c r="F78" s="1" t="str">
        <f>IFERROR(VLOOKUP(Sales[[#This Row],[Product]],Database!$B:$F,3,0),"")</f>
        <v>Television</v>
      </c>
      <c r="G78" s="16" t="s">
        <v>55</v>
      </c>
      <c r="H78" s="1" t="str">
        <f>IFERROR(VLOOKUP(Sales[[#This Row],[Customer]],Database!K:M,2,0),"")</f>
        <v>Finland</v>
      </c>
      <c r="I78" s="1" t="str">
        <f>IFERROR(VLOOKUP(Sales[[#This Row],[Customer]],Database!K:M,3,0),"")</f>
        <v>Europe</v>
      </c>
      <c r="J78" s="17">
        <v>71692</v>
      </c>
      <c r="K78" s="10">
        <f>IFERROR(VLOOKUP(Sales[[#This Row],[Product]],Database!$B:$F,4,0),"")</f>
        <v>10</v>
      </c>
      <c r="L78" s="10">
        <f>IFERROR(Sales[[#This Row],[Sales Qty.]]*Sales[[#This Row],[Item Cost]],"")</f>
        <v>716920</v>
      </c>
      <c r="M78" s="10">
        <f>IFERROR(VLOOKUP(Sales[[#This Row],[Product]],Database!$B:$F,5,0),"")</f>
        <v>12</v>
      </c>
      <c r="N78" s="10">
        <f>IFERROR(Sales[[#This Row],[Item Price]]*Sales[[#This Row],[Sales Qty.]],"")</f>
        <v>860304</v>
      </c>
      <c r="O78" s="10">
        <f>IFERROR(Sales[[#This Row],[Revenue]]-Sales[[#This Row],[Total Cost]],"")</f>
        <v>143384</v>
      </c>
      <c r="P78" s="14">
        <f>IFERROR(Sales[[#This Row],[Profit]]/Sales[[#This Row],[Total Cost]],"")</f>
        <v>0.2</v>
      </c>
    </row>
    <row r="79" spans="1:16" ht="12.75" x14ac:dyDescent="0.2">
      <c r="A79" s="15">
        <v>43147</v>
      </c>
      <c r="B79" s="11">
        <f>IF(Sales[[#This Row],[Date]]="","",Sales[[#This Row],[Date]])</f>
        <v>43147</v>
      </c>
      <c r="C79" s="12">
        <f>IF(Sales[[#This Row],[Date]]="","",Sales[[#This Row],[Date]])</f>
        <v>43147</v>
      </c>
      <c r="D79" s="16" t="s">
        <v>35</v>
      </c>
      <c r="E79" s="1" t="str">
        <f>IFERROR(VLOOKUP(Sales[[#This Row],[Product]],Database!$B:$F,2,0),"")</f>
        <v>ACQ2009</v>
      </c>
      <c r="F79" s="1" t="str">
        <f>IFERROR(VLOOKUP(Sales[[#This Row],[Product]],Database!$B:$F,3,0),"")</f>
        <v>Television</v>
      </c>
      <c r="G79" s="16" t="s">
        <v>61</v>
      </c>
      <c r="H79" s="1" t="str">
        <f>IFERROR(VLOOKUP(Sales[[#This Row],[Customer]],Database!K:M,2,0),"")</f>
        <v>Canada</v>
      </c>
      <c r="I79" s="1" t="str">
        <f>IFERROR(VLOOKUP(Sales[[#This Row],[Customer]],Database!K:M,3,0),"")</f>
        <v>North America</v>
      </c>
      <c r="J79" s="17">
        <v>78719</v>
      </c>
      <c r="K79" s="10">
        <f>IFERROR(VLOOKUP(Sales[[#This Row],[Product]],Database!$B:$F,4,0),"")</f>
        <v>12</v>
      </c>
      <c r="L79" s="10">
        <f>IFERROR(Sales[[#This Row],[Sales Qty.]]*Sales[[#This Row],[Item Cost]],"")</f>
        <v>944628</v>
      </c>
      <c r="M79" s="10">
        <f>IFERROR(VLOOKUP(Sales[[#This Row],[Product]],Database!$B:$F,5,0),"")</f>
        <v>15</v>
      </c>
      <c r="N79" s="10">
        <f>IFERROR(Sales[[#This Row],[Item Price]]*Sales[[#This Row],[Sales Qty.]],"")</f>
        <v>1180785</v>
      </c>
      <c r="O79" s="10">
        <f>IFERROR(Sales[[#This Row],[Revenue]]-Sales[[#This Row],[Total Cost]],"")</f>
        <v>236157</v>
      </c>
      <c r="P79" s="14">
        <f>IFERROR(Sales[[#This Row],[Profit]]/Sales[[#This Row],[Total Cost]],"")</f>
        <v>0.25</v>
      </c>
    </row>
    <row r="80" spans="1:16" ht="12.75" x14ac:dyDescent="0.2">
      <c r="A80" s="15">
        <v>43343</v>
      </c>
      <c r="B80" s="11">
        <f>IF(Sales[[#This Row],[Date]]="","",Sales[[#This Row],[Date]])</f>
        <v>43343</v>
      </c>
      <c r="C80" s="12">
        <f>IF(Sales[[#This Row],[Date]]="","",Sales[[#This Row],[Date]])</f>
        <v>43343</v>
      </c>
      <c r="D80" s="16" t="s">
        <v>50</v>
      </c>
      <c r="E80" s="1" t="str">
        <f>IFERROR(VLOOKUP(Sales[[#This Row],[Product]],Database!$B:$F,2,0),"")</f>
        <v>MAM454</v>
      </c>
      <c r="F80" s="1" t="str">
        <f>IFERROR(VLOOKUP(Sales[[#This Row],[Product]],Database!$B:$F,3,0),"")</f>
        <v>Refrigerator</v>
      </c>
      <c r="G80" s="16" t="s">
        <v>62</v>
      </c>
      <c r="H80" s="1" t="str">
        <f>IFERROR(VLOOKUP(Sales[[#This Row],[Customer]],Database!K:M,2,0),"")</f>
        <v>Cameroon</v>
      </c>
      <c r="I80" s="1" t="str">
        <f>IFERROR(VLOOKUP(Sales[[#This Row],[Customer]],Database!K:M,3,0),"")</f>
        <v>Africa</v>
      </c>
      <c r="J80" s="17">
        <v>68974</v>
      </c>
      <c r="K80" s="10">
        <f>IFERROR(VLOOKUP(Sales[[#This Row],[Product]],Database!$B:$F,4,0),"")</f>
        <v>15</v>
      </c>
      <c r="L80" s="10">
        <f>IFERROR(Sales[[#This Row],[Sales Qty.]]*Sales[[#This Row],[Item Cost]],"")</f>
        <v>1034610</v>
      </c>
      <c r="M80" s="10">
        <f>IFERROR(VLOOKUP(Sales[[#This Row],[Product]],Database!$B:$F,5,0),"")</f>
        <v>18</v>
      </c>
      <c r="N80" s="10">
        <f>IFERROR(Sales[[#This Row],[Item Price]]*Sales[[#This Row],[Sales Qty.]],"")</f>
        <v>1241532</v>
      </c>
      <c r="O80" s="10">
        <f>IFERROR(Sales[[#This Row],[Revenue]]-Sales[[#This Row],[Total Cost]],"")</f>
        <v>206922</v>
      </c>
      <c r="P80" s="14">
        <f>IFERROR(Sales[[#This Row],[Profit]]/Sales[[#This Row],[Total Cost]],"")</f>
        <v>0.2</v>
      </c>
    </row>
    <row r="81" spans="1:16" ht="12.75" x14ac:dyDescent="0.2">
      <c r="A81" s="15">
        <v>42618</v>
      </c>
      <c r="B81" s="11">
        <f>IF(Sales[[#This Row],[Date]]="","",Sales[[#This Row],[Date]])</f>
        <v>42618</v>
      </c>
      <c r="C81" s="12">
        <f>IF(Sales[[#This Row],[Date]]="","",Sales[[#This Row],[Date]])</f>
        <v>42618</v>
      </c>
      <c r="D81" s="16" t="s">
        <v>47</v>
      </c>
      <c r="E81" s="1" t="str">
        <f>IFERROR(VLOOKUP(Sales[[#This Row],[Product]],Database!$B:$F,2,0),"")</f>
        <v>MAM1543</v>
      </c>
      <c r="F81" s="1" t="str">
        <f>IFERROR(VLOOKUP(Sales[[#This Row],[Product]],Database!$B:$F,3,0),"")</f>
        <v>Refrigerator</v>
      </c>
      <c r="G81" s="16" t="s">
        <v>54</v>
      </c>
      <c r="H81" s="1" t="str">
        <f>IFERROR(VLOOKUP(Sales[[#This Row],[Customer]],Database!K:M,2,0),"")</f>
        <v>China</v>
      </c>
      <c r="I81" s="1" t="str">
        <f>IFERROR(VLOOKUP(Sales[[#This Row],[Customer]],Database!K:M,3,0),"")</f>
        <v>Asia</v>
      </c>
      <c r="J81" s="17">
        <v>76108</v>
      </c>
      <c r="K81" s="10">
        <f>IFERROR(VLOOKUP(Sales[[#This Row],[Product]],Database!$B:$F,4,0),"")</f>
        <v>16</v>
      </c>
      <c r="L81" s="10">
        <f>IFERROR(Sales[[#This Row],[Sales Qty.]]*Sales[[#This Row],[Item Cost]],"")</f>
        <v>1217728</v>
      </c>
      <c r="M81" s="10">
        <f>IFERROR(VLOOKUP(Sales[[#This Row],[Product]],Database!$B:$F,5,0),"")</f>
        <v>18</v>
      </c>
      <c r="N81" s="10">
        <f>IFERROR(Sales[[#This Row],[Item Price]]*Sales[[#This Row],[Sales Qty.]],"")</f>
        <v>1369944</v>
      </c>
      <c r="O81" s="10">
        <f>IFERROR(Sales[[#This Row],[Revenue]]-Sales[[#This Row],[Total Cost]],"")</f>
        <v>152216</v>
      </c>
      <c r="P81" s="14">
        <f>IFERROR(Sales[[#This Row],[Profit]]/Sales[[#This Row],[Total Cost]],"")</f>
        <v>0.125</v>
      </c>
    </row>
    <row r="82" spans="1:16" ht="12.75" x14ac:dyDescent="0.2">
      <c r="A82" s="15">
        <v>42883</v>
      </c>
      <c r="B82" s="11">
        <f>IF(Sales[[#This Row],[Date]]="","",Sales[[#This Row],[Date]])</f>
        <v>42883</v>
      </c>
      <c r="C82" s="12">
        <f>IF(Sales[[#This Row],[Date]]="","",Sales[[#This Row],[Date]])</f>
        <v>42883</v>
      </c>
      <c r="D82" s="16" t="s">
        <v>33</v>
      </c>
      <c r="E82" s="1" t="str">
        <f>IFERROR(VLOOKUP(Sales[[#This Row],[Product]],Database!$B:$F,2,0),"")</f>
        <v>ACQ2004</v>
      </c>
      <c r="F82" s="1" t="str">
        <f>IFERROR(VLOOKUP(Sales[[#This Row],[Product]],Database!$B:$F,3,0),"")</f>
        <v>Television</v>
      </c>
      <c r="G82" s="16" t="s">
        <v>62</v>
      </c>
      <c r="H82" s="1" t="str">
        <f>IFERROR(VLOOKUP(Sales[[#This Row],[Customer]],Database!K:M,2,0),"")</f>
        <v>Cameroon</v>
      </c>
      <c r="I82" s="1" t="str">
        <f>IFERROR(VLOOKUP(Sales[[#This Row],[Customer]],Database!K:M,3,0),"")</f>
        <v>Africa</v>
      </c>
      <c r="J82" s="17">
        <v>50016</v>
      </c>
      <c r="K82" s="10">
        <f>IFERROR(VLOOKUP(Sales[[#This Row],[Product]],Database!$B:$F,4,0),"")</f>
        <v>9</v>
      </c>
      <c r="L82" s="10">
        <f>IFERROR(Sales[[#This Row],[Sales Qty.]]*Sales[[#This Row],[Item Cost]],"")</f>
        <v>450144</v>
      </c>
      <c r="M82" s="10">
        <f>IFERROR(VLOOKUP(Sales[[#This Row],[Product]],Database!$B:$F,5,0),"")</f>
        <v>10</v>
      </c>
      <c r="N82" s="10">
        <f>IFERROR(Sales[[#This Row],[Item Price]]*Sales[[#This Row],[Sales Qty.]],"")</f>
        <v>500160</v>
      </c>
      <c r="O82" s="10">
        <f>IFERROR(Sales[[#This Row],[Revenue]]-Sales[[#This Row],[Total Cost]],"")</f>
        <v>50016</v>
      </c>
      <c r="P82" s="14">
        <f>IFERROR(Sales[[#This Row],[Profit]]/Sales[[#This Row],[Total Cost]],"")</f>
        <v>0.1111111111111111</v>
      </c>
    </row>
    <row r="83" spans="1:16" ht="12.75" x14ac:dyDescent="0.2">
      <c r="A83" s="15">
        <v>42732</v>
      </c>
      <c r="B83" s="11">
        <f>IF(Sales[[#This Row],[Date]]="","",Sales[[#This Row],[Date]])</f>
        <v>42732</v>
      </c>
      <c r="C83" s="12">
        <f>IF(Sales[[#This Row],[Date]]="","",Sales[[#This Row],[Date]])</f>
        <v>42732</v>
      </c>
      <c r="D83" s="16" t="s">
        <v>37</v>
      </c>
      <c r="E83" s="1" t="str">
        <f>IFERROR(VLOOKUP(Sales[[#This Row],[Product]],Database!$B:$F,2,0),"")</f>
        <v>ACQ2010</v>
      </c>
      <c r="F83" s="1" t="str">
        <f>IFERROR(VLOOKUP(Sales[[#This Row],[Product]],Database!$B:$F,3,0),"")</f>
        <v>Television</v>
      </c>
      <c r="G83" s="16" t="s">
        <v>63</v>
      </c>
      <c r="H83" s="1" t="str">
        <f>IFERROR(VLOOKUP(Sales[[#This Row],[Customer]],Database!K:M,2,0),"")</f>
        <v>England</v>
      </c>
      <c r="I83" s="1" t="str">
        <f>IFERROR(VLOOKUP(Sales[[#This Row],[Customer]],Database!K:M,3,0),"")</f>
        <v>Europe</v>
      </c>
      <c r="J83" s="17">
        <v>58035</v>
      </c>
      <c r="K83" s="10">
        <f>IFERROR(VLOOKUP(Sales[[#This Row],[Product]],Database!$B:$F,4,0),"")</f>
        <v>14</v>
      </c>
      <c r="L83" s="10">
        <f>IFERROR(Sales[[#This Row],[Sales Qty.]]*Sales[[#This Row],[Item Cost]],"")</f>
        <v>812490</v>
      </c>
      <c r="M83" s="10">
        <f>IFERROR(VLOOKUP(Sales[[#This Row],[Product]],Database!$B:$F,5,0),"")</f>
        <v>16</v>
      </c>
      <c r="N83" s="10">
        <f>IFERROR(Sales[[#This Row],[Item Price]]*Sales[[#This Row],[Sales Qty.]],"")</f>
        <v>928560</v>
      </c>
      <c r="O83" s="10">
        <f>IFERROR(Sales[[#This Row],[Revenue]]-Sales[[#This Row],[Total Cost]],"")</f>
        <v>116070</v>
      </c>
      <c r="P83" s="14">
        <f>IFERROR(Sales[[#This Row],[Profit]]/Sales[[#This Row],[Total Cost]],"")</f>
        <v>0.14285714285714285</v>
      </c>
    </row>
    <row r="84" spans="1:16" ht="12.75" x14ac:dyDescent="0.2">
      <c r="A84" s="15">
        <v>43607</v>
      </c>
      <c r="B84" s="11">
        <f>IF(Sales[[#This Row],[Date]]="","",Sales[[#This Row],[Date]])</f>
        <v>43607</v>
      </c>
      <c r="C84" s="12">
        <f>IF(Sales[[#This Row],[Date]]="","",Sales[[#This Row],[Date]])</f>
        <v>43607</v>
      </c>
      <c r="D84" s="16" t="s">
        <v>34</v>
      </c>
      <c r="E84" s="1" t="str">
        <f>IFERROR(VLOOKUP(Sales[[#This Row],[Product]],Database!$B:$F,2,0),"")</f>
        <v>ACQ2005</v>
      </c>
      <c r="F84" s="1" t="str">
        <f>IFERROR(VLOOKUP(Sales[[#This Row],[Product]],Database!$B:$F,3,0),"")</f>
        <v>Television</v>
      </c>
      <c r="G84" s="16" t="s">
        <v>54</v>
      </c>
      <c r="H84" s="1" t="str">
        <f>IFERROR(VLOOKUP(Sales[[#This Row],[Customer]],Database!K:M,2,0),"")</f>
        <v>China</v>
      </c>
      <c r="I84" s="1" t="str">
        <f>IFERROR(VLOOKUP(Sales[[#This Row],[Customer]],Database!K:M,3,0),"")</f>
        <v>Asia</v>
      </c>
      <c r="J84" s="17">
        <v>73911</v>
      </c>
      <c r="K84" s="10">
        <f>IFERROR(VLOOKUP(Sales[[#This Row],[Product]],Database!$B:$F,4,0),"")</f>
        <v>10</v>
      </c>
      <c r="L84" s="10">
        <f>IFERROR(Sales[[#This Row],[Sales Qty.]]*Sales[[#This Row],[Item Cost]],"")</f>
        <v>739110</v>
      </c>
      <c r="M84" s="10">
        <f>IFERROR(VLOOKUP(Sales[[#This Row],[Product]],Database!$B:$F,5,0),"")</f>
        <v>12</v>
      </c>
      <c r="N84" s="10">
        <f>IFERROR(Sales[[#This Row],[Item Price]]*Sales[[#This Row],[Sales Qty.]],"")</f>
        <v>886932</v>
      </c>
      <c r="O84" s="10">
        <f>IFERROR(Sales[[#This Row],[Revenue]]-Sales[[#This Row],[Total Cost]],"")</f>
        <v>147822</v>
      </c>
      <c r="P84" s="14">
        <f>IFERROR(Sales[[#This Row],[Profit]]/Sales[[#This Row],[Total Cost]],"")</f>
        <v>0.2</v>
      </c>
    </row>
    <row r="85" spans="1:16" ht="12.75" x14ac:dyDescent="0.2">
      <c r="A85" s="15">
        <v>43288</v>
      </c>
      <c r="B85" s="11">
        <f>IF(Sales[[#This Row],[Date]]="","",Sales[[#This Row],[Date]])</f>
        <v>43288</v>
      </c>
      <c r="C85" s="12">
        <f>IF(Sales[[#This Row],[Date]]="","",Sales[[#This Row],[Date]])</f>
        <v>43288</v>
      </c>
      <c r="D85" s="16" t="s">
        <v>44</v>
      </c>
      <c r="E85" s="1" t="str">
        <f>IFERROR(VLOOKUP(Sales[[#This Row],[Product]],Database!$B:$F,2,0),"")</f>
        <v>MES51214</v>
      </c>
      <c r="F85" s="1" t="str">
        <f>IFERROR(VLOOKUP(Sales[[#This Row],[Product]],Database!$B:$F,3,0),"")</f>
        <v>Washing Machine</v>
      </c>
      <c r="G85" s="16" t="s">
        <v>61</v>
      </c>
      <c r="H85" s="1" t="str">
        <f>IFERROR(VLOOKUP(Sales[[#This Row],[Customer]],Database!K:M,2,0),"")</f>
        <v>Canada</v>
      </c>
      <c r="I85" s="1" t="str">
        <f>IFERROR(VLOOKUP(Sales[[#This Row],[Customer]],Database!K:M,3,0),"")</f>
        <v>North America</v>
      </c>
      <c r="J85" s="17">
        <v>60671</v>
      </c>
      <c r="K85" s="10">
        <f>IFERROR(VLOOKUP(Sales[[#This Row],[Product]],Database!$B:$F,4,0),"")</f>
        <v>13</v>
      </c>
      <c r="L85" s="10">
        <f>IFERROR(Sales[[#This Row],[Sales Qty.]]*Sales[[#This Row],[Item Cost]],"")</f>
        <v>788723</v>
      </c>
      <c r="M85" s="10">
        <f>IFERROR(VLOOKUP(Sales[[#This Row],[Product]],Database!$B:$F,5,0),"")</f>
        <v>17</v>
      </c>
      <c r="N85" s="10">
        <f>IFERROR(Sales[[#This Row],[Item Price]]*Sales[[#This Row],[Sales Qty.]],"")</f>
        <v>1031407</v>
      </c>
      <c r="O85" s="10">
        <f>IFERROR(Sales[[#This Row],[Revenue]]-Sales[[#This Row],[Total Cost]],"")</f>
        <v>242684</v>
      </c>
      <c r="P85" s="14">
        <f>IFERROR(Sales[[#This Row],[Profit]]/Sales[[#This Row],[Total Cost]],"")</f>
        <v>0.30769230769230771</v>
      </c>
    </row>
    <row r="86" spans="1:16" ht="12.75" x14ac:dyDescent="0.2">
      <c r="A86" s="15">
        <v>43584</v>
      </c>
      <c r="B86" s="11">
        <f>IF(Sales[[#This Row],[Date]]="","",Sales[[#This Row],[Date]])</f>
        <v>43584</v>
      </c>
      <c r="C86" s="12">
        <f>IF(Sales[[#This Row],[Date]]="","",Sales[[#This Row],[Date]])</f>
        <v>43584</v>
      </c>
      <c r="D86" s="16" t="s">
        <v>33</v>
      </c>
      <c r="E86" s="1" t="str">
        <f>IFERROR(VLOOKUP(Sales[[#This Row],[Product]],Database!$B:$F,2,0),"")</f>
        <v>ACQ2004</v>
      </c>
      <c r="F86" s="1" t="str">
        <f>IFERROR(VLOOKUP(Sales[[#This Row],[Product]],Database!$B:$F,3,0),"")</f>
        <v>Television</v>
      </c>
      <c r="G86" s="16" t="s">
        <v>63</v>
      </c>
      <c r="H86" s="1" t="str">
        <f>IFERROR(VLOOKUP(Sales[[#This Row],[Customer]],Database!K:M,2,0),"")</f>
        <v>England</v>
      </c>
      <c r="I86" s="1" t="str">
        <f>IFERROR(VLOOKUP(Sales[[#This Row],[Customer]],Database!K:M,3,0),"")</f>
        <v>Europe</v>
      </c>
      <c r="J86" s="17">
        <v>66433</v>
      </c>
      <c r="K86" s="10">
        <f>IFERROR(VLOOKUP(Sales[[#This Row],[Product]],Database!$B:$F,4,0),"")</f>
        <v>9</v>
      </c>
      <c r="L86" s="10">
        <f>IFERROR(Sales[[#This Row],[Sales Qty.]]*Sales[[#This Row],[Item Cost]],"")</f>
        <v>597897</v>
      </c>
      <c r="M86" s="10">
        <f>IFERROR(VLOOKUP(Sales[[#This Row],[Product]],Database!$B:$F,5,0),"")</f>
        <v>10</v>
      </c>
      <c r="N86" s="10">
        <f>IFERROR(Sales[[#This Row],[Item Price]]*Sales[[#This Row],[Sales Qty.]],"")</f>
        <v>664330</v>
      </c>
      <c r="O86" s="10">
        <f>IFERROR(Sales[[#This Row],[Revenue]]-Sales[[#This Row],[Total Cost]],"")</f>
        <v>66433</v>
      </c>
      <c r="P86" s="14">
        <f>IFERROR(Sales[[#This Row],[Profit]]/Sales[[#This Row],[Total Cost]],"")</f>
        <v>0.1111111111111111</v>
      </c>
    </row>
    <row r="87" spans="1:16" ht="12.75" x14ac:dyDescent="0.2">
      <c r="A87" s="15">
        <v>42979</v>
      </c>
      <c r="B87" s="11">
        <f>IF(Sales[[#This Row],[Date]]="","",Sales[[#This Row],[Date]])</f>
        <v>42979</v>
      </c>
      <c r="C87" s="12">
        <f>IF(Sales[[#This Row],[Date]]="","",Sales[[#This Row],[Date]])</f>
        <v>42979</v>
      </c>
      <c r="D87" s="16" t="s">
        <v>47</v>
      </c>
      <c r="E87" s="1" t="str">
        <f>IFERROR(VLOOKUP(Sales[[#This Row],[Product]],Database!$B:$F,2,0),"")</f>
        <v>MAM1543</v>
      </c>
      <c r="F87" s="1" t="str">
        <f>IFERROR(VLOOKUP(Sales[[#This Row],[Product]],Database!$B:$F,3,0),"")</f>
        <v>Refrigerator</v>
      </c>
      <c r="G87" s="16" t="s">
        <v>54</v>
      </c>
      <c r="H87" s="1" t="str">
        <f>IFERROR(VLOOKUP(Sales[[#This Row],[Customer]],Database!K:M,2,0),"")</f>
        <v>China</v>
      </c>
      <c r="I87" s="1" t="str">
        <f>IFERROR(VLOOKUP(Sales[[#This Row],[Customer]],Database!K:M,3,0),"")</f>
        <v>Asia</v>
      </c>
      <c r="J87" s="17">
        <v>61281</v>
      </c>
      <c r="K87" s="10">
        <f>IFERROR(VLOOKUP(Sales[[#This Row],[Product]],Database!$B:$F,4,0),"")</f>
        <v>16</v>
      </c>
      <c r="L87" s="10">
        <f>IFERROR(Sales[[#This Row],[Sales Qty.]]*Sales[[#This Row],[Item Cost]],"")</f>
        <v>980496</v>
      </c>
      <c r="M87" s="10">
        <f>IFERROR(VLOOKUP(Sales[[#This Row],[Product]],Database!$B:$F,5,0),"")</f>
        <v>18</v>
      </c>
      <c r="N87" s="10">
        <f>IFERROR(Sales[[#This Row],[Item Price]]*Sales[[#This Row],[Sales Qty.]],"")</f>
        <v>1103058</v>
      </c>
      <c r="O87" s="10">
        <f>IFERROR(Sales[[#This Row],[Revenue]]-Sales[[#This Row],[Total Cost]],"")</f>
        <v>122562</v>
      </c>
      <c r="P87" s="14">
        <f>IFERROR(Sales[[#This Row],[Profit]]/Sales[[#This Row],[Total Cost]],"")</f>
        <v>0.125</v>
      </c>
    </row>
    <row r="88" spans="1:16" ht="12.75" x14ac:dyDescent="0.2">
      <c r="A88" s="15">
        <v>42844</v>
      </c>
      <c r="B88" s="11">
        <f>IF(Sales[[#This Row],[Date]]="","",Sales[[#This Row],[Date]])</f>
        <v>42844</v>
      </c>
      <c r="C88" s="12">
        <f>IF(Sales[[#This Row],[Date]]="","",Sales[[#This Row],[Date]])</f>
        <v>42844</v>
      </c>
      <c r="D88" s="16" t="s">
        <v>50</v>
      </c>
      <c r="E88" s="1" t="str">
        <f>IFERROR(VLOOKUP(Sales[[#This Row],[Product]],Database!$B:$F,2,0),"")</f>
        <v>MAM454</v>
      </c>
      <c r="F88" s="1" t="str">
        <f>IFERROR(VLOOKUP(Sales[[#This Row],[Product]],Database!$B:$F,3,0),"")</f>
        <v>Refrigerator</v>
      </c>
      <c r="G88" s="16" t="s">
        <v>54</v>
      </c>
      <c r="H88" s="1" t="str">
        <f>IFERROR(VLOOKUP(Sales[[#This Row],[Customer]],Database!K:M,2,0),"")</f>
        <v>China</v>
      </c>
      <c r="I88" s="1" t="str">
        <f>IFERROR(VLOOKUP(Sales[[#This Row],[Customer]],Database!K:M,3,0),"")</f>
        <v>Asia</v>
      </c>
      <c r="J88" s="17">
        <v>73577</v>
      </c>
      <c r="K88" s="10">
        <f>IFERROR(VLOOKUP(Sales[[#This Row],[Product]],Database!$B:$F,4,0),"")</f>
        <v>15</v>
      </c>
      <c r="L88" s="10">
        <f>IFERROR(Sales[[#This Row],[Sales Qty.]]*Sales[[#This Row],[Item Cost]],"")</f>
        <v>1103655</v>
      </c>
      <c r="M88" s="10">
        <f>IFERROR(VLOOKUP(Sales[[#This Row],[Product]],Database!$B:$F,5,0),"")</f>
        <v>18</v>
      </c>
      <c r="N88" s="10">
        <f>IFERROR(Sales[[#This Row],[Item Price]]*Sales[[#This Row],[Sales Qty.]],"")</f>
        <v>1324386</v>
      </c>
      <c r="O88" s="10">
        <f>IFERROR(Sales[[#This Row],[Revenue]]-Sales[[#This Row],[Total Cost]],"")</f>
        <v>220731</v>
      </c>
      <c r="P88" s="14">
        <f>IFERROR(Sales[[#This Row],[Profit]]/Sales[[#This Row],[Total Cost]],"")</f>
        <v>0.2</v>
      </c>
    </row>
    <row r="89" spans="1:16" ht="12.75" x14ac:dyDescent="0.2">
      <c r="A89" s="15">
        <v>42378</v>
      </c>
      <c r="B89" s="11">
        <f>IF(Sales[[#This Row],[Date]]="","",Sales[[#This Row],[Date]])</f>
        <v>42378</v>
      </c>
      <c r="C89" s="12">
        <f>IF(Sales[[#This Row],[Date]]="","",Sales[[#This Row],[Date]])</f>
        <v>42378</v>
      </c>
      <c r="D89" s="16" t="s">
        <v>34</v>
      </c>
      <c r="E89" s="1" t="str">
        <f>IFERROR(VLOOKUP(Sales[[#This Row],[Product]],Database!$B:$F,2,0),"")</f>
        <v>ACQ2005</v>
      </c>
      <c r="F89" s="1" t="str">
        <f>IFERROR(VLOOKUP(Sales[[#This Row],[Product]],Database!$B:$F,3,0),"")</f>
        <v>Television</v>
      </c>
      <c r="G89" s="16" t="s">
        <v>30</v>
      </c>
      <c r="H89" s="1" t="str">
        <f>IFERROR(VLOOKUP(Sales[[#This Row],[Customer]],Database!K:M,2,0),"")</f>
        <v>France</v>
      </c>
      <c r="I89" s="1" t="str">
        <f>IFERROR(VLOOKUP(Sales[[#This Row],[Customer]],Database!K:M,3,0),"")</f>
        <v>Europe</v>
      </c>
      <c r="J89" s="17">
        <v>72211</v>
      </c>
      <c r="K89" s="10">
        <f>IFERROR(VLOOKUP(Sales[[#This Row],[Product]],Database!$B:$F,4,0),"")</f>
        <v>10</v>
      </c>
      <c r="L89" s="10">
        <f>IFERROR(Sales[[#This Row],[Sales Qty.]]*Sales[[#This Row],[Item Cost]],"")</f>
        <v>722110</v>
      </c>
      <c r="M89" s="10">
        <f>IFERROR(VLOOKUP(Sales[[#This Row],[Product]],Database!$B:$F,5,0),"")</f>
        <v>12</v>
      </c>
      <c r="N89" s="10">
        <f>IFERROR(Sales[[#This Row],[Item Price]]*Sales[[#This Row],[Sales Qty.]],"")</f>
        <v>866532</v>
      </c>
      <c r="O89" s="10">
        <f>IFERROR(Sales[[#This Row],[Revenue]]-Sales[[#This Row],[Total Cost]],"")</f>
        <v>144422</v>
      </c>
      <c r="P89" s="14">
        <f>IFERROR(Sales[[#This Row],[Profit]]/Sales[[#This Row],[Total Cost]],"")</f>
        <v>0.2</v>
      </c>
    </row>
    <row r="90" spans="1:16" ht="12.75" x14ac:dyDescent="0.2">
      <c r="A90" s="15">
        <v>43467</v>
      </c>
      <c r="B90" s="11">
        <f>IF(Sales[[#This Row],[Date]]="","",Sales[[#This Row],[Date]])</f>
        <v>43467</v>
      </c>
      <c r="C90" s="12">
        <f>IF(Sales[[#This Row],[Date]]="","",Sales[[#This Row],[Date]])</f>
        <v>43467</v>
      </c>
      <c r="D90" s="16" t="s">
        <v>50</v>
      </c>
      <c r="E90" s="1" t="str">
        <f>IFERROR(VLOOKUP(Sales[[#This Row],[Product]],Database!$B:$F,2,0),"")</f>
        <v>MAM454</v>
      </c>
      <c r="F90" s="1" t="str">
        <f>IFERROR(VLOOKUP(Sales[[#This Row],[Product]],Database!$B:$F,3,0),"")</f>
        <v>Refrigerator</v>
      </c>
      <c r="G90" s="16" t="s">
        <v>62</v>
      </c>
      <c r="H90" s="1" t="str">
        <f>IFERROR(VLOOKUP(Sales[[#This Row],[Customer]],Database!K:M,2,0),"")</f>
        <v>Cameroon</v>
      </c>
      <c r="I90" s="1" t="str">
        <f>IFERROR(VLOOKUP(Sales[[#This Row],[Customer]],Database!K:M,3,0),"")</f>
        <v>Africa</v>
      </c>
      <c r="J90" s="17">
        <v>79683</v>
      </c>
      <c r="K90" s="10">
        <f>IFERROR(VLOOKUP(Sales[[#This Row],[Product]],Database!$B:$F,4,0),"")</f>
        <v>15</v>
      </c>
      <c r="L90" s="10">
        <f>IFERROR(Sales[[#This Row],[Sales Qty.]]*Sales[[#This Row],[Item Cost]],"")</f>
        <v>1195245</v>
      </c>
      <c r="M90" s="10">
        <f>IFERROR(VLOOKUP(Sales[[#This Row],[Product]],Database!$B:$F,5,0),"")</f>
        <v>18</v>
      </c>
      <c r="N90" s="10">
        <f>IFERROR(Sales[[#This Row],[Item Price]]*Sales[[#This Row],[Sales Qty.]],"")</f>
        <v>1434294</v>
      </c>
      <c r="O90" s="10">
        <f>IFERROR(Sales[[#This Row],[Revenue]]-Sales[[#This Row],[Total Cost]],"")</f>
        <v>239049</v>
      </c>
      <c r="P90" s="14">
        <f>IFERROR(Sales[[#This Row],[Profit]]/Sales[[#This Row],[Total Cost]],"")</f>
        <v>0.2</v>
      </c>
    </row>
    <row r="91" spans="1:16" ht="12.75" x14ac:dyDescent="0.2">
      <c r="A91" s="15">
        <v>42640</v>
      </c>
      <c r="B91" s="11">
        <f>IF(Sales[[#This Row],[Date]]="","",Sales[[#This Row],[Date]])</f>
        <v>42640</v>
      </c>
      <c r="C91" s="12">
        <f>IF(Sales[[#This Row],[Date]]="","",Sales[[#This Row],[Date]])</f>
        <v>42640</v>
      </c>
      <c r="D91" s="16" t="s">
        <v>37</v>
      </c>
      <c r="E91" s="1" t="str">
        <f>IFERROR(VLOOKUP(Sales[[#This Row],[Product]],Database!$B:$F,2,0),"")</f>
        <v>ACQ2010</v>
      </c>
      <c r="F91" s="1" t="str">
        <f>IFERROR(VLOOKUP(Sales[[#This Row],[Product]],Database!$B:$F,3,0),"")</f>
        <v>Television</v>
      </c>
      <c r="G91" s="16" t="s">
        <v>52</v>
      </c>
      <c r="H91" s="1" t="str">
        <f>IFERROR(VLOOKUP(Sales[[#This Row],[Customer]],Database!K:M,2,0),"")</f>
        <v>Egypt</v>
      </c>
      <c r="I91" s="1" t="str">
        <f>IFERROR(VLOOKUP(Sales[[#This Row],[Customer]],Database!K:M,3,0),"")</f>
        <v>Middle East</v>
      </c>
      <c r="J91" s="17">
        <v>72676</v>
      </c>
      <c r="K91" s="10">
        <f>IFERROR(VLOOKUP(Sales[[#This Row],[Product]],Database!$B:$F,4,0),"")</f>
        <v>14</v>
      </c>
      <c r="L91" s="10">
        <f>IFERROR(Sales[[#This Row],[Sales Qty.]]*Sales[[#This Row],[Item Cost]],"")</f>
        <v>1017464</v>
      </c>
      <c r="M91" s="10">
        <f>IFERROR(VLOOKUP(Sales[[#This Row],[Product]],Database!$B:$F,5,0),"")</f>
        <v>16</v>
      </c>
      <c r="N91" s="10">
        <f>IFERROR(Sales[[#This Row],[Item Price]]*Sales[[#This Row],[Sales Qty.]],"")</f>
        <v>1162816</v>
      </c>
      <c r="O91" s="10">
        <f>IFERROR(Sales[[#This Row],[Revenue]]-Sales[[#This Row],[Total Cost]],"")</f>
        <v>145352</v>
      </c>
      <c r="P91" s="14">
        <f>IFERROR(Sales[[#This Row],[Profit]]/Sales[[#This Row],[Total Cost]],"")</f>
        <v>0.14285714285714285</v>
      </c>
    </row>
    <row r="92" spans="1:16" ht="12.75" x14ac:dyDescent="0.2">
      <c r="A92" s="15">
        <v>43354</v>
      </c>
      <c r="B92" s="11">
        <f>IF(Sales[[#This Row],[Date]]="","",Sales[[#This Row],[Date]])</f>
        <v>43354</v>
      </c>
      <c r="C92" s="12">
        <f>IF(Sales[[#This Row],[Date]]="","",Sales[[#This Row],[Date]])</f>
        <v>43354</v>
      </c>
      <c r="D92" s="16" t="s">
        <v>33</v>
      </c>
      <c r="E92" s="1" t="str">
        <f>IFERROR(VLOOKUP(Sales[[#This Row],[Product]],Database!$B:$F,2,0),"")</f>
        <v>ACQ2004</v>
      </c>
      <c r="F92" s="1" t="str">
        <f>IFERROR(VLOOKUP(Sales[[#This Row],[Product]],Database!$B:$F,3,0),"")</f>
        <v>Television</v>
      </c>
      <c r="G92" s="16" t="s">
        <v>63</v>
      </c>
      <c r="H92" s="1" t="str">
        <f>IFERROR(VLOOKUP(Sales[[#This Row],[Customer]],Database!K:M,2,0),"")</f>
        <v>England</v>
      </c>
      <c r="I92" s="1" t="str">
        <f>IFERROR(VLOOKUP(Sales[[#This Row],[Customer]],Database!K:M,3,0),"")</f>
        <v>Europe</v>
      </c>
      <c r="J92" s="17">
        <v>65434</v>
      </c>
      <c r="K92" s="10">
        <f>IFERROR(VLOOKUP(Sales[[#This Row],[Product]],Database!$B:$F,4,0),"")</f>
        <v>9</v>
      </c>
      <c r="L92" s="10">
        <f>IFERROR(Sales[[#This Row],[Sales Qty.]]*Sales[[#This Row],[Item Cost]],"")</f>
        <v>588906</v>
      </c>
      <c r="M92" s="10">
        <f>IFERROR(VLOOKUP(Sales[[#This Row],[Product]],Database!$B:$F,5,0),"")</f>
        <v>10</v>
      </c>
      <c r="N92" s="10">
        <f>IFERROR(Sales[[#This Row],[Item Price]]*Sales[[#This Row],[Sales Qty.]],"")</f>
        <v>654340</v>
      </c>
      <c r="O92" s="10">
        <f>IFERROR(Sales[[#This Row],[Revenue]]-Sales[[#This Row],[Total Cost]],"")</f>
        <v>65434</v>
      </c>
      <c r="P92" s="14">
        <f>IFERROR(Sales[[#This Row],[Profit]]/Sales[[#This Row],[Total Cost]],"")</f>
        <v>0.1111111111111111</v>
      </c>
    </row>
    <row r="93" spans="1:16" ht="12.75" x14ac:dyDescent="0.2">
      <c r="A93" s="15">
        <v>42372</v>
      </c>
      <c r="B93" s="11">
        <f>IF(Sales[[#This Row],[Date]]="","",Sales[[#This Row],[Date]])</f>
        <v>42372</v>
      </c>
      <c r="C93" s="12">
        <f>IF(Sales[[#This Row],[Date]]="","",Sales[[#This Row],[Date]])</f>
        <v>42372</v>
      </c>
      <c r="D93" s="16" t="s">
        <v>47</v>
      </c>
      <c r="E93" s="1" t="str">
        <f>IFERROR(VLOOKUP(Sales[[#This Row],[Product]],Database!$B:$F,2,0),"")</f>
        <v>MAM1543</v>
      </c>
      <c r="F93" s="1" t="str">
        <f>IFERROR(VLOOKUP(Sales[[#This Row],[Product]],Database!$B:$F,3,0),"")</f>
        <v>Refrigerator</v>
      </c>
      <c r="G93" s="16" t="s">
        <v>69</v>
      </c>
      <c r="H93" s="1" t="str">
        <f>IFERROR(VLOOKUP(Sales[[#This Row],[Customer]],Database!K:M,2,0),"")</f>
        <v>Ghana</v>
      </c>
      <c r="I93" s="1" t="str">
        <f>IFERROR(VLOOKUP(Sales[[#This Row],[Customer]],Database!K:M,3,0),"")</f>
        <v>Africa</v>
      </c>
      <c r="J93" s="17">
        <v>60081</v>
      </c>
      <c r="K93" s="10">
        <f>IFERROR(VLOOKUP(Sales[[#This Row],[Product]],Database!$B:$F,4,0),"")</f>
        <v>16</v>
      </c>
      <c r="L93" s="10">
        <f>IFERROR(Sales[[#This Row],[Sales Qty.]]*Sales[[#This Row],[Item Cost]],"")</f>
        <v>961296</v>
      </c>
      <c r="M93" s="10">
        <f>IFERROR(VLOOKUP(Sales[[#This Row],[Product]],Database!$B:$F,5,0),"")</f>
        <v>18</v>
      </c>
      <c r="N93" s="10">
        <f>IFERROR(Sales[[#This Row],[Item Price]]*Sales[[#This Row],[Sales Qty.]],"")</f>
        <v>1081458</v>
      </c>
      <c r="O93" s="10">
        <f>IFERROR(Sales[[#This Row],[Revenue]]-Sales[[#This Row],[Total Cost]],"")</f>
        <v>120162</v>
      </c>
      <c r="P93" s="14">
        <f>IFERROR(Sales[[#This Row],[Profit]]/Sales[[#This Row],[Total Cost]],"")</f>
        <v>0.125</v>
      </c>
    </row>
    <row r="94" spans="1:16" ht="12.75" x14ac:dyDescent="0.2">
      <c r="A94" s="15">
        <v>42486</v>
      </c>
      <c r="B94" s="11">
        <f>IF(Sales[[#This Row],[Date]]="","",Sales[[#This Row],[Date]])</f>
        <v>42486</v>
      </c>
      <c r="C94" s="12">
        <f>IF(Sales[[#This Row],[Date]]="","",Sales[[#This Row],[Date]])</f>
        <v>42486</v>
      </c>
      <c r="D94" s="16" t="s">
        <v>40</v>
      </c>
      <c r="E94" s="1" t="str">
        <f>IFERROR(VLOOKUP(Sales[[#This Row],[Product]],Database!$B:$F,2,0),"")</f>
        <v>MES5014</v>
      </c>
      <c r="F94" s="1" t="str">
        <f>IFERROR(VLOOKUP(Sales[[#This Row],[Product]],Database!$B:$F,3,0),"")</f>
        <v>Washing Machine</v>
      </c>
      <c r="G94" s="16" t="s">
        <v>52</v>
      </c>
      <c r="H94" s="1" t="str">
        <f>IFERROR(VLOOKUP(Sales[[#This Row],[Customer]],Database!K:M,2,0),"")</f>
        <v>Egypt</v>
      </c>
      <c r="I94" s="1" t="str">
        <f>IFERROR(VLOOKUP(Sales[[#This Row],[Customer]],Database!K:M,3,0),"")</f>
        <v>Middle East</v>
      </c>
      <c r="J94" s="17">
        <v>50380</v>
      </c>
      <c r="K94" s="10">
        <f>IFERROR(VLOOKUP(Sales[[#This Row],[Product]],Database!$B:$F,4,0),"")</f>
        <v>12</v>
      </c>
      <c r="L94" s="10">
        <f>IFERROR(Sales[[#This Row],[Sales Qty.]]*Sales[[#This Row],[Item Cost]],"")</f>
        <v>604560</v>
      </c>
      <c r="M94" s="10">
        <f>IFERROR(VLOOKUP(Sales[[#This Row],[Product]],Database!$B:$F,5,0),"")</f>
        <v>16</v>
      </c>
      <c r="N94" s="10">
        <f>IFERROR(Sales[[#This Row],[Item Price]]*Sales[[#This Row],[Sales Qty.]],"")</f>
        <v>806080</v>
      </c>
      <c r="O94" s="10">
        <f>IFERROR(Sales[[#This Row],[Revenue]]-Sales[[#This Row],[Total Cost]],"")</f>
        <v>201520</v>
      </c>
      <c r="P94" s="14">
        <f>IFERROR(Sales[[#This Row],[Profit]]/Sales[[#This Row],[Total Cost]],"")</f>
        <v>0.33333333333333331</v>
      </c>
    </row>
    <row r="95" spans="1:16" ht="12.75" x14ac:dyDescent="0.2">
      <c r="A95" s="15">
        <v>43444</v>
      </c>
      <c r="B95" s="11">
        <f>IF(Sales[[#This Row],[Date]]="","",Sales[[#This Row],[Date]])</f>
        <v>43444</v>
      </c>
      <c r="C95" s="12">
        <f>IF(Sales[[#This Row],[Date]]="","",Sales[[#This Row],[Date]])</f>
        <v>43444</v>
      </c>
      <c r="D95" s="16" t="s">
        <v>33</v>
      </c>
      <c r="E95" s="1" t="str">
        <f>IFERROR(VLOOKUP(Sales[[#This Row],[Product]],Database!$B:$F,2,0),"")</f>
        <v>ACQ2004</v>
      </c>
      <c r="F95" s="1" t="str">
        <f>IFERROR(VLOOKUP(Sales[[#This Row],[Product]],Database!$B:$F,3,0),"")</f>
        <v>Television</v>
      </c>
      <c r="G95" s="16" t="s">
        <v>62</v>
      </c>
      <c r="H95" s="1" t="str">
        <f>IFERROR(VLOOKUP(Sales[[#This Row],[Customer]],Database!K:M,2,0),"")</f>
        <v>Cameroon</v>
      </c>
      <c r="I95" s="1" t="str">
        <f>IFERROR(VLOOKUP(Sales[[#This Row],[Customer]],Database!K:M,3,0),"")</f>
        <v>Africa</v>
      </c>
      <c r="J95" s="17">
        <v>70157</v>
      </c>
      <c r="K95" s="10">
        <f>IFERROR(VLOOKUP(Sales[[#This Row],[Product]],Database!$B:$F,4,0),"")</f>
        <v>9</v>
      </c>
      <c r="L95" s="10">
        <f>IFERROR(Sales[[#This Row],[Sales Qty.]]*Sales[[#This Row],[Item Cost]],"")</f>
        <v>631413</v>
      </c>
      <c r="M95" s="10">
        <f>IFERROR(VLOOKUP(Sales[[#This Row],[Product]],Database!$B:$F,5,0),"")</f>
        <v>10</v>
      </c>
      <c r="N95" s="10">
        <f>IFERROR(Sales[[#This Row],[Item Price]]*Sales[[#This Row],[Sales Qty.]],"")</f>
        <v>701570</v>
      </c>
      <c r="O95" s="10">
        <f>IFERROR(Sales[[#This Row],[Revenue]]-Sales[[#This Row],[Total Cost]],"")</f>
        <v>70157</v>
      </c>
      <c r="P95" s="14">
        <f>IFERROR(Sales[[#This Row],[Profit]]/Sales[[#This Row],[Total Cost]],"")</f>
        <v>0.1111111111111111</v>
      </c>
    </row>
    <row r="96" spans="1:16" ht="12.75" x14ac:dyDescent="0.2">
      <c r="A96" s="15">
        <v>42667</v>
      </c>
      <c r="B96" s="11">
        <f>IF(Sales[[#This Row],[Date]]="","",Sales[[#This Row],[Date]])</f>
        <v>42667</v>
      </c>
      <c r="C96" s="12">
        <f>IF(Sales[[#This Row],[Date]]="","",Sales[[#This Row],[Date]])</f>
        <v>42667</v>
      </c>
      <c r="D96" s="16" t="s">
        <v>33</v>
      </c>
      <c r="E96" s="1" t="str">
        <f>IFERROR(VLOOKUP(Sales[[#This Row],[Product]],Database!$B:$F,2,0),"")</f>
        <v>ACQ2004</v>
      </c>
      <c r="F96" s="1" t="str">
        <f>IFERROR(VLOOKUP(Sales[[#This Row],[Product]],Database!$B:$F,3,0),"")</f>
        <v>Television</v>
      </c>
      <c r="G96" s="16" t="s">
        <v>63</v>
      </c>
      <c r="H96" s="1" t="str">
        <f>IFERROR(VLOOKUP(Sales[[#This Row],[Customer]],Database!K:M,2,0),"")</f>
        <v>England</v>
      </c>
      <c r="I96" s="1" t="str">
        <f>IFERROR(VLOOKUP(Sales[[#This Row],[Customer]],Database!K:M,3,0),"")</f>
        <v>Europe</v>
      </c>
      <c r="J96" s="17">
        <v>57379</v>
      </c>
      <c r="K96" s="10">
        <f>IFERROR(VLOOKUP(Sales[[#This Row],[Product]],Database!$B:$F,4,0),"")</f>
        <v>9</v>
      </c>
      <c r="L96" s="10">
        <f>IFERROR(Sales[[#This Row],[Sales Qty.]]*Sales[[#This Row],[Item Cost]],"")</f>
        <v>516411</v>
      </c>
      <c r="M96" s="10">
        <f>IFERROR(VLOOKUP(Sales[[#This Row],[Product]],Database!$B:$F,5,0),"")</f>
        <v>10</v>
      </c>
      <c r="N96" s="10">
        <f>IFERROR(Sales[[#This Row],[Item Price]]*Sales[[#This Row],[Sales Qty.]],"")</f>
        <v>573790</v>
      </c>
      <c r="O96" s="10">
        <f>IFERROR(Sales[[#This Row],[Revenue]]-Sales[[#This Row],[Total Cost]],"")</f>
        <v>57379</v>
      </c>
      <c r="P96" s="14">
        <f>IFERROR(Sales[[#This Row],[Profit]]/Sales[[#This Row],[Total Cost]],"")</f>
        <v>0.1111111111111111</v>
      </c>
    </row>
    <row r="97" spans="1:16" ht="12.75" x14ac:dyDescent="0.2">
      <c r="A97" s="15">
        <v>42836</v>
      </c>
      <c r="B97" s="11">
        <f>IF(Sales[[#This Row],[Date]]="","",Sales[[#This Row],[Date]])</f>
        <v>42836</v>
      </c>
      <c r="C97" s="12">
        <f>IF(Sales[[#This Row],[Date]]="","",Sales[[#This Row],[Date]])</f>
        <v>42836</v>
      </c>
      <c r="D97" s="16" t="s">
        <v>50</v>
      </c>
      <c r="E97" s="1" t="str">
        <f>IFERROR(VLOOKUP(Sales[[#This Row],[Product]],Database!$B:$F,2,0),"")</f>
        <v>MAM454</v>
      </c>
      <c r="F97" s="1" t="str">
        <f>IFERROR(VLOOKUP(Sales[[#This Row],[Product]],Database!$B:$F,3,0),"")</f>
        <v>Refrigerator</v>
      </c>
      <c r="G97" s="16" t="s">
        <v>55</v>
      </c>
      <c r="H97" s="1" t="str">
        <f>IFERROR(VLOOKUP(Sales[[#This Row],[Customer]],Database!K:M,2,0),"")</f>
        <v>Finland</v>
      </c>
      <c r="I97" s="1" t="str">
        <f>IFERROR(VLOOKUP(Sales[[#This Row],[Customer]],Database!K:M,3,0),"")</f>
        <v>Europe</v>
      </c>
      <c r="J97" s="17">
        <v>52306</v>
      </c>
      <c r="K97" s="10">
        <f>IFERROR(VLOOKUP(Sales[[#This Row],[Product]],Database!$B:$F,4,0),"")</f>
        <v>15</v>
      </c>
      <c r="L97" s="10">
        <f>IFERROR(Sales[[#This Row],[Sales Qty.]]*Sales[[#This Row],[Item Cost]],"")</f>
        <v>784590</v>
      </c>
      <c r="M97" s="10">
        <f>IFERROR(VLOOKUP(Sales[[#This Row],[Product]],Database!$B:$F,5,0),"")</f>
        <v>18</v>
      </c>
      <c r="N97" s="10">
        <f>IFERROR(Sales[[#This Row],[Item Price]]*Sales[[#This Row],[Sales Qty.]],"")</f>
        <v>941508</v>
      </c>
      <c r="O97" s="10">
        <f>IFERROR(Sales[[#This Row],[Revenue]]-Sales[[#This Row],[Total Cost]],"")</f>
        <v>156918</v>
      </c>
      <c r="P97" s="14">
        <f>IFERROR(Sales[[#This Row],[Profit]]/Sales[[#This Row],[Total Cost]],"")</f>
        <v>0.2</v>
      </c>
    </row>
    <row r="98" spans="1:16" ht="12.75" x14ac:dyDescent="0.2">
      <c r="A98" s="15">
        <v>43934</v>
      </c>
      <c r="B98" s="11">
        <f>IF(Sales[[#This Row],[Date]]="","",Sales[[#This Row],[Date]])</f>
        <v>43934</v>
      </c>
      <c r="C98" s="12">
        <f>IF(Sales[[#This Row],[Date]]="","",Sales[[#This Row],[Date]])</f>
        <v>43934</v>
      </c>
      <c r="D98" s="16" t="s">
        <v>34</v>
      </c>
      <c r="E98" s="1" t="str">
        <f>IFERROR(VLOOKUP(Sales[[#This Row],[Product]],Database!$B:$F,2,0),"")</f>
        <v>ACQ2005</v>
      </c>
      <c r="F98" s="1" t="str">
        <f>IFERROR(VLOOKUP(Sales[[#This Row],[Product]],Database!$B:$F,3,0),"")</f>
        <v>Television</v>
      </c>
      <c r="G98" s="16" t="s">
        <v>62</v>
      </c>
      <c r="H98" s="1" t="str">
        <f>IFERROR(VLOOKUP(Sales[[#This Row],[Customer]],Database!K:M,2,0),"")</f>
        <v>Cameroon</v>
      </c>
      <c r="I98" s="1" t="str">
        <f>IFERROR(VLOOKUP(Sales[[#This Row],[Customer]],Database!K:M,3,0),"")</f>
        <v>Africa</v>
      </c>
      <c r="J98" s="17">
        <v>76591</v>
      </c>
      <c r="K98" s="10">
        <f>IFERROR(VLOOKUP(Sales[[#This Row],[Product]],Database!$B:$F,4,0),"")</f>
        <v>10</v>
      </c>
      <c r="L98" s="10">
        <f>IFERROR(Sales[[#This Row],[Sales Qty.]]*Sales[[#This Row],[Item Cost]],"")</f>
        <v>765910</v>
      </c>
      <c r="M98" s="10">
        <f>IFERROR(VLOOKUP(Sales[[#This Row],[Product]],Database!$B:$F,5,0),"")</f>
        <v>12</v>
      </c>
      <c r="N98" s="10">
        <f>IFERROR(Sales[[#This Row],[Item Price]]*Sales[[#This Row],[Sales Qty.]],"")</f>
        <v>919092</v>
      </c>
      <c r="O98" s="10">
        <f>IFERROR(Sales[[#This Row],[Revenue]]-Sales[[#This Row],[Total Cost]],"")</f>
        <v>153182</v>
      </c>
      <c r="P98" s="14">
        <f>IFERROR(Sales[[#This Row],[Profit]]/Sales[[#This Row],[Total Cost]],"")</f>
        <v>0.2</v>
      </c>
    </row>
    <row r="99" spans="1:16" ht="12.75" x14ac:dyDescent="0.2">
      <c r="A99" s="15">
        <v>43970</v>
      </c>
      <c r="B99" s="11">
        <f>IF(Sales[[#This Row],[Date]]="","",Sales[[#This Row],[Date]])</f>
        <v>43970</v>
      </c>
      <c r="C99" s="12">
        <f>IF(Sales[[#This Row],[Date]]="","",Sales[[#This Row],[Date]])</f>
        <v>43970</v>
      </c>
      <c r="D99" s="16" t="s">
        <v>47</v>
      </c>
      <c r="E99" s="1" t="str">
        <f>IFERROR(VLOOKUP(Sales[[#This Row],[Product]],Database!$B:$F,2,0),"")</f>
        <v>MAM1543</v>
      </c>
      <c r="F99" s="1" t="str">
        <f>IFERROR(VLOOKUP(Sales[[#This Row],[Product]],Database!$B:$F,3,0),"")</f>
        <v>Refrigerator</v>
      </c>
      <c r="G99" s="16" t="s">
        <v>93</v>
      </c>
      <c r="H99" s="1" t="str">
        <f>IFERROR(VLOOKUP(Sales[[#This Row],[Customer]],Database!K:M,2,0),"")</f>
        <v>Korea</v>
      </c>
      <c r="I99" s="1" t="str">
        <f>IFERROR(VLOOKUP(Sales[[#This Row],[Customer]],Database!K:M,3,0),"")</f>
        <v>Asia</v>
      </c>
      <c r="J99" s="17">
        <v>65252</v>
      </c>
      <c r="K99" s="10">
        <f>IFERROR(VLOOKUP(Sales[[#This Row],[Product]],Database!$B:$F,4,0),"")</f>
        <v>16</v>
      </c>
      <c r="L99" s="10">
        <f>IFERROR(Sales[[#This Row],[Sales Qty.]]*Sales[[#This Row],[Item Cost]],"")</f>
        <v>1044032</v>
      </c>
      <c r="M99" s="10">
        <f>IFERROR(VLOOKUP(Sales[[#This Row],[Product]],Database!$B:$F,5,0),"")</f>
        <v>18</v>
      </c>
      <c r="N99" s="10">
        <f>IFERROR(Sales[[#This Row],[Item Price]]*Sales[[#This Row],[Sales Qty.]],"")</f>
        <v>1174536</v>
      </c>
      <c r="O99" s="10">
        <f>IFERROR(Sales[[#This Row],[Revenue]]-Sales[[#This Row],[Total Cost]],"")</f>
        <v>130504</v>
      </c>
      <c r="P99" s="14">
        <f>IFERROR(Sales[[#This Row],[Profit]]/Sales[[#This Row],[Total Cost]],"")</f>
        <v>0.125</v>
      </c>
    </row>
    <row r="100" spans="1:16" ht="12.75" x14ac:dyDescent="0.2">
      <c r="A100" s="15">
        <v>42856</v>
      </c>
      <c r="B100" s="11">
        <f>IF(Sales[[#This Row],[Date]]="","",Sales[[#This Row],[Date]])</f>
        <v>42856</v>
      </c>
      <c r="C100" s="12">
        <f>IF(Sales[[#This Row],[Date]]="","",Sales[[#This Row],[Date]])</f>
        <v>42856</v>
      </c>
      <c r="D100" s="16" t="s">
        <v>37</v>
      </c>
      <c r="E100" s="1" t="str">
        <f>IFERROR(VLOOKUP(Sales[[#This Row],[Product]],Database!$B:$F,2,0),"")</f>
        <v>ACQ2010</v>
      </c>
      <c r="F100" s="1" t="str">
        <f>IFERROR(VLOOKUP(Sales[[#This Row],[Product]],Database!$B:$F,3,0),"")</f>
        <v>Television</v>
      </c>
      <c r="G100" s="16" t="s">
        <v>103</v>
      </c>
      <c r="H100" s="1" t="str">
        <f>IFERROR(VLOOKUP(Sales[[#This Row],[Customer]],Database!K:M,2,0),"")</f>
        <v>New Zealand</v>
      </c>
      <c r="I100" s="1" t="str">
        <f>IFERROR(VLOOKUP(Sales[[#This Row],[Customer]],Database!K:M,3,0),"")</f>
        <v>Australlia</v>
      </c>
      <c r="J100" s="17">
        <v>70000</v>
      </c>
      <c r="K100" s="10">
        <f>IFERROR(VLOOKUP(Sales[[#This Row],[Product]],Database!$B:$F,4,0),"")</f>
        <v>14</v>
      </c>
      <c r="L100" s="10">
        <f>IFERROR(Sales[[#This Row],[Sales Qty.]]*Sales[[#This Row],[Item Cost]],"")</f>
        <v>980000</v>
      </c>
      <c r="M100" s="10">
        <f>IFERROR(VLOOKUP(Sales[[#This Row],[Product]],Database!$B:$F,5,0),"")</f>
        <v>16</v>
      </c>
      <c r="N100" s="10">
        <f>IFERROR(Sales[[#This Row],[Item Price]]*Sales[[#This Row],[Sales Qty.]],"")</f>
        <v>1120000</v>
      </c>
      <c r="O100" s="10">
        <f>IFERROR(Sales[[#This Row],[Revenue]]-Sales[[#This Row],[Total Cost]],"")</f>
        <v>140000</v>
      </c>
      <c r="P100" s="14">
        <f>IFERROR(Sales[[#This Row],[Profit]]/Sales[[#This Row],[Total Cost]],"")</f>
        <v>0.14285714285714285</v>
      </c>
    </row>
  </sheetData>
  <sheetProtection selectLockedCells="1"/>
  <dataValidations count="2">
    <dataValidation type="list" allowBlank="1" showInputMessage="1" showErrorMessage="1" sqref="D3:D100" xr:uid="{15F02B10-50E8-43AA-8F97-DDA358FE7013}">
      <formula1>Product</formula1>
    </dataValidation>
    <dataValidation type="list" allowBlank="1" showInputMessage="1" showErrorMessage="1" sqref="G3:G100" xr:uid="{5FDEBB7E-6299-437D-9F02-383F14507BF6}">
      <formula1>Customer</formula1>
    </dataValidation>
  </dataValidations>
  <pageMargins left="0.7" right="0.7" top="0.75" bottom="0.75" header="0.3" footer="0.3"/>
  <pageSetup paperSize="9" orientation="portrait" r:id="rId1"/>
  <ignoredErrors>
    <ignoredError sqref="D9" listDataValidatio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2B2B-70D9-4BF1-A950-C0B743422C00}">
  <sheetPr codeName="Sheet4">
    <tabColor rgb="FF8FCFAD"/>
  </sheetPr>
  <dimension ref="A1:P15"/>
  <sheetViews>
    <sheetView showGridLines="0" showRowColHeaders="0" topLeftCell="B1" zoomScale="120" zoomScaleNormal="120" workbookViewId="0">
      <pane ySplit="4" topLeftCell="A5" activePane="bottomLeft" state="frozen"/>
      <selection activeCell="D16" sqref="D16"/>
      <selection pane="bottomLeft" activeCell="E18" sqref="E18"/>
    </sheetView>
  </sheetViews>
  <sheetFormatPr defaultColWidth="0" defaultRowHeight="12.75" x14ac:dyDescent="0.2"/>
  <cols>
    <col min="1" max="1" width="4.140625" style="1" customWidth="1"/>
    <col min="2" max="2" width="10.7109375" style="28" customWidth="1"/>
    <col min="3" max="3" width="13.85546875" style="29" customWidth="1"/>
    <col min="4" max="4" width="16.7109375" style="30" customWidth="1"/>
    <col min="5" max="6" width="16.7109375" style="31" customWidth="1"/>
    <col min="7" max="7" width="4.28515625" style="1" customWidth="1"/>
    <col min="8" max="8" width="20.85546875" style="31" customWidth="1"/>
    <col min="9" max="9" width="2.7109375" style="1" customWidth="1"/>
    <col min="10" max="10" width="3" style="1" customWidth="1"/>
    <col min="11" max="11" width="16.7109375" style="28" customWidth="1"/>
    <col min="12" max="12" width="16.7109375" style="29" customWidth="1"/>
    <col min="13" max="13" width="16.7109375" style="30" customWidth="1"/>
    <col min="14" max="14" width="3.42578125" style="1" customWidth="1"/>
    <col min="15" max="16" width="0" style="1" hidden="1" customWidth="1"/>
    <col min="17" max="16384" width="9.140625" style="1" hidden="1"/>
  </cols>
  <sheetData>
    <row r="1" spans="1:13" x14ac:dyDescent="0.2">
      <c r="B1" s="1"/>
      <c r="C1" s="1"/>
      <c r="D1" s="1"/>
      <c r="E1" s="1"/>
      <c r="F1" s="1"/>
      <c r="H1" s="1"/>
      <c r="K1" s="1"/>
      <c r="L1" s="1"/>
      <c r="M1" s="1"/>
    </row>
    <row r="2" spans="1:13" x14ac:dyDescent="0.2">
      <c r="B2" s="1"/>
      <c r="C2" s="1"/>
      <c r="D2" s="1"/>
      <c r="E2" s="1"/>
      <c r="F2" s="1"/>
      <c r="H2" s="1"/>
      <c r="K2" s="1"/>
      <c r="L2" s="1"/>
      <c r="M2" s="1"/>
    </row>
    <row r="3" spans="1:13" x14ac:dyDescent="0.2">
      <c r="A3" s="26"/>
      <c r="B3" s="2" t="s">
        <v>95</v>
      </c>
      <c r="C3" s="26"/>
      <c r="D3" s="1"/>
      <c r="E3" s="1"/>
      <c r="F3" s="1"/>
      <c r="H3" s="2" t="s">
        <v>97</v>
      </c>
      <c r="K3" s="2" t="s">
        <v>96</v>
      </c>
      <c r="L3" s="1"/>
      <c r="M3" s="1"/>
    </row>
    <row r="4" spans="1:13" x14ac:dyDescent="0.2">
      <c r="B4" s="27" t="s">
        <v>15</v>
      </c>
      <c r="C4" s="27" t="s">
        <v>28</v>
      </c>
      <c r="D4" s="27" t="s">
        <v>17</v>
      </c>
      <c r="E4" s="27" t="s">
        <v>24</v>
      </c>
      <c r="F4" s="27" t="s">
        <v>25</v>
      </c>
      <c r="H4" s="27" t="s">
        <v>17</v>
      </c>
      <c r="K4" s="27" t="s">
        <v>16</v>
      </c>
      <c r="L4" s="27" t="s">
        <v>22</v>
      </c>
      <c r="M4" s="27" t="s">
        <v>29</v>
      </c>
    </row>
    <row r="5" spans="1:13" x14ac:dyDescent="0.2">
      <c r="B5" s="28" t="s">
        <v>33</v>
      </c>
      <c r="C5" s="29" t="s">
        <v>31</v>
      </c>
      <c r="D5" s="30" t="s">
        <v>42</v>
      </c>
      <c r="E5" s="31">
        <v>9</v>
      </c>
      <c r="F5" s="31">
        <v>10</v>
      </c>
      <c r="H5" s="31" t="s">
        <v>42</v>
      </c>
      <c r="K5" s="28" t="s">
        <v>30</v>
      </c>
      <c r="L5" s="29" t="s">
        <v>64</v>
      </c>
      <c r="M5" s="30" t="s">
        <v>56</v>
      </c>
    </row>
    <row r="6" spans="1:13" x14ac:dyDescent="0.2">
      <c r="B6" s="28" t="s">
        <v>34</v>
      </c>
      <c r="C6" s="29" t="s">
        <v>32</v>
      </c>
      <c r="D6" s="30" t="s">
        <v>42</v>
      </c>
      <c r="E6" s="31">
        <v>10</v>
      </c>
      <c r="F6" s="31">
        <v>12</v>
      </c>
      <c r="H6" s="31" t="s">
        <v>43</v>
      </c>
      <c r="K6" s="28" t="s">
        <v>52</v>
      </c>
      <c r="L6" s="29" t="s">
        <v>65</v>
      </c>
      <c r="M6" s="30" t="s">
        <v>73</v>
      </c>
    </row>
    <row r="7" spans="1:13" x14ac:dyDescent="0.2">
      <c r="B7" s="28" t="s">
        <v>35</v>
      </c>
      <c r="C7" s="29" t="s">
        <v>36</v>
      </c>
      <c r="D7" s="30" t="s">
        <v>42</v>
      </c>
      <c r="E7" s="31">
        <v>12</v>
      </c>
      <c r="F7" s="31">
        <v>15</v>
      </c>
      <c r="H7" s="31" t="s">
        <v>49</v>
      </c>
      <c r="K7" s="28" t="s">
        <v>53</v>
      </c>
      <c r="L7" s="29" t="s">
        <v>70</v>
      </c>
      <c r="M7" s="30" t="s">
        <v>59</v>
      </c>
    </row>
    <row r="8" spans="1:13" x14ac:dyDescent="0.2">
      <c r="B8" s="28" t="s">
        <v>37</v>
      </c>
      <c r="C8" s="29" t="s">
        <v>38</v>
      </c>
      <c r="D8" s="30" t="s">
        <v>42</v>
      </c>
      <c r="E8" s="31">
        <v>14</v>
      </c>
      <c r="F8" s="31">
        <v>16</v>
      </c>
      <c r="H8" s="31" t="s">
        <v>98</v>
      </c>
      <c r="K8" s="28" t="s">
        <v>54</v>
      </c>
      <c r="L8" s="29" t="s">
        <v>66</v>
      </c>
      <c r="M8" s="30" t="s">
        <v>58</v>
      </c>
    </row>
    <row r="9" spans="1:13" x14ac:dyDescent="0.2">
      <c r="B9" s="28" t="s">
        <v>45</v>
      </c>
      <c r="C9" s="29" t="s">
        <v>39</v>
      </c>
      <c r="D9" s="30" t="s">
        <v>43</v>
      </c>
      <c r="E9" s="31">
        <v>13</v>
      </c>
      <c r="F9" s="31">
        <v>15</v>
      </c>
      <c r="H9" s="31" t="s">
        <v>99</v>
      </c>
      <c r="K9" s="28" t="s">
        <v>55</v>
      </c>
      <c r="L9" s="29" t="s">
        <v>71</v>
      </c>
      <c r="M9" s="30" t="s">
        <v>56</v>
      </c>
    </row>
    <row r="10" spans="1:13" x14ac:dyDescent="0.2">
      <c r="B10" s="28" t="s">
        <v>40</v>
      </c>
      <c r="C10" s="29" t="s">
        <v>41</v>
      </c>
      <c r="D10" s="30" t="s">
        <v>43</v>
      </c>
      <c r="E10" s="31">
        <v>12</v>
      </c>
      <c r="F10" s="31">
        <v>16</v>
      </c>
      <c r="K10" s="28" t="s">
        <v>61</v>
      </c>
      <c r="L10" s="29" t="s">
        <v>67</v>
      </c>
      <c r="M10" s="30" t="s">
        <v>60</v>
      </c>
    </row>
    <row r="11" spans="1:13" x14ac:dyDescent="0.2">
      <c r="B11" s="28" t="s">
        <v>44</v>
      </c>
      <c r="C11" s="29" t="s">
        <v>46</v>
      </c>
      <c r="D11" s="30" t="s">
        <v>43</v>
      </c>
      <c r="E11" s="31">
        <v>13</v>
      </c>
      <c r="F11" s="31">
        <v>17</v>
      </c>
      <c r="K11" s="28" t="s">
        <v>62</v>
      </c>
      <c r="L11" s="29" t="s">
        <v>72</v>
      </c>
      <c r="M11" s="30" t="s">
        <v>57</v>
      </c>
    </row>
    <row r="12" spans="1:13" x14ac:dyDescent="0.2">
      <c r="B12" s="28" t="s">
        <v>47</v>
      </c>
      <c r="C12" s="29" t="s">
        <v>48</v>
      </c>
      <c r="D12" s="30" t="s">
        <v>49</v>
      </c>
      <c r="E12" s="31">
        <v>16</v>
      </c>
      <c r="F12" s="31">
        <v>18</v>
      </c>
      <c r="K12" s="28" t="s">
        <v>63</v>
      </c>
      <c r="L12" s="29" t="s">
        <v>68</v>
      </c>
      <c r="M12" s="30" t="s">
        <v>56</v>
      </c>
    </row>
    <row r="13" spans="1:13" x14ac:dyDescent="0.2">
      <c r="B13" s="28" t="s">
        <v>50</v>
      </c>
      <c r="C13" s="29" t="s">
        <v>51</v>
      </c>
      <c r="D13" s="30" t="s">
        <v>49</v>
      </c>
      <c r="E13" s="31">
        <v>15</v>
      </c>
      <c r="F13" s="31">
        <v>18</v>
      </c>
      <c r="K13" s="28" t="s">
        <v>69</v>
      </c>
      <c r="L13" s="29" t="s">
        <v>74</v>
      </c>
      <c r="M13" s="30" t="s">
        <v>57</v>
      </c>
    </row>
    <row r="14" spans="1:13" x14ac:dyDescent="0.2">
      <c r="K14" s="28" t="s">
        <v>93</v>
      </c>
      <c r="L14" s="29" t="s">
        <v>94</v>
      </c>
      <c r="M14" s="30" t="s">
        <v>58</v>
      </c>
    </row>
    <row r="15" spans="1:13" x14ac:dyDescent="0.2">
      <c r="K15" s="28" t="s">
        <v>103</v>
      </c>
      <c r="L15" s="29" t="s">
        <v>104</v>
      </c>
      <c r="M15" s="30" t="s">
        <v>100</v>
      </c>
    </row>
  </sheetData>
  <dataValidations count="2">
    <dataValidation type="list" allowBlank="1" showInputMessage="1" showErrorMessage="1" sqref="D5:D1048576" xr:uid="{EA01AA16-7728-405D-8C7A-C60A555D1E31}">
      <formula1>Sector</formula1>
    </dataValidation>
    <dataValidation type="list" allowBlank="1" showInputMessage="1" showErrorMessage="1" sqref="M5:M1048576" xr:uid="{8E2674D9-16E0-4CAD-8BD6-1E3C7889BE30}">
      <formula1>Regions</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70075-2079-4AFE-A99E-C300F1B98EA1}">
  <sheetPr codeName="Sheet5">
    <tabColor theme="0"/>
  </sheetPr>
  <dimension ref="B3:AP20"/>
  <sheetViews>
    <sheetView showGridLines="0" topLeftCell="AD1" workbookViewId="0">
      <selection activeCell="AF3" sqref="AF3:AF7"/>
    </sheetView>
  </sheetViews>
  <sheetFormatPr defaultRowHeight="14.25" x14ac:dyDescent="0.2"/>
  <cols>
    <col min="1" max="1" width="9.140625" style="35"/>
    <col min="2" max="2" width="15" style="35" bestFit="1" customWidth="1"/>
    <col min="3" max="3" width="20.42578125" style="35" bestFit="1" customWidth="1"/>
    <col min="4" max="4" width="9.140625" style="35"/>
    <col min="5" max="5" width="15" style="35" bestFit="1" customWidth="1"/>
    <col min="6" max="6" width="18.5703125" style="35" bestFit="1" customWidth="1"/>
    <col min="7" max="7" width="9.140625" style="35"/>
    <col min="8" max="8" width="15" style="35" bestFit="1" customWidth="1"/>
    <col min="9" max="9" width="17.85546875" style="35" bestFit="1" customWidth="1"/>
    <col min="10" max="10" width="9.140625" style="35"/>
    <col min="11" max="11" width="15" style="35" bestFit="1" customWidth="1"/>
    <col min="12" max="12" width="20.42578125" style="35" bestFit="1" customWidth="1"/>
    <col min="13" max="13" width="20.7109375" style="35" bestFit="1" customWidth="1"/>
    <col min="14" max="14" width="19.5703125" style="35" bestFit="1" customWidth="1"/>
    <col min="15" max="15" width="15.7109375" style="35" bestFit="1" customWidth="1"/>
    <col min="16" max="16" width="15.5703125" style="35" customWidth="1"/>
    <col min="17" max="17" width="9.140625" style="35"/>
    <col min="18" max="18" width="15" style="35" bestFit="1" customWidth="1"/>
    <col min="19" max="19" width="18.5703125" style="35" bestFit="1" customWidth="1"/>
    <col min="20" max="20" width="9.140625" style="35"/>
    <col min="21" max="21" width="15" style="35" bestFit="1" customWidth="1"/>
    <col min="22" max="22" width="20.42578125" style="35" bestFit="1" customWidth="1"/>
    <col min="23" max="23" width="9.140625" style="35"/>
    <col min="24" max="24" width="15" style="35" bestFit="1" customWidth="1"/>
    <col min="25" max="25" width="19.5703125" style="35" bestFit="1" customWidth="1"/>
    <col min="26" max="26" width="9.140625" style="35"/>
    <col min="27" max="27" width="15" style="35" bestFit="1" customWidth="1"/>
    <col min="28" max="28" width="20.42578125" style="35" bestFit="1" customWidth="1"/>
    <col min="29" max="29" width="9.140625" style="35"/>
    <col min="30" max="30" width="16.7109375" style="35" bestFit="1" customWidth="1"/>
    <col min="31" max="31" width="15.42578125" style="35" bestFit="1" customWidth="1"/>
    <col min="32" max="32" width="16.42578125" style="35" bestFit="1" customWidth="1"/>
    <col min="33" max="33" width="9.140625" style="35"/>
    <col min="34" max="34" width="13.140625" style="35" bestFit="1" customWidth="1"/>
    <col min="35" max="35" width="18" style="35" bestFit="1" customWidth="1"/>
    <col min="36" max="36" width="9.140625" style="35"/>
    <col min="37" max="37" width="13.140625" style="35" bestFit="1" customWidth="1"/>
    <col min="38" max="38" width="18" style="35" bestFit="1" customWidth="1"/>
    <col min="39" max="39" width="9.140625" style="35"/>
    <col min="40" max="40" width="16.7109375" style="35" bestFit="1" customWidth="1"/>
    <col min="41" max="41" width="15.42578125" style="35" bestFit="1" customWidth="1"/>
    <col min="42" max="16384" width="9.140625" style="35"/>
  </cols>
  <sheetData>
    <row r="3" spans="2:42" ht="15" x14ac:dyDescent="0.25">
      <c r="B3" s="39" t="s">
        <v>75</v>
      </c>
      <c r="C3" s="35" t="s">
        <v>79</v>
      </c>
      <c r="E3" s="39" t="s">
        <v>75</v>
      </c>
      <c r="F3" s="35" t="s">
        <v>81</v>
      </c>
      <c r="H3" s="39" t="s">
        <v>75</v>
      </c>
      <c r="I3" s="35" t="s">
        <v>82</v>
      </c>
      <c r="K3" s="39" t="s">
        <v>75</v>
      </c>
      <c r="L3" s="36" t="s">
        <v>90</v>
      </c>
      <c r="M3" s="36" t="s">
        <v>89</v>
      </c>
      <c r="N3" s="36" t="s">
        <v>84</v>
      </c>
      <c r="O3" s="36" t="s">
        <v>91</v>
      </c>
      <c r="R3" s="39" t="s">
        <v>75</v>
      </c>
      <c r="S3" s="35" t="s">
        <v>86</v>
      </c>
      <c r="U3" s="39" t="s">
        <v>75</v>
      </c>
      <c r="V3" s="36" t="s">
        <v>90</v>
      </c>
      <c r="X3" s="39" t="s">
        <v>75</v>
      </c>
      <c r="Y3" s="36" t="s">
        <v>84</v>
      </c>
      <c r="AA3" s="39" t="s">
        <v>75</v>
      </c>
      <c r="AB3" s="36" t="s">
        <v>90</v>
      </c>
      <c r="AD3" s="20" t="s">
        <v>75</v>
      </c>
      <c r="AE3" s="37" t="s">
        <v>118</v>
      </c>
      <c r="AF3" t="s">
        <v>90</v>
      </c>
      <c r="AG3"/>
      <c r="AH3" s="20" t="s">
        <v>75</v>
      </c>
      <c r="AI3" s="22" t="s">
        <v>90</v>
      </c>
      <c r="AJ3"/>
      <c r="AK3" s="20" t="s">
        <v>75</v>
      </c>
      <c r="AL3" s="22" t="s">
        <v>90</v>
      </c>
      <c r="AM3"/>
      <c r="AN3" s="20" t="s">
        <v>75</v>
      </c>
      <c r="AO3" s="37" t="s">
        <v>118</v>
      </c>
      <c r="AP3"/>
    </row>
    <row r="4" spans="2:42" ht="15" x14ac:dyDescent="0.25">
      <c r="B4" s="40" t="s">
        <v>52</v>
      </c>
      <c r="C4" s="35">
        <v>11</v>
      </c>
      <c r="E4" s="40" t="s">
        <v>33</v>
      </c>
      <c r="F4" s="35">
        <v>13</v>
      </c>
      <c r="H4" s="40" t="s">
        <v>57</v>
      </c>
      <c r="I4" s="35">
        <v>19</v>
      </c>
      <c r="K4" s="40" t="s">
        <v>33</v>
      </c>
      <c r="L4" s="36">
        <v>764738</v>
      </c>
      <c r="M4" s="36">
        <v>6882642</v>
      </c>
      <c r="N4" s="36">
        <v>7647380</v>
      </c>
      <c r="O4" s="36">
        <v>764738</v>
      </c>
      <c r="P4" s="36"/>
      <c r="R4" s="40" t="s">
        <v>70</v>
      </c>
      <c r="S4" s="35">
        <v>6</v>
      </c>
      <c r="U4" s="40" t="s">
        <v>70</v>
      </c>
      <c r="V4" s="36">
        <v>395302</v>
      </c>
      <c r="X4" s="40" t="s">
        <v>57</v>
      </c>
      <c r="Y4" s="36">
        <v>18870414</v>
      </c>
      <c r="AA4" s="41" t="s">
        <v>105</v>
      </c>
      <c r="AB4" s="36">
        <v>1125331</v>
      </c>
      <c r="AD4" s="21" t="s">
        <v>49</v>
      </c>
      <c r="AE4" s="37">
        <v>0.16250000000000003</v>
      </c>
      <c r="AF4" s="37">
        <v>0.29135990173953991</v>
      </c>
      <c r="AG4"/>
      <c r="AH4" s="21" t="s">
        <v>70</v>
      </c>
      <c r="AI4" s="22">
        <v>395302</v>
      </c>
      <c r="AJ4"/>
      <c r="AK4" s="21" t="s">
        <v>52</v>
      </c>
      <c r="AL4" s="22">
        <v>707858</v>
      </c>
      <c r="AM4"/>
      <c r="AN4" s="21" t="s">
        <v>49</v>
      </c>
      <c r="AO4" s="37">
        <v>0.16250000000000003</v>
      </c>
      <c r="AP4"/>
    </row>
    <row r="5" spans="2:42" ht="15" x14ac:dyDescent="0.25">
      <c r="B5" s="40" t="s">
        <v>30</v>
      </c>
      <c r="C5" s="35">
        <v>14</v>
      </c>
      <c r="E5" s="40" t="s">
        <v>34</v>
      </c>
      <c r="F5" s="35">
        <v>13</v>
      </c>
      <c r="H5" s="40" t="s">
        <v>58</v>
      </c>
      <c r="I5" s="35">
        <v>13</v>
      </c>
      <c r="K5" s="40" t="s">
        <v>34</v>
      </c>
      <c r="L5" s="36">
        <v>890569</v>
      </c>
      <c r="M5" s="36">
        <v>8905690</v>
      </c>
      <c r="N5" s="36">
        <v>10686828</v>
      </c>
      <c r="O5" s="36">
        <v>1781138</v>
      </c>
      <c r="P5" s="36"/>
      <c r="R5" s="40" t="s">
        <v>72</v>
      </c>
      <c r="S5" s="35">
        <v>14</v>
      </c>
      <c r="U5" s="40" t="s">
        <v>72</v>
      </c>
      <c r="V5" s="36">
        <v>948184</v>
      </c>
      <c r="X5" s="40" t="s">
        <v>58</v>
      </c>
      <c r="Y5" s="36">
        <v>14418924</v>
      </c>
      <c r="AA5" s="41" t="s">
        <v>106</v>
      </c>
      <c r="AB5" s="36">
        <v>491962</v>
      </c>
      <c r="AD5" s="21" t="s">
        <v>42</v>
      </c>
      <c r="AE5" s="37">
        <v>0.15900033772374203</v>
      </c>
      <c r="AF5" s="37">
        <v>0.48530343036107243</v>
      </c>
      <c r="AG5"/>
      <c r="AH5" s="21" t="s">
        <v>72</v>
      </c>
      <c r="AI5" s="22">
        <v>948184</v>
      </c>
      <c r="AJ5"/>
      <c r="AK5" s="21" t="s">
        <v>30</v>
      </c>
      <c r="AL5" s="22">
        <v>922565</v>
      </c>
      <c r="AM5"/>
      <c r="AN5" s="21" t="s">
        <v>42</v>
      </c>
      <c r="AO5" s="37">
        <v>0.15900033772374203</v>
      </c>
      <c r="AP5"/>
    </row>
    <row r="6" spans="2:42" ht="15" x14ac:dyDescent="0.25">
      <c r="B6" s="40" t="s">
        <v>61</v>
      </c>
      <c r="C6" s="35">
        <v>8</v>
      </c>
      <c r="E6" s="40" t="s">
        <v>35</v>
      </c>
      <c r="F6" s="35">
        <v>4</v>
      </c>
      <c r="H6" s="40" t="s">
        <v>56</v>
      </c>
      <c r="I6" s="35">
        <v>40</v>
      </c>
      <c r="K6" s="40" t="s">
        <v>35</v>
      </c>
      <c r="L6" s="36">
        <v>275603</v>
      </c>
      <c r="M6" s="36">
        <v>3307236</v>
      </c>
      <c r="N6" s="36">
        <v>4134045</v>
      </c>
      <c r="O6" s="36">
        <v>826809</v>
      </c>
      <c r="P6" s="36"/>
      <c r="R6" s="40" t="s">
        <v>67</v>
      </c>
      <c r="S6" s="35">
        <v>8</v>
      </c>
      <c r="U6" s="40" t="s">
        <v>67</v>
      </c>
      <c r="V6" s="36">
        <v>459983</v>
      </c>
      <c r="X6" s="40" t="s">
        <v>56</v>
      </c>
      <c r="Y6" s="36">
        <v>37413294</v>
      </c>
      <c r="AA6" s="41" t="s">
        <v>107</v>
      </c>
      <c r="AB6" s="36">
        <v>412408</v>
      </c>
      <c r="AD6" s="21" t="s">
        <v>43</v>
      </c>
      <c r="AE6" s="37">
        <v>0.26309921962095872</v>
      </c>
      <c r="AF6" s="37">
        <v>0.22333666789938764</v>
      </c>
      <c r="AG6"/>
      <c r="AH6" s="21" t="s">
        <v>67</v>
      </c>
      <c r="AI6" s="22">
        <v>459983</v>
      </c>
      <c r="AJ6"/>
      <c r="AK6" s="21" t="s">
        <v>61</v>
      </c>
      <c r="AL6" s="22">
        <v>459983</v>
      </c>
      <c r="AM6"/>
      <c r="AN6" s="21" t="s">
        <v>43</v>
      </c>
      <c r="AO6" s="37">
        <v>0.26309921962095872</v>
      </c>
      <c r="AP6"/>
    </row>
    <row r="7" spans="2:42" ht="15" x14ac:dyDescent="0.25">
      <c r="B7" s="40" t="s">
        <v>53</v>
      </c>
      <c r="C7" s="35">
        <v>6</v>
      </c>
      <c r="E7" s="40" t="s">
        <v>37</v>
      </c>
      <c r="F7" s="35">
        <v>17</v>
      </c>
      <c r="H7" s="40" t="s">
        <v>73</v>
      </c>
      <c r="I7" s="35">
        <v>11</v>
      </c>
      <c r="K7" s="40" t="s">
        <v>37</v>
      </c>
      <c r="L7" s="36">
        <v>1112273</v>
      </c>
      <c r="M7" s="36">
        <v>15571822</v>
      </c>
      <c r="N7" s="36">
        <v>17796368</v>
      </c>
      <c r="O7" s="36">
        <v>2224546</v>
      </c>
      <c r="P7" s="36"/>
      <c r="R7" s="40" t="s">
        <v>66</v>
      </c>
      <c r="S7" s="35">
        <v>12</v>
      </c>
      <c r="U7" s="40" t="s">
        <v>66</v>
      </c>
      <c r="V7" s="36">
        <v>808056</v>
      </c>
      <c r="X7" s="40" t="s">
        <v>73</v>
      </c>
      <c r="Y7" s="36">
        <v>11015330</v>
      </c>
      <c r="AA7" s="41" t="s">
        <v>108</v>
      </c>
      <c r="AB7" s="36">
        <v>727148</v>
      </c>
      <c r="AD7" s="21" t="s">
        <v>76</v>
      </c>
      <c r="AE7" s="37">
        <v>0.18443161147242765</v>
      </c>
      <c r="AF7" s="37">
        <v>1</v>
      </c>
      <c r="AG7"/>
      <c r="AH7" s="21" t="s">
        <v>66</v>
      </c>
      <c r="AI7" s="22">
        <v>808056</v>
      </c>
      <c r="AJ7"/>
      <c r="AK7" s="21" t="s">
        <v>53</v>
      </c>
      <c r="AL7" s="22">
        <v>395302</v>
      </c>
      <c r="AM7"/>
      <c r="AN7" s="21" t="s">
        <v>76</v>
      </c>
      <c r="AO7" s="37">
        <v>0.18443161147242765</v>
      </c>
      <c r="AP7"/>
    </row>
    <row r="8" spans="2:42" ht="15" x14ac:dyDescent="0.25">
      <c r="B8" s="40" t="s">
        <v>69</v>
      </c>
      <c r="C8" s="35">
        <v>5</v>
      </c>
      <c r="E8" s="40" t="s">
        <v>44</v>
      </c>
      <c r="F8" s="35">
        <v>7</v>
      </c>
      <c r="H8" s="40" t="s">
        <v>60</v>
      </c>
      <c r="I8" s="35">
        <v>8</v>
      </c>
      <c r="K8" s="40" t="s">
        <v>44</v>
      </c>
      <c r="L8" s="36">
        <v>448083</v>
      </c>
      <c r="M8" s="36">
        <v>5825079</v>
      </c>
      <c r="N8" s="36">
        <v>7617411</v>
      </c>
      <c r="O8" s="36">
        <v>1792332</v>
      </c>
      <c r="P8" s="36"/>
      <c r="R8" s="40" t="s">
        <v>65</v>
      </c>
      <c r="S8" s="35">
        <v>11</v>
      </c>
      <c r="U8" s="40" t="s">
        <v>65</v>
      </c>
      <c r="V8" s="36">
        <v>707858</v>
      </c>
      <c r="X8" s="40" t="s">
        <v>60</v>
      </c>
      <c r="Y8" s="36">
        <v>7391918</v>
      </c>
      <c r="AA8" s="41" t="s">
        <v>116</v>
      </c>
      <c r="AB8" s="36">
        <v>565222</v>
      </c>
      <c r="AD8"/>
      <c r="AE8"/>
      <c r="AF8"/>
      <c r="AG8"/>
      <c r="AH8" s="21" t="s">
        <v>65</v>
      </c>
      <c r="AI8" s="22">
        <v>707858</v>
      </c>
      <c r="AJ8"/>
      <c r="AK8" s="21" t="s">
        <v>69</v>
      </c>
      <c r="AL8" s="22">
        <v>342460</v>
      </c>
      <c r="AM8"/>
      <c r="AN8"/>
      <c r="AO8"/>
      <c r="AP8"/>
    </row>
    <row r="9" spans="2:42" ht="15" x14ac:dyDescent="0.25">
      <c r="B9" s="40" t="s">
        <v>54</v>
      </c>
      <c r="C9" s="35">
        <v>12</v>
      </c>
      <c r="E9" s="40" t="s">
        <v>45</v>
      </c>
      <c r="F9" s="35">
        <v>8</v>
      </c>
      <c r="H9" s="40" t="s">
        <v>59</v>
      </c>
      <c r="I9" s="35">
        <v>6</v>
      </c>
      <c r="K9" s="40" t="s">
        <v>45</v>
      </c>
      <c r="L9" s="36">
        <v>531499</v>
      </c>
      <c r="M9" s="36">
        <v>6909487</v>
      </c>
      <c r="N9" s="36">
        <v>7972485</v>
      </c>
      <c r="O9" s="36">
        <v>1062998</v>
      </c>
      <c r="P9" s="36"/>
      <c r="R9" s="40" t="s">
        <v>68</v>
      </c>
      <c r="S9" s="35">
        <v>16</v>
      </c>
      <c r="U9" s="40" t="s">
        <v>68</v>
      </c>
      <c r="V9" s="36">
        <v>986924</v>
      </c>
      <c r="X9" s="40" t="s">
        <v>59</v>
      </c>
      <c r="Y9" s="36">
        <v>5245343</v>
      </c>
      <c r="AA9" s="41" t="s">
        <v>109</v>
      </c>
      <c r="AB9" s="36">
        <v>498223</v>
      </c>
      <c r="AD9"/>
      <c r="AE9"/>
      <c r="AF9"/>
      <c r="AG9"/>
      <c r="AH9" s="21" t="s">
        <v>68</v>
      </c>
      <c r="AI9" s="22">
        <v>986924</v>
      </c>
      <c r="AJ9"/>
      <c r="AK9" s="21" t="s">
        <v>54</v>
      </c>
      <c r="AL9" s="22">
        <v>808056</v>
      </c>
      <c r="AM9"/>
      <c r="AN9"/>
      <c r="AO9"/>
      <c r="AP9"/>
    </row>
    <row r="10" spans="2:42" ht="15" x14ac:dyDescent="0.25">
      <c r="B10" s="40" t="s">
        <v>63</v>
      </c>
      <c r="C10" s="35">
        <v>16</v>
      </c>
      <c r="E10" s="40" t="s">
        <v>40</v>
      </c>
      <c r="F10" s="35">
        <v>8</v>
      </c>
      <c r="H10" s="40" t="s">
        <v>100</v>
      </c>
      <c r="I10" s="35">
        <v>1</v>
      </c>
      <c r="K10" s="40" t="s">
        <v>40</v>
      </c>
      <c r="L10" s="36">
        <v>420891</v>
      </c>
      <c r="M10" s="36">
        <v>5050692</v>
      </c>
      <c r="N10" s="36">
        <v>6734256</v>
      </c>
      <c r="O10" s="36">
        <v>1683564</v>
      </c>
      <c r="P10" s="36"/>
      <c r="R10" s="40" t="s">
        <v>71</v>
      </c>
      <c r="S10" s="35">
        <v>10</v>
      </c>
      <c r="U10" s="40" t="s">
        <v>71</v>
      </c>
      <c r="V10" s="36">
        <v>564097</v>
      </c>
      <c r="X10" s="40" t="s">
        <v>100</v>
      </c>
      <c r="Y10" s="36">
        <v>1120000</v>
      </c>
      <c r="AA10" s="41" t="s">
        <v>110</v>
      </c>
      <c r="AB10" s="36">
        <v>318931</v>
      </c>
      <c r="AD10"/>
      <c r="AE10"/>
      <c r="AF10"/>
      <c r="AG10"/>
      <c r="AH10" s="21" t="s">
        <v>71</v>
      </c>
      <c r="AI10" s="22">
        <v>564097</v>
      </c>
      <c r="AJ10"/>
      <c r="AK10" s="21" t="s">
        <v>103</v>
      </c>
      <c r="AL10" s="22">
        <v>70000</v>
      </c>
      <c r="AM10"/>
      <c r="AN10"/>
      <c r="AO10"/>
      <c r="AP10"/>
    </row>
    <row r="11" spans="2:42" ht="15" x14ac:dyDescent="0.25">
      <c r="B11" s="40" t="s">
        <v>55</v>
      </c>
      <c r="C11" s="35">
        <v>10</v>
      </c>
      <c r="E11" s="40" t="s">
        <v>47</v>
      </c>
      <c r="F11" s="35">
        <v>14</v>
      </c>
      <c r="K11" s="40" t="s">
        <v>47</v>
      </c>
      <c r="L11" s="36">
        <v>893701</v>
      </c>
      <c r="M11" s="36">
        <v>14299216</v>
      </c>
      <c r="N11" s="36">
        <v>16086618</v>
      </c>
      <c r="O11" s="36">
        <v>1787402</v>
      </c>
      <c r="R11" s="40" t="s">
        <v>64</v>
      </c>
      <c r="S11" s="35">
        <v>14</v>
      </c>
      <c r="U11" s="40" t="s">
        <v>64</v>
      </c>
      <c r="V11" s="36">
        <v>922565</v>
      </c>
      <c r="AA11" s="41" t="s">
        <v>111</v>
      </c>
      <c r="AB11" s="36">
        <v>290799</v>
      </c>
      <c r="AD11"/>
      <c r="AE11"/>
      <c r="AF11"/>
      <c r="AG11"/>
      <c r="AH11" s="21" t="s">
        <v>64</v>
      </c>
      <c r="AI11" s="22">
        <v>922565</v>
      </c>
      <c r="AJ11"/>
      <c r="AK11" s="21" t="s">
        <v>63</v>
      </c>
      <c r="AL11" s="22">
        <v>986924</v>
      </c>
      <c r="AM11"/>
      <c r="AN11"/>
      <c r="AO11"/>
      <c r="AP11"/>
    </row>
    <row r="12" spans="2:42" ht="15" x14ac:dyDescent="0.25">
      <c r="B12" s="40" t="s">
        <v>62</v>
      </c>
      <c r="C12" s="35">
        <v>14</v>
      </c>
      <c r="E12" s="40" t="s">
        <v>50</v>
      </c>
      <c r="F12" s="35">
        <v>14</v>
      </c>
      <c r="K12" s="40" t="s">
        <v>50</v>
      </c>
      <c r="L12" s="36">
        <v>933324</v>
      </c>
      <c r="M12" s="36">
        <v>13999860</v>
      </c>
      <c r="N12" s="36">
        <v>16799832</v>
      </c>
      <c r="O12" s="36">
        <v>2799972</v>
      </c>
      <c r="R12" s="40" t="s">
        <v>74</v>
      </c>
      <c r="S12" s="35">
        <v>5</v>
      </c>
      <c r="U12" s="40" t="s">
        <v>74</v>
      </c>
      <c r="V12" s="36">
        <v>342460</v>
      </c>
      <c r="AA12" s="41" t="s">
        <v>112</v>
      </c>
      <c r="AB12" s="36">
        <v>773692</v>
      </c>
      <c r="AD12"/>
      <c r="AE12"/>
      <c r="AF12"/>
      <c r="AG12"/>
      <c r="AH12" s="21" t="s">
        <v>74</v>
      </c>
      <c r="AI12" s="22">
        <v>342460</v>
      </c>
      <c r="AJ12"/>
      <c r="AK12" s="21" t="s">
        <v>55</v>
      </c>
      <c r="AL12" s="22">
        <v>564097</v>
      </c>
      <c r="AM12"/>
      <c r="AN12"/>
      <c r="AO12"/>
      <c r="AP12"/>
    </row>
    <row r="13" spans="2:42" ht="15" x14ac:dyDescent="0.25">
      <c r="B13" s="40" t="s">
        <v>93</v>
      </c>
      <c r="C13" s="35">
        <v>1</v>
      </c>
      <c r="K13" s="40" t="s">
        <v>76</v>
      </c>
      <c r="L13" s="36">
        <v>6270681</v>
      </c>
      <c r="M13" s="36">
        <v>80751724</v>
      </c>
      <c r="N13" s="36">
        <v>95475223</v>
      </c>
      <c r="O13" s="36">
        <v>14723499</v>
      </c>
      <c r="R13" s="40" t="s">
        <v>94</v>
      </c>
      <c r="S13" s="35">
        <v>1</v>
      </c>
      <c r="U13" s="40" t="s">
        <v>94</v>
      </c>
      <c r="V13" s="36">
        <v>65252</v>
      </c>
      <c r="AA13" s="41" t="s">
        <v>113</v>
      </c>
      <c r="AB13" s="36">
        <v>262908</v>
      </c>
      <c r="AD13"/>
      <c r="AE13"/>
      <c r="AF13"/>
      <c r="AG13"/>
      <c r="AH13" s="21" t="s">
        <v>94</v>
      </c>
      <c r="AI13" s="22">
        <v>65252</v>
      </c>
      <c r="AJ13"/>
      <c r="AK13" s="21" t="s">
        <v>62</v>
      </c>
      <c r="AL13" s="22">
        <v>948184</v>
      </c>
      <c r="AM13"/>
      <c r="AN13"/>
      <c r="AO13"/>
      <c r="AP13"/>
    </row>
    <row r="14" spans="2:42" ht="15" x14ac:dyDescent="0.25">
      <c r="B14" s="40" t="s">
        <v>103</v>
      </c>
      <c r="C14" s="35">
        <v>1</v>
      </c>
      <c r="R14" s="40" t="s">
        <v>104</v>
      </c>
      <c r="S14" s="35">
        <v>1</v>
      </c>
      <c r="U14" s="40" t="s">
        <v>104</v>
      </c>
      <c r="V14" s="36">
        <v>70000</v>
      </c>
      <c r="AA14" s="41" t="s">
        <v>114</v>
      </c>
      <c r="AB14" s="36">
        <v>486411</v>
      </c>
      <c r="AD14"/>
      <c r="AE14"/>
      <c r="AF14"/>
      <c r="AG14"/>
      <c r="AH14" s="21" t="s">
        <v>104</v>
      </c>
      <c r="AI14" s="22">
        <v>70000</v>
      </c>
      <c r="AJ14"/>
      <c r="AK14" s="21" t="s">
        <v>93</v>
      </c>
      <c r="AL14" s="22">
        <v>65252</v>
      </c>
      <c r="AM14"/>
      <c r="AN14"/>
      <c r="AO14"/>
      <c r="AP14"/>
    </row>
    <row r="15" spans="2:42" ht="15" x14ac:dyDescent="0.25">
      <c r="U15" s="40" t="s">
        <v>76</v>
      </c>
      <c r="V15" s="36">
        <v>6270681</v>
      </c>
      <c r="AA15" s="41" t="s">
        <v>115</v>
      </c>
      <c r="AB15" s="36">
        <v>317646</v>
      </c>
      <c r="AD15"/>
      <c r="AE15"/>
      <c r="AF15"/>
      <c r="AG15"/>
      <c r="AH15" s="21" t="s">
        <v>76</v>
      </c>
      <c r="AI15" s="22">
        <v>6270681</v>
      </c>
      <c r="AJ15"/>
      <c r="AK15" s="21" t="s">
        <v>76</v>
      </c>
      <c r="AL15" s="22">
        <v>6270681</v>
      </c>
      <c r="AM15"/>
      <c r="AN15"/>
      <c r="AO15"/>
      <c r="AP15"/>
    </row>
    <row r="16" spans="2:42" ht="15" x14ac:dyDescent="0.25">
      <c r="AA16" s="41" t="s">
        <v>76</v>
      </c>
      <c r="AB16" s="36">
        <v>6270681</v>
      </c>
      <c r="AD16"/>
      <c r="AE16"/>
      <c r="AF16"/>
      <c r="AG16"/>
      <c r="AH16"/>
      <c r="AI16"/>
      <c r="AJ16"/>
      <c r="AK16"/>
      <c r="AL16"/>
      <c r="AM16"/>
      <c r="AN16"/>
      <c r="AO16"/>
      <c r="AP16"/>
    </row>
    <row r="17" spans="30:42" ht="15" x14ac:dyDescent="0.25">
      <c r="AD17"/>
      <c r="AE17"/>
      <c r="AF17"/>
      <c r="AG17"/>
      <c r="AH17"/>
      <c r="AI17"/>
      <c r="AJ17"/>
      <c r="AK17"/>
      <c r="AL17"/>
      <c r="AM17"/>
      <c r="AN17"/>
      <c r="AO17"/>
      <c r="AP17"/>
    </row>
    <row r="18" spans="30:42" ht="15" x14ac:dyDescent="0.25">
      <c r="AD18"/>
      <c r="AE18"/>
      <c r="AF18"/>
      <c r="AG18"/>
      <c r="AH18"/>
      <c r="AI18"/>
      <c r="AJ18"/>
      <c r="AK18"/>
      <c r="AL18"/>
      <c r="AM18"/>
      <c r="AN18"/>
      <c r="AO18"/>
      <c r="AP18"/>
    </row>
    <row r="19" spans="30:42" ht="15" x14ac:dyDescent="0.25">
      <c r="AD19"/>
      <c r="AE19"/>
      <c r="AF19"/>
      <c r="AG19"/>
      <c r="AH19"/>
      <c r="AI19"/>
      <c r="AJ19"/>
      <c r="AK19"/>
      <c r="AL19"/>
      <c r="AM19"/>
      <c r="AN19"/>
      <c r="AO19"/>
      <c r="AP19"/>
    </row>
    <row r="20" spans="30:42" ht="15" x14ac:dyDescent="0.25">
      <c r="AD20"/>
      <c r="AE20"/>
      <c r="AF20"/>
      <c r="AG20"/>
      <c r="AH20"/>
      <c r="AI20"/>
      <c r="AJ20"/>
      <c r="AK20"/>
      <c r="AL20"/>
      <c r="AM20"/>
      <c r="AN20"/>
      <c r="AO20"/>
      <c r="AP20"/>
    </row>
  </sheetData>
  <pageMargins left="0.7" right="0.7" top="0.75" bottom="0.75" header="0.3" footer="0.3"/>
  <pageSetup paperSize="9" orientation="portrait" r:id="rId1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64551-DFA2-408F-9EEA-52ED5596098A}">
  <sheetPr codeName="Sheet6"/>
  <dimension ref="C3:F17"/>
  <sheetViews>
    <sheetView showGridLines="0" workbookViewId="0">
      <selection activeCell="E15" sqref="E15"/>
    </sheetView>
  </sheetViews>
  <sheetFormatPr defaultRowHeight="15" x14ac:dyDescent="0.25"/>
  <cols>
    <col min="5" max="5" width="14" bestFit="1" customWidth="1"/>
    <col min="6" max="6" width="14.28515625" bestFit="1" customWidth="1"/>
  </cols>
  <sheetData>
    <row r="3" spans="3:6" x14ac:dyDescent="0.25">
      <c r="C3" s="32" t="s">
        <v>101</v>
      </c>
      <c r="D3" s="32" t="s">
        <v>102</v>
      </c>
      <c r="E3" s="32" t="s">
        <v>29</v>
      </c>
      <c r="F3" s="32" t="s">
        <v>18</v>
      </c>
    </row>
    <row r="4" spans="3:6" x14ac:dyDescent="0.25">
      <c r="C4" s="33">
        <v>1</v>
      </c>
      <c r="D4" s="33">
        <v>8.5</v>
      </c>
      <c r="E4" s="33" t="s">
        <v>60</v>
      </c>
      <c r="F4" s="34">
        <f>IFERROR(VLOOKUP(E4,Pivot!X:Y,2,0),"")</f>
        <v>7391918</v>
      </c>
    </row>
    <row r="5" spans="3:6" x14ac:dyDescent="0.25">
      <c r="C5" s="33">
        <v>2.5</v>
      </c>
      <c r="D5" s="33">
        <v>3.5</v>
      </c>
      <c r="E5" s="33" t="s">
        <v>59</v>
      </c>
      <c r="F5" s="34">
        <f>IFERROR(VLOOKUP(E5,Pivot!X:Y,2,0),"")</f>
        <v>5245343</v>
      </c>
    </row>
    <row r="6" spans="3:6" x14ac:dyDescent="0.25">
      <c r="C6" s="33">
        <v>5</v>
      </c>
      <c r="D6" s="33">
        <v>5</v>
      </c>
      <c r="E6" s="33" t="s">
        <v>57</v>
      </c>
      <c r="F6" s="34">
        <f>IFERROR(VLOOKUP(E6,Pivot!X:Y,2,0),"")</f>
        <v>18870414</v>
      </c>
    </row>
    <row r="7" spans="3:6" x14ac:dyDescent="0.25">
      <c r="C7" s="33">
        <v>6</v>
      </c>
      <c r="D7" s="33">
        <v>6.5</v>
      </c>
      <c r="E7" s="33" t="s">
        <v>73</v>
      </c>
      <c r="F7" s="34">
        <f>IFERROR(VLOOKUP(E7,Pivot!X:Y,2,0),"")</f>
        <v>11015330</v>
      </c>
    </row>
    <row r="8" spans="3:6" x14ac:dyDescent="0.25">
      <c r="C8" s="33">
        <v>8</v>
      </c>
      <c r="D8" s="33">
        <v>7</v>
      </c>
      <c r="E8" s="33" t="s">
        <v>58</v>
      </c>
      <c r="F8" s="34">
        <f>IFERROR(VLOOKUP(E8,Pivot!X:Y,2,0),"")</f>
        <v>14418924</v>
      </c>
    </row>
    <row r="9" spans="3:6" x14ac:dyDescent="0.25">
      <c r="C9" s="33">
        <v>6.5</v>
      </c>
      <c r="D9" s="33">
        <v>8.5</v>
      </c>
      <c r="E9" s="33" t="s">
        <v>56</v>
      </c>
      <c r="F9" s="34">
        <f>IFERROR(VLOOKUP(E9,Pivot!X:Y,2,0),"")</f>
        <v>37413294</v>
      </c>
    </row>
    <row r="10" spans="3:6" x14ac:dyDescent="0.25">
      <c r="C10" s="33">
        <v>9.5</v>
      </c>
      <c r="D10" s="33">
        <v>2</v>
      </c>
      <c r="E10" s="33" t="s">
        <v>100</v>
      </c>
      <c r="F10" s="34">
        <f>IFERROR(VLOOKUP(E10,Pivot!X:Y,2,0),"")</f>
        <v>1120000</v>
      </c>
    </row>
    <row r="11" spans="3:6" x14ac:dyDescent="0.25">
      <c r="C11" s="33"/>
      <c r="D11" s="33"/>
      <c r="E11" s="33"/>
      <c r="F11" s="34" t="str">
        <f>IFERROR(VLOOKUP(E11,Pivot!X:Y,2,0),"")</f>
        <v/>
      </c>
    </row>
    <row r="12" spans="3:6" x14ac:dyDescent="0.25">
      <c r="C12" s="33"/>
      <c r="D12" s="33"/>
      <c r="E12" s="33"/>
      <c r="F12" s="34" t="str">
        <f>IFERROR(VLOOKUP(E12,Pivot!X:Y,2,0),"")</f>
        <v/>
      </c>
    </row>
    <row r="13" spans="3:6" x14ac:dyDescent="0.25">
      <c r="C13" s="33"/>
      <c r="D13" s="33"/>
      <c r="E13" s="33"/>
      <c r="F13" s="34" t="str">
        <f>IFERROR(VLOOKUP(E13,Pivot!X:Y,2,0),"")</f>
        <v/>
      </c>
    </row>
    <row r="14" spans="3:6" x14ac:dyDescent="0.25">
      <c r="C14" s="33"/>
      <c r="D14" s="33"/>
      <c r="E14" s="33"/>
      <c r="F14" s="34" t="str">
        <f>IFERROR(VLOOKUP(E14,Pivot!X:Y,2,0),"")</f>
        <v/>
      </c>
    </row>
    <row r="15" spans="3:6" x14ac:dyDescent="0.25">
      <c r="C15" s="33"/>
      <c r="D15" s="33"/>
      <c r="E15" s="33"/>
      <c r="F15" s="34" t="str">
        <f>IFERROR(VLOOKUP(E15,Pivot!X:Y,2,0),"")</f>
        <v/>
      </c>
    </row>
    <row r="16" spans="3:6" x14ac:dyDescent="0.25">
      <c r="C16" s="33"/>
      <c r="D16" s="33"/>
      <c r="E16" s="33"/>
      <c r="F16" s="34" t="str">
        <f>IFERROR(VLOOKUP(E16,Pivot!X:Y,2,0),"")</f>
        <v/>
      </c>
    </row>
    <row r="17" spans="3:6" x14ac:dyDescent="0.25">
      <c r="C17" s="33"/>
      <c r="D17" s="33"/>
      <c r="E17" s="33"/>
      <c r="F17" s="34" t="str">
        <f>IFERROR(VLOOKUP(E17,Pivot!X:Y,2,0),"")</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11E634F9-D3F9-4B31-849A-34D16A555D79}">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C2B5BC36-D8BD-4786-A47C-FDCD534C62F9}">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Raw Data</vt:lpstr>
      <vt:lpstr>Database</vt:lpstr>
      <vt:lpstr>Pivot</vt:lpstr>
      <vt:lpstr>map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cp:lastPrinted>2020-10-05T15:36:58Z</cp:lastPrinted>
  <dcterms:created xsi:type="dcterms:W3CDTF">2015-06-05T18:17:20Z</dcterms:created>
  <dcterms:modified xsi:type="dcterms:W3CDTF">2024-09-20T12:25:55Z</dcterms:modified>
</cp:coreProperties>
</file>