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Strategy _ Management\"/>
    </mc:Choice>
  </mc:AlternateContent>
  <xr:revisionPtr revIDLastSave="0" documentId="13_ncr:1_{4C7C4824-67F0-4AFC-A4A4-28678CF56B6F}" xr6:coauthVersionLast="47" xr6:coauthVersionMax="47" xr10:uidLastSave="{00000000-0000-0000-0000-000000000000}"/>
  <bookViews>
    <workbookView xWindow="-120" yWindow="-120" windowWidth="29040" windowHeight="15840" xr2:uid="{73097E03-4C65-4EA6-ABDF-EA362E770085}"/>
  </bookViews>
  <sheets>
    <sheet name="Introduction" sheetId="6" r:id="rId1"/>
    <sheet name="Contract Management" sheetId="1" r:id="rId2"/>
    <sheet name="Sheet1" sheetId="8" state="hidden" r:id="rId3"/>
    <sheet name="Contract Database" sheetId="7" r:id="rId4"/>
  </sheets>
  <definedNames>
    <definedName name="_aaa1" hidden="1">{#N/A,#N/A,FALSE,"Antony Financials";#N/A,#N/A,FALSE,"Cowboy Financials";#N/A,#N/A,FALSE,"Combined";#N/A,#N/A,FALSE,"Valuematrix";#N/A,#N/A,FALSE,"DCFAntony";#N/A,#N/A,FALSE,"DCFCowboy";#N/A,#N/A,FALSE,"DCFCombined"}</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Category">OFFSET('Contract Database'!$B$5,0,0,COUNTA('Contract Database'!$B:$B)-1,1)</definedName>
    <definedName name="Contract_Number">OFFSET('Contract Management'!$B$25,0,0,COUNTA('Contract Management'!$B$25:$B$1048576),1)</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epartment">OFFSET('Contract Database'!$D$5,0,0,COUNTA('Contract Database'!$D:$D)-1,1)</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External">OFFSET('Contract Database'!$K$5,0,0,COUNTA('Contract Database'!$K:$K)-1,1)</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nternal">OFFSET('Contract Database'!$H$5,0,0,COUNTA('Contract Database'!$H:$H)-1,1)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Contract_Category">#N/A</definedName>
    <definedName name="Slicer_Contract_Status">#N/A</definedName>
    <definedName name="Slicer_Related_Department">#N/A</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5" i="1" l="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G34" i="1"/>
  <c r="J34" i="1"/>
  <c r="M34" i="1" s="1"/>
  <c r="L34" i="1" s="1"/>
  <c r="S34" i="1"/>
  <c r="G33" i="1"/>
  <c r="J33" i="1"/>
  <c r="M33" i="1" s="1"/>
  <c r="S33" i="1"/>
  <c r="G32" i="1"/>
  <c r="J32" i="1"/>
  <c r="M32" i="1" s="1"/>
  <c r="S32" i="1"/>
  <c r="O34" i="1" l="1"/>
  <c r="P34" i="1" s="1"/>
  <c r="L33" i="1"/>
  <c r="O33" i="1"/>
  <c r="P33" i="1" s="1"/>
  <c r="L32" i="1"/>
  <c r="O32" i="1"/>
  <c r="P32" i="1" s="1"/>
  <c r="T21" i="1"/>
  <c r="T20" i="1"/>
  <c r="T13" i="1"/>
  <c r="T11" i="1"/>
  <c r="T8" i="1"/>
  <c r="T6" i="1"/>
  <c r="T5" i="1"/>
  <c r="T4" i="1"/>
  <c r="T3" i="1"/>
  <c r="T10" i="1"/>
  <c r="S21" i="1"/>
  <c r="S20" i="1"/>
  <c r="S13" i="1"/>
  <c r="S11" i="1"/>
  <c r="S10" i="1"/>
  <c r="S8" i="1"/>
  <c r="S5" i="1"/>
  <c r="S6" i="1"/>
  <c r="S4" i="1"/>
  <c r="S3" i="1"/>
  <c r="G31" i="1" l="1"/>
  <c r="J31" i="1"/>
  <c r="M31" i="1" s="1"/>
  <c r="S31" i="1"/>
  <c r="O31" i="1" l="1"/>
  <c r="P31" i="1" s="1"/>
  <c r="L31" i="1"/>
  <c r="G30" i="1"/>
  <c r="J30" i="1"/>
  <c r="M30" i="1" s="1"/>
  <c r="S30" i="1"/>
  <c r="A30" i="1"/>
  <c r="A31" i="1"/>
  <c r="A32" i="1"/>
  <c r="A33" i="1"/>
  <c r="A34" i="1"/>
  <c r="S25" i="1"/>
  <c r="T22" i="1" s="1"/>
  <c r="S26" i="1"/>
  <c r="S27" i="1"/>
  <c r="S28" i="1"/>
  <c r="S29" i="1"/>
  <c r="S22" i="1" s="1"/>
  <c r="G3" i="1"/>
  <c r="F3" i="1"/>
  <c r="D3" i="1"/>
  <c r="E3" i="1"/>
  <c r="C3" i="1"/>
  <c r="L30" i="1" l="1"/>
  <c r="O30" i="1"/>
  <c r="P30" i="1" s="1"/>
  <c r="G29" i="1"/>
  <c r="J29" i="1"/>
  <c r="G28" i="1"/>
  <c r="J28" i="1"/>
  <c r="M28" i="1" s="1"/>
  <c r="G27" i="1"/>
  <c r="J27" i="1"/>
  <c r="M27" i="1" s="1"/>
  <c r="G26" i="1"/>
  <c r="J26" i="1"/>
  <c r="M26" i="1" s="1"/>
  <c r="O26" i="1" s="1"/>
  <c r="P26" i="1" s="1"/>
  <c r="J25" i="1"/>
  <c r="M25" i="1" s="1"/>
  <c r="L25" i="1" s="1"/>
  <c r="G25" i="1"/>
  <c r="T9" i="1" l="1"/>
  <c r="M29" i="1"/>
  <c r="T16" i="1" s="1"/>
  <c r="T12" i="1"/>
  <c r="S12" i="1"/>
  <c r="S9" i="1"/>
  <c r="L28" i="1"/>
  <c r="O28" i="1"/>
  <c r="P28" i="1" s="1"/>
  <c r="O27" i="1"/>
  <c r="L27" i="1"/>
  <c r="O25" i="1"/>
  <c r="P25" i="1" s="1"/>
  <c r="L26" i="1"/>
  <c r="A26" i="1"/>
  <c r="S16" i="1" l="1"/>
  <c r="L29" i="1"/>
  <c r="T15" i="1" s="1"/>
  <c r="O29" i="1"/>
  <c r="P29" i="1" s="1"/>
  <c r="T17" i="1"/>
  <c r="P27" i="1"/>
  <c r="A25" i="1"/>
  <c r="S15" i="1" l="1"/>
  <c r="S17" i="1"/>
  <c r="T18" i="1"/>
  <c r="S18" i="1"/>
  <c r="A27" i="1"/>
  <c r="A28" i="1"/>
  <c r="A29" i="1"/>
</calcChain>
</file>

<file path=xl/sharedStrings.xml><?xml version="1.0" encoding="utf-8"?>
<sst xmlns="http://schemas.openxmlformats.org/spreadsheetml/2006/main" count="260" uniqueCount="165">
  <si>
    <t>Title</t>
  </si>
  <si>
    <t>Navigation</t>
  </si>
  <si>
    <t>Content</t>
  </si>
  <si>
    <t>Customization difficulty (1-3)</t>
  </si>
  <si>
    <t>Explanation of sheets</t>
  </si>
  <si>
    <t>How to customize</t>
  </si>
  <si>
    <t>1)</t>
  </si>
  <si>
    <t>2)</t>
  </si>
  <si>
    <t>3)</t>
  </si>
  <si>
    <t>4)</t>
  </si>
  <si>
    <t>5)</t>
  </si>
  <si>
    <t>6)</t>
  </si>
  <si>
    <t>7)</t>
  </si>
  <si>
    <t>8)</t>
  </si>
  <si>
    <t>9)</t>
  </si>
  <si>
    <t>10)</t>
  </si>
  <si>
    <t>Procurement</t>
  </si>
  <si>
    <t>Contracts Management</t>
  </si>
  <si>
    <t>Add Contract</t>
  </si>
  <si>
    <t>Contract Number</t>
  </si>
  <si>
    <t>Contract Category</t>
  </si>
  <si>
    <t>Contract Period (Month)</t>
  </si>
  <si>
    <t>Notice Period (Month)</t>
  </si>
  <si>
    <t>Remain Days To Notice</t>
  </si>
  <si>
    <t>Remain Days To Expiration</t>
  </si>
  <si>
    <t>Contracts Database Lists</t>
  </si>
  <si>
    <t>Contacts Category</t>
  </si>
  <si>
    <t>Organization / Member Name</t>
  </si>
  <si>
    <t>Contract Starting Date</t>
  </si>
  <si>
    <t>Contract Expiration Date</t>
  </si>
  <si>
    <t>Joining Date</t>
  </si>
  <si>
    <t>Accumulation Duration (Month)</t>
  </si>
  <si>
    <t>Departments</t>
  </si>
  <si>
    <t>Contract Completion%</t>
  </si>
  <si>
    <t>Cost Of Contract $</t>
  </si>
  <si>
    <t>Quality</t>
  </si>
  <si>
    <t>Outsource</t>
  </si>
  <si>
    <t>Supplier</t>
  </si>
  <si>
    <t>Purchase</t>
  </si>
  <si>
    <t>Production</t>
  </si>
  <si>
    <t>Planning</t>
  </si>
  <si>
    <t>Tarek Saad</t>
  </si>
  <si>
    <t>Rami Adel</t>
  </si>
  <si>
    <t>CONT-202001</t>
  </si>
  <si>
    <t>Samy Ali</t>
  </si>
  <si>
    <t>Finance</t>
  </si>
  <si>
    <t>Material</t>
  </si>
  <si>
    <t>CONT-202002</t>
  </si>
  <si>
    <t>CONT-202003</t>
  </si>
  <si>
    <t>Guest</t>
  </si>
  <si>
    <t>CONT-202004</t>
  </si>
  <si>
    <t>Golden way</t>
  </si>
  <si>
    <t>CONT-202005</t>
  </si>
  <si>
    <t>Contract Status</t>
  </si>
  <si>
    <t>Type Of Contract</t>
  </si>
  <si>
    <t>Internal</t>
  </si>
  <si>
    <t>External</t>
  </si>
  <si>
    <t>Internal Contacts</t>
  </si>
  <si>
    <t>Email Address</t>
  </si>
  <si>
    <t>External Contacts</t>
  </si>
  <si>
    <t>External Contacts Database</t>
  </si>
  <si>
    <t>Internal Contacts List</t>
  </si>
  <si>
    <t>Type Of Contact</t>
  </si>
  <si>
    <t>Member To Be Contacted</t>
  </si>
  <si>
    <t>Note</t>
  </si>
  <si>
    <t>Adel.ahmed@yahoo.com</t>
  </si>
  <si>
    <t>CONT-202006</t>
  </si>
  <si>
    <t>Related Department</t>
  </si>
  <si>
    <t>Adel Ahmed Saad</t>
  </si>
  <si>
    <t>Rami Samy</t>
  </si>
  <si>
    <t>Mohamed Ismail</t>
  </si>
  <si>
    <t>Rami.Sami@outlook.com</t>
  </si>
  <si>
    <t>Mohamed.Ismail12@gmail.com</t>
  </si>
  <si>
    <t>Kareem Mostafa</t>
  </si>
  <si>
    <t>Kareem.Mostafa87@yahoo.com</t>
  </si>
  <si>
    <t>Ahmed Khaled</t>
  </si>
  <si>
    <t>Ahmed.Khaled82@Yahoo.com</t>
  </si>
  <si>
    <t>In Time</t>
  </si>
  <si>
    <t>Row Labels</t>
  </si>
  <si>
    <t>About To Finish</t>
  </si>
  <si>
    <t>Active</t>
  </si>
  <si>
    <t>Grand Total</t>
  </si>
  <si>
    <t>Count of Contract Number</t>
  </si>
  <si>
    <t>Total Contracts</t>
  </si>
  <si>
    <t>Active Contracts</t>
  </si>
  <si>
    <t>Expired Contracts</t>
  </si>
  <si>
    <t>Sum of Cost Of Contract $</t>
  </si>
  <si>
    <t>Total Cost</t>
  </si>
  <si>
    <t>Sum of Remain Days To Expiration</t>
  </si>
  <si>
    <t>Sum of Remain Days To Notice</t>
  </si>
  <si>
    <t>expired</t>
  </si>
  <si>
    <t>Employement renew</t>
  </si>
  <si>
    <t>CONT-202007</t>
  </si>
  <si>
    <t>Rai</t>
  </si>
  <si>
    <t>Contracts Database</t>
  </si>
  <si>
    <t>Category</t>
  </si>
  <si>
    <t>Name</t>
  </si>
  <si>
    <t>Department</t>
  </si>
  <si>
    <t>Contract Details</t>
  </si>
  <si>
    <t>Dates</t>
  </si>
  <si>
    <t>Cost OF Contract $</t>
  </si>
  <si>
    <t>Contracts Search and Comparison</t>
  </si>
  <si>
    <t>Contract Completion %</t>
  </si>
  <si>
    <t>Indications</t>
  </si>
  <si>
    <t>Contact Information</t>
  </si>
  <si>
    <t>Status</t>
  </si>
  <si>
    <t>CONT-202008</t>
  </si>
  <si>
    <t>CONT-202009</t>
  </si>
  <si>
    <t>CONT-202010</t>
  </si>
  <si>
    <t>Nader Ahmed</t>
  </si>
  <si>
    <t>Ayman Badr</t>
  </si>
  <si>
    <t>Ahmed Kamel</t>
  </si>
  <si>
    <t>Definitions &amp; Guides</t>
  </si>
  <si>
    <t>Customer</t>
  </si>
  <si>
    <t>Joining date</t>
  </si>
  <si>
    <t>Notice Period</t>
  </si>
  <si>
    <t>Expired</t>
  </si>
  <si>
    <t>General</t>
  </si>
  <si>
    <t>Main sheet to register your contracts details and review contracts analysis through top dashboard</t>
  </si>
  <si>
    <t>During this sheet you will record organization database that will reflect the data source of contracts information</t>
  </si>
  <si>
    <t>11)</t>
  </si>
  <si>
    <t>12)</t>
  </si>
  <si>
    <t>13)</t>
  </si>
  <si>
    <t>14)</t>
  </si>
  <si>
    <t>15)</t>
  </si>
  <si>
    <t>16)</t>
  </si>
  <si>
    <t>Refers to the date of first contract between the two parties</t>
  </si>
  <si>
    <t>Accumulated Duration</t>
  </si>
  <si>
    <t>Accumulated Duration (Month)</t>
  </si>
  <si>
    <t>Contract Management</t>
  </si>
  <si>
    <t>Contract Management is the management of contracts made with customers, vendors, partners, or employees</t>
  </si>
  <si>
    <t>To which department contract the cost will be accounted</t>
  </si>
  <si>
    <t>Total period from first contract date until now</t>
  </si>
  <si>
    <t>The time required to notify 2nd contract party before contract expiration date</t>
  </si>
  <si>
    <t>Refers remaining time percent for the contract</t>
  </si>
  <si>
    <t>Contract is active and at greater than 20% of contract length remaining</t>
  </si>
  <si>
    <t>Contract is active, yet at less than 20% of contract length remaining and soon to expire</t>
  </si>
  <si>
    <t xml:space="preserve">Contract time period is finished and the renewal date is passed </t>
  </si>
  <si>
    <t>Starting from Contracts Database, record your database lists to be used in contracts management calculations</t>
  </si>
  <si>
    <t>Record contracts category assigned in your organization</t>
  </si>
  <si>
    <t xml:space="preserve">Register related department. Will be used as dropdown list to be selected in Contract Management sheet. </t>
  </si>
  <si>
    <t>Defined if each contract is internal or external party so you can keep contract type to be the same list</t>
  </si>
  <si>
    <t xml:space="preserve">Add internal and external contact members and contact information in case a party needs to be notified or contacted. </t>
  </si>
  <si>
    <t>Contact Members List will be used in Contract Management automatically</t>
  </si>
  <si>
    <t xml:space="preserve">Now database is ready, </t>
  </si>
  <si>
    <t>Go to Contract Management sheet</t>
  </si>
  <si>
    <t xml:space="preserve">Record Contract Data. Some data will be available from a dropdown list. </t>
  </si>
  <si>
    <t>Only white blank cells are available for data entry and dropdown list selection. Don't try to use gray cells as it contains calculations.</t>
  </si>
  <si>
    <t>Add contract details as mentioned in the headers and descriped in above definitions.</t>
  </si>
  <si>
    <t>Add new contract information by following the arrow shows you where to add new data</t>
  </si>
  <si>
    <t>To maximize display view, click on the Full Screen button in cell R25</t>
  </si>
  <si>
    <t>Top area showcases visuals related to the status and number of contracts as well as remaining days</t>
  </si>
  <si>
    <t>To update charts and trends data source, you can click the Refresh button</t>
  </si>
  <si>
    <t>On the right side you can see contracts search and comparison part. You can select contract number from the blank white box for up to 2 contracts and see the details below.</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</si>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</sst>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quot;$&quot;* #,##0.00_);_(&quot;$&quot;* \(#,##0.00\);_(&quot;$&quot;* &quot;-&quot;??_);_(@_)"/>
    <numFmt numFmtId="165" formatCode="_(* #,##0.00_);_(* \(#,##0.00\);_(* &quot;-&quot;??_);_(@_)"/>
    <numFmt numFmtId="166" formatCode="[$-409]d&quot;-&quot;mmm&quot;-&quot;yy;@"/>
    <numFmt numFmtId="167" formatCode="_(* #,##0_);_(* \(#,##0\);_(* &quot;-&quot;??_);_(@_)"/>
    <numFmt numFmtId="168" formatCode="&quot;$&quot;#,##0"/>
    <numFmt numFmtId="169" formatCode="m/d/yyyy;@"/>
  </numFmts>
  <fonts count="43"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0"/>
      <color rgb="FF50B47F"/>
      <name val="Arial"/>
      <family val="2"/>
    </font>
    <font>
      <sz val="10"/>
      <color theme="9" tint="0.59999389629810485"/>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b/>
      <u/>
      <sz val="10"/>
      <color theme="1" tint="0.499984740745262"/>
      <name val="Arial"/>
      <family val="2"/>
    </font>
    <font>
      <sz val="18"/>
      <color theme="1" tint="0.499984740745262"/>
      <name val="Arial"/>
      <family val="2"/>
    </font>
    <font>
      <sz val="18"/>
      <color rgb="FF50B47F"/>
      <name val="Arial"/>
      <family val="2"/>
    </font>
    <font>
      <sz val="18"/>
      <color theme="7" tint="-0.249977111117893"/>
      <name val="Arial"/>
      <family val="2"/>
    </font>
    <font>
      <sz val="18"/>
      <color rgb="FFC00000"/>
      <name val="Arial"/>
      <family val="2"/>
    </font>
    <font>
      <sz val="24"/>
      <color rgb="FF50B47F"/>
      <name val="Arial"/>
      <family val="2"/>
    </font>
    <font>
      <sz val="24"/>
      <color theme="7" tint="-0.249977111117893"/>
      <name val="Arial"/>
      <family val="2"/>
    </font>
    <font>
      <sz val="24"/>
      <color rgb="FFC00000"/>
      <name val="Arial"/>
      <family val="2"/>
    </font>
    <font>
      <sz val="36"/>
      <color rgb="FF50B47F"/>
      <name val="Arial"/>
      <family val="2"/>
    </font>
    <font>
      <sz val="36"/>
      <color theme="7" tint="-0.249977111117893"/>
      <name val="Arial"/>
      <family val="2"/>
    </font>
    <font>
      <sz val="36"/>
      <color rgb="FFC00000"/>
      <name val="Arial"/>
      <family val="2"/>
    </font>
    <font>
      <sz val="36"/>
      <color theme="1" tint="0.499984740745262"/>
      <name val="Arial"/>
      <family val="2"/>
    </font>
    <font>
      <b/>
      <sz val="11"/>
      <color theme="1" tint="0.499984740745262"/>
      <name val="Arial"/>
      <family val="2"/>
    </font>
    <font>
      <sz val="24"/>
      <color theme="1" tint="0.499984740745262"/>
      <name val="Arial"/>
      <family val="2"/>
    </font>
    <font>
      <b/>
      <sz val="11"/>
      <color rgb="FF50B47F"/>
      <name val="Arial"/>
      <family val="2"/>
    </font>
    <font>
      <b/>
      <sz val="11"/>
      <color theme="7" tint="-0.249977111117893"/>
      <name val="Arial"/>
      <family val="2"/>
    </font>
    <font>
      <b/>
      <sz val="11"/>
      <color rgb="FFC00000"/>
      <name val="Arial"/>
      <family val="2"/>
    </font>
    <font>
      <b/>
      <sz val="11"/>
      <color theme="3"/>
      <name val="Arial"/>
      <family val="2"/>
    </font>
    <font>
      <sz val="16"/>
      <color theme="3"/>
      <name val="Arial"/>
      <family val="2"/>
    </font>
    <font>
      <sz val="10"/>
      <color theme="1" tint="0.499984740745262"/>
      <name val="Arial"/>
      <family val="2"/>
    </font>
    <font>
      <sz val="10"/>
      <color theme="1" tint="0.34998626667073579"/>
      <name val="Arial"/>
      <family val="2"/>
    </font>
    <font>
      <b/>
      <u/>
      <sz val="10"/>
      <color theme="1" tint="0.34998626667073579"/>
      <name val="Arial"/>
      <family val="2"/>
    </font>
    <font>
      <b/>
      <sz val="14"/>
      <color theme="0"/>
      <name val="Arial"/>
      <family val="2"/>
    </font>
    <font>
      <sz val="10"/>
      <color rgb="FF000000"/>
      <name val="Arial"/>
      <family val="2"/>
    </font>
  </fonts>
  <fills count="8">
    <fill>
      <patternFill patternType="none"/>
    </fill>
    <fill>
      <patternFill patternType="gray125"/>
    </fill>
    <fill>
      <patternFill patternType="solid">
        <fgColor rgb="FF50B47F"/>
        <bgColor indexed="64"/>
      </patternFill>
    </fill>
    <fill>
      <patternFill patternType="solid">
        <fgColor theme="0" tint="-0.14999847407452621"/>
        <bgColor indexed="64"/>
      </patternFill>
    </fill>
    <fill>
      <patternFill patternType="solid">
        <fgColor rgb="FF8FCFAD"/>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s>
  <borders count="17">
    <border>
      <left/>
      <right/>
      <top/>
      <bottom/>
      <diagonal/>
    </border>
    <border>
      <left/>
      <right/>
      <top/>
      <bottom style="medium">
        <color theme="0" tint="-0.14996795556505021"/>
      </bottom>
      <diagonal/>
    </border>
    <border>
      <left/>
      <right/>
      <top/>
      <bottom style="thin">
        <color theme="0" tint="-0.14996795556505021"/>
      </bottom>
      <diagonal/>
    </border>
    <border>
      <left style="thin">
        <color theme="0" tint="-0.24994659260841701"/>
      </left>
      <right/>
      <top/>
      <bottom/>
      <diagonal/>
    </border>
    <border>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double">
        <color theme="1" tint="0.499984740745262"/>
      </left>
      <right style="double">
        <color theme="1" tint="0.499984740745262"/>
      </right>
      <top style="double">
        <color theme="1" tint="0.499984740745262"/>
      </top>
      <bottom style="double">
        <color theme="1" tint="0.499984740745262"/>
      </bottom>
      <diagonal/>
    </border>
    <border>
      <left style="thin">
        <color theme="0" tint="-0.14996795556505021"/>
      </left>
      <right style="thin">
        <color theme="0" tint="-0.14996795556505021"/>
      </right>
      <top/>
      <bottom style="thin">
        <color theme="0" tint="-0.14993743705557422"/>
      </bottom>
      <diagonal/>
    </border>
    <border>
      <left style="thin">
        <color theme="0" tint="-0.14996795556505021"/>
      </left>
      <right style="thin">
        <color theme="0" tint="-0.14996795556505021"/>
      </right>
      <top style="thin">
        <color theme="0" tint="-0.14993743705557422"/>
      </top>
      <bottom/>
      <diagonal/>
    </border>
    <border>
      <left style="thin">
        <color theme="0" tint="-0.14996795556505021"/>
      </left>
      <right style="thin">
        <color theme="0" tint="-0.14996795556505021"/>
      </right>
      <top/>
      <bottom/>
      <diagonal/>
    </border>
  </borders>
  <cellStyleXfs count="13">
    <xf numFmtId="0" fontId="0"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xf numFmtId="0" fontId="3" fillId="0" borderId="0"/>
    <xf numFmtId="0" fontId="2" fillId="0" borderId="0"/>
    <xf numFmtId="9" fontId="2" fillId="0" borderId="0" applyFont="0" applyFill="0" applyBorder="0" applyAlignment="0" applyProtection="0"/>
    <xf numFmtId="165" fontId="2" fillId="0" borderId="0" applyFont="0" applyFill="0" applyBorder="0" applyAlignment="0" applyProtection="0"/>
    <xf numFmtId="0" fontId="1" fillId="0" borderId="0"/>
    <xf numFmtId="9" fontId="1" fillId="0" borderId="0" applyFont="0" applyFill="0" applyBorder="0" applyAlignment="0" applyProtection="0"/>
    <xf numFmtId="165" fontId="1" fillId="0" borderId="0" applyFont="0" applyFill="0" applyBorder="0" applyAlignment="0" applyProtection="0"/>
    <xf numFmtId="165" fontId="3" fillId="0" borderId="0" applyFont="0" applyFill="0" applyBorder="0" applyAlignment="0" applyProtection="0"/>
    <xf numFmtId="164" fontId="3" fillId="0" borderId="0" applyFont="0" applyFill="0" applyBorder="0" applyAlignment="0" applyProtection="0"/>
  </cellStyleXfs>
  <cellXfs count="118">
    <xf numFmtId="0" fontId="0" fillId="0" borderId="0" xfId="0"/>
    <xf numFmtId="0" fontId="9" fillId="0" borderId="0" xfId="3" applyFont="1"/>
    <xf numFmtId="0" fontId="3" fillId="0" borderId="0" xfId="4"/>
    <xf numFmtId="0" fontId="6" fillId="0" borderId="0" xfId="4" applyFont="1"/>
    <xf numFmtId="0" fontId="6" fillId="0" borderId="0" xfId="4" quotePrefix="1" applyFont="1" applyAlignment="1">
      <alignment horizontal="right"/>
    </xf>
    <xf numFmtId="0" fontId="10" fillId="0" borderId="0" xfId="0" applyFont="1"/>
    <xf numFmtId="0" fontId="12" fillId="2" borderId="0" xfId="3" applyFont="1" applyFill="1"/>
    <xf numFmtId="0" fontId="4" fillId="2" borderId="0" xfId="3" applyFont="1" applyFill="1"/>
    <xf numFmtId="0" fontId="13" fillId="2" borderId="0" xfId="2" applyFont="1" applyFill="1"/>
    <xf numFmtId="0" fontId="11" fillId="2" borderId="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14" fillId="0" borderId="0" xfId="4" quotePrefix="1" applyFont="1" applyAlignment="1">
      <alignment horizontal="right"/>
    </xf>
    <xf numFmtId="0" fontId="15" fillId="0" borderId="0" xfId="4" applyFont="1"/>
    <xf numFmtId="0" fontId="17" fillId="0" borderId="0" xfId="0" applyFont="1" applyAlignment="1">
      <alignment horizontal="right"/>
    </xf>
    <xf numFmtId="0" fontId="6" fillId="0" borderId="0" xfId="0" applyFont="1"/>
    <xf numFmtId="0" fontId="18" fillId="0" borderId="0" xfId="4" quotePrefix="1" applyFont="1" applyAlignment="1">
      <alignment horizontal="right"/>
    </xf>
    <xf numFmtId="0" fontId="0" fillId="0" borderId="0" xfId="0" applyAlignment="1">
      <alignment horizontal="left"/>
    </xf>
    <xf numFmtId="0" fontId="0" fillId="4" borderId="2" xfId="0" applyFill="1" applyBorder="1"/>
    <xf numFmtId="0" fontId="16" fillId="4" borderId="2" xfId="0" applyFont="1" applyFill="1" applyBorder="1"/>
    <xf numFmtId="1" fontId="0" fillId="3" borderId="0" xfId="0" applyNumberFormat="1" applyFill="1" applyAlignment="1">
      <alignment horizontal="center"/>
    </xf>
    <xf numFmtId="166" fontId="0" fillId="0" borderId="0" xfId="0" applyNumberFormat="1" applyAlignment="1">
      <alignment horizontal="center"/>
    </xf>
    <xf numFmtId="1" fontId="16" fillId="0" borderId="0" xfId="2" applyNumberFormat="1" applyFont="1" applyBorder="1" applyAlignment="1">
      <alignment horizontal="center"/>
    </xf>
    <xf numFmtId="1" fontId="0" fillId="0" borderId="0" xfId="1" applyNumberFormat="1" applyFont="1" applyBorder="1" applyAlignment="1">
      <alignment horizontal="center"/>
    </xf>
    <xf numFmtId="1" fontId="0" fillId="3" borderId="0" xfId="1" applyNumberFormat="1" applyFont="1" applyFill="1" applyBorder="1" applyAlignment="1">
      <alignment horizontal="center"/>
    </xf>
    <xf numFmtId="0" fontId="0" fillId="0" borderId="0" xfId="0" applyAlignment="1">
      <alignment horizontal="center"/>
    </xf>
    <xf numFmtId="1" fontId="16" fillId="0" borderId="0" xfId="2" applyNumberFormat="1" applyFont="1" applyAlignment="1">
      <alignment horizontal="center"/>
    </xf>
    <xf numFmtId="1" fontId="0" fillId="0" borderId="0" xfId="1" applyNumberFormat="1" applyFont="1" applyAlignment="1">
      <alignment horizontal="center"/>
    </xf>
    <xf numFmtId="1" fontId="0" fillId="3" borderId="0" xfId="1" applyNumberFormat="1" applyFont="1" applyFill="1" applyAlignment="1">
      <alignment horizontal="center"/>
    </xf>
    <xf numFmtId="9" fontId="0" fillId="0" borderId="0" xfId="1" applyFont="1" applyFill="1" applyBorder="1" applyAlignment="1">
      <alignment horizontal="center"/>
    </xf>
    <xf numFmtId="9" fontId="0" fillId="0" borderId="0" xfId="1" applyFont="1" applyFill="1" applyAlignment="1">
      <alignment horizontal="center"/>
    </xf>
    <xf numFmtId="167" fontId="0" fillId="0" borderId="0" xfId="11" applyNumberFormat="1" applyFont="1" applyFill="1" applyBorder="1" applyAlignment="1">
      <alignment horizontal="center"/>
    </xf>
    <xf numFmtId="167" fontId="0" fillId="0" borderId="0" xfId="11" applyNumberFormat="1" applyFont="1" applyFill="1" applyAlignment="1">
      <alignment horizontal="center"/>
    </xf>
    <xf numFmtId="0" fontId="0" fillId="5" borderId="0" xfId="0" applyFill="1"/>
    <xf numFmtId="0" fontId="0" fillId="6" borderId="0" xfId="0" applyFill="1"/>
    <xf numFmtId="0" fontId="19" fillId="6" borderId="0" xfId="0" applyFont="1" applyFill="1"/>
    <xf numFmtId="0" fontId="0" fillId="0" borderId="0" xfId="1" applyNumberFormat="1" applyFont="1" applyFill="1" applyBorder="1" applyAlignment="1">
      <alignment horizontal="left"/>
    </xf>
    <xf numFmtId="0" fontId="0" fillId="0" borderId="0" xfId="1" applyNumberFormat="1" applyFont="1" applyFill="1" applyAlignment="1">
      <alignment horizontal="left"/>
    </xf>
    <xf numFmtId="0" fontId="7" fillId="0" borderId="0" xfId="2" applyFill="1"/>
    <xf numFmtId="0" fontId="0" fillId="3" borderId="0" xfId="1" applyNumberFormat="1" applyFont="1" applyFill="1" applyBorder="1" applyAlignment="1">
      <alignment horizontal="left"/>
    </xf>
    <xf numFmtId="0" fontId="0" fillId="3" borderId="0" xfId="1" applyNumberFormat="1" applyFont="1" applyFill="1" applyAlignment="1">
      <alignment horizontal="left"/>
    </xf>
    <xf numFmtId="0" fontId="6" fillId="4" borderId="1" xfId="0" applyFont="1" applyFill="1" applyBorder="1" applyAlignment="1">
      <alignment horizontal="center" vertical="center" wrapText="1"/>
    </xf>
    <xf numFmtId="0" fontId="0" fillId="0" borderId="0" xfId="0" pivotButton="1"/>
    <xf numFmtId="0" fontId="20" fillId="0" borderId="0" xfId="0" applyFont="1" applyAlignment="1">
      <alignment vertical="center"/>
    </xf>
    <xf numFmtId="167" fontId="0" fillId="0" borderId="0" xfId="0" applyNumberFormat="1"/>
    <xf numFmtId="0" fontId="21"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1" fontId="30" fillId="0" borderId="0" xfId="0" applyNumberFormat="1" applyFont="1" applyAlignment="1">
      <alignment vertical="center"/>
    </xf>
    <xf numFmtId="1" fontId="27" fillId="0" borderId="0" xfId="0" applyNumberFormat="1" applyFont="1" applyAlignment="1">
      <alignment vertical="center"/>
    </xf>
    <xf numFmtId="1" fontId="28" fillId="0" borderId="0" xfId="0" applyNumberFormat="1" applyFont="1" applyAlignment="1">
      <alignment vertical="center"/>
    </xf>
    <xf numFmtId="1" fontId="29" fillId="0" borderId="0" xfId="0" applyNumberFormat="1" applyFont="1" applyAlignment="1">
      <alignment vertical="center"/>
    </xf>
    <xf numFmtId="0" fontId="7" fillId="0" borderId="0" xfId="2"/>
    <xf numFmtId="0" fontId="0" fillId="5" borderId="3" xfId="0" applyFill="1" applyBorder="1"/>
    <xf numFmtId="0" fontId="39" fillId="5" borderId="0" xfId="0" applyFont="1" applyFill="1"/>
    <xf numFmtId="0" fontId="38" fillId="5" borderId="3" xfId="0" applyFont="1" applyFill="1" applyBorder="1" applyAlignment="1">
      <alignment vertical="center" textRotation="90" wrapText="1"/>
    </xf>
    <xf numFmtId="0" fontId="39" fillId="5" borderId="3" xfId="0" applyFont="1" applyFill="1" applyBorder="1" applyAlignment="1">
      <alignment vertical="center" textRotation="90" wrapText="1"/>
    </xf>
    <xf numFmtId="0" fontId="39" fillId="5" borderId="4" xfId="0" applyFont="1" applyFill="1" applyBorder="1"/>
    <xf numFmtId="0" fontId="39" fillId="5" borderId="7" xfId="0" applyFont="1" applyFill="1" applyBorder="1"/>
    <xf numFmtId="0" fontId="39" fillId="5" borderId="10" xfId="0" applyFont="1" applyFill="1" applyBorder="1"/>
    <xf numFmtId="0" fontId="0" fillId="6" borderId="13" xfId="0" applyFill="1" applyBorder="1" applyAlignment="1">
      <alignment horizontal="center"/>
    </xf>
    <xf numFmtId="0" fontId="40" fillId="5" borderId="3" xfId="0" applyFont="1" applyFill="1" applyBorder="1" applyAlignment="1">
      <alignment vertical="center" wrapText="1"/>
    </xf>
    <xf numFmtId="0" fontId="16" fillId="5" borderId="5" xfId="0" applyFont="1" applyFill="1" applyBorder="1" applyAlignment="1">
      <alignment horizontal="center"/>
    </xf>
    <xf numFmtId="0" fontId="16" fillId="5" borderId="6" xfId="0" applyFont="1" applyFill="1" applyBorder="1" applyAlignment="1">
      <alignment horizontal="center"/>
    </xf>
    <xf numFmtId="0" fontId="16" fillId="5" borderId="8" xfId="0" applyFont="1" applyFill="1" applyBorder="1" applyAlignment="1">
      <alignment horizontal="center"/>
    </xf>
    <xf numFmtId="0" fontId="16" fillId="5" borderId="9" xfId="0" applyFont="1" applyFill="1" applyBorder="1" applyAlignment="1">
      <alignment horizontal="center"/>
    </xf>
    <xf numFmtId="168" fontId="16" fillId="5" borderId="11" xfId="0" applyNumberFormat="1" applyFont="1" applyFill="1" applyBorder="1" applyAlignment="1">
      <alignment horizontal="center"/>
    </xf>
    <xf numFmtId="0" fontId="16" fillId="5" borderId="0" xfId="0" applyFont="1" applyFill="1" applyAlignment="1">
      <alignment horizontal="center"/>
    </xf>
    <xf numFmtId="1" fontId="16" fillId="5" borderId="8" xfId="0" applyNumberFormat="1" applyFont="1" applyFill="1" applyBorder="1" applyAlignment="1">
      <alignment horizontal="center"/>
    </xf>
    <xf numFmtId="1" fontId="16" fillId="5" borderId="9" xfId="0" applyNumberFormat="1" applyFont="1" applyFill="1" applyBorder="1" applyAlignment="1">
      <alignment horizontal="center"/>
    </xf>
    <xf numFmtId="1" fontId="16" fillId="5" borderId="11" xfId="0" applyNumberFormat="1" applyFont="1" applyFill="1" applyBorder="1" applyAlignment="1">
      <alignment horizontal="center"/>
    </xf>
    <xf numFmtId="1" fontId="16" fillId="5" borderId="12" xfId="0" applyNumberFormat="1" applyFont="1" applyFill="1" applyBorder="1" applyAlignment="1">
      <alignment horizontal="center"/>
    </xf>
    <xf numFmtId="9" fontId="16" fillId="5" borderId="8" xfId="1" applyFont="1" applyFill="1" applyBorder="1" applyAlignment="1">
      <alignment horizontal="center"/>
    </xf>
    <xf numFmtId="0" fontId="16" fillId="5" borderId="11" xfId="0" applyFont="1" applyFill="1" applyBorder="1" applyAlignment="1">
      <alignment horizontal="center"/>
    </xf>
    <xf numFmtId="0" fontId="16" fillId="5" borderId="12" xfId="0" applyFont="1" applyFill="1" applyBorder="1" applyAlignment="1">
      <alignment horizontal="center"/>
    </xf>
    <xf numFmtId="168" fontId="16" fillId="5" borderId="12" xfId="0" applyNumberFormat="1" applyFont="1" applyFill="1" applyBorder="1" applyAlignment="1">
      <alignment horizontal="center"/>
    </xf>
    <xf numFmtId="9" fontId="16" fillId="5" borderId="9" xfId="1" applyFont="1" applyFill="1" applyBorder="1" applyAlignment="1">
      <alignment horizontal="center"/>
    </xf>
    <xf numFmtId="166" fontId="0" fillId="0" borderId="0" xfId="0" applyNumberFormat="1" applyAlignment="1">
      <alignment horizontal="left"/>
    </xf>
    <xf numFmtId="168" fontId="0" fillId="0" borderId="0" xfId="0" applyNumberFormat="1"/>
    <xf numFmtId="169" fontId="16" fillId="5" borderId="5" xfId="0" applyNumberFormat="1" applyFont="1" applyFill="1" applyBorder="1" applyAlignment="1">
      <alignment horizontal="center"/>
    </xf>
    <xf numFmtId="169" fontId="16" fillId="5" borderId="6" xfId="0" applyNumberFormat="1" applyFont="1" applyFill="1" applyBorder="1" applyAlignment="1">
      <alignment horizontal="center"/>
    </xf>
    <xf numFmtId="169" fontId="16" fillId="5" borderId="8" xfId="0" applyNumberFormat="1" applyFont="1" applyFill="1" applyBorder="1" applyAlignment="1">
      <alignment horizontal="center"/>
    </xf>
    <xf numFmtId="169" fontId="16" fillId="5" borderId="9" xfId="0" applyNumberFormat="1" applyFont="1" applyFill="1" applyBorder="1" applyAlignment="1">
      <alignment horizontal="center"/>
    </xf>
    <xf numFmtId="169" fontId="0" fillId="3" borderId="0" xfId="0" applyNumberFormat="1" applyFill="1" applyAlignment="1">
      <alignment horizontal="center"/>
    </xf>
    <xf numFmtId="169" fontId="0" fillId="0" borderId="0" xfId="0" quotePrefix="1" applyNumberFormat="1" applyAlignment="1">
      <alignment horizontal="center"/>
    </xf>
    <xf numFmtId="169" fontId="0" fillId="0" borderId="0" xfId="0" applyNumberFormat="1" applyAlignment="1">
      <alignment horizontal="center"/>
    </xf>
    <xf numFmtId="0" fontId="3" fillId="0" borderId="0" xfId="0" applyFont="1" applyAlignment="1">
      <alignment horizontal="right"/>
    </xf>
    <xf numFmtId="0" fontId="3" fillId="0" borderId="0" xfId="0" applyFont="1" applyAlignment="1">
      <alignment horizontal="left"/>
    </xf>
    <xf numFmtId="0" fontId="3" fillId="0" borderId="0" xfId="0" applyFont="1"/>
    <xf numFmtId="0" fontId="6" fillId="0" borderId="0" xfId="0" applyFont="1" applyAlignment="1">
      <alignment horizontal="right"/>
    </xf>
    <xf numFmtId="0" fontId="40" fillId="5" borderId="3" xfId="0" applyFont="1" applyFill="1" applyBorder="1" applyAlignment="1">
      <alignment horizontal="center" vertical="center" wrapText="1"/>
    </xf>
    <xf numFmtId="0" fontId="19" fillId="5" borderId="3" xfId="0" applyFont="1" applyFill="1" applyBorder="1" applyAlignment="1">
      <alignment horizontal="center" vertical="center" wrapText="1"/>
    </xf>
    <xf numFmtId="0" fontId="35" fillId="0" borderId="11" xfId="0" applyFont="1" applyBorder="1" applyAlignment="1">
      <alignment horizontal="center" vertical="center"/>
    </xf>
    <xf numFmtId="0" fontId="35" fillId="0" borderId="14" xfId="0" applyFont="1" applyBorder="1" applyAlignment="1">
      <alignment horizontal="center" vertical="center"/>
    </xf>
    <xf numFmtId="0" fontId="41" fillId="7" borderId="3" xfId="0" applyFont="1" applyFill="1" applyBorder="1" applyAlignment="1">
      <alignment horizontal="center"/>
    </xf>
    <xf numFmtId="0" fontId="41" fillId="7" borderId="0" xfId="0" applyFont="1" applyFill="1" applyAlignment="1">
      <alignment horizontal="center"/>
    </xf>
    <xf numFmtId="0" fontId="25" fillId="0" borderId="15" xfId="0" applyFont="1" applyBorder="1" applyAlignment="1">
      <alignment horizontal="center" vertical="center"/>
    </xf>
    <xf numFmtId="0" fontId="25" fillId="0" borderId="16" xfId="0" applyFont="1" applyBorder="1" applyAlignment="1">
      <alignment horizontal="center" vertical="center"/>
    </xf>
    <xf numFmtId="0" fontId="25" fillId="0" borderId="5" xfId="0" applyFont="1" applyBorder="1" applyAlignment="1">
      <alignment horizontal="center" vertical="center"/>
    </xf>
    <xf numFmtId="0" fontId="26" fillId="0" borderId="15" xfId="0" applyFont="1" applyBorder="1" applyAlignment="1">
      <alignment horizontal="center" vertical="center"/>
    </xf>
    <xf numFmtId="0" fontId="26" fillId="0" borderId="16" xfId="0" applyFont="1" applyBorder="1" applyAlignment="1">
      <alignment horizontal="center" vertical="center"/>
    </xf>
    <xf numFmtId="0" fontId="26" fillId="0" borderId="5" xfId="0" applyFont="1" applyBorder="1" applyAlignment="1">
      <alignment horizontal="center" vertical="center"/>
    </xf>
    <xf numFmtId="0" fontId="36" fillId="0" borderId="11" xfId="0" applyFont="1" applyBorder="1" applyAlignment="1">
      <alignment horizontal="center" vertical="center"/>
    </xf>
    <xf numFmtId="0" fontId="36" fillId="0" borderId="14" xfId="0" applyFont="1" applyBorder="1" applyAlignment="1">
      <alignment horizontal="center" vertical="center"/>
    </xf>
    <xf numFmtId="168" fontId="37" fillId="0" borderId="15" xfId="12" applyNumberFormat="1" applyFont="1" applyBorder="1" applyAlignment="1">
      <alignment horizontal="center" vertical="center"/>
    </xf>
    <xf numFmtId="168" fontId="37" fillId="0" borderId="16" xfId="12" applyNumberFormat="1" applyFont="1" applyBorder="1" applyAlignment="1">
      <alignment horizontal="center" vertical="center"/>
    </xf>
    <xf numFmtId="168" fontId="37" fillId="0" borderId="5" xfId="12" applyNumberFormat="1" applyFont="1" applyBorder="1" applyAlignment="1">
      <alignment horizontal="center" vertical="center"/>
    </xf>
    <xf numFmtId="0" fontId="32" fillId="0" borderId="15" xfId="0" applyFont="1" applyBorder="1" applyAlignment="1">
      <alignment horizontal="center" vertical="center"/>
    </xf>
    <xf numFmtId="0" fontId="32" fillId="0" borderId="16" xfId="0" applyFont="1" applyBorder="1" applyAlignment="1">
      <alignment horizontal="center" vertical="center"/>
    </xf>
    <xf numFmtId="0" fontId="32" fillId="0" borderId="5" xfId="0" applyFont="1" applyBorder="1" applyAlignment="1">
      <alignment horizontal="center" vertical="center"/>
    </xf>
    <xf numFmtId="0" fontId="31" fillId="0" borderId="11" xfId="0" applyFont="1" applyBorder="1" applyAlignment="1">
      <alignment horizontal="center" vertical="center"/>
    </xf>
    <xf numFmtId="0" fontId="31" fillId="0" borderId="14" xfId="0" applyFont="1" applyBorder="1" applyAlignment="1">
      <alignment horizontal="center" vertical="center"/>
    </xf>
    <xf numFmtId="0" fontId="24" fillId="0" borderId="15" xfId="0" applyFont="1" applyBorder="1" applyAlignment="1">
      <alignment horizontal="center" vertical="center"/>
    </xf>
    <xf numFmtId="0" fontId="24" fillId="0" borderId="16" xfId="0" applyFont="1" applyBorder="1" applyAlignment="1">
      <alignment horizontal="center" vertical="center"/>
    </xf>
    <xf numFmtId="0" fontId="24" fillId="0" borderId="5" xfId="0" applyFont="1" applyBorder="1" applyAlignment="1">
      <alignment horizontal="center" vertical="center"/>
    </xf>
    <xf numFmtId="0" fontId="33" fillId="0" borderId="11" xfId="0" applyFont="1" applyBorder="1" applyAlignment="1">
      <alignment horizontal="center" vertical="center"/>
    </xf>
    <xf numFmtId="0" fontId="33" fillId="0" borderId="14" xfId="0" applyFont="1" applyBorder="1" applyAlignment="1">
      <alignment horizontal="center" vertical="center"/>
    </xf>
    <xf numFmtId="0" fontId="34" fillId="0" borderId="11" xfId="0" applyFont="1" applyBorder="1" applyAlignment="1">
      <alignment horizontal="center" vertical="center"/>
    </xf>
    <xf numFmtId="0" fontId="34" fillId="0" borderId="14" xfId="0" applyFont="1" applyBorder="1" applyAlignment="1">
      <alignment horizontal="center" vertical="center"/>
    </xf>
  </cellXfs>
  <cellStyles count="13">
    <cellStyle name="Comma" xfId="11" builtinId="3"/>
    <cellStyle name="Comma 2" xfId="7" xr:uid="{70B95B68-42E5-4134-B60C-D53D63EA8C64}"/>
    <cellStyle name="Comma 3" xfId="10" xr:uid="{E6060E65-816D-42A3-BC2B-BC7AE08DF09F}"/>
    <cellStyle name="Currency" xfId="12" builtinId="4"/>
    <cellStyle name="Hyperlink" xfId="2" builtinId="8"/>
    <cellStyle name="Normal" xfId="0" builtinId="0"/>
    <cellStyle name="Normal 2" xfId="3" xr:uid="{630AB955-5629-4F25-81F3-D0850CCA2D8B}"/>
    <cellStyle name="Normal 2 2" xfId="4" xr:uid="{BBC0A887-27F1-430C-A62B-8FDD810F3453}"/>
    <cellStyle name="Normal 3" xfId="5" xr:uid="{19553023-A532-4B21-B780-2F68384C80B9}"/>
    <cellStyle name="Normal 4" xfId="8" xr:uid="{9C62A56D-8BFB-43DA-B794-93EBCA984803}"/>
    <cellStyle name="Percent" xfId="1" builtinId="5"/>
    <cellStyle name="Percent 2" xfId="6" xr:uid="{1D541CDC-ACE8-4B54-AB6D-F143BBC82663}"/>
    <cellStyle name="Percent 3" xfId="9" xr:uid="{C04F5020-2218-4635-A7A5-19093E1C865B}"/>
  </cellStyles>
  <dxfs count="42">
    <dxf>
      <numFmt numFmtId="168" formatCode="&quot;$&quot;#,##0"/>
    </dxf>
    <dxf>
      <numFmt numFmtId="167" formatCode="_(* #,##0_);_(* \(#,##0\);_(* &quot;-&quot;??_);_(@_)"/>
    </dxf>
    <dxf>
      <numFmt numFmtId="167" formatCode="_(* #,##0_);_(* \(#,##0\);_(* &quot;-&quot;??_);_(@_)"/>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fill>
        <patternFill patternType="none">
          <fgColor indexed="64"/>
          <bgColor indexed="65"/>
        </patternFill>
      </fill>
      <alignment horizontal="center" vertical="bottom" textRotation="0" wrapText="0" indent="0" justifyLastLine="0" shrinkToFit="0" readingOrder="0"/>
    </dxf>
    <dxf>
      <numFmt numFmtId="1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_(* #,##0_);_(* \(#,##0\);_(* &quot;-&quot;??_);_(@_)"/>
      <fill>
        <patternFill patternType="none">
          <fgColor indexed="64"/>
          <bgColor auto="1"/>
        </patternFill>
      </fill>
      <alignment horizontal="center" vertical="bottom" textRotation="0" wrapText="0" indent="0" justifyLastLine="0" shrinkToFit="0" readingOrder="0"/>
    </dxf>
    <dxf>
      <numFmt numFmtId="1" formatCode="0"/>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alignment horizontal="center" vertical="bottom" textRotation="0" wrapText="0" indent="0" justifyLastLine="0" shrinkToFit="0" readingOrder="0"/>
    </dxf>
    <dxf>
      <font>
        <strike val="0"/>
        <outline val="0"/>
        <shadow val="0"/>
        <u val="none"/>
        <vertAlign val="baseline"/>
        <sz val="10"/>
        <color theme="1"/>
        <name val="Arial"/>
        <family val="2"/>
        <scheme val="none"/>
      </font>
      <numFmt numFmtId="169" formatCode="m/d/yyyy;@"/>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69" formatCode="m/d/yyyy;@"/>
      <alignment horizontal="center" vertical="bottom" textRotation="0" wrapText="0" indent="0" justifyLastLine="0" shrinkToFit="0" readingOrder="0"/>
    </dxf>
    <dxf>
      <numFmt numFmtId="1" formatCode="0"/>
      <fill>
        <patternFill patternType="solid">
          <fgColor indexed="64"/>
          <bgColor theme="0" tint="-0.14999847407452621"/>
        </patternFill>
      </fill>
      <alignment horizontal="center" vertical="bottom" textRotation="0" wrapText="0" indent="0" justifyLastLine="0" shrinkToFit="0" readingOrder="0"/>
    </dxf>
    <dxf>
      <numFmt numFmtId="166" formatCode="[$-409]d&quot;-&quot;mmm&quot;-&quot;yy;@"/>
      <alignment horizontal="center" vertical="bottom" textRotation="0" wrapText="0" indent="0" justifyLastLine="0" shrinkToFit="0" readingOrder="0"/>
    </dxf>
    <dxf>
      <numFmt numFmtId="166" formatCode="[$-409]d&quot;-&quot;mmm&quot;-&quot;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border outline="0">
        <left style="thin">
          <color theme="0" tint="-0.34998626667073579"/>
        </left>
        <right style="thin">
          <color theme="0" tint="-0.34998626667073579"/>
        </right>
        <top style="thin">
          <color theme="0" tint="-0.34998626667073579"/>
        </top>
        <bottom style="thin">
          <color theme="0" tint="-0.34998626667073579"/>
        </bottom>
      </border>
    </dxf>
    <dxf>
      <numFmt numFmtId="0" formatCode="General"/>
      <alignment horizontal="left" vertical="bottom" textRotation="0" wrapText="0" indent="0" justifyLastLine="0" shrinkToFit="0" readingOrder="0"/>
    </dxf>
    <dxf>
      <border outline="0">
        <bottom style="medium">
          <color theme="0" tint="-0.14996795556505021"/>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fill>
        <patternFill>
          <bgColor rgb="FF8FCFAD"/>
        </patternFill>
      </fill>
    </dxf>
    <dxf>
      <fill>
        <patternFill>
          <bgColor rgb="FF8FCFAD"/>
        </patternFill>
      </fill>
    </dxf>
    <dxf>
      <font>
        <color auto="1"/>
      </font>
      <fill>
        <patternFill>
          <bgColor rgb="FF8FCFAD"/>
        </patternFill>
      </fill>
    </dxf>
    <dxf>
      <fill>
        <patternFill>
          <bgColor rgb="FF8FCFAD"/>
        </patternFill>
      </fill>
    </dxf>
    <dxf>
      <fill>
        <patternFill>
          <bgColor rgb="FF8FCFAD"/>
        </patternFill>
      </fill>
    </dxf>
  </dxfs>
  <tableStyles count="4" defaultTableStyle="TableStyleMedium2" defaultPivotStyle="PivotStyleLight16">
    <tableStyle name="Invisible" pivot="0" table="0" count="0" xr9:uid="{1B3BE242-B98F-414A-BBFC-38B90154ABB1}"/>
    <tableStyle name="PivotTable Style 1" table="0" count="5" xr9:uid="{3831004B-067D-418F-BD50-A3986E0D4865}">
      <tableStyleElement type="headerRow" dxfId="41"/>
      <tableStyleElement type="totalRow" dxfId="40"/>
      <tableStyleElement type="lastColumn" dxfId="39"/>
      <tableStyleElement type="pageFieldLabels" dxfId="38"/>
      <tableStyleElement type="pageFieldValues" dxfId="37"/>
    </tableStyle>
    <tableStyle name="Slicer Style 1" pivot="0" table="0" count="8" xr9:uid="{6B0103B1-AE5E-4E9B-A35E-CDD51150C899}">
      <tableStyleElement type="wholeTable" dxfId="36"/>
    </tableStyle>
    <tableStyle name="Timeline Style 1" pivot="0" table="0" count="8" xr9:uid="{E7FBEFCC-9E91-45D6-9FD4-D3137AAC2CB6}">
      <tableStyleElement type="wholeTable" dxfId="35"/>
      <tableStyleElement type="headerRow" dxfId="34"/>
    </tableStyle>
  </tableStyles>
  <colors>
    <mruColors>
      <color rgb="FF8FCFAD"/>
      <color rgb="FF50B47F"/>
      <color rgb="FF8A0000"/>
      <color rgb="FFFFF5D9"/>
      <color rgb="FFFF9797"/>
      <color rgb="FFAA9722"/>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[Contract Management.xlsm]Sheet1!remain days</c:name>
    <c:fmtId val="2"/>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b="0">
                <a:solidFill>
                  <a:srgbClr val="50B47F"/>
                </a:solidFill>
                <a:latin typeface="Arial" panose="020B0604020202020204" pitchFamily="34" charset="0"/>
                <a:cs typeface="Arial" panose="020B0604020202020204" pitchFamily="34" charset="0"/>
              </a:rPr>
              <a:t>Remain Days</a:t>
            </a:r>
          </a:p>
        </c:rich>
      </c:tx>
      <c:layout>
        <c:manualLayout>
          <c:xMode val="edge"/>
          <c:yMode val="edge"/>
          <c:x val="0.4074606905407494"/>
          <c:y val="1.01516845159328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E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939560042306447E-2"/>
          <c:y val="6.6458986694073588E-2"/>
          <c:w val="0.83353306090146695"/>
          <c:h val="0.85645434503098716"/>
        </c:manualLayout>
      </c:layout>
      <c:barChart>
        <c:barDir val="bar"/>
        <c:grouping val="clustered"/>
        <c:varyColors val="0"/>
        <c:ser>
          <c:idx val="0"/>
          <c:order val="0"/>
          <c:tx>
            <c:strRef>
              <c:f>Sheet1!$F$3</c:f>
              <c:strCache>
                <c:ptCount val="1"/>
                <c:pt idx="0">
                  <c:v>Sum of Remain Days To Expiration</c:v>
                </c:pt>
              </c:strCache>
            </c:strRef>
          </c:tx>
          <c:spPr>
            <a:solidFill>
              <a:srgbClr val="8FCFAD"/>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Sheet1!$E$4:$E$14</c:f>
              <c:strCache>
                <c:ptCount val="10"/>
                <c:pt idx="0">
                  <c:v>CONT-202001</c:v>
                </c:pt>
                <c:pt idx="1">
                  <c:v>CONT-202002</c:v>
                </c:pt>
                <c:pt idx="2">
                  <c:v>CONT-202003</c:v>
                </c:pt>
                <c:pt idx="3">
                  <c:v>CONT-202004</c:v>
                </c:pt>
                <c:pt idx="4">
                  <c:v>CONT-202005</c:v>
                </c:pt>
                <c:pt idx="5">
                  <c:v>CONT-202006</c:v>
                </c:pt>
                <c:pt idx="6">
                  <c:v>CONT-202007</c:v>
                </c:pt>
                <c:pt idx="7">
                  <c:v>CONT-202008</c:v>
                </c:pt>
                <c:pt idx="8">
                  <c:v>CONT-202009</c:v>
                </c:pt>
                <c:pt idx="9">
                  <c:v>CONT-202010</c:v>
                </c:pt>
              </c:strCache>
            </c:strRef>
          </c:cat>
          <c:val>
            <c:numRef>
              <c:f>Sheet1!$F$4:$F$14</c:f>
              <c:numCache>
                <c:formatCode>General</c:formatCode>
                <c:ptCount val="10"/>
                <c:pt idx="0">
                  <c:v>111</c:v>
                </c:pt>
                <c:pt idx="1">
                  <c:v>-32</c:v>
                </c:pt>
                <c:pt idx="2">
                  <c:v>209</c:v>
                </c:pt>
                <c:pt idx="3">
                  <c:v>502</c:v>
                </c:pt>
                <c:pt idx="4">
                  <c:v>147</c:v>
                </c:pt>
                <c:pt idx="5">
                  <c:v>199</c:v>
                </c:pt>
                <c:pt idx="6">
                  <c:v>82</c:v>
                </c:pt>
                <c:pt idx="7">
                  <c:v>142</c:v>
                </c:pt>
                <c:pt idx="8">
                  <c:v>560</c:v>
                </c:pt>
                <c:pt idx="9">
                  <c:v>234</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13A6-44E4-947B-FB44D39EC8CB}"/>
            </c:ext>
          </c:extLst>
        </c:ser>
        <c:ser>
          <c:idx val="1"/>
          <c:order val="1"/>
          <c:tx>
            <c:strRef>
              <c:f>Sheet1!$G$3</c:f>
              <c:strCache>
                <c:ptCount val="1"/>
                <c:pt idx="0">
                  <c:v>Sum of Remain Days To Notice</c:v>
                </c:pt>
              </c:strCache>
            </c:strRef>
          </c:tx>
          <c:spPr>
            <a:solidFill>
              <a:srgbClr val="FFE699"/>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Sheet1!$E$4:$E$14</c:f>
              <c:strCache>
                <c:ptCount val="10"/>
                <c:pt idx="0">
                  <c:v>CONT-202001</c:v>
                </c:pt>
                <c:pt idx="1">
                  <c:v>CONT-202002</c:v>
                </c:pt>
                <c:pt idx="2">
                  <c:v>CONT-202003</c:v>
                </c:pt>
                <c:pt idx="3">
                  <c:v>CONT-202004</c:v>
                </c:pt>
                <c:pt idx="4">
                  <c:v>CONT-202005</c:v>
                </c:pt>
                <c:pt idx="5">
                  <c:v>CONT-202006</c:v>
                </c:pt>
                <c:pt idx="6">
                  <c:v>CONT-202007</c:v>
                </c:pt>
                <c:pt idx="7">
                  <c:v>CONT-202008</c:v>
                </c:pt>
                <c:pt idx="8">
                  <c:v>CONT-202009</c:v>
                </c:pt>
                <c:pt idx="9">
                  <c:v>CONT-202010</c:v>
                </c:pt>
              </c:strCache>
            </c:strRef>
          </c:cat>
          <c:val>
            <c:numRef>
              <c:f>Sheet1!$G$4:$G$14</c:f>
              <c:numCache>
                <c:formatCode>General</c:formatCode>
                <c:ptCount val="10"/>
                <c:pt idx="0">
                  <c:v>51</c:v>
                </c:pt>
                <c:pt idx="1">
                  <c:v>-92</c:v>
                </c:pt>
                <c:pt idx="2">
                  <c:v>149</c:v>
                </c:pt>
                <c:pt idx="3">
                  <c:v>412</c:v>
                </c:pt>
                <c:pt idx="4">
                  <c:v>117</c:v>
                </c:pt>
                <c:pt idx="5">
                  <c:v>139</c:v>
                </c:pt>
                <c:pt idx="6">
                  <c:v>52</c:v>
                </c:pt>
                <c:pt idx="7">
                  <c:v>82</c:v>
                </c:pt>
                <c:pt idx="8">
                  <c:v>500</c:v>
                </c:pt>
                <c:pt idx="9">
                  <c:v>174</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13A6-44E4-947B-FB44D39EC8CB}"/>
            </c:ext>
          </c:extLst>
        </c:ser>
        <c:dLbls>
          <c:showLegendKey val="0"/>
          <c:showVal val="0"/>
          <c:showCatName val="0"/>
          <c:showSerName val="0"/>
          <c:showPercent val="0"/>
          <c:showBubbleSize val="0"/>
        </c:dLbls>
        <c:gapWidth val="182"/>
        <c:axId val="1138103247"/>
        <c:axId val="1138188847"/>
      </c:barChart>
      <c:catAx>
        <c:axId val="1138103247"/>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138188847"/>
        <c:crosses val="autoZero"/>
        <c:auto val="1"/>
        <c:lblAlgn val="ctr"/>
        <c:lblOffset val="100"/>
        <c:noMultiLvlLbl val="0"/>
      </c:catAx>
      <c:valAx>
        <c:axId val="1138188847"/>
        <c:scaling>
          <c:orientation val="minMax"/>
        </c:scaling>
        <c:delete val="1"/>
        <c:axPos val="b"/>
        <c:numFmt formatCode="General" sourceLinked="1"/>
        <c:majorTickMark val="none"/>
        <c:minorTickMark val="none"/>
        <c:tickLblPos val="nextTo"/>
        <c:crossAx val="1138103247"/>
        <c:crosses val="autoZero"/>
        <c:crossBetween val="between"/>
      </c:valAx>
      <c:spPr>
        <a:noFill/>
        <a:ln>
          <a:noFill/>
        </a:ln>
        <a:effectLst/>
      </c:spPr>
    </c:plotArea>
    <c:legend>
      <c:legendPos val="b"/>
      <c:layout>
        <c:manualLayout>
          <c:xMode val="edge"/>
          <c:yMode val="edge"/>
          <c:x val="2.7221900034896648E-2"/>
          <c:y val="0.9327169651589996"/>
          <c:w val="0.90787488967841912"/>
          <c:h val="6.72830348410004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[Contract Management.xlsm]Sheet1!costs</c:name>
    <c:fmtId val="2"/>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b="0">
                <a:solidFill>
                  <a:srgbClr val="50B47F"/>
                </a:solidFill>
                <a:latin typeface="Arial" panose="020B0604020202020204" pitchFamily="34" charset="0"/>
                <a:cs typeface="Arial" panose="020B0604020202020204" pitchFamily="34" charset="0"/>
              </a:rPr>
              <a:t>Total</a:t>
            </a:r>
            <a:r>
              <a:rPr lang="en-US" b="0" baseline="0">
                <a:solidFill>
                  <a:srgbClr val="50B47F"/>
                </a:solidFill>
                <a:latin typeface="Arial" panose="020B0604020202020204" pitchFamily="34" charset="0"/>
                <a:cs typeface="Arial" panose="020B0604020202020204" pitchFamily="34" charset="0"/>
              </a:rPr>
              <a:t> Contracts Cost</a:t>
            </a:r>
            <a:endParaRPr lang="en-US" b="0">
              <a:solidFill>
                <a:srgbClr val="50B47F"/>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Sheet1!$J$3</c:f>
              <c:strCache>
                <c:ptCount val="1"/>
                <c:pt idx="0">
                  <c:v>Total</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Sheet1!$I$4:$I$9</c:f>
              <c:strCache>
                <c:ptCount val="5"/>
                <c:pt idx="0">
                  <c:v>Outsource</c:v>
                </c:pt>
                <c:pt idx="1">
                  <c:v>Purchase</c:v>
                </c:pt>
                <c:pt idx="2">
                  <c:v>Supplier</c:v>
                </c:pt>
                <c:pt idx="3">
                  <c:v>Employement renew</c:v>
                </c:pt>
                <c:pt idx="4">
                  <c:v>Customer</c:v>
                </c:pt>
              </c:strCache>
            </c:strRef>
          </c:cat>
          <c:val>
            <c:numRef>
              <c:f>Sheet1!$J$4:$J$9</c:f>
              <c:numCache>
                <c:formatCode>_(* #,##0_);_(* \(#,##0\);_(* "-"??_);_(@_)</c:formatCode>
                <c:ptCount val="5"/>
                <c:pt idx="0">
                  <c:v>9600</c:v>
                </c:pt>
                <c:pt idx="1">
                  <c:v>8000</c:v>
                </c:pt>
                <c:pt idx="2">
                  <c:v>17000</c:v>
                </c:pt>
                <c:pt idx="3">
                  <c:v>22700</c:v>
                </c:pt>
                <c:pt idx="4">
                  <c:v>7000</c:v>
                </c:pt>
              </c:numCache>
            </c:numRef>
          </c:val>
          <c:extLst>
            <c:ext xmlns:c16="http://schemas.microsoft.com/office/drawing/2014/chart" uri="{C3380CC4-5D6E-409C-BE32-E72D297353CC}">
              <c16:uniqueId val="{00000000-F7AD-4EB9-A2FD-0B98402D9935}"/>
            </c:ext>
          </c:extLst>
        </c:ser>
        <c:dLbls>
          <c:showLegendKey val="0"/>
          <c:showVal val="0"/>
          <c:showCatName val="0"/>
          <c:showSerName val="0"/>
          <c:showPercent val="0"/>
          <c:showBubbleSize val="0"/>
        </c:dLbls>
        <c:gapWidth val="219"/>
        <c:overlap val="-27"/>
        <c:axId val="1247171359"/>
        <c:axId val="973182431"/>
      </c:barChart>
      <c:catAx>
        <c:axId val="1247171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73182431"/>
        <c:crosses val="autoZero"/>
        <c:auto val="1"/>
        <c:lblAlgn val="ctr"/>
        <c:lblOffset val="100"/>
        <c:noMultiLvlLbl val="0"/>
      </c:catAx>
      <c:valAx>
        <c:axId val="973182431"/>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171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[Contract Management.xlsm]Sheet1!PivotTable5</c:name>
    <c:fmtId val="3"/>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Contracts Cost Per Department</a:t>
            </a:r>
          </a:p>
        </c:rich>
      </c:tx>
      <c:layout>
        <c:manualLayout>
          <c:xMode val="edge"/>
          <c:yMode val="edge"/>
          <c:x val="0.14216878870867225"/>
          <c:y val="9.9071175228565775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8"/>
        <c:spPr>
          <a:solidFill>
            <a:schemeClr val="accent6">
              <a:tint val="54000"/>
            </a:schemeClr>
          </a:solidFill>
          <a:ln w="19050">
            <a:solidFill>
              <a:schemeClr val="lt1"/>
            </a:solidFill>
          </a:ln>
          <a:effectLst/>
        </c:spPr>
      </c:pivotFmt>
      <c:pivotFmt>
        <c:idx val="9"/>
        <c:spPr>
          <a:solidFill>
            <a:schemeClr val="accent6">
              <a:tint val="77000"/>
            </a:schemeClr>
          </a:solidFill>
          <a:ln w="19050">
            <a:solidFill>
              <a:schemeClr val="lt1"/>
            </a:solidFill>
          </a:ln>
          <a:effectLst/>
        </c:spPr>
      </c:pivotFmt>
      <c:pivotFmt>
        <c:idx val="10"/>
        <c:spPr>
          <a:solidFill>
            <a:schemeClr val="accent6">
              <a:tint val="77000"/>
            </a:schemeClr>
          </a:solidFill>
          <a:ln w="19050">
            <a:solidFill>
              <a:schemeClr val="lt1"/>
            </a:solidFill>
          </a:ln>
          <a:effectLst/>
        </c:spPr>
      </c:pivotFmt>
      <c:pivotFmt>
        <c:idx val="11"/>
        <c:spPr>
          <a:solidFill>
            <a:schemeClr val="accent6">
              <a:shade val="76000"/>
            </a:schemeClr>
          </a:solidFill>
          <a:ln w="19050">
            <a:solidFill>
              <a:schemeClr val="lt1"/>
            </a:solidFill>
          </a:ln>
          <a:effectLst/>
        </c:spPr>
      </c:pivotFmt>
      <c:pivotFmt>
        <c:idx val="12"/>
        <c:spPr>
          <a:solidFill>
            <a:schemeClr val="accent6">
              <a:shade val="53000"/>
            </a:schemeClr>
          </a:solidFill>
          <a:ln w="19050">
            <a:solidFill>
              <a:schemeClr val="lt1"/>
            </a:solidFill>
          </a:ln>
          <a:effectLst/>
        </c:spPr>
      </c:pivotFmt>
      <c:pivotFmt>
        <c:idx val="13"/>
        <c:spPr>
          <a:solidFill>
            <a:schemeClr val="accent6">
              <a:shade val="53000"/>
            </a:schemeClr>
          </a:solidFill>
          <a:ln w="19050">
            <a:solidFill>
              <a:schemeClr val="lt1"/>
            </a:solidFill>
          </a:ln>
          <a:effectLst/>
        </c:spPr>
      </c:pivotFmt>
    </c:pivotFmts>
    <c:plotArea>
      <c:layout>
        <c:manualLayout>
          <c:layoutTarget val="inner"/>
          <c:xMode val="edge"/>
          <c:yMode val="edge"/>
          <c:x val="7.8669068393789912E-2"/>
          <c:y val="0.16332546311223906"/>
          <c:w val="0.83555075011044622"/>
          <c:h val="0.77605285876246843"/>
        </c:manualLayout>
      </c:layout>
      <c:doughnutChart>
        <c:varyColors val="1"/>
        <c:ser>
          <c:idx val="0"/>
          <c:order val="0"/>
          <c:tx>
            <c:strRef>
              <c:f>Sheet1!$S$3</c:f>
              <c:strCache>
                <c:ptCount val="1"/>
                <c:pt idx="0">
                  <c:v>Total</c:v>
                </c:pt>
              </c:strCache>
            </c:strRef>
          </c:tx>
          <c:dPt>
            <c:idx val="0"/>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1-6815-4054-8443-D7E711AB78DA}"/>
              </c:ext>
            </c:extLst>
          </c:dPt>
          <c:dPt>
            <c:idx val="1"/>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3-6815-4054-8443-D7E711AB78DA}"/>
              </c:ext>
            </c:extLst>
          </c:dPt>
          <c:dPt>
            <c:idx val="2"/>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5-6815-4054-8443-D7E711AB78DA}"/>
              </c:ext>
            </c:extLst>
          </c:dPt>
          <c:dPt>
            <c:idx val="3"/>
            <c:bubble3D val="0"/>
            <c:spPr>
              <a:solidFill>
                <a:schemeClr val="accent6">
                  <a:shade val="53000"/>
                </a:schemeClr>
              </a:solidFill>
              <a:ln w="19050">
                <a:solidFill>
                  <a:schemeClr val="lt1"/>
                </a:solidFill>
              </a:ln>
              <a:effectLst/>
            </c:spPr>
            <c:extLst>
              <c:ext xmlns:c16="http://schemas.microsoft.com/office/drawing/2014/chart" uri="{C3380CC4-5D6E-409C-BE32-E72D297353CC}">
                <c16:uniqueId val="{00000007-6815-4054-8443-D7E711AB78DA}"/>
              </c:ext>
            </c:extLst>
          </c:dPt>
          <c:dPt>
            <c:idx val="4"/>
            <c:bubble3D val="0"/>
            <c:spPr>
              <a:solidFill>
                <a:schemeClr val="accent6">
                  <a:shade val="53000"/>
                </a:schemeClr>
              </a:solidFill>
              <a:ln w="19050">
                <a:solidFill>
                  <a:schemeClr val="lt1"/>
                </a:solidFill>
              </a:ln>
              <a:effectLst/>
            </c:spPr>
            <c:extLst>
              <c:ext xmlns:c16="http://schemas.microsoft.com/office/drawing/2014/chart" uri="{C3380CC4-5D6E-409C-BE32-E72D297353CC}">
                <c16:uniqueId val="{00000009-6815-4054-8443-D7E711AB78DA}"/>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Sheet1!$R$4:$R$8</c:f>
              <c:strCache>
                <c:ptCount val="5"/>
                <c:pt idx="0">
                  <c:v>Planning</c:v>
                </c:pt>
                <c:pt idx="1">
                  <c:v>Procurement</c:v>
                </c:pt>
                <c:pt idx="2">
                  <c:v>Quality</c:v>
                </c:pt>
                <c:pt idx="3">
                  <c:v>Production</c:v>
                </c:pt>
                <c:pt idx="4">
                  <c:v>General</c:v>
                </c:pt>
              </c:strCache>
            </c:strRef>
          </c:cat>
          <c:val>
            <c:numRef>
              <c:f>Sheet1!$S$4:$S$8</c:f>
              <c:numCache>
                <c:formatCode>"$"#,##0</c:formatCode>
                <c:ptCount val="5"/>
                <c:pt idx="0">
                  <c:v>5000</c:v>
                </c:pt>
                <c:pt idx="1">
                  <c:v>8000</c:v>
                </c:pt>
                <c:pt idx="2">
                  <c:v>14300</c:v>
                </c:pt>
                <c:pt idx="3">
                  <c:v>5000</c:v>
                </c:pt>
                <c:pt idx="4">
                  <c:v>32000</c:v>
                </c:pt>
              </c:numCache>
            </c:numRef>
          </c:val>
          <c:extLst>
            <c:ext xmlns:c16="http://schemas.microsoft.com/office/drawing/2014/chart" uri="{C3380CC4-5D6E-409C-BE32-E72D297353CC}">
              <c16:uniqueId val="{0000000A-6815-4054-8443-D7E711AB78DA}"/>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47624</xdr:colOff>
      <xdr:row>50</xdr:row>
      <xdr:rowOff>19050</xdr:rowOff>
    </xdr:from>
    <xdr:to>
      <xdr:col>12</xdr:col>
      <xdr:colOff>437029</xdr:colOff>
      <xdr:row>54</xdr:row>
      <xdr:rowOff>38100</xdr:rowOff>
    </xdr:to>
    <xdr:grpSp>
      <xdr:nvGrpSpPr>
        <xdr:cNvPr id="3" name="Group 2">
          <a:extLst>
            <a:ext uri="{FF2B5EF4-FFF2-40B4-BE49-F238E27FC236}">
              <a16:creationId xmlns:a16="http://schemas.microsoft.com/office/drawing/2014/main" id="{9C5B9CB6-39E6-44C2-93BD-2CFCC6EA8B0F}"/>
            </a:ext>
          </a:extLst>
        </xdr:cNvPr>
        <xdr:cNvGrpSpPr/>
      </xdr:nvGrpSpPr>
      <xdr:grpSpPr>
        <a:xfrm>
          <a:off x="4967006" y="8210550"/>
          <a:ext cx="6440582" cy="781050"/>
          <a:chOff x="4257674" y="8324850"/>
          <a:chExt cx="7353301" cy="666750"/>
        </a:xfrm>
      </xdr:grpSpPr>
      <xdr:pic>
        <xdr:nvPicPr>
          <xdr:cNvPr id="4" name="Picture 3">
            <a:extLst>
              <a:ext uri="{FF2B5EF4-FFF2-40B4-BE49-F238E27FC236}">
                <a16:creationId xmlns:a16="http://schemas.microsoft.com/office/drawing/2014/main" id="{6F0F7189-09FD-42D9-ADA5-744B1E5DAF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FAA0D027-BF73-48E2-BC37-841DE5559594}"/>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4414CBE7-3C94-4BDB-B8C8-FCE413AEE9A6}"/>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58</xdr:row>
      <xdr:rowOff>95250</xdr:rowOff>
    </xdr:from>
    <xdr:to>
      <xdr:col>12</xdr:col>
      <xdr:colOff>456079</xdr:colOff>
      <xdr:row>62</xdr:row>
      <xdr:rowOff>114300</xdr:rowOff>
    </xdr:to>
    <xdr:grpSp>
      <xdr:nvGrpSpPr>
        <xdr:cNvPr id="7" name="Group 6">
          <a:extLst>
            <a:ext uri="{FF2B5EF4-FFF2-40B4-BE49-F238E27FC236}">
              <a16:creationId xmlns:a16="http://schemas.microsoft.com/office/drawing/2014/main" id="{94ABFF4E-247A-43AA-A858-807C840BC016}"/>
            </a:ext>
          </a:extLst>
        </xdr:cNvPr>
        <xdr:cNvGrpSpPr/>
      </xdr:nvGrpSpPr>
      <xdr:grpSpPr>
        <a:xfrm>
          <a:off x="4986056" y="9810750"/>
          <a:ext cx="6440582" cy="781050"/>
          <a:chOff x="4276724" y="9696450"/>
          <a:chExt cx="7353301" cy="666750"/>
        </a:xfrm>
      </xdr:grpSpPr>
      <xdr:pic>
        <xdr:nvPicPr>
          <xdr:cNvPr id="8" name="Picture 7">
            <a:extLst>
              <a:ext uri="{FF2B5EF4-FFF2-40B4-BE49-F238E27FC236}">
                <a16:creationId xmlns:a16="http://schemas.microsoft.com/office/drawing/2014/main" id="{936F316E-93CC-4F75-BA87-0F78EF2BE0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4AB47723-020B-4A62-93EF-961A3D68E97D}"/>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64</xdr:row>
      <xdr:rowOff>47625</xdr:rowOff>
    </xdr:from>
    <xdr:to>
      <xdr:col>12</xdr:col>
      <xdr:colOff>420024</xdr:colOff>
      <xdr:row>68</xdr:row>
      <xdr:rowOff>133350</xdr:rowOff>
    </xdr:to>
    <xdr:grpSp>
      <xdr:nvGrpSpPr>
        <xdr:cNvPr id="10" name="Group 9">
          <a:extLst>
            <a:ext uri="{FF2B5EF4-FFF2-40B4-BE49-F238E27FC236}">
              <a16:creationId xmlns:a16="http://schemas.microsoft.com/office/drawing/2014/main" id="{9853C7D0-0A68-4CA5-845D-664D6F3B854A}"/>
            </a:ext>
          </a:extLst>
        </xdr:cNvPr>
        <xdr:cNvGrpSpPr/>
      </xdr:nvGrpSpPr>
      <xdr:grpSpPr>
        <a:xfrm>
          <a:off x="5005107" y="10906125"/>
          <a:ext cx="6385476" cy="847725"/>
          <a:chOff x="4295775" y="10620375"/>
          <a:chExt cx="7334250" cy="733425"/>
        </a:xfrm>
      </xdr:grpSpPr>
      <xdr:pic>
        <xdr:nvPicPr>
          <xdr:cNvPr id="11" name="Picture 10">
            <a:extLst>
              <a:ext uri="{FF2B5EF4-FFF2-40B4-BE49-F238E27FC236}">
                <a16:creationId xmlns:a16="http://schemas.microsoft.com/office/drawing/2014/main" id="{CE0F2473-7945-43A9-9C16-7042D8634B91}"/>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E7E13585-20E1-4D53-AF9D-31745A12ED59}"/>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21</xdr:row>
          <xdr:rowOff>76200</xdr:rowOff>
        </xdr:from>
        <xdr:to>
          <xdr:col>0</xdr:col>
          <xdr:colOff>904875</xdr:colOff>
          <xdr:row>22</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923925</xdr:colOff>
          <xdr:row>21</xdr:row>
          <xdr:rowOff>76200</xdr:rowOff>
        </xdr:from>
        <xdr:to>
          <xdr:col>1</xdr:col>
          <xdr:colOff>895350</xdr:colOff>
          <xdr:row>22</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Full Screen</a:t>
              </a:r>
            </a:p>
          </xdr:txBody>
        </xdr:sp>
        <xdr:clientData fPrintsWithSheet="0"/>
      </xdr:twoCellAnchor>
    </mc:Choice>
    <mc:Fallback/>
  </mc:AlternateContent>
  <xdr:twoCellAnchor editAs="oneCell">
    <xdr:from>
      <xdr:col>0</xdr:col>
      <xdr:colOff>0</xdr:colOff>
      <xdr:row>0</xdr:row>
      <xdr:rowOff>11906</xdr:rowOff>
    </xdr:from>
    <xdr:to>
      <xdr:col>1</xdr:col>
      <xdr:colOff>892492</xdr:colOff>
      <xdr:row>6</xdr:row>
      <xdr:rowOff>134302</xdr:rowOff>
    </xdr:to>
    <mc:AlternateContent xmlns:mc="http://schemas.openxmlformats.org/markup-compatibility/2006" xmlns:a14="http://schemas.microsoft.com/office/drawing/2010/main">
      <mc:Choice Requires="a14">
        <xdr:graphicFrame macro="">
          <xdr:nvGraphicFramePr>
            <xdr:cNvPr id="4" name="Contract Category">
              <a:extLst>
                <a:ext uri="{FF2B5EF4-FFF2-40B4-BE49-F238E27FC236}">
                  <a16:creationId xmlns:a16="http://schemas.microsoft.com/office/drawing/2014/main" id="{00000000-0008-0000-01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ntract Category"/>
            </a:graphicData>
          </a:graphic>
        </xdr:graphicFrame>
      </mc:Choice>
      <mc:Fallback xmlns="">
        <xdr:sp macro="" textlink="">
          <xdr:nvSpPr>
            <xdr:cNvPr id="0" name=""/>
            <xdr:cNvSpPr>
              <a:spLocks noTextEdit="1"/>
            </xdr:cNvSpPr>
          </xdr:nvSpPr>
          <xdr:spPr>
            <a:xfrm>
              <a:off x="0" y="11906"/>
              <a:ext cx="1821180" cy="11939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6</xdr:row>
      <xdr:rowOff>130968</xdr:rowOff>
    </xdr:from>
    <xdr:to>
      <xdr:col>1</xdr:col>
      <xdr:colOff>892492</xdr:colOff>
      <xdr:row>15</xdr:row>
      <xdr:rowOff>16192</xdr:rowOff>
    </xdr:to>
    <mc:AlternateContent xmlns:mc="http://schemas.openxmlformats.org/markup-compatibility/2006" xmlns:a14="http://schemas.microsoft.com/office/drawing/2010/main">
      <mc:Choice Requires="a14">
        <xdr:graphicFrame macro="">
          <xdr:nvGraphicFramePr>
            <xdr:cNvPr id="5" name="Related Department">
              <a:extLst>
                <a:ext uri="{FF2B5EF4-FFF2-40B4-BE49-F238E27FC236}">
                  <a16:creationId xmlns:a16="http://schemas.microsoft.com/office/drawing/2014/main" id="{00000000-0008-0000-01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lated Department"/>
            </a:graphicData>
          </a:graphic>
        </xdr:graphicFrame>
      </mc:Choice>
      <mc:Fallback xmlns="">
        <xdr:sp macro="" textlink="">
          <xdr:nvSpPr>
            <xdr:cNvPr id="0" name=""/>
            <xdr:cNvSpPr>
              <a:spLocks noTextEdit="1"/>
            </xdr:cNvSpPr>
          </xdr:nvSpPr>
          <xdr:spPr>
            <a:xfrm>
              <a:off x="0" y="1202531"/>
              <a:ext cx="1821180" cy="13854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23812</xdr:rowOff>
    </xdr:from>
    <xdr:to>
      <xdr:col>1</xdr:col>
      <xdr:colOff>892492</xdr:colOff>
      <xdr:row>21</xdr:row>
      <xdr:rowOff>92868</xdr:rowOff>
    </xdr:to>
    <mc:AlternateContent xmlns:mc="http://schemas.openxmlformats.org/markup-compatibility/2006" xmlns:a14="http://schemas.microsoft.com/office/drawing/2010/main">
      <mc:Choice Requires="a14">
        <xdr:graphicFrame macro="">
          <xdr:nvGraphicFramePr>
            <xdr:cNvPr id="6" name="Contract Status">
              <a:extLst>
                <a:ext uri="{FF2B5EF4-FFF2-40B4-BE49-F238E27FC236}">
                  <a16:creationId xmlns:a16="http://schemas.microsoft.com/office/drawing/2014/main" id="{00000000-0008-0000-01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ntract Status"/>
            </a:graphicData>
          </a:graphic>
        </xdr:graphicFrame>
      </mc:Choice>
      <mc:Fallback xmlns="">
        <xdr:sp macro="" textlink="">
          <xdr:nvSpPr>
            <xdr:cNvPr id="0" name=""/>
            <xdr:cNvSpPr>
              <a:spLocks noTextEdit="1"/>
            </xdr:cNvSpPr>
          </xdr:nvSpPr>
          <xdr:spPr>
            <a:xfrm>
              <a:off x="0" y="2595562"/>
              <a:ext cx="1821180" cy="10691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107147</xdr:colOff>
      <xdr:row>0</xdr:row>
      <xdr:rowOff>0</xdr:rowOff>
    </xdr:from>
    <xdr:to>
      <xdr:col>12</xdr:col>
      <xdr:colOff>0</xdr:colOff>
      <xdr:row>22</xdr:row>
      <xdr:rowOff>154781</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23811</xdr:colOff>
      <xdr:row>5</xdr:row>
      <xdr:rowOff>35718</xdr:rowOff>
    </xdr:from>
    <xdr:to>
      <xdr:col>6</xdr:col>
      <xdr:colOff>1309686</xdr:colOff>
      <xdr:row>22</xdr:row>
      <xdr:rowOff>142875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773907</xdr:colOff>
      <xdr:row>0</xdr:row>
      <xdr:rowOff>47624</xdr:rowOff>
    </xdr:from>
    <xdr:to>
      <xdr:col>15</xdr:col>
      <xdr:colOff>857250</xdr:colOff>
      <xdr:row>22</xdr:row>
      <xdr:rowOff>154781</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75.606767708334" createdVersion="6" refreshedVersion="6" minRefreshableVersion="3" recordCount="10" xr:uid="{AEA15FE3-77F9-4360-9D21-7C7C27FA1FDE}">
  <cacheSource type="worksheet">
    <worksheetSource name="Contracts"/>
  </cacheSource>
  <cacheFields count="19">
    <cacheField name="Contract Number" numFmtId="0">
      <sharedItems containsBlank="1" count="12">
        <s v="CONT-202001"/>
        <s v="CONT-202002"/>
        <s v="CONT-202003"/>
        <s v="CONT-202004"/>
        <s v="CONT-202005"/>
        <s v="CONT-202006"/>
        <s v="CONT-202007"/>
        <s v="CONT-202008"/>
        <s v="CONT-202009"/>
        <s v="CONT-202010"/>
        <m u="1"/>
        <s v="CONT-202011" u="1"/>
      </sharedItems>
    </cacheField>
    <cacheField name="Contract Category" numFmtId="0">
      <sharedItems containsBlank="1" count="8">
        <s v="Employement renew"/>
        <s v="Outsource"/>
        <s v="Purchase"/>
        <s v="Supplier"/>
        <s v="Customer"/>
        <s v="Employement Contract" u="1"/>
        <m u="1"/>
        <s v="Retailer" u="1"/>
      </sharedItems>
    </cacheField>
    <cacheField name="Organization / Member Name" numFmtId="0">
      <sharedItems/>
    </cacheField>
    <cacheField name="Related Department" numFmtId="166">
      <sharedItems containsBlank="1" count="7">
        <s v="Procurement"/>
        <s v="Quality"/>
        <s v="General"/>
        <s v="Planning"/>
        <s v="Production"/>
        <m u="1"/>
        <s v="Material" u="1"/>
      </sharedItems>
    </cacheField>
    <cacheField name="Joining Date" numFmtId="166">
      <sharedItems containsSemiMixedTypes="0" containsNonDate="0" containsDate="1" containsString="0" minDate="2015-09-18T00:00:00" maxDate="2020-07-13T00:00:00" count="10">
        <d v="2018-11-04T00:00:00"/>
        <d v="2015-09-18T00:00:00"/>
        <d v="2020-07-12T00:00:00"/>
        <d v="2016-05-09T00:00:00"/>
        <d v="2020-05-11T00:00:00"/>
        <d v="2019-07-08T00:00:00"/>
        <d v="2017-09-15T00:00:00"/>
        <d v="2016-07-12T00:00:00"/>
        <d v="2020-07-03T00:00:00"/>
        <d v="2017-06-06T00:00:00"/>
      </sharedItems>
    </cacheField>
    <cacheField name="Accumulated Duration (Month)" numFmtId="1">
      <sharedItems containsSemiMixedTypes="0" containsString="0" containsNumber="1" minValue="5.0333333333333332" maxValue="63.666666666666664"/>
    </cacheField>
    <cacheField name="Contract Starting Date" numFmtId="166">
      <sharedItems containsSemiMixedTypes="0" containsNonDate="0" containsDate="1" containsString="0" minDate="2019-04-11T00:00:00" maxDate="2020-08-07T00:00:00"/>
    </cacheField>
    <cacheField name="Contract Period (Month)" numFmtId="1">
      <sharedItems containsSemiMixedTypes="0" containsString="0" containsNumber="1" containsInteger="1" minValue="12" maxValue="36"/>
    </cacheField>
    <cacheField name="Contract Expiration Date" numFmtId="166">
      <sharedItems containsSemiMixedTypes="0" containsNonDate="0" containsDate="1" containsString="0" minDate="2020-11-08T00:00:00" maxDate="2022-06-24T00:00:00" count="10">
        <d v="2021-03-31T00:00:00"/>
        <d v="2020-11-08T00:00:00"/>
        <d v="2021-07-07T00:00:00"/>
        <d v="2022-04-26T00:00:00"/>
        <d v="2021-05-06T00:00:00"/>
        <d v="2021-06-27T00:00:00"/>
        <d v="2021-03-02T00:00:00"/>
        <d v="2021-05-01T00:00:00"/>
        <d v="2022-06-23T00:00:00"/>
        <d v="2021-08-01T00:00:00"/>
      </sharedItems>
    </cacheField>
    <cacheField name="Notice Period (Month)" numFmtId="1">
      <sharedItems containsSemiMixedTypes="0" containsString="0" containsNumber="1" containsInteger="1" minValue="1" maxValue="3"/>
    </cacheField>
    <cacheField name="Remain Days To Notice" numFmtId="1">
      <sharedItems containsSemiMixedTypes="0" containsString="0" containsNumber="1" containsInteger="1" minValue="-92" maxValue="500"/>
    </cacheField>
    <cacheField name="Remain Days To Expiration" numFmtId="1">
      <sharedItems containsSemiMixedTypes="0" containsString="0" containsNumber="1" containsInteger="1" minValue="-32" maxValue="560"/>
    </cacheField>
    <cacheField name="Cost Of Contract $" numFmtId="167">
      <sharedItems containsSemiMixedTypes="0" containsString="0" containsNumber="1" containsInteger="1" minValue="3400" maxValue="10000"/>
    </cacheField>
    <cacheField name="Contract Completion%" numFmtId="9">
      <sharedItems containsSemiMixedTypes="0" containsString="0" containsNumber="1" minValue="-7.6190476190476197E-2" maxValue="0.77777777777777779"/>
    </cacheField>
    <cacheField name="Contract Status" numFmtId="9">
      <sharedItems count="4">
        <s v="About To Finish"/>
        <s v="expired"/>
        <s v="Active"/>
        <s v="" u="1"/>
      </sharedItems>
    </cacheField>
    <cacheField name="Type Of Contact" numFmtId="9">
      <sharedItems/>
    </cacheField>
    <cacheField name="Member To Be Contacted" numFmtId="9">
      <sharedItems/>
    </cacheField>
    <cacheField name="Email Address" numFmtId="0">
      <sharedItems/>
    </cacheField>
    <cacheField name="Note" numFmtId="0">
      <sharedItems containsNonDate="0" containsString="0" containsBlank="1"/>
    </cacheField>
  </cacheFields>
  <extLst>
    <ext xmlns:x14="http://schemas.microsoft.com/office/spreadsheetml/2009/9/main" uri="{725AE2AE-9491-48be-B2B4-4EB974FC3084}">
      <x14:pivotCacheDefinition pivotCacheId="6911750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s v="Samy Ali"/>
    <x v="0"/>
    <x v="0"/>
    <n v="25.566666666666666"/>
    <d v="2019-04-11T00:00:00"/>
    <n v="24"/>
    <x v="0"/>
    <n v="2"/>
    <n v="51"/>
    <n v="111"/>
    <n v="3400"/>
    <n v="0.15416666666666667"/>
    <x v="0"/>
    <s v="Internal"/>
    <s v="Ahmed Khaled"/>
    <s v="Ahmed.Khaled82@Yahoo.com"/>
    <m/>
  </r>
  <r>
    <x v="1"/>
    <x v="0"/>
    <s v="Tarek Saad"/>
    <x v="1"/>
    <x v="1"/>
    <n v="63.666666666666664"/>
    <d v="2019-09-15T00:00:00"/>
    <n v="14"/>
    <x v="1"/>
    <n v="2"/>
    <n v="-92"/>
    <n v="-32"/>
    <n v="6800"/>
    <n v="-7.6190476190476197E-2"/>
    <x v="1"/>
    <s v="Internal"/>
    <s v="Kareem Mostafa"/>
    <s v="Kareem.Mostafa87@yahoo.com"/>
    <m/>
  </r>
  <r>
    <x v="2"/>
    <x v="1"/>
    <s v="Guest"/>
    <x v="0"/>
    <x v="2"/>
    <n v="5.0333333333333332"/>
    <d v="2020-07-12T00:00:00"/>
    <n v="12"/>
    <x v="2"/>
    <n v="2"/>
    <n v="149"/>
    <n v="209"/>
    <n v="4600"/>
    <n v="0.5805555555555556"/>
    <x v="2"/>
    <s v="Internal"/>
    <s v="Ahmed Khaled"/>
    <s v="Ahmed.Khaled82@Yahoo.com"/>
    <m/>
  </r>
  <r>
    <x v="3"/>
    <x v="2"/>
    <s v="Golden way"/>
    <x v="2"/>
    <x v="3"/>
    <n v="55.866666666666667"/>
    <d v="2019-05-12T00:00:00"/>
    <n v="36"/>
    <x v="3"/>
    <n v="3"/>
    <n v="412"/>
    <n v="502"/>
    <n v="8000"/>
    <n v="0.46481481481481479"/>
    <x v="2"/>
    <s v="External"/>
    <s v="Adel Ahmed Saad"/>
    <s v="Adel.ahmed@yahoo.com"/>
    <m/>
  </r>
  <r>
    <x v="4"/>
    <x v="0"/>
    <s v="Rami Adel"/>
    <x v="3"/>
    <x v="4"/>
    <n v="7.1"/>
    <d v="2020-05-11T00:00:00"/>
    <n v="12"/>
    <x v="4"/>
    <n v="1"/>
    <n v="117"/>
    <n v="147"/>
    <n v="5000"/>
    <n v="0.40833333333333333"/>
    <x v="2"/>
    <s v="Internal"/>
    <s v="Kareem Mostafa"/>
    <s v="Kareem.Mostafa87@yahoo.com"/>
    <m/>
  </r>
  <r>
    <x v="5"/>
    <x v="3"/>
    <s v="In Time"/>
    <x v="2"/>
    <x v="5"/>
    <n v="17.366666666666667"/>
    <d v="2019-07-08T00:00:00"/>
    <n v="24"/>
    <x v="5"/>
    <n v="2"/>
    <n v="139"/>
    <n v="199"/>
    <n v="10000"/>
    <n v="0.27638888888888891"/>
    <x v="2"/>
    <s v="External"/>
    <s v="Rami Samy"/>
    <s v="Rami.Sami@outlook.com"/>
    <m/>
  </r>
  <r>
    <x v="6"/>
    <x v="4"/>
    <s v="Rai"/>
    <x v="2"/>
    <x v="6"/>
    <n v="39.4"/>
    <d v="2019-05-12T00:00:00"/>
    <n v="22"/>
    <x v="6"/>
    <n v="1"/>
    <n v="52"/>
    <n v="82"/>
    <n v="7000"/>
    <n v="0.12424242424242424"/>
    <x v="0"/>
    <s v="External"/>
    <s v="Adel Ahmed Saad"/>
    <s v="Adel.ahmed@yahoo.com"/>
    <m/>
  </r>
  <r>
    <x v="7"/>
    <x v="1"/>
    <s v="Nader Ahmed"/>
    <x v="4"/>
    <x v="7"/>
    <n v="53.733333333333334"/>
    <d v="2019-05-12T00:00:00"/>
    <n v="24"/>
    <x v="7"/>
    <n v="2"/>
    <n v="82"/>
    <n v="142"/>
    <n v="5000"/>
    <n v="0.19722222222222222"/>
    <x v="0"/>
    <s v="External"/>
    <s v="Rami Samy"/>
    <s v="Rami.Sami@outlook.com"/>
    <m/>
  </r>
  <r>
    <x v="8"/>
    <x v="3"/>
    <s v="Ayman Badr"/>
    <x v="2"/>
    <x v="8"/>
    <n v="5.333333333333333"/>
    <d v="2020-07-03T00:00:00"/>
    <n v="24"/>
    <x v="8"/>
    <n v="2"/>
    <n v="500"/>
    <n v="560"/>
    <n v="7000"/>
    <n v="0.77777777777777779"/>
    <x v="2"/>
    <s v="Internal"/>
    <s v="Ahmed Khaled"/>
    <s v="Ahmed.Khaled82@Yahoo.com"/>
    <m/>
  </r>
  <r>
    <x v="9"/>
    <x v="0"/>
    <s v="Ahmed Kamel"/>
    <x v="1"/>
    <x v="9"/>
    <n v="42.766666666666666"/>
    <d v="2020-08-06T00:00:00"/>
    <n v="12"/>
    <x v="9"/>
    <n v="2"/>
    <n v="174"/>
    <n v="234"/>
    <n v="7500"/>
    <n v="0.65"/>
    <x v="2"/>
    <s v="Internal"/>
    <s v="Kareem Mostafa"/>
    <s v="Kareem.Mostafa87@yahoo.co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59D1FE-EE54-444F-A21B-815C464C92A8}" name="Expired"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O3:P14" firstHeaderRow="1" firstDataRow="1" firstDataCol="1"/>
  <pivotFields count="19">
    <pivotField dataField="1" showAll="0"/>
    <pivotField showAll="0"/>
    <pivotField showAll="0"/>
    <pivotField showAll="0"/>
    <pivotField numFmtId="166" showAll="0"/>
    <pivotField numFmtId="1" showAll="0"/>
    <pivotField numFmtId="166" showAll="0"/>
    <pivotField numFmtId="1" showAll="0"/>
    <pivotField axis="axisRow" numFmtId="166" showAll="0">
      <items count="11">
        <item x="0"/>
        <item x="1"/>
        <item x="2"/>
        <item x="3"/>
        <item x="4"/>
        <item x="5"/>
        <item x="6"/>
        <item x="7"/>
        <item x="8"/>
        <item x="9"/>
        <item t="default"/>
      </items>
    </pivotField>
    <pivotField numFmtId="1" showAll="0"/>
    <pivotField numFmtId="1" showAll="0"/>
    <pivotField numFmtId="1" showAll="0"/>
    <pivotField numFmtId="167" showAll="0"/>
    <pivotField numFmtId="9" showAll="0"/>
    <pivotField showAll="0"/>
    <pivotField showAll="0"/>
    <pivotField showAll="0"/>
    <pivotField showAll="0"/>
    <pivotField showAll="0"/>
  </pivotFields>
  <rowFields count="1">
    <field x="8"/>
  </rowFields>
  <rowItems count="11">
    <i>
      <x/>
    </i>
    <i>
      <x v="1"/>
    </i>
    <i>
      <x v="2"/>
    </i>
    <i>
      <x v="3"/>
    </i>
    <i>
      <x v="4"/>
    </i>
    <i>
      <x v="5"/>
    </i>
    <i>
      <x v="6"/>
    </i>
    <i>
      <x v="7"/>
    </i>
    <i>
      <x v="8"/>
    </i>
    <i>
      <x v="9"/>
    </i>
    <i t="grand">
      <x/>
    </i>
  </rowItems>
  <colItems count="1">
    <i/>
  </colItems>
  <dataFields count="1">
    <dataField name="Count of Contract Numb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45AC59-533E-4DA0-B557-E8992E7939C2}"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4">
  <location ref="R3:S8" firstHeaderRow="1" firstDataRow="1" firstDataCol="1"/>
  <pivotFields count="19">
    <pivotField showAll="0"/>
    <pivotField showAll="0">
      <items count="9">
        <item x="4"/>
        <item m="1" x="5"/>
        <item x="0"/>
        <item x="1"/>
        <item x="2"/>
        <item m="1" x="7"/>
        <item x="3"/>
        <item m="1" x="6"/>
        <item t="default"/>
      </items>
    </pivotField>
    <pivotField showAll="0"/>
    <pivotField axis="axisRow" showAll="0">
      <items count="8">
        <item m="1" x="6"/>
        <item x="3"/>
        <item x="0"/>
        <item x="1"/>
        <item m="1" x="5"/>
        <item x="4"/>
        <item x="2"/>
        <item t="default"/>
      </items>
    </pivotField>
    <pivotField numFmtId="166" showAll="0"/>
    <pivotField numFmtId="1" showAll="0"/>
    <pivotField numFmtId="166" showAll="0"/>
    <pivotField numFmtId="1" showAll="0"/>
    <pivotField numFmtId="166" showAll="0"/>
    <pivotField numFmtId="1" showAll="0"/>
    <pivotField numFmtId="1" showAll="0"/>
    <pivotField numFmtId="1" showAll="0"/>
    <pivotField dataField="1" numFmtId="167" showAll="0"/>
    <pivotField numFmtId="9" showAll="0"/>
    <pivotField showAll="0">
      <items count="5">
        <item m="1" x="3"/>
        <item x="0"/>
        <item x="2"/>
        <item x="1"/>
        <item t="default"/>
      </items>
    </pivotField>
    <pivotField showAll="0"/>
    <pivotField showAll="0"/>
    <pivotField showAll="0"/>
    <pivotField showAll="0"/>
  </pivotFields>
  <rowFields count="1">
    <field x="3"/>
  </rowFields>
  <rowItems count="5">
    <i>
      <x v="1"/>
    </i>
    <i>
      <x v="2"/>
    </i>
    <i>
      <x v="3"/>
    </i>
    <i>
      <x v="5"/>
    </i>
    <i>
      <x v="6"/>
    </i>
  </rowItems>
  <colItems count="1">
    <i/>
  </colItems>
  <dataFields count="1">
    <dataField name="Sum of Cost Of Contract $" fld="12" baseField="0" baseItem="0" numFmtId="168"/>
  </dataFields>
  <formats count="1">
    <format dxfId="0">
      <pivotArea outline="0" collapsedLevelsAreSubtotals="1" fieldPosition="0"/>
    </format>
  </formats>
  <chartFormats count="13">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3" count="1" selected="0">
            <x v="0"/>
          </reference>
        </references>
      </pivotArea>
    </chartFormat>
    <chartFormat chart="2" format="3">
      <pivotArea type="data" outline="0" fieldPosition="0">
        <references count="2">
          <reference field="4294967294" count="1" selected="0">
            <x v="0"/>
          </reference>
          <reference field="3" count="1" selected="0">
            <x v="1"/>
          </reference>
        </references>
      </pivotArea>
    </chartFormat>
    <chartFormat chart="2" format="4">
      <pivotArea type="data" outline="0" fieldPosition="0">
        <references count="2">
          <reference field="4294967294" count="1" selected="0">
            <x v="0"/>
          </reference>
          <reference field="3" count="1" selected="0">
            <x v="2"/>
          </reference>
        </references>
      </pivotArea>
    </chartFormat>
    <chartFormat chart="2" format="5">
      <pivotArea type="data" outline="0" fieldPosition="0">
        <references count="2">
          <reference field="4294967294" count="1" selected="0">
            <x v="0"/>
          </reference>
          <reference field="3" count="1" selected="0">
            <x v="3"/>
          </reference>
        </references>
      </pivotArea>
    </chartFormat>
    <chartFormat chart="2" format="6">
      <pivotArea type="data" outline="0" fieldPosition="0">
        <references count="2">
          <reference field="4294967294" count="1" selected="0">
            <x v="0"/>
          </reference>
          <reference field="3" count="1" selected="0">
            <x v="5"/>
          </reference>
        </references>
      </pivotArea>
    </chartFormat>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3" count="1" selected="0">
            <x v="0"/>
          </reference>
        </references>
      </pivotArea>
    </chartFormat>
    <chartFormat chart="3" format="9">
      <pivotArea type="data" outline="0" fieldPosition="0">
        <references count="2">
          <reference field="4294967294" count="1" selected="0">
            <x v="0"/>
          </reference>
          <reference field="3" count="1" selected="0">
            <x v="1"/>
          </reference>
        </references>
      </pivotArea>
    </chartFormat>
    <chartFormat chart="3" format="10">
      <pivotArea type="data" outline="0" fieldPosition="0">
        <references count="2">
          <reference field="4294967294" count="1" selected="0">
            <x v="0"/>
          </reference>
          <reference field="3" count="1" selected="0">
            <x v="2"/>
          </reference>
        </references>
      </pivotArea>
    </chartFormat>
    <chartFormat chart="3" format="11">
      <pivotArea type="data" outline="0" fieldPosition="0">
        <references count="2">
          <reference field="4294967294" count="1" selected="0">
            <x v="0"/>
          </reference>
          <reference field="3" count="1" selected="0">
            <x v="3"/>
          </reference>
        </references>
      </pivotArea>
    </chartFormat>
    <chartFormat chart="3" format="12">
      <pivotArea type="data" outline="0" fieldPosition="0">
        <references count="2">
          <reference field="4294967294" count="1" selected="0">
            <x v="0"/>
          </reference>
          <reference field="3" count="1" selected="0">
            <x v="5"/>
          </reference>
        </references>
      </pivotArea>
    </chartFormat>
    <chartFormat chart="3" format="13">
      <pivotArea type="data" outline="0" fieldPosition="0">
        <references count="2">
          <reference field="4294967294" count="1" selected="0">
            <x v="0"/>
          </reference>
          <reference field="3"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4421944-A7FB-4D6B-9B74-7A89F10FACD9}" name="cost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I3:J9" firstHeaderRow="1" firstDataRow="1" firstDataCol="1"/>
  <pivotFields count="19">
    <pivotField showAll="0"/>
    <pivotField axis="axisRow" showAll="0">
      <items count="9">
        <item m="1" x="5"/>
        <item x="1"/>
        <item x="2"/>
        <item x="3"/>
        <item x="0"/>
        <item m="1" x="7"/>
        <item m="1" x="6"/>
        <item x="4"/>
        <item t="default"/>
      </items>
    </pivotField>
    <pivotField showAll="0"/>
    <pivotField showAll="0">
      <items count="8">
        <item x="2"/>
        <item m="1" x="6"/>
        <item x="3"/>
        <item x="0"/>
        <item x="4"/>
        <item x="1"/>
        <item m="1" x="5"/>
        <item t="default"/>
      </items>
    </pivotField>
    <pivotField numFmtId="166" showAll="0"/>
    <pivotField numFmtId="1" showAll="0"/>
    <pivotField numFmtId="166" showAll="0"/>
    <pivotField numFmtId="1" showAll="0"/>
    <pivotField numFmtId="166" showAll="0"/>
    <pivotField numFmtId="1" showAll="0"/>
    <pivotField numFmtId="1" showAll="0"/>
    <pivotField numFmtId="1" showAll="0"/>
    <pivotField dataField="1" numFmtId="167" showAll="0"/>
    <pivotField numFmtId="9" showAll="0"/>
    <pivotField showAll="0">
      <items count="5">
        <item m="1" x="3"/>
        <item x="0"/>
        <item x="2"/>
        <item x="1"/>
        <item t="default"/>
      </items>
    </pivotField>
    <pivotField showAll="0"/>
    <pivotField showAll="0"/>
    <pivotField showAll="0"/>
    <pivotField showAll="0"/>
  </pivotFields>
  <rowFields count="1">
    <field x="1"/>
  </rowFields>
  <rowItems count="6">
    <i>
      <x v="1"/>
    </i>
    <i>
      <x v="2"/>
    </i>
    <i>
      <x v="3"/>
    </i>
    <i>
      <x v="4"/>
    </i>
    <i>
      <x v="7"/>
    </i>
    <i t="grand">
      <x/>
    </i>
  </rowItems>
  <colItems count="1">
    <i/>
  </colItems>
  <dataFields count="1">
    <dataField name="Sum of Cost Of Contract $" fld="12" baseField="0" baseItem="0" numFmtId="167"/>
  </dataFields>
  <formats count="1">
    <format dxfId="1">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8506E1-A4CC-44B3-BA87-25C5A6C63860}" name="remain day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E3:G14" firstHeaderRow="0" firstDataRow="1" firstDataCol="1"/>
  <pivotFields count="19">
    <pivotField axis="axisRow" showAll="0">
      <items count="13">
        <item x="0"/>
        <item x="1"/>
        <item x="2"/>
        <item x="3"/>
        <item x="4"/>
        <item x="5"/>
        <item x="6"/>
        <item x="7"/>
        <item x="8"/>
        <item x="9"/>
        <item m="1" x="11"/>
        <item m="1" x="10"/>
        <item t="default"/>
      </items>
    </pivotField>
    <pivotField showAll="0">
      <items count="9">
        <item x="4"/>
        <item m="1" x="5"/>
        <item x="0"/>
        <item x="1"/>
        <item x="2"/>
        <item m="1" x="7"/>
        <item x="3"/>
        <item m="1" x="6"/>
        <item t="default"/>
      </items>
    </pivotField>
    <pivotField showAll="0"/>
    <pivotField showAll="0">
      <items count="8">
        <item x="2"/>
        <item m="1" x="6"/>
        <item x="3"/>
        <item x="0"/>
        <item x="4"/>
        <item x="1"/>
        <item m="1" x="5"/>
        <item t="default"/>
      </items>
    </pivotField>
    <pivotField numFmtId="166" showAll="0"/>
    <pivotField numFmtId="1" showAll="0"/>
    <pivotField numFmtId="166" showAll="0"/>
    <pivotField numFmtId="1" showAll="0"/>
    <pivotField numFmtId="166" showAll="0"/>
    <pivotField numFmtId="1" showAll="0"/>
    <pivotField dataField="1" numFmtId="1" showAll="0"/>
    <pivotField dataField="1" numFmtId="1" showAll="0"/>
    <pivotField numFmtId="167" showAll="0"/>
    <pivotField numFmtId="9" showAll="0"/>
    <pivotField showAll="0">
      <items count="5">
        <item m="1" x="3"/>
        <item x="0"/>
        <item x="2"/>
        <item x="1"/>
        <item t="default"/>
      </items>
    </pivotField>
    <pivotField showAll="0"/>
    <pivotField showAll="0"/>
    <pivotField showAll="0"/>
    <pivotField showAll="0"/>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name="Sum of Remain Days To Expiration" fld="11" baseField="0" baseItem="0"/>
    <dataField name="Sum of Remain Days To Notice" fld="10"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B1F63E-09BA-41FA-907D-18F33B390A8F}" name="statistic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C7" firstHeaderRow="0" firstDataRow="1" firstDataCol="1"/>
  <pivotFields count="19">
    <pivotField dataField="1" showAll="0"/>
    <pivotField showAll="0">
      <items count="9">
        <item x="4"/>
        <item m="1" x="5"/>
        <item x="0"/>
        <item x="1"/>
        <item x="2"/>
        <item m="1" x="7"/>
        <item x="3"/>
        <item m="1" x="6"/>
        <item t="default"/>
      </items>
    </pivotField>
    <pivotField showAll="0"/>
    <pivotField showAll="0">
      <items count="8">
        <item x="2"/>
        <item m="1" x="6"/>
        <item x="3"/>
        <item x="0"/>
        <item x="4"/>
        <item x="1"/>
        <item m="1" x="5"/>
        <item t="default"/>
      </items>
    </pivotField>
    <pivotField showAll="0"/>
    <pivotField numFmtId="1" showAll="0"/>
    <pivotField showAll="0"/>
    <pivotField showAll="0"/>
    <pivotField showAll="0"/>
    <pivotField showAll="0"/>
    <pivotField showAll="0"/>
    <pivotField showAll="0"/>
    <pivotField dataField="1" showAll="0"/>
    <pivotField showAll="0"/>
    <pivotField axis="axisRow" showAll="0">
      <items count="5">
        <item m="1" x="3"/>
        <item x="0"/>
        <item x="2"/>
        <item x="1"/>
        <item t="default"/>
      </items>
    </pivotField>
    <pivotField showAll="0"/>
    <pivotField showAll="0"/>
    <pivotField showAll="0"/>
    <pivotField showAll="0"/>
  </pivotFields>
  <rowFields count="1">
    <field x="14"/>
  </rowFields>
  <rowItems count="4">
    <i>
      <x v="1"/>
    </i>
    <i>
      <x v="2"/>
    </i>
    <i>
      <x v="3"/>
    </i>
    <i t="grand">
      <x/>
    </i>
  </rowItems>
  <colFields count="1">
    <field x="-2"/>
  </colFields>
  <colItems count="2">
    <i>
      <x/>
    </i>
    <i i="1">
      <x v="1"/>
    </i>
  </colItems>
  <dataFields count="2">
    <dataField name="Count of Contract Number" fld="0" subtotal="count" baseField="0" baseItem="0"/>
    <dataField name="Sum of Cost Of Contract $" fld="12" baseField="0" baseItem="0" numFmtId="167"/>
  </dataFields>
  <formats count="1">
    <format dxfId="2">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FB69CA-72B7-47AD-B360-3B7DA3FEC53B}" name="Joi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L3:M14" firstHeaderRow="1" firstDataRow="1" firstDataCol="1"/>
  <pivotFields count="19">
    <pivotField dataField="1" showAll="0"/>
    <pivotField showAll="0"/>
    <pivotField showAll="0"/>
    <pivotField showAll="0"/>
    <pivotField axis="axisRow" numFmtId="166" showAll="0">
      <items count="11">
        <item x="0"/>
        <item x="1"/>
        <item x="2"/>
        <item x="3"/>
        <item x="4"/>
        <item x="5"/>
        <item x="6"/>
        <item x="7"/>
        <item x="8"/>
        <item x="9"/>
        <item t="default"/>
      </items>
    </pivotField>
    <pivotField numFmtId="1" showAll="0"/>
    <pivotField numFmtId="166" showAll="0"/>
    <pivotField numFmtId="1" showAll="0"/>
    <pivotField numFmtId="166" showAll="0"/>
    <pivotField numFmtId="1" showAll="0"/>
    <pivotField numFmtId="1" showAll="0"/>
    <pivotField numFmtId="1" showAll="0"/>
    <pivotField numFmtId="167" showAll="0"/>
    <pivotField numFmtId="9" showAll="0"/>
    <pivotField showAll="0"/>
    <pivotField showAll="0"/>
    <pivotField showAll="0"/>
    <pivotField showAll="0"/>
    <pivotField showAll="0"/>
  </pivotFields>
  <rowFields count="1">
    <field x="4"/>
  </rowFields>
  <rowItems count="11">
    <i>
      <x/>
    </i>
    <i>
      <x v="1"/>
    </i>
    <i>
      <x v="2"/>
    </i>
    <i>
      <x v="3"/>
    </i>
    <i>
      <x v="4"/>
    </i>
    <i>
      <x v="5"/>
    </i>
    <i>
      <x v="6"/>
    </i>
    <i>
      <x v="7"/>
    </i>
    <i>
      <x v="8"/>
    </i>
    <i>
      <x v="9"/>
    </i>
    <i t="grand">
      <x/>
    </i>
  </rowItems>
  <colItems count="1">
    <i/>
  </colItems>
  <dataFields count="1">
    <dataField name="Count of Contract Numb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_Category" xr10:uid="{EBEAA465-C0D9-46D1-9EB9-71AC866F078F}" sourceName="Contract Category">
  <pivotTables>
    <pivotTable tabId="8" name="statistics"/>
    <pivotTable tabId="8" name="costs"/>
    <pivotTable tabId="8" name="remain days"/>
    <pivotTable tabId="8" name="PivotTable5"/>
  </pivotTables>
  <data>
    <tabular pivotCacheId="691175004">
      <items count="8">
        <i x="4" s="1"/>
        <i x="0" s="1"/>
        <i x="1" s="1"/>
        <i x="2" s="1"/>
        <i x="3" s="1"/>
        <i x="5" s="1" nd="1"/>
        <i x="7" s="1" nd="1"/>
        <i x="6"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ated_Department" xr10:uid="{4B2AA8BC-72AD-4194-9004-A690AC70D9D4}" sourceName="Related Department">
  <pivotTables>
    <pivotTable tabId="8" name="statistics"/>
    <pivotTable tabId="8" name="costs"/>
    <pivotTable tabId="8" name="remain days"/>
  </pivotTables>
  <data>
    <tabular pivotCacheId="691175004">
      <items count="7">
        <i x="2" s="1"/>
        <i x="3" s="1"/>
        <i x="0" s="1"/>
        <i x="4" s="1"/>
        <i x="1" s="1"/>
        <i x="6"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_Status" xr10:uid="{0BB55737-288D-4660-A075-58E68D96F168}" sourceName="Contract Status">
  <pivotTables>
    <pivotTable tabId="8" name="statistics"/>
    <pivotTable tabId="8" name="costs"/>
    <pivotTable tabId="8" name="remain days"/>
    <pivotTable tabId="8" name="PivotTable5"/>
  </pivotTables>
  <data>
    <tabular pivotCacheId="691175004">
      <items count="4">
        <i x="0" s="1"/>
        <i x="2" s="1"/>
        <i x="1" s="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ct Category" xr10:uid="{D9C5D815-48E8-4897-85C5-2A368C3F6D3C}" cache="Slicer_Contract_Category" caption="Contract Category" style="Slicer Style 1" lockedPosition="1" rowHeight="225425"/>
  <slicer name="Related Department" xr10:uid="{EE1D21DE-2509-4AB1-9111-C553DF140874}" cache="Slicer_Related_Department" caption="Related Department" style="Slicer Style 1" lockedPosition="1" rowHeight="225425"/>
  <slicer name="Contract Status" xr10:uid="{8F231AE5-059F-45CE-BC12-14B4D5405CB0}" cache="Slicer_Contract_Status" caption="Contract Status" style="Slicer Style 1" lockedPosition="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5C44B5-3FAA-4B4E-B682-8E0FA63F463A}" name="Contracts" displayName="Contracts" ref="B24:T34" totalsRowShown="0" headerRowDxfId="25" dataDxfId="23" headerRowBorderDxfId="24" tableBorderDxfId="22">
  <tableColumns count="19">
    <tableColumn id="1" xr3:uid="{35732B20-4DEB-485E-BD58-DCEFD20E2397}" name="Contract Number" dataDxfId="21"/>
    <tableColumn id="2" xr3:uid="{1EDBB62D-EF77-4842-B858-81597F888E66}" name="Contract Category" dataDxfId="20"/>
    <tableColumn id="3" xr3:uid="{87E3CBD9-337F-423B-88BD-8A70EB14478F}" name="Organization / Member Name" dataDxfId="19"/>
    <tableColumn id="15" xr3:uid="{EDCD1510-DC01-4E60-B1CA-4B624A434A2E}" name="Related Department" dataDxfId="18"/>
    <tableColumn id="13" xr3:uid="{9FF2879A-0838-42B4-97FD-7E9D74A7543E}" name="Joining Date" dataDxfId="17"/>
    <tableColumn id="14" xr3:uid="{E1833B22-AED8-48AF-8BAD-54C4008DB1EB}" name="Accumulated Duration (Month)" dataDxfId="16">
      <calculatedColumnFormula>IFERROR(IF(Contracts[[#This Row],[Joining Date]]="","",(TODAY()-Contracts[[#This Row],[Joining Date]])/30),"")</calculatedColumnFormula>
    </tableColumn>
    <tableColumn id="4" xr3:uid="{34A7F3F5-BDAE-4132-BDE8-DE8205A8FC46}" name="Contract Starting Date" dataDxfId="15"/>
    <tableColumn id="5" xr3:uid="{5CC6D73E-DF58-4176-9F6E-E3B2F708CCBA}" name="Contract Period (Month)" dataDxfId="14" dataCellStyle="Hyperlink"/>
    <tableColumn id="6" xr3:uid="{CC81E308-3570-4853-AFC3-D4FB9330B470}" name="Contract Expiration Date" dataDxfId="13">
      <calculatedColumnFormula>IFERROR(IF(Contracts[[#This Row],[Contract Period (Month)]]="","",(Contracts[[#This Row],[Contract Period (Month)]]*30)+Contracts[[#This Row],[Contract Starting Date]]),"")</calculatedColumnFormula>
    </tableColumn>
    <tableColumn id="7" xr3:uid="{47D2FDDC-2DE7-424A-9E40-30A3B5B8D9CD}" name="Notice Period (Month)" dataDxfId="12" dataCellStyle="Percent"/>
    <tableColumn id="12" xr3:uid="{8E857A9B-977D-42EC-8415-4BF58EE8E53C}" name="Remain Days To Notice" dataDxfId="11" dataCellStyle="Percent">
      <calculatedColumnFormula>IFERROR(IF(Contracts[[#This Row],[Remain Days To Expiration]]="","",(Contracts[[#This Row],[Remain Days To Expiration]]-30*Contracts[[#This Row],[Notice Period (Month)]])),"")</calculatedColumnFormula>
    </tableColumn>
    <tableColumn id="8" xr3:uid="{ECF369F5-595F-42C4-9E99-AFD9DBBB7B74}" name="Remain Days To Expiration" dataDxfId="10" dataCellStyle="Percent">
      <calculatedColumnFormula>IFERROR(Contracts[[#This Row],[Contract Expiration Date]]-TODAY(),"")</calculatedColumnFormula>
    </tableColumn>
    <tableColumn id="17" xr3:uid="{ABD3A787-0B8A-437E-9085-9EDDD992EF1B}" name="Cost Of Contract $" dataDxfId="9" dataCellStyle="Comma"/>
    <tableColumn id="18" xr3:uid="{4CCD4F1B-2146-4CF3-BE2E-9FC1A600C143}" name="Contract Completion%" dataDxfId="8" dataCellStyle="Percent">
      <calculatedColumnFormula>IFERROR(Contracts[[#This Row],[Remain Days To Expiration]]/(Contracts[[#This Row],[Contract Period (Month)]]*30),"")</calculatedColumnFormula>
    </tableColumn>
    <tableColumn id="9" xr3:uid="{BF6EAB5B-13BA-4619-AF43-8393D39DB6A1}" name="Contract Status" dataDxfId="7" dataCellStyle="Percent">
      <calculatedColumnFormula>IF(Contracts[[#This Row],[Contract Completion%]]="","",IF(Contracts[[#This Row],[Contract Completion%]]&lt;0,"expired",IF(Contracts[[#This Row],[Contract Completion%]]&lt;0.2,"About To Finish","Active")))</calculatedColumnFormula>
    </tableColumn>
    <tableColumn id="19" xr3:uid="{693AD825-60F6-4DF3-84B3-24D8689A860E}" name="Type Of Contact" dataDxfId="6" dataCellStyle="Percent"/>
    <tableColumn id="16" xr3:uid="{228138C8-31C2-4BB4-AB5C-5062A4D6AB27}" name="Member To Be Contacted" dataDxfId="5" dataCellStyle="Percent"/>
    <tableColumn id="11" xr3:uid="{443A555B-B21B-4CAB-86F6-CF03FB318131}" name="Email Address" dataDxfId="4" dataCellStyle="Percent">
      <calculatedColumnFormula>IFERROR(IF(Contracts[[#This Row],[Type Of Contact]]="internal",VLOOKUP(Contracts[[#This Row],[Member To Be Contacted]],'Contract Database'!H:I,2,0),VLOOKUP(Contracts[[#This Row],[Member To Be Contacted]],'Contract Database'!K:L,2,0)),"")</calculatedColumnFormula>
    </tableColumn>
    <tableColumn id="10" xr3:uid="{3F554BF4-D39F-4187-B028-0405A1BC544C}" name="Note" dataDxfId="3"/>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table" Target="../tables/table1.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hyperlink" Target="mailto:Kareem.Mostafa87@yahoo.com" TargetMode="External"/><Relationship Id="rId2" Type="http://schemas.openxmlformats.org/officeDocument/2006/relationships/hyperlink" Target="mailto:Rami.Sami@outlook.com" TargetMode="External"/><Relationship Id="rId1" Type="http://schemas.openxmlformats.org/officeDocument/2006/relationships/hyperlink" Target="mailto:Adel.ahmed@yahoo.com" TargetMode="External"/><Relationship Id="rId5" Type="http://schemas.openxmlformats.org/officeDocument/2006/relationships/hyperlink" Target="mailto:Ahmed.Khaled82@Yahoo.com" TargetMode="External"/><Relationship Id="rId4" Type="http://schemas.openxmlformats.org/officeDocument/2006/relationships/hyperlink" Target="mailto:Mohamed.Ismail12@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G75"/>
  <sheetViews>
    <sheetView showGridLines="0" showRowColHeaders="0" tabSelected="1" topLeftCell="A50" zoomScale="85" zoomScaleNormal="85" workbookViewId="0">
      <pane xSplit="3" topLeftCell="D1" activePane="topRight" state="frozen"/>
      <selection pane="topRight" activeCell="C71" sqref="C71:I80"/>
    </sheetView>
  </sheetViews>
  <sheetFormatPr defaultColWidth="10.140625" defaultRowHeight="15" x14ac:dyDescent="0.2"/>
  <cols>
    <col min="1" max="1" width="24.140625" style="6"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7" t="s">
        <v>1</v>
      </c>
      <c r="B5" s="3" t="s">
        <v>0</v>
      </c>
      <c r="D5" s="3" t="s">
        <v>129</v>
      </c>
    </row>
    <row r="7" spans="1:4" ht="12.75" x14ac:dyDescent="0.2">
      <c r="A7" s="8"/>
      <c r="B7" s="3" t="s">
        <v>2</v>
      </c>
      <c r="D7" s="2" t="s">
        <v>130</v>
      </c>
    </row>
    <row r="8" spans="1:4" ht="12.75" x14ac:dyDescent="0.2">
      <c r="A8" s="8" t="s">
        <v>17</v>
      </c>
    </row>
    <row r="9" spans="1:4" ht="12.75" x14ac:dyDescent="0.2">
      <c r="A9" s="8" t="s">
        <v>94</v>
      </c>
    </row>
    <row r="10" spans="1:4" ht="12.75" x14ac:dyDescent="0.2">
      <c r="A10" s="8"/>
    </row>
    <row r="11" spans="1:4" ht="12.75" x14ac:dyDescent="0.2">
      <c r="A11" s="8"/>
      <c r="B11" s="14"/>
      <c r="C11" s="13"/>
    </row>
    <row r="12" spans="1:4" ht="12.75" x14ac:dyDescent="0.2">
      <c r="A12" s="8"/>
      <c r="B12" s="14" t="s">
        <v>112</v>
      </c>
      <c r="C12" s="13" t="s">
        <v>67</v>
      </c>
      <c r="D12" s="2" t="s">
        <v>131</v>
      </c>
    </row>
    <row r="13" spans="1:4" ht="12.75" x14ac:dyDescent="0.2">
      <c r="A13" s="8"/>
      <c r="B13" s="14"/>
      <c r="C13" s="13" t="s">
        <v>114</v>
      </c>
      <c r="D13" s="2" t="s">
        <v>126</v>
      </c>
    </row>
    <row r="14" spans="1:4" ht="12.75" x14ac:dyDescent="0.2">
      <c r="A14" s="8"/>
      <c r="B14" s="14"/>
      <c r="C14" s="13" t="s">
        <v>127</v>
      </c>
      <c r="D14" s="2" t="s">
        <v>132</v>
      </c>
    </row>
    <row r="15" spans="1:4" ht="12.75" x14ac:dyDescent="0.2">
      <c r="A15" s="8"/>
      <c r="B15" s="14"/>
      <c r="C15" s="13" t="s">
        <v>115</v>
      </c>
      <c r="D15" s="2" t="s">
        <v>133</v>
      </c>
    </row>
    <row r="16" spans="1:4" ht="12.75" x14ac:dyDescent="0.2">
      <c r="A16" s="8"/>
      <c r="B16" s="14"/>
      <c r="C16" s="13" t="s">
        <v>102</v>
      </c>
      <c r="D16" s="2" t="s">
        <v>134</v>
      </c>
    </row>
    <row r="17" spans="1:4" ht="12.75" x14ac:dyDescent="0.2">
      <c r="A17" s="8"/>
      <c r="B17" s="14"/>
      <c r="C17" s="13" t="s">
        <v>80</v>
      </c>
      <c r="D17" s="2" t="s">
        <v>135</v>
      </c>
    </row>
    <row r="18" spans="1:4" ht="12.75" x14ac:dyDescent="0.2">
      <c r="A18" s="8"/>
      <c r="B18" s="14"/>
      <c r="C18" s="13" t="s">
        <v>79</v>
      </c>
      <c r="D18" s="2" t="s">
        <v>136</v>
      </c>
    </row>
    <row r="19" spans="1:4" ht="12.75" x14ac:dyDescent="0.2">
      <c r="A19" s="8"/>
      <c r="B19" s="14"/>
      <c r="C19" s="13" t="s">
        <v>116</v>
      </c>
      <c r="D19" s="2" t="s">
        <v>137</v>
      </c>
    </row>
    <row r="20" spans="1:4" ht="12.75" x14ac:dyDescent="0.2">
      <c r="A20" s="8"/>
      <c r="B20" s="14"/>
      <c r="C20" s="13"/>
    </row>
    <row r="22" spans="1:4" ht="12.75" x14ac:dyDescent="0.2">
      <c r="A22" s="8"/>
    </row>
    <row r="23" spans="1:4" ht="12.75" x14ac:dyDescent="0.2">
      <c r="A23" s="8"/>
      <c r="B23" s="3" t="s">
        <v>3</v>
      </c>
      <c r="D23" s="3">
        <v>2</v>
      </c>
    </row>
    <row r="24" spans="1:4" ht="12.75" x14ac:dyDescent="0.2">
      <c r="A24" s="8"/>
    </row>
    <row r="25" spans="1:4" x14ac:dyDescent="0.2">
      <c r="B25" s="3" t="s">
        <v>4</v>
      </c>
      <c r="C25" s="11"/>
      <c r="D25" s="12"/>
    </row>
    <row r="26" spans="1:4" ht="12.75" x14ac:dyDescent="0.2">
      <c r="A26" s="8"/>
      <c r="B26" s="3"/>
      <c r="C26" s="15" t="s">
        <v>17</v>
      </c>
      <c r="D26" s="2" t="s">
        <v>118</v>
      </c>
    </row>
    <row r="27" spans="1:4" ht="12.75" x14ac:dyDescent="0.2">
      <c r="A27" s="8"/>
      <c r="B27" s="3"/>
      <c r="C27" s="15" t="s">
        <v>94</v>
      </c>
      <c r="D27" s="2" t="s">
        <v>119</v>
      </c>
    </row>
    <row r="28" spans="1:4" ht="12.75" customHeight="1" x14ac:dyDescent="0.2">
      <c r="C28" s="4"/>
    </row>
    <row r="29" spans="1:4" ht="12.75" customHeight="1" x14ac:dyDescent="0.2">
      <c r="B29" s="3" t="s">
        <v>5</v>
      </c>
      <c r="C29" s="4" t="s">
        <v>6</v>
      </c>
      <c r="D29" s="2" t="s">
        <v>138</v>
      </c>
    </row>
    <row r="30" spans="1:4" ht="12.75" customHeight="1" x14ac:dyDescent="0.2">
      <c r="C30" s="4" t="s">
        <v>7</v>
      </c>
      <c r="D30" s="2" t="s">
        <v>139</v>
      </c>
    </row>
    <row r="31" spans="1:4" ht="12.75" customHeight="1" x14ac:dyDescent="0.2">
      <c r="C31" s="4" t="s">
        <v>8</v>
      </c>
      <c r="D31" s="2" t="s">
        <v>140</v>
      </c>
    </row>
    <row r="32" spans="1:4" ht="12.75" customHeight="1" x14ac:dyDescent="0.2">
      <c r="C32" s="4" t="s">
        <v>9</v>
      </c>
      <c r="D32" s="2" t="s">
        <v>141</v>
      </c>
    </row>
    <row r="33" spans="2:7" ht="12.75" customHeight="1" x14ac:dyDescent="0.2">
      <c r="C33" s="4" t="s">
        <v>10</v>
      </c>
      <c r="D33" s="2" t="s">
        <v>142</v>
      </c>
    </row>
    <row r="34" spans="2:7" ht="12.75" customHeight="1" x14ac:dyDescent="0.2">
      <c r="C34" s="4" t="s">
        <v>11</v>
      </c>
      <c r="D34" s="2" t="s">
        <v>143</v>
      </c>
    </row>
    <row r="35" spans="2:7" ht="12.75" customHeight="1" x14ac:dyDescent="0.2">
      <c r="C35" s="4" t="s">
        <v>12</v>
      </c>
      <c r="D35" s="2" t="s">
        <v>144</v>
      </c>
    </row>
    <row r="36" spans="2:7" ht="12.75" customHeight="1" x14ac:dyDescent="0.2">
      <c r="C36" s="4" t="s">
        <v>13</v>
      </c>
      <c r="D36" s="2" t="s">
        <v>145</v>
      </c>
    </row>
    <row r="37" spans="2:7" ht="12.75" customHeight="1" x14ac:dyDescent="0.2">
      <c r="C37" s="4" t="s">
        <v>14</v>
      </c>
      <c r="D37" s="2" t="s">
        <v>146</v>
      </c>
    </row>
    <row r="38" spans="2:7" ht="12.75" customHeight="1" x14ac:dyDescent="0.2">
      <c r="C38" s="4" t="s">
        <v>15</v>
      </c>
      <c r="D38" s="2" t="s">
        <v>147</v>
      </c>
    </row>
    <row r="39" spans="2:7" ht="12.75" customHeight="1" x14ac:dyDescent="0.2">
      <c r="C39" s="4" t="s">
        <v>120</v>
      </c>
      <c r="D39" s="2" t="s">
        <v>148</v>
      </c>
    </row>
    <row r="40" spans="2:7" ht="12.75" customHeight="1" x14ac:dyDescent="0.2">
      <c r="C40" s="4" t="s">
        <v>121</v>
      </c>
      <c r="D40" s="2" t="s">
        <v>149</v>
      </c>
    </row>
    <row r="41" spans="2:7" ht="12.75" customHeight="1" x14ac:dyDescent="0.2">
      <c r="C41" s="4" t="s">
        <v>122</v>
      </c>
      <c r="D41" s="2" t="s">
        <v>150</v>
      </c>
    </row>
    <row r="42" spans="2:7" ht="12.75" customHeight="1" x14ac:dyDescent="0.2">
      <c r="C42" s="4" t="s">
        <v>123</v>
      </c>
      <c r="D42" s="2" t="s">
        <v>151</v>
      </c>
    </row>
    <row r="43" spans="2:7" x14ac:dyDescent="0.2">
      <c r="C43" s="4" t="s">
        <v>124</v>
      </c>
      <c r="D43" s="2" t="s">
        <v>152</v>
      </c>
    </row>
    <row r="44" spans="2:7" x14ac:dyDescent="0.2">
      <c r="C44" s="4" t="s">
        <v>125</v>
      </c>
      <c r="D44" s="2" t="s">
        <v>153</v>
      </c>
    </row>
    <row r="45" spans="2:7" x14ac:dyDescent="0.2">
      <c r="C45" s="4"/>
    </row>
    <row r="46" spans="2:7" x14ac:dyDescent="0.2">
      <c r="C46" s="4"/>
    </row>
    <row r="47" spans="2:7" x14ac:dyDescent="0.2">
      <c r="B47" s="14" t="s">
        <v>154</v>
      </c>
      <c r="C47" s="85"/>
      <c r="D47" s="86" t="s">
        <v>155</v>
      </c>
      <c r="E47" s="87"/>
      <c r="F47" s="87"/>
      <c r="G47" s="87"/>
    </row>
    <row r="48" spans="2:7" x14ac:dyDescent="0.2">
      <c r="B48" s="87"/>
      <c r="C48" s="87"/>
      <c r="D48" s="86" t="s">
        <v>156</v>
      </c>
      <c r="E48" s="87"/>
      <c r="F48" s="87"/>
      <c r="G48" s="87"/>
    </row>
    <row r="49" spans="2:7" x14ac:dyDescent="0.2">
      <c r="B49" s="87"/>
      <c r="C49" s="87"/>
      <c r="D49" s="87"/>
      <c r="E49" s="87"/>
      <c r="F49" s="87"/>
      <c r="G49" s="87"/>
    </row>
    <row r="50" spans="2:7" x14ac:dyDescent="0.2">
      <c r="B50" s="87"/>
      <c r="C50" s="88" t="s">
        <v>157</v>
      </c>
      <c r="D50" s="87" t="s">
        <v>158</v>
      </c>
      <c r="E50" s="87"/>
      <c r="F50" s="87"/>
      <c r="G50" s="87"/>
    </row>
    <row r="51" spans="2:7" x14ac:dyDescent="0.2">
      <c r="B51" s="87"/>
      <c r="C51" s="87"/>
      <c r="D51" s="85"/>
      <c r="E51" s="87"/>
      <c r="F51" s="87"/>
      <c r="G51" s="87"/>
    </row>
    <row r="52" spans="2:7" x14ac:dyDescent="0.2">
      <c r="B52" s="87"/>
      <c r="C52" s="87"/>
      <c r="D52" s="85"/>
      <c r="E52" s="87"/>
      <c r="F52" s="87"/>
      <c r="G52" s="87"/>
    </row>
    <row r="53" spans="2:7" x14ac:dyDescent="0.2">
      <c r="B53" s="87"/>
      <c r="C53" s="87"/>
      <c r="D53" s="85"/>
      <c r="E53" s="87"/>
      <c r="F53" s="87"/>
      <c r="G53" s="87"/>
    </row>
    <row r="54" spans="2:7" x14ac:dyDescent="0.2">
      <c r="B54" s="87"/>
      <c r="C54" s="87"/>
      <c r="D54" s="85"/>
      <c r="E54" s="87"/>
      <c r="F54" s="87"/>
      <c r="G54" s="87"/>
    </row>
    <row r="55" spans="2:7" x14ac:dyDescent="0.2">
      <c r="B55" s="87"/>
      <c r="C55" s="87"/>
      <c r="D55" s="85"/>
      <c r="E55" s="87"/>
      <c r="F55" s="87"/>
      <c r="G55" s="87"/>
    </row>
    <row r="56" spans="2:7" x14ac:dyDescent="0.2">
      <c r="B56" s="87"/>
      <c r="C56" s="88" t="s">
        <v>159</v>
      </c>
      <c r="D56" s="87" t="s">
        <v>160</v>
      </c>
      <c r="E56" s="87"/>
      <c r="F56" s="87"/>
      <c r="G56" s="87"/>
    </row>
    <row r="57" spans="2:7" x14ac:dyDescent="0.2">
      <c r="B57" s="87"/>
      <c r="C57" s="87"/>
      <c r="D57" s="87"/>
      <c r="E57" s="87"/>
      <c r="F57" s="87"/>
      <c r="G57" s="87"/>
    </row>
    <row r="58" spans="2:7" x14ac:dyDescent="0.2">
      <c r="B58" s="87"/>
      <c r="C58" s="88" t="s">
        <v>161</v>
      </c>
      <c r="D58" s="87" t="s">
        <v>162</v>
      </c>
      <c r="E58" s="87"/>
      <c r="F58" s="87"/>
      <c r="G58" s="87"/>
    </row>
    <row r="59" spans="2:7" x14ac:dyDescent="0.2">
      <c r="B59" s="87"/>
      <c r="C59" s="87"/>
      <c r="D59" s="87"/>
      <c r="E59" s="87"/>
      <c r="F59" s="87"/>
      <c r="G59" s="87"/>
    </row>
    <row r="60" spans="2:7" x14ac:dyDescent="0.2">
      <c r="B60" s="87"/>
      <c r="C60" s="87"/>
      <c r="D60" s="87"/>
      <c r="E60" s="87"/>
      <c r="F60" s="87"/>
      <c r="G60" s="87"/>
    </row>
    <row r="61" spans="2:7" x14ac:dyDescent="0.2">
      <c r="B61" s="87"/>
      <c r="C61" s="87"/>
      <c r="D61" s="87"/>
      <c r="E61" s="87"/>
      <c r="F61" s="87"/>
      <c r="G61" s="87"/>
    </row>
    <row r="62" spans="2:7" x14ac:dyDescent="0.2">
      <c r="B62" s="87"/>
      <c r="C62" s="87"/>
      <c r="D62" s="87"/>
      <c r="E62" s="87"/>
      <c r="F62" s="87"/>
      <c r="G62" s="87"/>
    </row>
    <row r="63" spans="2:7" x14ac:dyDescent="0.2">
      <c r="B63" s="87"/>
      <c r="C63" s="87"/>
      <c r="D63" s="87"/>
      <c r="E63" s="87"/>
      <c r="F63" s="87"/>
      <c r="G63" s="87"/>
    </row>
    <row r="64" spans="2:7" x14ac:dyDescent="0.2">
      <c r="B64" s="87"/>
      <c r="C64" s="88" t="s">
        <v>163</v>
      </c>
      <c r="D64" s="87" t="s">
        <v>164</v>
      </c>
      <c r="E64" s="87"/>
      <c r="F64" s="87"/>
      <c r="G64" s="87"/>
    </row>
    <row r="65" spans="2:7" x14ac:dyDescent="0.2">
      <c r="B65" s="87"/>
      <c r="C65" s="87"/>
      <c r="D65" s="87"/>
      <c r="E65" s="87"/>
      <c r="F65" s="87"/>
      <c r="G65" s="87"/>
    </row>
    <row r="66" spans="2:7" x14ac:dyDescent="0.2">
      <c r="B66" s="87"/>
      <c r="C66" s="87"/>
      <c r="D66" s="87"/>
      <c r="E66" s="87"/>
      <c r="F66" s="87"/>
      <c r="G66" s="87"/>
    </row>
    <row r="67" spans="2:7" x14ac:dyDescent="0.2">
      <c r="B67" s="87"/>
      <c r="C67" s="87"/>
      <c r="D67" s="87"/>
      <c r="E67" s="87"/>
      <c r="F67" s="87"/>
      <c r="G67" s="87"/>
    </row>
    <row r="68" spans="2:7" x14ac:dyDescent="0.2">
      <c r="B68" s="87"/>
      <c r="C68" s="87"/>
      <c r="D68" s="87"/>
      <c r="E68" s="87"/>
      <c r="F68" s="87"/>
      <c r="G68" s="87"/>
    </row>
    <row r="69" spans="2:7" x14ac:dyDescent="0.2">
      <c r="B69" s="87"/>
      <c r="C69" s="87"/>
      <c r="D69" s="87"/>
      <c r="E69" s="87"/>
      <c r="F69" s="87"/>
      <c r="G69" s="87"/>
    </row>
    <row r="70" spans="2:7" x14ac:dyDescent="0.2">
      <c r="B70" s="87"/>
      <c r="C70" s="87"/>
      <c r="D70" s="86"/>
      <c r="E70" s="87"/>
      <c r="F70" s="87"/>
      <c r="G70" s="87"/>
    </row>
    <row r="71" spans="2:7" x14ac:dyDescent="0.2">
      <c r="B71" s="87"/>
      <c r="C71" s="87"/>
      <c r="E71" s="87"/>
      <c r="F71" s="87"/>
      <c r="G71" s="87"/>
    </row>
    <row r="72" spans="2:7" x14ac:dyDescent="0.2">
      <c r="B72" s="87"/>
      <c r="C72" s="87"/>
      <c r="D72" s="51"/>
      <c r="E72" s="87"/>
      <c r="F72" s="87"/>
      <c r="G72" s="87"/>
    </row>
    <row r="73" spans="2:7" x14ac:dyDescent="0.2">
      <c r="B73" s="87"/>
      <c r="C73" s="87"/>
      <c r="E73" s="87"/>
      <c r="F73" s="87"/>
      <c r="G73" s="87"/>
    </row>
    <row r="74" spans="2:7" x14ac:dyDescent="0.2">
      <c r="B74" s="87"/>
      <c r="C74" s="87"/>
      <c r="E74" s="87"/>
      <c r="F74" s="87"/>
      <c r="G74" s="87"/>
    </row>
    <row r="75" spans="2:7" x14ac:dyDescent="0.2">
      <c r="B75" s="87"/>
      <c r="C75" s="87"/>
      <c r="E75" s="87"/>
      <c r="F75" s="87"/>
      <c r="G75" s="87"/>
    </row>
  </sheetData>
  <conditionalFormatting sqref="D23">
    <cfRule type="iconSet" priority="1">
      <iconSet reverse="1">
        <cfvo type="percent" val="0"/>
        <cfvo type="num" val="1" gte="0"/>
        <cfvo type="num" val="2" gte="0"/>
      </iconSet>
    </cfRule>
  </conditionalFormatting>
  <hyperlinks>
    <hyperlink ref="A8" location="'Contracts Management'!A1" display="Contracts Management" xr:uid="{30EEAA57-9A30-4179-856A-11B208E0576E}"/>
    <hyperlink ref="A9" location="'Contracts Database'!A1" display="Contracts Database" xr:uid="{FAE63026-024E-4595-84BC-62351C21C493}"/>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9087-FF87-415E-AC41-F9F3904160C2}">
  <sheetPr codeName="Sheet3">
    <tabColor rgb="FF50B47F"/>
  </sheetPr>
  <dimension ref="A1:V1006"/>
  <sheetViews>
    <sheetView showGridLines="0" showRowColHeaders="0" zoomScale="80" zoomScaleNormal="80" workbookViewId="0">
      <pane xSplit="2" ySplit="24" topLeftCell="C25" activePane="bottomRight" state="frozen"/>
      <selection pane="topRight" activeCell="C1" sqref="C1"/>
      <selection pane="bottomLeft" activeCell="A21" sqref="A21"/>
      <selection pane="bottomRight" activeCell="G28" sqref="G28"/>
    </sheetView>
  </sheetViews>
  <sheetFormatPr defaultColWidth="0" defaultRowHeight="12.75" x14ac:dyDescent="0.2"/>
  <cols>
    <col min="1" max="1" width="13.85546875" style="5" customWidth="1"/>
    <col min="2" max="2" width="13.5703125" customWidth="1"/>
    <col min="3" max="7" width="18.7109375" customWidth="1"/>
    <col min="8" max="10" width="13.7109375" customWidth="1"/>
    <col min="11" max="11" width="12.28515625" customWidth="1"/>
    <col min="12" max="13" width="13.7109375" customWidth="1"/>
    <col min="14" max="14" width="12.42578125" customWidth="1"/>
    <col min="15" max="15" width="12.28515625" customWidth="1"/>
    <col min="16" max="16" width="13.7109375" customWidth="1"/>
    <col min="17" max="17" width="14.7109375" customWidth="1"/>
    <col min="18" max="18" width="28.7109375" customWidth="1"/>
    <col min="19" max="20" width="30.7109375" customWidth="1"/>
    <col min="21" max="21" width="3" customWidth="1"/>
    <col min="22" max="22" width="0.42578125" customWidth="1"/>
    <col min="23" max="16384" width="9.140625" hidden="1"/>
  </cols>
  <sheetData>
    <row r="1" spans="3:20" ht="16.5" customHeight="1" thickBot="1" x14ac:dyDescent="0.3">
      <c r="C1" s="109" t="s">
        <v>83</v>
      </c>
      <c r="D1" s="114" t="s">
        <v>84</v>
      </c>
      <c r="E1" s="116" t="s">
        <v>79</v>
      </c>
      <c r="F1" s="91" t="s">
        <v>85</v>
      </c>
      <c r="G1" s="101" t="s">
        <v>87</v>
      </c>
      <c r="H1" s="42"/>
      <c r="I1" s="44"/>
      <c r="J1" s="44"/>
      <c r="K1" s="45"/>
      <c r="L1" s="45"/>
      <c r="M1" s="46"/>
      <c r="N1" s="46"/>
      <c r="Q1" s="93" t="s">
        <v>101</v>
      </c>
      <c r="R1" s="94"/>
      <c r="S1" s="94"/>
      <c r="T1" s="94"/>
    </row>
    <row r="2" spans="3:20" ht="15" customHeight="1" thickTop="1" thickBot="1" x14ac:dyDescent="0.25">
      <c r="C2" s="110"/>
      <c r="D2" s="115"/>
      <c r="E2" s="117"/>
      <c r="F2" s="92"/>
      <c r="G2" s="102"/>
      <c r="H2" s="42"/>
      <c r="I2" s="44"/>
      <c r="J2" s="44"/>
      <c r="K2" s="45"/>
      <c r="L2" s="45"/>
      <c r="M2" s="46"/>
      <c r="N2" s="46"/>
      <c r="Q2" s="90" t="s">
        <v>98</v>
      </c>
      <c r="R2" s="53" t="s">
        <v>19</v>
      </c>
      <c r="S2" s="59" t="s">
        <v>48</v>
      </c>
      <c r="T2" s="59" t="s">
        <v>43</v>
      </c>
    </row>
    <row r="3" spans="3:20" ht="12.75" customHeight="1" thickTop="1" x14ac:dyDescent="0.2">
      <c r="C3" s="106">
        <f>IFERROR(GETPIVOTDATA("Contract Number",Sheet1!$A$3),"")</f>
        <v>10</v>
      </c>
      <c r="D3" s="111">
        <f>IFERROR(GETPIVOTDATA("Contract Number",Sheet1!$A$3,"Contract Status","Active"),"")</f>
        <v>6</v>
      </c>
      <c r="E3" s="95">
        <f>IFERROR(GETPIVOTDATA("Contract Number",Sheet1!$A$3,"Contract Status","About To Finish"),"")</f>
        <v>3</v>
      </c>
      <c r="F3" s="98">
        <f>IFERROR(GETPIVOTDATA("Contract Number",Sheet1!$A$3,"Contract Status","Expired"),"")</f>
        <v>1</v>
      </c>
      <c r="G3" s="103">
        <f>IFERROR(GETPIVOTDATA("Sum of Cost Of Contract $",Sheet1!$A$3),"")</f>
        <v>64300</v>
      </c>
      <c r="H3" s="47"/>
      <c r="I3" s="48"/>
      <c r="J3" s="48"/>
      <c r="K3" s="49"/>
      <c r="L3" s="49"/>
      <c r="M3" s="50"/>
      <c r="N3" s="50"/>
      <c r="Q3" s="90"/>
      <c r="R3" s="56" t="s">
        <v>95</v>
      </c>
      <c r="S3" s="61" t="str">
        <f>IFERROR(IF(S2="","",VLOOKUP(S2,B:S,2,0)),"")</f>
        <v>Outsource</v>
      </c>
      <c r="T3" s="62" t="str">
        <f>IFERROR(IF(T2="","",VLOOKUP(T2,B:S,2,0)),"")</f>
        <v>Employement renew</v>
      </c>
    </row>
    <row r="4" spans="3:20" ht="12.75" customHeight="1" x14ac:dyDescent="0.2">
      <c r="C4" s="107"/>
      <c r="D4" s="112"/>
      <c r="E4" s="96"/>
      <c r="F4" s="99"/>
      <c r="G4" s="104"/>
      <c r="H4" s="47"/>
      <c r="I4" s="48"/>
      <c r="J4" s="48"/>
      <c r="K4" s="49"/>
      <c r="L4" s="49"/>
      <c r="M4" s="50"/>
      <c r="N4" s="50"/>
      <c r="Q4" s="90"/>
      <c r="R4" s="57" t="s">
        <v>96</v>
      </c>
      <c r="S4" s="63" t="str">
        <f>IFERROR(IF(S2="","",VLOOKUP(S2,B:S,3,0)),"")</f>
        <v>Guest</v>
      </c>
      <c r="T4" s="64" t="str">
        <f>IFERROR(IF(T2="","",VLOOKUP(T2,B:S,3,0)),"")</f>
        <v>Samy Ali</v>
      </c>
    </row>
    <row r="5" spans="3:20" ht="12.75" customHeight="1" x14ac:dyDescent="0.2">
      <c r="C5" s="108"/>
      <c r="D5" s="113"/>
      <c r="E5" s="97"/>
      <c r="F5" s="100"/>
      <c r="G5" s="105"/>
      <c r="H5" s="47"/>
      <c r="I5" s="48"/>
      <c r="J5" s="48"/>
      <c r="K5" s="49"/>
      <c r="L5" s="49"/>
      <c r="M5" s="50"/>
      <c r="N5" s="50"/>
      <c r="Q5" s="90"/>
      <c r="R5" s="57" t="s">
        <v>97</v>
      </c>
      <c r="S5" s="63" t="str">
        <f>IFERROR(IF(S2="","",VLOOKUP(S2,B:S,4,0)),"")</f>
        <v>Procurement</v>
      </c>
      <c r="T5" s="64" t="str">
        <f>IFERROR(IF(T2="","",VLOOKUP(T2,B:S,4,0)),"")</f>
        <v>Procurement</v>
      </c>
    </row>
    <row r="6" spans="3:20" ht="12.75" customHeight="1" x14ac:dyDescent="0.2">
      <c r="G6" s="47"/>
      <c r="H6" s="47"/>
      <c r="I6" s="48"/>
      <c r="J6" s="48"/>
      <c r="K6" s="49"/>
      <c r="L6" s="49"/>
      <c r="M6" s="50"/>
      <c r="N6" s="50"/>
      <c r="Q6" s="90"/>
      <c r="R6" s="58" t="s">
        <v>100</v>
      </c>
      <c r="S6" s="65">
        <f>IFERROR(IF(S2="","",VLOOKUP(S2,B:S,13,0)),"")</f>
        <v>4600</v>
      </c>
      <c r="T6" s="74">
        <f>IFERROR(IF(T2="","",VLOOKUP(T2,B:S,13,0)),"")</f>
        <v>3400</v>
      </c>
    </row>
    <row r="7" spans="3:20" x14ac:dyDescent="0.2">
      <c r="Q7" s="54"/>
      <c r="R7" s="53"/>
      <c r="S7" s="66"/>
      <c r="T7" s="66"/>
    </row>
    <row r="8" spans="3:20" x14ac:dyDescent="0.2">
      <c r="Q8" s="89" t="s">
        <v>99</v>
      </c>
      <c r="R8" s="56" t="s">
        <v>30</v>
      </c>
      <c r="S8" s="78">
        <f>IFERROR(IF(S2="","",VLOOKUP(S2,B:S,5,0)),"")</f>
        <v>44024</v>
      </c>
      <c r="T8" s="79">
        <f>IFERROR(IF(T2="","",VLOOKUP(T2,B:S,5,0)),"")</f>
        <v>43408</v>
      </c>
    </row>
    <row r="9" spans="3:20" x14ac:dyDescent="0.2">
      <c r="Q9" s="89"/>
      <c r="R9" s="57" t="s">
        <v>31</v>
      </c>
      <c r="S9" s="67">
        <f ca="1">IFERROR(IF(S2="","",VLOOKUP(S2,B:S,6,0)),"")</f>
        <v>51.033333333333331</v>
      </c>
      <c r="T9" s="68">
        <f ca="1">IFERROR(IF(T2="","",VLOOKUP(T2,B:S,6,0)),"")</f>
        <v>71.566666666666663</v>
      </c>
    </row>
    <row r="10" spans="3:20" x14ac:dyDescent="0.2">
      <c r="Q10" s="89"/>
      <c r="R10" s="57" t="s">
        <v>28</v>
      </c>
      <c r="S10" s="80">
        <f>IFERROR(IF(S2="","",VLOOKUP(S2,B:S,7,0)),"")</f>
        <v>44024</v>
      </c>
      <c r="T10" s="81">
        <f>IFERROR(IF(T2="","",VLOOKUP(S2,B:S,7,0)),"")</f>
        <v>44024</v>
      </c>
    </row>
    <row r="11" spans="3:20" x14ac:dyDescent="0.2">
      <c r="Q11" s="89"/>
      <c r="R11" s="57" t="s">
        <v>21</v>
      </c>
      <c r="S11" s="67">
        <f>IFERROR(IF(S2="","",VLOOKUP(S2,B:S,8,0)),"")</f>
        <v>12</v>
      </c>
      <c r="T11" s="68">
        <f>IFERROR(IF(T2="","",VLOOKUP(T2,B:S,8,0)),"")</f>
        <v>24</v>
      </c>
    </row>
    <row r="12" spans="3:20" x14ac:dyDescent="0.2">
      <c r="Q12" s="89"/>
      <c r="R12" s="57" t="s">
        <v>29</v>
      </c>
      <c r="S12" s="80">
        <f>IFERROR(IF(S2="","",VLOOKUP(S2,B:S,9,0)),"")</f>
        <v>44384</v>
      </c>
      <c r="T12" s="81">
        <f>IFERROR(IF(T2="","",VLOOKUP(S2,B:S,9,0)),"")</f>
        <v>44384</v>
      </c>
    </row>
    <row r="13" spans="3:20" x14ac:dyDescent="0.2">
      <c r="Q13" s="89"/>
      <c r="R13" s="58" t="s">
        <v>22</v>
      </c>
      <c r="S13" s="69">
        <f>IFERROR(IF(S2="","",VLOOKUP(S2,B:S,10,0)),"")</f>
        <v>2</v>
      </c>
      <c r="T13" s="70">
        <f>IFERROR(IF(T2="","",VLOOKUP(T2,B:S,10,0)),"")</f>
        <v>2</v>
      </c>
    </row>
    <row r="14" spans="3:20" x14ac:dyDescent="0.2">
      <c r="Q14" s="55"/>
      <c r="R14" s="53"/>
      <c r="S14" s="66"/>
      <c r="T14" s="66"/>
    </row>
    <row r="15" spans="3:20" x14ac:dyDescent="0.2">
      <c r="Q15" s="89" t="s">
        <v>103</v>
      </c>
      <c r="R15" s="56" t="s">
        <v>23</v>
      </c>
      <c r="S15" s="61">
        <f ca="1">IFERROR(IF(S2="","",VLOOKUP(S2,B:S,11,0)),"")</f>
        <v>-1231</v>
      </c>
      <c r="T15" s="62">
        <f ca="1">IFERROR(IF(T2="","",VLOOKUP(T2,B:S,11,0)),"")</f>
        <v>-1329</v>
      </c>
    </row>
    <row r="16" spans="3:20" x14ac:dyDescent="0.2">
      <c r="Q16" s="89"/>
      <c r="R16" s="57" t="s">
        <v>24</v>
      </c>
      <c r="S16" s="63">
        <f ca="1">IFERROR(IF(S2="","",VLOOKUP(S2,B:S,12,0)),"")</f>
        <v>-1171</v>
      </c>
      <c r="T16" s="64">
        <f ca="1">IFERROR(IF(T2="","",VLOOKUP(T2,B:S,12,0)),"")</f>
        <v>-1269</v>
      </c>
    </row>
    <row r="17" spans="1:20" x14ac:dyDescent="0.2">
      <c r="Q17" s="89"/>
      <c r="R17" s="57" t="s">
        <v>102</v>
      </c>
      <c r="S17" s="71">
        <f ca="1">IFERROR(IF(S2="","",VLOOKUP(S2,B:S,14,0)),"")</f>
        <v>-3.2527777777777778</v>
      </c>
      <c r="T17" s="75">
        <f ca="1">IFERROR(IF(T2="","",VLOOKUP(T2,B:S,14,0)),"")</f>
        <v>-1.7625</v>
      </c>
    </row>
    <row r="18" spans="1:20" x14ac:dyDescent="0.2">
      <c r="Q18" s="89"/>
      <c r="R18" s="58" t="s">
        <v>105</v>
      </c>
      <c r="S18" s="72" t="str">
        <f ca="1">IFERROR(IF(S2="","",VLOOKUP(S2,B:S,15,0)),"")</f>
        <v>expired</v>
      </c>
      <c r="T18" s="73" t="str">
        <f ca="1">IFERROR(IF(T2="","",VLOOKUP(T2,B:S,15,0)),"")</f>
        <v>expired</v>
      </c>
    </row>
    <row r="19" spans="1:20" ht="12.75" customHeight="1" x14ac:dyDescent="0.2">
      <c r="Q19" s="60"/>
      <c r="R19" s="53"/>
      <c r="S19" s="66"/>
      <c r="T19" s="66"/>
    </row>
    <row r="20" spans="1:20" ht="12.75" customHeight="1" x14ac:dyDescent="0.2">
      <c r="Q20" s="89" t="s">
        <v>104</v>
      </c>
      <c r="R20" s="56" t="s">
        <v>54</v>
      </c>
      <c r="S20" s="61" t="str">
        <f>IFERROR(IF(S2="","",VLOOKUP(S2,B:S,16,0)),"")</f>
        <v>Internal</v>
      </c>
      <c r="T20" s="62" t="str">
        <f>IFERROR(IF(T2="","",VLOOKUP(T2,B:S,16,0)),"")</f>
        <v>Internal</v>
      </c>
    </row>
    <row r="21" spans="1:20" x14ac:dyDescent="0.2">
      <c r="Q21" s="89"/>
      <c r="R21" s="57" t="s">
        <v>63</v>
      </c>
      <c r="S21" s="63" t="str">
        <f>IFERROR(IF(S2="","",VLOOKUP(S2,B:S,17,0)),"")</f>
        <v>Ahmed Khaled</v>
      </c>
      <c r="T21" s="64" t="str">
        <f>IFERROR(IF(T2="","",VLOOKUP(T2,B:S,17,0)),"")</f>
        <v>Ahmed Khaled</v>
      </c>
    </row>
    <row r="22" spans="1:20" x14ac:dyDescent="0.2">
      <c r="Q22" s="89"/>
      <c r="R22" s="58" t="s">
        <v>58</v>
      </c>
      <c r="S22" s="72" t="str">
        <f>IFERROR(IF(S2="","",VLOOKUP(S2,B:S,18,0)),"")</f>
        <v>Ahmed.Khaled82@Yahoo.com</v>
      </c>
      <c r="T22" s="73" t="str">
        <f>IFERROR(IF(T2="","",VLOOKUP(T2,B:S,18,0)),"")</f>
        <v>Ahmed.Khaled82@Yahoo.com</v>
      </c>
    </row>
    <row r="23" spans="1:20" x14ac:dyDescent="0.2">
      <c r="Q23" s="52"/>
      <c r="R23" s="32"/>
      <c r="S23" s="32"/>
      <c r="T23" s="32"/>
    </row>
    <row r="24" spans="1:20" ht="51" customHeight="1" thickBot="1" x14ac:dyDescent="0.25">
      <c r="A24" s="9" t="s">
        <v>18</v>
      </c>
      <c r="B24" s="10" t="s">
        <v>19</v>
      </c>
      <c r="C24" s="10" t="s">
        <v>20</v>
      </c>
      <c r="D24" s="10" t="s">
        <v>27</v>
      </c>
      <c r="E24" s="10" t="s">
        <v>67</v>
      </c>
      <c r="F24" s="10" t="s">
        <v>30</v>
      </c>
      <c r="G24" s="10" t="s">
        <v>128</v>
      </c>
      <c r="H24" s="10" t="s">
        <v>28</v>
      </c>
      <c r="I24" s="10" t="s">
        <v>21</v>
      </c>
      <c r="J24" s="10" t="s">
        <v>29</v>
      </c>
      <c r="K24" s="10" t="s">
        <v>22</v>
      </c>
      <c r="L24" s="10" t="s">
        <v>23</v>
      </c>
      <c r="M24" s="10" t="s">
        <v>24</v>
      </c>
      <c r="N24" s="10" t="s">
        <v>34</v>
      </c>
      <c r="O24" s="10" t="s">
        <v>33</v>
      </c>
      <c r="P24" s="10" t="s">
        <v>53</v>
      </c>
      <c r="Q24" s="40" t="s">
        <v>62</v>
      </c>
      <c r="R24" s="40" t="s">
        <v>63</v>
      </c>
      <c r="S24" s="40" t="s">
        <v>58</v>
      </c>
      <c r="T24" s="40" t="s">
        <v>64</v>
      </c>
    </row>
    <row r="25" spans="1:20" x14ac:dyDescent="0.2">
      <c r="A25" s="5" t="str">
        <f t="shared" ref="A25:A88" si="0">IF(AND(B24&lt;&gt;"",B25=""),$A$24&amp;"---&gt;","")</f>
        <v/>
      </c>
      <c r="B25" s="16" t="s">
        <v>43</v>
      </c>
      <c r="C25" s="16" t="s">
        <v>91</v>
      </c>
      <c r="D25" s="24" t="s">
        <v>44</v>
      </c>
      <c r="E25" s="20" t="s">
        <v>16</v>
      </c>
      <c r="F25" s="20">
        <v>43408</v>
      </c>
      <c r="G25" s="19">
        <f ca="1">IFERROR(IF(Contracts[[#This Row],[Joining Date]]="","",(TODAY()-Contracts[[#This Row],[Joining Date]])/30),"")</f>
        <v>71.566666666666663</v>
      </c>
      <c r="H25" s="83">
        <v>43566</v>
      </c>
      <c r="I25" s="21">
        <v>24</v>
      </c>
      <c r="J25" s="82">
        <f>IFERROR(IF(Contracts[[#This Row],[Contract Period (Month)]]="","",(Contracts[[#This Row],[Contract Period (Month)]]*30)+Contracts[[#This Row],[Contract Starting Date]]),"")</f>
        <v>44286</v>
      </c>
      <c r="K25" s="22">
        <v>2</v>
      </c>
      <c r="L25" s="23">
        <f ca="1">IFERROR(IF(Contracts[[#This Row],[Remain Days To Expiration]]="","",(Contracts[[#This Row],[Remain Days To Expiration]]-30*Contracts[[#This Row],[Notice Period (Month)]])),"")</f>
        <v>-1329</v>
      </c>
      <c r="M25" s="23">
        <f ca="1">IFERROR(Contracts[[#This Row],[Contract Expiration Date]]-TODAY(),"")</f>
        <v>-1269</v>
      </c>
      <c r="N25" s="30">
        <v>3400</v>
      </c>
      <c r="O25" s="28">
        <f ca="1">IFERROR(Contracts[[#This Row],[Remain Days To Expiration]]/(Contracts[[#This Row],[Contract Period (Month)]]*30),"")</f>
        <v>-1.7625</v>
      </c>
      <c r="P25" s="28" t="str">
        <f ca="1">IF(Contracts[[#This Row],[Contract Completion%]]="","",IF(Contracts[[#This Row],[Contract Completion%]]&lt;0,"expired",IF(Contracts[[#This Row],[Contract Completion%]]&lt;0.2,"About To Finish","Active")))</f>
        <v>expired</v>
      </c>
      <c r="Q25" s="28" t="s">
        <v>55</v>
      </c>
      <c r="R25" s="28" t="s">
        <v>75</v>
      </c>
      <c r="S25" s="38" t="str">
        <f>IFERROR(IF(Contracts[[#This Row],[Type Of Contact]]="internal",VLOOKUP(Contracts[[#This Row],[Member To Be Contacted]],'Contract Database'!H:I,2,0),VLOOKUP(Contracts[[#This Row],[Member To Be Contacted]],'Contract Database'!K:L,2,0)),"")</f>
        <v>Ahmed.Khaled82@Yahoo.com</v>
      </c>
      <c r="T25" s="35"/>
    </row>
    <row r="26" spans="1:20" x14ac:dyDescent="0.2">
      <c r="A26" s="5" t="str">
        <f t="shared" si="0"/>
        <v/>
      </c>
      <c r="B26" s="16" t="s">
        <v>47</v>
      </c>
      <c r="C26" s="16" t="s">
        <v>91</v>
      </c>
      <c r="D26" s="24" t="s">
        <v>41</v>
      </c>
      <c r="E26" s="20" t="s">
        <v>35</v>
      </c>
      <c r="F26" s="20">
        <v>42265</v>
      </c>
      <c r="G26" s="19">
        <f ca="1">IFERROR(IF(Contracts[[#This Row],[Joining Date]]="","",(TODAY()-Contracts[[#This Row],[Joining Date]])/30),"")</f>
        <v>109.66666666666667</v>
      </c>
      <c r="H26" s="84">
        <v>43723</v>
      </c>
      <c r="I26" s="25">
        <v>14</v>
      </c>
      <c r="J26" s="82">
        <f>IFERROR(IF(Contracts[[#This Row],[Contract Period (Month)]]="","",(Contracts[[#This Row],[Contract Period (Month)]]*30)+Contracts[[#This Row],[Contract Starting Date]]),"")</f>
        <v>44143</v>
      </c>
      <c r="K26" s="26">
        <v>2</v>
      </c>
      <c r="L26" s="27">
        <f ca="1">IFERROR(IF(Contracts[[#This Row],[Remain Days To Expiration]]="","",(Contracts[[#This Row],[Remain Days To Expiration]]-30*Contracts[[#This Row],[Notice Period (Month)]])),"")</f>
        <v>-1472</v>
      </c>
      <c r="M26" s="27">
        <f ca="1">IFERROR(Contracts[[#This Row],[Contract Expiration Date]]-TODAY(),"")</f>
        <v>-1412</v>
      </c>
      <c r="N26" s="31">
        <v>6800</v>
      </c>
      <c r="O26" s="29">
        <f ca="1">IFERROR(Contracts[[#This Row],[Remain Days To Expiration]]/(Contracts[[#This Row],[Contract Period (Month)]]*30),"")</f>
        <v>-3.361904761904762</v>
      </c>
      <c r="P26" s="29" t="str">
        <f ca="1">IF(Contracts[[#This Row],[Contract Completion%]]="","",IF(Contracts[[#This Row],[Contract Completion%]]&lt;0,"expired",IF(Contracts[[#This Row],[Contract Completion%]]&lt;0.2,"About To Finish","Active")))</f>
        <v>expired</v>
      </c>
      <c r="Q26" s="29" t="s">
        <v>55</v>
      </c>
      <c r="R26" s="28" t="s">
        <v>73</v>
      </c>
      <c r="S26" s="39" t="str">
        <f>IFERROR(IF(Contracts[[#This Row],[Type Of Contact]]="internal",VLOOKUP(Contracts[[#This Row],[Member To Be Contacted]],'Contract Database'!H:I,2,0),VLOOKUP(Contracts[[#This Row],[Member To Be Contacted]],'Contract Database'!K:L,2,0)),"")</f>
        <v>Kareem.Mostafa87@yahoo.com</v>
      </c>
      <c r="T26" s="36"/>
    </row>
    <row r="27" spans="1:20" x14ac:dyDescent="0.2">
      <c r="A27" s="5" t="str">
        <f t="shared" si="0"/>
        <v/>
      </c>
      <c r="B27" s="16" t="s">
        <v>48</v>
      </c>
      <c r="C27" s="16" t="s">
        <v>36</v>
      </c>
      <c r="D27" s="24" t="s">
        <v>49</v>
      </c>
      <c r="E27" s="20" t="s">
        <v>16</v>
      </c>
      <c r="F27" s="20">
        <v>44024</v>
      </c>
      <c r="G27" s="19">
        <f ca="1">IFERROR(IF(Contracts[[#This Row],[Joining Date]]="","",(TODAY()-Contracts[[#This Row],[Joining Date]])/30),"")</f>
        <v>51.033333333333331</v>
      </c>
      <c r="H27" s="84">
        <v>44024</v>
      </c>
      <c r="I27" s="25">
        <v>12</v>
      </c>
      <c r="J27" s="82">
        <f>IFERROR(IF(Contracts[[#This Row],[Contract Period (Month)]]="","",(Contracts[[#This Row],[Contract Period (Month)]]*30)+Contracts[[#This Row],[Contract Starting Date]]),"")</f>
        <v>44384</v>
      </c>
      <c r="K27" s="26">
        <v>2</v>
      </c>
      <c r="L27" s="27">
        <f ca="1">IFERROR(IF(Contracts[[#This Row],[Remain Days To Expiration]]="","",(Contracts[[#This Row],[Remain Days To Expiration]]-30*Contracts[[#This Row],[Notice Period (Month)]])),"")</f>
        <v>-1231</v>
      </c>
      <c r="M27" s="27">
        <f ca="1">IFERROR(Contracts[[#This Row],[Contract Expiration Date]]-TODAY(),"")</f>
        <v>-1171</v>
      </c>
      <c r="N27" s="31">
        <v>4600</v>
      </c>
      <c r="O27" s="29">
        <f ca="1">IFERROR(Contracts[[#This Row],[Remain Days To Expiration]]/(Contracts[[#This Row],[Contract Period (Month)]]*30),"")</f>
        <v>-3.2527777777777778</v>
      </c>
      <c r="P27" s="29" t="str">
        <f ca="1">IF(Contracts[[#This Row],[Contract Completion%]]="","",IF(Contracts[[#This Row],[Contract Completion%]]&lt;0,"expired",IF(Contracts[[#This Row],[Contract Completion%]]&lt;0.2,"About To Finish","Active")))</f>
        <v>expired</v>
      </c>
      <c r="Q27" s="29" t="s">
        <v>55</v>
      </c>
      <c r="R27" s="28" t="s">
        <v>75</v>
      </c>
      <c r="S27" s="39" t="str">
        <f>IFERROR(IF(Contracts[[#This Row],[Type Of Contact]]="internal",VLOOKUP(Contracts[[#This Row],[Member To Be Contacted]],'Contract Database'!H:I,2,0),VLOOKUP(Contracts[[#This Row],[Member To Be Contacted]],'Contract Database'!K:L,2,0)),"")</f>
        <v>Ahmed.Khaled82@Yahoo.com</v>
      </c>
      <c r="T27" s="36"/>
    </row>
    <row r="28" spans="1:20" x14ac:dyDescent="0.2">
      <c r="A28" s="5" t="str">
        <f t="shared" si="0"/>
        <v/>
      </c>
      <c r="B28" s="16" t="s">
        <v>50</v>
      </c>
      <c r="C28" s="16" t="s">
        <v>38</v>
      </c>
      <c r="D28" s="24" t="s">
        <v>51</v>
      </c>
      <c r="E28" s="20" t="s">
        <v>117</v>
      </c>
      <c r="F28" s="20">
        <v>42499</v>
      </c>
      <c r="G28" s="19">
        <f ca="1">IFERROR(IF(Contracts[[#This Row],[Joining Date]]="","",(TODAY()-Contracts[[#This Row],[Joining Date]])/30),"")</f>
        <v>101.86666666666666</v>
      </c>
      <c r="H28" s="84">
        <v>43597</v>
      </c>
      <c r="I28" s="25">
        <v>36</v>
      </c>
      <c r="J28" s="82">
        <f>IFERROR(IF(Contracts[[#This Row],[Contract Period (Month)]]="","",(Contracts[[#This Row],[Contract Period (Month)]]*30)+Contracts[[#This Row],[Contract Starting Date]]),"")</f>
        <v>44677</v>
      </c>
      <c r="K28" s="26">
        <v>3</v>
      </c>
      <c r="L28" s="27">
        <f ca="1">IFERROR(IF(Contracts[[#This Row],[Remain Days To Expiration]]="","",(Contracts[[#This Row],[Remain Days To Expiration]]-30*Contracts[[#This Row],[Notice Period (Month)]])),"")</f>
        <v>-968</v>
      </c>
      <c r="M28" s="27">
        <f ca="1">IFERROR(Contracts[[#This Row],[Contract Expiration Date]]-TODAY(),"")</f>
        <v>-878</v>
      </c>
      <c r="N28" s="31">
        <v>8000</v>
      </c>
      <c r="O28" s="29">
        <f ca="1">IFERROR(Contracts[[#This Row],[Remain Days To Expiration]]/(Contracts[[#This Row],[Contract Period (Month)]]*30),"")</f>
        <v>-0.812962962962963</v>
      </c>
      <c r="P28" s="29" t="str">
        <f ca="1">IF(Contracts[[#This Row],[Contract Completion%]]="","",IF(Contracts[[#This Row],[Contract Completion%]]&lt;0,"expired",IF(Contracts[[#This Row],[Contract Completion%]]&lt;0.2,"About To Finish","Active")))</f>
        <v>expired</v>
      </c>
      <c r="Q28" s="29" t="s">
        <v>56</v>
      </c>
      <c r="R28" s="28" t="s">
        <v>68</v>
      </c>
      <c r="S28" s="39" t="str">
        <f>IFERROR(IF(Contracts[[#This Row],[Type Of Contact]]="internal",VLOOKUP(Contracts[[#This Row],[Member To Be Contacted]],'Contract Database'!H:I,2,0),VLOOKUP(Contracts[[#This Row],[Member To Be Contacted]],'Contract Database'!K:L,2,0)),"")</f>
        <v>Adel.ahmed@yahoo.com</v>
      </c>
      <c r="T28" s="36"/>
    </row>
    <row r="29" spans="1:20" x14ac:dyDescent="0.2">
      <c r="A29" s="5" t="str">
        <f t="shared" si="0"/>
        <v/>
      </c>
      <c r="B29" s="16" t="s">
        <v>52</v>
      </c>
      <c r="C29" s="16" t="s">
        <v>91</v>
      </c>
      <c r="D29" s="24" t="s">
        <v>42</v>
      </c>
      <c r="E29" s="20" t="s">
        <v>40</v>
      </c>
      <c r="F29" s="20">
        <v>43962</v>
      </c>
      <c r="G29" s="19">
        <f ca="1">IFERROR(IF(Contracts[[#This Row],[Joining Date]]="","",(TODAY()-Contracts[[#This Row],[Joining Date]])/30),"")</f>
        <v>53.1</v>
      </c>
      <c r="H29" s="84">
        <v>43962</v>
      </c>
      <c r="I29" s="25">
        <v>12</v>
      </c>
      <c r="J29" s="82">
        <f>IFERROR(IF(Contracts[[#This Row],[Contract Period (Month)]]="","",(Contracts[[#This Row],[Contract Period (Month)]]*30)+Contracts[[#This Row],[Contract Starting Date]]),"")</f>
        <v>44322</v>
      </c>
      <c r="K29" s="26">
        <v>1</v>
      </c>
      <c r="L29" s="27">
        <f ca="1">IFERROR(IF(Contracts[[#This Row],[Remain Days To Expiration]]="","",(Contracts[[#This Row],[Remain Days To Expiration]]-30*Contracts[[#This Row],[Notice Period (Month)]])),"")</f>
        <v>-1263</v>
      </c>
      <c r="M29" s="27">
        <f ca="1">IFERROR(Contracts[[#This Row],[Contract Expiration Date]]-TODAY(),"")</f>
        <v>-1233</v>
      </c>
      <c r="N29" s="31">
        <v>5000</v>
      </c>
      <c r="O29" s="29">
        <f ca="1">IFERROR(Contracts[[#This Row],[Remain Days To Expiration]]/(Contracts[[#This Row],[Contract Period (Month)]]*30),"")</f>
        <v>-3.4249999999999998</v>
      </c>
      <c r="P29" s="29" t="str">
        <f ca="1">IF(Contracts[[#This Row],[Contract Completion%]]="","",IF(Contracts[[#This Row],[Contract Completion%]]&lt;0,"expired",IF(Contracts[[#This Row],[Contract Completion%]]&lt;0.2,"About To Finish","Active")))</f>
        <v>expired</v>
      </c>
      <c r="Q29" s="29" t="s">
        <v>55</v>
      </c>
      <c r="R29" s="28" t="s">
        <v>73</v>
      </c>
      <c r="S29" s="39" t="str">
        <f>IFERROR(IF(Contracts[[#This Row],[Type Of Contact]]="internal",VLOOKUP(Contracts[[#This Row],[Member To Be Contacted]],'Contract Database'!H:I,2,0),VLOOKUP(Contracts[[#This Row],[Member To Be Contacted]],'Contract Database'!K:L,2,0)),"")</f>
        <v>Kareem.Mostafa87@yahoo.com</v>
      </c>
      <c r="T29" s="36"/>
    </row>
    <row r="30" spans="1:20" x14ac:dyDescent="0.2">
      <c r="A30" s="5" t="str">
        <f t="shared" si="0"/>
        <v/>
      </c>
      <c r="B30" s="16" t="s">
        <v>66</v>
      </c>
      <c r="C30" s="16" t="s">
        <v>37</v>
      </c>
      <c r="D30" s="24" t="s">
        <v>77</v>
      </c>
      <c r="E30" s="20" t="s">
        <v>117</v>
      </c>
      <c r="F30" s="20">
        <v>43654</v>
      </c>
      <c r="G30" s="19">
        <f ca="1">IFERROR(IF(Contracts[[#This Row],[Joining Date]]="","",(TODAY()-Contracts[[#This Row],[Joining Date]])/30),"")</f>
        <v>63.366666666666667</v>
      </c>
      <c r="H30" s="84">
        <v>43654</v>
      </c>
      <c r="I30" s="25">
        <v>24</v>
      </c>
      <c r="J30" s="82">
        <f>IFERROR(IF(Contracts[[#This Row],[Contract Period (Month)]]="","",(Contracts[[#This Row],[Contract Period (Month)]]*30)+Contracts[[#This Row],[Contract Starting Date]]),"")</f>
        <v>44374</v>
      </c>
      <c r="K30" s="26">
        <v>2</v>
      </c>
      <c r="L30" s="27">
        <f ca="1">IFERROR(IF(Contracts[[#This Row],[Remain Days To Expiration]]="","",(Contracts[[#This Row],[Remain Days To Expiration]]-30*Contracts[[#This Row],[Notice Period (Month)]])),"")</f>
        <v>-1241</v>
      </c>
      <c r="M30" s="27">
        <f ca="1">IFERROR(Contracts[[#This Row],[Contract Expiration Date]]-TODAY(),"")</f>
        <v>-1181</v>
      </c>
      <c r="N30" s="31">
        <v>10000</v>
      </c>
      <c r="O30" s="29">
        <f ca="1">IFERROR(Contracts[[#This Row],[Remain Days To Expiration]]/(Contracts[[#This Row],[Contract Period (Month)]]*30),"")</f>
        <v>-1.6402777777777777</v>
      </c>
      <c r="P30" s="29" t="str">
        <f ca="1">IF(Contracts[[#This Row],[Contract Completion%]]="","",IF(Contracts[[#This Row],[Contract Completion%]]&lt;0,"expired",IF(Contracts[[#This Row],[Contract Completion%]]&lt;0.2,"About To Finish","Active")))</f>
        <v>expired</v>
      </c>
      <c r="Q30" s="29" t="s">
        <v>56</v>
      </c>
      <c r="R30" s="29" t="s">
        <v>69</v>
      </c>
      <c r="S30" s="39" t="str">
        <f>IFERROR(IF(Contracts[[#This Row],[Type Of Contact]]="internal",VLOOKUP(Contracts[[#This Row],[Member To Be Contacted]],'Contract Database'!H:I,2,0),VLOOKUP(Contracts[[#This Row],[Member To Be Contacted]],'Contract Database'!K:L,2,0)),"")</f>
        <v>Rami.Sami@outlook.com</v>
      </c>
      <c r="T30" s="16"/>
    </row>
    <row r="31" spans="1:20" x14ac:dyDescent="0.2">
      <c r="A31" s="5" t="str">
        <f t="shared" si="0"/>
        <v/>
      </c>
      <c r="B31" s="16" t="s">
        <v>92</v>
      </c>
      <c r="C31" s="16" t="s">
        <v>113</v>
      </c>
      <c r="D31" s="24" t="s">
        <v>93</v>
      </c>
      <c r="E31" s="20" t="s">
        <v>117</v>
      </c>
      <c r="F31" s="20">
        <v>42993</v>
      </c>
      <c r="G31" s="19">
        <f ca="1">IFERROR(IF(Contracts[[#This Row],[Joining Date]]="","",(TODAY()-Contracts[[#This Row],[Joining Date]])/30),"")</f>
        <v>85.4</v>
      </c>
      <c r="H31" s="84">
        <v>43597</v>
      </c>
      <c r="I31" s="25">
        <v>22</v>
      </c>
      <c r="J31" s="82">
        <f>IFERROR(IF(Contracts[[#This Row],[Contract Period (Month)]]="","",(Contracts[[#This Row],[Contract Period (Month)]]*30)+Contracts[[#This Row],[Contract Starting Date]]),"")</f>
        <v>44257</v>
      </c>
      <c r="K31" s="26">
        <v>1</v>
      </c>
      <c r="L31" s="27">
        <f ca="1">IFERROR(IF(Contracts[[#This Row],[Remain Days To Expiration]]="","",(Contracts[[#This Row],[Remain Days To Expiration]]-30*Contracts[[#This Row],[Notice Period (Month)]])),"")</f>
        <v>-1328</v>
      </c>
      <c r="M31" s="27">
        <f ca="1">IFERROR(Contracts[[#This Row],[Contract Expiration Date]]-TODAY(),"")</f>
        <v>-1298</v>
      </c>
      <c r="N31" s="31">
        <v>7000</v>
      </c>
      <c r="O31" s="29">
        <f ca="1">IFERROR(Contracts[[#This Row],[Remain Days To Expiration]]/(Contracts[[#This Row],[Contract Period (Month)]]*30),"")</f>
        <v>-1.9666666666666666</v>
      </c>
      <c r="P31" s="29" t="str">
        <f ca="1">IF(Contracts[[#This Row],[Contract Completion%]]="","",IF(Contracts[[#This Row],[Contract Completion%]]&lt;0,"expired",IF(Contracts[[#This Row],[Contract Completion%]]&lt;0.2,"About To Finish","Active")))</f>
        <v>expired</v>
      </c>
      <c r="Q31" s="29" t="s">
        <v>56</v>
      </c>
      <c r="R31" s="29" t="s">
        <v>68</v>
      </c>
      <c r="S31" s="39" t="str">
        <f>IFERROR(IF(Contracts[[#This Row],[Type Of Contact]]="internal",VLOOKUP(Contracts[[#This Row],[Member To Be Contacted]],'Contract Database'!H:I,2,0),VLOOKUP(Contracts[[#This Row],[Member To Be Contacted]],'Contract Database'!K:L,2,0)),"")</f>
        <v>Adel.ahmed@yahoo.com</v>
      </c>
      <c r="T31" s="16"/>
    </row>
    <row r="32" spans="1:20" x14ac:dyDescent="0.2">
      <c r="A32" s="5" t="str">
        <f t="shared" si="0"/>
        <v/>
      </c>
      <c r="B32" s="16" t="s">
        <v>106</v>
      </c>
      <c r="C32" s="16" t="s">
        <v>36</v>
      </c>
      <c r="D32" s="24" t="s">
        <v>109</v>
      </c>
      <c r="E32" s="20" t="s">
        <v>39</v>
      </c>
      <c r="F32" s="20">
        <v>42563</v>
      </c>
      <c r="G32" s="19">
        <f ca="1">IFERROR(IF(Contracts[[#This Row],[Joining Date]]="","",(TODAY()-Contracts[[#This Row],[Joining Date]])/30),"")</f>
        <v>99.733333333333334</v>
      </c>
      <c r="H32" s="84">
        <v>43597</v>
      </c>
      <c r="I32" s="25">
        <v>24</v>
      </c>
      <c r="J32" s="82">
        <f>IFERROR(IF(Contracts[[#This Row],[Contract Period (Month)]]="","",(Contracts[[#This Row],[Contract Period (Month)]]*30)+Contracts[[#This Row],[Contract Starting Date]]),"")</f>
        <v>44317</v>
      </c>
      <c r="K32" s="26">
        <v>2</v>
      </c>
      <c r="L32" s="27">
        <f ca="1">IFERROR(IF(Contracts[[#This Row],[Remain Days To Expiration]]="","",(Contracts[[#This Row],[Remain Days To Expiration]]-30*Contracts[[#This Row],[Notice Period (Month)]])),"")</f>
        <v>-1298</v>
      </c>
      <c r="M32" s="27">
        <f ca="1">IFERROR(Contracts[[#This Row],[Contract Expiration Date]]-TODAY(),"")</f>
        <v>-1238</v>
      </c>
      <c r="N32" s="31">
        <v>5000</v>
      </c>
      <c r="O32" s="29">
        <f ca="1">IFERROR(Contracts[[#This Row],[Remain Days To Expiration]]/(Contracts[[#This Row],[Contract Period (Month)]]*30),"")</f>
        <v>-1.7194444444444446</v>
      </c>
      <c r="P32" s="29" t="str">
        <f ca="1">IF(Contracts[[#This Row],[Contract Completion%]]="","",IF(Contracts[[#This Row],[Contract Completion%]]&lt;0,"expired",IF(Contracts[[#This Row],[Contract Completion%]]&lt;0.2,"About To Finish","Active")))</f>
        <v>expired</v>
      </c>
      <c r="Q32" s="29" t="s">
        <v>56</v>
      </c>
      <c r="R32" s="29" t="s">
        <v>69</v>
      </c>
      <c r="S32" s="39" t="str">
        <f>IFERROR(IF(Contracts[[#This Row],[Type Of Contact]]="internal",VLOOKUP(Contracts[[#This Row],[Member To Be Contacted]],'Contract Database'!H:I,2,0),VLOOKUP(Contracts[[#This Row],[Member To Be Contacted]],'Contract Database'!K:L,2,0)),"")</f>
        <v>Rami.Sami@outlook.com</v>
      </c>
      <c r="T32" s="16"/>
    </row>
    <row r="33" spans="1:20" x14ac:dyDescent="0.2">
      <c r="A33" s="5" t="str">
        <f t="shared" si="0"/>
        <v/>
      </c>
      <c r="B33" s="16" t="s">
        <v>107</v>
      </c>
      <c r="C33" s="16" t="s">
        <v>37</v>
      </c>
      <c r="D33" s="24" t="s">
        <v>110</v>
      </c>
      <c r="E33" s="20" t="s">
        <v>117</v>
      </c>
      <c r="F33" s="20">
        <v>44015</v>
      </c>
      <c r="G33" s="19">
        <f ca="1">IFERROR(IF(Contracts[[#This Row],[Joining Date]]="","",(TODAY()-Contracts[[#This Row],[Joining Date]])/30),"")</f>
        <v>51.333333333333336</v>
      </c>
      <c r="H33" s="84">
        <v>44015</v>
      </c>
      <c r="I33" s="25">
        <v>24</v>
      </c>
      <c r="J33" s="82">
        <f>IFERROR(IF(Contracts[[#This Row],[Contract Period (Month)]]="","",(Contracts[[#This Row],[Contract Period (Month)]]*30)+Contracts[[#This Row],[Contract Starting Date]]),"")</f>
        <v>44735</v>
      </c>
      <c r="K33" s="26">
        <v>2</v>
      </c>
      <c r="L33" s="27">
        <f ca="1">IFERROR(IF(Contracts[[#This Row],[Remain Days To Expiration]]="","",(Contracts[[#This Row],[Remain Days To Expiration]]-30*Contracts[[#This Row],[Notice Period (Month)]])),"")</f>
        <v>-880</v>
      </c>
      <c r="M33" s="27">
        <f ca="1">IFERROR(Contracts[[#This Row],[Contract Expiration Date]]-TODAY(),"")</f>
        <v>-820</v>
      </c>
      <c r="N33" s="31">
        <v>7000</v>
      </c>
      <c r="O33" s="29">
        <f ca="1">IFERROR(Contracts[[#This Row],[Remain Days To Expiration]]/(Contracts[[#This Row],[Contract Period (Month)]]*30),"")</f>
        <v>-1.1388888888888888</v>
      </c>
      <c r="P33" s="29" t="str">
        <f ca="1">IF(Contracts[[#This Row],[Contract Completion%]]="","",IF(Contracts[[#This Row],[Contract Completion%]]&lt;0,"expired",IF(Contracts[[#This Row],[Contract Completion%]]&lt;0.2,"About To Finish","Active")))</f>
        <v>expired</v>
      </c>
      <c r="Q33" s="29" t="s">
        <v>55</v>
      </c>
      <c r="R33" s="29" t="s">
        <v>75</v>
      </c>
      <c r="S33" s="39" t="str">
        <f>IFERROR(IF(Contracts[[#This Row],[Type Of Contact]]="internal",VLOOKUP(Contracts[[#This Row],[Member To Be Contacted]],'Contract Database'!H:I,2,0),VLOOKUP(Contracts[[#This Row],[Member To Be Contacted]],'Contract Database'!K:L,2,0)),"")</f>
        <v>Ahmed.Khaled82@Yahoo.com</v>
      </c>
      <c r="T33" s="16"/>
    </row>
    <row r="34" spans="1:20" x14ac:dyDescent="0.2">
      <c r="A34" s="5" t="str">
        <f t="shared" si="0"/>
        <v/>
      </c>
      <c r="B34" s="16" t="s">
        <v>108</v>
      </c>
      <c r="C34" s="16" t="s">
        <v>91</v>
      </c>
      <c r="D34" s="24" t="s">
        <v>111</v>
      </c>
      <c r="E34" s="20" t="s">
        <v>35</v>
      </c>
      <c r="F34" s="20">
        <v>42892</v>
      </c>
      <c r="G34" s="19">
        <f ca="1">IFERROR(IF(Contracts[[#This Row],[Joining Date]]="","",(TODAY()-Contracts[[#This Row],[Joining Date]])/30),"")</f>
        <v>88.766666666666666</v>
      </c>
      <c r="H34" s="84">
        <v>44049</v>
      </c>
      <c r="I34" s="25">
        <v>12</v>
      </c>
      <c r="J34" s="82">
        <f>IFERROR(IF(Contracts[[#This Row],[Contract Period (Month)]]="","",(Contracts[[#This Row],[Contract Period (Month)]]*30)+Contracts[[#This Row],[Contract Starting Date]]),"")</f>
        <v>44409</v>
      </c>
      <c r="K34" s="26">
        <v>2</v>
      </c>
      <c r="L34" s="27">
        <f ca="1">IFERROR(IF(Contracts[[#This Row],[Remain Days To Expiration]]="","",(Contracts[[#This Row],[Remain Days To Expiration]]-30*Contracts[[#This Row],[Notice Period (Month)]])),"")</f>
        <v>-1206</v>
      </c>
      <c r="M34" s="27">
        <f ca="1">IFERROR(Contracts[[#This Row],[Contract Expiration Date]]-TODAY(),"")</f>
        <v>-1146</v>
      </c>
      <c r="N34" s="31">
        <v>7500</v>
      </c>
      <c r="O34" s="29">
        <f ca="1">IFERROR(Contracts[[#This Row],[Remain Days To Expiration]]/(Contracts[[#This Row],[Contract Period (Month)]]*30),"")</f>
        <v>-3.1833333333333331</v>
      </c>
      <c r="P34" s="29" t="str">
        <f ca="1">IF(Contracts[[#This Row],[Contract Completion%]]="","",IF(Contracts[[#This Row],[Contract Completion%]]&lt;0,"expired",IF(Contracts[[#This Row],[Contract Completion%]]&lt;0.2,"About To Finish","Active")))</f>
        <v>expired</v>
      </c>
      <c r="Q34" s="29" t="s">
        <v>55</v>
      </c>
      <c r="R34" s="29" t="s">
        <v>73</v>
      </c>
      <c r="S34" s="39" t="str">
        <f>IFERROR(IF(Contracts[[#This Row],[Type Of Contact]]="internal",VLOOKUP(Contracts[[#This Row],[Member To Be Contacted]],'Contract Database'!H:I,2,0),VLOOKUP(Contracts[[#This Row],[Member To Be Contacted]],'Contract Database'!K:L,2,0)),"")</f>
        <v>Kareem.Mostafa87@yahoo.com</v>
      </c>
      <c r="T34" s="16"/>
    </row>
    <row r="35" spans="1:20" x14ac:dyDescent="0.2">
      <c r="A35" s="5" t="str">
        <f t="shared" si="0"/>
        <v>Add Contract---&gt;</v>
      </c>
    </row>
    <row r="36" spans="1:20" x14ac:dyDescent="0.2">
      <c r="A36" s="5" t="str">
        <f t="shared" si="0"/>
        <v/>
      </c>
    </row>
    <row r="37" spans="1:20" x14ac:dyDescent="0.2">
      <c r="A37" s="5" t="str">
        <f t="shared" si="0"/>
        <v/>
      </c>
    </row>
    <row r="38" spans="1:20" x14ac:dyDescent="0.2">
      <c r="A38" s="5" t="str">
        <f t="shared" si="0"/>
        <v/>
      </c>
    </row>
    <row r="39" spans="1:20" x14ac:dyDescent="0.2">
      <c r="A39" s="5" t="str">
        <f t="shared" si="0"/>
        <v/>
      </c>
    </row>
    <row r="40" spans="1:20" x14ac:dyDescent="0.2">
      <c r="A40" s="5" t="str">
        <f t="shared" si="0"/>
        <v/>
      </c>
    </row>
    <row r="41" spans="1:20" x14ac:dyDescent="0.2">
      <c r="A41" s="5" t="str">
        <f t="shared" si="0"/>
        <v/>
      </c>
    </row>
    <row r="42" spans="1:20" x14ac:dyDescent="0.2">
      <c r="A42" s="5" t="str">
        <f t="shared" si="0"/>
        <v/>
      </c>
    </row>
    <row r="43" spans="1:20" x14ac:dyDescent="0.2">
      <c r="A43" s="5" t="str">
        <f t="shared" si="0"/>
        <v/>
      </c>
    </row>
    <row r="44" spans="1:20" x14ac:dyDescent="0.2">
      <c r="A44" s="5" t="str">
        <f t="shared" si="0"/>
        <v/>
      </c>
    </row>
    <row r="45" spans="1:20" x14ac:dyDescent="0.2">
      <c r="A45" s="5" t="str">
        <f t="shared" si="0"/>
        <v/>
      </c>
    </row>
    <row r="46" spans="1:20" x14ac:dyDescent="0.2">
      <c r="A46" s="5" t="str">
        <f t="shared" si="0"/>
        <v/>
      </c>
    </row>
    <row r="47" spans="1:20" x14ac:dyDescent="0.2">
      <c r="A47" s="5" t="str">
        <f t="shared" si="0"/>
        <v/>
      </c>
    </row>
    <row r="48" spans="1:20" x14ac:dyDescent="0.2">
      <c r="A48" s="5" t="str">
        <f t="shared" si="0"/>
        <v/>
      </c>
    </row>
    <row r="49" spans="1:1" x14ac:dyDescent="0.2">
      <c r="A49" s="5" t="str">
        <f t="shared" si="0"/>
        <v/>
      </c>
    </row>
    <row r="50" spans="1:1" x14ac:dyDescent="0.2">
      <c r="A50" s="5" t="str">
        <f t="shared" si="0"/>
        <v/>
      </c>
    </row>
    <row r="51" spans="1:1" x14ac:dyDescent="0.2">
      <c r="A51" s="5" t="str">
        <f t="shared" si="0"/>
        <v/>
      </c>
    </row>
    <row r="52" spans="1:1" x14ac:dyDescent="0.2">
      <c r="A52" s="5" t="str">
        <f t="shared" si="0"/>
        <v/>
      </c>
    </row>
    <row r="53" spans="1:1" x14ac:dyDescent="0.2">
      <c r="A53" s="5" t="str">
        <f t="shared" si="0"/>
        <v/>
      </c>
    </row>
    <row r="54" spans="1:1" x14ac:dyDescent="0.2">
      <c r="A54" s="5" t="str">
        <f t="shared" si="0"/>
        <v/>
      </c>
    </row>
    <row r="55" spans="1:1" x14ac:dyDescent="0.2">
      <c r="A55" s="5" t="str">
        <f t="shared" si="0"/>
        <v/>
      </c>
    </row>
    <row r="56" spans="1:1" x14ac:dyDescent="0.2">
      <c r="A56" s="5" t="str">
        <f t="shared" si="0"/>
        <v/>
      </c>
    </row>
    <row r="57" spans="1:1" x14ac:dyDescent="0.2">
      <c r="A57" s="5" t="str">
        <f t="shared" si="0"/>
        <v/>
      </c>
    </row>
    <row r="58" spans="1:1" x14ac:dyDescent="0.2">
      <c r="A58" s="5" t="str">
        <f t="shared" si="0"/>
        <v/>
      </c>
    </row>
    <row r="59" spans="1:1" x14ac:dyDescent="0.2">
      <c r="A59" s="5" t="str">
        <f t="shared" si="0"/>
        <v/>
      </c>
    </row>
    <row r="60" spans="1:1" x14ac:dyDescent="0.2">
      <c r="A60" s="5" t="str">
        <f t="shared" si="0"/>
        <v/>
      </c>
    </row>
    <row r="61" spans="1:1" x14ac:dyDescent="0.2">
      <c r="A61" s="5" t="str">
        <f t="shared" si="0"/>
        <v/>
      </c>
    </row>
    <row r="62" spans="1:1" x14ac:dyDescent="0.2">
      <c r="A62" s="5" t="str">
        <f t="shared" si="0"/>
        <v/>
      </c>
    </row>
    <row r="63" spans="1:1" x14ac:dyDescent="0.2">
      <c r="A63" s="5" t="str">
        <f t="shared" si="0"/>
        <v/>
      </c>
    </row>
    <row r="64" spans="1:1" x14ac:dyDescent="0.2">
      <c r="A64" s="5" t="str">
        <f t="shared" si="0"/>
        <v/>
      </c>
    </row>
    <row r="65" spans="1:1" x14ac:dyDescent="0.2">
      <c r="A65" s="5" t="str">
        <f t="shared" si="0"/>
        <v/>
      </c>
    </row>
    <row r="66" spans="1:1" x14ac:dyDescent="0.2">
      <c r="A66" s="5" t="str">
        <f t="shared" si="0"/>
        <v/>
      </c>
    </row>
    <row r="67" spans="1:1" x14ac:dyDescent="0.2">
      <c r="A67" s="5" t="str">
        <f t="shared" si="0"/>
        <v/>
      </c>
    </row>
    <row r="68" spans="1:1" x14ac:dyDescent="0.2">
      <c r="A68" s="5" t="str">
        <f t="shared" si="0"/>
        <v/>
      </c>
    </row>
    <row r="69" spans="1:1" x14ac:dyDescent="0.2">
      <c r="A69" s="5" t="str">
        <f t="shared" si="0"/>
        <v/>
      </c>
    </row>
    <row r="70" spans="1:1" x14ac:dyDescent="0.2">
      <c r="A70" s="5" t="str">
        <f t="shared" si="0"/>
        <v/>
      </c>
    </row>
    <row r="71" spans="1:1" x14ac:dyDescent="0.2">
      <c r="A71" s="5" t="str">
        <f t="shared" si="0"/>
        <v/>
      </c>
    </row>
    <row r="72" spans="1:1" x14ac:dyDescent="0.2">
      <c r="A72" s="5" t="str">
        <f t="shared" si="0"/>
        <v/>
      </c>
    </row>
    <row r="73" spans="1:1" x14ac:dyDescent="0.2">
      <c r="A73" s="5" t="str">
        <f t="shared" si="0"/>
        <v/>
      </c>
    </row>
    <row r="74" spans="1:1" x14ac:dyDescent="0.2">
      <c r="A74" s="5" t="str">
        <f t="shared" si="0"/>
        <v/>
      </c>
    </row>
    <row r="75" spans="1:1" x14ac:dyDescent="0.2">
      <c r="A75" s="5" t="str">
        <f t="shared" si="0"/>
        <v/>
      </c>
    </row>
    <row r="76" spans="1:1" x14ac:dyDescent="0.2">
      <c r="A76" s="5" t="str">
        <f t="shared" si="0"/>
        <v/>
      </c>
    </row>
    <row r="77" spans="1:1" x14ac:dyDescent="0.2">
      <c r="A77" s="5" t="str">
        <f t="shared" si="0"/>
        <v/>
      </c>
    </row>
    <row r="78" spans="1:1" x14ac:dyDescent="0.2">
      <c r="A78" s="5" t="str">
        <f t="shared" si="0"/>
        <v/>
      </c>
    </row>
    <row r="79" spans="1:1" x14ac:dyDescent="0.2">
      <c r="A79" s="5" t="str">
        <f t="shared" si="0"/>
        <v/>
      </c>
    </row>
    <row r="80" spans="1:1" x14ac:dyDescent="0.2">
      <c r="A80" s="5" t="str">
        <f t="shared" si="0"/>
        <v/>
      </c>
    </row>
    <row r="81" spans="1:1" x14ac:dyDescent="0.2">
      <c r="A81" s="5" t="str">
        <f t="shared" si="0"/>
        <v/>
      </c>
    </row>
    <row r="82" spans="1:1" x14ac:dyDescent="0.2">
      <c r="A82" s="5" t="str">
        <f t="shared" si="0"/>
        <v/>
      </c>
    </row>
    <row r="83" spans="1:1" x14ac:dyDescent="0.2">
      <c r="A83" s="5" t="str">
        <f t="shared" si="0"/>
        <v/>
      </c>
    </row>
    <row r="84" spans="1:1" x14ac:dyDescent="0.2">
      <c r="A84" s="5" t="str">
        <f t="shared" si="0"/>
        <v/>
      </c>
    </row>
    <row r="85" spans="1:1" x14ac:dyDescent="0.2">
      <c r="A85" s="5" t="str">
        <f t="shared" si="0"/>
        <v/>
      </c>
    </row>
    <row r="86" spans="1:1" x14ac:dyDescent="0.2">
      <c r="A86" s="5" t="str">
        <f t="shared" si="0"/>
        <v/>
      </c>
    </row>
    <row r="87" spans="1:1" x14ac:dyDescent="0.2">
      <c r="A87" s="5" t="str">
        <f t="shared" si="0"/>
        <v/>
      </c>
    </row>
    <row r="88" spans="1:1" x14ac:dyDescent="0.2">
      <c r="A88" s="5" t="str">
        <f t="shared" si="0"/>
        <v/>
      </c>
    </row>
    <row r="89" spans="1:1" x14ac:dyDescent="0.2">
      <c r="A89" s="5" t="str">
        <f t="shared" ref="A89:A152" si="1">IF(AND(B88&lt;&gt;"",B89=""),$A$24&amp;"---&gt;","")</f>
        <v/>
      </c>
    </row>
    <row r="90" spans="1:1" x14ac:dyDescent="0.2">
      <c r="A90" s="5" t="str">
        <f t="shared" si="1"/>
        <v/>
      </c>
    </row>
    <row r="91" spans="1:1" x14ac:dyDescent="0.2">
      <c r="A91" s="5" t="str">
        <f t="shared" si="1"/>
        <v/>
      </c>
    </row>
    <row r="92" spans="1:1" x14ac:dyDescent="0.2">
      <c r="A92" s="5" t="str">
        <f t="shared" si="1"/>
        <v/>
      </c>
    </row>
    <row r="93" spans="1:1" x14ac:dyDescent="0.2">
      <c r="A93" s="5" t="str">
        <f t="shared" si="1"/>
        <v/>
      </c>
    </row>
    <row r="94" spans="1:1" x14ac:dyDescent="0.2">
      <c r="A94" s="5" t="str">
        <f t="shared" si="1"/>
        <v/>
      </c>
    </row>
    <row r="95" spans="1:1" x14ac:dyDescent="0.2">
      <c r="A95" s="5" t="str">
        <f t="shared" si="1"/>
        <v/>
      </c>
    </row>
    <row r="96" spans="1:1" x14ac:dyDescent="0.2">
      <c r="A96" s="5" t="str">
        <f t="shared" si="1"/>
        <v/>
      </c>
    </row>
    <row r="97" spans="1:1" x14ac:dyDescent="0.2">
      <c r="A97" s="5" t="str">
        <f t="shared" si="1"/>
        <v/>
      </c>
    </row>
    <row r="98" spans="1:1" x14ac:dyDescent="0.2">
      <c r="A98" s="5" t="str">
        <f t="shared" si="1"/>
        <v/>
      </c>
    </row>
    <row r="99" spans="1:1" x14ac:dyDescent="0.2">
      <c r="A99" s="5" t="str">
        <f t="shared" si="1"/>
        <v/>
      </c>
    </row>
    <row r="100" spans="1:1" x14ac:dyDescent="0.2">
      <c r="A100" s="5" t="str">
        <f t="shared" si="1"/>
        <v/>
      </c>
    </row>
    <row r="101" spans="1:1" x14ac:dyDescent="0.2">
      <c r="A101" s="5" t="str">
        <f t="shared" si="1"/>
        <v/>
      </c>
    </row>
    <row r="102" spans="1:1" x14ac:dyDescent="0.2">
      <c r="A102" s="5" t="str">
        <f t="shared" si="1"/>
        <v/>
      </c>
    </row>
    <row r="103" spans="1:1" x14ac:dyDescent="0.2">
      <c r="A103" s="5" t="str">
        <f t="shared" si="1"/>
        <v/>
      </c>
    </row>
    <row r="104" spans="1:1" x14ac:dyDescent="0.2">
      <c r="A104" s="5" t="str">
        <f t="shared" si="1"/>
        <v/>
      </c>
    </row>
    <row r="105" spans="1:1" x14ac:dyDescent="0.2">
      <c r="A105" s="5" t="str">
        <f t="shared" si="1"/>
        <v/>
      </c>
    </row>
    <row r="106" spans="1:1" x14ac:dyDescent="0.2">
      <c r="A106" s="5" t="str">
        <f t="shared" si="1"/>
        <v/>
      </c>
    </row>
    <row r="107" spans="1:1" x14ac:dyDescent="0.2">
      <c r="A107" s="5" t="str">
        <f t="shared" si="1"/>
        <v/>
      </c>
    </row>
    <row r="108" spans="1:1" x14ac:dyDescent="0.2">
      <c r="A108" s="5" t="str">
        <f t="shared" si="1"/>
        <v/>
      </c>
    </row>
    <row r="109" spans="1:1" x14ac:dyDescent="0.2">
      <c r="A109" s="5" t="str">
        <f t="shared" si="1"/>
        <v/>
      </c>
    </row>
    <row r="110" spans="1:1" x14ac:dyDescent="0.2">
      <c r="A110" s="5" t="str">
        <f t="shared" si="1"/>
        <v/>
      </c>
    </row>
    <row r="111" spans="1:1" x14ac:dyDescent="0.2">
      <c r="A111" s="5" t="str">
        <f t="shared" si="1"/>
        <v/>
      </c>
    </row>
    <row r="112" spans="1:1" x14ac:dyDescent="0.2">
      <c r="A112" s="5" t="str">
        <f t="shared" si="1"/>
        <v/>
      </c>
    </row>
    <row r="113" spans="1:1" x14ac:dyDescent="0.2">
      <c r="A113" s="5" t="str">
        <f t="shared" si="1"/>
        <v/>
      </c>
    </row>
    <row r="114" spans="1:1" x14ac:dyDescent="0.2">
      <c r="A114" s="5" t="str">
        <f t="shared" si="1"/>
        <v/>
      </c>
    </row>
    <row r="115" spans="1:1" x14ac:dyDescent="0.2">
      <c r="A115" s="5" t="str">
        <f t="shared" si="1"/>
        <v/>
      </c>
    </row>
    <row r="116" spans="1:1" x14ac:dyDescent="0.2">
      <c r="A116" s="5" t="str">
        <f t="shared" si="1"/>
        <v/>
      </c>
    </row>
    <row r="117" spans="1:1" x14ac:dyDescent="0.2">
      <c r="A117" s="5" t="str">
        <f t="shared" si="1"/>
        <v/>
      </c>
    </row>
    <row r="118" spans="1:1" x14ac:dyDescent="0.2">
      <c r="A118" s="5" t="str">
        <f t="shared" si="1"/>
        <v/>
      </c>
    </row>
    <row r="119" spans="1:1" x14ac:dyDescent="0.2">
      <c r="A119" s="5" t="str">
        <f t="shared" si="1"/>
        <v/>
      </c>
    </row>
    <row r="120" spans="1:1" x14ac:dyDescent="0.2">
      <c r="A120" s="5" t="str">
        <f t="shared" si="1"/>
        <v/>
      </c>
    </row>
    <row r="121" spans="1:1" x14ac:dyDescent="0.2">
      <c r="A121" s="5" t="str">
        <f t="shared" si="1"/>
        <v/>
      </c>
    </row>
    <row r="122" spans="1:1" x14ac:dyDescent="0.2">
      <c r="A122" s="5" t="str">
        <f t="shared" si="1"/>
        <v/>
      </c>
    </row>
    <row r="123" spans="1:1" x14ac:dyDescent="0.2">
      <c r="A123" s="5" t="str">
        <f t="shared" si="1"/>
        <v/>
      </c>
    </row>
    <row r="124" spans="1:1" x14ac:dyDescent="0.2">
      <c r="A124" s="5" t="str">
        <f t="shared" si="1"/>
        <v/>
      </c>
    </row>
    <row r="125" spans="1:1" x14ac:dyDescent="0.2">
      <c r="A125" s="5" t="str">
        <f t="shared" si="1"/>
        <v/>
      </c>
    </row>
    <row r="126" spans="1:1" x14ac:dyDescent="0.2">
      <c r="A126" s="5" t="str">
        <f t="shared" si="1"/>
        <v/>
      </c>
    </row>
    <row r="127" spans="1:1" x14ac:dyDescent="0.2">
      <c r="A127" s="5" t="str">
        <f t="shared" si="1"/>
        <v/>
      </c>
    </row>
    <row r="128" spans="1:1" x14ac:dyDescent="0.2">
      <c r="A128" s="5" t="str">
        <f t="shared" si="1"/>
        <v/>
      </c>
    </row>
    <row r="129" spans="1:1" x14ac:dyDescent="0.2">
      <c r="A129" s="5" t="str">
        <f t="shared" si="1"/>
        <v/>
      </c>
    </row>
    <row r="130" spans="1:1" x14ac:dyDescent="0.2">
      <c r="A130" s="5" t="str">
        <f t="shared" si="1"/>
        <v/>
      </c>
    </row>
    <row r="131" spans="1:1" x14ac:dyDescent="0.2">
      <c r="A131" s="5" t="str">
        <f t="shared" si="1"/>
        <v/>
      </c>
    </row>
    <row r="132" spans="1:1" x14ac:dyDescent="0.2">
      <c r="A132" s="5" t="str">
        <f t="shared" si="1"/>
        <v/>
      </c>
    </row>
    <row r="133" spans="1:1" x14ac:dyDescent="0.2">
      <c r="A133" s="5" t="str">
        <f t="shared" si="1"/>
        <v/>
      </c>
    </row>
    <row r="134" spans="1:1" x14ac:dyDescent="0.2">
      <c r="A134" s="5" t="str">
        <f t="shared" si="1"/>
        <v/>
      </c>
    </row>
    <row r="135" spans="1:1" x14ac:dyDescent="0.2">
      <c r="A135" s="5" t="str">
        <f t="shared" si="1"/>
        <v/>
      </c>
    </row>
    <row r="136" spans="1:1" x14ac:dyDescent="0.2">
      <c r="A136" s="5" t="str">
        <f t="shared" si="1"/>
        <v/>
      </c>
    </row>
    <row r="137" spans="1:1" x14ac:dyDescent="0.2">
      <c r="A137" s="5" t="str">
        <f t="shared" si="1"/>
        <v/>
      </c>
    </row>
    <row r="138" spans="1:1" x14ac:dyDescent="0.2">
      <c r="A138" s="5" t="str">
        <f t="shared" si="1"/>
        <v/>
      </c>
    </row>
    <row r="139" spans="1:1" x14ac:dyDescent="0.2">
      <c r="A139" s="5" t="str">
        <f t="shared" si="1"/>
        <v/>
      </c>
    </row>
    <row r="140" spans="1:1" x14ac:dyDescent="0.2">
      <c r="A140" s="5" t="str">
        <f t="shared" si="1"/>
        <v/>
      </c>
    </row>
    <row r="141" spans="1:1" x14ac:dyDescent="0.2">
      <c r="A141" s="5" t="str">
        <f t="shared" si="1"/>
        <v/>
      </c>
    </row>
    <row r="142" spans="1:1" x14ac:dyDescent="0.2">
      <c r="A142" s="5" t="str">
        <f t="shared" si="1"/>
        <v/>
      </c>
    </row>
    <row r="143" spans="1:1" x14ac:dyDescent="0.2">
      <c r="A143" s="5" t="str">
        <f t="shared" si="1"/>
        <v/>
      </c>
    </row>
    <row r="144" spans="1:1" x14ac:dyDescent="0.2">
      <c r="A144" s="5" t="str">
        <f t="shared" si="1"/>
        <v/>
      </c>
    </row>
    <row r="145" spans="1:1" x14ac:dyDescent="0.2">
      <c r="A145" s="5" t="str">
        <f t="shared" si="1"/>
        <v/>
      </c>
    </row>
    <row r="146" spans="1:1" x14ac:dyDescent="0.2">
      <c r="A146" s="5" t="str">
        <f t="shared" si="1"/>
        <v/>
      </c>
    </row>
    <row r="147" spans="1:1" x14ac:dyDescent="0.2">
      <c r="A147" s="5" t="str">
        <f t="shared" si="1"/>
        <v/>
      </c>
    </row>
    <row r="148" spans="1:1" x14ac:dyDescent="0.2">
      <c r="A148" s="5" t="str">
        <f t="shared" si="1"/>
        <v/>
      </c>
    </row>
    <row r="149" spans="1:1" x14ac:dyDescent="0.2">
      <c r="A149" s="5" t="str">
        <f t="shared" si="1"/>
        <v/>
      </c>
    </row>
    <row r="150" spans="1:1" x14ac:dyDescent="0.2">
      <c r="A150" s="5" t="str">
        <f t="shared" si="1"/>
        <v/>
      </c>
    </row>
    <row r="151" spans="1:1" x14ac:dyDescent="0.2">
      <c r="A151" s="5" t="str">
        <f t="shared" si="1"/>
        <v/>
      </c>
    </row>
    <row r="152" spans="1:1" x14ac:dyDescent="0.2">
      <c r="A152" s="5" t="str">
        <f t="shared" si="1"/>
        <v/>
      </c>
    </row>
    <row r="153" spans="1:1" x14ac:dyDescent="0.2">
      <c r="A153" s="5" t="str">
        <f t="shared" ref="A153:A216" si="2">IF(AND(B152&lt;&gt;"",B153=""),$A$24&amp;"---&gt;","")</f>
        <v/>
      </c>
    </row>
    <row r="154" spans="1:1" x14ac:dyDescent="0.2">
      <c r="A154" s="5" t="str">
        <f t="shared" si="2"/>
        <v/>
      </c>
    </row>
    <row r="155" spans="1:1" x14ac:dyDescent="0.2">
      <c r="A155" s="5" t="str">
        <f t="shared" si="2"/>
        <v/>
      </c>
    </row>
    <row r="156" spans="1:1" x14ac:dyDescent="0.2">
      <c r="A156" s="5" t="str">
        <f t="shared" si="2"/>
        <v/>
      </c>
    </row>
    <row r="157" spans="1:1" x14ac:dyDescent="0.2">
      <c r="A157" s="5" t="str">
        <f t="shared" si="2"/>
        <v/>
      </c>
    </row>
    <row r="158" spans="1:1" x14ac:dyDescent="0.2">
      <c r="A158" s="5" t="str">
        <f t="shared" si="2"/>
        <v/>
      </c>
    </row>
    <row r="159" spans="1:1" x14ac:dyDescent="0.2">
      <c r="A159" s="5" t="str">
        <f t="shared" si="2"/>
        <v/>
      </c>
    </row>
    <row r="160" spans="1:1" x14ac:dyDescent="0.2">
      <c r="A160" s="5" t="str">
        <f t="shared" si="2"/>
        <v/>
      </c>
    </row>
    <row r="161" spans="1:1" x14ac:dyDescent="0.2">
      <c r="A161" s="5" t="str">
        <f t="shared" si="2"/>
        <v/>
      </c>
    </row>
    <row r="162" spans="1:1" x14ac:dyDescent="0.2">
      <c r="A162" s="5" t="str">
        <f t="shared" si="2"/>
        <v/>
      </c>
    </row>
    <row r="163" spans="1:1" x14ac:dyDescent="0.2">
      <c r="A163" s="5" t="str">
        <f t="shared" si="2"/>
        <v/>
      </c>
    </row>
    <row r="164" spans="1:1" x14ac:dyDescent="0.2">
      <c r="A164" s="5" t="str">
        <f t="shared" si="2"/>
        <v/>
      </c>
    </row>
    <row r="165" spans="1:1" x14ac:dyDescent="0.2">
      <c r="A165" s="5" t="str">
        <f t="shared" si="2"/>
        <v/>
      </c>
    </row>
    <row r="166" spans="1:1" x14ac:dyDescent="0.2">
      <c r="A166" s="5" t="str">
        <f t="shared" si="2"/>
        <v/>
      </c>
    </row>
    <row r="167" spans="1:1" x14ac:dyDescent="0.2">
      <c r="A167" s="5" t="str">
        <f t="shared" si="2"/>
        <v/>
      </c>
    </row>
    <row r="168" spans="1:1" x14ac:dyDescent="0.2">
      <c r="A168" s="5" t="str">
        <f t="shared" si="2"/>
        <v/>
      </c>
    </row>
    <row r="169" spans="1:1" x14ac:dyDescent="0.2">
      <c r="A169" s="5" t="str">
        <f t="shared" si="2"/>
        <v/>
      </c>
    </row>
    <row r="170" spans="1:1" x14ac:dyDescent="0.2">
      <c r="A170" s="5" t="str">
        <f t="shared" si="2"/>
        <v/>
      </c>
    </row>
    <row r="171" spans="1:1" x14ac:dyDescent="0.2">
      <c r="A171" s="5" t="str">
        <f t="shared" si="2"/>
        <v/>
      </c>
    </row>
    <row r="172" spans="1:1" x14ac:dyDescent="0.2">
      <c r="A172" s="5" t="str">
        <f t="shared" si="2"/>
        <v/>
      </c>
    </row>
    <row r="173" spans="1:1" x14ac:dyDescent="0.2">
      <c r="A173" s="5" t="str">
        <f t="shared" si="2"/>
        <v/>
      </c>
    </row>
    <row r="174" spans="1:1" x14ac:dyDescent="0.2">
      <c r="A174" s="5" t="str">
        <f t="shared" si="2"/>
        <v/>
      </c>
    </row>
    <row r="175" spans="1:1" x14ac:dyDescent="0.2">
      <c r="A175" s="5" t="str">
        <f t="shared" si="2"/>
        <v/>
      </c>
    </row>
    <row r="176" spans="1:1" x14ac:dyDescent="0.2">
      <c r="A176" s="5" t="str">
        <f t="shared" si="2"/>
        <v/>
      </c>
    </row>
    <row r="177" spans="1:1" x14ac:dyDescent="0.2">
      <c r="A177" s="5" t="str">
        <f t="shared" si="2"/>
        <v/>
      </c>
    </row>
    <row r="178" spans="1:1" x14ac:dyDescent="0.2">
      <c r="A178" s="5" t="str">
        <f t="shared" si="2"/>
        <v/>
      </c>
    </row>
    <row r="179" spans="1:1" x14ac:dyDescent="0.2">
      <c r="A179" s="5" t="str">
        <f t="shared" si="2"/>
        <v/>
      </c>
    </row>
    <row r="180" spans="1:1" x14ac:dyDescent="0.2">
      <c r="A180" s="5" t="str">
        <f t="shared" si="2"/>
        <v/>
      </c>
    </row>
    <row r="181" spans="1:1" x14ac:dyDescent="0.2">
      <c r="A181" s="5" t="str">
        <f t="shared" si="2"/>
        <v/>
      </c>
    </row>
    <row r="182" spans="1:1" x14ac:dyDescent="0.2">
      <c r="A182" s="5" t="str">
        <f t="shared" si="2"/>
        <v/>
      </c>
    </row>
    <row r="183" spans="1:1" x14ac:dyDescent="0.2">
      <c r="A183" s="5" t="str">
        <f t="shared" si="2"/>
        <v/>
      </c>
    </row>
    <row r="184" spans="1:1" x14ac:dyDescent="0.2">
      <c r="A184" s="5" t="str">
        <f t="shared" si="2"/>
        <v/>
      </c>
    </row>
    <row r="185" spans="1:1" x14ac:dyDescent="0.2">
      <c r="A185" s="5" t="str">
        <f t="shared" si="2"/>
        <v/>
      </c>
    </row>
    <row r="186" spans="1:1" x14ac:dyDescent="0.2">
      <c r="A186" s="5" t="str">
        <f t="shared" si="2"/>
        <v/>
      </c>
    </row>
    <row r="187" spans="1:1" x14ac:dyDescent="0.2">
      <c r="A187" s="5" t="str">
        <f t="shared" si="2"/>
        <v/>
      </c>
    </row>
    <row r="188" spans="1:1" x14ac:dyDescent="0.2">
      <c r="A188" s="5" t="str">
        <f t="shared" si="2"/>
        <v/>
      </c>
    </row>
    <row r="189" spans="1:1" x14ac:dyDescent="0.2">
      <c r="A189" s="5" t="str">
        <f t="shared" si="2"/>
        <v/>
      </c>
    </row>
    <row r="190" spans="1:1" x14ac:dyDescent="0.2">
      <c r="A190" s="5" t="str">
        <f t="shared" si="2"/>
        <v/>
      </c>
    </row>
    <row r="191" spans="1:1" x14ac:dyDescent="0.2">
      <c r="A191" s="5" t="str">
        <f t="shared" si="2"/>
        <v/>
      </c>
    </row>
    <row r="192" spans="1:1" x14ac:dyDescent="0.2">
      <c r="A192" s="5" t="str">
        <f t="shared" si="2"/>
        <v/>
      </c>
    </row>
    <row r="193" spans="1:1" x14ac:dyDescent="0.2">
      <c r="A193" s="5" t="str">
        <f t="shared" si="2"/>
        <v/>
      </c>
    </row>
    <row r="194" spans="1:1" x14ac:dyDescent="0.2">
      <c r="A194" s="5" t="str">
        <f t="shared" si="2"/>
        <v/>
      </c>
    </row>
    <row r="195" spans="1:1" x14ac:dyDescent="0.2">
      <c r="A195" s="5" t="str">
        <f t="shared" si="2"/>
        <v/>
      </c>
    </row>
    <row r="196" spans="1:1" x14ac:dyDescent="0.2">
      <c r="A196" s="5" t="str">
        <f t="shared" si="2"/>
        <v/>
      </c>
    </row>
    <row r="197" spans="1:1" x14ac:dyDescent="0.2">
      <c r="A197" s="5" t="str">
        <f t="shared" si="2"/>
        <v/>
      </c>
    </row>
    <row r="198" spans="1:1" x14ac:dyDescent="0.2">
      <c r="A198" s="5" t="str">
        <f t="shared" si="2"/>
        <v/>
      </c>
    </row>
    <row r="199" spans="1:1" x14ac:dyDescent="0.2">
      <c r="A199" s="5" t="str">
        <f t="shared" si="2"/>
        <v/>
      </c>
    </row>
    <row r="200" spans="1:1" x14ac:dyDescent="0.2">
      <c r="A200" s="5" t="str">
        <f t="shared" si="2"/>
        <v/>
      </c>
    </row>
    <row r="201" spans="1:1" x14ac:dyDescent="0.2">
      <c r="A201" s="5" t="str">
        <f t="shared" si="2"/>
        <v/>
      </c>
    </row>
    <row r="202" spans="1:1" x14ac:dyDescent="0.2">
      <c r="A202" s="5" t="str">
        <f t="shared" si="2"/>
        <v/>
      </c>
    </row>
    <row r="203" spans="1:1" x14ac:dyDescent="0.2">
      <c r="A203" s="5" t="str">
        <f t="shared" si="2"/>
        <v/>
      </c>
    </row>
    <row r="204" spans="1:1" x14ac:dyDescent="0.2">
      <c r="A204" s="5" t="str">
        <f t="shared" si="2"/>
        <v/>
      </c>
    </row>
    <row r="205" spans="1:1" x14ac:dyDescent="0.2">
      <c r="A205" s="5" t="str">
        <f t="shared" si="2"/>
        <v/>
      </c>
    </row>
    <row r="206" spans="1:1" x14ac:dyDescent="0.2">
      <c r="A206" s="5" t="str">
        <f t="shared" si="2"/>
        <v/>
      </c>
    </row>
    <row r="207" spans="1:1" x14ac:dyDescent="0.2">
      <c r="A207" s="5" t="str">
        <f t="shared" si="2"/>
        <v/>
      </c>
    </row>
    <row r="208" spans="1:1" x14ac:dyDescent="0.2">
      <c r="A208" s="5" t="str">
        <f t="shared" si="2"/>
        <v/>
      </c>
    </row>
    <row r="209" spans="1:1" x14ac:dyDescent="0.2">
      <c r="A209" s="5" t="str">
        <f t="shared" si="2"/>
        <v/>
      </c>
    </row>
    <row r="210" spans="1:1" x14ac:dyDescent="0.2">
      <c r="A210" s="5" t="str">
        <f t="shared" si="2"/>
        <v/>
      </c>
    </row>
    <row r="211" spans="1:1" x14ac:dyDescent="0.2">
      <c r="A211" s="5" t="str">
        <f t="shared" si="2"/>
        <v/>
      </c>
    </row>
    <row r="212" spans="1:1" x14ac:dyDescent="0.2">
      <c r="A212" s="5" t="str">
        <f t="shared" si="2"/>
        <v/>
      </c>
    </row>
    <row r="213" spans="1:1" x14ac:dyDescent="0.2">
      <c r="A213" s="5" t="str">
        <f t="shared" si="2"/>
        <v/>
      </c>
    </row>
    <row r="214" spans="1:1" x14ac:dyDescent="0.2">
      <c r="A214" s="5" t="str">
        <f t="shared" si="2"/>
        <v/>
      </c>
    </row>
    <row r="215" spans="1:1" x14ac:dyDescent="0.2">
      <c r="A215" s="5" t="str">
        <f t="shared" si="2"/>
        <v/>
      </c>
    </row>
    <row r="216" spans="1:1" x14ac:dyDescent="0.2">
      <c r="A216" s="5" t="str">
        <f t="shared" si="2"/>
        <v/>
      </c>
    </row>
    <row r="217" spans="1:1" x14ac:dyDescent="0.2">
      <c r="A217" s="5" t="str">
        <f t="shared" ref="A217:A280" si="3">IF(AND(B216&lt;&gt;"",B217=""),$A$24&amp;"---&gt;","")</f>
        <v/>
      </c>
    </row>
    <row r="218" spans="1:1" x14ac:dyDescent="0.2">
      <c r="A218" s="5" t="str">
        <f t="shared" si="3"/>
        <v/>
      </c>
    </row>
    <row r="219" spans="1:1" x14ac:dyDescent="0.2">
      <c r="A219" s="5" t="str">
        <f t="shared" si="3"/>
        <v/>
      </c>
    </row>
    <row r="220" spans="1:1" x14ac:dyDescent="0.2">
      <c r="A220" s="5" t="str">
        <f t="shared" si="3"/>
        <v/>
      </c>
    </row>
    <row r="221" spans="1:1" x14ac:dyDescent="0.2">
      <c r="A221" s="5" t="str">
        <f t="shared" si="3"/>
        <v/>
      </c>
    </row>
    <row r="222" spans="1:1" x14ac:dyDescent="0.2">
      <c r="A222" s="5" t="str">
        <f t="shared" si="3"/>
        <v/>
      </c>
    </row>
    <row r="223" spans="1:1" x14ac:dyDescent="0.2">
      <c r="A223" s="5" t="str">
        <f t="shared" si="3"/>
        <v/>
      </c>
    </row>
    <row r="224" spans="1:1" x14ac:dyDescent="0.2">
      <c r="A224" s="5" t="str">
        <f t="shared" si="3"/>
        <v/>
      </c>
    </row>
    <row r="225" spans="1:1" x14ac:dyDescent="0.2">
      <c r="A225" s="5" t="str">
        <f t="shared" si="3"/>
        <v/>
      </c>
    </row>
    <row r="226" spans="1:1" x14ac:dyDescent="0.2">
      <c r="A226" s="5" t="str">
        <f t="shared" si="3"/>
        <v/>
      </c>
    </row>
    <row r="227" spans="1:1" x14ac:dyDescent="0.2">
      <c r="A227" s="5" t="str">
        <f t="shared" si="3"/>
        <v/>
      </c>
    </row>
    <row r="228" spans="1:1" x14ac:dyDescent="0.2">
      <c r="A228" s="5" t="str">
        <f t="shared" si="3"/>
        <v/>
      </c>
    </row>
    <row r="229" spans="1:1" x14ac:dyDescent="0.2">
      <c r="A229" s="5" t="str">
        <f t="shared" si="3"/>
        <v/>
      </c>
    </row>
    <row r="230" spans="1:1" x14ac:dyDescent="0.2">
      <c r="A230" s="5" t="str">
        <f t="shared" si="3"/>
        <v/>
      </c>
    </row>
    <row r="231" spans="1:1" x14ac:dyDescent="0.2">
      <c r="A231" s="5" t="str">
        <f t="shared" si="3"/>
        <v/>
      </c>
    </row>
    <row r="232" spans="1:1" x14ac:dyDescent="0.2">
      <c r="A232" s="5" t="str">
        <f t="shared" si="3"/>
        <v/>
      </c>
    </row>
    <row r="233" spans="1:1" x14ac:dyDescent="0.2">
      <c r="A233" s="5" t="str">
        <f t="shared" si="3"/>
        <v/>
      </c>
    </row>
    <row r="234" spans="1:1" x14ac:dyDescent="0.2">
      <c r="A234" s="5" t="str">
        <f t="shared" si="3"/>
        <v/>
      </c>
    </row>
    <row r="235" spans="1:1" x14ac:dyDescent="0.2">
      <c r="A235" s="5" t="str">
        <f t="shared" si="3"/>
        <v/>
      </c>
    </row>
    <row r="236" spans="1:1" x14ac:dyDescent="0.2">
      <c r="A236" s="5" t="str">
        <f t="shared" si="3"/>
        <v/>
      </c>
    </row>
    <row r="237" spans="1:1" x14ac:dyDescent="0.2">
      <c r="A237" s="5" t="str">
        <f t="shared" si="3"/>
        <v/>
      </c>
    </row>
    <row r="238" spans="1:1" x14ac:dyDescent="0.2">
      <c r="A238" s="5" t="str">
        <f t="shared" si="3"/>
        <v/>
      </c>
    </row>
    <row r="239" spans="1:1" x14ac:dyDescent="0.2">
      <c r="A239" s="5" t="str">
        <f t="shared" si="3"/>
        <v/>
      </c>
    </row>
    <row r="240" spans="1:1" x14ac:dyDescent="0.2">
      <c r="A240" s="5" t="str">
        <f t="shared" si="3"/>
        <v/>
      </c>
    </row>
    <row r="241" spans="1:1" x14ac:dyDescent="0.2">
      <c r="A241" s="5" t="str">
        <f t="shared" si="3"/>
        <v/>
      </c>
    </row>
    <row r="242" spans="1:1" x14ac:dyDescent="0.2">
      <c r="A242" s="5" t="str">
        <f t="shared" si="3"/>
        <v/>
      </c>
    </row>
    <row r="243" spans="1:1" x14ac:dyDescent="0.2">
      <c r="A243" s="5" t="str">
        <f t="shared" si="3"/>
        <v/>
      </c>
    </row>
    <row r="244" spans="1:1" x14ac:dyDescent="0.2">
      <c r="A244" s="5" t="str">
        <f t="shared" si="3"/>
        <v/>
      </c>
    </row>
    <row r="245" spans="1:1" x14ac:dyDescent="0.2">
      <c r="A245" s="5" t="str">
        <f t="shared" si="3"/>
        <v/>
      </c>
    </row>
    <row r="246" spans="1:1" x14ac:dyDescent="0.2">
      <c r="A246" s="5" t="str">
        <f t="shared" si="3"/>
        <v/>
      </c>
    </row>
    <row r="247" spans="1:1" x14ac:dyDescent="0.2">
      <c r="A247" s="5" t="str">
        <f t="shared" si="3"/>
        <v/>
      </c>
    </row>
    <row r="248" spans="1:1" x14ac:dyDescent="0.2">
      <c r="A248" s="5" t="str">
        <f t="shared" si="3"/>
        <v/>
      </c>
    </row>
    <row r="249" spans="1:1" x14ac:dyDescent="0.2">
      <c r="A249" s="5" t="str">
        <f t="shared" si="3"/>
        <v/>
      </c>
    </row>
    <row r="250" spans="1:1" x14ac:dyDescent="0.2">
      <c r="A250" s="5" t="str">
        <f t="shared" si="3"/>
        <v/>
      </c>
    </row>
    <row r="251" spans="1:1" x14ac:dyDescent="0.2">
      <c r="A251" s="5" t="str">
        <f t="shared" si="3"/>
        <v/>
      </c>
    </row>
    <row r="252" spans="1:1" x14ac:dyDescent="0.2">
      <c r="A252" s="5" t="str">
        <f t="shared" si="3"/>
        <v/>
      </c>
    </row>
    <row r="253" spans="1:1" x14ac:dyDescent="0.2">
      <c r="A253" s="5" t="str">
        <f t="shared" si="3"/>
        <v/>
      </c>
    </row>
    <row r="254" spans="1:1" x14ac:dyDescent="0.2">
      <c r="A254" s="5" t="str">
        <f t="shared" si="3"/>
        <v/>
      </c>
    </row>
    <row r="255" spans="1:1" x14ac:dyDescent="0.2">
      <c r="A255" s="5" t="str">
        <f t="shared" si="3"/>
        <v/>
      </c>
    </row>
    <row r="256" spans="1:1" x14ac:dyDescent="0.2">
      <c r="A256" s="5" t="str">
        <f t="shared" si="3"/>
        <v/>
      </c>
    </row>
    <row r="257" spans="1:1" x14ac:dyDescent="0.2">
      <c r="A257" s="5" t="str">
        <f t="shared" si="3"/>
        <v/>
      </c>
    </row>
    <row r="258" spans="1:1" x14ac:dyDescent="0.2">
      <c r="A258" s="5" t="str">
        <f t="shared" si="3"/>
        <v/>
      </c>
    </row>
    <row r="259" spans="1:1" x14ac:dyDescent="0.2">
      <c r="A259" s="5" t="str">
        <f t="shared" si="3"/>
        <v/>
      </c>
    </row>
    <row r="260" spans="1:1" x14ac:dyDescent="0.2">
      <c r="A260" s="5" t="str">
        <f t="shared" si="3"/>
        <v/>
      </c>
    </row>
    <row r="261" spans="1:1" x14ac:dyDescent="0.2">
      <c r="A261" s="5" t="str">
        <f t="shared" si="3"/>
        <v/>
      </c>
    </row>
    <row r="262" spans="1:1" x14ac:dyDescent="0.2">
      <c r="A262" s="5" t="str">
        <f t="shared" si="3"/>
        <v/>
      </c>
    </row>
    <row r="263" spans="1:1" x14ac:dyDescent="0.2">
      <c r="A263" s="5" t="str">
        <f t="shared" si="3"/>
        <v/>
      </c>
    </row>
    <row r="264" spans="1:1" x14ac:dyDescent="0.2">
      <c r="A264" s="5" t="str">
        <f t="shared" si="3"/>
        <v/>
      </c>
    </row>
    <row r="265" spans="1:1" x14ac:dyDescent="0.2">
      <c r="A265" s="5" t="str">
        <f t="shared" si="3"/>
        <v/>
      </c>
    </row>
    <row r="266" spans="1:1" x14ac:dyDescent="0.2">
      <c r="A266" s="5" t="str">
        <f t="shared" si="3"/>
        <v/>
      </c>
    </row>
    <row r="267" spans="1:1" x14ac:dyDescent="0.2">
      <c r="A267" s="5" t="str">
        <f t="shared" si="3"/>
        <v/>
      </c>
    </row>
    <row r="268" spans="1:1" x14ac:dyDescent="0.2">
      <c r="A268" s="5" t="str">
        <f t="shared" si="3"/>
        <v/>
      </c>
    </row>
    <row r="269" spans="1:1" x14ac:dyDescent="0.2">
      <c r="A269" s="5" t="str">
        <f t="shared" si="3"/>
        <v/>
      </c>
    </row>
    <row r="270" spans="1:1" x14ac:dyDescent="0.2">
      <c r="A270" s="5" t="str">
        <f t="shared" si="3"/>
        <v/>
      </c>
    </row>
    <row r="271" spans="1:1" x14ac:dyDescent="0.2">
      <c r="A271" s="5" t="str">
        <f t="shared" si="3"/>
        <v/>
      </c>
    </row>
    <row r="272" spans="1:1" x14ac:dyDescent="0.2">
      <c r="A272" s="5" t="str">
        <f t="shared" si="3"/>
        <v/>
      </c>
    </row>
    <row r="273" spans="1:1" x14ac:dyDescent="0.2">
      <c r="A273" s="5" t="str">
        <f t="shared" si="3"/>
        <v/>
      </c>
    </row>
    <row r="274" spans="1:1" x14ac:dyDescent="0.2">
      <c r="A274" s="5" t="str">
        <f t="shared" si="3"/>
        <v/>
      </c>
    </row>
    <row r="275" spans="1:1" x14ac:dyDescent="0.2">
      <c r="A275" s="5" t="str">
        <f t="shared" si="3"/>
        <v/>
      </c>
    </row>
    <row r="276" spans="1:1" x14ac:dyDescent="0.2">
      <c r="A276" s="5" t="str">
        <f t="shared" si="3"/>
        <v/>
      </c>
    </row>
    <row r="277" spans="1:1" x14ac:dyDescent="0.2">
      <c r="A277" s="5" t="str">
        <f t="shared" si="3"/>
        <v/>
      </c>
    </row>
    <row r="278" spans="1:1" x14ac:dyDescent="0.2">
      <c r="A278" s="5" t="str">
        <f t="shared" si="3"/>
        <v/>
      </c>
    </row>
    <row r="279" spans="1:1" x14ac:dyDescent="0.2">
      <c r="A279" s="5" t="str">
        <f t="shared" si="3"/>
        <v/>
      </c>
    </row>
    <row r="280" spans="1:1" x14ac:dyDescent="0.2">
      <c r="A280" s="5" t="str">
        <f t="shared" si="3"/>
        <v/>
      </c>
    </row>
    <row r="281" spans="1:1" x14ac:dyDescent="0.2">
      <c r="A281" s="5" t="str">
        <f t="shared" ref="A281:A344" si="4">IF(AND(B280&lt;&gt;"",B281=""),$A$24&amp;"---&gt;","")</f>
        <v/>
      </c>
    </row>
    <row r="282" spans="1:1" x14ac:dyDescent="0.2">
      <c r="A282" s="5" t="str">
        <f t="shared" si="4"/>
        <v/>
      </c>
    </row>
    <row r="283" spans="1:1" x14ac:dyDescent="0.2">
      <c r="A283" s="5" t="str">
        <f t="shared" si="4"/>
        <v/>
      </c>
    </row>
    <row r="284" spans="1:1" x14ac:dyDescent="0.2">
      <c r="A284" s="5" t="str">
        <f t="shared" si="4"/>
        <v/>
      </c>
    </row>
    <row r="285" spans="1:1" x14ac:dyDescent="0.2">
      <c r="A285" s="5" t="str">
        <f t="shared" si="4"/>
        <v/>
      </c>
    </row>
    <row r="286" spans="1:1" x14ac:dyDescent="0.2">
      <c r="A286" s="5" t="str">
        <f t="shared" si="4"/>
        <v/>
      </c>
    </row>
    <row r="287" spans="1:1" x14ac:dyDescent="0.2">
      <c r="A287" s="5" t="str">
        <f t="shared" si="4"/>
        <v/>
      </c>
    </row>
    <row r="288" spans="1:1" x14ac:dyDescent="0.2">
      <c r="A288" s="5" t="str">
        <f t="shared" si="4"/>
        <v/>
      </c>
    </row>
    <row r="289" spans="1:1" x14ac:dyDescent="0.2">
      <c r="A289" s="5" t="str">
        <f t="shared" si="4"/>
        <v/>
      </c>
    </row>
    <row r="290" spans="1:1" x14ac:dyDescent="0.2">
      <c r="A290" s="5" t="str">
        <f t="shared" si="4"/>
        <v/>
      </c>
    </row>
    <row r="291" spans="1:1" x14ac:dyDescent="0.2">
      <c r="A291" s="5" t="str">
        <f t="shared" si="4"/>
        <v/>
      </c>
    </row>
    <row r="292" spans="1:1" x14ac:dyDescent="0.2">
      <c r="A292" s="5" t="str">
        <f t="shared" si="4"/>
        <v/>
      </c>
    </row>
    <row r="293" spans="1:1" x14ac:dyDescent="0.2">
      <c r="A293" s="5" t="str">
        <f t="shared" si="4"/>
        <v/>
      </c>
    </row>
    <row r="294" spans="1:1" x14ac:dyDescent="0.2">
      <c r="A294" s="5" t="str">
        <f t="shared" si="4"/>
        <v/>
      </c>
    </row>
    <row r="295" spans="1:1" x14ac:dyDescent="0.2">
      <c r="A295" s="5" t="str">
        <f t="shared" si="4"/>
        <v/>
      </c>
    </row>
    <row r="296" spans="1:1" x14ac:dyDescent="0.2">
      <c r="A296" s="5" t="str">
        <f t="shared" si="4"/>
        <v/>
      </c>
    </row>
    <row r="297" spans="1:1" x14ac:dyDescent="0.2">
      <c r="A297" s="5" t="str">
        <f t="shared" si="4"/>
        <v/>
      </c>
    </row>
    <row r="298" spans="1:1" x14ac:dyDescent="0.2">
      <c r="A298" s="5" t="str">
        <f t="shared" si="4"/>
        <v/>
      </c>
    </row>
    <row r="299" spans="1:1" x14ac:dyDescent="0.2">
      <c r="A299" s="5" t="str">
        <f t="shared" si="4"/>
        <v/>
      </c>
    </row>
    <row r="300" spans="1:1" x14ac:dyDescent="0.2">
      <c r="A300" s="5" t="str">
        <f t="shared" si="4"/>
        <v/>
      </c>
    </row>
    <row r="301" spans="1:1" x14ac:dyDescent="0.2">
      <c r="A301" s="5" t="str">
        <f t="shared" si="4"/>
        <v/>
      </c>
    </row>
    <row r="302" spans="1:1" x14ac:dyDescent="0.2">
      <c r="A302" s="5" t="str">
        <f t="shared" si="4"/>
        <v/>
      </c>
    </row>
    <row r="303" spans="1:1" x14ac:dyDescent="0.2">
      <c r="A303" s="5" t="str">
        <f t="shared" si="4"/>
        <v/>
      </c>
    </row>
    <row r="304" spans="1:1" x14ac:dyDescent="0.2">
      <c r="A304" s="5" t="str">
        <f t="shared" si="4"/>
        <v/>
      </c>
    </row>
    <row r="305" spans="1:1" x14ac:dyDescent="0.2">
      <c r="A305" s="5" t="str">
        <f t="shared" si="4"/>
        <v/>
      </c>
    </row>
    <row r="306" spans="1:1" x14ac:dyDescent="0.2">
      <c r="A306" s="5" t="str">
        <f t="shared" si="4"/>
        <v/>
      </c>
    </row>
    <row r="307" spans="1:1" x14ac:dyDescent="0.2">
      <c r="A307" s="5" t="str">
        <f t="shared" si="4"/>
        <v/>
      </c>
    </row>
    <row r="308" spans="1:1" x14ac:dyDescent="0.2">
      <c r="A308" s="5" t="str">
        <f t="shared" si="4"/>
        <v/>
      </c>
    </row>
    <row r="309" spans="1:1" x14ac:dyDescent="0.2">
      <c r="A309" s="5" t="str">
        <f t="shared" si="4"/>
        <v/>
      </c>
    </row>
    <row r="310" spans="1:1" x14ac:dyDescent="0.2">
      <c r="A310" s="5" t="str">
        <f t="shared" si="4"/>
        <v/>
      </c>
    </row>
    <row r="311" spans="1:1" x14ac:dyDescent="0.2">
      <c r="A311" s="5" t="str">
        <f t="shared" si="4"/>
        <v/>
      </c>
    </row>
    <row r="312" spans="1:1" x14ac:dyDescent="0.2">
      <c r="A312" s="5" t="str">
        <f t="shared" si="4"/>
        <v/>
      </c>
    </row>
    <row r="313" spans="1:1" x14ac:dyDescent="0.2">
      <c r="A313" s="5" t="str">
        <f t="shared" si="4"/>
        <v/>
      </c>
    </row>
    <row r="314" spans="1:1" x14ac:dyDescent="0.2">
      <c r="A314" s="5" t="str">
        <f t="shared" si="4"/>
        <v/>
      </c>
    </row>
    <row r="315" spans="1:1" x14ac:dyDescent="0.2">
      <c r="A315" s="5" t="str">
        <f t="shared" si="4"/>
        <v/>
      </c>
    </row>
    <row r="316" spans="1:1" x14ac:dyDescent="0.2">
      <c r="A316" s="5" t="str">
        <f t="shared" si="4"/>
        <v/>
      </c>
    </row>
    <row r="317" spans="1:1" x14ac:dyDescent="0.2">
      <c r="A317" s="5" t="str">
        <f t="shared" si="4"/>
        <v/>
      </c>
    </row>
    <row r="318" spans="1:1" x14ac:dyDescent="0.2">
      <c r="A318" s="5" t="str">
        <f t="shared" si="4"/>
        <v/>
      </c>
    </row>
    <row r="319" spans="1:1" x14ac:dyDescent="0.2">
      <c r="A319" s="5" t="str">
        <f t="shared" si="4"/>
        <v/>
      </c>
    </row>
    <row r="320" spans="1:1" x14ac:dyDescent="0.2">
      <c r="A320" s="5" t="str">
        <f t="shared" si="4"/>
        <v/>
      </c>
    </row>
    <row r="321" spans="1:1" x14ac:dyDescent="0.2">
      <c r="A321" s="5" t="str">
        <f t="shared" si="4"/>
        <v/>
      </c>
    </row>
    <row r="322" spans="1:1" x14ac:dyDescent="0.2">
      <c r="A322" s="5" t="str">
        <f t="shared" si="4"/>
        <v/>
      </c>
    </row>
    <row r="323" spans="1:1" x14ac:dyDescent="0.2">
      <c r="A323" s="5" t="str">
        <f t="shared" si="4"/>
        <v/>
      </c>
    </row>
    <row r="324" spans="1:1" x14ac:dyDescent="0.2">
      <c r="A324" s="5" t="str">
        <f t="shared" si="4"/>
        <v/>
      </c>
    </row>
    <row r="325" spans="1:1" x14ac:dyDescent="0.2">
      <c r="A325" s="5" t="str">
        <f t="shared" si="4"/>
        <v/>
      </c>
    </row>
    <row r="326" spans="1:1" x14ac:dyDescent="0.2">
      <c r="A326" s="5" t="str">
        <f t="shared" si="4"/>
        <v/>
      </c>
    </row>
    <row r="327" spans="1:1" x14ac:dyDescent="0.2">
      <c r="A327" s="5" t="str">
        <f t="shared" si="4"/>
        <v/>
      </c>
    </row>
    <row r="328" spans="1:1" x14ac:dyDescent="0.2">
      <c r="A328" s="5" t="str">
        <f t="shared" si="4"/>
        <v/>
      </c>
    </row>
    <row r="329" spans="1:1" x14ac:dyDescent="0.2">
      <c r="A329" s="5" t="str">
        <f t="shared" si="4"/>
        <v/>
      </c>
    </row>
    <row r="330" spans="1:1" x14ac:dyDescent="0.2">
      <c r="A330" s="5" t="str">
        <f t="shared" si="4"/>
        <v/>
      </c>
    </row>
    <row r="331" spans="1:1" x14ac:dyDescent="0.2">
      <c r="A331" s="5" t="str">
        <f t="shared" si="4"/>
        <v/>
      </c>
    </row>
    <row r="332" spans="1:1" x14ac:dyDescent="0.2">
      <c r="A332" s="5" t="str">
        <f t="shared" si="4"/>
        <v/>
      </c>
    </row>
    <row r="333" spans="1:1" x14ac:dyDescent="0.2">
      <c r="A333" s="5" t="str">
        <f t="shared" si="4"/>
        <v/>
      </c>
    </row>
    <row r="334" spans="1:1" x14ac:dyDescent="0.2">
      <c r="A334" s="5" t="str">
        <f t="shared" si="4"/>
        <v/>
      </c>
    </row>
    <row r="335" spans="1:1" x14ac:dyDescent="0.2">
      <c r="A335" s="5" t="str">
        <f t="shared" si="4"/>
        <v/>
      </c>
    </row>
    <row r="336" spans="1:1" x14ac:dyDescent="0.2">
      <c r="A336" s="5" t="str">
        <f t="shared" si="4"/>
        <v/>
      </c>
    </row>
    <row r="337" spans="1:1" x14ac:dyDescent="0.2">
      <c r="A337" s="5" t="str">
        <f t="shared" si="4"/>
        <v/>
      </c>
    </row>
    <row r="338" spans="1:1" x14ac:dyDescent="0.2">
      <c r="A338" s="5" t="str">
        <f t="shared" si="4"/>
        <v/>
      </c>
    </row>
    <row r="339" spans="1:1" x14ac:dyDescent="0.2">
      <c r="A339" s="5" t="str">
        <f t="shared" si="4"/>
        <v/>
      </c>
    </row>
    <row r="340" spans="1:1" x14ac:dyDescent="0.2">
      <c r="A340" s="5" t="str">
        <f t="shared" si="4"/>
        <v/>
      </c>
    </row>
    <row r="341" spans="1:1" x14ac:dyDescent="0.2">
      <c r="A341" s="5" t="str">
        <f t="shared" si="4"/>
        <v/>
      </c>
    </row>
    <row r="342" spans="1:1" x14ac:dyDescent="0.2">
      <c r="A342" s="5" t="str">
        <f t="shared" si="4"/>
        <v/>
      </c>
    </row>
    <row r="343" spans="1:1" x14ac:dyDescent="0.2">
      <c r="A343" s="5" t="str">
        <f t="shared" si="4"/>
        <v/>
      </c>
    </row>
    <row r="344" spans="1:1" x14ac:dyDescent="0.2">
      <c r="A344" s="5" t="str">
        <f t="shared" si="4"/>
        <v/>
      </c>
    </row>
    <row r="345" spans="1:1" x14ac:dyDescent="0.2">
      <c r="A345" s="5" t="str">
        <f t="shared" ref="A345:A408" si="5">IF(AND(B344&lt;&gt;"",B345=""),$A$24&amp;"---&gt;","")</f>
        <v/>
      </c>
    </row>
    <row r="346" spans="1:1" x14ac:dyDescent="0.2">
      <c r="A346" s="5" t="str">
        <f t="shared" si="5"/>
        <v/>
      </c>
    </row>
    <row r="347" spans="1:1" x14ac:dyDescent="0.2">
      <c r="A347" s="5" t="str">
        <f t="shared" si="5"/>
        <v/>
      </c>
    </row>
    <row r="348" spans="1:1" x14ac:dyDescent="0.2">
      <c r="A348" s="5" t="str">
        <f t="shared" si="5"/>
        <v/>
      </c>
    </row>
    <row r="349" spans="1:1" x14ac:dyDescent="0.2">
      <c r="A349" s="5" t="str">
        <f t="shared" si="5"/>
        <v/>
      </c>
    </row>
    <row r="350" spans="1:1" x14ac:dyDescent="0.2">
      <c r="A350" s="5" t="str">
        <f t="shared" si="5"/>
        <v/>
      </c>
    </row>
    <row r="351" spans="1:1" x14ac:dyDescent="0.2">
      <c r="A351" s="5" t="str">
        <f t="shared" si="5"/>
        <v/>
      </c>
    </row>
    <row r="352" spans="1:1" x14ac:dyDescent="0.2">
      <c r="A352" s="5" t="str">
        <f t="shared" si="5"/>
        <v/>
      </c>
    </row>
    <row r="353" spans="1:1" x14ac:dyDescent="0.2">
      <c r="A353" s="5" t="str">
        <f t="shared" si="5"/>
        <v/>
      </c>
    </row>
    <row r="354" spans="1:1" x14ac:dyDescent="0.2">
      <c r="A354" s="5" t="str">
        <f t="shared" si="5"/>
        <v/>
      </c>
    </row>
    <row r="355" spans="1:1" x14ac:dyDescent="0.2">
      <c r="A355" s="5" t="str">
        <f t="shared" si="5"/>
        <v/>
      </c>
    </row>
    <row r="356" spans="1:1" x14ac:dyDescent="0.2">
      <c r="A356" s="5" t="str">
        <f t="shared" si="5"/>
        <v/>
      </c>
    </row>
    <row r="357" spans="1:1" x14ac:dyDescent="0.2">
      <c r="A357" s="5" t="str">
        <f t="shared" si="5"/>
        <v/>
      </c>
    </row>
    <row r="358" spans="1:1" x14ac:dyDescent="0.2">
      <c r="A358" s="5" t="str">
        <f t="shared" si="5"/>
        <v/>
      </c>
    </row>
    <row r="359" spans="1:1" x14ac:dyDescent="0.2">
      <c r="A359" s="5" t="str">
        <f t="shared" si="5"/>
        <v/>
      </c>
    </row>
    <row r="360" spans="1:1" x14ac:dyDescent="0.2">
      <c r="A360" s="5" t="str">
        <f t="shared" si="5"/>
        <v/>
      </c>
    </row>
    <row r="361" spans="1:1" x14ac:dyDescent="0.2">
      <c r="A361" s="5" t="str">
        <f t="shared" si="5"/>
        <v/>
      </c>
    </row>
    <row r="362" spans="1:1" x14ac:dyDescent="0.2">
      <c r="A362" s="5" t="str">
        <f t="shared" si="5"/>
        <v/>
      </c>
    </row>
    <row r="363" spans="1:1" x14ac:dyDescent="0.2">
      <c r="A363" s="5" t="str">
        <f t="shared" si="5"/>
        <v/>
      </c>
    </row>
    <row r="364" spans="1:1" x14ac:dyDescent="0.2">
      <c r="A364" s="5" t="str">
        <f t="shared" si="5"/>
        <v/>
      </c>
    </row>
    <row r="365" spans="1:1" x14ac:dyDescent="0.2">
      <c r="A365" s="5" t="str">
        <f t="shared" si="5"/>
        <v/>
      </c>
    </row>
    <row r="366" spans="1:1" x14ac:dyDescent="0.2">
      <c r="A366" s="5" t="str">
        <f t="shared" si="5"/>
        <v/>
      </c>
    </row>
    <row r="367" spans="1:1" x14ac:dyDescent="0.2">
      <c r="A367" s="5" t="str">
        <f t="shared" si="5"/>
        <v/>
      </c>
    </row>
    <row r="368" spans="1:1" x14ac:dyDescent="0.2">
      <c r="A368" s="5" t="str">
        <f t="shared" si="5"/>
        <v/>
      </c>
    </row>
    <row r="369" spans="1:1" x14ac:dyDescent="0.2">
      <c r="A369" s="5" t="str">
        <f t="shared" si="5"/>
        <v/>
      </c>
    </row>
    <row r="370" spans="1:1" x14ac:dyDescent="0.2">
      <c r="A370" s="5" t="str">
        <f t="shared" si="5"/>
        <v/>
      </c>
    </row>
    <row r="371" spans="1:1" x14ac:dyDescent="0.2">
      <c r="A371" s="5" t="str">
        <f t="shared" si="5"/>
        <v/>
      </c>
    </row>
    <row r="372" spans="1:1" x14ac:dyDescent="0.2">
      <c r="A372" s="5" t="str">
        <f t="shared" si="5"/>
        <v/>
      </c>
    </row>
    <row r="373" spans="1:1" x14ac:dyDescent="0.2">
      <c r="A373" s="5" t="str">
        <f t="shared" si="5"/>
        <v/>
      </c>
    </row>
    <row r="374" spans="1:1" x14ac:dyDescent="0.2">
      <c r="A374" s="5" t="str">
        <f t="shared" si="5"/>
        <v/>
      </c>
    </row>
    <row r="375" spans="1:1" x14ac:dyDescent="0.2">
      <c r="A375" s="5" t="str">
        <f t="shared" si="5"/>
        <v/>
      </c>
    </row>
    <row r="376" spans="1:1" x14ac:dyDescent="0.2">
      <c r="A376" s="5" t="str">
        <f t="shared" si="5"/>
        <v/>
      </c>
    </row>
    <row r="377" spans="1:1" x14ac:dyDescent="0.2">
      <c r="A377" s="5" t="str">
        <f t="shared" si="5"/>
        <v/>
      </c>
    </row>
    <row r="378" spans="1:1" x14ac:dyDescent="0.2">
      <c r="A378" s="5" t="str">
        <f t="shared" si="5"/>
        <v/>
      </c>
    </row>
    <row r="379" spans="1:1" x14ac:dyDescent="0.2">
      <c r="A379" s="5" t="str">
        <f t="shared" si="5"/>
        <v/>
      </c>
    </row>
    <row r="380" spans="1:1" x14ac:dyDescent="0.2">
      <c r="A380" s="5" t="str">
        <f t="shared" si="5"/>
        <v/>
      </c>
    </row>
    <row r="381" spans="1:1" x14ac:dyDescent="0.2">
      <c r="A381" s="5" t="str">
        <f t="shared" si="5"/>
        <v/>
      </c>
    </row>
    <row r="382" spans="1:1" x14ac:dyDescent="0.2">
      <c r="A382" s="5" t="str">
        <f t="shared" si="5"/>
        <v/>
      </c>
    </row>
    <row r="383" spans="1:1" x14ac:dyDescent="0.2">
      <c r="A383" s="5" t="str">
        <f t="shared" si="5"/>
        <v/>
      </c>
    </row>
    <row r="384" spans="1:1" x14ac:dyDescent="0.2">
      <c r="A384" s="5" t="str">
        <f t="shared" si="5"/>
        <v/>
      </c>
    </row>
    <row r="385" spans="1:1" x14ac:dyDescent="0.2">
      <c r="A385" s="5" t="str">
        <f t="shared" si="5"/>
        <v/>
      </c>
    </row>
    <row r="386" spans="1:1" x14ac:dyDescent="0.2">
      <c r="A386" s="5" t="str">
        <f t="shared" si="5"/>
        <v/>
      </c>
    </row>
    <row r="387" spans="1:1" x14ac:dyDescent="0.2">
      <c r="A387" s="5" t="str">
        <f t="shared" si="5"/>
        <v/>
      </c>
    </row>
    <row r="388" spans="1:1" x14ac:dyDescent="0.2">
      <c r="A388" s="5" t="str">
        <f t="shared" si="5"/>
        <v/>
      </c>
    </row>
    <row r="389" spans="1:1" x14ac:dyDescent="0.2">
      <c r="A389" s="5" t="str">
        <f t="shared" si="5"/>
        <v/>
      </c>
    </row>
    <row r="390" spans="1:1" x14ac:dyDescent="0.2">
      <c r="A390" s="5" t="str">
        <f t="shared" si="5"/>
        <v/>
      </c>
    </row>
    <row r="391" spans="1:1" x14ac:dyDescent="0.2">
      <c r="A391" s="5" t="str">
        <f t="shared" si="5"/>
        <v/>
      </c>
    </row>
    <row r="392" spans="1:1" x14ac:dyDescent="0.2">
      <c r="A392" s="5" t="str">
        <f t="shared" si="5"/>
        <v/>
      </c>
    </row>
    <row r="393" spans="1:1" x14ac:dyDescent="0.2">
      <c r="A393" s="5" t="str">
        <f t="shared" si="5"/>
        <v/>
      </c>
    </row>
    <row r="394" spans="1:1" x14ac:dyDescent="0.2">
      <c r="A394" s="5" t="str">
        <f t="shared" si="5"/>
        <v/>
      </c>
    </row>
    <row r="395" spans="1:1" x14ac:dyDescent="0.2">
      <c r="A395" s="5" t="str">
        <f t="shared" si="5"/>
        <v/>
      </c>
    </row>
    <row r="396" spans="1:1" x14ac:dyDescent="0.2">
      <c r="A396" s="5" t="str">
        <f t="shared" si="5"/>
        <v/>
      </c>
    </row>
    <row r="397" spans="1:1" x14ac:dyDescent="0.2">
      <c r="A397" s="5" t="str">
        <f t="shared" si="5"/>
        <v/>
      </c>
    </row>
    <row r="398" spans="1:1" x14ac:dyDescent="0.2">
      <c r="A398" s="5" t="str">
        <f t="shared" si="5"/>
        <v/>
      </c>
    </row>
    <row r="399" spans="1:1" x14ac:dyDescent="0.2">
      <c r="A399" s="5" t="str">
        <f t="shared" si="5"/>
        <v/>
      </c>
    </row>
    <row r="400" spans="1:1" x14ac:dyDescent="0.2">
      <c r="A400" s="5" t="str">
        <f t="shared" si="5"/>
        <v/>
      </c>
    </row>
    <row r="401" spans="1:1" x14ac:dyDescent="0.2">
      <c r="A401" s="5" t="str">
        <f t="shared" si="5"/>
        <v/>
      </c>
    </row>
    <row r="402" spans="1:1" x14ac:dyDescent="0.2">
      <c r="A402" s="5" t="str">
        <f t="shared" si="5"/>
        <v/>
      </c>
    </row>
    <row r="403" spans="1:1" x14ac:dyDescent="0.2">
      <c r="A403" s="5" t="str">
        <f t="shared" si="5"/>
        <v/>
      </c>
    </row>
    <row r="404" spans="1:1" x14ac:dyDescent="0.2">
      <c r="A404" s="5" t="str">
        <f t="shared" si="5"/>
        <v/>
      </c>
    </row>
    <row r="405" spans="1:1" x14ac:dyDescent="0.2">
      <c r="A405" s="5" t="str">
        <f t="shared" si="5"/>
        <v/>
      </c>
    </row>
    <row r="406" spans="1:1" x14ac:dyDescent="0.2">
      <c r="A406" s="5" t="str">
        <f t="shared" si="5"/>
        <v/>
      </c>
    </row>
    <row r="407" spans="1:1" x14ac:dyDescent="0.2">
      <c r="A407" s="5" t="str">
        <f t="shared" si="5"/>
        <v/>
      </c>
    </row>
    <row r="408" spans="1:1" x14ac:dyDescent="0.2">
      <c r="A408" s="5" t="str">
        <f t="shared" si="5"/>
        <v/>
      </c>
    </row>
    <row r="409" spans="1:1" x14ac:dyDescent="0.2">
      <c r="A409" s="5" t="str">
        <f t="shared" ref="A409:A472" si="6">IF(AND(B408&lt;&gt;"",B409=""),$A$24&amp;"---&gt;","")</f>
        <v/>
      </c>
    </row>
    <row r="410" spans="1:1" x14ac:dyDescent="0.2">
      <c r="A410" s="5" t="str">
        <f t="shared" si="6"/>
        <v/>
      </c>
    </row>
    <row r="411" spans="1:1" x14ac:dyDescent="0.2">
      <c r="A411" s="5" t="str">
        <f t="shared" si="6"/>
        <v/>
      </c>
    </row>
    <row r="412" spans="1:1" x14ac:dyDescent="0.2">
      <c r="A412" s="5" t="str">
        <f t="shared" si="6"/>
        <v/>
      </c>
    </row>
    <row r="413" spans="1:1" x14ac:dyDescent="0.2">
      <c r="A413" s="5" t="str">
        <f t="shared" si="6"/>
        <v/>
      </c>
    </row>
    <row r="414" spans="1:1" x14ac:dyDescent="0.2">
      <c r="A414" s="5" t="str">
        <f t="shared" si="6"/>
        <v/>
      </c>
    </row>
    <row r="415" spans="1:1" x14ac:dyDescent="0.2">
      <c r="A415" s="5" t="str">
        <f t="shared" si="6"/>
        <v/>
      </c>
    </row>
    <row r="416" spans="1:1" x14ac:dyDescent="0.2">
      <c r="A416" s="5" t="str">
        <f t="shared" si="6"/>
        <v/>
      </c>
    </row>
    <row r="417" spans="1:1" x14ac:dyDescent="0.2">
      <c r="A417" s="5" t="str">
        <f t="shared" si="6"/>
        <v/>
      </c>
    </row>
    <row r="418" spans="1:1" x14ac:dyDescent="0.2">
      <c r="A418" s="5" t="str">
        <f t="shared" si="6"/>
        <v/>
      </c>
    </row>
    <row r="419" spans="1:1" x14ac:dyDescent="0.2">
      <c r="A419" s="5" t="str">
        <f t="shared" si="6"/>
        <v/>
      </c>
    </row>
    <row r="420" spans="1:1" x14ac:dyDescent="0.2">
      <c r="A420" s="5" t="str">
        <f t="shared" si="6"/>
        <v/>
      </c>
    </row>
    <row r="421" spans="1:1" x14ac:dyDescent="0.2">
      <c r="A421" s="5" t="str">
        <f t="shared" si="6"/>
        <v/>
      </c>
    </row>
    <row r="422" spans="1:1" x14ac:dyDescent="0.2">
      <c r="A422" s="5" t="str">
        <f t="shared" si="6"/>
        <v/>
      </c>
    </row>
    <row r="423" spans="1:1" x14ac:dyDescent="0.2">
      <c r="A423" s="5" t="str">
        <f t="shared" si="6"/>
        <v/>
      </c>
    </row>
    <row r="424" spans="1:1" x14ac:dyDescent="0.2">
      <c r="A424" s="5" t="str">
        <f t="shared" si="6"/>
        <v/>
      </c>
    </row>
    <row r="425" spans="1:1" x14ac:dyDescent="0.2">
      <c r="A425" s="5" t="str">
        <f t="shared" si="6"/>
        <v/>
      </c>
    </row>
    <row r="426" spans="1:1" x14ac:dyDescent="0.2">
      <c r="A426" s="5" t="str">
        <f t="shared" si="6"/>
        <v/>
      </c>
    </row>
    <row r="427" spans="1:1" x14ac:dyDescent="0.2">
      <c r="A427" s="5" t="str">
        <f t="shared" si="6"/>
        <v/>
      </c>
    </row>
    <row r="428" spans="1:1" x14ac:dyDescent="0.2">
      <c r="A428" s="5" t="str">
        <f t="shared" si="6"/>
        <v/>
      </c>
    </row>
    <row r="429" spans="1:1" x14ac:dyDescent="0.2">
      <c r="A429" s="5" t="str">
        <f t="shared" si="6"/>
        <v/>
      </c>
    </row>
    <row r="430" spans="1:1" x14ac:dyDescent="0.2">
      <c r="A430" s="5" t="str">
        <f t="shared" si="6"/>
        <v/>
      </c>
    </row>
    <row r="431" spans="1:1" x14ac:dyDescent="0.2">
      <c r="A431" s="5" t="str">
        <f t="shared" si="6"/>
        <v/>
      </c>
    </row>
    <row r="432" spans="1:1" x14ac:dyDescent="0.2">
      <c r="A432" s="5" t="str">
        <f t="shared" si="6"/>
        <v/>
      </c>
    </row>
    <row r="433" spans="1:1" x14ac:dyDescent="0.2">
      <c r="A433" s="5" t="str">
        <f t="shared" si="6"/>
        <v/>
      </c>
    </row>
    <row r="434" spans="1:1" x14ac:dyDescent="0.2">
      <c r="A434" s="5" t="str">
        <f t="shared" si="6"/>
        <v/>
      </c>
    </row>
    <row r="435" spans="1:1" x14ac:dyDescent="0.2">
      <c r="A435" s="5" t="str">
        <f t="shared" si="6"/>
        <v/>
      </c>
    </row>
    <row r="436" spans="1:1" x14ac:dyDescent="0.2">
      <c r="A436" s="5" t="str">
        <f t="shared" si="6"/>
        <v/>
      </c>
    </row>
    <row r="437" spans="1:1" x14ac:dyDescent="0.2">
      <c r="A437" s="5" t="str">
        <f t="shared" si="6"/>
        <v/>
      </c>
    </row>
    <row r="438" spans="1:1" x14ac:dyDescent="0.2">
      <c r="A438" s="5" t="str">
        <f t="shared" si="6"/>
        <v/>
      </c>
    </row>
    <row r="439" spans="1:1" x14ac:dyDescent="0.2">
      <c r="A439" s="5" t="str">
        <f t="shared" si="6"/>
        <v/>
      </c>
    </row>
    <row r="440" spans="1:1" x14ac:dyDescent="0.2">
      <c r="A440" s="5" t="str">
        <f t="shared" si="6"/>
        <v/>
      </c>
    </row>
    <row r="441" spans="1:1" x14ac:dyDescent="0.2">
      <c r="A441" s="5" t="str">
        <f t="shared" si="6"/>
        <v/>
      </c>
    </row>
    <row r="442" spans="1:1" x14ac:dyDescent="0.2">
      <c r="A442" s="5" t="str">
        <f t="shared" si="6"/>
        <v/>
      </c>
    </row>
    <row r="443" spans="1:1" x14ac:dyDescent="0.2">
      <c r="A443" s="5" t="str">
        <f t="shared" si="6"/>
        <v/>
      </c>
    </row>
    <row r="444" spans="1:1" x14ac:dyDescent="0.2">
      <c r="A444" s="5" t="str">
        <f t="shared" si="6"/>
        <v/>
      </c>
    </row>
    <row r="445" spans="1:1" x14ac:dyDescent="0.2">
      <c r="A445" s="5" t="str">
        <f t="shared" si="6"/>
        <v/>
      </c>
    </row>
    <row r="446" spans="1:1" x14ac:dyDescent="0.2">
      <c r="A446" s="5" t="str">
        <f t="shared" si="6"/>
        <v/>
      </c>
    </row>
    <row r="447" spans="1:1" x14ac:dyDescent="0.2">
      <c r="A447" s="5" t="str">
        <f t="shared" si="6"/>
        <v/>
      </c>
    </row>
    <row r="448" spans="1:1" x14ac:dyDescent="0.2">
      <c r="A448" s="5" t="str">
        <f t="shared" si="6"/>
        <v/>
      </c>
    </row>
    <row r="449" spans="1:1" x14ac:dyDescent="0.2">
      <c r="A449" s="5" t="str">
        <f t="shared" si="6"/>
        <v/>
      </c>
    </row>
    <row r="450" spans="1:1" x14ac:dyDescent="0.2">
      <c r="A450" s="5" t="str">
        <f t="shared" si="6"/>
        <v/>
      </c>
    </row>
    <row r="451" spans="1:1" x14ac:dyDescent="0.2">
      <c r="A451" s="5" t="str">
        <f t="shared" si="6"/>
        <v/>
      </c>
    </row>
    <row r="452" spans="1:1" x14ac:dyDescent="0.2">
      <c r="A452" s="5" t="str">
        <f t="shared" si="6"/>
        <v/>
      </c>
    </row>
    <row r="453" spans="1:1" x14ac:dyDescent="0.2">
      <c r="A453" s="5" t="str">
        <f t="shared" si="6"/>
        <v/>
      </c>
    </row>
    <row r="454" spans="1:1" x14ac:dyDescent="0.2">
      <c r="A454" s="5" t="str">
        <f t="shared" si="6"/>
        <v/>
      </c>
    </row>
    <row r="455" spans="1:1" x14ac:dyDescent="0.2">
      <c r="A455" s="5" t="str">
        <f t="shared" si="6"/>
        <v/>
      </c>
    </row>
    <row r="456" spans="1:1" x14ac:dyDescent="0.2">
      <c r="A456" s="5" t="str">
        <f t="shared" si="6"/>
        <v/>
      </c>
    </row>
    <row r="457" spans="1:1" x14ac:dyDescent="0.2">
      <c r="A457" s="5" t="str">
        <f t="shared" si="6"/>
        <v/>
      </c>
    </row>
    <row r="458" spans="1:1" x14ac:dyDescent="0.2">
      <c r="A458" s="5" t="str">
        <f t="shared" si="6"/>
        <v/>
      </c>
    </row>
    <row r="459" spans="1:1" x14ac:dyDescent="0.2">
      <c r="A459" s="5" t="str">
        <f t="shared" si="6"/>
        <v/>
      </c>
    </row>
    <row r="460" spans="1:1" x14ac:dyDescent="0.2">
      <c r="A460" s="5" t="str">
        <f t="shared" si="6"/>
        <v/>
      </c>
    </row>
    <row r="461" spans="1:1" x14ac:dyDescent="0.2">
      <c r="A461" s="5" t="str">
        <f t="shared" si="6"/>
        <v/>
      </c>
    </row>
    <row r="462" spans="1:1" x14ac:dyDescent="0.2">
      <c r="A462" s="5" t="str">
        <f t="shared" si="6"/>
        <v/>
      </c>
    </row>
    <row r="463" spans="1:1" x14ac:dyDescent="0.2">
      <c r="A463" s="5" t="str">
        <f t="shared" si="6"/>
        <v/>
      </c>
    </row>
    <row r="464" spans="1:1" x14ac:dyDescent="0.2">
      <c r="A464" s="5" t="str">
        <f t="shared" si="6"/>
        <v/>
      </c>
    </row>
    <row r="465" spans="1:1" x14ac:dyDescent="0.2">
      <c r="A465" s="5" t="str">
        <f t="shared" si="6"/>
        <v/>
      </c>
    </row>
    <row r="466" spans="1:1" x14ac:dyDescent="0.2">
      <c r="A466" s="5" t="str">
        <f t="shared" si="6"/>
        <v/>
      </c>
    </row>
    <row r="467" spans="1:1" x14ac:dyDescent="0.2">
      <c r="A467" s="5" t="str">
        <f t="shared" si="6"/>
        <v/>
      </c>
    </row>
    <row r="468" spans="1:1" x14ac:dyDescent="0.2">
      <c r="A468" s="5" t="str">
        <f t="shared" si="6"/>
        <v/>
      </c>
    </row>
    <row r="469" spans="1:1" x14ac:dyDescent="0.2">
      <c r="A469" s="5" t="str">
        <f t="shared" si="6"/>
        <v/>
      </c>
    </row>
    <row r="470" spans="1:1" x14ac:dyDescent="0.2">
      <c r="A470" s="5" t="str">
        <f t="shared" si="6"/>
        <v/>
      </c>
    </row>
    <row r="471" spans="1:1" x14ac:dyDescent="0.2">
      <c r="A471" s="5" t="str">
        <f t="shared" si="6"/>
        <v/>
      </c>
    </row>
    <row r="472" spans="1:1" x14ac:dyDescent="0.2">
      <c r="A472" s="5" t="str">
        <f t="shared" si="6"/>
        <v/>
      </c>
    </row>
    <row r="473" spans="1:1" x14ac:dyDescent="0.2">
      <c r="A473" s="5" t="str">
        <f t="shared" ref="A473:A536" si="7">IF(AND(B472&lt;&gt;"",B473=""),$A$24&amp;"---&gt;","")</f>
        <v/>
      </c>
    </row>
    <row r="474" spans="1:1" x14ac:dyDescent="0.2">
      <c r="A474" s="5" t="str">
        <f t="shared" si="7"/>
        <v/>
      </c>
    </row>
    <row r="475" spans="1:1" x14ac:dyDescent="0.2">
      <c r="A475" s="5" t="str">
        <f t="shared" si="7"/>
        <v/>
      </c>
    </row>
    <row r="476" spans="1:1" x14ac:dyDescent="0.2">
      <c r="A476" s="5" t="str">
        <f t="shared" si="7"/>
        <v/>
      </c>
    </row>
    <row r="477" spans="1:1" x14ac:dyDescent="0.2">
      <c r="A477" s="5" t="str">
        <f t="shared" si="7"/>
        <v/>
      </c>
    </row>
    <row r="478" spans="1:1" x14ac:dyDescent="0.2">
      <c r="A478" s="5" t="str">
        <f t="shared" si="7"/>
        <v/>
      </c>
    </row>
    <row r="479" spans="1:1" x14ac:dyDescent="0.2">
      <c r="A479" s="5" t="str">
        <f t="shared" si="7"/>
        <v/>
      </c>
    </row>
    <row r="480" spans="1:1" x14ac:dyDescent="0.2">
      <c r="A480" s="5" t="str">
        <f t="shared" si="7"/>
        <v/>
      </c>
    </row>
    <row r="481" spans="1:1" x14ac:dyDescent="0.2">
      <c r="A481" s="5" t="str">
        <f t="shared" si="7"/>
        <v/>
      </c>
    </row>
    <row r="482" spans="1:1" x14ac:dyDescent="0.2">
      <c r="A482" s="5" t="str">
        <f t="shared" si="7"/>
        <v/>
      </c>
    </row>
    <row r="483" spans="1:1" x14ac:dyDescent="0.2">
      <c r="A483" s="5" t="str">
        <f t="shared" si="7"/>
        <v/>
      </c>
    </row>
    <row r="484" spans="1:1" x14ac:dyDescent="0.2">
      <c r="A484" s="5" t="str">
        <f t="shared" si="7"/>
        <v/>
      </c>
    </row>
    <row r="485" spans="1:1" x14ac:dyDescent="0.2">
      <c r="A485" s="5" t="str">
        <f t="shared" si="7"/>
        <v/>
      </c>
    </row>
    <row r="486" spans="1:1" x14ac:dyDescent="0.2">
      <c r="A486" s="5" t="str">
        <f t="shared" si="7"/>
        <v/>
      </c>
    </row>
    <row r="487" spans="1:1" x14ac:dyDescent="0.2">
      <c r="A487" s="5" t="str">
        <f t="shared" si="7"/>
        <v/>
      </c>
    </row>
    <row r="488" spans="1:1" x14ac:dyDescent="0.2">
      <c r="A488" s="5" t="str">
        <f t="shared" si="7"/>
        <v/>
      </c>
    </row>
    <row r="489" spans="1:1" x14ac:dyDescent="0.2">
      <c r="A489" s="5" t="str">
        <f t="shared" si="7"/>
        <v/>
      </c>
    </row>
    <row r="490" spans="1:1" x14ac:dyDescent="0.2">
      <c r="A490" s="5" t="str">
        <f t="shared" si="7"/>
        <v/>
      </c>
    </row>
    <row r="491" spans="1:1" x14ac:dyDescent="0.2">
      <c r="A491" s="5" t="str">
        <f t="shared" si="7"/>
        <v/>
      </c>
    </row>
    <row r="492" spans="1:1" x14ac:dyDescent="0.2">
      <c r="A492" s="5" t="str">
        <f t="shared" si="7"/>
        <v/>
      </c>
    </row>
    <row r="493" spans="1:1" x14ac:dyDescent="0.2">
      <c r="A493" s="5" t="str">
        <f t="shared" si="7"/>
        <v/>
      </c>
    </row>
    <row r="494" spans="1:1" x14ac:dyDescent="0.2">
      <c r="A494" s="5" t="str">
        <f t="shared" si="7"/>
        <v/>
      </c>
    </row>
    <row r="495" spans="1:1" x14ac:dyDescent="0.2">
      <c r="A495" s="5" t="str">
        <f t="shared" si="7"/>
        <v/>
      </c>
    </row>
    <row r="496" spans="1:1" x14ac:dyDescent="0.2">
      <c r="A496" s="5" t="str">
        <f t="shared" si="7"/>
        <v/>
      </c>
    </row>
    <row r="497" spans="1:1" x14ac:dyDescent="0.2">
      <c r="A497" s="5" t="str">
        <f t="shared" si="7"/>
        <v/>
      </c>
    </row>
    <row r="498" spans="1:1" x14ac:dyDescent="0.2">
      <c r="A498" s="5" t="str">
        <f t="shared" si="7"/>
        <v/>
      </c>
    </row>
    <row r="499" spans="1:1" x14ac:dyDescent="0.2">
      <c r="A499" s="5" t="str">
        <f t="shared" si="7"/>
        <v/>
      </c>
    </row>
    <row r="500" spans="1:1" x14ac:dyDescent="0.2">
      <c r="A500" s="5" t="str">
        <f t="shared" si="7"/>
        <v/>
      </c>
    </row>
    <row r="501" spans="1:1" x14ac:dyDescent="0.2">
      <c r="A501" s="5" t="str">
        <f t="shared" si="7"/>
        <v/>
      </c>
    </row>
    <row r="502" spans="1:1" x14ac:dyDescent="0.2">
      <c r="A502" s="5" t="str">
        <f t="shared" si="7"/>
        <v/>
      </c>
    </row>
    <row r="503" spans="1:1" x14ac:dyDescent="0.2">
      <c r="A503" s="5" t="str">
        <f t="shared" si="7"/>
        <v/>
      </c>
    </row>
    <row r="504" spans="1:1" x14ac:dyDescent="0.2">
      <c r="A504" s="5" t="str">
        <f t="shared" si="7"/>
        <v/>
      </c>
    </row>
    <row r="505" spans="1:1" x14ac:dyDescent="0.2">
      <c r="A505" s="5" t="str">
        <f t="shared" si="7"/>
        <v/>
      </c>
    </row>
    <row r="506" spans="1:1" x14ac:dyDescent="0.2">
      <c r="A506" s="5" t="str">
        <f t="shared" si="7"/>
        <v/>
      </c>
    </row>
    <row r="507" spans="1:1" x14ac:dyDescent="0.2">
      <c r="A507" s="5" t="str">
        <f t="shared" si="7"/>
        <v/>
      </c>
    </row>
    <row r="508" spans="1:1" x14ac:dyDescent="0.2">
      <c r="A508" s="5" t="str">
        <f t="shared" si="7"/>
        <v/>
      </c>
    </row>
    <row r="509" spans="1:1" x14ac:dyDescent="0.2">
      <c r="A509" s="5" t="str">
        <f t="shared" si="7"/>
        <v/>
      </c>
    </row>
    <row r="510" spans="1:1" x14ac:dyDescent="0.2">
      <c r="A510" s="5" t="str">
        <f t="shared" si="7"/>
        <v/>
      </c>
    </row>
    <row r="511" spans="1:1" x14ac:dyDescent="0.2">
      <c r="A511" s="5" t="str">
        <f t="shared" si="7"/>
        <v/>
      </c>
    </row>
    <row r="512" spans="1:1" x14ac:dyDescent="0.2">
      <c r="A512" s="5" t="str">
        <f t="shared" si="7"/>
        <v/>
      </c>
    </row>
    <row r="513" spans="1:1" x14ac:dyDescent="0.2">
      <c r="A513" s="5" t="str">
        <f t="shared" si="7"/>
        <v/>
      </c>
    </row>
    <row r="514" spans="1:1" x14ac:dyDescent="0.2">
      <c r="A514" s="5" t="str">
        <f t="shared" si="7"/>
        <v/>
      </c>
    </row>
    <row r="515" spans="1:1" x14ac:dyDescent="0.2">
      <c r="A515" s="5" t="str">
        <f t="shared" si="7"/>
        <v/>
      </c>
    </row>
    <row r="516" spans="1:1" x14ac:dyDescent="0.2">
      <c r="A516" s="5" t="str">
        <f t="shared" si="7"/>
        <v/>
      </c>
    </row>
    <row r="517" spans="1:1" x14ac:dyDescent="0.2">
      <c r="A517" s="5" t="str">
        <f t="shared" si="7"/>
        <v/>
      </c>
    </row>
    <row r="518" spans="1:1" x14ac:dyDescent="0.2">
      <c r="A518" s="5" t="str">
        <f t="shared" si="7"/>
        <v/>
      </c>
    </row>
    <row r="519" spans="1:1" x14ac:dyDescent="0.2">
      <c r="A519" s="5" t="str">
        <f t="shared" si="7"/>
        <v/>
      </c>
    </row>
    <row r="520" spans="1:1" x14ac:dyDescent="0.2">
      <c r="A520" s="5" t="str">
        <f t="shared" si="7"/>
        <v/>
      </c>
    </row>
    <row r="521" spans="1:1" x14ac:dyDescent="0.2">
      <c r="A521" s="5" t="str">
        <f t="shared" si="7"/>
        <v/>
      </c>
    </row>
    <row r="522" spans="1:1" x14ac:dyDescent="0.2">
      <c r="A522" s="5" t="str">
        <f t="shared" si="7"/>
        <v/>
      </c>
    </row>
    <row r="523" spans="1:1" x14ac:dyDescent="0.2">
      <c r="A523" s="5" t="str">
        <f t="shared" si="7"/>
        <v/>
      </c>
    </row>
    <row r="524" spans="1:1" x14ac:dyDescent="0.2">
      <c r="A524" s="5" t="str">
        <f t="shared" si="7"/>
        <v/>
      </c>
    </row>
    <row r="525" spans="1:1" x14ac:dyDescent="0.2">
      <c r="A525" s="5" t="str">
        <f t="shared" si="7"/>
        <v/>
      </c>
    </row>
    <row r="526" spans="1:1" x14ac:dyDescent="0.2">
      <c r="A526" s="5" t="str">
        <f t="shared" si="7"/>
        <v/>
      </c>
    </row>
    <row r="527" spans="1:1" x14ac:dyDescent="0.2">
      <c r="A527" s="5" t="str">
        <f t="shared" si="7"/>
        <v/>
      </c>
    </row>
    <row r="528" spans="1:1" x14ac:dyDescent="0.2">
      <c r="A528" s="5" t="str">
        <f t="shared" si="7"/>
        <v/>
      </c>
    </row>
    <row r="529" spans="1:1" x14ac:dyDescent="0.2">
      <c r="A529" s="5" t="str">
        <f t="shared" si="7"/>
        <v/>
      </c>
    </row>
    <row r="530" spans="1:1" x14ac:dyDescent="0.2">
      <c r="A530" s="5" t="str">
        <f t="shared" si="7"/>
        <v/>
      </c>
    </row>
    <row r="531" spans="1:1" x14ac:dyDescent="0.2">
      <c r="A531" s="5" t="str">
        <f t="shared" si="7"/>
        <v/>
      </c>
    </row>
    <row r="532" spans="1:1" x14ac:dyDescent="0.2">
      <c r="A532" s="5" t="str">
        <f t="shared" si="7"/>
        <v/>
      </c>
    </row>
    <row r="533" spans="1:1" x14ac:dyDescent="0.2">
      <c r="A533" s="5" t="str">
        <f t="shared" si="7"/>
        <v/>
      </c>
    </row>
    <row r="534" spans="1:1" x14ac:dyDescent="0.2">
      <c r="A534" s="5" t="str">
        <f t="shared" si="7"/>
        <v/>
      </c>
    </row>
    <row r="535" spans="1:1" x14ac:dyDescent="0.2">
      <c r="A535" s="5" t="str">
        <f t="shared" si="7"/>
        <v/>
      </c>
    </row>
    <row r="536" spans="1:1" x14ac:dyDescent="0.2">
      <c r="A536" s="5" t="str">
        <f t="shared" si="7"/>
        <v/>
      </c>
    </row>
    <row r="537" spans="1:1" x14ac:dyDescent="0.2">
      <c r="A537" s="5" t="str">
        <f t="shared" ref="A537:A600" si="8">IF(AND(B536&lt;&gt;"",B537=""),$A$24&amp;"---&gt;","")</f>
        <v/>
      </c>
    </row>
    <row r="538" spans="1:1" x14ac:dyDescent="0.2">
      <c r="A538" s="5" t="str">
        <f t="shared" si="8"/>
        <v/>
      </c>
    </row>
    <row r="539" spans="1:1" x14ac:dyDescent="0.2">
      <c r="A539" s="5" t="str">
        <f t="shared" si="8"/>
        <v/>
      </c>
    </row>
    <row r="540" spans="1:1" x14ac:dyDescent="0.2">
      <c r="A540" s="5" t="str">
        <f t="shared" si="8"/>
        <v/>
      </c>
    </row>
    <row r="541" spans="1:1" x14ac:dyDescent="0.2">
      <c r="A541" s="5" t="str">
        <f t="shared" si="8"/>
        <v/>
      </c>
    </row>
    <row r="542" spans="1:1" x14ac:dyDescent="0.2">
      <c r="A542" s="5" t="str">
        <f t="shared" si="8"/>
        <v/>
      </c>
    </row>
    <row r="543" spans="1:1" x14ac:dyDescent="0.2">
      <c r="A543" s="5" t="str">
        <f t="shared" si="8"/>
        <v/>
      </c>
    </row>
    <row r="544" spans="1:1" x14ac:dyDescent="0.2">
      <c r="A544" s="5" t="str">
        <f t="shared" si="8"/>
        <v/>
      </c>
    </row>
    <row r="545" spans="1:1" x14ac:dyDescent="0.2">
      <c r="A545" s="5" t="str">
        <f t="shared" si="8"/>
        <v/>
      </c>
    </row>
    <row r="546" spans="1:1" x14ac:dyDescent="0.2">
      <c r="A546" s="5" t="str">
        <f t="shared" si="8"/>
        <v/>
      </c>
    </row>
    <row r="547" spans="1:1" x14ac:dyDescent="0.2">
      <c r="A547" s="5" t="str">
        <f t="shared" si="8"/>
        <v/>
      </c>
    </row>
    <row r="548" spans="1:1" x14ac:dyDescent="0.2">
      <c r="A548" s="5" t="str">
        <f t="shared" si="8"/>
        <v/>
      </c>
    </row>
    <row r="549" spans="1:1" x14ac:dyDescent="0.2">
      <c r="A549" s="5" t="str">
        <f t="shared" si="8"/>
        <v/>
      </c>
    </row>
    <row r="550" spans="1:1" x14ac:dyDescent="0.2">
      <c r="A550" s="5" t="str">
        <f t="shared" si="8"/>
        <v/>
      </c>
    </row>
    <row r="551" spans="1:1" x14ac:dyDescent="0.2">
      <c r="A551" s="5" t="str">
        <f t="shared" si="8"/>
        <v/>
      </c>
    </row>
    <row r="552" spans="1:1" x14ac:dyDescent="0.2">
      <c r="A552" s="5" t="str">
        <f t="shared" si="8"/>
        <v/>
      </c>
    </row>
    <row r="553" spans="1:1" x14ac:dyDescent="0.2">
      <c r="A553" s="5" t="str">
        <f t="shared" si="8"/>
        <v/>
      </c>
    </row>
    <row r="554" spans="1:1" x14ac:dyDescent="0.2">
      <c r="A554" s="5" t="str">
        <f t="shared" si="8"/>
        <v/>
      </c>
    </row>
    <row r="555" spans="1:1" x14ac:dyDescent="0.2">
      <c r="A555" s="5" t="str">
        <f t="shared" si="8"/>
        <v/>
      </c>
    </row>
    <row r="556" spans="1:1" x14ac:dyDescent="0.2">
      <c r="A556" s="5" t="str">
        <f t="shared" si="8"/>
        <v/>
      </c>
    </row>
    <row r="557" spans="1:1" x14ac:dyDescent="0.2">
      <c r="A557" s="5" t="str">
        <f t="shared" si="8"/>
        <v/>
      </c>
    </row>
    <row r="558" spans="1:1" x14ac:dyDescent="0.2">
      <c r="A558" s="5" t="str">
        <f t="shared" si="8"/>
        <v/>
      </c>
    </row>
    <row r="559" spans="1:1" x14ac:dyDescent="0.2">
      <c r="A559" s="5" t="str">
        <f t="shared" si="8"/>
        <v/>
      </c>
    </row>
    <row r="560" spans="1:1" x14ac:dyDescent="0.2">
      <c r="A560" s="5" t="str">
        <f t="shared" si="8"/>
        <v/>
      </c>
    </row>
    <row r="561" spans="1:1" x14ac:dyDescent="0.2">
      <c r="A561" s="5" t="str">
        <f t="shared" si="8"/>
        <v/>
      </c>
    </row>
    <row r="562" spans="1:1" x14ac:dyDescent="0.2">
      <c r="A562" s="5" t="str">
        <f t="shared" si="8"/>
        <v/>
      </c>
    </row>
    <row r="563" spans="1:1" x14ac:dyDescent="0.2">
      <c r="A563" s="5" t="str">
        <f t="shared" si="8"/>
        <v/>
      </c>
    </row>
    <row r="564" spans="1:1" x14ac:dyDescent="0.2">
      <c r="A564" s="5" t="str">
        <f t="shared" si="8"/>
        <v/>
      </c>
    </row>
    <row r="565" spans="1:1" x14ac:dyDescent="0.2">
      <c r="A565" s="5" t="str">
        <f t="shared" si="8"/>
        <v/>
      </c>
    </row>
    <row r="566" spans="1:1" x14ac:dyDescent="0.2">
      <c r="A566" s="5" t="str">
        <f t="shared" si="8"/>
        <v/>
      </c>
    </row>
    <row r="567" spans="1:1" x14ac:dyDescent="0.2">
      <c r="A567" s="5" t="str">
        <f t="shared" si="8"/>
        <v/>
      </c>
    </row>
    <row r="568" spans="1:1" x14ac:dyDescent="0.2">
      <c r="A568" s="5" t="str">
        <f t="shared" si="8"/>
        <v/>
      </c>
    </row>
    <row r="569" spans="1:1" x14ac:dyDescent="0.2">
      <c r="A569" s="5" t="str">
        <f t="shared" si="8"/>
        <v/>
      </c>
    </row>
    <row r="570" spans="1:1" x14ac:dyDescent="0.2">
      <c r="A570" s="5" t="str">
        <f t="shared" si="8"/>
        <v/>
      </c>
    </row>
    <row r="571" spans="1:1" x14ac:dyDescent="0.2">
      <c r="A571" s="5" t="str">
        <f t="shared" si="8"/>
        <v/>
      </c>
    </row>
    <row r="572" spans="1:1" x14ac:dyDescent="0.2">
      <c r="A572" s="5" t="str">
        <f t="shared" si="8"/>
        <v/>
      </c>
    </row>
    <row r="573" spans="1:1" x14ac:dyDescent="0.2">
      <c r="A573" s="5" t="str">
        <f t="shared" si="8"/>
        <v/>
      </c>
    </row>
    <row r="574" spans="1:1" x14ac:dyDescent="0.2">
      <c r="A574" s="5" t="str">
        <f t="shared" si="8"/>
        <v/>
      </c>
    </row>
    <row r="575" spans="1:1" x14ac:dyDescent="0.2">
      <c r="A575" s="5" t="str">
        <f t="shared" si="8"/>
        <v/>
      </c>
    </row>
    <row r="576" spans="1:1" x14ac:dyDescent="0.2">
      <c r="A576" s="5" t="str">
        <f t="shared" si="8"/>
        <v/>
      </c>
    </row>
    <row r="577" spans="1:1" x14ac:dyDescent="0.2">
      <c r="A577" s="5" t="str">
        <f t="shared" si="8"/>
        <v/>
      </c>
    </row>
    <row r="578" spans="1:1" x14ac:dyDescent="0.2">
      <c r="A578" s="5" t="str">
        <f t="shared" si="8"/>
        <v/>
      </c>
    </row>
    <row r="579" spans="1:1" x14ac:dyDescent="0.2">
      <c r="A579" s="5" t="str">
        <f t="shared" si="8"/>
        <v/>
      </c>
    </row>
    <row r="580" spans="1:1" x14ac:dyDescent="0.2">
      <c r="A580" s="5" t="str">
        <f t="shared" si="8"/>
        <v/>
      </c>
    </row>
    <row r="581" spans="1:1" x14ac:dyDescent="0.2">
      <c r="A581" s="5" t="str">
        <f t="shared" si="8"/>
        <v/>
      </c>
    </row>
    <row r="582" spans="1:1" x14ac:dyDescent="0.2">
      <c r="A582" s="5" t="str">
        <f t="shared" si="8"/>
        <v/>
      </c>
    </row>
    <row r="583" spans="1:1" x14ac:dyDescent="0.2">
      <c r="A583" s="5" t="str">
        <f t="shared" si="8"/>
        <v/>
      </c>
    </row>
    <row r="584" spans="1:1" x14ac:dyDescent="0.2">
      <c r="A584" s="5" t="str">
        <f t="shared" si="8"/>
        <v/>
      </c>
    </row>
    <row r="585" spans="1:1" x14ac:dyDescent="0.2">
      <c r="A585" s="5" t="str">
        <f t="shared" si="8"/>
        <v/>
      </c>
    </row>
    <row r="586" spans="1:1" x14ac:dyDescent="0.2">
      <c r="A586" s="5" t="str">
        <f t="shared" si="8"/>
        <v/>
      </c>
    </row>
    <row r="587" spans="1:1" x14ac:dyDescent="0.2">
      <c r="A587" s="5" t="str">
        <f t="shared" si="8"/>
        <v/>
      </c>
    </row>
    <row r="588" spans="1:1" x14ac:dyDescent="0.2">
      <c r="A588" s="5" t="str">
        <f t="shared" si="8"/>
        <v/>
      </c>
    </row>
    <row r="589" spans="1:1" x14ac:dyDescent="0.2">
      <c r="A589" s="5" t="str">
        <f t="shared" si="8"/>
        <v/>
      </c>
    </row>
    <row r="590" spans="1:1" x14ac:dyDescent="0.2">
      <c r="A590" s="5" t="str">
        <f t="shared" si="8"/>
        <v/>
      </c>
    </row>
    <row r="591" spans="1:1" x14ac:dyDescent="0.2">
      <c r="A591" s="5" t="str">
        <f t="shared" si="8"/>
        <v/>
      </c>
    </row>
    <row r="592" spans="1:1" x14ac:dyDescent="0.2">
      <c r="A592" s="5" t="str">
        <f t="shared" si="8"/>
        <v/>
      </c>
    </row>
    <row r="593" spans="1:1" x14ac:dyDescent="0.2">
      <c r="A593" s="5" t="str">
        <f t="shared" si="8"/>
        <v/>
      </c>
    </row>
    <row r="594" spans="1:1" x14ac:dyDescent="0.2">
      <c r="A594" s="5" t="str">
        <f t="shared" si="8"/>
        <v/>
      </c>
    </row>
    <row r="595" spans="1:1" x14ac:dyDescent="0.2">
      <c r="A595" s="5" t="str">
        <f t="shared" si="8"/>
        <v/>
      </c>
    </row>
    <row r="596" spans="1:1" x14ac:dyDescent="0.2">
      <c r="A596" s="5" t="str">
        <f t="shared" si="8"/>
        <v/>
      </c>
    </row>
    <row r="597" spans="1:1" x14ac:dyDescent="0.2">
      <c r="A597" s="5" t="str">
        <f t="shared" si="8"/>
        <v/>
      </c>
    </row>
    <row r="598" spans="1:1" x14ac:dyDescent="0.2">
      <c r="A598" s="5" t="str">
        <f t="shared" si="8"/>
        <v/>
      </c>
    </row>
    <row r="599" spans="1:1" x14ac:dyDescent="0.2">
      <c r="A599" s="5" t="str">
        <f t="shared" si="8"/>
        <v/>
      </c>
    </row>
    <row r="600" spans="1:1" x14ac:dyDescent="0.2">
      <c r="A600" s="5" t="str">
        <f t="shared" si="8"/>
        <v/>
      </c>
    </row>
    <row r="601" spans="1:1" x14ac:dyDescent="0.2">
      <c r="A601" s="5" t="str">
        <f t="shared" ref="A601:A664" si="9">IF(AND(B600&lt;&gt;"",B601=""),$A$24&amp;"---&gt;","")</f>
        <v/>
      </c>
    </row>
    <row r="602" spans="1:1" x14ac:dyDescent="0.2">
      <c r="A602" s="5" t="str">
        <f t="shared" si="9"/>
        <v/>
      </c>
    </row>
    <row r="603" spans="1:1" x14ac:dyDescent="0.2">
      <c r="A603" s="5" t="str">
        <f t="shared" si="9"/>
        <v/>
      </c>
    </row>
    <row r="604" spans="1:1" x14ac:dyDescent="0.2">
      <c r="A604" s="5" t="str">
        <f t="shared" si="9"/>
        <v/>
      </c>
    </row>
    <row r="605" spans="1:1" x14ac:dyDescent="0.2">
      <c r="A605" s="5" t="str">
        <f t="shared" si="9"/>
        <v/>
      </c>
    </row>
    <row r="606" spans="1:1" x14ac:dyDescent="0.2">
      <c r="A606" s="5" t="str">
        <f t="shared" si="9"/>
        <v/>
      </c>
    </row>
    <row r="607" spans="1:1" x14ac:dyDescent="0.2">
      <c r="A607" s="5" t="str">
        <f t="shared" si="9"/>
        <v/>
      </c>
    </row>
    <row r="608" spans="1:1" x14ac:dyDescent="0.2">
      <c r="A608" s="5" t="str">
        <f t="shared" si="9"/>
        <v/>
      </c>
    </row>
    <row r="609" spans="1:1" x14ac:dyDescent="0.2">
      <c r="A609" s="5" t="str">
        <f t="shared" si="9"/>
        <v/>
      </c>
    </row>
    <row r="610" spans="1:1" x14ac:dyDescent="0.2">
      <c r="A610" s="5" t="str">
        <f t="shared" si="9"/>
        <v/>
      </c>
    </row>
    <row r="611" spans="1:1" x14ac:dyDescent="0.2">
      <c r="A611" s="5" t="str">
        <f t="shared" si="9"/>
        <v/>
      </c>
    </row>
    <row r="612" spans="1:1" x14ac:dyDescent="0.2">
      <c r="A612" s="5" t="str">
        <f t="shared" si="9"/>
        <v/>
      </c>
    </row>
    <row r="613" spans="1:1" x14ac:dyDescent="0.2">
      <c r="A613" s="5" t="str">
        <f t="shared" si="9"/>
        <v/>
      </c>
    </row>
    <row r="614" spans="1:1" x14ac:dyDescent="0.2">
      <c r="A614" s="5" t="str">
        <f t="shared" si="9"/>
        <v/>
      </c>
    </row>
    <row r="615" spans="1:1" x14ac:dyDescent="0.2">
      <c r="A615" s="5" t="str">
        <f t="shared" si="9"/>
        <v/>
      </c>
    </row>
    <row r="616" spans="1:1" x14ac:dyDescent="0.2">
      <c r="A616" s="5" t="str">
        <f t="shared" si="9"/>
        <v/>
      </c>
    </row>
    <row r="617" spans="1:1" x14ac:dyDescent="0.2">
      <c r="A617" s="5" t="str">
        <f t="shared" si="9"/>
        <v/>
      </c>
    </row>
    <row r="618" spans="1:1" x14ac:dyDescent="0.2">
      <c r="A618" s="5" t="str">
        <f t="shared" si="9"/>
        <v/>
      </c>
    </row>
    <row r="619" spans="1:1" x14ac:dyDescent="0.2">
      <c r="A619" s="5" t="str">
        <f t="shared" si="9"/>
        <v/>
      </c>
    </row>
    <row r="620" spans="1:1" x14ac:dyDescent="0.2">
      <c r="A620" s="5" t="str">
        <f t="shared" si="9"/>
        <v/>
      </c>
    </row>
    <row r="621" spans="1:1" x14ac:dyDescent="0.2">
      <c r="A621" s="5" t="str">
        <f t="shared" si="9"/>
        <v/>
      </c>
    </row>
    <row r="622" spans="1:1" x14ac:dyDescent="0.2">
      <c r="A622" s="5" t="str">
        <f t="shared" si="9"/>
        <v/>
      </c>
    </row>
    <row r="623" spans="1:1" x14ac:dyDescent="0.2">
      <c r="A623" s="5" t="str">
        <f t="shared" si="9"/>
        <v/>
      </c>
    </row>
    <row r="624" spans="1:1" x14ac:dyDescent="0.2">
      <c r="A624" s="5" t="str">
        <f t="shared" si="9"/>
        <v/>
      </c>
    </row>
    <row r="625" spans="1:1" x14ac:dyDescent="0.2">
      <c r="A625" s="5" t="str">
        <f t="shared" si="9"/>
        <v/>
      </c>
    </row>
    <row r="626" spans="1:1" x14ac:dyDescent="0.2">
      <c r="A626" s="5" t="str">
        <f t="shared" si="9"/>
        <v/>
      </c>
    </row>
    <row r="627" spans="1:1" x14ac:dyDescent="0.2">
      <c r="A627" s="5" t="str">
        <f t="shared" si="9"/>
        <v/>
      </c>
    </row>
    <row r="628" spans="1:1" x14ac:dyDescent="0.2">
      <c r="A628" s="5" t="str">
        <f t="shared" si="9"/>
        <v/>
      </c>
    </row>
    <row r="629" spans="1:1" x14ac:dyDescent="0.2">
      <c r="A629" s="5" t="str">
        <f t="shared" si="9"/>
        <v/>
      </c>
    </row>
    <row r="630" spans="1:1" x14ac:dyDescent="0.2">
      <c r="A630" s="5" t="str">
        <f t="shared" si="9"/>
        <v/>
      </c>
    </row>
    <row r="631" spans="1:1" x14ac:dyDescent="0.2">
      <c r="A631" s="5" t="str">
        <f t="shared" si="9"/>
        <v/>
      </c>
    </row>
    <row r="632" spans="1:1" x14ac:dyDescent="0.2">
      <c r="A632" s="5" t="str">
        <f t="shared" si="9"/>
        <v/>
      </c>
    </row>
    <row r="633" spans="1:1" x14ac:dyDescent="0.2">
      <c r="A633" s="5" t="str">
        <f t="shared" si="9"/>
        <v/>
      </c>
    </row>
    <row r="634" spans="1:1" x14ac:dyDescent="0.2">
      <c r="A634" s="5" t="str">
        <f t="shared" si="9"/>
        <v/>
      </c>
    </row>
    <row r="635" spans="1:1" x14ac:dyDescent="0.2">
      <c r="A635" s="5" t="str">
        <f t="shared" si="9"/>
        <v/>
      </c>
    </row>
    <row r="636" spans="1:1" x14ac:dyDescent="0.2">
      <c r="A636" s="5" t="str">
        <f t="shared" si="9"/>
        <v/>
      </c>
    </row>
    <row r="637" spans="1:1" x14ac:dyDescent="0.2">
      <c r="A637" s="5" t="str">
        <f t="shared" si="9"/>
        <v/>
      </c>
    </row>
    <row r="638" spans="1:1" x14ac:dyDescent="0.2">
      <c r="A638" s="5" t="str">
        <f t="shared" si="9"/>
        <v/>
      </c>
    </row>
    <row r="639" spans="1:1" x14ac:dyDescent="0.2">
      <c r="A639" s="5" t="str">
        <f t="shared" si="9"/>
        <v/>
      </c>
    </row>
    <row r="640" spans="1:1" x14ac:dyDescent="0.2">
      <c r="A640" s="5" t="str">
        <f t="shared" si="9"/>
        <v/>
      </c>
    </row>
    <row r="641" spans="1:1" x14ac:dyDescent="0.2">
      <c r="A641" s="5" t="str">
        <f t="shared" si="9"/>
        <v/>
      </c>
    </row>
    <row r="642" spans="1:1" x14ac:dyDescent="0.2">
      <c r="A642" s="5" t="str">
        <f t="shared" si="9"/>
        <v/>
      </c>
    </row>
    <row r="643" spans="1:1" x14ac:dyDescent="0.2">
      <c r="A643" s="5" t="str">
        <f t="shared" si="9"/>
        <v/>
      </c>
    </row>
    <row r="644" spans="1:1" x14ac:dyDescent="0.2">
      <c r="A644" s="5" t="str">
        <f t="shared" si="9"/>
        <v/>
      </c>
    </row>
    <row r="645" spans="1:1" x14ac:dyDescent="0.2">
      <c r="A645" s="5" t="str">
        <f t="shared" si="9"/>
        <v/>
      </c>
    </row>
    <row r="646" spans="1:1" x14ac:dyDescent="0.2">
      <c r="A646" s="5" t="str">
        <f t="shared" si="9"/>
        <v/>
      </c>
    </row>
    <row r="647" spans="1:1" x14ac:dyDescent="0.2">
      <c r="A647" s="5" t="str">
        <f t="shared" si="9"/>
        <v/>
      </c>
    </row>
    <row r="648" spans="1:1" x14ac:dyDescent="0.2">
      <c r="A648" s="5" t="str">
        <f t="shared" si="9"/>
        <v/>
      </c>
    </row>
    <row r="649" spans="1:1" x14ac:dyDescent="0.2">
      <c r="A649" s="5" t="str">
        <f t="shared" si="9"/>
        <v/>
      </c>
    </row>
    <row r="650" spans="1:1" x14ac:dyDescent="0.2">
      <c r="A650" s="5" t="str">
        <f t="shared" si="9"/>
        <v/>
      </c>
    </row>
    <row r="651" spans="1:1" x14ac:dyDescent="0.2">
      <c r="A651" s="5" t="str">
        <f t="shared" si="9"/>
        <v/>
      </c>
    </row>
    <row r="652" spans="1:1" x14ac:dyDescent="0.2">
      <c r="A652" s="5" t="str">
        <f t="shared" si="9"/>
        <v/>
      </c>
    </row>
    <row r="653" spans="1:1" x14ac:dyDescent="0.2">
      <c r="A653" s="5" t="str">
        <f t="shared" si="9"/>
        <v/>
      </c>
    </row>
    <row r="654" spans="1:1" x14ac:dyDescent="0.2">
      <c r="A654" s="5" t="str">
        <f t="shared" si="9"/>
        <v/>
      </c>
    </row>
    <row r="655" spans="1:1" x14ac:dyDescent="0.2">
      <c r="A655" s="5" t="str">
        <f t="shared" si="9"/>
        <v/>
      </c>
    </row>
    <row r="656" spans="1:1" x14ac:dyDescent="0.2">
      <c r="A656" s="5" t="str">
        <f t="shared" si="9"/>
        <v/>
      </c>
    </row>
    <row r="657" spans="1:1" x14ac:dyDescent="0.2">
      <c r="A657" s="5" t="str">
        <f t="shared" si="9"/>
        <v/>
      </c>
    </row>
    <row r="658" spans="1:1" x14ac:dyDescent="0.2">
      <c r="A658" s="5" t="str">
        <f t="shared" si="9"/>
        <v/>
      </c>
    </row>
    <row r="659" spans="1:1" x14ac:dyDescent="0.2">
      <c r="A659" s="5" t="str">
        <f t="shared" si="9"/>
        <v/>
      </c>
    </row>
    <row r="660" spans="1:1" x14ac:dyDescent="0.2">
      <c r="A660" s="5" t="str">
        <f t="shared" si="9"/>
        <v/>
      </c>
    </row>
    <row r="661" spans="1:1" x14ac:dyDescent="0.2">
      <c r="A661" s="5" t="str">
        <f t="shared" si="9"/>
        <v/>
      </c>
    </row>
    <row r="662" spans="1:1" x14ac:dyDescent="0.2">
      <c r="A662" s="5" t="str">
        <f t="shared" si="9"/>
        <v/>
      </c>
    </row>
    <row r="663" spans="1:1" x14ac:dyDescent="0.2">
      <c r="A663" s="5" t="str">
        <f t="shared" si="9"/>
        <v/>
      </c>
    </row>
    <row r="664" spans="1:1" x14ac:dyDescent="0.2">
      <c r="A664" s="5" t="str">
        <f t="shared" si="9"/>
        <v/>
      </c>
    </row>
    <row r="665" spans="1:1" x14ac:dyDescent="0.2">
      <c r="A665" s="5" t="str">
        <f t="shared" ref="A665:A728" si="10">IF(AND(B664&lt;&gt;"",B665=""),$A$24&amp;"---&gt;","")</f>
        <v/>
      </c>
    </row>
    <row r="666" spans="1:1" x14ac:dyDescent="0.2">
      <c r="A666" s="5" t="str">
        <f t="shared" si="10"/>
        <v/>
      </c>
    </row>
    <row r="667" spans="1:1" x14ac:dyDescent="0.2">
      <c r="A667" s="5" t="str">
        <f t="shared" si="10"/>
        <v/>
      </c>
    </row>
    <row r="668" spans="1:1" x14ac:dyDescent="0.2">
      <c r="A668" s="5" t="str">
        <f t="shared" si="10"/>
        <v/>
      </c>
    </row>
    <row r="669" spans="1:1" x14ac:dyDescent="0.2">
      <c r="A669" s="5" t="str">
        <f t="shared" si="10"/>
        <v/>
      </c>
    </row>
    <row r="670" spans="1:1" x14ac:dyDescent="0.2">
      <c r="A670" s="5" t="str">
        <f t="shared" si="10"/>
        <v/>
      </c>
    </row>
    <row r="671" spans="1:1" x14ac:dyDescent="0.2">
      <c r="A671" s="5" t="str">
        <f t="shared" si="10"/>
        <v/>
      </c>
    </row>
    <row r="672" spans="1:1" x14ac:dyDescent="0.2">
      <c r="A672" s="5" t="str">
        <f t="shared" si="10"/>
        <v/>
      </c>
    </row>
    <row r="673" spans="1:1" x14ac:dyDescent="0.2">
      <c r="A673" s="5" t="str">
        <f t="shared" si="10"/>
        <v/>
      </c>
    </row>
    <row r="674" spans="1:1" x14ac:dyDescent="0.2">
      <c r="A674" s="5" t="str">
        <f t="shared" si="10"/>
        <v/>
      </c>
    </row>
    <row r="675" spans="1:1" x14ac:dyDescent="0.2">
      <c r="A675" s="5" t="str">
        <f t="shared" si="10"/>
        <v/>
      </c>
    </row>
    <row r="676" spans="1:1" x14ac:dyDescent="0.2">
      <c r="A676" s="5" t="str">
        <f t="shared" si="10"/>
        <v/>
      </c>
    </row>
    <row r="677" spans="1:1" x14ac:dyDescent="0.2">
      <c r="A677" s="5" t="str">
        <f t="shared" si="10"/>
        <v/>
      </c>
    </row>
    <row r="678" spans="1:1" x14ac:dyDescent="0.2">
      <c r="A678" s="5" t="str">
        <f t="shared" si="10"/>
        <v/>
      </c>
    </row>
    <row r="679" spans="1:1" x14ac:dyDescent="0.2">
      <c r="A679" s="5" t="str">
        <f t="shared" si="10"/>
        <v/>
      </c>
    </row>
    <row r="680" spans="1:1" x14ac:dyDescent="0.2">
      <c r="A680" s="5" t="str">
        <f t="shared" si="10"/>
        <v/>
      </c>
    </row>
    <row r="681" spans="1:1" x14ac:dyDescent="0.2">
      <c r="A681" s="5" t="str">
        <f t="shared" si="10"/>
        <v/>
      </c>
    </row>
    <row r="682" spans="1:1" x14ac:dyDescent="0.2">
      <c r="A682" s="5" t="str">
        <f t="shared" si="10"/>
        <v/>
      </c>
    </row>
    <row r="683" spans="1:1" x14ac:dyDescent="0.2">
      <c r="A683" s="5" t="str">
        <f t="shared" si="10"/>
        <v/>
      </c>
    </row>
    <row r="684" spans="1:1" x14ac:dyDescent="0.2">
      <c r="A684" s="5" t="str">
        <f t="shared" si="10"/>
        <v/>
      </c>
    </row>
    <row r="685" spans="1:1" x14ac:dyDescent="0.2">
      <c r="A685" s="5" t="str">
        <f t="shared" si="10"/>
        <v/>
      </c>
    </row>
    <row r="686" spans="1:1" x14ac:dyDescent="0.2">
      <c r="A686" s="5" t="str">
        <f t="shared" si="10"/>
        <v/>
      </c>
    </row>
    <row r="687" spans="1:1" x14ac:dyDescent="0.2">
      <c r="A687" s="5" t="str">
        <f t="shared" si="10"/>
        <v/>
      </c>
    </row>
    <row r="688" spans="1:1" x14ac:dyDescent="0.2">
      <c r="A688" s="5" t="str">
        <f t="shared" si="10"/>
        <v/>
      </c>
    </row>
    <row r="689" spans="1:1" x14ac:dyDescent="0.2">
      <c r="A689" s="5" t="str">
        <f t="shared" si="10"/>
        <v/>
      </c>
    </row>
    <row r="690" spans="1:1" x14ac:dyDescent="0.2">
      <c r="A690" s="5" t="str">
        <f t="shared" si="10"/>
        <v/>
      </c>
    </row>
    <row r="691" spans="1:1" x14ac:dyDescent="0.2">
      <c r="A691" s="5" t="str">
        <f t="shared" si="10"/>
        <v/>
      </c>
    </row>
    <row r="692" spans="1:1" x14ac:dyDescent="0.2">
      <c r="A692" s="5" t="str">
        <f t="shared" si="10"/>
        <v/>
      </c>
    </row>
    <row r="693" spans="1:1" x14ac:dyDescent="0.2">
      <c r="A693" s="5" t="str">
        <f t="shared" si="10"/>
        <v/>
      </c>
    </row>
    <row r="694" spans="1:1" x14ac:dyDescent="0.2">
      <c r="A694" s="5" t="str">
        <f t="shared" si="10"/>
        <v/>
      </c>
    </row>
    <row r="695" spans="1:1" x14ac:dyDescent="0.2">
      <c r="A695" s="5" t="str">
        <f t="shared" si="10"/>
        <v/>
      </c>
    </row>
    <row r="696" spans="1:1" x14ac:dyDescent="0.2">
      <c r="A696" s="5" t="str">
        <f t="shared" si="10"/>
        <v/>
      </c>
    </row>
    <row r="697" spans="1:1" x14ac:dyDescent="0.2">
      <c r="A697" s="5" t="str">
        <f t="shared" si="10"/>
        <v/>
      </c>
    </row>
    <row r="698" spans="1:1" x14ac:dyDescent="0.2">
      <c r="A698" s="5" t="str">
        <f t="shared" si="10"/>
        <v/>
      </c>
    </row>
    <row r="699" spans="1:1" x14ac:dyDescent="0.2">
      <c r="A699" s="5" t="str">
        <f t="shared" si="10"/>
        <v/>
      </c>
    </row>
    <row r="700" spans="1:1" x14ac:dyDescent="0.2">
      <c r="A700" s="5" t="str">
        <f t="shared" si="10"/>
        <v/>
      </c>
    </row>
    <row r="701" spans="1:1" x14ac:dyDescent="0.2">
      <c r="A701" s="5" t="str">
        <f t="shared" si="10"/>
        <v/>
      </c>
    </row>
    <row r="702" spans="1:1" x14ac:dyDescent="0.2">
      <c r="A702" s="5" t="str">
        <f t="shared" si="10"/>
        <v/>
      </c>
    </row>
    <row r="703" spans="1:1" x14ac:dyDescent="0.2">
      <c r="A703" s="5" t="str">
        <f t="shared" si="10"/>
        <v/>
      </c>
    </row>
    <row r="704" spans="1:1" x14ac:dyDescent="0.2">
      <c r="A704" s="5" t="str">
        <f t="shared" si="10"/>
        <v/>
      </c>
    </row>
    <row r="705" spans="1:1" x14ac:dyDescent="0.2">
      <c r="A705" s="5" t="str">
        <f t="shared" si="10"/>
        <v/>
      </c>
    </row>
    <row r="706" spans="1:1" x14ac:dyDescent="0.2">
      <c r="A706" s="5" t="str">
        <f t="shared" si="10"/>
        <v/>
      </c>
    </row>
    <row r="707" spans="1:1" x14ac:dyDescent="0.2">
      <c r="A707" s="5" t="str">
        <f t="shared" si="10"/>
        <v/>
      </c>
    </row>
    <row r="708" spans="1:1" x14ac:dyDescent="0.2">
      <c r="A708" s="5" t="str">
        <f t="shared" si="10"/>
        <v/>
      </c>
    </row>
    <row r="709" spans="1:1" x14ac:dyDescent="0.2">
      <c r="A709" s="5" t="str">
        <f t="shared" si="10"/>
        <v/>
      </c>
    </row>
    <row r="710" spans="1:1" x14ac:dyDescent="0.2">
      <c r="A710" s="5" t="str">
        <f t="shared" si="10"/>
        <v/>
      </c>
    </row>
    <row r="711" spans="1:1" x14ac:dyDescent="0.2">
      <c r="A711" s="5" t="str">
        <f t="shared" si="10"/>
        <v/>
      </c>
    </row>
    <row r="712" spans="1:1" x14ac:dyDescent="0.2">
      <c r="A712" s="5" t="str">
        <f t="shared" si="10"/>
        <v/>
      </c>
    </row>
    <row r="713" spans="1:1" x14ac:dyDescent="0.2">
      <c r="A713" s="5" t="str">
        <f t="shared" si="10"/>
        <v/>
      </c>
    </row>
    <row r="714" spans="1:1" x14ac:dyDescent="0.2">
      <c r="A714" s="5" t="str">
        <f t="shared" si="10"/>
        <v/>
      </c>
    </row>
    <row r="715" spans="1:1" x14ac:dyDescent="0.2">
      <c r="A715" s="5" t="str">
        <f t="shared" si="10"/>
        <v/>
      </c>
    </row>
    <row r="716" spans="1:1" x14ac:dyDescent="0.2">
      <c r="A716" s="5" t="str">
        <f t="shared" si="10"/>
        <v/>
      </c>
    </row>
    <row r="717" spans="1:1" x14ac:dyDescent="0.2">
      <c r="A717" s="5" t="str">
        <f t="shared" si="10"/>
        <v/>
      </c>
    </row>
    <row r="718" spans="1:1" x14ac:dyDescent="0.2">
      <c r="A718" s="5" t="str">
        <f t="shared" si="10"/>
        <v/>
      </c>
    </row>
    <row r="719" spans="1:1" x14ac:dyDescent="0.2">
      <c r="A719" s="5" t="str">
        <f t="shared" si="10"/>
        <v/>
      </c>
    </row>
    <row r="720" spans="1:1" x14ac:dyDescent="0.2">
      <c r="A720" s="5" t="str">
        <f t="shared" si="10"/>
        <v/>
      </c>
    </row>
    <row r="721" spans="1:1" x14ac:dyDescent="0.2">
      <c r="A721" s="5" t="str">
        <f t="shared" si="10"/>
        <v/>
      </c>
    </row>
    <row r="722" spans="1:1" x14ac:dyDescent="0.2">
      <c r="A722" s="5" t="str">
        <f t="shared" si="10"/>
        <v/>
      </c>
    </row>
    <row r="723" spans="1:1" x14ac:dyDescent="0.2">
      <c r="A723" s="5" t="str">
        <f t="shared" si="10"/>
        <v/>
      </c>
    </row>
    <row r="724" spans="1:1" x14ac:dyDescent="0.2">
      <c r="A724" s="5" t="str">
        <f t="shared" si="10"/>
        <v/>
      </c>
    </row>
    <row r="725" spans="1:1" x14ac:dyDescent="0.2">
      <c r="A725" s="5" t="str">
        <f t="shared" si="10"/>
        <v/>
      </c>
    </row>
    <row r="726" spans="1:1" x14ac:dyDescent="0.2">
      <c r="A726" s="5" t="str">
        <f t="shared" si="10"/>
        <v/>
      </c>
    </row>
    <row r="727" spans="1:1" x14ac:dyDescent="0.2">
      <c r="A727" s="5" t="str">
        <f t="shared" si="10"/>
        <v/>
      </c>
    </row>
    <row r="728" spans="1:1" x14ac:dyDescent="0.2">
      <c r="A728" s="5" t="str">
        <f t="shared" si="10"/>
        <v/>
      </c>
    </row>
    <row r="729" spans="1:1" x14ac:dyDescent="0.2">
      <c r="A729" s="5" t="str">
        <f t="shared" ref="A729:A792" si="11">IF(AND(B728&lt;&gt;"",B729=""),$A$24&amp;"---&gt;","")</f>
        <v/>
      </c>
    </row>
    <row r="730" spans="1:1" x14ac:dyDescent="0.2">
      <c r="A730" s="5" t="str">
        <f t="shared" si="11"/>
        <v/>
      </c>
    </row>
    <row r="731" spans="1:1" x14ac:dyDescent="0.2">
      <c r="A731" s="5" t="str">
        <f t="shared" si="11"/>
        <v/>
      </c>
    </row>
    <row r="732" spans="1:1" x14ac:dyDescent="0.2">
      <c r="A732" s="5" t="str">
        <f t="shared" si="11"/>
        <v/>
      </c>
    </row>
    <row r="733" spans="1:1" x14ac:dyDescent="0.2">
      <c r="A733" s="5" t="str">
        <f t="shared" si="11"/>
        <v/>
      </c>
    </row>
    <row r="734" spans="1:1" x14ac:dyDescent="0.2">
      <c r="A734" s="5" t="str">
        <f t="shared" si="11"/>
        <v/>
      </c>
    </row>
    <row r="735" spans="1:1" x14ac:dyDescent="0.2">
      <c r="A735" s="5" t="str">
        <f t="shared" si="11"/>
        <v/>
      </c>
    </row>
    <row r="736" spans="1:1" x14ac:dyDescent="0.2">
      <c r="A736" s="5" t="str">
        <f t="shared" si="11"/>
        <v/>
      </c>
    </row>
    <row r="737" spans="1:1" x14ac:dyDescent="0.2">
      <c r="A737" s="5" t="str">
        <f t="shared" si="11"/>
        <v/>
      </c>
    </row>
    <row r="738" spans="1:1" x14ac:dyDescent="0.2">
      <c r="A738" s="5" t="str">
        <f t="shared" si="11"/>
        <v/>
      </c>
    </row>
    <row r="739" spans="1:1" x14ac:dyDescent="0.2">
      <c r="A739" s="5" t="str">
        <f t="shared" si="11"/>
        <v/>
      </c>
    </row>
    <row r="740" spans="1:1" x14ac:dyDescent="0.2">
      <c r="A740" s="5" t="str">
        <f t="shared" si="11"/>
        <v/>
      </c>
    </row>
    <row r="741" spans="1:1" x14ac:dyDescent="0.2">
      <c r="A741" s="5" t="str">
        <f t="shared" si="11"/>
        <v/>
      </c>
    </row>
    <row r="742" spans="1:1" x14ac:dyDescent="0.2">
      <c r="A742" s="5" t="str">
        <f t="shared" si="11"/>
        <v/>
      </c>
    </row>
    <row r="743" spans="1:1" x14ac:dyDescent="0.2">
      <c r="A743" s="5" t="str">
        <f t="shared" si="11"/>
        <v/>
      </c>
    </row>
    <row r="744" spans="1:1" x14ac:dyDescent="0.2">
      <c r="A744" s="5" t="str">
        <f t="shared" si="11"/>
        <v/>
      </c>
    </row>
    <row r="745" spans="1:1" x14ac:dyDescent="0.2">
      <c r="A745" s="5" t="str">
        <f t="shared" si="11"/>
        <v/>
      </c>
    </row>
    <row r="746" spans="1:1" x14ac:dyDescent="0.2">
      <c r="A746" s="5" t="str">
        <f t="shared" si="11"/>
        <v/>
      </c>
    </row>
    <row r="747" spans="1:1" x14ac:dyDescent="0.2">
      <c r="A747" s="5" t="str">
        <f t="shared" si="11"/>
        <v/>
      </c>
    </row>
    <row r="748" spans="1:1" x14ac:dyDescent="0.2">
      <c r="A748" s="5" t="str">
        <f t="shared" si="11"/>
        <v/>
      </c>
    </row>
    <row r="749" spans="1:1" x14ac:dyDescent="0.2">
      <c r="A749" s="5" t="str">
        <f t="shared" si="11"/>
        <v/>
      </c>
    </row>
    <row r="750" spans="1:1" x14ac:dyDescent="0.2">
      <c r="A750" s="5" t="str">
        <f t="shared" si="11"/>
        <v/>
      </c>
    </row>
    <row r="751" spans="1:1" x14ac:dyDescent="0.2">
      <c r="A751" s="5" t="str">
        <f t="shared" si="11"/>
        <v/>
      </c>
    </row>
    <row r="752" spans="1:1" x14ac:dyDescent="0.2">
      <c r="A752" s="5" t="str">
        <f t="shared" si="11"/>
        <v/>
      </c>
    </row>
    <row r="753" spans="1:1" x14ac:dyDescent="0.2">
      <c r="A753" s="5" t="str">
        <f t="shared" si="11"/>
        <v/>
      </c>
    </row>
    <row r="754" spans="1:1" x14ac:dyDescent="0.2">
      <c r="A754" s="5" t="str">
        <f t="shared" si="11"/>
        <v/>
      </c>
    </row>
    <row r="755" spans="1:1" x14ac:dyDescent="0.2">
      <c r="A755" s="5" t="str">
        <f t="shared" si="11"/>
        <v/>
      </c>
    </row>
    <row r="756" spans="1:1" x14ac:dyDescent="0.2">
      <c r="A756" s="5" t="str">
        <f t="shared" si="11"/>
        <v/>
      </c>
    </row>
    <row r="757" spans="1:1" x14ac:dyDescent="0.2">
      <c r="A757" s="5" t="str">
        <f t="shared" si="11"/>
        <v/>
      </c>
    </row>
    <row r="758" spans="1:1" x14ac:dyDescent="0.2">
      <c r="A758" s="5" t="str">
        <f t="shared" si="11"/>
        <v/>
      </c>
    </row>
    <row r="759" spans="1:1" x14ac:dyDescent="0.2">
      <c r="A759" s="5" t="str">
        <f t="shared" si="11"/>
        <v/>
      </c>
    </row>
    <row r="760" spans="1:1" x14ac:dyDescent="0.2">
      <c r="A760" s="5" t="str">
        <f t="shared" si="11"/>
        <v/>
      </c>
    </row>
    <row r="761" spans="1:1" x14ac:dyDescent="0.2">
      <c r="A761" s="5" t="str">
        <f t="shared" si="11"/>
        <v/>
      </c>
    </row>
    <row r="762" spans="1:1" x14ac:dyDescent="0.2">
      <c r="A762" s="5" t="str">
        <f t="shared" si="11"/>
        <v/>
      </c>
    </row>
    <row r="763" spans="1:1" x14ac:dyDescent="0.2">
      <c r="A763" s="5" t="str">
        <f t="shared" si="11"/>
        <v/>
      </c>
    </row>
    <row r="764" spans="1:1" x14ac:dyDescent="0.2">
      <c r="A764" s="5" t="str">
        <f t="shared" si="11"/>
        <v/>
      </c>
    </row>
    <row r="765" spans="1:1" x14ac:dyDescent="0.2">
      <c r="A765" s="5" t="str">
        <f t="shared" si="11"/>
        <v/>
      </c>
    </row>
    <row r="766" spans="1:1" x14ac:dyDescent="0.2">
      <c r="A766" s="5" t="str">
        <f t="shared" si="11"/>
        <v/>
      </c>
    </row>
    <row r="767" spans="1:1" x14ac:dyDescent="0.2">
      <c r="A767" s="5" t="str">
        <f t="shared" si="11"/>
        <v/>
      </c>
    </row>
    <row r="768" spans="1:1" x14ac:dyDescent="0.2">
      <c r="A768" s="5" t="str">
        <f t="shared" si="11"/>
        <v/>
      </c>
    </row>
    <row r="769" spans="1:1" x14ac:dyDescent="0.2">
      <c r="A769" s="5" t="str">
        <f t="shared" si="11"/>
        <v/>
      </c>
    </row>
    <row r="770" spans="1:1" x14ac:dyDescent="0.2">
      <c r="A770" s="5" t="str">
        <f t="shared" si="11"/>
        <v/>
      </c>
    </row>
    <row r="771" spans="1:1" x14ac:dyDescent="0.2">
      <c r="A771" s="5" t="str">
        <f t="shared" si="11"/>
        <v/>
      </c>
    </row>
    <row r="772" spans="1:1" x14ac:dyDescent="0.2">
      <c r="A772" s="5" t="str">
        <f t="shared" si="11"/>
        <v/>
      </c>
    </row>
    <row r="773" spans="1:1" x14ac:dyDescent="0.2">
      <c r="A773" s="5" t="str">
        <f t="shared" si="11"/>
        <v/>
      </c>
    </row>
    <row r="774" spans="1:1" x14ac:dyDescent="0.2">
      <c r="A774" s="5" t="str">
        <f t="shared" si="11"/>
        <v/>
      </c>
    </row>
    <row r="775" spans="1:1" x14ac:dyDescent="0.2">
      <c r="A775" s="5" t="str">
        <f t="shared" si="11"/>
        <v/>
      </c>
    </row>
    <row r="776" spans="1:1" x14ac:dyDescent="0.2">
      <c r="A776" s="5" t="str">
        <f t="shared" si="11"/>
        <v/>
      </c>
    </row>
    <row r="777" spans="1:1" x14ac:dyDescent="0.2">
      <c r="A777" s="5" t="str">
        <f t="shared" si="11"/>
        <v/>
      </c>
    </row>
    <row r="778" spans="1:1" x14ac:dyDescent="0.2">
      <c r="A778" s="5" t="str">
        <f t="shared" si="11"/>
        <v/>
      </c>
    </row>
    <row r="779" spans="1:1" x14ac:dyDescent="0.2">
      <c r="A779" s="5" t="str">
        <f t="shared" si="11"/>
        <v/>
      </c>
    </row>
    <row r="780" spans="1:1" x14ac:dyDescent="0.2">
      <c r="A780" s="5" t="str">
        <f t="shared" si="11"/>
        <v/>
      </c>
    </row>
    <row r="781" spans="1:1" x14ac:dyDescent="0.2">
      <c r="A781" s="5" t="str">
        <f t="shared" si="11"/>
        <v/>
      </c>
    </row>
    <row r="782" spans="1:1" x14ac:dyDescent="0.2">
      <c r="A782" s="5" t="str">
        <f t="shared" si="11"/>
        <v/>
      </c>
    </row>
    <row r="783" spans="1:1" x14ac:dyDescent="0.2">
      <c r="A783" s="5" t="str">
        <f t="shared" si="11"/>
        <v/>
      </c>
    </row>
    <row r="784" spans="1:1" x14ac:dyDescent="0.2">
      <c r="A784" s="5" t="str">
        <f t="shared" si="11"/>
        <v/>
      </c>
    </row>
    <row r="785" spans="1:1" x14ac:dyDescent="0.2">
      <c r="A785" s="5" t="str">
        <f t="shared" si="11"/>
        <v/>
      </c>
    </row>
    <row r="786" spans="1:1" x14ac:dyDescent="0.2">
      <c r="A786" s="5" t="str">
        <f t="shared" si="11"/>
        <v/>
      </c>
    </row>
    <row r="787" spans="1:1" x14ac:dyDescent="0.2">
      <c r="A787" s="5" t="str">
        <f t="shared" si="11"/>
        <v/>
      </c>
    </row>
    <row r="788" spans="1:1" x14ac:dyDescent="0.2">
      <c r="A788" s="5" t="str">
        <f t="shared" si="11"/>
        <v/>
      </c>
    </row>
    <row r="789" spans="1:1" x14ac:dyDescent="0.2">
      <c r="A789" s="5" t="str">
        <f t="shared" si="11"/>
        <v/>
      </c>
    </row>
    <row r="790" spans="1:1" x14ac:dyDescent="0.2">
      <c r="A790" s="5" t="str">
        <f t="shared" si="11"/>
        <v/>
      </c>
    </row>
    <row r="791" spans="1:1" x14ac:dyDescent="0.2">
      <c r="A791" s="5" t="str">
        <f t="shared" si="11"/>
        <v/>
      </c>
    </row>
    <row r="792" spans="1:1" x14ac:dyDescent="0.2">
      <c r="A792" s="5" t="str">
        <f t="shared" si="11"/>
        <v/>
      </c>
    </row>
    <row r="793" spans="1:1" x14ac:dyDescent="0.2">
      <c r="A793" s="5" t="str">
        <f t="shared" ref="A793:A856" si="12">IF(AND(B792&lt;&gt;"",B793=""),$A$24&amp;"---&gt;","")</f>
        <v/>
      </c>
    </row>
    <row r="794" spans="1:1" x14ac:dyDescent="0.2">
      <c r="A794" s="5" t="str">
        <f t="shared" si="12"/>
        <v/>
      </c>
    </row>
    <row r="795" spans="1:1" x14ac:dyDescent="0.2">
      <c r="A795" s="5" t="str">
        <f t="shared" si="12"/>
        <v/>
      </c>
    </row>
    <row r="796" spans="1:1" x14ac:dyDescent="0.2">
      <c r="A796" s="5" t="str">
        <f t="shared" si="12"/>
        <v/>
      </c>
    </row>
    <row r="797" spans="1:1" x14ac:dyDescent="0.2">
      <c r="A797" s="5" t="str">
        <f t="shared" si="12"/>
        <v/>
      </c>
    </row>
    <row r="798" spans="1:1" x14ac:dyDescent="0.2">
      <c r="A798" s="5" t="str">
        <f t="shared" si="12"/>
        <v/>
      </c>
    </row>
    <row r="799" spans="1:1" x14ac:dyDescent="0.2">
      <c r="A799" s="5" t="str">
        <f t="shared" si="12"/>
        <v/>
      </c>
    </row>
    <row r="800" spans="1:1" x14ac:dyDescent="0.2">
      <c r="A800" s="5" t="str">
        <f t="shared" si="12"/>
        <v/>
      </c>
    </row>
    <row r="801" spans="1:1" x14ac:dyDescent="0.2">
      <c r="A801" s="5" t="str">
        <f t="shared" si="12"/>
        <v/>
      </c>
    </row>
    <row r="802" spans="1:1" x14ac:dyDescent="0.2">
      <c r="A802" s="5" t="str">
        <f t="shared" si="12"/>
        <v/>
      </c>
    </row>
    <row r="803" spans="1:1" x14ac:dyDescent="0.2">
      <c r="A803" s="5" t="str">
        <f t="shared" si="12"/>
        <v/>
      </c>
    </row>
    <row r="804" spans="1:1" x14ac:dyDescent="0.2">
      <c r="A804" s="5" t="str">
        <f t="shared" si="12"/>
        <v/>
      </c>
    </row>
    <row r="805" spans="1:1" x14ac:dyDescent="0.2">
      <c r="A805" s="5" t="str">
        <f t="shared" si="12"/>
        <v/>
      </c>
    </row>
    <row r="806" spans="1:1" x14ac:dyDescent="0.2">
      <c r="A806" s="5" t="str">
        <f t="shared" si="12"/>
        <v/>
      </c>
    </row>
    <row r="807" spans="1:1" x14ac:dyDescent="0.2">
      <c r="A807" s="5" t="str">
        <f t="shared" si="12"/>
        <v/>
      </c>
    </row>
    <row r="808" spans="1:1" x14ac:dyDescent="0.2">
      <c r="A808" s="5" t="str">
        <f t="shared" si="12"/>
        <v/>
      </c>
    </row>
    <row r="809" spans="1:1" x14ac:dyDescent="0.2">
      <c r="A809" s="5" t="str">
        <f t="shared" si="12"/>
        <v/>
      </c>
    </row>
    <row r="810" spans="1:1" x14ac:dyDescent="0.2">
      <c r="A810" s="5" t="str">
        <f t="shared" si="12"/>
        <v/>
      </c>
    </row>
    <row r="811" spans="1:1" x14ac:dyDescent="0.2">
      <c r="A811" s="5" t="str">
        <f t="shared" si="12"/>
        <v/>
      </c>
    </row>
    <row r="812" spans="1:1" x14ac:dyDescent="0.2">
      <c r="A812" s="5" t="str">
        <f t="shared" si="12"/>
        <v/>
      </c>
    </row>
    <row r="813" spans="1:1" x14ac:dyDescent="0.2">
      <c r="A813" s="5" t="str">
        <f t="shared" si="12"/>
        <v/>
      </c>
    </row>
    <row r="814" spans="1:1" x14ac:dyDescent="0.2">
      <c r="A814" s="5" t="str">
        <f t="shared" si="12"/>
        <v/>
      </c>
    </row>
    <row r="815" spans="1:1" x14ac:dyDescent="0.2">
      <c r="A815" s="5" t="str">
        <f t="shared" si="12"/>
        <v/>
      </c>
    </row>
    <row r="816" spans="1:1" x14ac:dyDescent="0.2">
      <c r="A816" s="5" t="str">
        <f t="shared" si="12"/>
        <v/>
      </c>
    </row>
    <row r="817" spans="1:1" x14ac:dyDescent="0.2">
      <c r="A817" s="5" t="str">
        <f t="shared" si="12"/>
        <v/>
      </c>
    </row>
    <row r="818" spans="1:1" x14ac:dyDescent="0.2">
      <c r="A818" s="5" t="str">
        <f t="shared" si="12"/>
        <v/>
      </c>
    </row>
    <row r="819" spans="1:1" x14ac:dyDescent="0.2">
      <c r="A819" s="5" t="str">
        <f t="shared" si="12"/>
        <v/>
      </c>
    </row>
    <row r="820" spans="1:1" x14ac:dyDescent="0.2">
      <c r="A820" s="5" t="str">
        <f t="shared" si="12"/>
        <v/>
      </c>
    </row>
    <row r="821" spans="1:1" x14ac:dyDescent="0.2">
      <c r="A821" s="5" t="str">
        <f t="shared" si="12"/>
        <v/>
      </c>
    </row>
    <row r="822" spans="1:1" x14ac:dyDescent="0.2">
      <c r="A822" s="5" t="str">
        <f t="shared" si="12"/>
        <v/>
      </c>
    </row>
    <row r="823" spans="1:1" x14ac:dyDescent="0.2">
      <c r="A823" s="5" t="str">
        <f t="shared" si="12"/>
        <v/>
      </c>
    </row>
    <row r="824" spans="1:1" x14ac:dyDescent="0.2">
      <c r="A824" s="5" t="str">
        <f t="shared" si="12"/>
        <v/>
      </c>
    </row>
    <row r="825" spans="1:1" x14ac:dyDescent="0.2">
      <c r="A825" s="5" t="str">
        <f t="shared" si="12"/>
        <v/>
      </c>
    </row>
    <row r="826" spans="1:1" x14ac:dyDescent="0.2">
      <c r="A826" s="5" t="str">
        <f t="shared" si="12"/>
        <v/>
      </c>
    </row>
    <row r="827" spans="1:1" x14ac:dyDescent="0.2">
      <c r="A827" s="5" t="str">
        <f t="shared" si="12"/>
        <v/>
      </c>
    </row>
    <row r="828" spans="1:1" x14ac:dyDescent="0.2">
      <c r="A828" s="5" t="str">
        <f t="shared" si="12"/>
        <v/>
      </c>
    </row>
    <row r="829" spans="1:1" x14ac:dyDescent="0.2">
      <c r="A829" s="5" t="str">
        <f t="shared" si="12"/>
        <v/>
      </c>
    </row>
    <row r="830" spans="1:1" x14ac:dyDescent="0.2">
      <c r="A830" s="5" t="str">
        <f t="shared" si="12"/>
        <v/>
      </c>
    </row>
    <row r="831" spans="1:1" x14ac:dyDescent="0.2">
      <c r="A831" s="5" t="str">
        <f t="shared" si="12"/>
        <v/>
      </c>
    </row>
    <row r="832" spans="1:1" x14ac:dyDescent="0.2">
      <c r="A832" s="5" t="str">
        <f t="shared" si="12"/>
        <v/>
      </c>
    </row>
    <row r="833" spans="1:1" x14ac:dyDescent="0.2">
      <c r="A833" s="5" t="str">
        <f t="shared" si="12"/>
        <v/>
      </c>
    </row>
    <row r="834" spans="1:1" x14ac:dyDescent="0.2">
      <c r="A834" s="5" t="str">
        <f t="shared" si="12"/>
        <v/>
      </c>
    </row>
    <row r="835" spans="1:1" x14ac:dyDescent="0.2">
      <c r="A835" s="5" t="str">
        <f t="shared" si="12"/>
        <v/>
      </c>
    </row>
    <row r="836" spans="1:1" x14ac:dyDescent="0.2">
      <c r="A836" s="5" t="str">
        <f t="shared" si="12"/>
        <v/>
      </c>
    </row>
    <row r="837" spans="1:1" x14ac:dyDescent="0.2">
      <c r="A837" s="5" t="str">
        <f t="shared" si="12"/>
        <v/>
      </c>
    </row>
    <row r="838" spans="1:1" x14ac:dyDescent="0.2">
      <c r="A838" s="5" t="str">
        <f t="shared" si="12"/>
        <v/>
      </c>
    </row>
    <row r="839" spans="1:1" x14ac:dyDescent="0.2">
      <c r="A839" s="5" t="str">
        <f t="shared" si="12"/>
        <v/>
      </c>
    </row>
    <row r="840" spans="1:1" x14ac:dyDescent="0.2">
      <c r="A840" s="5" t="str">
        <f t="shared" si="12"/>
        <v/>
      </c>
    </row>
    <row r="841" spans="1:1" x14ac:dyDescent="0.2">
      <c r="A841" s="5" t="str">
        <f t="shared" si="12"/>
        <v/>
      </c>
    </row>
    <row r="842" spans="1:1" x14ac:dyDescent="0.2">
      <c r="A842" s="5" t="str">
        <f t="shared" si="12"/>
        <v/>
      </c>
    </row>
    <row r="843" spans="1:1" x14ac:dyDescent="0.2">
      <c r="A843" s="5" t="str">
        <f t="shared" si="12"/>
        <v/>
      </c>
    </row>
    <row r="844" spans="1:1" x14ac:dyDescent="0.2">
      <c r="A844" s="5" t="str">
        <f t="shared" si="12"/>
        <v/>
      </c>
    </row>
    <row r="845" spans="1:1" x14ac:dyDescent="0.2">
      <c r="A845" s="5" t="str">
        <f t="shared" si="12"/>
        <v/>
      </c>
    </row>
    <row r="846" spans="1:1" x14ac:dyDescent="0.2">
      <c r="A846" s="5" t="str">
        <f t="shared" si="12"/>
        <v/>
      </c>
    </row>
    <row r="847" spans="1:1" x14ac:dyDescent="0.2">
      <c r="A847" s="5" t="str">
        <f t="shared" si="12"/>
        <v/>
      </c>
    </row>
    <row r="848" spans="1:1" x14ac:dyDescent="0.2">
      <c r="A848" s="5" t="str">
        <f t="shared" si="12"/>
        <v/>
      </c>
    </row>
    <row r="849" spans="1:1" x14ac:dyDescent="0.2">
      <c r="A849" s="5" t="str">
        <f t="shared" si="12"/>
        <v/>
      </c>
    </row>
    <row r="850" spans="1:1" x14ac:dyDescent="0.2">
      <c r="A850" s="5" t="str">
        <f t="shared" si="12"/>
        <v/>
      </c>
    </row>
    <row r="851" spans="1:1" x14ac:dyDescent="0.2">
      <c r="A851" s="5" t="str">
        <f t="shared" si="12"/>
        <v/>
      </c>
    </row>
    <row r="852" spans="1:1" x14ac:dyDescent="0.2">
      <c r="A852" s="5" t="str">
        <f t="shared" si="12"/>
        <v/>
      </c>
    </row>
    <row r="853" spans="1:1" x14ac:dyDescent="0.2">
      <c r="A853" s="5" t="str">
        <f t="shared" si="12"/>
        <v/>
      </c>
    </row>
    <row r="854" spans="1:1" x14ac:dyDescent="0.2">
      <c r="A854" s="5" t="str">
        <f t="shared" si="12"/>
        <v/>
      </c>
    </row>
    <row r="855" spans="1:1" x14ac:dyDescent="0.2">
      <c r="A855" s="5" t="str">
        <f t="shared" si="12"/>
        <v/>
      </c>
    </row>
    <row r="856" spans="1:1" x14ac:dyDescent="0.2">
      <c r="A856" s="5" t="str">
        <f t="shared" si="12"/>
        <v/>
      </c>
    </row>
    <row r="857" spans="1:1" x14ac:dyDescent="0.2">
      <c r="A857" s="5" t="str">
        <f t="shared" ref="A857:A920" si="13">IF(AND(B856&lt;&gt;"",B857=""),$A$24&amp;"---&gt;","")</f>
        <v/>
      </c>
    </row>
    <row r="858" spans="1:1" x14ac:dyDescent="0.2">
      <c r="A858" s="5" t="str">
        <f t="shared" si="13"/>
        <v/>
      </c>
    </row>
    <row r="859" spans="1:1" x14ac:dyDescent="0.2">
      <c r="A859" s="5" t="str">
        <f t="shared" si="13"/>
        <v/>
      </c>
    </row>
    <row r="860" spans="1:1" x14ac:dyDescent="0.2">
      <c r="A860" s="5" t="str">
        <f t="shared" si="13"/>
        <v/>
      </c>
    </row>
    <row r="861" spans="1:1" x14ac:dyDescent="0.2">
      <c r="A861" s="5" t="str">
        <f t="shared" si="13"/>
        <v/>
      </c>
    </row>
    <row r="862" spans="1:1" x14ac:dyDescent="0.2">
      <c r="A862" s="5" t="str">
        <f t="shared" si="13"/>
        <v/>
      </c>
    </row>
    <row r="863" spans="1:1" x14ac:dyDescent="0.2">
      <c r="A863" s="5" t="str">
        <f t="shared" si="13"/>
        <v/>
      </c>
    </row>
    <row r="864" spans="1:1" x14ac:dyDescent="0.2">
      <c r="A864" s="5" t="str">
        <f t="shared" si="13"/>
        <v/>
      </c>
    </row>
    <row r="865" spans="1:1" x14ac:dyDescent="0.2">
      <c r="A865" s="5" t="str">
        <f t="shared" si="13"/>
        <v/>
      </c>
    </row>
    <row r="866" spans="1:1" x14ac:dyDescent="0.2">
      <c r="A866" s="5" t="str">
        <f t="shared" si="13"/>
        <v/>
      </c>
    </row>
    <row r="867" spans="1:1" x14ac:dyDescent="0.2">
      <c r="A867" s="5" t="str">
        <f t="shared" si="13"/>
        <v/>
      </c>
    </row>
    <row r="868" spans="1:1" x14ac:dyDescent="0.2">
      <c r="A868" s="5" t="str">
        <f t="shared" si="13"/>
        <v/>
      </c>
    </row>
    <row r="869" spans="1:1" x14ac:dyDescent="0.2">
      <c r="A869" s="5" t="str">
        <f t="shared" si="13"/>
        <v/>
      </c>
    </row>
    <row r="870" spans="1:1" x14ac:dyDescent="0.2">
      <c r="A870" s="5" t="str">
        <f t="shared" si="13"/>
        <v/>
      </c>
    </row>
    <row r="871" spans="1:1" x14ac:dyDescent="0.2">
      <c r="A871" s="5" t="str">
        <f t="shared" si="13"/>
        <v/>
      </c>
    </row>
    <row r="872" spans="1:1" x14ac:dyDescent="0.2">
      <c r="A872" s="5" t="str">
        <f t="shared" si="13"/>
        <v/>
      </c>
    </row>
    <row r="873" spans="1:1" x14ac:dyDescent="0.2">
      <c r="A873" s="5" t="str">
        <f t="shared" si="13"/>
        <v/>
      </c>
    </row>
    <row r="874" spans="1:1" x14ac:dyDescent="0.2">
      <c r="A874" s="5" t="str">
        <f t="shared" si="13"/>
        <v/>
      </c>
    </row>
    <row r="875" spans="1:1" x14ac:dyDescent="0.2">
      <c r="A875" s="5" t="str">
        <f t="shared" si="13"/>
        <v/>
      </c>
    </row>
    <row r="876" spans="1:1" x14ac:dyDescent="0.2">
      <c r="A876" s="5" t="str">
        <f t="shared" si="13"/>
        <v/>
      </c>
    </row>
    <row r="877" spans="1:1" x14ac:dyDescent="0.2">
      <c r="A877" s="5" t="str">
        <f t="shared" si="13"/>
        <v/>
      </c>
    </row>
    <row r="878" spans="1:1" x14ac:dyDescent="0.2">
      <c r="A878" s="5" t="str">
        <f t="shared" si="13"/>
        <v/>
      </c>
    </row>
    <row r="879" spans="1:1" x14ac:dyDescent="0.2">
      <c r="A879" s="5" t="str">
        <f t="shared" si="13"/>
        <v/>
      </c>
    </row>
    <row r="880" spans="1:1" x14ac:dyDescent="0.2">
      <c r="A880" s="5" t="str">
        <f t="shared" si="13"/>
        <v/>
      </c>
    </row>
    <row r="881" spans="1:1" x14ac:dyDescent="0.2">
      <c r="A881" s="5" t="str">
        <f t="shared" si="13"/>
        <v/>
      </c>
    </row>
    <row r="882" spans="1:1" x14ac:dyDescent="0.2">
      <c r="A882" s="5" t="str">
        <f t="shared" si="13"/>
        <v/>
      </c>
    </row>
    <row r="883" spans="1:1" x14ac:dyDescent="0.2">
      <c r="A883" s="5" t="str">
        <f t="shared" si="13"/>
        <v/>
      </c>
    </row>
    <row r="884" spans="1:1" x14ac:dyDescent="0.2">
      <c r="A884" s="5" t="str">
        <f t="shared" si="13"/>
        <v/>
      </c>
    </row>
    <row r="885" spans="1:1" x14ac:dyDescent="0.2">
      <c r="A885" s="5" t="str">
        <f t="shared" si="13"/>
        <v/>
      </c>
    </row>
    <row r="886" spans="1:1" x14ac:dyDescent="0.2">
      <c r="A886" s="5" t="str">
        <f t="shared" si="13"/>
        <v/>
      </c>
    </row>
    <row r="887" spans="1:1" x14ac:dyDescent="0.2">
      <c r="A887" s="5" t="str">
        <f t="shared" si="13"/>
        <v/>
      </c>
    </row>
    <row r="888" spans="1:1" x14ac:dyDescent="0.2">
      <c r="A888" s="5" t="str">
        <f t="shared" si="13"/>
        <v/>
      </c>
    </row>
    <row r="889" spans="1:1" x14ac:dyDescent="0.2">
      <c r="A889" s="5" t="str">
        <f t="shared" si="13"/>
        <v/>
      </c>
    </row>
    <row r="890" spans="1:1" x14ac:dyDescent="0.2">
      <c r="A890" s="5" t="str">
        <f t="shared" si="13"/>
        <v/>
      </c>
    </row>
    <row r="891" spans="1:1" x14ac:dyDescent="0.2">
      <c r="A891" s="5" t="str">
        <f t="shared" si="13"/>
        <v/>
      </c>
    </row>
    <row r="892" spans="1:1" x14ac:dyDescent="0.2">
      <c r="A892" s="5" t="str">
        <f t="shared" si="13"/>
        <v/>
      </c>
    </row>
    <row r="893" spans="1:1" x14ac:dyDescent="0.2">
      <c r="A893" s="5" t="str">
        <f t="shared" si="13"/>
        <v/>
      </c>
    </row>
    <row r="894" spans="1:1" x14ac:dyDescent="0.2">
      <c r="A894" s="5" t="str">
        <f t="shared" si="13"/>
        <v/>
      </c>
    </row>
    <row r="895" spans="1:1" x14ac:dyDescent="0.2">
      <c r="A895" s="5" t="str">
        <f t="shared" si="13"/>
        <v/>
      </c>
    </row>
    <row r="896" spans="1:1" x14ac:dyDescent="0.2">
      <c r="A896" s="5" t="str">
        <f t="shared" si="13"/>
        <v/>
      </c>
    </row>
    <row r="897" spans="1:1" x14ac:dyDescent="0.2">
      <c r="A897" s="5" t="str">
        <f t="shared" si="13"/>
        <v/>
      </c>
    </row>
    <row r="898" spans="1:1" x14ac:dyDescent="0.2">
      <c r="A898" s="5" t="str">
        <f t="shared" si="13"/>
        <v/>
      </c>
    </row>
    <row r="899" spans="1:1" x14ac:dyDescent="0.2">
      <c r="A899" s="5" t="str">
        <f t="shared" si="13"/>
        <v/>
      </c>
    </row>
    <row r="900" spans="1:1" x14ac:dyDescent="0.2">
      <c r="A900" s="5" t="str">
        <f t="shared" si="13"/>
        <v/>
      </c>
    </row>
    <row r="901" spans="1:1" x14ac:dyDescent="0.2">
      <c r="A901" s="5" t="str">
        <f t="shared" si="13"/>
        <v/>
      </c>
    </row>
    <row r="902" spans="1:1" x14ac:dyDescent="0.2">
      <c r="A902" s="5" t="str">
        <f t="shared" si="13"/>
        <v/>
      </c>
    </row>
    <row r="903" spans="1:1" x14ac:dyDescent="0.2">
      <c r="A903" s="5" t="str">
        <f t="shared" si="13"/>
        <v/>
      </c>
    </row>
    <row r="904" spans="1:1" x14ac:dyDescent="0.2">
      <c r="A904" s="5" t="str">
        <f t="shared" si="13"/>
        <v/>
      </c>
    </row>
    <row r="905" spans="1:1" x14ac:dyDescent="0.2">
      <c r="A905" s="5" t="str">
        <f t="shared" si="13"/>
        <v/>
      </c>
    </row>
    <row r="906" spans="1:1" x14ac:dyDescent="0.2">
      <c r="A906" s="5" t="str">
        <f t="shared" si="13"/>
        <v/>
      </c>
    </row>
    <row r="907" spans="1:1" x14ac:dyDescent="0.2">
      <c r="A907" s="5" t="str">
        <f t="shared" si="13"/>
        <v/>
      </c>
    </row>
    <row r="908" spans="1:1" x14ac:dyDescent="0.2">
      <c r="A908" s="5" t="str">
        <f t="shared" si="13"/>
        <v/>
      </c>
    </row>
    <row r="909" spans="1:1" x14ac:dyDescent="0.2">
      <c r="A909" s="5" t="str">
        <f t="shared" si="13"/>
        <v/>
      </c>
    </row>
    <row r="910" spans="1:1" x14ac:dyDescent="0.2">
      <c r="A910" s="5" t="str">
        <f t="shared" si="13"/>
        <v/>
      </c>
    </row>
    <row r="911" spans="1:1" x14ac:dyDescent="0.2">
      <c r="A911" s="5" t="str">
        <f t="shared" si="13"/>
        <v/>
      </c>
    </row>
    <row r="912" spans="1:1" x14ac:dyDescent="0.2">
      <c r="A912" s="5" t="str">
        <f t="shared" si="13"/>
        <v/>
      </c>
    </row>
    <row r="913" spans="1:1" x14ac:dyDescent="0.2">
      <c r="A913" s="5" t="str">
        <f t="shared" si="13"/>
        <v/>
      </c>
    </row>
    <row r="914" spans="1:1" x14ac:dyDescent="0.2">
      <c r="A914" s="5" t="str">
        <f t="shared" si="13"/>
        <v/>
      </c>
    </row>
    <row r="915" spans="1:1" x14ac:dyDescent="0.2">
      <c r="A915" s="5" t="str">
        <f t="shared" si="13"/>
        <v/>
      </c>
    </row>
    <row r="916" spans="1:1" x14ac:dyDescent="0.2">
      <c r="A916" s="5" t="str">
        <f t="shared" si="13"/>
        <v/>
      </c>
    </row>
    <row r="917" spans="1:1" x14ac:dyDescent="0.2">
      <c r="A917" s="5" t="str">
        <f t="shared" si="13"/>
        <v/>
      </c>
    </row>
    <row r="918" spans="1:1" x14ac:dyDescent="0.2">
      <c r="A918" s="5" t="str">
        <f t="shared" si="13"/>
        <v/>
      </c>
    </row>
    <row r="919" spans="1:1" x14ac:dyDescent="0.2">
      <c r="A919" s="5" t="str">
        <f t="shared" si="13"/>
        <v/>
      </c>
    </row>
    <row r="920" spans="1:1" x14ac:dyDescent="0.2">
      <c r="A920" s="5" t="str">
        <f t="shared" si="13"/>
        <v/>
      </c>
    </row>
    <row r="921" spans="1:1" x14ac:dyDescent="0.2">
      <c r="A921" s="5" t="str">
        <f t="shared" ref="A921:A984" si="14">IF(AND(B920&lt;&gt;"",B921=""),$A$24&amp;"---&gt;","")</f>
        <v/>
      </c>
    </row>
    <row r="922" spans="1:1" x14ac:dyDescent="0.2">
      <c r="A922" s="5" t="str">
        <f t="shared" si="14"/>
        <v/>
      </c>
    </row>
    <row r="923" spans="1:1" x14ac:dyDescent="0.2">
      <c r="A923" s="5" t="str">
        <f t="shared" si="14"/>
        <v/>
      </c>
    </row>
    <row r="924" spans="1:1" x14ac:dyDescent="0.2">
      <c r="A924" s="5" t="str">
        <f t="shared" si="14"/>
        <v/>
      </c>
    </row>
    <row r="925" spans="1:1" x14ac:dyDescent="0.2">
      <c r="A925" s="5" t="str">
        <f t="shared" si="14"/>
        <v/>
      </c>
    </row>
    <row r="926" spans="1:1" x14ac:dyDescent="0.2">
      <c r="A926" s="5" t="str">
        <f t="shared" si="14"/>
        <v/>
      </c>
    </row>
    <row r="927" spans="1:1" x14ac:dyDescent="0.2">
      <c r="A927" s="5" t="str">
        <f t="shared" si="14"/>
        <v/>
      </c>
    </row>
    <row r="928" spans="1:1" x14ac:dyDescent="0.2">
      <c r="A928" s="5" t="str">
        <f t="shared" si="14"/>
        <v/>
      </c>
    </row>
    <row r="929" spans="1:1" x14ac:dyDescent="0.2">
      <c r="A929" s="5" t="str">
        <f t="shared" si="14"/>
        <v/>
      </c>
    </row>
    <row r="930" spans="1:1" x14ac:dyDescent="0.2">
      <c r="A930" s="5" t="str">
        <f t="shared" si="14"/>
        <v/>
      </c>
    </row>
    <row r="931" spans="1:1" x14ac:dyDescent="0.2">
      <c r="A931" s="5" t="str">
        <f t="shared" si="14"/>
        <v/>
      </c>
    </row>
    <row r="932" spans="1:1" x14ac:dyDescent="0.2">
      <c r="A932" s="5" t="str">
        <f t="shared" si="14"/>
        <v/>
      </c>
    </row>
    <row r="933" spans="1:1" x14ac:dyDescent="0.2">
      <c r="A933" s="5" t="str">
        <f t="shared" si="14"/>
        <v/>
      </c>
    </row>
    <row r="934" spans="1:1" x14ac:dyDescent="0.2">
      <c r="A934" s="5" t="str">
        <f t="shared" si="14"/>
        <v/>
      </c>
    </row>
    <row r="935" spans="1:1" x14ac:dyDescent="0.2">
      <c r="A935" s="5" t="str">
        <f t="shared" si="14"/>
        <v/>
      </c>
    </row>
    <row r="936" spans="1:1" x14ac:dyDescent="0.2">
      <c r="A936" s="5" t="str">
        <f t="shared" si="14"/>
        <v/>
      </c>
    </row>
    <row r="937" spans="1:1" x14ac:dyDescent="0.2">
      <c r="A937" s="5" t="str">
        <f t="shared" si="14"/>
        <v/>
      </c>
    </row>
    <row r="938" spans="1:1" x14ac:dyDescent="0.2">
      <c r="A938" s="5" t="str">
        <f t="shared" si="14"/>
        <v/>
      </c>
    </row>
    <row r="939" spans="1:1" x14ac:dyDescent="0.2">
      <c r="A939" s="5" t="str">
        <f t="shared" si="14"/>
        <v/>
      </c>
    </row>
    <row r="940" spans="1:1" x14ac:dyDescent="0.2">
      <c r="A940" s="5" t="str">
        <f t="shared" si="14"/>
        <v/>
      </c>
    </row>
    <row r="941" spans="1:1" x14ac:dyDescent="0.2">
      <c r="A941" s="5" t="str">
        <f t="shared" si="14"/>
        <v/>
      </c>
    </row>
    <row r="942" spans="1:1" x14ac:dyDescent="0.2">
      <c r="A942" s="5" t="str">
        <f t="shared" si="14"/>
        <v/>
      </c>
    </row>
    <row r="943" spans="1:1" x14ac:dyDescent="0.2">
      <c r="A943" s="5" t="str">
        <f t="shared" si="14"/>
        <v/>
      </c>
    </row>
    <row r="944" spans="1:1" x14ac:dyDescent="0.2">
      <c r="A944" s="5" t="str">
        <f t="shared" si="14"/>
        <v/>
      </c>
    </row>
    <row r="945" spans="1:1" x14ac:dyDescent="0.2">
      <c r="A945" s="5" t="str">
        <f t="shared" si="14"/>
        <v/>
      </c>
    </row>
    <row r="946" spans="1:1" x14ac:dyDescent="0.2">
      <c r="A946" s="5" t="str">
        <f t="shared" si="14"/>
        <v/>
      </c>
    </row>
    <row r="947" spans="1:1" x14ac:dyDescent="0.2">
      <c r="A947" s="5" t="str">
        <f t="shared" si="14"/>
        <v/>
      </c>
    </row>
    <row r="948" spans="1:1" x14ac:dyDescent="0.2">
      <c r="A948" s="5" t="str">
        <f t="shared" si="14"/>
        <v/>
      </c>
    </row>
    <row r="949" spans="1:1" x14ac:dyDescent="0.2">
      <c r="A949" s="5" t="str">
        <f t="shared" si="14"/>
        <v/>
      </c>
    </row>
    <row r="950" spans="1:1" x14ac:dyDescent="0.2">
      <c r="A950" s="5" t="str">
        <f t="shared" si="14"/>
        <v/>
      </c>
    </row>
    <row r="951" spans="1:1" x14ac:dyDescent="0.2">
      <c r="A951" s="5" t="str">
        <f t="shared" si="14"/>
        <v/>
      </c>
    </row>
    <row r="952" spans="1:1" x14ac:dyDescent="0.2">
      <c r="A952" s="5" t="str">
        <f t="shared" si="14"/>
        <v/>
      </c>
    </row>
    <row r="953" spans="1:1" x14ac:dyDescent="0.2">
      <c r="A953" s="5" t="str">
        <f t="shared" si="14"/>
        <v/>
      </c>
    </row>
    <row r="954" spans="1:1" x14ac:dyDescent="0.2">
      <c r="A954" s="5" t="str">
        <f t="shared" si="14"/>
        <v/>
      </c>
    </row>
    <row r="955" spans="1:1" x14ac:dyDescent="0.2">
      <c r="A955" s="5" t="str">
        <f t="shared" si="14"/>
        <v/>
      </c>
    </row>
    <row r="956" spans="1:1" x14ac:dyDescent="0.2">
      <c r="A956" s="5" t="str">
        <f t="shared" si="14"/>
        <v/>
      </c>
    </row>
    <row r="957" spans="1:1" x14ac:dyDescent="0.2">
      <c r="A957" s="5" t="str">
        <f t="shared" si="14"/>
        <v/>
      </c>
    </row>
    <row r="958" spans="1:1" x14ac:dyDescent="0.2">
      <c r="A958" s="5" t="str">
        <f t="shared" si="14"/>
        <v/>
      </c>
    </row>
    <row r="959" spans="1:1" x14ac:dyDescent="0.2">
      <c r="A959" s="5" t="str">
        <f t="shared" si="14"/>
        <v/>
      </c>
    </row>
    <row r="960" spans="1:1" x14ac:dyDescent="0.2">
      <c r="A960" s="5" t="str">
        <f t="shared" si="14"/>
        <v/>
      </c>
    </row>
    <row r="961" spans="1:1" x14ac:dyDescent="0.2">
      <c r="A961" s="5" t="str">
        <f t="shared" si="14"/>
        <v/>
      </c>
    </row>
    <row r="962" spans="1:1" x14ac:dyDescent="0.2">
      <c r="A962" s="5" t="str">
        <f t="shared" si="14"/>
        <v/>
      </c>
    </row>
    <row r="963" spans="1:1" x14ac:dyDescent="0.2">
      <c r="A963" s="5" t="str">
        <f t="shared" si="14"/>
        <v/>
      </c>
    </row>
    <row r="964" spans="1:1" x14ac:dyDescent="0.2">
      <c r="A964" s="5" t="str">
        <f t="shared" si="14"/>
        <v/>
      </c>
    </row>
    <row r="965" spans="1:1" x14ac:dyDescent="0.2">
      <c r="A965" s="5" t="str">
        <f t="shared" si="14"/>
        <v/>
      </c>
    </row>
    <row r="966" spans="1:1" x14ac:dyDescent="0.2">
      <c r="A966" s="5" t="str">
        <f t="shared" si="14"/>
        <v/>
      </c>
    </row>
    <row r="967" spans="1:1" x14ac:dyDescent="0.2">
      <c r="A967" s="5" t="str">
        <f t="shared" si="14"/>
        <v/>
      </c>
    </row>
    <row r="968" spans="1:1" x14ac:dyDescent="0.2">
      <c r="A968" s="5" t="str">
        <f t="shared" si="14"/>
        <v/>
      </c>
    </row>
    <row r="969" spans="1:1" x14ac:dyDescent="0.2">
      <c r="A969" s="5" t="str">
        <f t="shared" si="14"/>
        <v/>
      </c>
    </row>
    <row r="970" spans="1:1" x14ac:dyDescent="0.2">
      <c r="A970" s="5" t="str">
        <f t="shared" si="14"/>
        <v/>
      </c>
    </row>
    <row r="971" spans="1:1" x14ac:dyDescent="0.2">
      <c r="A971" s="5" t="str">
        <f t="shared" si="14"/>
        <v/>
      </c>
    </row>
    <row r="972" spans="1:1" x14ac:dyDescent="0.2">
      <c r="A972" s="5" t="str">
        <f t="shared" si="14"/>
        <v/>
      </c>
    </row>
    <row r="973" spans="1:1" x14ac:dyDescent="0.2">
      <c r="A973" s="5" t="str">
        <f t="shared" si="14"/>
        <v/>
      </c>
    </row>
    <row r="974" spans="1:1" x14ac:dyDescent="0.2">
      <c r="A974" s="5" t="str">
        <f t="shared" si="14"/>
        <v/>
      </c>
    </row>
    <row r="975" spans="1:1" x14ac:dyDescent="0.2">
      <c r="A975" s="5" t="str">
        <f t="shared" si="14"/>
        <v/>
      </c>
    </row>
    <row r="976" spans="1:1" x14ac:dyDescent="0.2">
      <c r="A976" s="5" t="str">
        <f t="shared" si="14"/>
        <v/>
      </c>
    </row>
    <row r="977" spans="1:1" x14ac:dyDescent="0.2">
      <c r="A977" s="5" t="str">
        <f t="shared" si="14"/>
        <v/>
      </c>
    </row>
    <row r="978" spans="1:1" x14ac:dyDescent="0.2">
      <c r="A978" s="5" t="str">
        <f t="shared" si="14"/>
        <v/>
      </c>
    </row>
    <row r="979" spans="1:1" x14ac:dyDescent="0.2">
      <c r="A979" s="5" t="str">
        <f t="shared" si="14"/>
        <v/>
      </c>
    </row>
    <row r="980" spans="1:1" x14ac:dyDescent="0.2">
      <c r="A980" s="5" t="str">
        <f t="shared" si="14"/>
        <v/>
      </c>
    </row>
    <row r="981" spans="1:1" x14ac:dyDescent="0.2">
      <c r="A981" s="5" t="str">
        <f t="shared" si="14"/>
        <v/>
      </c>
    </row>
    <row r="982" spans="1:1" x14ac:dyDescent="0.2">
      <c r="A982" s="5" t="str">
        <f t="shared" si="14"/>
        <v/>
      </c>
    </row>
    <row r="983" spans="1:1" x14ac:dyDescent="0.2">
      <c r="A983" s="5" t="str">
        <f t="shared" si="14"/>
        <v/>
      </c>
    </row>
    <row r="984" spans="1:1" x14ac:dyDescent="0.2">
      <c r="A984" s="5" t="str">
        <f t="shared" si="14"/>
        <v/>
      </c>
    </row>
    <row r="985" spans="1:1" x14ac:dyDescent="0.2">
      <c r="A985" s="5" t="str">
        <f t="shared" ref="A985:A1006" si="15">IF(AND(B984&lt;&gt;"",B985=""),$A$24&amp;"---&gt;","")</f>
        <v/>
      </c>
    </row>
    <row r="986" spans="1:1" x14ac:dyDescent="0.2">
      <c r="A986" s="5" t="str">
        <f t="shared" si="15"/>
        <v/>
      </c>
    </row>
    <row r="987" spans="1:1" x14ac:dyDescent="0.2">
      <c r="A987" s="5" t="str">
        <f t="shared" si="15"/>
        <v/>
      </c>
    </row>
    <row r="988" spans="1:1" x14ac:dyDescent="0.2">
      <c r="A988" s="5" t="str">
        <f t="shared" si="15"/>
        <v/>
      </c>
    </row>
    <row r="989" spans="1:1" x14ac:dyDescent="0.2">
      <c r="A989" s="5" t="str">
        <f t="shared" si="15"/>
        <v/>
      </c>
    </row>
    <row r="990" spans="1:1" x14ac:dyDescent="0.2">
      <c r="A990" s="5" t="str">
        <f t="shared" si="15"/>
        <v/>
      </c>
    </row>
    <row r="991" spans="1:1" x14ac:dyDescent="0.2">
      <c r="A991" s="5" t="str">
        <f t="shared" si="15"/>
        <v/>
      </c>
    </row>
    <row r="992" spans="1:1" x14ac:dyDescent="0.2">
      <c r="A992" s="5" t="str">
        <f t="shared" si="15"/>
        <v/>
      </c>
    </row>
    <row r="993" spans="1:1" x14ac:dyDescent="0.2">
      <c r="A993" s="5" t="str">
        <f t="shared" si="15"/>
        <v/>
      </c>
    </row>
    <row r="994" spans="1:1" x14ac:dyDescent="0.2">
      <c r="A994" s="5" t="str">
        <f t="shared" si="15"/>
        <v/>
      </c>
    </row>
    <row r="995" spans="1:1" x14ac:dyDescent="0.2">
      <c r="A995" s="5" t="str">
        <f t="shared" si="15"/>
        <v/>
      </c>
    </row>
    <row r="996" spans="1:1" x14ac:dyDescent="0.2">
      <c r="A996" s="5" t="str">
        <f t="shared" si="15"/>
        <v/>
      </c>
    </row>
    <row r="997" spans="1:1" x14ac:dyDescent="0.2">
      <c r="A997" s="5" t="str">
        <f t="shared" si="15"/>
        <v/>
      </c>
    </row>
    <row r="998" spans="1:1" x14ac:dyDescent="0.2">
      <c r="A998" s="5" t="str">
        <f t="shared" si="15"/>
        <v/>
      </c>
    </row>
    <row r="999" spans="1:1" x14ac:dyDescent="0.2">
      <c r="A999" s="5" t="str">
        <f t="shared" si="15"/>
        <v/>
      </c>
    </row>
    <row r="1000" spans="1:1" x14ac:dyDescent="0.2">
      <c r="A1000" s="5" t="str">
        <f t="shared" si="15"/>
        <v/>
      </c>
    </row>
    <row r="1001" spans="1:1" x14ac:dyDescent="0.2">
      <c r="A1001" s="5" t="str">
        <f t="shared" si="15"/>
        <v/>
      </c>
    </row>
    <row r="1002" spans="1:1" x14ac:dyDescent="0.2">
      <c r="A1002" s="5" t="str">
        <f t="shared" si="15"/>
        <v/>
      </c>
    </row>
    <row r="1003" spans="1:1" x14ac:dyDescent="0.2">
      <c r="A1003" s="5" t="str">
        <f t="shared" si="15"/>
        <v/>
      </c>
    </row>
    <row r="1004" spans="1:1" x14ac:dyDescent="0.2">
      <c r="A1004" s="5" t="str">
        <f t="shared" si="15"/>
        <v/>
      </c>
    </row>
    <row r="1005" spans="1:1" x14ac:dyDescent="0.2">
      <c r="A1005" s="5" t="str">
        <f t="shared" si="15"/>
        <v/>
      </c>
    </row>
    <row r="1006" spans="1:1" x14ac:dyDescent="0.2">
      <c r="A1006" s="5" t="str">
        <f t="shared" si="15"/>
        <v/>
      </c>
    </row>
  </sheetData>
  <mergeCells count="15">
    <mergeCell ref="E3:E5"/>
    <mergeCell ref="F3:F5"/>
    <mergeCell ref="G1:G2"/>
    <mergeCell ref="G3:G5"/>
    <mergeCell ref="C3:C5"/>
    <mergeCell ref="C1:C2"/>
    <mergeCell ref="D3:D5"/>
    <mergeCell ref="D1:D2"/>
    <mergeCell ref="E1:E2"/>
    <mergeCell ref="Q15:Q18"/>
    <mergeCell ref="Q20:Q22"/>
    <mergeCell ref="Q2:Q6"/>
    <mergeCell ref="Q8:Q13"/>
    <mergeCell ref="F1:F2"/>
    <mergeCell ref="Q1:T1"/>
  </mergeCells>
  <phoneticPr fontId="5" type="noConversion"/>
  <conditionalFormatting sqref="O25:T34">
    <cfRule type="dataBar" priority="10">
      <dataBar>
        <cfvo type="num" val="0"/>
        <cfvo type="num" val="1"/>
        <color rgb="FF8FCFAD"/>
      </dataBar>
      <extLst>
        <ext xmlns:x14="http://schemas.microsoft.com/office/spreadsheetml/2009/9/main" uri="{B025F937-C7B1-47D3-B67F-A62EFF666E3E}">
          <x14:id>{555ECA94-EDFE-4558-AA60-14027D999750}</x14:id>
        </ext>
      </extLst>
    </cfRule>
  </conditionalFormatting>
  <conditionalFormatting sqref="L25:M34">
    <cfRule type="cellIs" dxfId="33" priority="9" operator="lessThan">
      <formula>0</formula>
    </cfRule>
  </conditionalFormatting>
  <conditionalFormatting sqref="P25:T34">
    <cfRule type="containsText" dxfId="32" priority="6" operator="containsText" text="expired">
      <formula>NOT(ISERROR(SEARCH("expired",P25)))</formula>
    </cfRule>
    <cfRule type="containsText" dxfId="31" priority="7" operator="containsText" text="about to finish">
      <formula>NOT(ISERROR(SEARCH("about to finish",P25)))</formula>
    </cfRule>
    <cfRule type="containsText" dxfId="30" priority="8" operator="containsText" text="Active">
      <formula>NOT(ISERROR(SEARCH("Active",P25)))</formula>
    </cfRule>
  </conditionalFormatting>
  <conditionalFormatting sqref="S15:T17">
    <cfRule type="cellIs" dxfId="29" priority="5" operator="lessThan">
      <formula>0</formula>
    </cfRule>
  </conditionalFormatting>
  <conditionalFormatting sqref="S18:T18">
    <cfRule type="containsText" dxfId="28" priority="2" operator="containsText" text="expired">
      <formula>NOT(ISERROR(SEARCH("expired",S18)))</formula>
    </cfRule>
    <cfRule type="containsText" dxfId="27" priority="3" operator="containsText" text="about to finish">
      <formula>NOT(ISERROR(SEARCH("about to finish",S18)))</formula>
    </cfRule>
    <cfRule type="containsText" dxfId="26" priority="4" operator="containsText" text="active">
      <formula>NOT(ISERROR(SEARCH("active",S18)))</formula>
    </cfRule>
  </conditionalFormatting>
  <conditionalFormatting sqref="S17:T17">
    <cfRule type="dataBar" priority="1">
      <dataBar>
        <cfvo type="num" val="0"/>
        <cfvo type="num" val="1"/>
        <color rgb="FF8FCFAD"/>
      </dataBar>
      <extLst>
        <ext xmlns:x14="http://schemas.microsoft.com/office/spreadsheetml/2009/9/main" uri="{B025F937-C7B1-47D3-B67F-A62EFF666E3E}">
          <x14:id>{7CC154DA-46A7-42FC-81C2-EF72FFBCBCBF}</x14:id>
        </ext>
      </extLst>
    </cfRule>
  </conditionalFormatting>
  <dataValidations count="4">
    <dataValidation type="list" allowBlank="1" showInputMessage="1" showErrorMessage="1" sqref="C25:C34" xr:uid="{56A649FF-00CA-41A7-A82E-C73BCBAE36F5}">
      <formula1>Category</formula1>
    </dataValidation>
    <dataValidation type="list" allowBlank="1" showInputMessage="1" showErrorMessage="1" sqref="E25:E34" xr:uid="{89D1938A-3711-4835-BB9F-AE630079A3E4}">
      <formula1>Department</formula1>
    </dataValidation>
    <dataValidation type="list" allowBlank="1" showInputMessage="1" showErrorMessage="1" sqref="S2:T2" xr:uid="{3C363287-031D-4835-8ED6-6F5CFFCAE910}">
      <formula1>Contract_Number</formula1>
    </dataValidation>
    <dataValidation type="list" allowBlank="1" showInputMessage="1" showErrorMessage="1" sqref="R25:R34" xr:uid="{82F5EBE7-7F53-4F3F-AE89-FC3B0BBFF82F}">
      <formula1>IF(Q25="external",External,IF(Q25="internal",Internal,""))</formula1>
    </dataValidation>
  </dataValidations>
  <pageMargins left="0.7" right="0.7" top="0.75" bottom="0.75" header="0.3" footer="0.3"/>
  <pageSetup paperSize="9" orientation="portrait"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Refresh">
                <anchor moveWithCells="1" sizeWithCells="1">
                  <from>
                    <xdr:col>0</xdr:col>
                    <xdr:colOff>9525</xdr:colOff>
                    <xdr:row>21</xdr:row>
                    <xdr:rowOff>76200</xdr:rowOff>
                  </from>
                  <to>
                    <xdr:col>0</xdr:col>
                    <xdr:colOff>904875</xdr:colOff>
                    <xdr:row>22</xdr:row>
                    <xdr:rowOff>152400</xdr:rowOff>
                  </to>
                </anchor>
              </controlPr>
            </control>
          </mc:Choice>
        </mc:AlternateContent>
        <mc:AlternateContent xmlns:mc="http://schemas.openxmlformats.org/markup-compatibility/2006">
          <mc:Choice Requires="x14">
            <control shapeId="2050" r:id="rId6" name="Button 2">
              <controlPr defaultSize="0" print="0" autoFill="0" autoPict="0" macro="[0]!Full_screen">
                <anchor moveWithCells="1" sizeWithCells="1">
                  <from>
                    <xdr:col>0</xdr:col>
                    <xdr:colOff>923925</xdr:colOff>
                    <xdr:row>21</xdr:row>
                    <xdr:rowOff>76200</xdr:rowOff>
                  </from>
                  <to>
                    <xdr:col>1</xdr:col>
                    <xdr:colOff>895350</xdr:colOff>
                    <xdr:row>22</xdr:row>
                    <xdr:rowOff>152400</xdr:rowOff>
                  </to>
                </anchor>
              </controlPr>
            </control>
          </mc:Choice>
        </mc:AlternateContent>
      </controls>
    </mc:Choice>
  </mc:AlternateContent>
  <tableParts count="1">
    <tablePart r:id="rId7"/>
  </tableParts>
  <extLst>
    <ext xmlns:x14="http://schemas.microsoft.com/office/spreadsheetml/2009/9/main" uri="{78C0D931-6437-407d-A8EE-F0AAD7539E65}">
      <x14:conditionalFormattings>
        <x14:conditionalFormatting xmlns:xm="http://schemas.microsoft.com/office/excel/2006/main">
          <x14:cfRule type="dataBar" id="{555ECA94-EDFE-4558-AA60-14027D999750}">
            <x14:dataBar minLength="0" maxLength="100" gradient="0">
              <x14:cfvo type="num">
                <xm:f>0</xm:f>
              </x14:cfvo>
              <x14:cfvo type="num">
                <xm:f>1</xm:f>
              </x14:cfvo>
              <x14:negativeFillColor rgb="FFC00000"/>
              <x14:axisColor rgb="FF000000"/>
            </x14:dataBar>
          </x14:cfRule>
          <xm:sqref>O25:T34</xm:sqref>
        </x14:conditionalFormatting>
        <x14:conditionalFormatting xmlns:xm="http://schemas.microsoft.com/office/excel/2006/main">
          <x14:cfRule type="dataBar" id="{7CC154DA-46A7-42FC-81C2-EF72FFBCBCBF}">
            <x14:dataBar minLength="0" maxLength="100" gradient="0">
              <x14:cfvo type="num">
                <xm:f>0</xm:f>
              </x14:cfvo>
              <x14:cfvo type="num">
                <xm:f>1</xm:f>
              </x14:cfvo>
              <x14:negativeFillColor rgb="FFFF0000"/>
              <x14:axisColor rgb="FF000000"/>
            </x14:dataBar>
          </x14:cfRule>
          <xm:sqref>S17:T17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C07FA0A-89BC-431A-A6AD-D77066708098}">
          <x14:formula1>
            <xm:f>'Contract Database'!$F$5:$F$6</xm:f>
          </x14:formula1>
          <xm:sqref>Q25:Q34</xm:sqref>
        </x14:dataValidation>
      </x14:dataValidations>
    </ex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91145-C5BE-4EA9-8562-D8682A19AEA6}">
  <dimension ref="A3:S14"/>
  <sheetViews>
    <sheetView topLeftCell="N1" workbookViewId="0">
      <selection activeCell="S4" sqref="S4:S8"/>
    </sheetView>
  </sheetViews>
  <sheetFormatPr defaultRowHeight="12.75" x14ac:dyDescent="0.2"/>
  <cols>
    <col min="1" max="1" width="14.140625" bestFit="1" customWidth="1"/>
    <col min="2" max="2" width="24.85546875" bestFit="1" customWidth="1"/>
    <col min="3" max="3" width="24.5703125" bestFit="1" customWidth="1"/>
    <col min="5" max="5" width="13.85546875" bestFit="1" customWidth="1"/>
    <col min="6" max="6" width="33.28515625" bestFit="1" customWidth="1"/>
    <col min="7" max="7" width="29.7109375" bestFit="1" customWidth="1"/>
    <col min="9" max="9" width="18.140625" bestFit="1" customWidth="1"/>
    <col min="10" max="10" width="24.5703125" bestFit="1" customWidth="1"/>
    <col min="12" max="12" width="13.85546875" bestFit="1" customWidth="1"/>
    <col min="13" max="13" width="24.85546875" bestFit="1" customWidth="1"/>
    <col min="15" max="15" width="13.85546875" bestFit="1" customWidth="1"/>
    <col min="16" max="16" width="24.85546875" bestFit="1" customWidth="1"/>
    <col min="18" max="18" width="13.85546875" bestFit="1" customWidth="1"/>
    <col min="19" max="19" width="24.5703125" bestFit="1" customWidth="1"/>
    <col min="20" max="20" width="8" bestFit="1" customWidth="1"/>
    <col min="21" max="21" width="11.7109375" bestFit="1" customWidth="1"/>
  </cols>
  <sheetData>
    <row r="3" spans="1:19" x14ac:dyDescent="0.2">
      <c r="A3" s="41" t="s">
        <v>78</v>
      </c>
      <c r="B3" t="s">
        <v>82</v>
      </c>
      <c r="C3" t="s">
        <v>86</v>
      </c>
      <c r="E3" s="41" t="s">
        <v>78</v>
      </c>
      <c r="F3" t="s">
        <v>88</v>
      </c>
      <c r="G3" t="s">
        <v>89</v>
      </c>
      <c r="I3" s="41" t="s">
        <v>78</v>
      </c>
      <c r="J3" t="s">
        <v>86</v>
      </c>
      <c r="L3" s="41" t="s">
        <v>78</v>
      </c>
      <c r="M3" t="s">
        <v>82</v>
      </c>
      <c r="O3" s="41" t="s">
        <v>78</v>
      </c>
      <c r="P3" t="s">
        <v>82</v>
      </c>
      <c r="R3" s="41" t="s">
        <v>78</v>
      </c>
      <c r="S3" t="s">
        <v>86</v>
      </c>
    </row>
    <row r="4" spans="1:19" x14ac:dyDescent="0.2">
      <c r="A4" s="16" t="s">
        <v>79</v>
      </c>
      <c r="B4">
        <v>3</v>
      </c>
      <c r="C4" s="43">
        <v>15400</v>
      </c>
      <c r="E4" s="16" t="s">
        <v>43</v>
      </c>
      <c r="F4">
        <v>111</v>
      </c>
      <c r="G4">
        <v>51</v>
      </c>
      <c r="I4" s="16" t="s">
        <v>36</v>
      </c>
      <c r="J4" s="43">
        <v>9600</v>
      </c>
      <c r="L4" s="76">
        <v>43408</v>
      </c>
      <c r="M4">
        <v>1</v>
      </c>
      <c r="O4" s="76">
        <v>44286</v>
      </c>
      <c r="P4">
        <v>1</v>
      </c>
      <c r="R4" s="16" t="s">
        <v>40</v>
      </c>
      <c r="S4" s="77">
        <v>5000</v>
      </c>
    </row>
    <row r="5" spans="1:19" x14ac:dyDescent="0.2">
      <c r="A5" s="16" t="s">
        <v>80</v>
      </c>
      <c r="B5">
        <v>6</v>
      </c>
      <c r="C5" s="43">
        <v>42100</v>
      </c>
      <c r="E5" s="16" t="s">
        <v>47</v>
      </c>
      <c r="F5">
        <v>-32</v>
      </c>
      <c r="G5">
        <v>-92</v>
      </c>
      <c r="I5" s="16" t="s">
        <v>38</v>
      </c>
      <c r="J5" s="43">
        <v>8000</v>
      </c>
      <c r="L5" s="76">
        <v>42265</v>
      </c>
      <c r="M5">
        <v>1</v>
      </c>
      <c r="O5" s="76">
        <v>44143</v>
      </c>
      <c r="P5">
        <v>1</v>
      </c>
      <c r="R5" s="16" t="s">
        <v>16</v>
      </c>
      <c r="S5" s="77">
        <v>8000</v>
      </c>
    </row>
    <row r="6" spans="1:19" x14ac:dyDescent="0.2">
      <c r="A6" s="16" t="s">
        <v>90</v>
      </c>
      <c r="B6">
        <v>1</v>
      </c>
      <c r="C6" s="43">
        <v>6800</v>
      </c>
      <c r="E6" s="16" t="s">
        <v>48</v>
      </c>
      <c r="F6">
        <v>209</v>
      </c>
      <c r="G6">
        <v>149</v>
      </c>
      <c r="I6" s="16" t="s">
        <v>37</v>
      </c>
      <c r="J6" s="43">
        <v>17000</v>
      </c>
      <c r="L6" s="76">
        <v>44024</v>
      </c>
      <c r="M6">
        <v>1</v>
      </c>
      <c r="O6" s="76">
        <v>44384</v>
      </c>
      <c r="P6">
        <v>1</v>
      </c>
      <c r="R6" s="16" t="s">
        <v>35</v>
      </c>
      <c r="S6" s="77">
        <v>14300</v>
      </c>
    </row>
    <row r="7" spans="1:19" x14ac:dyDescent="0.2">
      <c r="A7" s="16" t="s">
        <v>81</v>
      </c>
      <c r="B7">
        <v>10</v>
      </c>
      <c r="C7" s="43">
        <v>64300</v>
      </c>
      <c r="E7" s="16" t="s">
        <v>50</v>
      </c>
      <c r="F7">
        <v>502</v>
      </c>
      <c r="G7">
        <v>412</v>
      </c>
      <c r="I7" s="16" t="s">
        <v>91</v>
      </c>
      <c r="J7" s="43">
        <v>22700</v>
      </c>
      <c r="L7" s="76">
        <v>42499</v>
      </c>
      <c r="M7">
        <v>1</v>
      </c>
      <c r="O7" s="76">
        <v>44677</v>
      </c>
      <c r="P7">
        <v>1</v>
      </c>
      <c r="R7" s="16" t="s">
        <v>39</v>
      </c>
      <c r="S7" s="77">
        <v>5000</v>
      </c>
    </row>
    <row r="8" spans="1:19" x14ac:dyDescent="0.2">
      <c r="E8" s="16" t="s">
        <v>52</v>
      </c>
      <c r="F8">
        <v>147</v>
      </c>
      <c r="G8">
        <v>117</v>
      </c>
      <c r="I8" s="16" t="s">
        <v>113</v>
      </c>
      <c r="J8" s="43">
        <v>7000</v>
      </c>
      <c r="L8" s="76">
        <v>43962</v>
      </c>
      <c r="M8">
        <v>1</v>
      </c>
      <c r="O8" s="76">
        <v>44322</v>
      </c>
      <c r="P8">
        <v>1</v>
      </c>
      <c r="R8" s="16" t="s">
        <v>117</v>
      </c>
      <c r="S8" s="77">
        <v>32000</v>
      </c>
    </row>
    <row r="9" spans="1:19" x14ac:dyDescent="0.2">
      <c r="E9" s="16" t="s">
        <v>66</v>
      </c>
      <c r="F9">
        <v>199</v>
      </c>
      <c r="G9">
        <v>139</v>
      </c>
      <c r="I9" s="16" t="s">
        <v>81</v>
      </c>
      <c r="J9" s="43">
        <v>64300</v>
      </c>
      <c r="L9" s="76">
        <v>43654</v>
      </c>
      <c r="M9">
        <v>1</v>
      </c>
      <c r="O9" s="76">
        <v>44374</v>
      </c>
      <c r="P9">
        <v>1</v>
      </c>
    </row>
    <row r="10" spans="1:19" x14ac:dyDescent="0.2">
      <c r="E10" s="16" t="s">
        <v>92</v>
      </c>
      <c r="F10">
        <v>82</v>
      </c>
      <c r="G10">
        <v>52</v>
      </c>
      <c r="L10" s="76">
        <v>42993</v>
      </c>
      <c r="M10">
        <v>1</v>
      </c>
      <c r="O10" s="76">
        <v>44257</v>
      </c>
      <c r="P10">
        <v>1</v>
      </c>
    </row>
    <row r="11" spans="1:19" x14ac:dyDescent="0.2">
      <c r="E11" s="16" t="s">
        <v>106</v>
      </c>
      <c r="F11">
        <v>142</v>
      </c>
      <c r="G11">
        <v>82</v>
      </c>
      <c r="L11" s="76">
        <v>42563</v>
      </c>
      <c r="M11">
        <v>1</v>
      </c>
      <c r="O11" s="76">
        <v>44317</v>
      </c>
      <c r="P11">
        <v>1</v>
      </c>
    </row>
    <row r="12" spans="1:19" x14ac:dyDescent="0.2">
      <c r="E12" s="16" t="s">
        <v>107</v>
      </c>
      <c r="F12">
        <v>560</v>
      </c>
      <c r="G12">
        <v>500</v>
      </c>
      <c r="L12" s="76">
        <v>44015</v>
      </c>
      <c r="M12">
        <v>1</v>
      </c>
      <c r="O12" s="76">
        <v>44735</v>
      </c>
      <c r="P12">
        <v>1</v>
      </c>
    </row>
    <row r="13" spans="1:19" x14ac:dyDescent="0.2">
      <c r="E13" s="16" t="s">
        <v>108</v>
      </c>
      <c r="F13">
        <v>234</v>
      </c>
      <c r="G13">
        <v>174</v>
      </c>
      <c r="L13" s="76">
        <v>42892</v>
      </c>
      <c r="M13">
        <v>1</v>
      </c>
      <c r="O13" s="76">
        <v>44409</v>
      </c>
      <c r="P13">
        <v>1</v>
      </c>
    </row>
    <row r="14" spans="1:19" x14ac:dyDescent="0.2">
      <c r="E14" s="16" t="s">
        <v>81</v>
      </c>
      <c r="F14">
        <v>2154</v>
      </c>
      <c r="G14">
        <v>1584</v>
      </c>
      <c r="L14" s="76" t="s">
        <v>81</v>
      </c>
      <c r="M14">
        <v>10</v>
      </c>
      <c r="O14" s="76" t="s">
        <v>81</v>
      </c>
      <c r="P14">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R11"/>
  <sheetViews>
    <sheetView showGridLines="0" showRowColHeaders="0" zoomScale="115" zoomScaleNormal="115" workbookViewId="0">
      <pane ySplit="4" topLeftCell="A5" activePane="bottomLeft" state="frozen"/>
      <selection pane="bottomLeft" activeCell="B6" sqref="B6"/>
    </sheetView>
  </sheetViews>
  <sheetFormatPr defaultColWidth="0" defaultRowHeight="12.75" x14ac:dyDescent="0.2"/>
  <cols>
    <col min="1" max="1" width="0.7109375" style="32" customWidth="1"/>
    <col min="2" max="2" width="22.7109375" customWidth="1"/>
    <col min="3" max="3" width="1" style="32" customWidth="1"/>
    <col min="4" max="4" width="22.7109375" customWidth="1"/>
    <col min="5" max="5" width="1" style="32" customWidth="1"/>
    <col min="6" max="6" width="22.7109375" customWidth="1"/>
    <col min="7" max="7" width="1" style="32" customWidth="1"/>
    <col min="8" max="8" width="18.7109375" customWidth="1"/>
    <col min="9" max="9" width="27.7109375" customWidth="1"/>
    <col min="10" max="10" width="1" style="32" customWidth="1"/>
    <col min="11" max="11" width="18.7109375" customWidth="1"/>
    <col min="12" max="12" width="27.7109375" customWidth="1"/>
    <col min="13" max="13" width="0.5703125" customWidth="1"/>
    <col min="14" max="18" width="0" hidden="1" customWidth="1"/>
    <col min="19" max="16384" width="9.140625" hidden="1"/>
  </cols>
  <sheetData>
    <row r="1" spans="1:12" x14ac:dyDescent="0.2">
      <c r="C1" s="33"/>
      <c r="E1" s="33"/>
    </row>
    <row r="2" spans="1:12" x14ac:dyDescent="0.2">
      <c r="A2" s="34" t="s">
        <v>25</v>
      </c>
      <c r="C2" s="33"/>
      <c r="E2" s="33"/>
      <c r="G2" s="34" t="s">
        <v>61</v>
      </c>
      <c r="J2" s="34" t="s">
        <v>60</v>
      </c>
    </row>
    <row r="3" spans="1:12" x14ac:dyDescent="0.2">
      <c r="C3" s="33"/>
      <c r="E3" s="33"/>
    </row>
    <row r="4" spans="1:12" x14ac:dyDescent="0.2">
      <c r="B4" s="17" t="s">
        <v>26</v>
      </c>
      <c r="D4" s="18" t="s">
        <v>32</v>
      </c>
      <c r="F4" s="18" t="s">
        <v>54</v>
      </c>
      <c r="H4" s="18" t="s">
        <v>57</v>
      </c>
      <c r="I4" s="18" t="s">
        <v>58</v>
      </c>
      <c r="K4" s="18" t="s">
        <v>59</v>
      </c>
      <c r="L4" s="18" t="s">
        <v>58</v>
      </c>
    </row>
    <row r="5" spans="1:12" x14ac:dyDescent="0.2">
      <c r="B5" t="s">
        <v>91</v>
      </c>
      <c r="D5" t="s">
        <v>16</v>
      </c>
      <c r="F5" t="s">
        <v>55</v>
      </c>
      <c r="H5" t="s">
        <v>73</v>
      </c>
      <c r="I5" s="37" t="s">
        <v>74</v>
      </c>
      <c r="K5" t="s">
        <v>68</v>
      </c>
      <c r="L5" s="37" t="s">
        <v>65</v>
      </c>
    </row>
    <row r="6" spans="1:12" x14ac:dyDescent="0.2">
      <c r="B6" t="s">
        <v>36</v>
      </c>
      <c r="D6" t="s">
        <v>39</v>
      </c>
      <c r="F6" t="s">
        <v>56</v>
      </c>
      <c r="H6" t="s">
        <v>75</v>
      </c>
      <c r="I6" s="37" t="s">
        <v>76</v>
      </c>
      <c r="K6" t="s">
        <v>69</v>
      </c>
      <c r="L6" s="37" t="s">
        <v>71</v>
      </c>
    </row>
    <row r="7" spans="1:12" x14ac:dyDescent="0.2">
      <c r="B7" t="s">
        <v>37</v>
      </c>
      <c r="D7" t="s">
        <v>35</v>
      </c>
      <c r="H7" t="s">
        <v>70</v>
      </c>
      <c r="I7" s="37" t="s">
        <v>72</v>
      </c>
      <c r="L7" s="37"/>
    </row>
    <row r="8" spans="1:12" x14ac:dyDescent="0.2">
      <c r="B8" t="s">
        <v>38</v>
      </c>
      <c r="D8" t="s">
        <v>40</v>
      </c>
    </row>
    <row r="9" spans="1:12" x14ac:dyDescent="0.2">
      <c r="B9" t="s">
        <v>113</v>
      </c>
      <c r="D9" t="s">
        <v>45</v>
      </c>
    </row>
    <row r="10" spans="1:12" x14ac:dyDescent="0.2">
      <c r="D10" t="s">
        <v>46</v>
      </c>
    </row>
    <row r="11" spans="1:12" x14ac:dyDescent="0.2">
      <c r="D11" t="s">
        <v>117</v>
      </c>
    </row>
  </sheetData>
  <hyperlinks>
    <hyperlink ref="L5" r:id="rId1" xr:uid="{72256082-D694-48E4-8428-7BF2630CC7A0}"/>
    <hyperlink ref="L6" r:id="rId2" xr:uid="{7A521926-EC5C-42B6-B2D9-7EB18F85B302}"/>
    <hyperlink ref="I5" r:id="rId3" xr:uid="{ABCFF5C3-B3E3-4581-B251-FD4B9C6ACA5F}"/>
    <hyperlink ref="I7" r:id="rId4" xr:uid="{A8E1A83C-CD4B-41CD-A482-18942253056B}"/>
    <hyperlink ref="I6" r:id="rId5" xr:uid="{BE40CA67-1FE2-49EE-8EED-85C63A3F8671}"/>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3.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Contract Management</vt:lpstr>
      <vt:lpstr>Sheet1</vt:lpstr>
      <vt:lpstr>Contract 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cp:lastPrinted>2020-12-02T20:52:53Z</cp:lastPrinted>
  <dcterms:created xsi:type="dcterms:W3CDTF">2020-08-23T16:46:06Z</dcterms:created>
  <dcterms:modified xsi:type="dcterms:W3CDTF">2024-09-20T12:24:23Z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