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Strategy _ Management\"/>
    </mc:Choice>
  </mc:AlternateContent>
  <xr:revisionPtr revIDLastSave="0" documentId="13_ncr:1_{E9E11195-A520-4CF9-9882-CCCC09EC82AD}"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Audit Evaluation" sheetId="11" r:id="rId2"/>
    <sheet name="Audit Database" sheetId="7" r:id="rId3"/>
    <sheet name="Sheet3" sheetId="14" state="hidden" r:id="rId4"/>
  </sheets>
  <definedNames>
    <definedName name="_aaa1" hidden="1">{#N/A,#N/A,FALSE,"Antony Financials";#N/A,#N/A,FALSE,"Cowboy Financials";#N/A,#N/A,FALSE,"Combined";#N/A,#N/A,FALSE,"Valuematrix";#N/A,#N/A,FALSE,"DCFAntony";#N/A,#N/A,FALSE,"DCFCowboy";#N/A,#N/A,FALSE,"DCFCombined"}</definedName>
    <definedName name="_xlnm._FilterDatabase" localSheetId="1" hidden="1">'Audit Evaluation'!$B$18:$X$39</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Auditor">OFFSET('Audit Database'!$J$5,0,0,COUNTA('Audit Database'!$J:$J)-1,1)</definedName>
    <definedName name="b" hidden="1">{#N/A,#N/A,FALSE,"Antony Financials";#N/A,#N/A,FALSE,"Cowboy Financials";#N/A,#N/A,FALSE,"Combined";#N/A,#N/A,FALSE,"Valuematrix";#N/A,#N/A,FALSE,"DCFAntony";#N/A,#N/A,FALSE,"DCFCowboy";#N/A,#N/A,FALSE,"DCFCombined"}</definedName>
    <definedName name="Clause">OFFSET('Audit Database'!$F$5,0,0,COUNTA('Audit Database'!$F:$F)-1,1)</definedName>
    <definedName name="_xlnm.Criteria" localSheetId="1">'Audit Evaluation'!$F$2</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s">OFFSET('Audit Database'!$B$5,0,0,COUNTA('Audit Database'!$B:$B)-1,1)</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ection">OFFSET('Audit Database'!$D$5,0,0,COUNTA('Audit Database'!$D:$D)-1,1)</definedName>
    <definedName name="Slicer_Clause">#N/A</definedName>
    <definedName name="Slicer_Status">#N/A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4"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 i="11" l="1"/>
  <c r="I16" i="11"/>
  <c r="J16" i="11"/>
  <c r="K16" i="11"/>
  <c r="L16" i="11"/>
  <c r="M16" i="11"/>
  <c r="N16" i="11"/>
  <c r="O16" i="11"/>
  <c r="P16" i="11"/>
  <c r="Q16" i="11"/>
  <c r="R16" i="11"/>
  <c r="G16" i="11"/>
  <c r="S38" i="11"/>
  <c r="S27" i="11"/>
  <c r="S31" i="11"/>
  <c r="S36" i="11"/>
  <c r="S22" i="11"/>
  <c r="S24" i="11"/>
  <c r="S26" i="11"/>
  <c r="U26" i="11" s="1"/>
  <c r="S28" i="11"/>
  <c r="S29" i="11"/>
  <c r="S30" i="11"/>
  <c r="U30" i="11" s="1"/>
  <c r="S32" i="11"/>
  <c r="S33" i="11"/>
  <c r="S35" i="11"/>
  <c r="D20" i="11"/>
  <c r="D21" i="11"/>
  <c r="D22" i="11"/>
  <c r="D23" i="11"/>
  <c r="D24" i="11"/>
  <c r="D25" i="11"/>
  <c r="D26" i="11"/>
  <c r="D27" i="11"/>
  <c r="D28" i="11"/>
  <c r="D29" i="11"/>
  <c r="D30" i="11"/>
  <c r="D31" i="11"/>
  <c r="D32" i="11"/>
  <c r="D33" i="11"/>
  <c r="D34" i="11"/>
  <c r="D35" i="11"/>
  <c r="D36" i="11"/>
  <c r="D37" i="11"/>
  <c r="D38" i="11"/>
  <c r="D39" i="11"/>
  <c r="F20" i="11"/>
  <c r="F21" i="11"/>
  <c r="F22" i="11"/>
  <c r="F23" i="11"/>
  <c r="F24" i="11"/>
  <c r="F25" i="11"/>
  <c r="F26" i="11"/>
  <c r="F27" i="11"/>
  <c r="F28" i="11"/>
  <c r="F29" i="11"/>
  <c r="F30" i="11"/>
  <c r="F31" i="11"/>
  <c r="F32" i="11"/>
  <c r="F33" i="11"/>
  <c r="F34" i="11"/>
  <c r="F35" i="11"/>
  <c r="F36" i="11"/>
  <c r="F37" i="11"/>
  <c r="F38" i="11"/>
  <c r="F39" i="11"/>
  <c r="D19" i="11"/>
  <c r="F19"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18" i="11"/>
  <c r="T24" i="11" l="1"/>
  <c r="T35" i="11"/>
  <c r="T32" i="11"/>
  <c r="T27" i="11"/>
  <c r="T38" i="11"/>
  <c r="S20" i="11"/>
  <c r="U20" i="11" s="1"/>
  <c r="S19" i="11"/>
  <c r="U19" i="11" s="1"/>
  <c r="S18" i="11"/>
  <c r="U18" i="11" s="1"/>
  <c r="S34" i="11"/>
  <c r="T34" i="11" s="1"/>
  <c r="S25" i="11"/>
  <c r="U25" i="11" s="1"/>
  <c r="S23" i="11"/>
  <c r="U23" i="11" s="1"/>
  <c r="S21" i="11"/>
  <c r="U21" i="11" s="1"/>
  <c r="S39" i="11"/>
  <c r="U39" i="11" s="1"/>
  <c r="S37" i="11"/>
  <c r="T37" i="11" s="1"/>
  <c r="T29" i="11"/>
  <c r="U29" i="11"/>
  <c r="T36" i="11"/>
  <c r="U36" i="11"/>
  <c r="U33" i="11"/>
  <c r="T33" i="11"/>
  <c r="T31" i="11"/>
  <c r="U31" i="11"/>
  <c r="U28" i="11"/>
  <c r="T28" i="11"/>
  <c r="U35" i="11"/>
  <c r="U38" i="11"/>
  <c r="U32" i="11"/>
  <c r="T30" i="11"/>
  <c r="T22" i="11"/>
  <c r="U27" i="11"/>
  <c r="T26" i="11"/>
  <c r="U24" i="11"/>
  <c r="U22" i="11"/>
  <c r="F18" i="11"/>
  <c r="D18" i="11"/>
  <c r="U34" i="11" l="1"/>
  <c r="T39" i="11"/>
  <c r="T25" i="11"/>
  <c r="T23" i="11"/>
  <c r="T20" i="11"/>
  <c r="T21" i="11"/>
  <c r="T18" i="11"/>
  <c r="T19" i="11"/>
  <c r="U37" i="11"/>
</calcChain>
</file>

<file path=xl/sharedStrings.xml><?xml version="1.0" encoding="utf-8"?>
<sst xmlns="http://schemas.openxmlformats.org/spreadsheetml/2006/main" count="288" uniqueCount="166">
  <si>
    <t>Title</t>
  </si>
  <si>
    <t>Navigation</t>
  </si>
  <si>
    <t>Content</t>
  </si>
  <si>
    <t>Customization difficulty (1-3)</t>
  </si>
  <si>
    <t>Explanation of sheets</t>
  </si>
  <si>
    <t>How to customize</t>
  </si>
  <si>
    <t>1)</t>
  </si>
  <si>
    <t>2)</t>
  </si>
  <si>
    <t>3)</t>
  </si>
  <si>
    <t>4)</t>
  </si>
  <si>
    <t>5)</t>
  </si>
  <si>
    <t>6)</t>
  </si>
  <si>
    <t>7)</t>
  </si>
  <si>
    <t>8)</t>
  </si>
  <si>
    <t>9)</t>
  </si>
  <si>
    <t>10)</t>
  </si>
  <si>
    <t>11)</t>
  </si>
  <si>
    <t>12)</t>
  </si>
  <si>
    <t>13)</t>
  </si>
  <si>
    <t>14)</t>
  </si>
  <si>
    <t>Dec</t>
  </si>
  <si>
    <t>Internal Audit Evaluation</t>
  </si>
  <si>
    <t>Section</t>
  </si>
  <si>
    <t>Clause</t>
  </si>
  <si>
    <t>Description</t>
  </si>
  <si>
    <t>Target Score</t>
  </si>
  <si>
    <t>Feb</t>
  </si>
  <si>
    <t>Mar</t>
  </si>
  <si>
    <t>Apr</t>
  </si>
  <si>
    <t>May</t>
  </si>
  <si>
    <t>Jun</t>
  </si>
  <si>
    <t>Jul</t>
  </si>
  <si>
    <t>Aug</t>
  </si>
  <si>
    <t>Sep</t>
  </si>
  <si>
    <t>Oct</t>
  </si>
  <si>
    <t>Nov</t>
  </si>
  <si>
    <t>Status</t>
  </si>
  <si>
    <t>Auditor</t>
  </si>
  <si>
    <t>Auditors</t>
  </si>
  <si>
    <t>Related Department</t>
  </si>
  <si>
    <t>Departments</t>
  </si>
  <si>
    <t>Sections</t>
  </si>
  <si>
    <t>Achieve %</t>
  </si>
  <si>
    <t>Overall Score</t>
  </si>
  <si>
    <t>Limits</t>
  </si>
  <si>
    <t>Visualization</t>
  </si>
  <si>
    <t>Good</t>
  </si>
  <si>
    <t>Quality Assurance</t>
  </si>
  <si>
    <t>Production</t>
  </si>
  <si>
    <t>Finance</t>
  </si>
  <si>
    <t>Planning</t>
  </si>
  <si>
    <t>Warehouse</t>
  </si>
  <si>
    <t>Delivery</t>
  </si>
  <si>
    <t>Human Resources</t>
  </si>
  <si>
    <t>Procurement</t>
  </si>
  <si>
    <t>Development</t>
  </si>
  <si>
    <t>Purchasing</t>
  </si>
  <si>
    <t>Internal Audit Points / Clauses</t>
  </si>
  <si>
    <t>Audit Sections</t>
  </si>
  <si>
    <t>Related Departments</t>
  </si>
  <si>
    <t>Score Visualization</t>
  </si>
  <si>
    <t>Incoming Control</t>
  </si>
  <si>
    <t>Finished Goods</t>
  </si>
  <si>
    <t>Financial</t>
  </si>
  <si>
    <t>Warehousing</t>
  </si>
  <si>
    <t>Pest Control</t>
  </si>
  <si>
    <t>Policy</t>
  </si>
  <si>
    <t>Leadership and commitment</t>
  </si>
  <si>
    <t>Non Conformance Reports</t>
  </si>
  <si>
    <t>Section 9</t>
  </si>
  <si>
    <t>Section 10</t>
  </si>
  <si>
    <t>Section 11</t>
  </si>
  <si>
    <t>Section 12</t>
  </si>
  <si>
    <t>Section 13</t>
  </si>
  <si>
    <t>Section 14</t>
  </si>
  <si>
    <t>Section 15</t>
  </si>
  <si>
    <t>Section 16</t>
  </si>
  <si>
    <t>Section 17</t>
  </si>
  <si>
    <t>Section 18</t>
  </si>
  <si>
    <t>Section 19</t>
  </si>
  <si>
    <t>Section 20</t>
  </si>
  <si>
    <t>Auditor 1</t>
  </si>
  <si>
    <t>Auditor 2</t>
  </si>
  <si>
    <t>Auditor 3</t>
  </si>
  <si>
    <t>Auditor 4</t>
  </si>
  <si>
    <t>Auditor 5</t>
  </si>
  <si>
    <t>Quality Objectives</t>
  </si>
  <si>
    <t>Planning to changes</t>
  </si>
  <si>
    <t>Awarness</t>
  </si>
  <si>
    <t>Management Review</t>
  </si>
  <si>
    <t>Monitoring</t>
  </si>
  <si>
    <t>4M Changes</t>
  </si>
  <si>
    <t>Clause 7</t>
  </si>
  <si>
    <t>Clause 8</t>
  </si>
  <si>
    <t>Clause 9</t>
  </si>
  <si>
    <t>Clause 10</t>
  </si>
  <si>
    <t>Clause 11</t>
  </si>
  <si>
    <t>Clause 12</t>
  </si>
  <si>
    <t>Clause 13</t>
  </si>
  <si>
    <t>Clause 14</t>
  </si>
  <si>
    <t>Clause 15</t>
  </si>
  <si>
    <t>Clause 16</t>
  </si>
  <si>
    <t>Clause 17</t>
  </si>
  <si>
    <t>Clause 18</t>
  </si>
  <si>
    <t>Clause 19</t>
  </si>
  <si>
    <t>Clause 20</t>
  </si>
  <si>
    <t>Here you can register clause description and requirements according to audit checklist standards 1</t>
  </si>
  <si>
    <t>Here you can register clause description and requirements according to audit checklist standards 2</t>
  </si>
  <si>
    <t>Here you can register clause description and requirements according to audit checklist standards 3</t>
  </si>
  <si>
    <t>Here you can register clause description and requirements according to audit checklist standards 4</t>
  </si>
  <si>
    <t>Here you can register clause description and requirements according to audit checklist standards 5</t>
  </si>
  <si>
    <t>Here you can register clause description and requirements according to audit checklist standards 6</t>
  </si>
  <si>
    <t>Here you can register clause description and requirements according to audit checklist standards 7</t>
  </si>
  <si>
    <t>Here you can register clause description and requirements according to audit checklist standards 8</t>
  </si>
  <si>
    <t>Here you can register clause description and requirements according to audit checklist standards 9</t>
  </si>
  <si>
    <t>Here you can register clause description and requirements according to audit checklist standards 10</t>
  </si>
  <si>
    <t>Here you can register clause description and requirements according to audit checklist standards 11</t>
  </si>
  <si>
    <t>Here you can register clause description and requirements according to audit checklist standards 12</t>
  </si>
  <si>
    <t>Here you can register clause description and requirements according to audit checklist standards 13</t>
  </si>
  <si>
    <t>Here you can register clause description and requirements according to audit checklist standards 14</t>
  </si>
  <si>
    <t>Here you can register clause description and requirements according to audit checklist standards 15</t>
  </si>
  <si>
    <t>Here you can register clause description and requirements according to audit checklist standards 16</t>
  </si>
  <si>
    <t>Here you can register clause description and requirements according to audit checklist standards 17</t>
  </si>
  <si>
    <t>Here you can register clause description and requirements according to audit checklist standards 18</t>
  </si>
  <si>
    <t>Here you can register clause description and requirements according to audit checklist standards 19</t>
  </si>
  <si>
    <t>Here you can register clause description and requirements according to audit checklist standards 20</t>
  </si>
  <si>
    <t>Clause Description</t>
  </si>
  <si>
    <t>Normal</t>
  </si>
  <si>
    <t>Bad</t>
  </si>
  <si>
    <t>Jan</t>
  </si>
  <si>
    <t>Comments</t>
  </si>
  <si>
    <t>Last Audit Date</t>
  </si>
  <si>
    <t>Row Labels</t>
  </si>
  <si>
    <t>Grand Total</t>
  </si>
  <si>
    <t>Average of Overall Score</t>
  </si>
  <si>
    <t>Audit Evaluation</t>
  </si>
  <si>
    <t>Audit Database</t>
  </si>
  <si>
    <t>Select related department for each audit section/clause</t>
  </si>
  <si>
    <t>Record all audit sections / clauses and record monthly scores</t>
  </si>
  <si>
    <t>Set audit database and references. They will carry over to the audit evaluation sheet and drop-down lists</t>
  </si>
  <si>
    <t>Starting from the Audit Database sheet, add your audit points and standards. They will carry over to your audit evaluation and drop-down list.</t>
  </si>
  <si>
    <t>Add all of your organization departments</t>
  </si>
  <si>
    <t>Record audit sections database</t>
  </si>
  <si>
    <t>Record all audit clauses with full descriptions and score</t>
  </si>
  <si>
    <t>Set all auditors name involved in audit processes</t>
  </si>
  <si>
    <t>In the score visualization field, set limits for scores according to Good, Normal and Bad status</t>
  </si>
  <si>
    <t>Go to the Audit Evaluation sheet and record all audit sections from the drop-down list in the section field</t>
  </si>
  <si>
    <t>Select audit clause according to selected section. The clause description and target score will be recorded automatically based on prior inputs.</t>
  </si>
  <si>
    <t>For each section/clause, record monthly score which will be colored automatically according to score visualization database</t>
  </si>
  <si>
    <t>For each section/clause, record last audit date, auditor and last comment/observation to be reviewed</t>
  </si>
  <si>
    <t>View audit dashboard by expanding top zone using expand sign + in left side area</t>
  </si>
  <si>
    <t>To maximize display view, click on Full Screen button</t>
  </si>
  <si>
    <t>To update charts, trends and dashboard data source reflection, click the Refresh Data button</t>
  </si>
  <si>
    <t xml:space="preserve">Internal Audting is an independent, objective assurance and consulting activity designed to add value to and improve and organization's operations. </t>
  </si>
  <si>
    <t>It helps an organization accomplish its objectives by bringing a systematic, disciplined approach to evaluate and improve the effectiveness of risk management, control and governance processes.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</si>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</sst>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0.0"/>
    <numFmt numFmtId="166" formatCode="[$-409]d\-mmm\-yy;@"/>
  </numFmts>
  <fonts count="26"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0"/>
      <color rgb="FF50B47F"/>
      <name val="Arial"/>
      <family val="2"/>
    </font>
    <font>
      <sz val="10"/>
      <color theme="1" tint="0.34998626667073579"/>
      <name val="Arial"/>
      <family val="2"/>
    </font>
    <font>
      <sz val="10"/>
      <color rgb="FF000000"/>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34998626667073579"/>
        <bgColor indexed="64"/>
      </patternFill>
    </fill>
  </fills>
  <borders count="23">
    <border>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style="thin">
        <color theme="0" tint="-0.14996795556505021"/>
      </left>
      <right/>
      <top/>
      <bottom style="thick">
        <color theme="0" tint="-0.14993743705557422"/>
      </bottom>
      <diagonal/>
    </border>
    <border>
      <left style="thin">
        <color theme="0" tint="-0.14993743705557422"/>
      </left>
      <right style="thin">
        <color theme="0" tint="-0.14993743705557422"/>
      </right>
      <top/>
      <bottom style="thick">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right style="thin">
        <color theme="0" tint="-0.14993743705557422"/>
      </right>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thin">
        <color theme="0" tint="-0.14993743705557422"/>
      </left>
      <right/>
      <top/>
      <bottom style="thin">
        <color theme="0" tint="-0.14993743705557422"/>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style="thin">
        <color theme="0" tint="-0.14993743705557422"/>
      </right>
      <top style="thin">
        <color theme="0" tint="-0.14993743705557422"/>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9" fontId="3" fillId="0" borderId="0" applyFont="0" applyFill="0" applyBorder="0" applyAlignment="0" applyProtection="0"/>
    <xf numFmtId="0" fontId="20" fillId="6" borderId="0" applyNumberFormat="0" applyBorder="0" applyAlignment="0" applyProtection="0"/>
    <xf numFmtId="0" fontId="21" fillId="7" borderId="0" applyNumberFormat="0" applyBorder="0" applyAlignment="0" applyProtection="0"/>
    <xf numFmtId="0" fontId="22" fillId="8" borderId="0" applyNumberFormat="0" applyBorder="0" applyAlignment="0" applyProtection="0"/>
  </cellStyleXfs>
  <cellXfs count="78">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0" fillId="2" borderId="0" xfId="2" applyFont="1" applyFill="1"/>
    <xf numFmtId="0" fontId="4" fillId="2" borderId="0" xfId="2" applyFont="1" applyFill="1"/>
    <xf numFmtId="0" fontId="11" fillId="2" borderId="0" xfId="1" applyFont="1" applyFill="1"/>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0" fillId="3" borderId="0" xfId="0" applyFill="1"/>
    <xf numFmtId="0" fontId="7" fillId="0" borderId="0" xfId="1"/>
    <xf numFmtId="0" fontId="0" fillId="3" borderId="0" xfId="0" applyFill="1" applyAlignment="1">
      <alignment horizontal="center" vertical="center" wrapText="1"/>
    </xf>
    <xf numFmtId="0" fontId="0" fillId="0" borderId="0" xfId="0" applyAlignment="1">
      <alignment horizontal="center" vertical="center" wrapText="1"/>
    </xf>
    <xf numFmtId="0" fontId="17" fillId="3" borderId="0" xfId="0" applyFont="1" applyFill="1"/>
    <xf numFmtId="0" fontId="18" fillId="4" borderId="2"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4" borderId="5" xfId="0" applyFont="1" applyFill="1" applyBorder="1" applyAlignment="1">
      <alignment horizontal="center" vertical="center" wrapText="1"/>
    </xf>
    <xf numFmtId="0" fontId="19" fillId="3" borderId="0" xfId="0" applyFont="1" applyFill="1" applyAlignment="1">
      <alignment horizontal="center"/>
    </xf>
    <xf numFmtId="0" fontId="23" fillId="0" borderId="0" xfId="0" applyFont="1" applyAlignment="1">
      <alignment vertical="center"/>
    </xf>
    <xf numFmtId="0" fontId="14" fillId="0" borderId="0" xfId="1" applyFont="1" applyFill="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4" fillId="0" borderId="0" xfId="1" applyNumberFormat="1" applyFont="1" applyFill="1" applyAlignment="1" applyProtection="1">
      <alignment horizontal="center" vertical="center" wrapText="1"/>
      <protection locked="0"/>
    </xf>
    <xf numFmtId="0" fontId="20" fillId="6" borderId="0" xfId="11" applyAlignment="1" applyProtection="1">
      <alignment horizontal="center" vertical="center" wrapText="1"/>
      <protection locked="0"/>
    </xf>
    <xf numFmtId="0" fontId="22" fillId="8" borderId="0" xfId="13" applyAlignment="1" applyProtection="1">
      <alignment horizontal="center" vertical="center" wrapText="1"/>
      <protection locked="0"/>
    </xf>
    <xf numFmtId="0" fontId="21" fillId="7" borderId="0" xfId="12" applyAlignment="1" applyProtection="1">
      <alignment horizontal="center" vertical="center" wrapText="1"/>
      <protection locked="0"/>
    </xf>
    <xf numFmtId="0" fontId="0" fillId="3" borderId="0" xfId="0" applyFill="1" applyAlignment="1" applyProtection="1">
      <alignment horizontal="center" vertical="center" wrapText="1"/>
      <protection locked="0"/>
    </xf>
    <xf numFmtId="0" fontId="0" fillId="0" borderId="0" xfId="0" applyAlignment="1">
      <alignment vertical="center"/>
    </xf>
    <xf numFmtId="0" fontId="18" fillId="2" borderId="8" xfId="0" applyFont="1" applyFill="1" applyBorder="1" applyAlignment="1">
      <alignment horizontal="center" vertical="center" wrapText="1"/>
    </xf>
    <xf numFmtId="0" fontId="18" fillId="2" borderId="9" xfId="0" applyFont="1" applyFill="1" applyBorder="1" applyAlignment="1">
      <alignment horizontal="center" vertical="center" wrapText="1"/>
    </xf>
    <xf numFmtId="0" fontId="18" fillId="9" borderId="9" xfId="0" applyFont="1" applyFill="1" applyBorder="1" applyAlignment="1">
      <alignment horizontal="center" vertical="center" wrapText="1"/>
    </xf>
    <xf numFmtId="0" fontId="18" fillId="2" borderId="10" xfId="0" applyFont="1" applyFill="1" applyBorder="1" applyAlignment="1">
      <alignment horizontal="center" vertical="center" wrapText="1"/>
    </xf>
    <xf numFmtId="0" fontId="24" fillId="3" borderId="1" xfId="0" applyFont="1" applyFill="1" applyBorder="1" applyAlignment="1">
      <alignment vertical="center" wrapText="1"/>
    </xf>
    <xf numFmtId="0" fontId="0" fillId="0" borderId="1" xfId="0" applyBorder="1" applyAlignment="1">
      <alignment horizontal="center" vertical="center" wrapText="1"/>
    </xf>
    <xf numFmtId="0" fontId="0" fillId="0" borderId="6" xfId="0" applyBorder="1" applyAlignment="1">
      <alignment vertical="center" wrapText="1"/>
    </xf>
    <xf numFmtId="165" fontId="24" fillId="3" borderId="1" xfId="0" applyNumberFormat="1" applyFont="1" applyFill="1" applyBorder="1" applyAlignment="1">
      <alignment horizontal="center" vertical="center" wrapText="1"/>
    </xf>
    <xf numFmtId="165" fontId="0" fillId="0" borderId="1" xfId="0" applyNumberFormat="1" applyBorder="1" applyAlignment="1">
      <alignment horizontal="center" vertical="center" wrapText="1"/>
    </xf>
    <xf numFmtId="165" fontId="14" fillId="0" borderId="0" xfId="1" applyNumberFormat="1" applyFont="1" applyFill="1" applyAlignment="1" applyProtection="1">
      <alignment horizontal="center" vertical="center" wrapText="1"/>
      <protection locked="0"/>
    </xf>
    <xf numFmtId="165" fontId="14" fillId="0" borderId="0" xfId="0" applyNumberFormat="1" applyFont="1" applyAlignment="1" applyProtection="1">
      <alignment horizontal="center" vertical="center" wrapText="1"/>
      <protection locked="0"/>
    </xf>
    <xf numFmtId="9" fontId="24" fillId="3" borderId="1" xfId="10" applyFont="1" applyFill="1" applyBorder="1" applyAlignment="1">
      <alignment horizontal="center" vertical="center" wrapText="1"/>
    </xf>
    <xf numFmtId="0" fontId="0" fillId="3" borderId="1" xfId="0" applyFill="1" applyBorder="1" applyAlignment="1">
      <alignment horizontal="center" vertical="center" wrapText="1"/>
    </xf>
    <xf numFmtId="14" fontId="14" fillId="5" borderId="9" xfId="0" applyNumberFormat="1" applyFont="1" applyFill="1" applyBorder="1" applyAlignment="1">
      <alignment horizontal="center" vertical="center" wrapText="1"/>
    </xf>
    <xf numFmtId="0" fontId="0" fillId="0" borderId="7"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24" fillId="3" borderId="13" xfId="0" applyFont="1" applyFill="1" applyBorder="1" applyAlignment="1">
      <alignment vertical="center" wrapText="1"/>
    </xf>
    <xf numFmtId="165" fontId="24" fillId="3" borderId="13" xfId="0" applyNumberFormat="1" applyFont="1" applyFill="1" applyBorder="1" applyAlignment="1">
      <alignment horizontal="center" vertical="center" wrapText="1"/>
    </xf>
    <xf numFmtId="165" fontId="0" fillId="0" borderId="13" xfId="0" applyNumberFormat="1" applyBorder="1" applyAlignment="1">
      <alignment horizontal="center" vertical="center" wrapText="1"/>
    </xf>
    <xf numFmtId="9" fontId="24" fillId="3" borderId="13" xfId="10" applyFont="1" applyFill="1" applyBorder="1" applyAlignment="1">
      <alignment horizontal="center" vertical="center" wrapText="1"/>
    </xf>
    <xf numFmtId="0" fontId="0" fillId="3" borderId="13" xfId="0" applyFill="1" applyBorder="1" applyAlignment="1">
      <alignment horizontal="center" vertical="center" wrapText="1"/>
    </xf>
    <xf numFmtId="0" fontId="0" fillId="0" borderId="11" xfId="0" applyBorder="1" applyAlignment="1">
      <alignment vertical="center" wrapText="1"/>
    </xf>
    <xf numFmtId="166" fontId="0" fillId="0" borderId="1" xfId="0" applyNumberFormat="1" applyBorder="1" applyAlignment="1">
      <alignment horizontal="center" vertical="center" wrapText="1"/>
    </xf>
    <xf numFmtId="166" fontId="0" fillId="0" borderId="13" xfId="0" applyNumberFormat="1" applyBorder="1" applyAlignment="1">
      <alignment horizontal="center" vertical="center" wrapText="1"/>
    </xf>
    <xf numFmtId="165" fontId="0" fillId="0" borderId="0" xfId="0" applyNumberFormat="1"/>
    <xf numFmtId="0" fontId="0" fillId="0" borderId="0" xfId="0" pivotButton="1"/>
    <xf numFmtId="0" fontId="0" fillId="0" borderId="0" xfId="0" applyAlignment="1">
      <alignment horizontal="left"/>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165" fontId="18" fillId="0" borderId="0" xfId="0" applyNumberFormat="1" applyFont="1"/>
    <xf numFmtId="165" fontId="6" fillId="3" borderId="1" xfId="0" applyNumberFormat="1" applyFont="1" applyFill="1" applyBorder="1" applyAlignment="1">
      <alignment horizontal="center" vertical="center" wrapText="1"/>
    </xf>
    <xf numFmtId="165" fontId="6" fillId="3" borderId="13" xfId="0" applyNumberFormat="1" applyFont="1" applyFill="1" applyBorder="1" applyAlignment="1">
      <alignment horizontal="center" vertical="center" wrapText="1"/>
    </xf>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0" fontId="19" fillId="3" borderId="0" xfId="0" applyFont="1" applyFill="1" applyAlignment="1">
      <alignment horizontal="center"/>
    </xf>
  </cellXfs>
  <cellStyles count="14">
    <cellStyle name="Bad" xfId="12" builtinId="27"/>
    <cellStyle name="Comma 2" xfId="6" xr:uid="{70B95B68-42E5-4134-B60C-D53D63EA8C64}"/>
    <cellStyle name="Comma 3" xfId="9" xr:uid="{E6060E65-816D-42A3-BC2B-BC7AE08DF09F}"/>
    <cellStyle name="Good" xfId="11" builtinId="26"/>
    <cellStyle name="Hyperlink" xfId="1" builtinId="8"/>
    <cellStyle name="Neutral" xfId="13"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0" builtinId="5"/>
    <cellStyle name="Percent 2" xfId="5" xr:uid="{1D541CDC-ACE8-4B54-AB6D-F143BBC82663}"/>
    <cellStyle name="Percent 3" xfId="8" xr:uid="{C04F5020-2218-4635-A7A5-19093E1C865B}"/>
  </cellStyles>
  <dxfs count="44">
    <dxf>
      <numFmt numFmtId="165" formatCode="0.0"/>
    </dxf>
    <dxf>
      <numFmt numFmtId="165" formatCode="0.0"/>
    </dxf>
    <dxf>
      <alignment horizontal="general" vertical="center" textRotation="0" wrapText="1" indent="0" justifyLastLine="0" shrinkToFit="0" readingOrder="0"/>
      <border diagonalUp="0" diagonalDown="0" outline="0">
        <left style="thin">
          <color theme="0" tint="-0.14993743705557422"/>
        </left>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6" formatCode="[$-409]d\-mmm\-yy;@"/>
      <fill>
        <patternFill patternType="none">
          <fgColor indexed="64"/>
          <bgColor auto="1"/>
        </patternFill>
      </fill>
      <alignment horizontal="center" vertical="center" textRotation="0" wrapText="1" indent="0" justifyLastLine="0" shrinkToFit="0" readingOrder="0"/>
      <border diagonalUp="0" diagonalDown="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0"/>
        <color theme="1" tint="0.34998626667073579"/>
        <name val="Arial"/>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right style="thin">
          <color theme="0" tint="-0.14993743705557422"/>
        </right>
        <top style="thin">
          <color theme="0" tint="-0.14993743705557422"/>
        </top>
        <bottom style="thin">
          <color theme="0" tint="-0.14993743705557422"/>
        </bottom>
      </border>
    </dxf>
    <dxf>
      <font>
        <b/>
      </font>
      <numFmt numFmtId="165" formatCode="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5" formatCode="0.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b val="0"/>
        <i val="0"/>
        <strike val="0"/>
        <condense val="0"/>
        <extend val="0"/>
        <outline val="0"/>
        <shadow val="0"/>
        <u val="none"/>
        <vertAlign val="baseline"/>
        <sz val="10"/>
        <color theme="1" tint="0.34998626667073579"/>
        <name val="Arial"/>
        <family val="2"/>
        <scheme val="none"/>
      </font>
      <numFmt numFmtId="165" formatCode="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ont>
        <strike val="0"/>
        <outline val="0"/>
        <shadow val="0"/>
        <u val="none"/>
        <vertAlign val="baseline"/>
        <sz val="10"/>
        <color theme="1" tint="0.34998626667073579"/>
        <name val="Arial"/>
        <family val="2"/>
        <scheme val="none"/>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right style="thin">
          <color theme="0" tint="-0.14993743705557422"/>
        </right>
        <top style="thin">
          <color theme="0" tint="-0.14993743705557422"/>
        </top>
        <bottom style="thin">
          <color theme="0" tint="-0.149937437055574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alignment horizontal="general" vertical="center" textRotation="0" wrapText="1" indent="0" justifyLastLine="0" shrinkToFit="0" readingOrder="0"/>
    </dxf>
    <dxf>
      <border>
        <bottom style="thin">
          <color theme="0" tint="-0.14993743705557422"/>
        </bottom>
      </border>
    </dxf>
    <dxf>
      <font>
        <b val="0"/>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left style="thin">
          <color theme="0" tint="-0.14993743705557422"/>
        </left>
        <right style="thin">
          <color theme="0" tint="-0.14993743705557422"/>
        </right>
        <top/>
        <bottom/>
        <vertical style="thin">
          <color theme="0" tint="-0.14993743705557422"/>
        </vertical>
        <horizontal style="thin">
          <color theme="0" tint="-0.14993743705557422"/>
        </horizontal>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3CCED536-0FF5-4B34-9D68-40CD17D2056D}"/>
    <tableStyle name="PivotTable Style 1" table="0" count="5" xr9:uid="{3831004B-067D-418F-BD50-A3986E0D4865}">
      <tableStyleElement type="headerRow" dxfId="43"/>
      <tableStyleElement type="totalRow" dxfId="42"/>
      <tableStyleElement type="lastColumn" dxfId="41"/>
      <tableStyleElement type="pageFieldLabels" dxfId="40"/>
      <tableStyleElement type="pageFieldValues" dxfId="39"/>
    </tableStyle>
    <tableStyle name="Slicer Style 1" pivot="0" table="0" count="8" xr9:uid="{6B0103B1-AE5E-4E9B-A35E-CDD51150C899}">
      <tableStyleElement type="wholeTable" dxfId="38"/>
    </tableStyle>
    <tableStyle name="Timeline Style 1" pivot="0" table="0" count="8" xr9:uid="{E7FBEFCC-9E91-45D6-9FD4-D3137AAC2CB6}">
      <tableStyleElement type="wholeTable" dxfId="37"/>
      <tableStyleElement type="headerRow" dxfId="36"/>
    </tableStyle>
  </tableStyles>
  <colors>
    <mruColors>
      <color rgb="FF8FCFAD"/>
      <color rgb="FF50B47F"/>
      <color rgb="FF8A0000"/>
      <color rgb="FFFF6565"/>
      <color rgb="FFFF5353"/>
      <color rgb="FFFF9797"/>
      <color rgb="FFFF3B3B"/>
      <color rgb="FFFF6161"/>
      <color rgb="FFFFF5D9"/>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[Internal Audit Evaluation.xlsm]Sheet3!PivotTable3</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cmpd="sng" algn="ctr">
            <a:solidFill>
              <a:srgbClr val="50B47F"/>
            </a:solidFill>
            <a:prstDash val="sysDot"/>
            <a:round/>
          </a:ln>
          <a:effectLst/>
        </c:spPr>
        <c:marker>
          <c:symbol val="circle"/>
          <c:size val="6"/>
          <c:spPr>
            <a:solidFill>
              <a:srgbClr val="50B47F"/>
            </a:solidFill>
            <a:ln>
              <a:no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radarChart>
        <c:radarStyle val="marker"/>
        <c:varyColors val="0"/>
        <c:ser>
          <c:idx val="0"/>
          <c:order val="0"/>
          <c:tx>
            <c:strRef>
              <c:f>Sheet3!$C$4</c:f>
              <c:strCache>
                <c:ptCount val="1"/>
                <c:pt idx="0">
                  <c:v>Total</c:v>
                </c:pt>
              </c:strCache>
            </c:strRef>
          </c:tx>
          <c:spPr>
            <a:ln w="25400" cap="rnd" cmpd="sng" algn="ctr">
              <a:solidFill>
                <a:srgbClr val="50B47F"/>
              </a:solidFill>
              <a:prstDash val="sysDot"/>
              <a:round/>
            </a:ln>
            <a:effectLst/>
          </c:spPr>
          <c:marker>
            <c:symbol val="circle"/>
            <c:size val="6"/>
            <c:spPr>
              <a:solidFill>
                <a:srgbClr val="50B47F"/>
              </a:solidFill>
              <a:ln>
                <a:noFill/>
              </a:ln>
              <a:effectLst/>
            </c:spPr>
          </c:marker>
          <c:cat>
            <c:strRef>
              <c:f>Sheet3!$B$5:$B$14</c:f>
              <c:strCache>
                <c:ptCount val="9"/>
                <c:pt idx="0">
                  <c:v>Delivery</c:v>
                </c:pt>
                <c:pt idx="1">
                  <c:v>Development</c:v>
                </c:pt>
                <c:pt idx="2">
                  <c:v>Finance</c:v>
                </c:pt>
                <c:pt idx="3">
                  <c:v>Planning</c:v>
                </c:pt>
                <c:pt idx="4">
                  <c:v>Procurement</c:v>
                </c:pt>
                <c:pt idx="5">
                  <c:v>Production</c:v>
                </c:pt>
                <c:pt idx="6">
                  <c:v>Purchasing</c:v>
                </c:pt>
                <c:pt idx="7">
                  <c:v>Quality Assurance</c:v>
                </c:pt>
                <c:pt idx="8">
                  <c:v>Warehouse</c:v>
                </c:pt>
              </c:strCache>
            </c:strRef>
          </c:cat>
          <c:val>
            <c:numRef>
              <c:f>Sheet3!$C$5:$C$14</c:f>
              <c:numCache>
                <c:formatCode>0.0</c:formatCode>
                <c:ptCount val="9"/>
                <c:pt idx="0">
                  <c:v>6.4722222222222223</c:v>
                </c:pt>
                <c:pt idx="1">
                  <c:v>6.4722222222222214</c:v>
                </c:pt>
                <c:pt idx="2">
                  <c:v>7.5833333333333339</c:v>
                </c:pt>
                <c:pt idx="3">
                  <c:v>6.416666666666667</c:v>
                </c:pt>
                <c:pt idx="4">
                  <c:v>8.0833333333333339</c:v>
                </c:pt>
                <c:pt idx="5">
                  <c:v>7.416666666666667</c:v>
                </c:pt>
                <c:pt idx="6">
                  <c:v>6.7083333333333321</c:v>
                </c:pt>
                <c:pt idx="7">
                  <c:v>5.75</c:v>
                </c:pt>
                <c:pt idx="8">
                  <c:v>6.5</c:v>
                </c:pt>
              </c:numCache>
            </c:numRef>
          </c:val>
          <c:extLst>
            <c:ext xmlns:c16="http://schemas.microsoft.com/office/drawing/2014/chart" uri="{C3380CC4-5D6E-409C-BE32-E72D297353CC}">
              <c16:uniqueId val="{00000000-F5EE-414F-9711-F7BF54C239D1}"/>
            </c:ext>
          </c:extLst>
        </c:ser>
        <c:dLbls>
          <c:showLegendKey val="0"/>
          <c:showVal val="0"/>
          <c:showCatName val="0"/>
          <c:showSerName val="0"/>
          <c:showPercent val="0"/>
          <c:showBubbleSize val="0"/>
        </c:dLbls>
        <c:axId val="1893830831"/>
        <c:axId val="1893847055"/>
      </c:radarChart>
      <c:catAx>
        <c:axId val="189383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93847055"/>
        <c:crosses val="autoZero"/>
        <c:auto val="1"/>
        <c:lblAlgn val="ctr"/>
        <c:lblOffset val="100"/>
        <c:noMultiLvlLbl val="0"/>
      </c:catAx>
      <c:valAx>
        <c:axId val="18938470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830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[Internal Audit Evaluation.xlsm]Sheet3!PivotTable4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solidFill>
                  <a:schemeClr val="tx1">
                    <a:lumMod val="65000"/>
                    <a:lumOff val="35000"/>
                  </a:schemeClr>
                </a:solidFill>
                <a:latin typeface="Arial" panose="020B0604020202020204" pitchFamily="34" charset="0"/>
                <a:cs typeface="Arial" panose="020B0604020202020204" pitchFamily="34" charset="0"/>
              </a:rPr>
              <a:t>Overall Score Per Audit Section</a:t>
            </a:r>
          </a:p>
        </c:rich>
      </c:tx>
      <c:layout>
        <c:manualLayout>
          <c:xMode val="edge"/>
          <c:yMode val="edge"/>
          <c:x val="0.2992115179977207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231492396969432"/>
          <c:y val="0.11746347479084555"/>
          <c:w val="0.60657398001842866"/>
          <c:h val="0.8568790884152776"/>
        </c:manualLayout>
      </c:layout>
      <c:barChart>
        <c:barDir val="bar"/>
        <c:grouping val="clustered"/>
        <c:varyColors val="0"/>
        <c:ser>
          <c:idx val="0"/>
          <c:order val="0"/>
          <c:tx>
            <c:strRef>
              <c:f>Sheet3!$F$4</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Sheet3!$E$5:$E$22</c:f>
              <c:strCache>
                <c:ptCount val="17"/>
                <c:pt idx="0">
                  <c:v>Finished Goods</c:v>
                </c:pt>
                <c:pt idx="1">
                  <c:v>Incoming Control</c:v>
                </c:pt>
                <c:pt idx="2">
                  <c:v>Leadership and commitment</c:v>
                </c:pt>
                <c:pt idx="3">
                  <c:v>Non Conformance Reports</c:v>
                </c:pt>
                <c:pt idx="4">
                  <c:v>Policy</c:v>
                </c:pt>
                <c:pt idx="5">
                  <c:v>Section 10</c:v>
                </c:pt>
                <c:pt idx="6">
                  <c:v>Section 11</c:v>
                </c:pt>
                <c:pt idx="7">
                  <c:v>Section 12</c:v>
                </c:pt>
                <c:pt idx="8">
                  <c:v>Section 13</c:v>
                </c:pt>
                <c:pt idx="9">
                  <c:v>Section 14</c:v>
                </c:pt>
                <c:pt idx="10">
                  <c:v>Section 15</c:v>
                </c:pt>
                <c:pt idx="11">
                  <c:v>Section 16</c:v>
                </c:pt>
                <c:pt idx="12">
                  <c:v>Section 17</c:v>
                </c:pt>
                <c:pt idx="13">
                  <c:v>Section 18</c:v>
                </c:pt>
                <c:pt idx="14">
                  <c:v>Section 19</c:v>
                </c:pt>
                <c:pt idx="15">
                  <c:v>Section 20</c:v>
                </c:pt>
                <c:pt idx="16">
                  <c:v>Warehousing</c:v>
                </c:pt>
              </c:strCache>
            </c:strRef>
          </c:cat>
          <c:val>
            <c:numRef>
              <c:f>Sheet3!$F$5:$F$22</c:f>
              <c:numCache>
                <c:formatCode>0.0</c:formatCode>
                <c:ptCount val="17"/>
                <c:pt idx="0">
                  <c:v>4.75</c:v>
                </c:pt>
                <c:pt idx="1">
                  <c:v>5.25</c:v>
                </c:pt>
                <c:pt idx="2">
                  <c:v>8.8333333333333339</c:v>
                </c:pt>
                <c:pt idx="3">
                  <c:v>6.166666666666667</c:v>
                </c:pt>
                <c:pt idx="4">
                  <c:v>5.833333333333333</c:v>
                </c:pt>
                <c:pt idx="5">
                  <c:v>6.2916666666666661</c:v>
                </c:pt>
                <c:pt idx="6">
                  <c:v>6.333333333333333</c:v>
                </c:pt>
                <c:pt idx="7">
                  <c:v>7.3055555555555545</c:v>
                </c:pt>
                <c:pt idx="8">
                  <c:v>6.833333333333333</c:v>
                </c:pt>
                <c:pt idx="9">
                  <c:v>6.75</c:v>
                </c:pt>
                <c:pt idx="10">
                  <c:v>6</c:v>
                </c:pt>
                <c:pt idx="11">
                  <c:v>6.416666666666667</c:v>
                </c:pt>
                <c:pt idx="12">
                  <c:v>6.25</c:v>
                </c:pt>
                <c:pt idx="13">
                  <c:v>6.166666666666667</c:v>
                </c:pt>
                <c:pt idx="14">
                  <c:v>8.5833333333333339</c:v>
                </c:pt>
                <c:pt idx="15">
                  <c:v>7.416666666666667</c:v>
                </c:pt>
                <c:pt idx="16">
                  <c:v>7.3611111111111116</c:v>
                </c:pt>
              </c:numCache>
            </c:numRef>
          </c:val>
          <c:extLst>
            <c:ext xmlns:c16="http://schemas.microsoft.com/office/drawing/2014/chart" uri="{C3380CC4-5D6E-409C-BE32-E72D297353CC}">
              <c16:uniqueId val="{00000000-0F5D-4E7F-9FD8-7CDDBB6076BF}"/>
            </c:ext>
          </c:extLst>
        </c:ser>
        <c:dLbls>
          <c:dLblPos val="outEnd"/>
          <c:showLegendKey val="0"/>
          <c:showVal val="1"/>
          <c:showCatName val="0"/>
          <c:showSerName val="0"/>
          <c:showPercent val="0"/>
          <c:showBubbleSize val="0"/>
        </c:dLbls>
        <c:gapWidth val="182"/>
        <c:axId val="1893823759"/>
        <c:axId val="1893849135"/>
      </c:barChart>
      <c:catAx>
        <c:axId val="1893823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93849135"/>
        <c:crosses val="autoZero"/>
        <c:auto val="1"/>
        <c:lblAlgn val="ctr"/>
        <c:lblOffset val="100"/>
        <c:noMultiLvlLbl val="0"/>
      </c:catAx>
      <c:valAx>
        <c:axId val="1893849135"/>
        <c:scaling>
          <c:orientation val="minMax"/>
        </c:scaling>
        <c:delete val="1"/>
        <c:axPos val="b"/>
        <c:numFmt formatCode="0.0" sourceLinked="1"/>
        <c:majorTickMark val="none"/>
        <c:minorTickMark val="none"/>
        <c:tickLblPos val="nextTo"/>
        <c:crossAx val="1893823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Monthly Score</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'Audit Evaluation'!$G$17:$R$17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'Audit Evaluation'!$G$16:$R$16</c:f>
            </c:numRef>
          </c:val>
          <c:smooth val="0"/>
          <c:extLst>
            <c:ext xmlns:c16="http://schemas.microsoft.com/office/drawing/2014/chart" uri="{C3380CC4-5D6E-409C-BE32-E72D297353CC}">
              <c16:uniqueId val="{00000003-8A2A-4861-8A33-9D89311BAEC3}"/>
            </c:ext>
          </c:extLst>
        </c:ser>
        <c:dLbls>
          <c:showLegendKey val="0"/>
          <c:showVal val="0"/>
          <c:showCatName val="0"/>
          <c:showSerName val="0"/>
          <c:showPercent val="0"/>
          <c:showBubbleSize val="0"/>
        </c:dLbls>
        <c:marker val="1"/>
        <c:smooth val="0"/>
        <c:axId val="657431471"/>
        <c:axId val="657435631"/>
      </c:lineChart>
      <c:catAx>
        <c:axId val="65743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435631"/>
        <c:crosses val="autoZero"/>
        <c:auto val="1"/>
        <c:lblAlgn val="ctr"/>
        <c:lblOffset val="100"/>
        <c:noMultiLvlLbl val="0"/>
      </c:catAx>
      <c:valAx>
        <c:axId val="65743563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7431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47624</xdr:colOff>
      <xdr:row>40</xdr:row>
      <xdr:rowOff>19050</xdr:rowOff>
    </xdr:from>
    <xdr:to>
      <xdr:col>12</xdr:col>
      <xdr:colOff>437029</xdr:colOff>
      <xdr:row>44</xdr:row>
      <xdr:rowOff>38100</xdr:rowOff>
    </xdr:to>
    <xdr:grpSp>
      <xdr:nvGrpSpPr>
        <xdr:cNvPr id="3" name="Group 2">
          <a:extLst>
            <a:ext uri="{FF2B5EF4-FFF2-40B4-BE49-F238E27FC236}">
              <a16:creationId xmlns:a16="http://schemas.microsoft.com/office/drawing/2014/main" id="{B3172BB9-F75A-4679-99CC-D91AFF472046}"/>
            </a:ext>
          </a:extLst>
        </xdr:cNvPr>
        <xdr:cNvGrpSpPr/>
      </xdr:nvGrpSpPr>
      <xdr:grpSpPr>
        <a:xfrm>
          <a:off x="5090271" y="6473638"/>
          <a:ext cx="6440582" cy="781050"/>
          <a:chOff x="4257674" y="8324850"/>
          <a:chExt cx="7353301" cy="666750"/>
        </a:xfrm>
      </xdr:grpSpPr>
      <xdr:pic>
        <xdr:nvPicPr>
          <xdr:cNvPr id="4" name="Picture 3">
            <a:extLst>
              <a:ext uri="{FF2B5EF4-FFF2-40B4-BE49-F238E27FC236}">
                <a16:creationId xmlns:a16="http://schemas.microsoft.com/office/drawing/2014/main" id="{AE404E71-534E-46DE-9D4C-59E23D0FFE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9514287C-7C0E-4B23-A45C-BCB48DF5FE6F}"/>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D895CD04-0247-4D14-8B08-59FC60FE8677}"/>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48</xdr:row>
      <xdr:rowOff>95250</xdr:rowOff>
    </xdr:from>
    <xdr:to>
      <xdr:col>12</xdr:col>
      <xdr:colOff>456079</xdr:colOff>
      <xdr:row>52</xdr:row>
      <xdr:rowOff>114300</xdr:rowOff>
    </xdr:to>
    <xdr:grpSp>
      <xdr:nvGrpSpPr>
        <xdr:cNvPr id="7" name="Group 6">
          <a:extLst>
            <a:ext uri="{FF2B5EF4-FFF2-40B4-BE49-F238E27FC236}">
              <a16:creationId xmlns:a16="http://schemas.microsoft.com/office/drawing/2014/main" id="{DF63EE4D-164E-4DD9-8279-BDC5D4FB45B8}"/>
            </a:ext>
          </a:extLst>
        </xdr:cNvPr>
        <xdr:cNvGrpSpPr/>
      </xdr:nvGrpSpPr>
      <xdr:grpSpPr>
        <a:xfrm>
          <a:off x="5109321" y="8073838"/>
          <a:ext cx="6440582" cy="781050"/>
          <a:chOff x="4276724" y="9696450"/>
          <a:chExt cx="7353301" cy="666750"/>
        </a:xfrm>
      </xdr:grpSpPr>
      <xdr:pic>
        <xdr:nvPicPr>
          <xdr:cNvPr id="8" name="Picture 7">
            <a:extLst>
              <a:ext uri="{FF2B5EF4-FFF2-40B4-BE49-F238E27FC236}">
                <a16:creationId xmlns:a16="http://schemas.microsoft.com/office/drawing/2014/main" id="{83D77FFF-5B24-4826-BC6C-B0FF4F3E782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3CBB9DE7-D11E-477E-88C0-E58AC496DA3C}"/>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54</xdr:row>
      <xdr:rowOff>47625</xdr:rowOff>
    </xdr:from>
    <xdr:to>
      <xdr:col>12</xdr:col>
      <xdr:colOff>420024</xdr:colOff>
      <xdr:row>58</xdr:row>
      <xdr:rowOff>133350</xdr:rowOff>
    </xdr:to>
    <xdr:grpSp>
      <xdr:nvGrpSpPr>
        <xdr:cNvPr id="10" name="Group 9">
          <a:extLst>
            <a:ext uri="{FF2B5EF4-FFF2-40B4-BE49-F238E27FC236}">
              <a16:creationId xmlns:a16="http://schemas.microsoft.com/office/drawing/2014/main" id="{BB331497-FB2C-4AFE-886B-48A011884E6B}"/>
            </a:ext>
          </a:extLst>
        </xdr:cNvPr>
        <xdr:cNvGrpSpPr/>
      </xdr:nvGrpSpPr>
      <xdr:grpSpPr>
        <a:xfrm>
          <a:off x="5128372" y="9169213"/>
          <a:ext cx="6385476" cy="847725"/>
          <a:chOff x="4295775" y="10620375"/>
          <a:chExt cx="7334250" cy="733425"/>
        </a:xfrm>
      </xdr:grpSpPr>
      <xdr:pic>
        <xdr:nvPicPr>
          <xdr:cNvPr id="11" name="Picture 10">
            <a:extLst>
              <a:ext uri="{FF2B5EF4-FFF2-40B4-BE49-F238E27FC236}">
                <a16:creationId xmlns:a16="http://schemas.microsoft.com/office/drawing/2014/main" id="{8C7DCDEF-B17A-4BF8-8BFC-77BBFBC0984C}"/>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78B60AB3-EC4D-4E7E-B03A-FB63EF143149}"/>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23812</xdr:colOff>
      <xdr:row>0</xdr:row>
      <xdr:rowOff>11906</xdr:rowOff>
    </xdr:from>
    <xdr:to>
      <xdr:col>3</xdr:col>
      <xdr:colOff>797719</xdr:colOff>
      <xdr:row>15</xdr:row>
      <xdr:rowOff>171450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357187</xdr:colOff>
      <xdr:row>0</xdr:row>
      <xdr:rowOff>11907</xdr:rowOff>
    </xdr:from>
    <xdr:to>
      <xdr:col>4</xdr:col>
      <xdr:colOff>1678781</xdr:colOff>
      <xdr:row>15</xdr:row>
      <xdr:rowOff>178594</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238123</xdr:colOff>
      <xdr:row>0</xdr:row>
      <xdr:rowOff>35719</xdr:rowOff>
    </xdr:from>
    <xdr:to>
      <xdr:col>18</xdr:col>
      <xdr:colOff>119061</xdr:colOff>
      <xdr:row>15</xdr:row>
      <xdr:rowOff>178594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38100</xdr:colOff>
          <xdr:row>16</xdr:row>
          <xdr:rowOff>0</xdr:rowOff>
        </xdr:from>
        <xdr:to>
          <xdr:col>0</xdr:col>
          <xdr:colOff>1809750</xdr:colOff>
          <xdr:row>16</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304800</xdr:rowOff>
        </xdr:from>
        <xdr:to>
          <xdr:col>0</xdr:col>
          <xdr:colOff>1809750</xdr:colOff>
          <xdr:row>16</xdr:row>
          <xdr:rowOff>590550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0</xdr:colOff>
      <xdr:row>0</xdr:row>
      <xdr:rowOff>11908</xdr:rowOff>
    </xdr:from>
    <xdr:to>
      <xdr:col>0</xdr:col>
      <xdr:colOff>1828800</xdr:colOff>
      <xdr:row>9</xdr:row>
      <xdr:rowOff>107157</xdr:rowOff>
    </xdr:to>
    <mc:AlternateContent xmlns:mc="http://schemas.openxmlformats.org/markup-compatibility/2006" xmlns:a14="http://schemas.microsoft.com/office/drawing/2010/main">
      <mc:Choice Requires="a14">
        <xdr:graphicFrame macro="">
          <xdr:nvGraphicFramePr>
            <xdr:cNvPr id="7" name="Claus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Clause"/>
            </a:graphicData>
          </a:graphic>
        </xdr:graphicFrame>
      </mc:Choice>
      <mc:Fallback xmlns="">
        <xdr:sp macro="" textlink="">
          <xdr:nvSpPr>
            <xdr:cNvPr id="0" name=""/>
            <xdr:cNvSpPr>
              <a:spLocks noTextEdit="1"/>
            </xdr:cNvSpPr>
          </xdr:nvSpPr>
          <xdr:spPr>
            <a:xfrm>
              <a:off x="0" y="0"/>
              <a:ext cx="18288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107156</xdr:rowOff>
    </xdr:from>
    <xdr:to>
      <xdr:col>0</xdr:col>
      <xdr:colOff>1821656</xdr:colOff>
      <xdr:row>15</xdr:row>
      <xdr:rowOff>142875</xdr:rowOff>
    </xdr:to>
    <mc:AlternateContent xmlns:mc="http://schemas.openxmlformats.org/markup-compatibility/2006" xmlns:a14="http://schemas.microsoft.com/office/drawing/2010/main">
      <mc:Choice Requires="a14">
        <xdr:graphicFrame macro="">
          <xdr:nvGraphicFramePr>
            <xdr:cNvPr id="10" name="Status">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0"/>
              <a:ext cx="1821656"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26.944363194445" createdVersion="6" refreshedVersion="6" minRefreshableVersion="3" recordCount="22" xr:uid="{A7E51E1A-0E8B-4871-8C08-349F24807D72}">
  <cacheSource type="worksheet">
    <worksheetSource name="audit"/>
  </cacheSource>
  <cacheFields count="23">
    <cacheField name="Section" numFmtId="0">
      <sharedItems count="17">
        <s v="Warehousing"/>
        <s v="Leadership and commitment"/>
        <s v="Incoming Control"/>
        <s v="Finished Goods"/>
        <s v="Non Conformance Reports"/>
        <s v="Policy"/>
        <s v="Section 12"/>
        <s v="Section 10"/>
        <s v="Section 11"/>
        <s v="Section 13"/>
        <s v="Section 14"/>
        <s v="Section 15"/>
        <s v="Section 16"/>
        <s v="Section 17"/>
        <s v="Section 18"/>
        <s v="Section 19"/>
        <s v="Section 20"/>
      </sharedItems>
    </cacheField>
    <cacheField name="Clause" numFmtId="0">
      <sharedItems count="9">
        <s v="Awarness"/>
        <s v="Quality Objectives"/>
        <s v="Planning to changes"/>
        <s v="Management Review"/>
        <s v="Monitoring"/>
        <s v="4M Changes"/>
        <s v="Clause 7"/>
        <s v="Clause 8"/>
        <s v="Clause 9"/>
      </sharedItems>
    </cacheField>
    <cacheField name="Clause Description" numFmtId="0">
      <sharedItems/>
    </cacheField>
    <cacheField name="Related Department" numFmtId="0">
      <sharedItems count="9">
        <s v="Finance"/>
        <s v="Purchasing"/>
        <s v="Quality Assurance"/>
        <s v="Procurement"/>
        <s v="Delivery"/>
        <s v="Development"/>
        <s v="Warehouse"/>
        <s v="Planning"/>
        <s v="Production"/>
      </sharedItems>
    </cacheField>
    <cacheField name="Target Score" numFmtId="165">
      <sharedItems containsSemiMixedTypes="0" containsString="0" containsNumber="1" containsInteger="1" minValue="10" maxValue="10"/>
    </cacheField>
    <cacheField name="Jan" numFmtId="165">
      <sharedItems containsSemiMixedTypes="0" containsString="0" containsNumber="1" containsInteger="1" minValue="3" maxValue="9" count="5">
        <n v="8"/>
        <n v="5"/>
        <n v="9"/>
        <n v="3"/>
        <n v="6"/>
      </sharedItems>
    </cacheField>
    <cacheField name="Feb" numFmtId="165">
      <sharedItems containsSemiMixedTypes="0" containsString="0" containsNumber="1" containsInteger="1" minValue="3" maxValue="10"/>
    </cacheField>
    <cacheField name="Mar" numFmtId="165">
      <sharedItems containsSemiMixedTypes="0" containsString="0" containsNumber="1" containsInteger="1" minValue="3" maxValue="10"/>
    </cacheField>
    <cacheField name="Apr" numFmtId="165">
      <sharedItems containsSemiMixedTypes="0" containsString="0" containsNumber="1" containsInteger="1" minValue="4" maxValue="10"/>
    </cacheField>
    <cacheField name="May" numFmtId="165">
      <sharedItems containsSemiMixedTypes="0" containsString="0" containsNumber="1" containsInteger="1" minValue="3" maxValue="10"/>
    </cacheField>
    <cacheField name="Jun" numFmtId="165">
      <sharedItems containsSemiMixedTypes="0" containsString="0" containsNumber="1" containsInteger="1" minValue="3" maxValue="10"/>
    </cacheField>
    <cacheField name="Jul" numFmtId="165">
      <sharedItems containsSemiMixedTypes="0" containsString="0" containsNumber="1" containsInteger="1" minValue="3" maxValue="10"/>
    </cacheField>
    <cacheField name="Aug" numFmtId="165">
      <sharedItems containsSemiMixedTypes="0" containsString="0" containsNumber="1" containsInteger="1" minValue="3" maxValue="10"/>
    </cacheField>
    <cacheField name="Sep" numFmtId="165">
      <sharedItems containsSemiMixedTypes="0" containsString="0" containsNumber="1" containsInteger="1" minValue="3" maxValue="10"/>
    </cacheField>
    <cacheField name="Oct" numFmtId="165">
      <sharedItems containsSemiMixedTypes="0" containsString="0" containsNumber="1" containsInteger="1" minValue="3" maxValue="10"/>
    </cacheField>
    <cacheField name="Nov" numFmtId="165">
      <sharedItems containsSemiMixedTypes="0" containsString="0" containsNumber="1" containsInteger="1" minValue="3" maxValue="10"/>
    </cacheField>
    <cacheField name="Dec" numFmtId="165">
      <sharedItems containsSemiMixedTypes="0" containsString="0" containsNumber="1" containsInteger="1" minValue="3" maxValue="10"/>
    </cacheField>
    <cacheField name="Overall Score" numFmtId="165">
      <sharedItems containsSemiMixedTypes="0" containsString="0" containsNumber="1" minValue="4.75" maxValue="8.8333333333333339"/>
    </cacheField>
    <cacheField name="Achieve %" numFmtId="9">
      <sharedItems containsSemiMixedTypes="0" containsString="0" containsNumber="1" minValue="0.47499999999999998" maxValue="0.88333333333333341"/>
    </cacheField>
    <cacheField name="Status" numFmtId="0">
      <sharedItems count="3">
        <s v="Normal"/>
        <s v="Good"/>
        <s v="Bad"/>
      </sharedItems>
    </cacheField>
    <cacheField name="Last Audit Date" numFmtId="166">
      <sharedItems containsSemiMixedTypes="0" containsNonDate="0" containsDate="1" containsString="0" minDate="2020-01-01T00:00:00" maxDate="2020-12-26T00:00:00"/>
    </cacheField>
    <cacheField name="Auditor" numFmtId="0">
      <sharedItems/>
    </cacheField>
    <cacheField name="Comments" numFmtId="0">
      <sharedItems containsNonDate="0" containsString="0" containsBlank="1"/>
    </cacheField>
  </cacheFields>
  <extLst>
    <ext xmlns:x14="http://schemas.microsoft.com/office/spreadsheetml/2009/9/main" uri="{725AE2AE-9491-48be-B2B4-4EB974FC3084}">
      <x14:pivotCacheDefinition pivotCacheId="20784255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x v="0"/>
    <s v="Here you can register clause description and requirements according to audit checklist standards 3"/>
    <x v="0"/>
    <n v="10"/>
    <x v="0"/>
    <n v="6"/>
    <n v="3"/>
    <n v="6"/>
    <n v="10"/>
    <n v="8"/>
    <n v="9"/>
    <n v="6"/>
    <n v="10"/>
    <n v="4"/>
    <n v="3"/>
    <n v="8"/>
    <n v="6.75"/>
    <n v="0.67500000000000004"/>
    <x v="0"/>
    <d v="2020-12-25T00:00:00"/>
    <s v="Auditor 3"/>
    <m/>
  </r>
  <r>
    <x v="1"/>
    <x v="1"/>
    <s v="Here you can register clause description and requirements according to audit checklist standards 1"/>
    <x v="0"/>
    <n v="10"/>
    <x v="1"/>
    <n v="10"/>
    <n v="10"/>
    <n v="10"/>
    <n v="10"/>
    <n v="10"/>
    <n v="9"/>
    <n v="10"/>
    <n v="9"/>
    <n v="10"/>
    <n v="10"/>
    <n v="3"/>
    <n v="8.8333333333333339"/>
    <n v="0.88333333333333341"/>
    <x v="1"/>
    <d v="2020-01-01T00:00:00"/>
    <s v="Auditor 5"/>
    <m/>
  </r>
  <r>
    <x v="2"/>
    <x v="2"/>
    <s v="Here you can register clause description and requirements according to audit checklist standards 2"/>
    <x v="1"/>
    <n v="10"/>
    <x v="2"/>
    <n v="3"/>
    <n v="3"/>
    <n v="5"/>
    <n v="3"/>
    <n v="7"/>
    <n v="5"/>
    <n v="8"/>
    <n v="4"/>
    <n v="3"/>
    <n v="7"/>
    <n v="6"/>
    <n v="5.25"/>
    <n v="0.52500000000000002"/>
    <x v="2"/>
    <d v="2020-04-28T00:00:00"/>
    <s v="Auditor 3"/>
    <m/>
  </r>
  <r>
    <x v="3"/>
    <x v="0"/>
    <s v="Here you can register clause description and requirements according to audit checklist standards 3"/>
    <x v="2"/>
    <n v="10"/>
    <x v="1"/>
    <n v="3"/>
    <n v="6"/>
    <n v="5"/>
    <n v="4"/>
    <n v="3"/>
    <n v="5"/>
    <n v="10"/>
    <n v="5"/>
    <n v="3"/>
    <n v="5"/>
    <n v="3"/>
    <n v="4.75"/>
    <n v="0.47499999999999998"/>
    <x v="2"/>
    <d v="2020-09-25T00:00:00"/>
    <s v="Auditor 5"/>
    <m/>
  </r>
  <r>
    <x v="4"/>
    <x v="3"/>
    <s v="Here you can register clause description and requirements according to audit checklist standards 4"/>
    <x v="0"/>
    <n v="10"/>
    <x v="3"/>
    <n v="8"/>
    <n v="7"/>
    <n v="7"/>
    <n v="6"/>
    <n v="4"/>
    <n v="10"/>
    <n v="6"/>
    <n v="4"/>
    <n v="10"/>
    <n v="6"/>
    <n v="3"/>
    <n v="6.166666666666667"/>
    <n v="0.6166666666666667"/>
    <x v="2"/>
    <d v="2020-03-17T00:00:00"/>
    <s v="Auditor 2"/>
    <m/>
  </r>
  <r>
    <x v="0"/>
    <x v="4"/>
    <s v="Here you can register clause description and requirements according to audit checklist standards 5"/>
    <x v="3"/>
    <n v="10"/>
    <x v="2"/>
    <n v="10"/>
    <n v="4"/>
    <n v="9"/>
    <n v="9"/>
    <n v="10"/>
    <n v="8"/>
    <n v="6"/>
    <n v="10"/>
    <n v="8"/>
    <n v="4"/>
    <n v="10"/>
    <n v="8.0833333333333339"/>
    <n v="0.80833333333333335"/>
    <x v="0"/>
    <d v="2020-02-07T00:00:00"/>
    <s v="Auditor 3"/>
    <m/>
  </r>
  <r>
    <x v="0"/>
    <x v="5"/>
    <s v="Here you can register clause description and requirements according to audit checklist standards 6"/>
    <x v="4"/>
    <n v="10"/>
    <x v="2"/>
    <n v="9"/>
    <n v="8"/>
    <n v="6"/>
    <n v="5"/>
    <n v="5"/>
    <n v="7"/>
    <n v="5"/>
    <n v="10"/>
    <n v="3"/>
    <n v="10"/>
    <n v="10"/>
    <n v="7.25"/>
    <n v="0.72499999999999998"/>
    <x v="0"/>
    <d v="2020-03-11T00:00:00"/>
    <s v="Auditor 4"/>
    <m/>
  </r>
  <r>
    <x v="5"/>
    <x v="6"/>
    <s v="Here you can register clause description and requirements according to audit checklist standards 7"/>
    <x v="2"/>
    <n v="10"/>
    <x v="3"/>
    <n v="9"/>
    <n v="4"/>
    <n v="4"/>
    <n v="10"/>
    <n v="6"/>
    <n v="5"/>
    <n v="6"/>
    <n v="5"/>
    <n v="8"/>
    <n v="6"/>
    <n v="4"/>
    <n v="5.833333333333333"/>
    <n v="0.58333333333333326"/>
    <x v="2"/>
    <d v="2020-01-12T00:00:00"/>
    <s v="Auditor 3"/>
    <m/>
  </r>
  <r>
    <x v="6"/>
    <x v="7"/>
    <s v="Here you can register clause description and requirements according to audit checklist standards 8"/>
    <x v="5"/>
    <n v="10"/>
    <x v="1"/>
    <n v="8"/>
    <n v="7"/>
    <n v="4"/>
    <n v="6"/>
    <n v="7"/>
    <n v="3"/>
    <n v="7"/>
    <n v="10"/>
    <n v="6"/>
    <n v="9"/>
    <n v="7"/>
    <n v="6.583333333333333"/>
    <n v="0.65833333333333333"/>
    <x v="0"/>
    <d v="2020-11-26T00:00:00"/>
    <s v="Auditor 3"/>
    <m/>
  </r>
  <r>
    <x v="6"/>
    <x v="8"/>
    <s v="Here you can register clause description and requirements according to audit checklist standards 9"/>
    <x v="2"/>
    <n v="10"/>
    <x v="1"/>
    <n v="6"/>
    <n v="3"/>
    <n v="4"/>
    <n v="6"/>
    <n v="9"/>
    <n v="4"/>
    <n v="10"/>
    <n v="7"/>
    <n v="8"/>
    <n v="10"/>
    <n v="8"/>
    <n v="6.666666666666667"/>
    <n v="0.66666666666666674"/>
    <x v="0"/>
    <d v="2020-08-02T00:00:00"/>
    <s v="Auditor 2"/>
    <m/>
  </r>
  <r>
    <x v="7"/>
    <x v="0"/>
    <s v="Here you can register clause description and requirements according to audit checklist standards 3"/>
    <x v="4"/>
    <n v="10"/>
    <x v="1"/>
    <n v="9"/>
    <n v="8"/>
    <n v="4"/>
    <n v="3"/>
    <n v="7"/>
    <n v="8"/>
    <n v="3"/>
    <n v="3"/>
    <n v="10"/>
    <n v="4"/>
    <n v="8"/>
    <n v="6"/>
    <n v="0.6"/>
    <x v="2"/>
    <d v="2020-12-14T00:00:00"/>
    <s v="Auditor 3"/>
    <m/>
  </r>
  <r>
    <x v="7"/>
    <x v="3"/>
    <s v="Here you can register clause description and requirements according to audit checklist standards 4"/>
    <x v="1"/>
    <n v="10"/>
    <x v="4"/>
    <n v="10"/>
    <n v="7"/>
    <n v="4"/>
    <n v="9"/>
    <n v="5"/>
    <n v="10"/>
    <n v="9"/>
    <n v="4"/>
    <n v="8"/>
    <n v="4"/>
    <n v="3"/>
    <n v="6.583333333333333"/>
    <n v="0.65833333333333333"/>
    <x v="0"/>
    <d v="2020-06-06T00:00:00"/>
    <s v="Auditor 5"/>
    <m/>
  </r>
  <r>
    <x v="8"/>
    <x v="4"/>
    <s v="Here you can register clause description and requirements according to audit checklist standards 5"/>
    <x v="1"/>
    <n v="10"/>
    <x v="2"/>
    <n v="4"/>
    <n v="10"/>
    <n v="7"/>
    <n v="8"/>
    <n v="4"/>
    <n v="8"/>
    <n v="3"/>
    <n v="5"/>
    <n v="8"/>
    <n v="7"/>
    <n v="3"/>
    <n v="6.333333333333333"/>
    <n v="0.6333333333333333"/>
    <x v="2"/>
    <d v="2020-08-31T00:00:00"/>
    <s v="Auditor 1"/>
    <m/>
  </r>
  <r>
    <x v="6"/>
    <x v="5"/>
    <s v="Here you can register clause description and requirements according to audit checklist standards 6"/>
    <x v="1"/>
    <n v="10"/>
    <x v="2"/>
    <n v="10"/>
    <n v="10"/>
    <n v="10"/>
    <n v="10"/>
    <n v="9"/>
    <n v="9"/>
    <n v="7"/>
    <n v="9"/>
    <n v="6"/>
    <n v="7"/>
    <n v="8"/>
    <n v="8.6666666666666661"/>
    <n v="0.86666666666666659"/>
    <x v="1"/>
    <d v="2020-10-03T00:00:00"/>
    <s v="Auditor 2"/>
    <m/>
  </r>
  <r>
    <x v="9"/>
    <x v="6"/>
    <s v="Here you can register clause description and requirements according to audit checklist standards 7"/>
    <x v="5"/>
    <n v="10"/>
    <x v="2"/>
    <n v="4"/>
    <n v="5"/>
    <n v="5"/>
    <n v="8"/>
    <n v="8"/>
    <n v="9"/>
    <n v="7"/>
    <n v="4"/>
    <n v="9"/>
    <n v="7"/>
    <n v="7"/>
    <n v="6.833333333333333"/>
    <n v="0.68333333333333335"/>
    <x v="0"/>
    <d v="2020-07-03T00:00:00"/>
    <s v="Auditor 1"/>
    <m/>
  </r>
  <r>
    <x v="10"/>
    <x v="1"/>
    <s v="Here you can register clause description and requirements according to audit checklist standards 1"/>
    <x v="6"/>
    <n v="10"/>
    <x v="4"/>
    <n v="8"/>
    <n v="8"/>
    <n v="9"/>
    <n v="8"/>
    <n v="8"/>
    <n v="6"/>
    <n v="4"/>
    <n v="8"/>
    <n v="3"/>
    <n v="4"/>
    <n v="9"/>
    <n v="6.75"/>
    <n v="0.67500000000000004"/>
    <x v="0"/>
    <d v="2020-06-03T00:00:00"/>
    <s v="Auditor 5"/>
    <m/>
  </r>
  <r>
    <x v="11"/>
    <x v="2"/>
    <s v="Here you can register clause description and requirements according to audit checklist standards 2"/>
    <x v="5"/>
    <n v="10"/>
    <x v="2"/>
    <n v="10"/>
    <n v="4"/>
    <n v="5"/>
    <n v="7"/>
    <n v="8"/>
    <n v="5"/>
    <n v="4"/>
    <n v="4"/>
    <n v="3"/>
    <n v="6"/>
    <n v="7"/>
    <n v="6"/>
    <n v="0.6"/>
    <x v="2"/>
    <d v="2020-12-24T00:00:00"/>
    <s v="Auditor 4"/>
    <m/>
  </r>
  <r>
    <x v="12"/>
    <x v="0"/>
    <s v="Here you can register clause description and requirements according to audit checklist standards 3"/>
    <x v="7"/>
    <n v="10"/>
    <x v="3"/>
    <n v="6"/>
    <n v="7"/>
    <n v="4"/>
    <n v="8"/>
    <n v="5"/>
    <n v="6"/>
    <n v="6"/>
    <n v="6"/>
    <n v="7"/>
    <n v="10"/>
    <n v="9"/>
    <n v="6.416666666666667"/>
    <n v="0.64166666666666672"/>
    <x v="2"/>
    <d v="2020-06-03T00:00:00"/>
    <s v="Auditor 1"/>
    <m/>
  </r>
  <r>
    <x v="13"/>
    <x v="3"/>
    <s v="Here you can register clause description and requirements according to audit checklist standards 4"/>
    <x v="6"/>
    <n v="10"/>
    <x v="1"/>
    <n v="7"/>
    <n v="9"/>
    <n v="10"/>
    <n v="8"/>
    <n v="3"/>
    <n v="8"/>
    <n v="4"/>
    <n v="3"/>
    <n v="7"/>
    <n v="8"/>
    <n v="3"/>
    <n v="6.25"/>
    <n v="0.625"/>
    <x v="2"/>
    <d v="2020-11-12T00:00:00"/>
    <s v="Auditor 1"/>
    <m/>
  </r>
  <r>
    <x v="14"/>
    <x v="4"/>
    <s v="Here you can register clause description and requirements according to audit checklist standards 5"/>
    <x v="4"/>
    <n v="10"/>
    <x v="3"/>
    <n v="7"/>
    <n v="4"/>
    <n v="7"/>
    <n v="10"/>
    <n v="8"/>
    <n v="4"/>
    <n v="9"/>
    <n v="4"/>
    <n v="5"/>
    <n v="10"/>
    <n v="3"/>
    <n v="6.166666666666667"/>
    <n v="0.6166666666666667"/>
    <x v="2"/>
    <d v="2020-05-19T00:00:00"/>
    <s v="Auditor 1"/>
    <m/>
  </r>
  <r>
    <x v="15"/>
    <x v="5"/>
    <s v="Here you can register clause description and requirements according to audit checklist standards 6"/>
    <x v="0"/>
    <n v="10"/>
    <x v="4"/>
    <n v="9"/>
    <n v="3"/>
    <n v="8"/>
    <n v="7"/>
    <n v="10"/>
    <n v="10"/>
    <n v="10"/>
    <n v="10"/>
    <n v="10"/>
    <n v="10"/>
    <n v="10"/>
    <n v="8.5833333333333339"/>
    <n v="0.85833333333333339"/>
    <x v="1"/>
    <d v="2020-12-19T00:00:00"/>
    <s v="Auditor 3"/>
    <m/>
  </r>
  <r>
    <x v="16"/>
    <x v="2"/>
    <s v="Here you can register clause description and requirements according to audit checklist standards 2"/>
    <x v="8"/>
    <n v="10"/>
    <x v="4"/>
    <n v="6"/>
    <n v="8"/>
    <n v="9"/>
    <n v="8"/>
    <n v="7"/>
    <n v="10"/>
    <n v="9"/>
    <n v="8"/>
    <n v="4"/>
    <n v="4"/>
    <n v="10"/>
    <n v="7.416666666666667"/>
    <n v="0.7416666666666667"/>
    <x v="0"/>
    <d v="2020-09-23T00:00:00"/>
    <s v="Auditor 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F037AA-6A6A-46CA-AABB-8C8009FAF3BA}"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4:C14" firstHeaderRow="1" firstDataRow="1" firstDataCol="1"/>
  <pivotFields count="23">
    <pivotField showAll="0"/>
    <pivotField showAll="0">
      <items count="10">
        <item x="5"/>
        <item x="0"/>
        <item x="6"/>
        <item x="7"/>
        <item x="8"/>
        <item x="3"/>
        <item x="4"/>
        <item x="2"/>
        <item x="1"/>
        <item t="default"/>
      </items>
    </pivotField>
    <pivotField showAll="0"/>
    <pivotField axis="axisRow" showAll="0">
      <items count="10">
        <item x="4"/>
        <item x="5"/>
        <item x="0"/>
        <item x="7"/>
        <item x="3"/>
        <item x="8"/>
        <item x="1"/>
        <item x="2"/>
        <item x="6"/>
        <item t="default"/>
      </items>
    </pivotField>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ataField="1" numFmtId="165" showAll="0"/>
    <pivotField numFmtId="9" showAll="0"/>
    <pivotField showAll="0">
      <items count="4">
        <item x="2"/>
        <item x="1"/>
        <item x="0"/>
        <item t="default"/>
      </items>
    </pivotField>
    <pivotField numFmtId="166" showAll="0"/>
    <pivotField showAll="0"/>
    <pivotField showAll="0"/>
  </pivotFields>
  <rowFields count="1">
    <field x="3"/>
  </rowFields>
  <rowItems count="10">
    <i>
      <x/>
    </i>
    <i>
      <x v="1"/>
    </i>
    <i>
      <x v="2"/>
    </i>
    <i>
      <x v="3"/>
    </i>
    <i>
      <x v="4"/>
    </i>
    <i>
      <x v="5"/>
    </i>
    <i>
      <x v="6"/>
    </i>
    <i>
      <x v="7"/>
    </i>
    <i>
      <x v="8"/>
    </i>
    <i t="grand">
      <x/>
    </i>
  </rowItems>
  <colItems count="1">
    <i/>
  </colItems>
  <dataFields count="1">
    <dataField name="Average of Overall Score" fld="17" subtotal="average" baseField="0" baseItem="0" numFmtId="165"/>
  </dataFields>
  <formats count="1">
    <format dxfId="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AC80B7-6DA5-4C38-8A0E-C04704832AA5}" name="PivotTable4"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E4:F22" firstHeaderRow="1" firstDataRow="1" firstDataCol="1"/>
  <pivotFields count="23">
    <pivotField axis="axisRow" showAll="0">
      <items count="18">
        <item x="3"/>
        <item x="2"/>
        <item x="1"/>
        <item x="4"/>
        <item x="5"/>
        <item x="7"/>
        <item x="8"/>
        <item x="6"/>
        <item x="9"/>
        <item x="10"/>
        <item x="11"/>
        <item x="12"/>
        <item x="13"/>
        <item x="14"/>
        <item x="15"/>
        <item x="16"/>
        <item x="0"/>
        <item t="default"/>
      </items>
    </pivotField>
    <pivotField showAll="0">
      <items count="10">
        <item x="5"/>
        <item x="0"/>
        <item x="6"/>
        <item x="7"/>
        <item x="8"/>
        <item x="3"/>
        <item x="4"/>
        <item x="2"/>
        <item x="1"/>
        <item t="default"/>
      </items>
    </pivotField>
    <pivotField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ataField="1" numFmtId="165" showAll="0"/>
    <pivotField numFmtId="9" showAll="0"/>
    <pivotField showAll="0">
      <items count="4">
        <item x="2"/>
        <item x="1"/>
        <item x="0"/>
        <item t="default"/>
      </items>
    </pivotField>
    <pivotField numFmtId="166" showAll="0"/>
    <pivotField showAll="0"/>
    <pivotField showAll="0"/>
  </pivotFields>
  <rowFields count="1">
    <field x="0"/>
  </rowFields>
  <rowItems count="18">
    <i>
      <x/>
    </i>
    <i>
      <x v="1"/>
    </i>
    <i>
      <x v="2"/>
    </i>
    <i>
      <x v="3"/>
    </i>
    <i>
      <x v="4"/>
    </i>
    <i>
      <x v="5"/>
    </i>
    <i>
      <x v="6"/>
    </i>
    <i>
      <x v="7"/>
    </i>
    <i>
      <x v="8"/>
    </i>
    <i>
      <x v="9"/>
    </i>
    <i>
      <x v="10"/>
    </i>
    <i>
      <x v="11"/>
    </i>
    <i>
      <x v="12"/>
    </i>
    <i>
      <x v="13"/>
    </i>
    <i>
      <x v="14"/>
    </i>
    <i>
      <x v="15"/>
    </i>
    <i>
      <x v="16"/>
    </i>
    <i t="grand">
      <x/>
    </i>
  </rowItems>
  <colItems count="1">
    <i/>
  </colItems>
  <dataFields count="1">
    <dataField name="Average of Overall Score" fld="17" subtotal="average" baseField="0" baseItem="0" numFmtId="165"/>
  </dataFields>
  <formats count="1">
    <format dxfId="1">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F792A9-4FEE-4808-884B-1D019B6F7EDE}"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4:J21" firstHeaderRow="1" firstDataRow="1" firstDataCol="0"/>
  <pivotFields count="23">
    <pivotField showAll="0"/>
    <pivotField showAll="0">
      <items count="10">
        <item x="5"/>
        <item x="0"/>
        <item x="6"/>
        <item x="7"/>
        <item x="8"/>
        <item x="3"/>
        <item x="4"/>
        <item x="2"/>
        <item x="1"/>
        <item t="default"/>
      </items>
    </pivotField>
    <pivotField showAll="0"/>
    <pivotField showAll="0">
      <items count="10">
        <item x="4"/>
        <item x="5"/>
        <item x="0"/>
        <item x="7"/>
        <item x="3"/>
        <item x="8"/>
        <item x="1"/>
        <item x="2"/>
        <item x="6"/>
        <item t="default"/>
      </items>
    </pivotField>
    <pivotField numFmtId="165" showAll="0"/>
    <pivotField numFmtId="165" showAll="0">
      <items count="6">
        <item x="3"/>
        <item x="1"/>
        <item x="4"/>
        <item x="0"/>
        <item x="2"/>
        <item t="default"/>
      </items>
    </pivotField>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9" showAll="0"/>
    <pivotField showAll="0">
      <items count="4">
        <item x="2"/>
        <item x="1"/>
        <item x="0"/>
        <item t="default"/>
      </items>
    </pivotField>
    <pivotField numFmtId="166"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use" xr10:uid="{345DA8F5-69F7-4D81-AA51-92B01BD40E27}" sourceName="Clause">
  <pivotTables>
    <pivotTable tabId="14" name="PivotTable4"/>
    <pivotTable tabId="14" name="PivotTable1"/>
    <pivotTable tabId="14" name="PivotTable3"/>
  </pivotTables>
  <data>
    <tabular pivotCacheId="2078425577">
      <items count="9">
        <i x="5" s="1"/>
        <i x="0" s="1"/>
        <i x="6" s="1"/>
        <i x="7" s="1"/>
        <i x="8" s="1"/>
        <i x="3" s="1"/>
        <i x="4"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759AB8B-958E-48AD-8A91-91A24C427250}" sourceName="Status">
  <pivotTables>
    <pivotTable tabId="14" name="PivotTable4"/>
    <pivotTable tabId="14" name="PivotTable1"/>
    <pivotTable tabId="14" name="PivotTable3"/>
  </pivotTables>
  <data>
    <tabular pivotCacheId="2078425577">
      <items count="3">
        <i x="2"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use" xr10:uid="{B21EF940-5658-42BD-8F8B-50EB18454E42}" cache="Slicer_Clause" caption="Clause" style="Slicer Style 1" rowHeight="225425"/>
  <slicer name="Status" xr10:uid="{63661074-BDF9-476E-B924-2168696DE206}" cache="Slicer_Status" caption="Status"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Audit" displayName="Audit" ref="B17:X39" totalsRowShown="0" headerRowDxfId="29" dataDxfId="27" headerRowBorderDxfId="28" tableBorderDxfId="26" totalsRowBorderDxfId="25">
  <autoFilter ref="B17:X39" xr:uid="{3C9BA8EC-A452-47F5-BD67-A9235982E4A5}"/>
  <tableColumns count="23">
    <tableColumn id="1" xr3:uid="{C1C023B3-B031-4668-B6AF-D42F2252A966}" name="Section" dataDxfId="24"/>
    <tableColumn id="2" xr3:uid="{57C3785B-0630-4B21-9E58-2670D9AA6536}" name="Clause" dataDxfId="23"/>
    <tableColumn id="3" xr3:uid="{D7CBF940-B3A3-41DA-A5AB-588B86181857}" name="Clause Description" dataDxfId="22">
      <calculatedColumnFormula>IFERROR(VLOOKUP(Audit[[#This Row],[Clause]],'Audit Database'!F:H,2,0),"")</calculatedColumnFormula>
    </tableColumn>
    <tableColumn id="4" xr3:uid="{DA5374A6-D9ED-4019-83DB-C2B5F49A025B}" name="Related Department" dataDxfId="21"/>
    <tableColumn id="6" xr3:uid="{CA6823A9-55BF-4DFF-A39C-789EF33CC8A5}" name="Target Score" dataDxfId="20">
      <calculatedColumnFormula>IFERROR(VLOOKUP(Audit[[#This Row],[Clause]],'Audit Database'!F:H,3,0),"")</calculatedColumnFormula>
    </tableColumn>
    <tableColumn id="7" xr3:uid="{5D0FB812-14DF-4072-83C5-73420EB5CD7B}" name="Jan" dataDxfId="19"/>
    <tableColumn id="8" xr3:uid="{A56FD15F-81EF-4870-A76C-73BF1690AF23}" name="Feb" dataDxfId="18"/>
    <tableColumn id="9" xr3:uid="{A5A55BAF-794E-4AB8-A537-766AEE4CE1B3}" name="Mar" dataDxfId="17"/>
    <tableColumn id="10" xr3:uid="{B8BB8C6F-6BF8-42BC-9C56-8B960AC44538}" name="Apr" dataDxfId="16"/>
    <tableColumn id="11" xr3:uid="{901FD9D0-DDCD-40F3-BA14-292B8BF1BCF5}" name="May" dataDxfId="15"/>
    <tableColumn id="12" xr3:uid="{D0CC5661-48EC-4398-9ABC-3BA8D46C86EE}" name="Jun" dataDxfId="14"/>
    <tableColumn id="13" xr3:uid="{2F19935A-2F38-4800-803D-8D4F0D98DD69}" name="Jul" dataDxfId="13"/>
    <tableColumn id="14" xr3:uid="{25FCB096-6718-4E55-92B3-E0AC6A69DEB5}" name="Aug" dataDxfId="12"/>
    <tableColumn id="15" xr3:uid="{FCF7531F-340B-475F-8E7E-D3245DE1197B}" name="Sep" dataDxfId="11"/>
    <tableColumn id="16" xr3:uid="{E1E0C600-DA4B-40BD-8594-4D90FE45067C}" name="Oct" dataDxfId="10"/>
    <tableColumn id="17" xr3:uid="{102C3F8C-3F94-446B-8E98-D890FF20DDEF}" name="Nov" dataDxfId="9"/>
    <tableColumn id="18" xr3:uid="{C3199236-FDDA-4BD8-9EDF-77EB1118D90A}" name="Dec" dataDxfId="8"/>
    <tableColumn id="19" xr3:uid="{F1B17270-0EDC-4D3A-A5E6-F9A74F651C06}" name="Overall Score" dataDxfId="7">
      <calculatedColumnFormula>IFERROR(AVERAGE(Audit[[#This Row],[Jan]:[Dec]]),"")</calculatedColumnFormula>
    </tableColumn>
    <tableColumn id="20" xr3:uid="{FC570C3C-2039-4247-8836-21CCAA10360D}" name="Achieve %" dataDxfId="6" dataCellStyle="Percent">
      <calculatedColumnFormula>IFERROR(Audit[[#This Row],[Overall Score]]/Audit[[#This Row],[Target Score]],"")</calculatedColumnFormula>
    </tableColumn>
    <tableColumn id="21" xr3:uid="{31873096-A1B6-4EEA-A6D1-8CB29A3B1F43}" name="Status" dataDxfId="5">
      <calculatedColumnFormula>IF(Audit[[#This Row],[Overall Score]]="","",IF(Audit[[#This Row],[Overall Score]]&lt;'Audit Database'!$L$7,'Audit Database'!$M$7,IF(Audit[[#This Row],[Overall Score]]&lt;'Audit Database'!$L$6,'Audit Database'!$M$6,'Audit Database'!$M$5)))</calculatedColumnFormula>
    </tableColumn>
    <tableColumn id="5" xr3:uid="{CEF4DD37-53D1-44CF-82E6-FED9B8B44911}" name="Last Audit Date" dataDxfId="4"/>
    <tableColumn id="22" xr3:uid="{4C40D917-1B57-4CF7-8952-4B034490B128}" name="Auditor" dataDxfId="3"/>
    <tableColumn id="23" xr3:uid="{6175BFEF-6895-4A42-82CB-DE6B99D1F152}" name="Comments" dataDxfId="2"/>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65"/>
  <sheetViews>
    <sheetView showGridLines="0" showRowColHeaders="0" tabSelected="1" topLeftCell="A36" zoomScale="85" zoomScaleNormal="85" workbookViewId="0">
      <pane xSplit="3" topLeftCell="D1" activePane="topRight" state="frozen"/>
      <selection pane="topRight" activeCell="C61" sqref="C61:D65"/>
    </sheetView>
  </sheetViews>
  <sheetFormatPr defaultColWidth="10.140625" defaultRowHeight="15" x14ac:dyDescent="0.2"/>
  <cols>
    <col min="1" max="1" width="26" style="5"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6" t="s">
        <v>1</v>
      </c>
      <c r="B5" s="3" t="s">
        <v>0</v>
      </c>
      <c r="D5" s="3" t="s">
        <v>21</v>
      </c>
    </row>
    <row r="7" spans="1:4" ht="12.75" x14ac:dyDescent="0.2">
      <c r="A7" s="7"/>
      <c r="B7" s="3" t="s">
        <v>2</v>
      </c>
      <c r="D7" s="2" t="s">
        <v>153</v>
      </c>
    </row>
    <row r="8" spans="1:4" ht="12.75" x14ac:dyDescent="0.2">
      <c r="A8" s="7" t="s">
        <v>135</v>
      </c>
      <c r="D8" s="2" t="s">
        <v>154</v>
      </c>
    </row>
    <row r="9" spans="1:4" ht="12.75" x14ac:dyDescent="0.2">
      <c r="A9" s="7" t="s">
        <v>136</v>
      </c>
    </row>
    <row r="10" spans="1:4" ht="12.75" x14ac:dyDescent="0.2">
      <c r="A10" s="7"/>
    </row>
    <row r="11" spans="1:4" ht="12.75" x14ac:dyDescent="0.2">
      <c r="A11" s="7"/>
      <c r="B11" s="11"/>
      <c r="C11" s="10"/>
    </row>
    <row r="13" spans="1:4" ht="12.75" x14ac:dyDescent="0.2">
      <c r="A13" s="7"/>
    </row>
    <row r="14" spans="1:4" ht="12.75" x14ac:dyDescent="0.2">
      <c r="A14" s="7"/>
      <c r="B14" s="3" t="s">
        <v>3</v>
      </c>
      <c r="D14" s="3">
        <v>3</v>
      </c>
    </row>
    <row r="15" spans="1:4" ht="12.75" x14ac:dyDescent="0.2">
      <c r="A15" s="7"/>
    </row>
    <row r="16" spans="1:4" x14ac:dyDescent="0.2">
      <c r="B16" s="3" t="s">
        <v>4</v>
      </c>
      <c r="C16" s="8"/>
      <c r="D16" s="9"/>
    </row>
    <row r="17" spans="1:4" ht="12.75" x14ac:dyDescent="0.2">
      <c r="A17" s="7"/>
      <c r="B17" s="3"/>
      <c r="C17" s="12" t="s">
        <v>135</v>
      </c>
      <c r="D17" s="2" t="s">
        <v>138</v>
      </c>
    </row>
    <row r="18" spans="1:4" ht="12.75" x14ac:dyDescent="0.2">
      <c r="A18" s="7"/>
      <c r="B18" s="3"/>
      <c r="C18" s="12" t="s">
        <v>136</v>
      </c>
      <c r="D18" s="2" t="s">
        <v>139</v>
      </c>
    </row>
    <row r="19" spans="1:4" ht="12.75" x14ac:dyDescent="0.2">
      <c r="A19" s="7"/>
      <c r="B19" s="3"/>
      <c r="C19" s="12"/>
    </row>
    <row r="20" spans="1:4" ht="12.75" customHeight="1" x14ac:dyDescent="0.2">
      <c r="C20" s="4"/>
    </row>
    <row r="21" spans="1:4" ht="12.75" customHeight="1" x14ac:dyDescent="0.2">
      <c r="B21" s="3" t="s">
        <v>5</v>
      </c>
      <c r="C21" s="4" t="s">
        <v>6</v>
      </c>
      <c r="D21" s="2" t="s">
        <v>140</v>
      </c>
    </row>
    <row r="22" spans="1:4" ht="12.75" customHeight="1" x14ac:dyDescent="0.2">
      <c r="C22" s="4" t="s">
        <v>7</v>
      </c>
      <c r="D22" s="2" t="s">
        <v>141</v>
      </c>
    </row>
    <row r="23" spans="1:4" ht="12.75" customHeight="1" x14ac:dyDescent="0.2">
      <c r="C23" s="4" t="s">
        <v>8</v>
      </c>
      <c r="D23" s="2" t="s">
        <v>142</v>
      </c>
    </row>
    <row r="24" spans="1:4" ht="12.75" customHeight="1" x14ac:dyDescent="0.2">
      <c r="C24" s="4" t="s">
        <v>9</v>
      </c>
      <c r="D24" s="2" t="s">
        <v>143</v>
      </c>
    </row>
    <row r="25" spans="1:4" ht="12.75" customHeight="1" x14ac:dyDescent="0.2">
      <c r="C25" s="4" t="s">
        <v>10</v>
      </c>
      <c r="D25" s="2" t="s">
        <v>144</v>
      </c>
    </row>
    <row r="26" spans="1:4" ht="12.75" customHeight="1" x14ac:dyDescent="0.2">
      <c r="C26" s="4" t="s">
        <v>11</v>
      </c>
      <c r="D26" s="2" t="s">
        <v>145</v>
      </c>
    </row>
    <row r="27" spans="1:4" ht="12.75" customHeight="1" x14ac:dyDescent="0.2">
      <c r="C27" s="4" t="s">
        <v>12</v>
      </c>
      <c r="D27" s="2" t="s">
        <v>146</v>
      </c>
    </row>
    <row r="28" spans="1:4" ht="12.75" customHeight="1" x14ac:dyDescent="0.2">
      <c r="C28" s="4" t="s">
        <v>13</v>
      </c>
      <c r="D28" s="2" t="s">
        <v>147</v>
      </c>
    </row>
    <row r="29" spans="1:4" ht="12.75" customHeight="1" x14ac:dyDescent="0.2">
      <c r="C29" s="4" t="s">
        <v>14</v>
      </c>
      <c r="D29" s="2" t="s">
        <v>137</v>
      </c>
    </row>
    <row r="30" spans="1:4" ht="12.75" customHeight="1" x14ac:dyDescent="0.2">
      <c r="C30" s="4" t="s">
        <v>15</v>
      </c>
      <c r="D30" s="2" t="s">
        <v>148</v>
      </c>
    </row>
    <row r="31" spans="1:4" ht="12.75" customHeight="1" x14ac:dyDescent="0.2">
      <c r="C31" s="4" t="s">
        <v>16</v>
      </c>
      <c r="D31" s="2" t="s">
        <v>149</v>
      </c>
    </row>
    <row r="32" spans="1:4" ht="12.75" customHeight="1" x14ac:dyDescent="0.2">
      <c r="C32" s="4" t="s">
        <v>17</v>
      </c>
      <c r="D32" s="2" t="s">
        <v>150</v>
      </c>
    </row>
    <row r="33" spans="2:7" ht="12.75" customHeight="1" x14ac:dyDescent="0.2">
      <c r="C33" s="4" t="s">
        <v>18</v>
      </c>
      <c r="D33" s="2" t="s">
        <v>151</v>
      </c>
    </row>
    <row r="34" spans="2:7" ht="12.75" customHeight="1" x14ac:dyDescent="0.2">
      <c r="C34" s="4" t="s">
        <v>19</v>
      </c>
      <c r="D34" s="2" t="s">
        <v>152</v>
      </c>
    </row>
    <row r="35" spans="2:7" ht="12.75" customHeight="1" x14ac:dyDescent="0.2"/>
    <row r="36" spans="2:7" ht="12.75" customHeight="1" x14ac:dyDescent="0.2">
      <c r="C36" s="4"/>
    </row>
    <row r="37" spans="2:7" ht="12.75" customHeight="1" x14ac:dyDescent="0.2">
      <c r="B37" s="11" t="s">
        <v>155</v>
      </c>
      <c r="C37" s="73"/>
      <c r="D37" s="74" t="s">
        <v>156</v>
      </c>
      <c r="E37" s="75"/>
      <c r="F37" s="75"/>
      <c r="G37" s="75"/>
    </row>
    <row r="38" spans="2:7" x14ac:dyDescent="0.2">
      <c r="B38" s="75"/>
      <c r="C38" s="75"/>
      <c r="D38" s="74" t="s">
        <v>157</v>
      </c>
      <c r="E38" s="75"/>
      <c r="F38" s="75"/>
      <c r="G38" s="75"/>
    </row>
    <row r="39" spans="2:7" x14ac:dyDescent="0.2">
      <c r="B39" s="75"/>
      <c r="C39" s="75"/>
      <c r="D39" s="75"/>
      <c r="E39" s="75"/>
      <c r="F39" s="75"/>
      <c r="G39" s="75"/>
    </row>
    <row r="40" spans="2:7" x14ac:dyDescent="0.2">
      <c r="B40" s="75"/>
      <c r="C40" s="76" t="s">
        <v>158</v>
      </c>
      <c r="D40" s="75" t="s">
        <v>159</v>
      </c>
      <c r="E40" s="75"/>
      <c r="F40" s="75"/>
      <c r="G40" s="75"/>
    </row>
    <row r="41" spans="2:7" x14ac:dyDescent="0.2">
      <c r="B41" s="75"/>
      <c r="C41" s="75"/>
      <c r="D41" s="73"/>
      <c r="E41" s="75"/>
      <c r="F41" s="75"/>
      <c r="G41" s="75"/>
    </row>
    <row r="42" spans="2:7" x14ac:dyDescent="0.2">
      <c r="B42" s="75"/>
      <c r="C42" s="75"/>
      <c r="D42" s="73"/>
      <c r="E42" s="75"/>
      <c r="F42" s="75"/>
      <c r="G42" s="75"/>
    </row>
    <row r="43" spans="2:7" x14ac:dyDescent="0.2">
      <c r="B43" s="75"/>
      <c r="C43" s="75"/>
      <c r="D43" s="73"/>
      <c r="E43" s="75"/>
      <c r="F43" s="75"/>
      <c r="G43" s="75"/>
    </row>
    <row r="44" spans="2:7" x14ac:dyDescent="0.2">
      <c r="B44" s="75"/>
      <c r="C44" s="75"/>
      <c r="D44" s="73"/>
      <c r="E44" s="75"/>
      <c r="F44" s="75"/>
      <c r="G44" s="75"/>
    </row>
    <row r="45" spans="2:7" x14ac:dyDescent="0.2">
      <c r="B45" s="75"/>
      <c r="C45" s="75"/>
      <c r="D45" s="73"/>
      <c r="E45" s="75"/>
      <c r="F45" s="75"/>
      <c r="G45" s="75"/>
    </row>
    <row r="46" spans="2:7" x14ac:dyDescent="0.2">
      <c r="B46" s="75"/>
      <c r="C46" s="76" t="s">
        <v>160</v>
      </c>
      <c r="D46" s="75" t="s">
        <v>161</v>
      </c>
      <c r="E46" s="75"/>
      <c r="F46" s="75"/>
      <c r="G46" s="75"/>
    </row>
    <row r="47" spans="2:7" x14ac:dyDescent="0.2">
      <c r="B47" s="75"/>
      <c r="C47" s="75"/>
      <c r="D47" s="75"/>
      <c r="E47" s="75"/>
      <c r="F47" s="75"/>
      <c r="G47" s="75"/>
    </row>
    <row r="48" spans="2:7" x14ac:dyDescent="0.2">
      <c r="B48" s="75"/>
      <c r="C48" s="76" t="s">
        <v>162</v>
      </c>
      <c r="D48" s="75" t="s">
        <v>163</v>
      </c>
      <c r="E48" s="75"/>
      <c r="F48" s="75"/>
      <c r="G48" s="75"/>
    </row>
    <row r="49" spans="2:7" x14ac:dyDescent="0.2">
      <c r="B49" s="75"/>
      <c r="C49" s="75"/>
      <c r="D49" s="75"/>
      <c r="E49" s="75"/>
      <c r="F49" s="75"/>
      <c r="G49" s="75"/>
    </row>
    <row r="50" spans="2:7" x14ac:dyDescent="0.2">
      <c r="B50" s="75"/>
      <c r="C50" s="75"/>
      <c r="D50" s="75"/>
      <c r="E50" s="75"/>
      <c r="F50" s="75"/>
      <c r="G50" s="75"/>
    </row>
    <row r="51" spans="2:7" x14ac:dyDescent="0.2">
      <c r="B51" s="75"/>
      <c r="C51" s="75"/>
      <c r="D51" s="75"/>
      <c r="E51" s="75"/>
      <c r="F51" s="75"/>
      <c r="G51" s="75"/>
    </row>
    <row r="52" spans="2:7" x14ac:dyDescent="0.2">
      <c r="B52" s="75"/>
      <c r="C52" s="75"/>
      <c r="D52" s="75"/>
      <c r="E52" s="75"/>
      <c r="F52" s="75"/>
      <c r="G52" s="75"/>
    </row>
    <row r="53" spans="2:7" x14ac:dyDescent="0.2">
      <c r="B53" s="75"/>
      <c r="C53" s="75"/>
      <c r="D53" s="75"/>
      <c r="E53" s="75"/>
      <c r="F53" s="75"/>
      <c r="G53" s="75"/>
    </row>
    <row r="54" spans="2:7" x14ac:dyDescent="0.2">
      <c r="B54" s="75"/>
      <c r="C54" s="76" t="s">
        <v>164</v>
      </c>
      <c r="D54" s="75" t="s">
        <v>165</v>
      </c>
      <c r="E54" s="75"/>
      <c r="F54" s="75"/>
      <c r="G54" s="75"/>
    </row>
    <row r="55" spans="2:7" x14ac:dyDescent="0.2">
      <c r="B55" s="75"/>
      <c r="C55" s="75"/>
      <c r="D55" s="75"/>
      <c r="E55" s="75"/>
      <c r="F55" s="75"/>
      <c r="G55" s="75"/>
    </row>
    <row r="56" spans="2:7" x14ac:dyDescent="0.2">
      <c r="B56" s="75"/>
      <c r="C56" s="75"/>
      <c r="D56" s="75"/>
      <c r="E56" s="75"/>
      <c r="F56" s="75"/>
      <c r="G56" s="75"/>
    </row>
    <row r="57" spans="2:7" x14ac:dyDescent="0.2">
      <c r="B57" s="75"/>
      <c r="C57" s="75"/>
      <c r="D57" s="75"/>
      <c r="E57" s="75"/>
      <c r="F57" s="75"/>
      <c r="G57" s="75"/>
    </row>
    <row r="58" spans="2:7" x14ac:dyDescent="0.2">
      <c r="B58" s="75"/>
      <c r="C58" s="75"/>
      <c r="D58" s="75"/>
      <c r="E58" s="75"/>
      <c r="F58" s="75"/>
      <c r="G58" s="75"/>
    </row>
    <row r="59" spans="2:7" x14ac:dyDescent="0.2">
      <c r="B59" s="75"/>
      <c r="C59" s="75"/>
      <c r="D59" s="75"/>
      <c r="E59" s="75"/>
      <c r="F59" s="75"/>
      <c r="G59" s="75"/>
    </row>
    <row r="60" spans="2:7" x14ac:dyDescent="0.2">
      <c r="B60" s="75"/>
      <c r="C60" s="75"/>
      <c r="D60" s="74"/>
      <c r="E60" s="75"/>
      <c r="F60" s="75"/>
      <c r="G60" s="75"/>
    </row>
    <row r="61" spans="2:7" x14ac:dyDescent="0.2">
      <c r="B61" s="75"/>
      <c r="C61" s="75"/>
      <c r="E61" s="75"/>
      <c r="F61" s="75"/>
      <c r="G61" s="75"/>
    </row>
    <row r="62" spans="2:7" x14ac:dyDescent="0.2">
      <c r="B62" s="75"/>
      <c r="C62" s="75"/>
      <c r="D62" s="14"/>
      <c r="E62" s="75"/>
      <c r="F62" s="75"/>
      <c r="G62" s="75"/>
    </row>
    <row r="63" spans="2:7" x14ac:dyDescent="0.2">
      <c r="B63" s="75"/>
      <c r="C63" s="75"/>
      <c r="E63" s="75"/>
      <c r="F63" s="75"/>
      <c r="G63" s="75"/>
    </row>
    <row r="64" spans="2:7" x14ac:dyDescent="0.2">
      <c r="B64" s="75"/>
      <c r="C64" s="75"/>
      <c r="E64" s="75"/>
      <c r="F64" s="75"/>
      <c r="G64" s="75"/>
    </row>
    <row r="65" spans="2:7" x14ac:dyDescent="0.2">
      <c r="B65" s="75"/>
      <c r="C65" s="75"/>
      <c r="E65" s="75"/>
      <c r="F65" s="75"/>
      <c r="G65" s="75"/>
    </row>
  </sheetData>
  <conditionalFormatting sqref="D14">
    <cfRule type="iconSet" priority="1">
      <iconSet reverse="1">
        <cfvo type="percent" val="0"/>
        <cfvo type="num" val="1" gte="0"/>
        <cfvo type="num" val="2" gte="0"/>
      </iconSet>
    </cfRule>
  </conditionalFormatting>
  <hyperlinks>
    <hyperlink ref="A8" location="'Audit Evaluation'!A1" display="Audit Evaluation" xr:uid="{27DC954E-2CDE-4D98-A990-F05BD22583F4}"/>
    <hyperlink ref="A9" location="'Audit Database'!A1" display="Audit Database" xr:uid="{8A618420-18FD-480A-A601-6AE3CA5F1785}"/>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tabColor rgb="FF50B47F"/>
  </sheetPr>
  <dimension ref="A1:X1048"/>
  <sheetViews>
    <sheetView showGridLines="0" showRowColHeaders="0" zoomScale="80" zoomScaleNormal="80" workbookViewId="0">
      <pane ySplit="17" topLeftCell="A18" activePane="bottomLeft" state="frozen"/>
      <selection pane="bottomLeft" activeCell="C20" sqref="C20"/>
    </sheetView>
  </sheetViews>
  <sheetFormatPr defaultRowHeight="30" customHeight="1" outlineLevelRow="1" x14ac:dyDescent="0.2"/>
  <cols>
    <col min="1" max="1" width="27.5703125" customWidth="1"/>
    <col min="2" max="2" width="27.42578125" customWidth="1"/>
    <col min="3" max="3" width="30.7109375" customWidth="1"/>
    <col min="4" max="4" width="59.5703125" customWidth="1"/>
    <col min="5" max="5" width="25.7109375" customWidth="1"/>
    <col min="6" max="6" width="8.7109375" customWidth="1"/>
    <col min="7" max="18" width="7.7109375" customWidth="1"/>
    <col min="19" max="20" width="8.7109375" customWidth="1"/>
    <col min="21" max="23" width="15.7109375" customWidth="1"/>
    <col min="24" max="24" width="51.5703125" customWidth="1"/>
  </cols>
  <sheetData>
    <row r="1" spans="7:18" ht="12.75" hidden="1" outlineLevel="1" x14ac:dyDescent="0.2"/>
    <row r="2" spans="7:18" ht="12.75" hidden="1" outlineLevel="1" x14ac:dyDescent="0.2"/>
    <row r="3" spans="7:18" ht="12.75" hidden="1" outlineLevel="1" x14ac:dyDescent="0.2"/>
    <row r="4" spans="7:18" ht="12.75" hidden="1" outlineLevel="1" x14ac:dyDescent="0.2"/>
    <row r="5" spans="7:18" ht="12.75" hidden="1" outlineLevel="1" x14ac:dyDescent="0.2"/>
    <row r="6" spans="7:18" ht="12.75" hidden="1" outlineLevel="1" x14ac:dyDescent="0.2"/>
    <row r="7" spans="7:18" ht="15" hidden="1" customHeight="1" outlineLevel="1" x14ac:dyDescent="0.2"/>
    <row r="8" spans="7:18" ht="15" hidden="1" customHeight="1" outlineLevel="1" x14ac:dyDescent="0.2"/>
    <row r="9" spans="7:18" ht="15" hidden="1" customHeight="1" outlineLevel="1" x14ac:dyDescent="0.2"/>
    <row r="10" spans="7:18" ht="15" hidden="1" customHeight="1" outlineLevel="1" x14ac:dyDescent="0.2"/>
    <row r="11" spans="7:18" ht="15" hidden="1" customHeight="1" outlineLevel="1" x14ac:dyDescent="0.2"/>
    <row r="12" spans="7:18" ht="15" hidden="1" customHeight="1" outlineLevel="1" x14ac:dyDescent="0.2"/>
    <row r="13" spans="7:18" ht="15" hidden="1" customHeight="1" outlineLevel="1" x14ac:dyDescent="0.2"/>
    <row r="14" spans="7:18" ht="15" hidden="1" customHeight="1" outlineLevel="1" x14ac:dyDescent="0.2"/>
    <row r="15" spans="7:18" ht="15" hidden="1" customHeight="1" outlineLevel="1" x14ac:dyDescent="0.2"/>
    <row r="16" spans="7:18" ht="15" hidden="1" customHeight="1" outlineLevel="1" x14ac:dyDescent="0.2">
      <c r="G16" s="70">
        <f>SUBTOTAL(1,G18:G1048576)</f>
        <v>6.2272727272727275</v>
      </c>
      <c r="H16" s="70">
        <f t="shared" ref="H16:R16" si="0">SUBTOTAL(1,H18:H1048576)</f>
        <v>7.3636363636363633</v>
      </c>
      <c r="I16" s="70">
        <f t="shared" si="0"/>
        <v>6.2727272727272725</v>
      </c>
      <c r="J16" s="70">
        <f t="shared" si="0"/>
        <v>6.4545454545454541</v>
      </c>
      <c r="K16" s="70">
        <f t="shared" si="0"/>
        <v>7.4090909090909092</v>
      </c>
      <c r="L16" s="70">
        <f t="shared" si="0"/>
        <v>6.8636363636363633</v>
      </c>
      <c r="M16" s="70">
        <f t="shared" si="0"/>
        <v>7.1818181818181817</v>
      </c>
      <c r="N16" s="70">
        <f t="shared" si="0"/>
        <v>6.7727272727272725</v>
      </c>
      <c r="O16" s="70">
        <f t="shared" si="0"/>
        <v>6.4545454545454541</v>
      </c>
      <c r="P16" s="70">
        <f t="shared" si="0"/>
        <v>6.5</v>
      </c>
      <c r="Q16" s="70">
        <f t="shared" si="0"/>
        <v>6.8636363636363633</v>
      </c>
      <c r="R16" s="70">
        <f t="shared" si="0"/>
        <v>6.4545454545454541</v>
      </c>
    </row>
    <row r="17" spans="1:24" s="16" customFormat="1" ht="48" customHeight="1" collapsed="1" x14ac:dyDescent="0.2">
      <c r="B17" s="33" t="s">
        <v>22</v>
      </c>
      <c r="C17" s="34" t="s">
        <v>23</v>
      </c>
      <c r="D17" s="34" t="s">
        <v>126</v>
      </c>
      <c r="E17" s="34" t="s">
        <v>39</v>
      </c>
      <c r="F17" s="35" t="s">
        <v>25</v>
      </c>
      <c r="G17" s="46" t="s">
        <v>129</v>
      </c>
      <c r="H17" s="46" t="s">
        <v>26</v>
      </c>
      <c r="I17" s="46" t="s">
        <v>27</v>
      </c>
      <c r="J17" s="46" t="s">
        <v>28</v>
      </c>
      <c r="K17" s="46" t="s">
        <v>29</v>
      </c>
      <c r="L17" s="46" t="s">
        <v>30</v>
      </c>
      <c r="M17" s="46" t="s">
        <v>31</v>
      </c>
      <c r="N17" s="46" t="s">
        <v>32</v>
      </c>
      <c r="O17" s="46" t="s">
        <v>33</v>
      </c>
      <c r="P17" s="46" t="s">
        <v>34</v>
      </c>
      <c r="Q17" s="46" t="s">
        <v>35</v>
      </c>
      <c r="R17" s="46" t="s">
        <v>20</v>
      </c>
      <c r="S17" s="35" t="s">
        <v>43</v>
      </c>
      <c r="T17" s="35" t="s">
        <v>42</v>
      </c>
      <c r="U17" s="34" t="s">
        <v>36</v>
      </c>
      <c r="V17" s="34" t="s">
        <v>131</v>
      </c>
      <c r="W17" s="34" t="s">
        <v>37</v>
      </c>
      <c r="X17" s="36" t="s">
        <v>130</v>
      </c>
    </row>
    <row r="18" spans="1:24" s="32" customFormat="1" ht="30" customHeight="1" x14ac:dyDescent="0.2">
      <c r="A18" s="23" t="str">
        <f t="shared" ref="A18:A81" si="1">IF(AND(B17&lt;&gt;"",B18=""),"Select Audit Point---&gt;","")</f>
        <v/>
      </c>
      <c r="B18" s="47" t="s">
        <v>64</v>
      </c>
      <c r="C18" s="38" t="s">
        <v>88</v>
      </c>
      <c r="D18" s="37" t="str">
        <f>IFERROR(VLOOKUP(Audit[[#This Row],[Clause]],'Audit Database'!F:H,2,0),"")</f>
        <v>Here you can register clause description and requirements according to audit checklist standards 3</v>
      </c>
      <c r="E18" s="38" t="s">
        <v>49</v>
      </c>
      <c r="F18" s="40">
        <f>IFERROR(VLOOKUP(Audit[[#This Row],[Clause]],'Audit Database'!F:H,3,0),"")</f>
        <v>10</v>
      </c>
      <c r="G18" s="41">
        <v>8</v>
      </c>
      <c r="H18" s="41">
        <v>6</v>
      </c>
      <c r="I18" s="41">
        <v>3</v>
      </c>
      <c r="J18" s="41">
        <v>6</v>
      </c>
      <c r="K18" s="41">
        <v>10</v>
      </c>
      <c r="L18" s="41">
        <v>8</v>
      </c>
      <c r="M18" s="41">
        <v>9</v>
      </c>
      <c r="N18" s="41">
        <v>6</v>
      </c>
      <c r="O18" s="41">
        <v>10</v>
      </c>
      <c r="P18" s="41">
        <v>4</v>
      </c>
      <c r="Q18" s="41">
        <v>3</v>
      </c>
      <c r="R18" s="41">
        <v>8</v>
      </c>
      <c r="S18" s="71">
        <f>IFERROR(AVERAGE(Audit[[#This Row],[Jan]:[Dec]]),"")</f>
        <v>6.75</v>
      </c>
      <c r="T18" s="44">
        <f>IFERROR(Audit[[#This Row],[Overall Score]]/Audit[[#This Row],[Target Score]],"")</f>
        <v>0.67500000000000004</v>
      </c>
      <c r="U18" s="45" t="str">
        <f>IF(Audit[[#This Row],[Overall Score]]="","",IF(Audit[[#This Row],[Overall Score]]&lt;'Audit Database'!$L$7,'Audit Database'!$M$7,IF(Audit[[#This Row],[Overall Score]]&lt;'Audit Database'!$L$6,'Audit Database'!$M$6,'Audit Database'!$M$5)))</f>
        <v>Normal</v>
      </c>
      <c r="V18" s="56">
        <v>44190</v>
      </c>
      <c r="W18" s="38" t="s">
        <v>83</v>
      </c>
      <c r="X18" s="39"/>
    </row>
    <row r="19" spans="1:24" ht="30" customHeight="1" x14ac:dyDescent="0.2">
      <c r="A19" s="23" t="str">
        <f t="shared" si="1"/>
        <v/>
      </c>
      <c r="B19" s="48" t="s">
        <v>67</v>
      </c>
      <c r="C19" s="49" t="s">
        <v>86</v>
      </c>
      <c r="D19" s="50" t="str">
        <f>IFERROR(VLOOKUP(Audit[[#This Row],[Clause]],'Audit Database'!F:H,2,0),"")</f>
        <v>Here you can register clause description and requirements according to audit checklist standards 1</v>
      </c>
      <c r="E19" s="49" t="s">
        <v>49</v>
      </c>
      <c r="F19" s="51">
        <f>IFERROR(VLOOKUP(Audit[[#This Row],[Clause]],'Audit Database'!F:H,3,0),"")</f>
        <v>10</v>
      </c>
      <c r="G19" s="52">
        <v>5</v>
      </c>
      <c r="H19" s="52">
        <v>10</v>
      </c>
      <c r="I19" s="52">
        <v>10</v>
      </c>
      <c r="J19" s="52">
        <v>10</v>
      </c>
      <c r="K19" s="52">
        <v>10</v>
      </c>
      <c r="L19" s="52">
        <v>10</v>
      </c>
      <c r="M19" s="52">
        <v>9</v>
      </c>
      <c r="N19" s="52">
        <v>10</v>
      </c>
      <c r="O19" s="52">
        <v>9</v>
      </c>
      <c r="P19" s="52">
        <v>10</v>
      </c>
      <c r="Q19" s="52">
        <v>10</v>
      </c>
      <c r="R19" s="52">
        <v>3</v>
      </c>
      <c r="S19" s="72">
        <f>IFERROR(AVERAGE(Audit[[#This Row],[Jan]:[Dec]]),"")</f>
        <v>8.8333333333333339</v>
      </c>
      <c r="T19" s="53">
        <f>IFERROR(Audit[[#This Row],[Overall Score]]/Audit[[#This Row],[Target Score]],"")</f>
        <v>0.88333333333333341</v>
      </c>
      <c r="U19" s="54" t="str">
        <f>IF(Audit[[#This Row],[Overall Score]]="","",IF(Audit[[#This Row],[Overall Score]]&lt;'Audit Database'!$L$7,'Audit Database'!$M$7,IF(Audit[[#This Row],[Overall Score]]&lt;'Audit Database'!$L$6,'Audit Database'!$M$6,'Audit Database'!$M$5)))</f>
        <v>Good</v>
      </c>
      <c r="V19" s="57">
        <v>43831</v>
      </c>
      <c r="W19" s="49" t="s">
        <v>85</v>
      </c>
      <c r="X19" s="55"/>
    </row>
    <row r="20" spans="1:24" ht="30" customHeight="1" x14ac:dyDescent="0.2">
      <c r="A20" s="23" t="str">
        <f t="shared" si="1"/>
        <v/>
      </c>
      <c r="B20" s="47" t="s">
        <v>61</v>
      </c>
      <c r="C20" s="38" t="s">
        <v>87</v>
      </c>
      <c r="D20" s="37" t="str">
        <f>IFERROR(VLOOKUP(Audit[[#This Row],[Clause]],'Audit Database'!F:H,2,0),"")</f>
        <v>Here you can register clause description and requirements according to audit checklist standards 2</v>
      </c>
      <c r="E20" s="38" t="s">
        <v>56</v>
      </c>
      <c r="F20" s="40">
        <f>IFERROR(VLOOKUP(Audit[[#This Row],[Clause]],'Audit Database'!F:H,3,0),"")</f>
        <v>10</v>
      </c>
      <c r="G20" s="41">
        <v>9</v>
      </c>
      <c r="H20" s="41">
        <v>3</v>
      </c>
      <c r="I20" s="41">
        <v>3</v>
      </c>
      <c r="J20" s="41">
        <v>5</v>
      </c>
      <c r="K20" s="41">
        <v>3</v>
      </c>
      <c r="L20" s="41">
        <v>7</v>
      </c>
      <c r="M20" s="41">
        <v>5</v>
      </c>
      <c r="N20" s="41">
        <v>8</v>
      </c>
      <c r="O20" s="41">
        <v>4</v>
      </c>
      <c r="P20" s="41">
        <v>3</v>
      </c>
      <c r="Q20" s="41">
        <v>7</v>
      </c>
      <c r="R20" s="41">
        <v>6</v>
      </c>
      <c r="S20" s="71">
        <f>IFERROR(AVERAGE(Audit[[#This Row],[Jan]:[Dec]]),"")</f>
        <v>5.25</v>
      </c>
      <c r="T20" s="44">
        <f>IFERROR(Audit[[#This Row],[Overall Score]]/Audit[[#This Row],[Target Score]],"")</f>
        <v>0.52500000000000002</v>
      </c>
      <c r="U20" s="45" t="str">
        <f>IF(Audit[[#This Row],[Overall Score]]="","",IF(Audit[[#This Row],[Overall Score]]&lt;'Audit Database'!$L$7,'Audit Database'!$M$7,IF(Audit[[#This Row],[Overall Score]]&lt;'Audit Database'!$L$6,'Audit Database'!$M$6,'Audit Database'!$M$5)))</f>
        <v>Bad</v>
      </c>
      <c r="V20" s="56">
        <v>43949</v>
      </c>
      <c r="W20" s="38" t="s">
        <v>83</v>
      </c>
      <c r="X20" s="39"/>
    </row>
    <row r="21" spans="1:24" ht="30" customHeight="1" x14ac:dyDescent="0.2">
      <c r="A21" s="23" t="str">
        <f t="shared" si="1"/>
        <v/>
      </c>
      <c r="B21" s="47" t="s">
        <v>62</v>
      </c>
      <c r="C21" s="38" t="s">
        <v>88</v>
      </c>
      <c r="D21" s="37" t="str">
        <f>IFERROR(VLOOKUP(Audit[[#This Row],[Clause]],'Audit Database'!F:H,2,0),"")</f>
        <v>Here you can register clause description and requirements according to audit checklist standards 3</v>
      </c>
      <c r="E21" s="38" t="s">
        <v>47</v>
      </c>
      <c r="F21" s="40">
        <f>IFERROR(VLOOKUP(Audit[[#This Row],[Clause]],'Audit Database'!F:H,3,0),"")</f>
        <v>10</v>
      </c>
      <c r="G21" s="41">
        <v>5</v>
      </c>
      <c r="H21" s="41">
        <v>3</v>
      </c>
      <c r="I21" s="41">
        <v>6</v>
      </c>
      <c r="J21" s="41">
        <v>5</v>
      </c>
      <c r="K21" s="41">
        <v>4</v>
      </c>
      <c r="L21" s="41">
        <v>3</v>
      </c>
      <c r="M21" s="41">
        <v>5</v>
      </c>
      <c r="N21" s="41">
        <v>10</v>
      </c>
      <c r="O21" s="41">
        <v>5</v>
      </c>
      <c r="P21" s="41">
        <v>3</v>
      </c>
      <c r="Q21" s="41">
        <v>5</v>
      </c>
      <c r="R21" s="41">
        <v>3</v>
      </c>
      <c r="S21" s="71">
        <f>IFERROR(AVERAGE(Audit[[#This Row],[Jan]:[Dec]]),"")</f>
        <v>4.75</v>
      </c>
      <c r="T21" s="44">
        <f>IFERROR(Audit[[#This Row],[Overall Score]]/Audit[[#This Row],[Target Score]],"")</f>
        <v>0.47499999999999998</v>
      </c>
      <c r="U21" s="45" t="str">
        <f>IF(Audit[[#This Row],[Overall Score]]="","",IF(Audit[[#This Row],[Overall Score]]&lt;'Audit Database'!$L$7,'Audit Database'!$M$7,IF(Audit[[#This Row],[Overall Score]]&lt;'Audit Database'!$L$6,'Audit Database'!$M$6,'Audit Database'!$M$5)))</f>
        <v>Bad</v>
      </c>
      <c r="V21" s="56">
        <v>44099</v>
      </c>
      <c r="W21" s="38" t="s">
        <v>85</v>
      </c>
      <c r="X21" s="39"/>
    </row>
    <row r="22" spans="1:24" ht="30" customHeight="1" x14ac:dyDescent="0.2">
      <c r="A22" s="23" t="str">
        <f t="shared" si="1"/>
        <v/>
      </c>
      <c r="B22" s="47" t="s">
        <v>68</v>
      </c>
      <c r="C22" s="38" t="s">
        <v>89</v>
      </c>
      <c r="D22" s="37" t="str">
        <f>IFERROR(VLOOKUP(Audit[[#This Row],[Clause]],'Audit Database'!F:H,2,0),"")</f>
        <v>Here you can register clause description and requirements according to audit checklist standards 4</v>
      </c>
      <c r="E22" s="38" t="s">
        <v>49</v>
      </c>
      <c r="F22" s="40">
        <f>IFERROR(VLOOKUP(Audit[[#This Row],[Clause]],'Audit Database'!F:H,3,0),"")</f>
        <v>10</v>
      </c>
      <c r="G22" s="41">
        <v>3</v>
      </c>
      <c r="H22" s="41">
        <v>8</v>
      </c>
      <c r="I22" s="41">
        <v>7</v>
      </c>
      <c r="J22" s="41">
        <v>7</v>
      </c>
      <c r="K22" s="41">
        <v>6</v>
      </c>
      <c r="L22" s="41">
        <v>4</v>
      </c>
      <c r="M22" s="41">
        <v>10</v>
      </c>
      <c r="N22" s="41">
        <v>6</v>
      </c>
      <c r="O22" s="41">
        <v>4</v>
      </c>
      <c r="P22" s="41">
        <v>10</v>
      </c>
      <c r="Q22" s="41">
        <v>6</v>
      </c>
      <c r="R22" s="41">
        <v>3</v>
      </c>
      <c r="S22" s="71">
        <f>IFERROR(AVERAGE(Audit[[#This Row],[Jan]:[Dec]]),"")</f>
        <v>6.166666666666667</v>
      </c>
      <c r="T22" s="44">
        <f>IFERROR(Audit[[#This Row],[Overall Score]]/Audit[[#This Row],[Target Score]],"")</f>
        <v>0.6166666666666667</v>
      </c>
      <c r="U22" s="45" t="str">
        <f>IF(Audit[[#This Row],[Overall Score]]="","",IF(Audit[[#This Row],[Overall Score]]&lt;'Audit Database'!$L$7,'Audit Database'!$M$7,IF(Audit[[#This Row],[Overall Score]]&lt;'Audit Database'!$L$6,'Audit Database'!$M$6,'Audit Database'!$M$5)))</f>
        <v>Bad</v>
      </c>
      <c r="V22" s="56">
        <v>43907</v>
      </c>
      <c r="W22" s="38" t="s">
        <v>82</v>
      </c>
      <c r="X22" s="39"/>
    </row>
    <row r="23" spans="1:24" ht="30" customHeight="1" x14ac:dyDescent="0.2">
      <c r="A23" s="23" t="str">
        <f t="shared" si="1"/>
        <v/>
      </c>
      <c r="B23" s="47" t="s">
        <v>64</v>
      </c>
      <c r="C23" s="38" t="s">
        <v>90</v>
      </c>
      <c r="D23" s="37" t="str">
        <f>IFERROR(VLOOKUP(Audit[[#This Row],[Clause]],'Audit Database'!F:H,2,0),"")</f>
        <v>Here you can register clause description and requirements according to audit checklist standards 5</v>
      </c>
      <c r="E23" s="38" t="s">
        <v>54</v>
      </c>
      <c r="F23" s="40">
        <f>IFERROR(VLOOKUP(Audit[[#This Row],[Clause]],'Audit Database'!F:H,3,0),"")</f>
        <v>10</v>
      </c>
      <c r="G23" s="41">
        <v>9</v>
      </c>
      <c r="H23" s="41">
        <v>10</v>
      </c>
      <c r="I23" s="41">
        <v>4</v>
      </c>
      <c r="J23" s="41">
        <v>9</v>
      </c>
      <c r="K23" s="41">
        <v>9</v>
      </c>
      <c r="L23" s="41">
        <v>10</v>
      </c>
      <c r="M23" s="41">
        <v>8</v>
      </c>
      <c r="N23" s="41">
        <v>6</v>
      </c>
      <c r="O23" s="41">
        <v>10</v>
      </c>
      <c r="P23" s="41">
        <v>8</v>
      </c>
      <c r="Q23" s="41">
        <v>4</v>
      </c>
      <c r="R23" s="41">
        <v>10</v>
      </c>
      <c r="S23" s="71">
        <f>IFERROR(AVERAGE(Audit[[#This Row],[Jan]:[Dec]]),"")</f>
        <v>8.0833333333333339</v>
      </c>
      <c r="T23" s="44">
        <f>IFERROR(Audit[[#This Row],[Overall Score]]/Audit[[#This Row],[Target Score]],"")</f>
        <v>0.80833333333333335</v>
      </c>
      <c r="U23" s="45" t="str">
        <f>IF(Audit[[#This Row],[Overall Score]]="","",IF(Audit[[#This Row],[Overall Score]]&lt;'Audit Database'!$L$7,'Audit Database'!$M$7,IF(Audit[[#This Row],[Overall Score]]&lt;'Audit Database'!$L$6,'Audit Database'!$M$6,'Audit Database'!$M$5)))</f>
        <v>Normal</v>
      </c>
      <c r="V23" s="56">
        <v>43868</v>
      </c>
      <c r="W23" s="38" t="s">
        <v>83</v>
      </c>
      <c r="X23" s="39"/>
    </row>
    <row r="24" spans="1:24" ht="30" customHeight="1" x14ac:dyDescent="0.2">
      <c r="A24" s="23" t="str">
        <f t="shared" si="1"/>
        <v/>
      </c>
      <c r="B24" s="47" t="s">
        <v>64</v>
      </c>
      <c r="C24" s="38" t="s">
        <v>91</v>
      </c>
      <c r="D24" s="37" t="str">
        <f>IFERROR(VLOOKUP(Audit[[#This Row],[Clause]],'Audit Database'!F:H,2,0),"")</f>
        <v>Here you can register clause description and requirements according to audit checklist standards 6</v>
      </c>
      <c r="E24" s="38" t="s">
        <v>52</v>
      </c>
      <c r="F24" s="40">
        <f>IFERROR(VLOOKUP(Audit[[#This Row],[Clause]],'Audit Database'!F:H,3,0),"")</f>
        <v>10</v>
      </c>
      <c r="G24" s="41">
        <v>9</v>
      </c>
      <c r="H24" s="41">
        <v>9</v>
      </c>
      <c r="I24" s="41">
        <v>8</v>
      </c>
      <c r="J24" s="41">
        <v>6</v>
      </c>
      <c r="K24" s="41">
        <v>5</v>
      </c>
      <c r="L24" s="41">
        <v>5</v>
      </c>
      <c r="M24" s="41">
        <v>7</v>
      </c>
      <c r="N24" s="41">
        <v>5</v>
      </c>
      <c r="O24" s="41">
        <v>10</v>
      </c>
      <c r="P24" s="41">
        <v>3</v>
      </c>
      <c r="Q24" s="41">
        <v>10</v>
      </c>
      <c r="R24" s="41">
        <v>10</v>
      </c>
      <c r="S24" s="71">
        <f>IFERROR(AVERAGE(Audit[[#This Row],[Jan]:[Dec]]),"")</f>
        <v>7.25</v>
      </c>
      <c r="T24" s="44">
        <f>IFERROR(Audit[[#This Row],[Overall Score]]/Audit[[#This Row],[Target Score]],"")</f>
        <v>0.72499999999999998</v>
      </c>
      <c r="U24" s="45" t="str">
        <f>IF(Audit[[#This Row],[Overall Score]]="","",IF(Audit[[#This Row],[Overall Score]]&lt;'Audit Database'!$L$7,'Audit Database'!$M$7,IF(Audit[[#This Row],[Overall Score]]&lt;'Audit Database'!$L$6,'Audit Database'!$M$6,'Audit Database'!$M$5)))</f>
        <v>Normal</v>
      </c>
      <c r="V24" s="56">
        <v>43901</v>
      </c>
      <c r="W24" s="38" t="s">
        <v>84</v>
      </c>
      <c r="X24" s="39"/>
    </row>
    <row r="25" spans="1:24" ht="30" customHeight="1" x14ac:dyDescent="0.2">
      <c r="A25" s="23" t="str">
        <f t="shared" si="1"/>
        <v/>
      </c>
      <c r="B25" s="47" t="s">
        <v>66</v>
      </c>
      <c r="C25" s="38" t="s">
        <v>92</v>
      </c>
      <c r="D25" s="37" t="str">
        <f>IFERROR(VLOOKUP(Audit[[#This Row],[Clause]],'Audit Database'!F:H,2,0),"")</f>
        <v>Here you can register clause description and requirements according to audit checklist standards 7</v>
      </c>
      <c r="E25" s="38" t="s">
        <v>47</v>
      </c>
      <c r="F25" s="40">
        <f>IFERROR(VLOOKUP(Audit[[#This Row],[Clause]],'Audit Database'!F:H,3,0),"")</f>
        <v>10</v>
      </c>
      <c r="G25" s="41">
        <v>3</v>
      </c>
      <c r="H25" s="41">
        <v>9</v>
      </c>
      <c r="I25" s="41">
        <v>4</v>
      </c>
      <c r="J25" s="41">
        <v>4</v>
      </c>
      <c r="K25" s="41">
        <v>10</v>
      </c>
      <c r="L25" s="41">
        <v>6</v>
      </c>
      <c r="M25" s="41">
        <v>5</v>
      </c>
      <c r="N25" s="41">
        <v>6</v>
      </c>
      <c r="O25" s="41">
        <v>5</v>
      </c>
      <c r="P25" s="41">
        <v>8</v>
      </c>
      <c r="Q25" s="41">
        <v>6</v>
      </c>
      <c r="R25" s="41">
        <v>4</v>
      </c>
      <c r="S25" s="71">
        <f>IFERROR(AVERAGE(Audit[[#This Row],[Jan]:[Dec]]),"")</f>
        <v>5.833333333333333</v>
      </c>
      <c r="T25" s="44">
        <f>IFERROR(Audit[[#This Row],[Overall Score]]/Audit[[#This Row],[Target Score]],"")</f>
        <v>0.58333333333333326</v>
      </c>
      <c r="U25" s="45" t="str">
        <f>IF(Audit[[#This Row],[Overall Score]]="","",IF(Audit[[#This Row],[Overall Score]]&lt;'Audit Database'!$L$7,'Audit Database'!$M$7,IF(Audit[[#This Row],[Overall Score]]&lt;'Audit Database'!$L$6,'Audit Database'!$M$6,'Audit Database'!$M$5)))</f>
        <v>Bad</v>
      </c>
      <c r="V25" s="56">
        <v>43842</v>
      </c>
      <c r="W25" s="38" t="s">
        <v>83</v>
      </c>
      <c r="X25" s="39"/>
    </row>
    <row r="26" spans="1:24" ht="30" customHeight="1" x14ac:dyDescent="0.2">
      <c r="A26" s="23" t="str">
        <f t="shared" si="1"/>
        <v/>
      </c>
      <c r="B26" s="47" t="s">
        <v>72</v>
      </c>
      <c r="C26" s="38" t="s">
        <v>93</v>
      </c>
      <c r="D26" s="37" t="str">
        <f>IFERROR(VLOOKUP(Audit[[#This Row],[Clause]],'Audit Database'!F:H,2,0),"")</f>
        <v>Here you can register clause description and requirements according to audit checklist standards 8</v>
      </c>
      <c r="E26" s="38" t="s">
        <v>55</v>
      </c>
      <c r="F26" s="40">
        <f>IFERROR(VLOOKUP(Audit[[#This Row],[Clause]],'Audit Database'!F:H,3,0),"")</f>
        <v>10</v>
      </c>
      <c r="G26" s="41">
        <v>5</v>
      </c>
      <c r="H26" s="41">
        <v>8</v>
      </c>
      <c r="I26" s="41">
        <v>7</v>
      </c>
      <c r="J26" s="41">
        <v>4</v>
      </c>
      <c r="K26" s="41">
        <v>6</v>
      </c>
      <c r="L26" s="41">
        <v>7</v>
      </c>
      <c r="M26" s="41">
        <v>3</v>
      </c>
      <c r="N26" s="41">
        <v>7</v>
      </c>
      <c r="O26" s="41">
        <v>10</v>
      </c>
      <c r="P26" s="41">
        <v>6</v>
      </c>
      <c r="Q26" s="41">
        <v>9</v>
      </c>
      <c r="R26" s="41">
        <v>7</v>
      </c>
      <c r="S26" s="71">
        <f>IFERROR(AVERAGE(Audit[[#This Row],[Jan]:[Dec]]),"")</f>
        <v>6.583333333333333</v>
      </c>
      <c r="T26" s="44">
        <f>IFERROR(Audit[[#This Row],[Overall Score]]/Audit[[#This Row],[Target Score]],"")</f>
        <v>0.65833333333333333</v>
      </c>
      <c r="U26" s="45" t="str">
        <f>IF(Audit[[#This Row],[Overall Score]]="","",IF(Audit[[#This Row],[Overall Score]]&lt;'Audit Database'!$L$7,'Audit Database'!$M$7,IF(Audit[[#This Row],[Overall Score]]&lt;'Audit Database'!$L$6,'Audit Database'!$M$6,'Audit Database'!$M$5)))</f>
        <v>Normal</v>
      </c>
      <c r="V26" s="56">
        <v>44161</v>
      </c>
      <c r="W26" s="38" t="s">
        <v>83</v>
      </c>
      <c r="X26" s="39"/>
    </row>
    <row r="27" spans="1:24" ht="30" customHeight="1" x14ac:dyDescent="0.2">
      <c r="A27" s="23" t="str">
        <f t="shared" si="1"/>
        <v/>
      </c>
      <c r="B27" s="47" t="s">
        <v>72</v>
      </c>
      <c r="C27" s="38" t="s">
        <v>94</v>
      </c>
      <c r="D27" s="37" t="str">
        <f>IFERROR(VLOOKUP(Audit[[#This Row],[Clause]],'Audit Database'!F:H,2,0),"")</f>
        <v>Here you can register clause description and requirements according to audit checklist standards 9</v>
      </c>
      <c r="E27" s="38" t="s">
        <v>47</v>
      </c>
      <c r="F27" s="40">
        <f>IFERROR(VLOOKUP(Audit[[#This Row],[Clause]],'Audit Database'!F:H,3,0),"")</f>
        <v>10</v>
      </c>
      <c r="G27" s="41">
        <v>5</v>
      </c>
      <c r="H27" s="41">
        <v>6</v>
      </c>
      <c r="I27" s="41">
        <v>3</v>
      </c>
      <c r="J27" s="41">
        <v>4</v>
      </c>
      <c r="K27" s="41">
        <v>6</v>
      </c>
      <c r="L27" s="41">
        <v>9</v>
      </c>
      <c r="M27" s="41">
        <v>4</v>
      </c>
      <c r="N27" s="41">
        <v>10</v>
      </c>
      <c r="O27" s="41">
        <v>7</v>
      </c>
      <c r="P27" s="41">
        <v>8</v>
      </c>
      <c r="Q27" s="41">
        <v>10</v>
      </c>
      <c r="R27" s="41">
        <v>8</v>
      </c>
      <c r="S27" s="71">
        <f>IFERROR(AVERAGE(Audit[[#This Row],[Jan]:[Dec]]),"")</f>
        <v>6.666666666666667</v>
      </c>
      <c r="T27" s="44">
        <f>IFERROR(Audit[[#This Row],[Overall Score]]/Audit[[#This Row],[Target Score]],"")</f>
        <v>0.66666666666666674</v>
      </c>
      <c r="U27" s="45" t="str">
        <f>IF(Audit[[#This Row],[Overall Score]]="","",IF(Audit[[#This Row],[Overall Score]]&lt;'Audit Database'!$L$7,'Audit Database'!$M$7,IF(Audit[[#This Row],[Overall Score]]&lt;'Audit Database'!$L$6,'Audit Database'!$M$6,'Audit Database'!$M$5)))</f>
        <v>Normal</v>
      </c>
      <c r="V27" s="56">
        <v>44045</v>
      </c>
      <c r="W27" s="38" t="s">
        <v>82</v>
      </c>
      <c r="X27" s="39"/>
    </row>
    <row r="28" spans="1:24" ht="30" customHeight="1" x14ac:dyDescent="0.2">
      <c r="A28" s="23" t="str">
        <f t="shared" si="1"/>
        <v/>
      </c>
      <c r="B28" s="47" t="s">
        <v>70</v>
      </c>
      <c r="C28" s="38" t="s">
        <v>88</v>
      </c>
      <c r="D28" s="37" t="str">
        <f>IFERROR(VLOOKUP(Audit[[#This Row],[Clause]],'Audit Database'!F:H,2,0),"")</f>
        <v>Here you can register clause description and requirements according to audit checklist standards 3</v>
      </c>
      <c r="E28" s="38" t="s">
        <v>52</v>
      </c>
      <c r="F28" s="40">
        <f>IFERROR(VLOOKUP(Audit[[#This Row],[Clause]],'Audit Database'!F:H,3,0),"")</f>
        <v>10</v>
      </c>
      <c r="G28" s="41">
        <v>5</v>
      </c>
      <c r="H28" s="41">
        <v>9</v>
      </c>
      <c r="I28" s="41">
        <v>8</v>
      </c>
      <c r="J28" s="41">
        <v>4</v>
      </c>
      <c r="K28" s="41">
        <v>3</v>
      </c>
      <c r="L28" s="41">
        <v>7</v>
      </c>
      <c r="M28" s="41">
        <v>8</v>
      </c>
      <c r="N28" s="41">
        <v>3</v>
      </c>
      <c r="O28" s="41">
        <v>3</v>
      </c>
      <c r="P28" s="41">
        <v>10</v>
      </c>
      <c r="Q28" s="41">
        <v>4</v>
      </c>
      <c r="R28" s="41">
        <v>8</v>
      </c>
      <c r="S28" s="71">
        <f>IFERROR(AVERAGE(Audit[[#This Row],[Jan]:[Dec]]),"")</f>
        <v>6</v>
      </c>
      <c r="T28" s="44">
        <f>IFERROR(Audit[[#This Row],[Overall Score]]/Audit[[#This Row],[Target Score]],"")</f>
        <v>0.6</v>
      </c>
      <c r="U28" s="45" t="str">
        <f>IF(Audit[[#This Row],[Overall Score]]="","",IF(Audit[[#This Row],[Overall Score]]&lt;'Audit Database'!$L$7,'Audit Database'!$M$7,IF(Audit[[#This Row],[Overall Score]]&lt;'Audit Database'!$L$6,'Audit Database'!$M$6,'Audit Database'!$M$5)))</f>
        <v>Bad</v>
      </c>
      <c r="V28" s="56">
        <v>44179</v>
      </c>
      <c r="W28" s="38" t="s">
        <v>83</v>
      </c>
      <c r="X28" s="39"/>
    </row>
    <row r="29" spans="1:24" ht="30" customHeight="1" x14ac:dyDescent="0.2">
      <c r="A29" s="23" t="str">
        <f t="shared" si="1"/>
        <v/>
      </c>
      <c r="B29" s="47" t="s">
        <v>70</v>
      </c>
      <c r="C29" s="38" t="s">
        <v>89</v>
      </c>
      <c r="D29" s="37" t="str">
        <f>IFERROR(VLOOKUP(Audit[[#This Row],[Clause]],'Audit Database'!F:H,2,0),"")</f>
        <v>Here you can register clause description and requirements according to audit checklist standards 4</v>
      </c>
      <c r="E29" s="38" t="s">
        <v>56</v>
      </c>
      <c r="F29" s="40">
        <f>IFERROR(VLOOKUP(Audit[[#This Row],[Clause]],'Audit Database'!F:H,3,0),"")</f>
        <v>10</v>
      </c>
      <c r="G29" s="41">
        <v>6</v>
      </c>
      <c r="H29" s="41">
        <v>10</v>
      </c>
      <c r="I29" s="41">
        <v>7</v>
      </c>
      <c r="J29" s="41">
        <v>4</v>
      </c>
      <c r="K29" s="41">
        <v>9</v>
      </c>
      <c r="L29" s="41">
        <v>5</v>
      </c>
      <c r="M29" s="41">
        <v>10</v>
      </c>
      <c r="N29" s="41">
        <v>9</v>
      </c>
      <c r="O29" s="41">
        <v>4</v>
      </c>
      <c r="P29" s="41">
        <v>8</v>
      </c>
      <c r="Q29" s="41">
        <v>4</v>
      </c>
      <c r="R29" s="41">
        <v>3</v>
      </c>
      <c r="S29" s="71">
        <f>IFERROR(AVERAGE(Audit[[#This Row],[Jan]:[Dec]]),"")</f>
        <v>6.583333333333333</v>
      </c>
      <c r="T29" s="44">
        <f>IFERROR(Audit[[#This Row],[Overall Score]]/Audit[[#This Row],[Target Score]],"")</f>
        <v>0.65833333333333333</v>
      </c>
      <c r="U29" s="45" t="str">
        <f>IF(Audit[[#This Row],[Overall Score]]="","",IF(Audit[[#This Row],[Overall Score]]&lt;'Audit Database'!$L$7,'Audit Database'!$M$7,IF(Audit[[#This Row],[Overall Score]]&lt;'Audit Database'!$L$6,'Audit Database'!$M$6,'Audit Database'!$M$5)))</f>
        <v>Normal</v>
      </c>
      <c r="V29" s="56">
        <v>43988</v>
      </c>
      <c r="W29" s="38" t="s">
        <v>85</v>
      </c>
      <c r="X29" s="39"/>
    </row>
    <row r="30" spans="1:24" ht="30" customHeight="1" x14ac:dyDescent="0.2">
      <c r="A30" s="23" t="str">
        <f t="shared" si="1"/>
        <v/>
      </c>
      <c r="B30" s="47" t="s">
        <v>71</v>
      </c>
      <c r="C30" s="38" t="s">
        <v>90</v>
      </c>
      <c r="D30" s="37" t="str">
        <f>IFERROR(VLOOKUP(Audit[[#This Row],[Clause]],'Audit Database'!F:H,2,0),"")</f>
        <v>Here you can register clause description and requirements according to audit checklist standards 5</v>
      </c>
      <c r="E30" s="38" t="s">
        <v>56</v>
      </c>
      <c r="F30" s="40">
        <f>IFERROR(VLOOKUP(Audit[[#This Row],[Clause]],'Audit Database'!F:H,3,0),"")</f>
        <v>10</v>
      </c>
      <c r="G30" s="41">
        <v>9</v>
      </c>
      <c r="H30" s="41">
        <v>4</v>
      </c>
      <c r="I30" s="41">
        <v>10</v>
      </c>
      <c r="J30" s="41">
        <v>7</v>
      </c>
      <c r="K30" s="41">
        <v>8</v>
      </c>
      <c r="L30" s="41">
        <v>4</v>
      </c>
      <c r="M30" s="41">
        <v>8</v>
      </c>
      <c r="N30" s="41">
        <v>3</v>
      </c>
      <c r="O30" s="41">
        <v>5</v>
      </c>
      <c r="P30" s="41">
        <v>8</v>
      </c>
      <c r="Q30" s="41">
        <v>7</v>
      </c>
      <c r="R30" s="41">
        <v>3</v>
      </c>
      <c r="S30" s="71">
        <f>IFERROR(AVERAGE(Audit[[#This Row],[Jan]:[Dec]]),"")</f>
        <v>6.333333333333333</v>
      </c>
      <c r="T30" s="44">
        <f>IFERROR(Audit[[#This Row],[Overall Score]]/Audit[[#This Row],[Target Score]],"")</f>
        <v>0.6333333333333333</v>
      </c>
      <c r="U30" s="45" t="str">
        <f>IF(Audit[[#This Row],[Overall Score]]="","",IF(Audit[[#This Row],[Overall Score]]&lt;'Audit Database'!$L$7,'Audit Database'!$M$7,IF(Audit[[#This Row],[Overall Score]]&lt;'Audit Database'!$L$6,'Audit Database'!$M$6,'Audit Database'!$M$5)))</f>
        <v>Bad</v>
      </c>
      <c r="V30" s="56">
        <v>44074</v>
      </c>
      <c r="W30" s="38" t="s">
        <v>81</v>
      </c>
      <c r="X30" s="39"/>
    </row>
    <row r="31" spans="1:24" ht="30" customHeight="1" x14ac:dyDescent="0.2">
      <c r="A31" s="23" t="str">
        <f t="shared" si="1"/>
        <v/>
      </c>
      <c r="B31" s="47" t="s">
        <v>72</v>
      </c>
      <c r="C31" s="38" t="s">
        <v>91</v>
      </c>
      <c r="D31" s="37" t="str">
        <f>IFERROR(VLOOKUP(Audit[[#This Row],[Clause]],'Audit Database'!F:H,2,0),"")</f>
        <v>Here you can register clause description and requirements according to audit checklist standards 6</v>
      </c>
      <c r="E31" s="38" t="s">
        <v>56</v>
      </c>
      <c r="F31" s="40">
        <f>IFERROR(VLOOKUP(Audit[[#This Row],[Clause]],'Audit Database'!F:H,3,0),"")</f>
        <v>10</v>
      </c>
      <c r="G31" s="41">
        <v>9</v>
      </c>
      <c r="H31" s="41">
        <v>10</v>
      </c>
      <c r="I31" s="41">
        <v>10</v>
      </c>
      <c r="J31" s="41">
        <v>10</v>
      </c>
      <c r="K31" s="41">
        <v>10</v>
      </c>
      <c r="L31" s="41">
        <v>9</v>
      </c>
      <c r="M31" s="41">
        <v>9</v>
      </c>
      <c r="N31" s="41">
        <v>7</v>
      </c>
      <c r="O31" s="41">
        <v>9</v>
      </c>
      <c r="P31" s="41">
        <v>6</v>
      </c>
      <c r="Q31" s="41">
        <v>7</v>
      </c>
      <c r="R31" s="41">
        <v>8</v>
      </c>
      <c r="S31" s="71">
        <f>IFERROR(AVERAGE(Audit[[#This Row],[Jan]:[Dec]]),"")</f>
        <v>8.6666666666666661</v>
      </c>
      <c r="T31" s="44">
        <f>IFERROR(Audit[[#This Row],[Overall Score]]/Audit[[#This Row],[Target Score]],"")</f>
        <v>0.86666666666666659</v>
      </c>
      <c r="U31" s="45" t="str">
        <f>IF(Audit[[#This Row],[Overall Score]]="","",IF(Audit[[#This Row],[Overall Score]]&lt;'Audit Database'!$L$7,'Audit Database'!$M$7,IF(Audit[[#This Row],[Overall Score]]&lt;'Audit Database'!$L$6,'Audit Database'!$M$6,'Audit Database'!$M$5)))</f>
        <v>Good</v>
      </c>
      <c r="V31" s="56">
        <v>44107</v>
      </c>
      <c r="W31" s="38" t="s">
        <v>82</v>
      </c>
      <c r="X31" s="39"/>
    </row>
    <row r="32" spans="1:24" ht="30" customHeight="1" x14ac:dyDescent="0.2">
      <c r="A32" s="23" t="str">
        <f t="shared" si="1"/>
        <v/>
      </c>
      <c r="B32" s="47" t="s">
        <v>73</v>
      </c>
      <c r="C32" s="38" t="s">
        <v>92</v>
      </c>
      <c r="D32" s="37" t="str">
        <f>IFERROR(VLOOKUP(Audit[[#This Row],[Clause]],'Audit Database'!F:H,2,0),"")</f>
        <v>Here you can register clause description and requirements according to audit checklist standards 7</v>
      </c>
      <c r="E32" s="38" t="s">
        <v>55</v>
      </c>
      <c r="F32" s="40">
        <f>IFERROR(VLOOKUP(Audit[[#This Row],[Clause]],'Audit Database'!F:H,3,0),"")</f>
        <v>10</v>
      </c>
      <c r="G32" s="41">
        <v>9</v>
      </c>
      <c r="H32" s="41">
        <v>4</v>
      </c>
      <c r="I32" s="41">
        <v>5</v>
      </c>
      <c r="J32" s="41">
        <v>5</v>
      </c>
      <c r="K32" s="41">
        <v>8</v>
      </c>
      <c r="L32" s="41">
        <v>8</v>
      </c>
      <c r="M32" s="41">
        <v>9</v>
      </c>
      <c r="N32" s="41">
        <v>7</v>
      </c>
      <c r="O32" s="41">
        <v>4</v>
      </c>
      <c r="P32" s="41">
        <v>9</v>
      </c>
      <c r="Q32" s="41">
        <v>7</v>
      </c>
      <c r="R32" s="41">
        <v>7</v>
      </c>
      <c r="S32" s="71">
        <f>IFERROR(AVERAGE(Audit[[#This Row],[Jan]:[Dec]]),"")</f>
        <v>6.833333333333333</v>
      </c>
      <c r="T32" s="44">
        <f>IFERROR(Audit[[#This Row],[Overall Score]]/Audit[[#This Row],[Target Score]],"")</f>
        <v>0.68333333333333335</v>
      </c>
      <c r="U32" s="45" t="str">
        <f>IF(Audit[[#This Row],[Overall Score]]="","",IF(Audit[[#This Row],[Overall Score]]&lt;'Audit Database'!$L$7,'Audit Database'!$M$7,IF(Audit[[#This Row],[Overall Score]]&lt;'Audit Database'!$L$6,'Audit Database'!$M$6,'Audit Database'!$M$5)))</f>
        <v>Normal</v>
      </c>
      <c r="V32" s="56">
        <v>44015</v>
      </c>
      <c r="W32" s="38" t="s">
        <v>81</v>
      </c>
      <c r="X32" s="39"/>
    </row>
    <row r="33" spans="1:24" ht="30" customHeight="1" x14ac:dyDescent="0.2">
      <c r="A33" s="23" t="str">
        <f t="shared" si="1"/>
        <v/>
      </c>
      <c r="B33" s="47" t="s">
        <v>74</v>
      </c>
      <c r="C33" s="38" t="s">
        <v>86</v>
      </c>
      <c r="D33" s="37" t="str">
        <f>IFERROR(VLOOKUP(Audit[[#This Row],[Clause]],'Audit Database'!F:H,2,0),"")</f>
        <v>Here you can register clause description and requirements according to audit checklist standards 1</v>
      </c>
      <c r="E33" s="38" t="s">
        <v>51</v>
      </c>
      <c r="F33" s="40">
        <f>IFERROR(VLOOKUP(Audit[[#This Row],[Clause]],'Audit Database'!F:H,3,0),"")</f>
        <v>10</v>
      </c>
      <c r="G33" s="41">
        <v>6</v>
      </c>
      <c r="H33" s="41">
        <v>8</v>
      </c>
      <c r="I33" s="41">
        <v>8</v>
      </c>
      <c r="J33" s="41">
        <v>9</v>
      </c>
      <c r="K33" s="41">
        <v>8</v>
      </c>
      <c r="L33" s="41">
        <v>8</v>
      </c>
      <c r="M33" s="41">
        <v>6</v>
      </c>
      <c r="N33" s="41">
        <v>4</v>
      </c>
      <c r="O33" s="41">
        <v>8</v>
      </c>
      <c r="P33" s="41">
        <v>3</v>
      </c>
      <c r="Q33" s="41">
        <v>4</v>
      </c>
      <c r="R33" s="41">
        <v>9</v>
      </c>
      <c r="S33" s="71">
        <f>IFERROR(AVERAGE(Audit[[#This Row],[Jan]:[Dec]]),"")</f>
        <v>6.75</v>
      </c>
      <c r="T33" s="44">
        <f>IFERROR(Audit[[#This Row],[Overall Score]]/Audit[[#This Row],[Target Score]],"")</f>
        <v>0.67500000000000004</v>
      </c>
      <c r="U33" s="45" t="str">
        <f>IF(Audit[[#This Row],[Overall Score]]="","",IF(Audit[[#This Row],[Overall Score]]&lt;'Audit Database'!$L$7,'Audit Database'!$M$7,IF(Audit[[#This Row],[Overall Score]]&lt;'Audit Database'!$L$6,'Audit Database'!$M$6,'Audit Database'!$M$5)))</f>
        <v>Normal</v>
      </c>
      <c r="V33" s="56">
        <v>43985</v>
      </c>
      <c r="W33" s="38" t="s">
        <v>85</v>
      </c>
      <c r="X33" s="39"/>
    </row>
    <row r="34" spans="1:24" ht="30" customHeight="1" x14ac:dyDescent="0.2">
      <c r="A34" s="23" t="str">
        <f t="shared" si="1"/>
        <v/>
      </c>
      <c r="B34" s="47" t="s">
        <v>75</v>
      </c>
      <c r="C34" s="38" t="s">
        <v>87</v>
      </c>
      <c r="D34" s="37" t="str">
        <f>IFERROR(VLOOKUP(Audit[[#This Row],[Clause]],'Audit Database'!F:H,2,0),"")</f>
        <v>Here you can register clause description and requirements according to audit checklist standards 2</v>
      </c>
      <c r="E34" s="38" t="s">
        <v>55</v>
      </c>
      <c r="F34" s="40">
        <f>IFERROR(VLOOKUP(Audit[[#This Row],[Clause]],'Audit Database'!F:H,3,0),"")</f>
        <v>10</v>
      </c>
      <c r="G34" s="41">
        <v>9</v>
      </c>
      <c r="H34" s="41">
        <v>10</v>
      </c>
      <c r="I34" s="41">
        <v>4</v>
      </c>
      <c r="J34" s="41">
        <v>5</v>
      </c>
      <c r="K34" s="41">
        <v>7</v>
      </c>
      <c r="L34" s="41">
        <v>8</v>
      </c>
      <c r="M34" s="41">
        <v>5</v>
      </c>
      <c r="N34" s="41">
        <v>4</v>
      </c>
      <c r="O34" s="41">
        <v>4</v>
      </c>
      <c r="P34" s="41">
        <v>3</v>
      </c>
      <c r="Q34" s="41">
        <v>6</v>
      </c>
      <c r="R34" s="41">
        <v>7</v>
      </c>
      <c r="S34" s="71">
        <f>IFERROR(AVERAGE(Audit[[#This Row],[Jan]:[Dec]]),"")</f>
        <v>6</v>
      </c>
      <c r="T34" s="44">
        <f>IFERROR(Audit[[#This Row],[Overall Score]]/Audit[[#This Row],[Target Score]],"")</f>
        <v>0.6</v>
      </c>
      <c r="U34" s="45" t="str">
        <f>IF(Audit[[#This Row],[Overall Score]]="","",IF(Audit[[#This Row],[Overall Score]]&lt;'Audit Database'!$L$7,'Audit Database'!$M$7,IF(Audit[[#This Row],[Overall Score]]&lt;'Audit Database'!$L$6,'Audit Database'!$M$6,'Audit Database'!$M$5)))</f>
        <v>Bad</v>
      </c>
      <c r="V34" s="56">
        <v>44189</v>
      </c>
      <c r="W34" s="38" t="s">
        <v>84</v>
      </c>
      <c r="X34" s="39"/>
    </row>
    <row r="35" spans="1:24" ht="30" customHeight="1" x14ac:dyDescent="0.2">
      <c r="A35" s="23" t="str">
        <f t="shared" si="1"/>
        <v/>
      </c>
      <c r="B35" s="47" t="s">
        <v>76</v>
      </c>
      <c r="C35" s="38" t="s">
        <v>88</v>
      </c>
      <c r="D35" s="37" t="str">
        <f>IFERROR(VLOOKUP(Audit[[#This Row],[Clause]],'Audit Database'!F:H,2,0),"")</f>
        <v>Here you can register clause description and requirements according to audit checklist standards 3</v>
      </c>
      <c r="E35" s="38" t="s">
        <v>50</v>
      </c>
      <c r="F35" s="40">
        <f>IFERROR(VLOOKUP(Audit[[#This Row],[Clause]],'Audit Database'!F:H,3,0),"")</f>
        <v>10</v>
      </c>
      <c r="G35" s="41">
        <v>3</v>
      </c>
      <c r="H35" s="41">
        <v>6</v>
      </c>
      <c r="I35" s="41">
        <v>7</v>
      </c>
      <c r="J35" s="41">
        <v>4</v>
      </c>
      <c r="K35" s="41">
        <v>8</v>
      </c>
      <c r="L35" s="41">
        <v>5</v>
      </c>
      <c r="M35" s="41">
        <v>6</v>
      </c>
      <c r="N35" s="41">
        <v>6</v>
      </c>
      <c r="O35" s="41">
        <v>6</v>
      </c>
      <c r="P35" s="41">
        <v>7</v>
      </c>
      <c r="Q35" s="41">
        <v>10</v>
      </c>
      <c r="R35" s="41">
        <v>9</v>
      </c>
      <c r="S35" s="71">
        <f>IFERROR(AVERAGE(Audit[[#This Row],[Jan]:[Dec]]),"")</f>
        <v>6.416666666666667</v>
      </c>
      <c r="T35" s="44">
        <f>IFERROR(Audit[[#This Row],[Overall Score]]/Audit[[#This Row],[Target Score]],"")</f>
        <v>0.64166666666666672</v>
      </c>
      <c r="U35" s="45" t="str">
        <f>IF(Audit[[#This Row],[Overall Score]]="","",IF(Audit[[#This Row],[Overall Score]]&lt;'Audit Database'!$L$7,'Audit Database'!$M$7,IF(Audit[[#This Row],[Overall Score]]&lt;'Audit Database'!$L$6,'Audit Database'!$M$6,'Audit Database'!$M$5)))</f>
        <v>Bad</v>
      </c>
      <c r="V35" s="56">
        <v>43985</v>
      </c>
      <c r="W35" s="38" t="s">
        <v>81</v>
      </c>
      <c r="X35" s="39"/>
    </row>
    <row r="36" spans="1:24" ht="30" customHeight="1" x14ac:dyDescent="0.2">
      <c r="A36" s="23" t="str">
        <f t="shared" si="1"/>
        <v/>
      </c>
      <c r="B36" s="47" t="s">
        <v>77</v>
      </c>
      <c r="C36" s="38" t="s">
        <v>89</v>
      </c>
      <c r="D36" s="37" t="str">
        <f>IFERROR(VLOOKUP(Audit[[#This Row],[Clause]],'Audit Database'!F:H,2,0),"")</f>
        <v>Here you can register clause description and requirements according to audit checklist standards 4</v>
      </c>
      <c r="E36" s="38" t="s">
        <v>51</v>
      </c>
      <c r="F36" s="40">
        <f>IFERROR(VLOOKUP(Audit[[#This Row],[Clause]],'Audit Database'!F:H,3,0),"")</f>
        <v>10</v>
      </c>
      <c r="G36" s="41">
        <v>5</v>
      </c>
      <c r="H36" s="41">
        <v>7</v>
      </c>
      <c r="I36" s="41">
        <v>9</v>
      </c>
      <c r="J36" s="41">
        <v>10</v>
      </c>
      <c r="K36" s="41">
        <v>8</v>
      </c>
      <c r="L36" s="41">
        <v>3</v>
      </c>
      <c r="M36" s="41">
        <v>8</v>
      </c>
      <c r="N36" s="41">
        <v>4</v>
      </c>
      <c r="O36" s="41">
        <v>3</v>
      </c>
      <c r="P36" s="41">
        <v>7</v>
      </c>
      <c r="Q36" s="41">
        <v>8</v>
      </c>
      <c r="R36" s="41">
        <v>3</v>
      </c>
      <c r="S36" s="71">
        <f>IFERROR(AVERAGE(Audit[[#This Row],[Jan]:[Dec]]),"")</f>
        <v>6.25</v>
      </c>
      <c r="T36" s="44">
        <f>IFERROR(Audit[[#This Row],[Overall Score]]/Audit[[#This Row],[Target Score]],"")</f>
        <v>0.625</v>
      </c>
      <c r="U36" s="45" t="str">
        <f>IF(Audit[[#This Row],[Overall Score]]="","",IF(Audit[[#This Row],[Overall Score]]&lt;'Audit Database'!$L$7,'Audit Database'!$M$7,IF(Audit[[#This Row],[Overall Score]]&lt;'Audit Database'!$L$6,'Audit Database'!$M$6,'Audit Database'!$M$5)))</f>
        <v>Bad</v>
      </c>
      <c r="V36" s="56">
        <v>44147</v>
      </c>
      <c r="W36" s="38" t="s">
        <v>81</v>
      </c>
      <c r="X36" s="39"/>
    </row>
    <row r="37" spans="1:24" ht="30" customHeight="1" x14ac:dyDescent="0.2">
      <c r="A37" s="23" t="str">
        <f t="shared" si="1"/>
        <v/>
      </c>
      <c r="B37" s="47" t="s">
        <v>78</v>
      </c>
      <c r="C37" s="38" t="s">
        <v>90</v>
      </c>
      <c r="D37" s="37" t="str">
        <f>IFERROR(VLOOKUP(Audit[[#This Row],[Clause]],'Audit Database'!F:H,2,0),"")</f>
        <v>Here you can register clause description and requirements according to audit checklist standards 5</v>
      </c>
      <c r="E37" s="38" t="s">
        <v>52</v>
      </c>
      <c r="F37" s="40">
        <f>IFERROR(VLOOKUP(Audit[[#This Row],[Clause]],'Audit Database'!F:H,3,0),"")</f>
        <v>10</v>
      </c>
      <c r="G37" s="41">
        <v>3</v>
      </c>
      <c r="H37" s="41">
        <v>7</v>
      </c>
      <c r="I37" s="41">
        <v>4</v>
      </c>
      <c r="J37" s="41">
        <v>7</v>
      </c>
      <c r="K37" s="41">
        <v>10</v>
      </c>
      <c r="L37" s="41">
        <v>8</v>
      </c>
      <c r="M37" s="41">
        <v>4</v>
      </c>
      <c r="N37" s="41">
        <v>9</v>
      </c>
      <c r="O37" s="41">
        <v>4</v>
      </c>
      <c r="P37" s="41">
        <v>5</v>
      </c>
      <c r="Q37" s="41">
        <v>10</v>
      </c>
      <c r="R37" s="41">
        <v>3</v>
      </c>
      <c r="S37" s="71">
        <f>IFERROR(AVERAGE(Audit[[#This Row],[Jan]:[Dec]]),"")</f>
        <v>6.166666666666667</v>
      </c>
      <c r="T37" s="44">
        <f>IFERROR(Audit[[#This Row],[Overall Score]]/Audit[[#This Row],[Target Score]],"")</f>
        <v>0.6166666666666667</v>
      </c>
      <c r="U37" s="45" t="str">
        <f>IF(Audit[[#This Row],[Overall Score]]="","",IF(Audit[[#This Row],[Overall Score]]&lt;'Audit Database'!$L$7,'Audit Database'!$M$7,IF(Audit[[#This Row],[Overall Score]]&lt;'Audit Database'!$L$6,'Audit Database'!$M$6,'Audit Database'!$M$5)))</f>
        <v>Bad</v>
      </c>
      <c r="V37" s="56">
        <v>43970</v>
      </c>
      <c r="W37" s="38" t="s">
        <v>81</v>
      </c>
      <c r="X37" s="39"/>
    </row>
    <row r="38" spans="1:24" ht="30" customHeight="1" x14ac:dyDescent="0.2">
      <c r="A38" s="23" t="str">
        <f t="shared" si="1"/>
        <v/>
      </c>
      <c r="B38" s="47" t="s">
        <v>79</v>
      </c>
      <c r="C38" s="38" t="s">
        <v>91</v>
      </c>
      <c r="D38" s="37" t="str">
        <f>IFERROR(VLOOKUP(Audit[[#This Row],[Clause]],'Audit Database'!F:H,2,0),"")</f>
        <v>Here you can register clause description and requirements according to audit checklist standards 6</v>
      </c>
      <c r="E38" s="38" t="s">
        <v>49</v>
      </c>
      <c r="F38" s="40">
        <f>IFERROR(VLOOKUP(Audit[[#This Row],[Clause]],'Audit Database'!F:H,3,0),"")</f>
        <v>10</v>
      </c>
      <c r="G38" s="41">
        <v>6</v>
      </c>
      <c r="H38" s="41">
        <v>9</v>
      </c>
      <c r="I38" s="41">
        <v>3</v>
      </c>
      <c r="J38" s="41">
        <v>8</v>
      </c>
      <c r="K38" s="41">
        <v>7</v>
      </c>
      <c r="L38" s="41">
        <v>10</v>
      </c>
      <c r="M38" s="41">
        <v>10</v>
      </c>
      <c r="N38" s="41">
        <v>10</v>
      </c>
      <c r="O38" s="41">
        <v>10</v>
      </c>
      <c r="P38" s="41">
        <v>10</v>
      </c>
      <c r="Q38" s="41">
        <v>10</v>
      </c>
      <c r="R38" s="41">
        <v>10</v>
      </c>
      <c r="S38" s="71">
        <f>IFERROR(AVERAGE(Audit[[#This Row],[Jan]:[Dec]]),"")</f>
        <v>8.5833333333333339</v>
      </c>
      <c r="T38" s="44">
        <f>IFERROR(Audit[[#This Row],[Overall Score]]/Audit[[#This Row],[Target Score]],"")</f>
        <v>0.85833333333333339</v>
      </c>
      <c r="U38" s="45" t="str">
        <f>IF(Audit[[#This Row],[Overall Score]]="","",IF(Audit[[#This Row],[Overall Score]]&lt;'Audit Database'!$L$7,'Audit Database'!$M$7,IF(Audit[[#This Row],[Overall Score]]&lt;'Audit Database'!$L$6,'Audit Database'!$M$6,'Audit Database'!$M$5)))</f>
        <v>Good</v>
      </c>
      <c r="V38" s="56">
        <v>44184</v>
      </c>
      <c r="W38" s="38" t="s">
        <v>83</v>
      </c>
      <c r="X38" s="39"/>
    </row>
    <row r="39" spans="1:24" ht="30" customHeight="1" x14ac:dyDescent="0.2">
      <c r="A39" s="23" t="str">
        <f t="shared" si="1"/>
        <v/>
      </c>
      <c r="B39" s="48" t="s">
        <v>80</v>
      </c>
      <c r="C39" s="49" t="s">
        <v>87</v>
      </c>
      <c r="D39" s="50" t="str">
        <f>IFERROR(VLOOKUP(Audit[[#This Row],[Clause]],'Audit Database'!F:H,2,0),"")</f>
        <v>Here you can register clause description and requirements according to audit checklist standards 2</v>
      </c>
      <c r="E39" s="49" t="s">
        <v>48</v>
      </c>
      <c r="F39" s="51">
        <f>IFERROR(VLOOKUP(Audit[[#This Row],[Clause]],'Audit Database'!F:H,3,0),"")</f>
        <v>10</v>
      </c>
      <c r="G39" s="52">
        <v>6</v>
      </c>
      <c r="H39" s="52">
        <v>6</v>
      </c>
      <c r="I39" s="52">
        <v>8</v>
      </c>
      <c r="J39" s="52">
        <v>9</v>
      </c>
      <c r="K39" s="52">
        <v>8</v>
      </c>
      <c r="L39" s="52">
        <v>7</v>
      </c>
      <c r="M39" s="52">
        <v>10</v>
      </c>
      <c r="N39" s="52">
        <v>9</v>
      </c>
      <c r="O39" s="52">
        <v>8</v>
      </c>
      <c r="P39" s="52">
        <v>4</v>
      </c>
      <c r="Q39" s="52">
        <v>4</v>
      </c>
      <c r="R39" s="52">
        <v>10</v>
      </c>
      <c r="S39" s="72">
        <f>IFERROR(AVERAGE(Audit[[#This Row],[Jan]:[Dec]]),"")</f>
        <v>7.416666666666667</v>
      </c>
      <c r="T39" s="53">
        <f>IFERROR(Audit[[#This Row],[Overall Score]]/Audit[[#This Row],[Target Score]],"")</f>
        <v>0.7416666666666667</v>
      </c>
      <c r="U39" s="54" t="str">
        <f>IF(Audit[[#This Row],[Overall Score]]="","",IF(Audit[[#This Row],[Overall Score]]&lt;'Audit Database'!$L$7,'Audit Database'!$M$7,IF(Audit[[#This Row],[Overall Score]]&lt;'Audit Database'!$L$6,'Audit Database'!$M$6,'Audit Database'!$M$5)))</f>
        <v>Normal</v>
      </c>
      <c r="V39" s="57">
        <v>44097</v>
      </c>
      <c r="W39" s="49" t="s">
        <v>82</v>
      </c>
      <c r="X39" s="55"/>
    </row>
    <row r="40" spans="1:24" ht="30" customHeight="1" x14ac:dyDescent="0.2">
      <c r="A40" s="23" t="str">
        <f t="shared" si="1"/>
        <v>Select Audit Point---&gt;</v>
      </c>
    </row>
    <row r="41" spans="1:24" ht="30" customHeight="1" x14ac:dyDescent="0.2">
      <c r="A41" s="23" t="str">
        <f t="shared" si="1"/>
        <v/>
      </c>
    </row>
    <row r="42" spans="1:24" ht="30" customHeight="1" x14ac:dyDescent="0.2">
      <c r="A42" s="23" t="str">
        <f t="shared" si="1"/>
        <v/>
      </c>
    </row>
    <row r="43" spans="1:24" ht="30" customHeight="1" x14ac:dyDescent="0.2">
      <c r="A43" s="23" t="str">
        <f t="shared" si="1"/>
        <v/>
      </c>
    </row>
    <row r="44" spans="1:24" ht="30" customHeight="1" x14ac:dyDescent="0.2">
      <c r="A44" s="23" t="str">
        <f t="shared" si="1"/>
        <v/>
      </c>
    </row>
    <row r="45" spans="1:24" ht="30" customHeight="1" x14ac:dyDescent="0.2">
      <c r="A45" s="23" t="str">
        <f t="shared" si="1"/>
        <v/>
      </c>
    </row>
    <row r="46" spans="1:24" ht="30" customHeight="1" x14ac:dyDescent="0.2">
      <c r="A46" s="23" t="str">
        <f t="shared" si="1"/>
        <v/>
      </c>
    </row>
    <row r="47" spans="1:24" ht="30" customHeight="1" x14ac:dyDescent="0.2">
      <c r="A47" s="23" t="str">
        <f t="shared" si="1"/>
        <v/>
      </c>
    </row>
    <row r="48" spans="1:24" ht="30" customHeight="1" x14ac:dyDescent="0.2">
      <c r="A48" s="23" t="str">
        <f t="shared" si="1"/>
        <v/>
      </c>
    </row>
    <row r="49" spans="1:1" ht="30" customHeight="1" x14ac:dyDescent="0.2">
      <c r="A49" s="23" t="str">
        <f t="shared" si="1"/>
        <v/>
      </c>
    </row>
    <row r="50" spans="1:1" ht="30" customHeight="1" x14ac:dyDescent="0.2">
      <c r="A50" s="23" t="str">
        <f t="shared" si="1"/>
        <v/>
      </c>
    </row>
    <row r="51" spans="1:1" ht="30" customHeight="1" x14ac:dyDescent="0.2">
      <c r="A51" s="23" t="str">
        <f t="shared" si="1"/>
        <v/>
      </c>
    </row>
    <row r="52" spans="1:1" ht="30" customHeight="1" x14ac:dyDescent="0.2">
      <c r="A52" s="23" t="str">
        <f t="shared" si="1"/>
        <v/>
      </c>
    </row>
    <row r="53" spans="1:1" ht="30" customHeight="1" x14ac:dyDescent="0.2">
      <c r="A53" s="23" t="str">
        <f t="shared" si="1"/>
        <v/>
      </c>
    </row>
    <row r="54" spans="1:1" ht="30" customHeight="1" x14ac:dyDescent="0.2">
      <c r="A54" s="23" t="str">
        <f t="shared" si="1"/>
        <v/>
      </c>
    </row>
    <row r="55" spans="1:1" ht="30" customHeight="1" x14ac:dyDescent="0.2">
      <c r="A55" s="23" t="str">
        <f t="shared" si="1"/>
        <v/>
      </c>
    </row>
    <row r="56" spans="1:1" ht="30" customHeight="1" x14ac:dyDescent="0.2">
      <c r="A56" s="23" t="str">
        <f t="shared" si="1"/>
        <v/>
      </c>
    </row>
    <row r="57" spans="1:1" ht="30" customHeight="1" x14ac:dyDescent="0.2">
      <c r="A57" s="23" t="str">
        <f t="shared" si="1"/>
        <v/>
      </c>
    </row>
    <row r="58" spans="1:1" ht="30" customHeight="1" x14ac:dyDescent="0.2">
      <c r="A58" s="23" t="str">
        <f t="shared" si="1"/>
        <v/>
      </c>
    </row>
    <row r="59" spans="1:1" ht="30" customHeight="1" x14ac:dyDescent="0.2">
      <c r="A59" s="23" t="str">
        <f t="shared" si="1"/>
        <v/>
      </c>
    </row>
    <row r="60" spans="1:1" ht="30" customHeight="1" x14ac:dyDescent="0.2">
      <c r="A60" s="23" t="str">
        <f t="shared" si="1"/>
        <v/>
      </c>
    </row>
    <row r="61" spans="1:1" ht="30" customHeight="1" x14ac:dyDescent="0.2">
      <c r="A61" s="23" t="str">
        <f t="shared" si="1"/>
        <v/>
      </c>
    </row>
    <row r="62" spans="1:1" ht="30" customHeight="1" x14ac:dyDescent="0.2">
      <c r="A62" s="23" t="str">
        <f t="shared" si="1"/>
        <v/>
      </c>
    </row>
    <row r="63" spans="1:1" ht="30" customHeight="1" x14ac:dyDescent="0.2">
      <c r="A63" s="23" t="str">
        <f t="shared" si="1"/>
        <v/>
      </c>
    </row>
    <row r="64" spans="1:1" ht="30" customHeight="1" x14ac:dyDescent="0.2">
      <c r="A64" s="23" t="str">
        <f t="shared" si="1"/>
        <v/>
      </c>
    </row>
    <row r="65" spans="1:1" ht="30" customHeight="1" x14ac:dyDescent="0.2">
      <c r="A65" s="23" t="str">
        <f t="shared" si="1"/>
        <v/>
      </c>
    </row>
    <row r="66" spans="1:1" ht="30" customHeight="1" x14ac:dyDescent="0.2">
      <c r="A66" s="23" t="str">
        <f t="shared" si="1"/>
        <v/>
      </c>
    </row>
    <row r="67" spans="1:1" ht="30" customHeight="1" x14ac:dyDescent="0.2">
      <c r="A67" s="23" t="str">
        <f t="shared" si="1"/>
        <v/>
      </c>
    </row>
    <row r="68" spans="1:1" ht="30" customHeight="1" x14ac:dyDescent="0.2">
      <c r="A68" s="23" t="str">
        <f t="shared" si="1"/>
        <v/>
      </c>
    </row>
    <row r="69" spans="1:1" ht="30" customHeight="1" x14ac:dyDescent="0.2">
      <c r="A69" s="23" t="str">
        <f t="shared" si="1"/>
        <v/>
      </c>
    </row>
    <row r="70" spans="1:1" ht="30" customHeight="1" x14ac:dyDescent="0.2">
      <c r="A70" s="23" t="str">
        <f t="shared" si="1"/>
        <v/>
      </c>
    </row>
    <row r="71" spans="1:1" ht="30" customHeight="1" x14ac:dyDescent="0.2">
      <c r="A71" s="23" t="str">
        <f t="shared" si="1"/>
        <v/>
      </c>
    </row>
    <row r="72" spans="1:1" ht="30" customHeight="1" x14ac:dyDescent="0.2">
      <c r="A72" s="23" t="str">
        <f t="shared" si="1"/>
        <v/>
      </c>
    </row>
    <row r="73" spans="1:1" ht="30" customHeight="1" x14ac:dyDescent="0.2">
      <c r="A73" s="23" t="str">
        <f t="shared" si="1"/>
        <v/>
      </c>
    </row>
    <row r="74" spans="1:1" ht="30" customHeight="1" x14ac:dyDescent="0.2">
      <c r="A74" s="23" t="str">
        <f t="shared" si="1"/>
        <v/>
      </c>
    </row>
    <row r="75" spans="1:1" ht="30" customHeight="1" x14ac:dyDescent="0.2">
      <c r="A75" s="23" t="str">
        <f t="shared" si="1"/>
        <v/>
      </c>
    </row>
    <row r="76" spans="1:1" ht="30" customHeight="1" x14ac:dyDescent="0.2">
      <c r="A76" s="23" t="str">
        <f t="shared" si="1"/>
        <v/>
      </c>
    </row>
    <row r="77" spans="1:1" ht="30" customHeight="1" x14ac:dyDescent="0.2">
      <c r="A77" s="23" t="str">
        <f t="shared" si="1"/>
        <v/>
      </c>
    </row>
    <row r="78" spans="1:1" ht="30" customHeight="1" x14ac:dyDescent="0.2">
      <c r="A78" s="23" t="str">
        <f t="shared" si="1"/>
        <v/>
      </c>
    </row>
    <row r="79" spans="1:1" ht="30" customHeight="1" x14ac:dyDescent="0.2">
      <c r="A79" s="23" t="str">
        <f t="shared" si="1"/>
        <v/>
      </c>
    </row>
    <row r="80" spans="1:1" ht="30" customHeight="1" x14ac:dyDescent="0.2">
      <c r="A80" s="23" t="str">
        <f t="shared" si="1"/>
        <v/>
      </c>
    </row>
    <row r="81" spans="1:1" ht="30" customHeight="1" x14ac:dyDescent="0.2">
      <c r="A81" s="23" t="str">
        <f t="shared" si="1"/>
        <v/>
      </c>
    </row>
    <row r="82" spans="1:1" ht="30" customHeight="1" x14ac:dyDescent="0.2">
      <c r="A82" s="23" t="str">
        <f t="shared" ref="A82:A145" si="2">IF(AND(B81&lt;&gt;"",B82=""),"Select Audit Point---&gt;","")</f>
        <v/>
      </c>
    </row>
    <row r="83" spans="1:1" ht="30" customHeight="1" x14ac:dyDescent="0.2">
      <c r="A83" s="23" t="str">
        <f t="shared" si="2"/>
        <v/>
      </c>
    </row>
    <row r="84" spans="1:1" ht="30" customHeight="1" x14ac:dyDescent="0.2">
      <c r="A84" s="23" t="str">
        <f t="shared" si="2"/>
        <v/>
      </c>
    </row>
    <row r="85" spans="1:1" ht="30" customHeight="1" x14ac:dyDescent="0.2">
      <c r="A85" s="23" t="str">
        <f t="shared" si="2"/>
        <v/>
      </c>
    </row>
    <row r="86" spans="1:1" ht="30" customHeight="1" x14ac:dyDescent="0.2">
      <c r="A86" s="23" t="str">
        <f t="shared" si="2"/>
        <v/>
      </c>
    </row>
    <row r="87" spans="1:1" ht="30" customHeight="1" x14ac:dyDescent="0.2">
      <c r="A87" s="23" t="str">
        <f t="shared" si="2"/>
        <v/>
      </c>
    </row>
    <row r="88" spans="1:1" ht="30" customHeight="1" x14ac:dyDescent="0.2">
      <c r="A88" s="23" t="str">
        <f t="shared" si="2"/>
        <v/>
      </c>
    </row>
    <row r="89" spans="1:1" ht="30" customHeight="1" x14ac:dyDescent="0.2">
      <c r="A89" s="23" t="str">
        <f t="shared" si="2"/>
        <v/>
      </c>
    </row>
    <row r="90" spans="1:1" ht="30" customHeight="1" x14ac:dyDescent="0.2">
      <c r="A90" s="23" t="str">
        <f t="shared" si="2"/>
        <v/>
      </c>
    </row>
    <row r="91" spans="1:1" ht="30" customHeight="1" x14ac:dyDescent="0.2">
      <c r="A91" s="23" t="str">
        <f t="shared" si="2"/>
        <v/>
      </c>
    </row>
    <row r="92" spans="1:1" ht="30" customHeight="1" x14ac:dyDescent="0.2">
      <c r="A92" s="23" t="str">
        <f t="shared" si="2"/>
        <v/>
      </c>
    </row>
    <row r="93" spans="1:1" ht="30" customHeight="1" x14ac:dyDescent="0.2">
      <c r="A93" s="23" t="str">
        <f t="shared" si="2"/>
        <v/>
      </c>
    </row>
    <row r="94" spans="1:1" ht="30" customHeight="1" x14ac:dyDescent="0.2">
      <c r="A94" s="23" t="str">
        <f t="shared" si="2"/>
        <v/>
      </c>
    </row>
    <row r="95" spans="1:1" ht="30" customHeight="1" x14ac:dyDescent="0.2">
      <c r="A95" s="23" t="str">
        <f t="shared" si="2"/>
        <v/>
      </c>
    </row>
    <row r="96" spans="1:1" ht="30" customHeight="1" x14ac:dyDescent="0.2">
      <c r="A96" s="23" t="str">
        <f t="shared" si="2"/>
        <v/>
      </c>
    </row>
    <row r="97" spans="1:1" ht="30" customHeight="1" x14ac:dyDescent="0.2">
      <c r="A97" s="23" t="str">
        <f t="shared" si="2"/>
        <v/>
      </c>
    </row>
    <row r="98" spans="1:1" ht="30" customHeight="1" x14ac:dyDescent="0.2">
      <c r="A98" s="23" t="str">
        <f t="shared" si="2"/>
        <v/>
      </c>
    </row>
    <row r="99" spans="1:1" ht="30" customHeight="1" x14ac:dyDescent="0.2">
      <c r="A99" s="23" t="str">
        <f t="shared" si="2"/>
        <v/>
      </c>
    </row>
    <row r="100" spans="1:1" ht="30" customHeight="1" x14ac:dyDescent="0.2">
      <c r="A100" s="23" t="str">
        <f t="shared" si="2"/>
        <v/>
      </c>
    </row>
    <row r="101" spans="1:1" ht="30" customHeight="1" x14ac:dyDescent="0.2">
      <c r="A101" s="23" t="str">
        <f t="shared" si="2"/>
        <v/>
      </c>
    </row>
    <row r="102" spans="1:1" ht="30" customHeight="1" x14ac:dyDescent="0.2">
      <c r="A102" s="23" t="str">
        <f t="shared" si="2"/>
        <v/>
      </c>
    </row>
    <row r="103" spans="1:1" ht="30" customHeight="1" x14ac:dyDescent="0.2">
      <c r="A103" s="23" t="str">
        <f t="shared" si="2"/>
        <v/>
      </c>
    </row>
    <row r="104" spans="1:1" ht="30" customHeight="1" x14ac:dyDescent="0.2">
      <c r="A104" s="23" t="str">
        <f t="shared" si="2"/>
        <v/>
      </c>
    </row>
    <row r="105" spans="1:1" ht="30" customHeight="1" x14ac:dyDescent="0.2">
      <c r="A105" s="23" t="str">
        <f t="shared" si="2"/>
        <v/>
      </c>
    </row>
    <row r="106" spans="1:1" ht="30" customHeight="1" x14ac:dyDescent="0.2">
      <c r="A106" s="23" t="str">
        <f t="shared" si="2"/>
        <v/>
      </c>
    </row>
    <row r="107" spans="1:1" ht="30" customHeight="1" x14ac:dyDescent="0.2">
      <c r="A107" s="23" t="str">
        <f t="shared" si="2"/>
        <v/>
      </c>
    </row>
    <row r="108" spans="1:1" ht="30" customHeight="1" x14ac:dyDescent="0.2">
      <c r="A108" s="23" t="str">
        <f t="shared" si="2"/>
        <v/>
      </c>
    </row>
    <row r="109" spans="1:1" ht="30" customHeight="1" x14ac:dyDescent="0.2">
      <c r="A109" s="23" t="str">
        <f t="shared" si="2"/>
        <v/>
      </c>
    </row>
    <row r="110" spans="1:1" ht="30" customHeight="1" x14ac:dyDescent="0.2">
      <c r="A110" s="23" t="str">
        <f t="shared" si="2"/>
        <v/>
      </c>
    </row>
    <row r="111" spans="1:1" ht="30" customHeight="1" x14ac:dyDescent="0.2">
      <c r="A111" s="23" t="str">
        <f t="shared" si="2"/>
        <v/>
      </c>
    </row>
    <row r="112" spans="1:1" ht="30" customHeight="1" x14ac:dyDescent="0.2">
      <c r="A112" s="23" t="str">
        <f t="shared" si="2"/>
        <v/>
      </c>
    </row>
    <row r="113" spans="1:1" ht="30" customHeight="1" x14ac:dyDescent="0.2">
      <c r="A113" s="23" t="str">
        <f t="shared" si="2"/>
        <v/>
      </c>
    </row>
    <row r="114" spans="1:1" ht="30" customHeight="1" x14ac:dyDescent="0.2">
      <c r="A114" s="23" t="str">
        <f t="shared" si="2"/>
        <v/>
      </c>
    </row>
    <row r="115" spans="1:1" ht="30" customHeight="1" x14ac:dyDescent="0.2">
      <c r="A115" s="23" t="str">
        <f t="shared" si="2"/>
        <v/>
      </c>
    </row>
    <row r="116" spans="1:1" ht="30" customHeight="1" x14ac:dyDescent="0.2">
      <c r="A116" s="23" t="str">
        <f t="shared" si="2"/>
        <v/>
      </c>
    </row>
    <row r="117" spans="1:1" ht="30" customHeight="1" x14ac:dyDescent="0.2">
      <c r="A117" s="23" t="str">
        <f t="shared" si="2"/>
        <v/>
      </c>
    </row>
    <row r="118" spans="1:1" ht="30" customHeight="1" x14ac:dyDescent="0.2">
      <c r="A118" s="23" t="str">
        <f t="shared" si="2"/>
        <v/>
      </c>
    </row>
    <row r="119" spans="1:1" ht="30" customHeight="1" x14ac:dyDescent="0.2">
      <c r="A119" s="23" t="str">
        <f t="shared" si="2"/>
        <v/>
      </c>
    </row>
    <row r="120" spans="1:1" ht="30" customHeight="1" x14ac:dyDescent="0.2">
      <c r="A120" s="23" t="str">
        <f t="shared" si="2"/>
        <v/>
      </c>
    </row>
    <row r="121" spans="1:1" ht="30" customHeight="1" x14ac:dyDescent="0.2">
      <c r="A121" s="23" t="str">
        <f t="shared" si="2"/>
        <v/>
      </c>
    </row>
    <row r="122" spans="1:1" ht="30" customHeight="1" x14ac:dyDescent="0.2">
      <c r="A122" s="23" t="str">
        <f t="shared" si="2"/>
        <v/>
      </c>
    </row>
    <row r="123" spans="1:1" ht="30" customHeight="1" x14ac:dyDescent="0.2">
      <c r="A123" s="23" t="str">
        <f t="shared" si="2"/>
        <v/>
      </c>
    </row>
    <row r="124" spans="1:1" ht="30" customHeight="1" x14ac:dyDescent="0.2">
      <c r="A124" s="23" t="str">
        <f t="shared" si="2"/>
        <v/>
      </c>
    </row>
    <row r="125" spans="1:1" ht="30" customHeight="1" x14ac:dyDescent="0.2">
      <c r="A125" s="23" t="str">
        <f t="shared" si="2"/>
        <v/>
      </c>
    </row>
    <row r="126" spans="1:1" ht="30" customHeight="1" x14ac:dyDescent="0.2">
      <c r="A126" s="23" t="str">
        <f t="shared" si="2"/>
        <v/>
      </c>
    </row>
    <row r="127" spans="1:1" ht="30" customHeight="1" x14ac:dyDescent="0.2">
      <c r="A127" s="23" t="str">
        <f t="shared" si="2"/>
        <v/>
      </c>
    </row>
    <row r="128" spans="1:1" ht="30" customHeight="1" x14ac:dyDescent="0.2">
      <c r="A128" s="23" t="str">
        <f t="shared" si="2"/>
        <v/>
      </c>
    </row>
    <row r="129" spans="1:1" ht="30" customHeight="1" x14ac:dyDescent="0.2">
      <c r="A129" s="23" t="str">
        <f t="shared" si="2"/>
        <v/>
      </c>
    </row>
    <row r="130" spans="1:1" ht="30" customHeight="1" x14ac:dyDescent="0.2">
      <c r="A130" s="23" t="str">
        <f t="shared" si="2"/>
        <v/>
      </c>
    </row>
    <row r="131" spans="1:1" ht="30" customHeight="1" x14ac:dyDescent="0.2">
      <c r="A131" s="23" t="str">
        <f t="shared" si="2"/>
        <v/>
      </c>
    </row>
    <row r="132" spans="1:1" ht="30" customHeight="1" x14ac:dyDescent="0.2">
      <c r="A132" s="23" t="str">
        <f t="shared" si="2"/>
        <v/>
      </c>
    </row>
    <row r="133" spans="1:1" ht="30" customHeight="1" x14ac:dyDescent="0.2">
      <c r="A133" s="23" t="str">
        <f t="shared" si="2"/>
        <v/>
      </c>
    </row>
    <row r="134" spans="1:1" ht="30" customHeight="1" x14ac:dyDescent="0.2">
      <c r="A134" s="23" t="str">
        <f t="shared" si="2"/>
        <v/>
      </c>
    </row>
    <row r="135" spans="1:1" ht="30" customHeight="1" x14ac:dyDescent="0.2">
      <c r="A135" s="23" t="str">
        <f t="shared" si="2"/>
        <v/>
      </c>
    </row>
    <row r="136" spans="1:1" ht="30" customHeight="1" x14ac:dyDescent="0.2">
      <c r="A136" s="23" t="str">
        <f t="shared" si="2"/>
        <v/>
      </c>
    </row>
    <row r="137" spans="1:1" ht="30" customHeight="1" x14ac:dyDescent="0.2">
      <c r="A137" s="23" t="str">
        <f t="shared" si="2"/>
        <v/>
      </c>
    </row>
    <row r="138" spans="1:1" ht="30" customHeight="1" x14ac:dyDescent="0.2">
      <c r="A138" s="23" t="str">
        <f t="shared" si="2"/>
        <v/>
      </c>
    </row>
    <row r="139" spans="1:1" ht="30" customHeight="1" x14ac:dyDescent="0.2">
      <c r="A139" s="23" t="str">
        <f t="shared" si="2"/>
        <v/>
      </c>
    </row>
    <row r="140" spans="1:1" ht="30" customHeight="1" x14ac:dyDescent="0.2">
      <c r="A140" s="23" t="str">
        <f t="shared" si="2"/>
        <v/>
      </c>
    </row>
    <row r="141" spans="1:1" ht="30" customHeight="1" x14ac:dyDescent="0.2">
      <c r="A141" s="23" t="str">
        <f t="shared" si="2"/>
        <v/>
      </c>
    </row>
    <row r="142" spans="1:1" ht="30" customHeight="1" x14ac:dyDescent="0.2">
      <c r="A142" s="23" t="str">
        <f t="shared" si="2"/>
        <v/>
      </c>
    </row>
    <row r="143" spans="1:1" ht="30" customHeight="1" x14ac:dyDescent="0.2">
      <c r="A143" s="23" t="str">
        <f t="shared" si="2"/>
        <v/>
      </c>
    </row>
    <row r="144" spans="1:1" ht="30" customHeight="1" x14ac:dyDescent="0.2">
      <c r="A144" s="23" t="str">
        <f t="shared" si="2"/>
        <v/>
      </c>
    </row>
    <row r="145" spans="1:1" ht="30" customHeight="1" x14ac:dyDescent="0.2">
      <c r="A145" s="23" t="str">
        <f t="shared" si="2"/>
        <v/>
      </c>
    </row>
    <row r="146" spans="1:1" ht="30" customHeight="1" x14ac:dyDescent="0.2">
      <c r="A146" s="23" t="str">
        <f t="shared" ref="A146:A209" si="3">IF(AND(B145&lt;&gt;"",B146=""),"Select Audit Point---&gt;","")</f>
        <v/>
      </c>
    </row>
    <row r="147" spans="1:1" ht="30" customHeight="1" x14ac:dyDescent="0.2">
      <c r="A147" s="23" t="str">
        <f t="shared" si="3"/>
        <v/>
      </c>
    </row>
    <row r="148" spans="1:1" ht="30" customHeight="1" x14ac:dyDescent="0.2">
      <c r="A148" s="23" t="str">
        <f t="shared" si="3"/>
        <v/>
      </c>
    </row>
    <row r="149" spans="1:1" ht="30" customHeight="1" x14ac:dyDescent="0.2">
      <c r="A149" s="23" t="str">
        <f t="shared" si="3"/>
        <v/>
      </c>
    </row>
    <row r="150" spans="1:1" ht="30" customHeight="1" x14ac:dyDescent="0.2">
      <c r="A150" s="23" t="str">
        <f t="shared" si="3"/>
        <v/>
      </c>
    </row>
    <row r="151" spans="1:1" ht="30" customHeight="1" x14ac:dyDescent="0.2">
      <c r="A151" s="23" t="str">
        <f t="shared" si="3"/>
        <v/>
      </c>
    </row>
    <row r="152" spans="1:1" ht="30" customHeight="1" x14ac:dyDescent="0.2">
      <c r="A152" s="23" t="str">
        <f t="shared" si="3"/>
        <v/>
      </c>
    </row>
    <row r="153" spans="1:1" ht="30" customHeight="1" x14ac:dyDescent="0.2">
      <c r="A153" s="23" t="str">
        <f t="shared" si="3"/>
        <v/>
      </c>
    </row>
    <row r="154" spans="1:1" ht="30" customHeight="1" x14ac:dyDescent="0.2">
      <c r="A154" s="23" t="str">
        <f t="shared" si="3"/>
        <v/>
      </c>
    </row>
    <row r="155" spans="1:1" ht="30" customHeight="1" x14ac:dyDescent="0.2">
      <c r="A155" s="23" t="str">
        <f t="shared" si="3"/>
        <v/>
      </c>
    </row>
    <row r="156" spans="1:1" ht="30" customHeight="1" x14ac:dyDescent="0.2">
      <c r="A156" s="23" t="str">
        <f t="shared" si="3"/>
        <v/>
      </c>
    </row>
    <row r="157" spans="1:1" ht="30" customHeight="1" x14ac:dyDescent="0.2">
      <c r="A157" s="23" t="str">
        <f t="shared" si="3"/>
        <v/>
      </c>
    </row>
    <row r="158" spans="1:1" ht="30" customHeight="1" x14ac:dyDescent="0.2">
      <c r="A158" s="23" t="str">
        <f t="shared" si="3"/>
        <v/>
      </c>
    </row>
    <row r="159" spans="1:1" ht="30" customHeight="1" x14ac:dyDescent="0.2">
      <c r="A159" s="23" t="str">
        <f t="shared" si="3"/>
        <v/>
      </c>
    </row>
    <row r="160" spans="1:1" ht="30" customHeight="1" x14ac:dyDescent="0.2">
      <c r="A160" s="23" t="str">
        <f t="shared" si="3"/>
        <v/>
      </c>
    </row>
    <row r="161" spans="1:1" ht="30" customHeight="1" x14ac:dyDescent="0.2">
      <c r="A161" s="23" t="str">
        <f t="shared" si="3"/>
        <v/>
      </c>
    </row>
    <row r="162" spans="1:1" ht="30" customHeight="1" x14ac:dyDescent="0.2">
      <c r="A162" s="23" t="str">
        <f t="shared" si="3"/>
        <v/>
      </c>
    </row>
    <row r="163" spans="1:1" ht="30" customHeight="1" x14ac:dyDescent="0.2">
      <c r="A163" s="23" t="str">
        <f t="shared" si="3"/>
        <v/>
      </c>
    </row>
    <row r="164" spans="1:1" ht="30" customHeight="1" x14ac:dyDescent="0.2">
      <c r="A164" s="23" t="str">
        <f t="shared" si="3"/>
        <v/>
      </c>
    </row>
    <row r="165" spans="1:1" ht="30" customHeight="1" x14ac:dyDescent="0.2">
      <c r="A165" s="23" t="str">
        <f t="shared" si="3"/>
        <v/>
      </c>
    </row>
    <row r="166" spans="1:1" ht="30" customHeight="1" x14ac:dyDescent="0.2">
      <c r="A166" s="23" t="str">
        <f t="shared" si="3"/>
        <v/>
      </c>
    </row>
    <row r="167" spans="1:1" ht="30" customHeight="1" x14ac:dyDescent="0.2">
      <c r="A167" s="23" t="str">
        <f t="shared" si="3"/>
        <v/>
      </c>
    </row>
    <row r="168" spans="1:1" ht="30" customHeight="1" x14ac:dyDescent="0.2">
      <c r="A168" s="23" t="str">
        <f t="shared" si="3"/>
        <v/>
      </c>
    </row>
    <row r="169" spans="1:1" ht="30" customHeight="1" x14ac:dyDescent="0.2">
      <c r="A169" s="23" t="str">
        <f t="shared" si="3"/>
        <v/>
      </c>
    </row>
    <row r="170" spans="1:1" ht="30" customHeight="1" x14ac:dyDescent="0.2">
      <c r="A170" s="23" t="str">
        <f t="shared" si="3"/>
        <v/>
      </c>
    </row>
    <row r="171" spans="1:1" ht="30" customHeight="1" x14ac:dyDescent="0.2">
      <c r="A171" s="23" t="str">
        <f t="shared" si="3"/>
        <v/>
      </c>
    </row>
    <row r="172" spans="1:1" ht="30" customHeight="1" x14ac:dyDescent="0.2">
      <c r="A172" s="23" t="str">
        <f t="shared" si="3"/>
        <v/>
      </c>
    </row>
    <row r="173" spans="1:1" ht="30" customHeight="1" x14ac:dyDescent="0.2">
      <c r="A173" s="23" t="str">
        <f t="shared" si="3"/>
        <v/>
      </c>
    </row>
    <row r="174" spans="1:1" ht="30" customHeight="1" x14ac:dyDescent="0.2">
      <c r="A174" s="23" t="str">
        <f t="shared" si="3"/>
        <v/>
      </c>
    </row>
    <row r="175" spans="1:1" ht="30" customHeight="1" x14ac:dyDescent="0.2">
      <c r="A175" s="23" t="str">
        <f t="shared" si="3"/>
        <v/>
      </c>
    </row>
    <row r="176" spans="1:1" ht="30" customHeight="1" x14ac:dyDescent="0.2">
      <c r="A176" s="23" t="str">
        <f t="shared" si="3"/>
        <v/>
      </c>
    </row>
    <row r="177" spans="1:1" ht="30" customHeight="1" x14ac:dyDescent="0.2">
      <c r="A177" s="23" t="str">
        <f t="shared" si="3"/>
        <v/>
      </c>
    </row>
    <row r="178" spans="1:1" ht="30" customHeight="1" x14ac:dyDescent="0.2">
      <c r="A178" s="23" t="str">
        <f t="shared" si="3"/>
        <v/>
      </c>
    </row>
    <row r="179" spans="1:1" ht="30" customHeight="1" x14ac:dyDescent="0.2">
      <c r="A179" s="23" t="str">
        <f t="shared" si="3"/>
        <v/>
      </c>
    </row>
    <row r="180" spans="1:1" ht="30" customHeight="1" x14ac:dyDescent="0.2">
      <c r="A180" s="23" t="str">
        <f t="shared" si="3"/>
        <v/>
      </c>
    </row>
    <row r="181" spans="1:1" ht="30" customHeight="1" x14ac:dyDescent="0.2">
      <c r="A181" s="23" t="str">
        <f t="shared" si="3"/>
        <v/>
      </c>
    </row>
    <row r="182" spans="1:1" ht="30" customHeight="1" x14ac:dyDescent="0.2">
      <c r="A182" s="23" t="str">
        <f t="shared" si="3"/>
        <v/>
      </c>
    </row>
    <row r="183" spans="1:1" ht="30" customHeight="1" x14ac:dyDescent="0.2">
      <c r="A183" s="23" t="str">
        <f t="shared" si="3"/>
        <v/>
      </c>
    </row>
    <row r="184" spans="1:1" ht="30" customHeight="1" x14ac:dyDescent="0.2">
      <c r="A184" s="23" t="str">
        <f t="shared" si="3"/>
        <v/>
      </c>
    </row>
    <row r="185" spans="1:1" ht="30" customHeight="1" x14ac:dyDescent="0.2">
      <c r="A185" s="23" t="str">
        <f t="shared" si="3"/>
        <v/>
      </c>
    </row>
    <row r="186" spans="1:1" ht="30" customHeight="1" x14ac:dyDescent="0.2">
      <c r="A186" s="23" t="str">
        <f t="shared" si="3"/>
        <v/>
      </c>
    </row>
    <row r="187" spans="1:1" ht="30" customHeight="1" x14ac:dyDescent="0.2">
      <c r="A187" s="23" t="str">
        <f t="shared" si="3"/>
        <v/>
      </c>
    </row>
    <row r="188" spans="1:1" ht="30" customHeight="1" x14ac:dyDescent="0.2">
      <c r="A188" s="23" t="str">
        <f t="shared" si="3"/>
        <v/>
      </c>
    </row>
    <row r="189" spans="1:1" ht="30" customHeight="1" x14ac:dyDescent="0.2">
      <c r="A189" s="23" t="str">
        <f t="shared" si="3"/>
        <v/>
      </c>
    </row>
    <row r="190" spans="1:1" ht="30" customHeight="1" x14ac:dyDescent="0.2">
      <c r="A190" s="23" t="str">
        <f t="shared" si="3"/>
        <v/>
      </c>
    </row>
    <row r="191" spans="1:1" ht="30" customHeight="1" x14ac:dyDescent="0.2">
      <c r="A191" s="23" t="str">
        <f t="shared" si="3"/>
        <v/>
      </c>
    </row>
    <row r="192" spans="1:1" ht="30" customHeight="1" x14ac:dyDescent="0.2">
      <c r="A192" s="23" t="str">
        <f t="shared" si="3"/>
        <v/>
      </c>
    </row>
    <row r="193" spans="1:1" ht="30" customHeight="1" x14ac:dyDescent="0.2">
      <c r="A193" s="23" t="str">
        <f t="shared" si="3"/>
        <v/>
      </c>
    </row>
    <row r="194" spans="1:1" ht="30" customHeight="1" x14ac:dyDescent="0.2">
      <c r="A194" s="23" t="str">
        <f t="shared" si="3"/>
        <v/>
      </c>
    </row>
    <row r="195" spans="1:1" ht="30" customHeight="1" x14ac:dyDescent="0.2">
      <c r="A195" s="23" t="str">
        <f t="shared" si="3"/>
        <v/>
      </c>
    </row>
    <row r="196" spans="1:1" ht="30" customHeight="1" x14ac:dyDescent="0.2">
      <c r="A196" s="23" t="str">
        <f t="shared" si="3"/>
        <v/>
      </c>
    </row>
    <row r="197" spans="1:1" ht="30" customHeight="1" x14ac:dyDescent="0.2">
      <c r="A197" s="23" t="str">
        <f t="shared" si="3"/>
        <v/>
      </c>
    </row>
    <row r="198" spans="1:1" ht="30" customHeight="1" x14ac:dyDescent="0.2">
      <c r="A198" s="23" t="str">
        <f t="shared" si="3"/>
        <v/>
      </c>
    </row>
    <row r="199" spans="1:1" ht="30" customHeight="1" x14ac:dyDescent="0.2">
      <c r="A199" s="23" t="str">
        <f t="shared" si="3"/>
        <v/>
      </c>
    </row>
    <row r="200" spans="1:1" ht="30" customHeight="1" x14ac:dyDescent="0.2">
      <c r="A200" s="23" t="str">
        <f t="shared" si="3"/>
        <v/>
      </c>
    </row>
    <row r="201" spans="1:1" ht="30" customHeight="1" x14ac:dyDescent="0.2">
      <c r="A201" s="23" t="str">
        <f t="shared" si="3"/>
        <v/>
      </c>
    </row>
    <row r="202" spans="1:1" ht="30" customHeight="1" x14ac:dyDescent="0.2">
      <c r="A202" s="23" t="str">
        <f t="shared" si="3"/>
        <v/>
      </c>
    </row>
    <row r="203" spans="1:1" ht="30" customHeight="1" x14ac:dyDescent="0.2">
      <c r="A203" s="23" t="str">
        <f t="shared" si="3"/>
        <v/>
      </c>
    </row>
    <row r="204" spans="1:1" ht="30" customHeight="1" x14ac:dyDescent="0.2">
      <c r="A204" s="23" t="str">
        <f t="shared" si="3"/>
        <v/>
      </c>
    </row>
    <row r="205" spans="1:1" ht="30" customHeight="1" x14ac:dyDescent="0.2">
      <c r="A205" s="23" t="str">
        <f t="shared" si="3"/>
        <v/>
      </c>
    </row>
    <row r="206" spans="1:1" ht="30" customHeight="1" x14ac:dyDescent="0.2">
      <c r="A206" s="23" t="str">
        <f t="shared" si="3"/>
        <v/>
      </c>
    </row>
    <row r="207" spans="1:1" ht="30" customHeight="1" x14ac:dyDescent="0.2">
      <c r="A207" s="23" t="str">
        <f t="shared" si="3"/>
        <v/>
      </c>
    </row>
    <row r="208" spans="1:1" ht="30" customHeight="1" x14ac:dyDescent="0.2">
      <c r="A208" s="23" t="str">
        <f t="shared" si="3"/>
        <v/>
      </c>
    </row>
    <row r="209" spans="1:1" ht="30" customHeight="1" x14ac:dyDescent="0.2">
      <c r="A209" s="23" t="str">
        <f t="shared" si="3"/>
        <v/>
      </c>
    </row>
    <row r="210" spans="1:1" ht="30" customHeight="1" x14ac:dyDescent="0.2">
      <c r="A210" s="23" t="str">
        <f t="shared" ref="A210:A273" si="4">IF(AND(B209&lt;&gt;"",B210=""),"Select Audit Point---&gt;","")</f>
        <v/>
      </c>
    </row>
    <row r="211" spans="1:1" ht="30" customHeight="1" x14ac:dyDescent="0.2">
      <c r="A211" s="23" t="str">
        <f t="shared" si="4"/>
        <v/>
      </c>
    </row>
    <row r="212" spans="1:1" ht="30" customHeight="1" x14ac:dyDescent="0.2">
      <c r="A212" s="23" t="str">
        <f t="shared" si="4"/>
        <v/>
      </c>
    </row>
    <row r="213" spans="1:1" ht="30" customHeight="1" x14ac:dyDescent="0.2">
      <c r="A213" s="23" t="str">
        <f t="shared" si="4"/>
        <v/>
      </c>
    </row>
    <row r="214" spans="1:1" ht="30" customHeight="1" x14ac:dyDescent="0.2">
      <c r="A214" s="23" t="str">
        <f t="shared" si="4"/>
        <v/>
      </c>
    </row>
    <row r="215" spans="1:1" ht="30" customHeight="1" x14ac:dyDescent="0.2">
      <c r="A215" s="23" t="str">
        <f t="shared" si="4"/>
        <v/>
      </c>
    </row>
    <row r="216" spans="1:1" ht="30" customHeight="1" x14ac:dyDescent="0.2">
      <c r="A216" s="23" t="str">
        <f t="shared" si="4"/>
        <v/>
      </c>
    </row>
    <row r="217" spans="1:1" ht="30" customHeight="1" x14ac:dyDescent="0.2">
      <c r="A217" s="23" t="str">
        <f t="shared" si="4"/>
        <v/>
      </c>
    </row>
    <row r="218" spans="1:1" ht="30" customHeight="1" x14ac:dyDescent="0.2">
      <c r="A218" s="23" t="str">
        <f t="shared" si="4"/>
        <v/>
      </c>
    </row>
    <row r="219" spans="1:1" ht="30" customHeight="1" x14ac:dyDescent="0.2">
      <c r="A219" s="23" t="str">
        <f t="shared" si="4"/>
        <v/>
      </c>
    </row>
    <row r="220" spans="1:1" ht="30" customHeight="1" x14ac:dyDescent="0.2">
      <c r="A220" s="23" t="str">
        <f t="shared" si="4"/>
        <v/>
      </c>
    </row>
    <row r="221" spans="1:1" ht="30" customHeight="1" x14ac:dyDescent="0.2">
      <c r="A221" s="23" t="str">
        <f t="shared" si="4"/>
        <v/>
      </c>
    </row>
    <row r="222" spans="1:1" ht="30" customHeight="1" x14ac:dyDescent="0.2">
      <c r="A222" s="23" t="str">
        <f t="shared" si="4"/>
        <v/>
      </c>
    </row>
    <row r="223" spans="1:1" ht="30" customHeight="1" x14ac:dyDescent="0.2">
      <c r="A223" s="23" t="str">
        <f t="shared" si="4"/>
        <v/>
      </c>
    </row>
    <row r="224" spans="1:1" ht="30" customHeight="1" x14ac:dyDescent="0.2">
      <c r="A224" s="23" t="str">
        <f t="shared" si="4"/>
        <v/>
      </c>
    </row>
    <row r="225" spans="1:1" ht="30" customHeight="1" x14ac:dyDescent="0.2">
      <c r="A225" s="23" t="str">
        <f t="shared" si="4"/>
        <v/>
      </c>
    </row>
    <row r="226" spans="1:1" ht="30" customHeight="1" x14ac:dyDescent="0.2">
      <c r="A226" s="23" t="str">
        <f t="shared" si="4"/>
        <v/>
      </c>
    </row>
    <row r="227" spans="1:1" ht="30" customHeight="1" x14ac:dyDescent="0.2">
      <c r="A227" s="23" t="str">
        <f t="shared" si="4"/>
        <v/>
      </c>
    </row>
    <row r="228" spans="1:1" ht="30" customHeight="1" x14ac:dyDescent="0.2">
      <c r="A228" s="23" t="str">
        <f t="shared" si="4"/>
        <v/>
      </c>
    </row>
    <row r="229" spans="1:1" ht="30" customHeight="1" x14ac:dyDescent="0.2">
      <c r="A229" s="23" t="str">
        <f t="shared" si="4"/>
        <v/>
      </c>
    </row>
    <row r="230" spans="1:1" ht="30" customHeight="1" x14ac:dyDescent="0.2">
      <c r="A230" s="23" t="str">
        <f t="shared" si="4"/>
        <v/>
      </c>
    </row>
    <row r="231" spans="1:1" ht="30" customHeight="1" x14ac:dyDescent="0.2">
      <c r="A231" s="23" t="str">
        <f t="shared" si="4"/>
        <v/>
      </c>
    </row>
    <row r="232" spans="1:1" ht="30" customHeight="1" x14ac:dyDescent="0.2">
      <c r="A232" s="23" t="str">
        <f t="shared" si="4"/>
        <v/>
      </c>
    </row>
    <row r="233" spans="1:1" ht="30" customHeight="1" x14ac:dyDescent="0.2">
      <c r="A233" s="23" t="str">
        <f t="shared" si="4"/>
        <v/>
      </c>
    </row>
    <row r="234" spans="1:1" ht="30" customHeight="1" x14ac:dyDescent="0.2">
      <c r="A234" s="23" t="str">
        <f t="shared" si="4"/>
        <v/>
      </c>
    </row>
    <row r="235" spans="1:1" ht="30" customHeight="1" x14ac:dyDescent="0.2">
      <c r="A235" s="23" t="str">
        <f t="shared" si="4"/>
        <v/>
      </c>
    </row>
    <row r="236" spans="1:1" ht="30" customHeight="1" x14ac:dyDescent="0.2">
      <c r="A236" s="23" t="str">
        <f t="shared" si="4"/>
        <v/>
      </c>
    </row>
    <row r="237" spans="1:1" ht="30" customHeight="1" x14ac:dyDescent="0.2">
      <c r="A237" s="23" t="str">
        <f t="shared" si="4"/>
        <v/>
      </c>
    </row>
    <row r="238" spans="1:1" ht="30" customHeight="1" x14ac:dyDescent="0.2">
      <c r="A238" s="23" t="str">
        <f t="shared" si="4"/>
        <v/>
      </c>
    </row>
    <row r="239" spans="1:1" ht="30" customHeight="1" x14ac:dyDescent="0.2">
      <c r="A239" s="23" t="str">
        <f t="shared" si="4"/>
        <v/>
      </c>
    </row>
    <row r="240" spans="1:1" ht="30" customHeight="1" x14ac:dyDescent="0.2">
      <c r="A240" s="23" t="str">
        <f t="shared" si="4"/>
        <v/>
      </c>
    </row>
    <row r="241" spans="1:1" ht="30" customHeight="1" x14ac:dyDescent="0.2">
      <c r="A241" s="23" t="str">
        <f t="shared" si="4"/>
        <v/>
      </c>
    </row>
    <row r="242" spans="1:1" ht="30" customHeight="1" x14ac:dyDescent="0.2">
      <c r="A242" s="23" t="str">
        <f t="shared" si="4"/>
        <v/>
      </c>
    </row>
    <row r="243" spans="1:1" ht="30" customHeight="1" x14ac:dyDescent="0.2">
      <c r="A243" s="23" t="str">
        <f t="shared" si="4"/>
        <v/>
      </c>
    </row>
    <row r="244" spans="1:1" ht="30" customHeight="1" x14ac:dyDescent="0.2">
      <c r="A244" s="23" t="str">
        <f t="shared" si="4"/>
        <v/>
      </c>
    </row>
    <row r="245" spans="1:1" ht="30" customHeight="1" x14ac:dyDescent="0.2">
      <c r="A245" s="23" t="str">
        <f t="shared" si="4"/>
        <v/>
      </c>
    </row>
    <row r="246" spans="1:1" ht="30" customHeight="1" x14ac:dyDescent="0.2">
      <c r="A246" s="23" t="str">
        <f t="shared" si="4"/>
        <v/>
      </c>
    </row>
    <row r="247" spans="1:1" ht="30" customHeight="1" x14ac:dyDescent="0.2">
      <c r="A247" s="23" t="str">
        <f t="shared" si="4"/>
        <v/>
      </c>
    </row>
    <row r="248" spans="1:1" ht="30" customHeight="1" x14ac:dyDescent="0.2">
      <c r="A248" s="23" t="str">
        <f t="shared" si="4"/>
        <v/>
      </c>
    </row>
    <row r="249" spans="1:1" ht="30" customHeight="1" x14ac:dyDescent="0.2">
      <c r="A249" s="23" t="str">
        <f t="shared" si="4"/>
        <v/>
      </c>
    </row>
    <row r="250" spans="1:1" ht="30" customHeight="1" x14ac:dyDescent="0.2">
      <c r="A250" s="23" t="str">
        <f t="shared" si="4"/>
        <v/>
      </c>
    </row>
    <row r="251" spans="1:1" ht="30" customHeight="1" x14ac:dyDescent="0.2">
      <c r="A251" s="23" t="str">
        <f t="shared" si="4"/>
        <v/>
      </c>
    </row>
    <row r="252" spans="1:1" ht="30" customHeight="1" x14ac:dyDescent="0.2">
      <c r="A252" s="23" t="str">
        <f t="shared" si="4"/>
        <v/>
      </c>
    </row>
    <row r="253" spans="1:1" ht="30" customHeight="1" x14ac:dyDescent="0.2">
      <c r="A253" s="23" t="str">
        <f t="shared" si="4"/>
        <v/>
      </c>
    </row>
    <row r="254" spans="1:1" ht="30" customHeight="1" x14ac:dyDescent="0.2">
      <c r="A254" s="23" t="str">
        <f t="shared" si="4"/>
        <v/>
      </c>
    </row>
    <row r="255" spans="1:1" ht="30" customHeight="1" x14ac:dyDescent="0.2">
      <c r="A255" s="23" t="str">
        <f t="shared" si="4"/>
        <v/>
      </c>
    </row>
    <row r="256" spans="1:1" ht="30" customHeight="1" x14ac:dyDescent="0.2">
      <c r="A256" s="23" t="str">
        <f t="shared" si="4"/>
        <v/>
      </c>
    </row>
    <row r="257" spans="1:1" ht="30" customHeight="1" x14ac:dyDescent="0.2">
      <c r="A257" s="23" t="str">
        <f t="shared" si="4"/>
        <v/>
      </c>
    </row>
    <row r="258" spans="1:1" ht="30" customHeight="1" x14ac:dyDescent="0.2">
      <c r="A258" s="23" t="str">
        <f t="shared" si="4"/>
        <v/>
      </c>
    </row>
    <row r="259" spans="1:1" ht="30" customHeight="1" x14ac:dyDescent="0.2">
      <c r="A259" s="23" t="str">
        <f t="shared" si="4"/>
        <v/>
      </c>
    </row>
    <row r="260" spans="1:1" ht="30" customHeight="1" x14ac:dyDescent="0.2">
      <c r="A260" s="23" t="str">
        <f t="shared" si="4"/>
        <v/>
      </c>
    </row>
    <row r="261" spans="1:1" ht="30" customHeight="1" x14ac:dyDescent="0.2">
      <c r="A261" s="23" t="str">
        <f t="shared" si="4"/>
        <v/>
      </c>
    </row>
    <row r="262" spans="1:1" ht="30" customHeight="1" x14ac:dyDescent="0.2">
      <c r="A262" s="23" t="str">
        <f t="shared" si="4"/>
        <v/>
      </c>
    </row>
    <row r="263" spans="1:1" ht="30" customHeight="1" x14ac:dyDescent="0.2">
      <c r="A263" s="23" t="str">
        <f t="shared" si="4"/>
        <v/>
      </c>
    </row>
    <row r="264" spans="1:1" ht="30" customHeight="1" x14ac:dyDescent="0.2">
      <c r="A264" s="23" t="str">
        <f t="shared" si="4"/>
        <v/>
      </c>
    </row>
    <row r="265" spans="1:1" ht="30" customHeight="1" x14ac:dyDescent="0.2">
      <c r="A265" s="23" t="str">
        <f t="shared" si="4"/>
        <v/>
      </c>
    </row>
    <row r="266" spans="1:1" ht="30" customHeight="1" x14ac:dyDescent="0.2">
      <c r="A266" s="23" t="str">
        <f t="shared" si="4"/>
        <v/>
      </c>
    </row>
    <row r="267" spans="1:1" ht="30" customHeight="1" x14ac:dyDescent="0.2">
      <c r="A267" s="23" t="str">
        <f t="shared" si="4"/>
        <v/>
      </c>
    </row>
    <row r="268" spans="1:1" ht="30" customHeight="1" x14ac:dyDescent="0.2">
      <c r="A268" s="23" t="str">
        <f t="shared" si="4"/>
        <v/>
      </c>
    </row>
    <row r="269" spans="1:1" ht="30" customHeight="1" x14ac:dyDescent="0.2">
      <c r="A269" s="23" t="str">
        <f t="shared" si="4"/>
        <v/>
      </c>
    </row>
    <row r="270" spans="1:1" ht="30" customHeight="1" x14ac:dyDescent="0.2">
      <c r="A270" s="23" t="str">
        <f t="shared" si="4"/>
        <v/>
      </c>
    </row>
    <row r="271" spans="1:1" ht="30" customHeight="1" x14ac:dyDescent="0.2">
      <c r="A271" s="23" t="str">
        <f t="shared" si="4"/>
        <v/>
      </c>
    </row>
    <row r="272" spans="1:1" ht="30" customHeight="1" x14ac:dyDescent="0.2">
      <c r="A272" s="23" t="str">
        <f t="shared" si="4"/>
        <v/>
      </c>
    </row>
    <row r="273" spans="1:1" ht="30" customHeight="1" x14ac:dyDescent="0.2">
      <c r="A273" s="23" t="str">
        <f t="shared" si="4"/>
        <v/>
      </c>
    </row>
    <row r="274" spans="1:1" ht="30" customHeight="1" x14ac:dyDescent="0.2">
      <c r="A274" s="23" t="str">
        <f t="shared" ref="A274:A337" si="5">IF(AND(B273&lt;&gt;"",B274=""),"Select Audit Point---&gt;","")</f>
        <v/>
      </c>
    </row>
    <row r="275" spans="1:1" ht="30" customHeight="1" x14ac:dyDescent="0.2">
      <c r="A275" s="23" t="str">
        <f t="shared" si="5"/>
        <v/>
      </c>
    </row>
    <row r="276" spans="1:1" ht="30" customHeight="1" x14ac:dyDescent="0.2">
      <c r="A276" s="23" t="str">
        <f t="shared" si="5"/>
        <v/>
      </c>
    </row>
    <row r="277" spans="1:1" ht="30" customHeight="1" x14ac:dyDescent="0.2">
      <c r="A277" s="23" t="str">
        <f t="shared" si="5"/>
        <v/>
      </c>
    </row>
    <row r="278" spans="1:1" ht="30" customHeight="1" x14ac:dyDescent="0.2">
      <c r="A278" s="23" t="str">
        <f t="shared" si="5"/>
        <v/>
      </c>
    </row>
    <row r="279" spans="1:1" ht="30" customHeight="1" x14ac:dyDescent="0.2">
      <c r="A279" s="23" t="str">
        <f t="shared" si="5"/>
        <v/>
      </c>
    </row>
    <row r="280" spans="1:1" ht="30" customHeight="1" x14ac:dyDescent="0.2">
      <c r="A280" s="23" t="str">
        <f t="shared" si="5"/>
        <v/>
      </c>
    </row>
    <row r="281" spans="1:1" ht="30" customHeight="1" x14ac:dyDescent="0.2">
      <c r="A281" s="23" t="str">
        <f t="shared" si="5"/>
        <v/>
      </c>
    </row>
    <row r="282" spans="1:1" ht="30" customHeight="1" x14ac:dyDescent="0.2">
      <c r="A282" s="23" t="str">
        <f t="shared" si="5"/>
        <v/>
      </c>
    </row>
    <row r="283" spans="1:1" ht="30" customHeight="1" x14ac:dyDescent="0.2">
      <c r="A283" s="23" t="str">
        <f t="shared" si="5"/>
        <v/>
      </c>
    </row>
    <row r="284" spans="1:1" ht="30" customHeight="1" x14ac:dyDescent="0.2">
      <c r="A284" s="23" t="str">
        <f t="shared" si="5"/>
        <v/>
      </c>
    </row>
    <row r="285" spans="1:1" ht="30" customHeight="1" x14ac:dyDescent="0.2">
      <c r="A285" s="23" t="str">
        <f t="shared" si="5"/>
        <v/>
      </c>
    </row>
    <row r="286" spans="1:1" ht="30" customHeight="1" x14ac:dyDescent="0.2">
      <c r="A286" s="23" t="str">
        <f t="shared" si="5"/>
        <v/>
      </c>
    </row>
    <row r="287" spans="1:1" ht="30" customHeight="1" x14ac:dyDescent="0.2">
      <c r="A287" s="23" t="str">
        <f t="shared" si="5"/>
        <v/>
      </c>
    </row>
    <row r="288" spans="1:1" ht="30" customHeight="1" x14ac:dyDescent="0.2">
      <c r="A288" s="23" t="str">
        <f t="shared" si="5"/>
        <v/>
      </c>
    </row>
    <row r="289" spans="1:1" ht="30" customHeight="1" x14ac:dyDescent="0.2">
      <c r="A289" s="23" t="str">
        <f t="shared" si="5"/>
        <v/>
      </c>
    </row>
    <row r="290" spans="1:1" ht="30" customHeight="1" x14ac:dyDescent="0.2">
      <c r="A290" s="23" t="str">
        <f t="shared" si="5"/>
        <v/>
      </c>
    </row>
    <row r="291" spans="1:1" ht="30" customHeight="1" x14ac:dyDescent="0.2">
      <c r="A291" s="23" t="str">
        <f t="shared" si="5"/>
        <v/>
      </c>
    </row>
    <row r="292" spans="1:1" ht="30" customHeight="1" x14ac:dyDescent="0.2">
      <c r="A292" s="23" t="str">
        <f t="shared" si="5"/>
        <v/>
      </c>
    </row>
    <row r="293" spans="1:1" ht="30" customHeight="1" x14ac:dyDescent="0.2">
      <c r="A293" s="23" t="str">
        <f t="shared" si="5"/>
        <v/>
      </c>
    </row>
    <row r="294" spans="1:1" ht="30" customHeight="1" x14ac:dyDescent="0.2">
      <c r="A294" s="23" t="str">
        <f t="shared" si="5"/>
        <v/>
      </c>
    </row>
    <row r="295" spans="1:1" ht="30" customHeight="1" x14ac:dyDescent="0.2">
      <c r="A295" s="23" t="str">
        <f t="shared" si="5"/>
        <v/>
      </c>
    </row>
    <row r="296" spans="1:1" ht="30" customHeight="1" x14ac:dyDescent="0.2">
      <c r="A296" s="23" t="str">
        <f t="shared" si="5"/>
        <v/>
      </c>
    </row>
    <row r="297" spans="1:1" ht="30" customHeight="1" x14ac:dyDescent="0.2">
      <c r="A297" s="23" t="str">
        <f t="shared" si="5"/>
        <v/>
      </c>
    </row>
    <row r="298" spans="1:1" ht="30" customHeight="1" x14ac:dyDescent="0.2">
      <c r="A298" s="23" t="str">
        <f t="shared" si="5"/>
        <v/>
      </c>
    </row>
    <row r="299" spans="1:1" ht="30" customHeight="1" x14ac:dyDescent="0.2">
      <c r="A299" s="23" t="str">
        <f t="shared" si="5"/>
        <v/>
      </c>
    </row>
    <row r="300" spans="1:1" ht="30" customHeight="1" x14ac:dyDescent="0.2">
      <c r="A300" s="23" t="str">
        <f t="shared" si="5"/>
        <v/>
      </c>
    </row>
    <row r="301" spans="1:1" ht="30" customHeight="1" x14ac:dyDescent="0.2">
      <c r="A301" s="23" t="str">
        <f t="shared" si="5"/>
        <v/>
      </c>
    </row>
    <row r="302" spans="1:1" ht="30" customHeight="1" x14ac:dyDescent="0.2">
      <c r="A302" s="23" t="str">
        <f t="shared" si="5"/>
        <v/>
      </c>
    </row>
    <row r="303" spans="1:1" ht="30" customHeight="1" x14ac:dyDescent="0.2">
      <c r="A303" s="23" t="str">
        <f t="shared" si="5"/>
        <v/>
      </c>
    </row>
    <row r="304" spans="1:1" ht="30" customHeight="1" x14ac:dyDescent="0.2">
      <c r="A304" s="23" t="str">
        <f t="shared" si="5"/>
        <v/>
      </c>
    </row>
    <row r="305" spans="1:1" ht="30" customHeight="1" x14ac:dyDescent="0.2">
      <c r="A305" s="23" t="str">
        <f t="shared" si="5"/>
        <v/>
      </c>
    </row>
    <row r="306" spans="1:1" ht="30" customHeight="1" x14ac:dyDescent="0.2">
      <c r="A306" s="23" t="str">
        <f t="shared" si="5"/>
        <v/>
      </c>
    </row>
    <row r="307" spans="1:1" ht="30" customHeight="1" x14ac:dyDescent="0.2">
      <c r="A307" s="23" t="str">
        <f t="shared" si="5"/>
        <v/>
      </c>
    </row>
    <row r="308" spans="1:1" ht="30" customHeight="1" x14ac:dyDescent="0.2">
      <c r="A308" s="23" t="str">
        <f t="shared" si="5"/>
        <v/>
      </c>
    </row>
    <row r="309" spans="1:1" ht="30" customHeight="1" x14ac:dyDescent="0.2">
      <c r="A309" s="23" t="str">
        <f t="shared" si="5"/>
        <v/>
      </c>
    </row>
    <row r="310" spans="1:1" ht="30" customHeight="1" x14ac:dyDescent="0.2">
      <c r="A310" s="23" t="str">
        <f t="shared" si="5"/>
        <v/>
      </c>
    </row>
    <row r="311" spans="1:1" ht="30" customHeight="1" x14ac:dyDescent="0.2">
      <c r="A311" s="23" t="str">
        <f t="shared" si="5"/>
        <v/>
      </c>
    </row>
    <row r="312" spans="1:1" ht="30" customHeight="1" x14ac:dyDescent="0.2">
      <c r="A312" s="23" t="str">
        <f t="shared" si="5"/>
        <v/>
      </c>
    </row>
    <row r="313" spans="1:1" ht="30" customHeight="1" x14ac:dyDescent="0.2">
      <c r="A313" s="23" t="str">
        <f t="shared" si="5"/>
        <v/>
      </c>
    </row>
    <row r="314" spans="1:1" ht="30" customHeight="1" x14ac:dyDescent="0.2">
      <c r="A314" s="23" t="str">
        <f t="shared" si="5"/>
        <v/>
      </c>
    </row>
    <row r="315" spans="1:1" ht="30" customHeight="1" x14ac:dyDescent="0.2">
      <c r="A315" s="23" t="str">
        <f t="shared" si="5"/>
        <v/>
      </c>
    </row>
    <row r="316" spans="1:1" ht="30" customHeight="1" x14ac:dyDescent="0.2">
      <c r="A316" s="23" t="str">
        <f t="shared" si="5"/>
        <v/>
      </c>
    </row>
    <row r="317" spans="1:1" ht="30" customHeight="1" x14ac:dyDescent="0.2">
      <c r="A317" s="23" t="str">
        <f t="shared" si="5"/>
        <v/>
      </c>
    </row>
    <row r="318" spans="1:1" ht="30" customHeight="1" x14ac:dyDescent="0.2">
      <c r="A318" s="23" t="str">
        <f t="shared" si="5"/>
        <v/>
      </c>
    </row>
    <row r="319" spans="1:1" ht="30" customHeight="1" x14ac:dyDescent="0.2">
      <c r="A319" s="23" t="str">
        <f t="shared" si="5"/>
        <v/>
      </c>
    </row>
    <row r="320" spans="1:1" ht="30" customHeight="1" x14ac:dyDescent="0.2">
      <c r="A320" s="23" t="str">
        <f t="shared" si="5"/>
        <v/>
      </c>
    </row>
    <row r="321" spans="1:1" ht="30" customHeight="1" x14ac:dyDescent="0.2">
      <c r="A321" s="23" t="str">
        <f t="shared" si="5"/>
        <v/>
      </c>
    </row>
    <row r="322" spans="1:1" ht="30" customHeight="1" x14ac:dyDescent="0.2">
      <c r="A322" s="23" t="str">
        <f t="shared" si="5"/>
        <v/>
      </c>
    </row>
    <row r="323" spans="1:1" ht="30" customHeight="1" x14ac:dyDescent="0.2">
      <c r="A323" s="23" t="str">
        <f t="shared" si="5"/>
        <v/>
      </c>
    </row>
    <row r="324" spans="1:1" ht="30" customHeight="1" x14ac:dyDescent="0.2">
      <c r="A324" s="23" t="str">
        <f t="shared" si="5"/>
        <v/>
      </c>
    </row>
    <row r="325" spans="1:1" ht="30" customHeight="1" x14ac:dyDescent="0.2">
      <c r="A325" s="23" t="str">
        <f t="shared" si="5"/>
        <v/>
      </c>
    </row>
    <row r="326" spans="1:1" ht="30" customHeight="1" x14ac:dyDescent="0.2">
      <c r="A326" s="23" t="str">
        <f t="shared" si="5"/>
        <v/>
      </c>
    </row>
    <row r="327" spans="1:1" ht="30" customHeight="1" x14ac:dyDescent="0.2">
      <c r="A327" s="23" t="str">
        <f t="shared" si="5"/>
        <v/>
      </c>
    </row>
    <row r="328" spans="1:1" ht="30" customHeight="1" x14ac:dyDescent="0.2">
      <c r="A328" s="23" t="str">
        <f t="shared" si="5"/>
        <v/>
      </c>
    </row>
    <row r="329" spans="1:1" ht="30" customHeight="1" x14ac:dyDescent="0.2">
      <c r="A329" s="23" t="str">
        <f t="shared" si="5"/>
        <v/>
      </c>
    </row>
    <row r="330" spans="1:1" ht="30" customHeight="1" x14ac:dyDescent="0.2">
      <c r="A330" s="23" t="str">
        <f t="shared" si="5"/>
        <v/>
      </c>
    </row>
    <row r="331" spans="1:1" ht="30" customHeight="1" x14ac:dyDescent="0.2">
      <c r="A331" s="23" t="str">
        <f t="shared" si="5"/>
        <v/>
      </c>
    </row>
    <row r="332" spans="1:1" ht="30" customHeight="1" x14ac:dyDescent="0.2">
      <c r="A332" s="23" t="str">
        <f t="shared" si="5"/>
        <v/>
      </c>
    </row>
    <row r="333" spans="1:1" ht="30" customHeight="1" x14ac:dyDescent="0.2">
      <c r="A333" s="23" t="str">
        <f t="shared" si="5"/>
        <v/>
      </c>
    </row>
    <row r="334" spans="1:1" ht="30" customHeight="1" x14ac:dyDescent="0.2">
      <c r="A334" s="23" t="str">
        <f t="shared" si="5"/>
        <v/>
      </c>
    </row>
    <row r="335" spans="1:1" ht="30" customHeight="1" x14ac:dyDescent="0.2">
      <c r="A335" s="23" t="str">
        <f t="shared" si="5"/>
        <v/>
      </c>
    </row>
    <row r="336" spans="1:1" ht="30" customHeight="1" x14ac:dyDescent="0.2">
      <c r="A336" s="23" t="str">
        <f t="shared" si="5"/>
        <v/>
      </c>
    </row>
    <row r="337" spans="1:1" ht="30" customHeight="1" x14ac:dyDescent="0.2">
      <c r="A337" s="23" t="str">
        <f t="shared" si="5"/>
        <v/>
      </c>
    </row>
    <row r="338" spans="1:1" ht="30" customHeight="1" x14ac:dyDescent="0.2">
      <c r="A338" s="23" t="str">
        <f t="shared" ref="A338:A401" si="6">IF(AND(B337&lt;&gt;"",B338=""),"Select Audit Point---&gt;","")</f>
        <v/>
      </c>
    </row>
    <row r="339" spans="1:1" ht="30" customHeight="1" x14ac:dyDescent="0.2">
      <c r="A339" s="23" t="str">
        <f t="shared" si="6"/>
        <v/>
      </c>
    </row>
    <row r="340" spans="1:1" ht="30" customHeight="1" x14ac:dyDescent="0.2">
      <c r="A340" s="23" t="str">
        <f t="shared" si="6"/>
        <v/>
      </c>
    </row>
    <row r="341" spans="1:1" ht="30" customHeight="1" x14ac:dyDescent="0.2">
      <c r="A341" s="23" t="str">
        <f t="shared" si="6"/>
        <v/>
      </c>
    </row>
    <row r="342" spans="1:1" ht="30" customHeight="1" x14ac:dyDescent="0.2">
      <c r="A342" s="23" t="str">
        <f t="shared" si="6"/>
        <v/>
      </c>
    </row>
    <row r="343" spans="1:1" ht="30" customHeight="1" x14ac:dyDescent="0.2">
      <c r="A343" s="23" t="str">
        <f t="shared" si="6"/>
        <v/>
      </c>
    </row>
    <row r="344" spans="1:1" ht="30" customHeight="1" x14ac:dyDescent="0.2">
      <c r="A344" s="23" t="str">
        <f t="shared" si="6"/>
        <v/>
      </c>
    </row>
    <row r="345" spans="1:1" ht="30" customHeight="1" x14ac:dyDescent="0.2">
      <c r="A345" s="23" t="str">
        <f t="shared" si="6"/>
        <v/>
      </c>
    </row>
    <row r="346" spans="1:1" ht="30" customHeight="1" x14ac:dyDescent="0.2">
      <c r="A346" s="23" t="str">
        <f t="shared" si="6"/>
        <v/>
      </c>
    </row>
    <row r="347" spans="1:1" ht="30" customHeight="1" x14ac:dyDescent="0.2">
      <c r="A347" s="23" t="str">
        <f t="shared" si="6"/>
        <v/>
      </c>
    </row>
    <row r="348" spans="1:1" ht="30" customHeight="1" x14ac:dyDescent="0.2">
      <c r="A348" s="23" t="str">
        <f t="shared" si="6"/>
        <v/>
      </c>
    </row>
    <row r="349" spans="1:1" ht="30" customHeight="1" x14ac:dyDescent="0.2">
      <c r="A349" s="23" t="str">
        <f t="shared" si="6"/>
        <v/>
      </c>
    </row>
    <row r="350" spans="1:1" ht="30" customHeight="1" x14ac:dyDescent="0.2">
      <c r="A350" s="23" t="str">
        <f t="shared" si="6"/>
        <v/>
      </c>
    </row>
    <row r="351" spans="1:1" ht="30" customHeight="1" x14ac:dyDescent="0.2">
      <c r="A351" s="23" t="str">
        <f t="shared" si="6"/>
        <v/>
      </c>
    </row>
    <row r="352" spans="1:1" ht="30" customHeight="1" x14ac:dyDescent="0.2">
      <c r="A352" s="23" t="str">
        <f t="shared" si="6"/>
        <v/>
      </c>
    </row>
    <row r="353" spans="1:1" ht="30" customHeight="1" x14ac:dyDescent="0.2">
      <c r="A353" s="23" t="str">
        <f t="shared" si="6"/>
        <v/>
      </c>
    </row>
    <row r="354" spans="1:1" ht="30" customHeight="1" x14ac:dyDescent="0.2">
      <c r="A354" s="23" t="str">
        <f t="shared" si="6"/>
        <v/>
      </c>
    </row>
    <row r="355" spans="1:1" ht="30" customHeight="1" x14ac:dyDescent="0.2">
      <c r="A355" s="23" t="str">
        <f t="shared" si="6"/>
        <v/>
      </c>
    </row>
    <row r="356" spans="1:1" ht="30" customHeight="1" x14ac:dyDescent="0.2">
      <c r="A356" s="23" t="str">
        <f t="shared" si="6"/>
        <v/>
      </c>
    </row>
    <row r="357" spans="1:1" ht="30" customHeight="1" x14ac:dyDescent="0.2">
      <c r="A357" s="23" t="str">
        <f t="shared" si="6"/>
        <v/>
      </c>
    </row>
    <row r="358" spans="1:1" ht="30" customHeight="1" x14ac:dyDescent="0.2">
      <c r="A358" s="23" t="str">
        <f t="shared" si="6"/>
        <v/>
      </c>
    </row>
    <row r="359" spans="1:1" ht="30" customHeight="1" x14ac:dyDescent="0.2">
      <c r="A359" s="23" t="str">
        <f t="shared" si="6"/>
        <v/>
      </c>
    </row>
    <row r="360" spans="1:1" ht="30" customHeight="1" x14ac:dyDescent="0.2">
      <c r="A360" s="23" t="str">
        <f t="shared" si="6"/>
        <v/>
      </c>
    </row>
    <row r="361" spans="1:1" ht="30" customHeight="1" x14ac:dyDescent="0.2">
      <c r="A361" s="23" t="str">
        <f t="shared" si="6"/>
        <v/>
      </c>
    </row>
    <row r="362" spans="1:1" ht="30" customHeight="1" x14ac:dyDescent="0.2">
      <c r="A362" s="23" t="str">
        <f t="shared" si="6"/>
        <v/>
      </c>
    </row>
    <row r="363" spans="1:1" ht="30" customHeight="1" x14ac:dyDescent="0.2">
      <c r="A363" s="23" t="str">
        <f t="shared" si="6"/>
        <v/>
      </c>
    </row>
    <row r="364" spans="1:1" ht="30" customHeight="1" x14ac:dyDescent="0.2">
      <c r="A364" s="23" t="str">
        <f t="shared" si="6"/>
        <v/>
      </c>
    </row>
    <row r="365" spans="1:1" ht="30" customHeight="1" x14ac:dyDescent="0.2">
      <c r="A365" s="23" t="str">
        <f t="shared" si="6"/>
        <v/>
      </c>
    </row>
    <row r="366" spans="1:1" ht="30" customHeight="1" x14ac:dyDescent="0.2">
      <c r="A366" s="23" t="str">
        <f t="shared" si="6"/>
        <v/>
      </c>
    </row>
    <row r="367" spans="1:1" ht="30" customHeight="1" x14ac:dyDescent="0.2">
      <c r="A367" s="23" t="str">
        <f t="shared" si="6"/>
        <v/>
      </c>
    </row>
    <row r="368" spans="1:1" ht="30" customHeight="1" x14ac:dyDescent="0.2">
      <c r="A368" s="23" t="str">
        <f t="shared" si="6"/>
        <v/>
      </c>
    </row>
    <row r="369" spans="1:1" ht="30" customHeight="1" x14ac:dyDescent="0.2">
      <c r="A369" s="23" t="str">
        <f t="shared" si="6"/>
        <v/>
      </c>
    </row>
    <row r="370" spans="1:1" ht="30" customHeight="1" x14ac:dyDescent="0.2">
      <c r="A370" s="23" t="str">
        <f t="shared" si="6"/>
        <v/>
      </c>
    </row>
    <row r="371" spans="1:1" ht="30" customHeight="1" x14ac:dyDescent="0.2">
      <c r="A371" s="23" t="str">
        <f t="shared" si="6"/>
        <v/>
      </c>
    </row>
    <row r="372" spans="1:1" ht="30" customHeight="1" x14ac:dyDescent="0.2">
      <c r="A372" s="23" t="str">
        <f t="shared" si="6"/>
        <v/>
      </c>
    </row>
    <row r="373" spans="1:1" ht="30" customHeight="1" x14ac:dyDescent="0.2">
      <c r="A373" s="23" t="str">
        <f t="shared" si="6"/>
        <v/>
      </c>
    </row>
    <row r="374" spans="1:1" ht="30" customHeight="1" x14ac:dyDescent="0.2">
      <c r="A374" s="23" t="str">
        <f t="shared" si="6"/>
        <v/>
      </c>
    </row>
    <row r="375" spans="1:1" ht="30" customHeight="1" x14ac:dyDescent="0.2">
      <c r="A375" s="23" t="str">
        <f t="shared" si="6"/>
        <v/>
      </c>
    </row>
    <row r="376" spans="1:1" ht="30" customHeight="1" x14ac:dyDescent="0.2">
      <c r="A376" s="23" t="str">
        <f t="shared" si="6"/>
        <v/>
      </c>
    </row>
    <row r="377" spans="1:1" ht="30" customHeight="1" x14ac:dyDescent="0.2">
      <c r="A377" s="23" t="str">
        <f t="shared" si="6"/>
        <v/>
      </c>
    </row>
    <row r="378" spans="1:1" ht="30" customHeight="1" x14ac:dyDescent="0.2">
      <c r="A378" s="23" t="str">
        <f t="shared" si="6"/>
        <v/>
      </c>
    </row>
    <row r="379" spans="1:1" ht="30" customHeight="1" x14ac:dyDescent="0.2">
      <c r="A379" s="23" t="str">
        <f t="shared" si="6"/>
        <v/>
      </c>
    </row>
    <row r="380" spans="1:1" ht="30" customHeight="1" x14ac:dyDescent="0.2">
      <c r="A380" s="23" t="str">
        <f t="shared" si="6"/>
        <v/>
      </c>
    </row>
    <row r="381" spans="1:1" ht="30" customHeight="1" x14ac:dyDescent="0.2">
      <c r="A381" s="23" t="str">
        <f t="shared" si="6"/>
        <v/>
      </c>
    </row>
    <row r="382" spans="1:1" ht="30" customHeight="1" x14ac:dyDescent="0.2">
      <c r="A382" s="23" t="str">
        <f t="shared" si="6"/>
        <v/>
      </c>
    </row>
    <row r="383" spans="1:1" ht="30" customHeight="1" x14ac:dyDescent="0.2">
      <c r="A383" s="23" t="str">
        <f t="shared" si="6"/>
        <v/>
      </c>
    </row>
    <row r="384" spans="1:1" ht="30" customHeight="1" x14ac:dyDescent="0.2">
      <c r="A384" s="23" t="str">
        <f t="shared" si="6"/>
        <v/>
      </c>
    </row>
    <row r="385" spans="1:1" ht="30" customHeight="1" x14ac:dyDescent="0.2">
      <c r="A385" s="23" t="str">
        <f t="shared" si="6"/>
        <v/>
      </c>
    </row>
    <row r="386" spans="1:1" ht="30" customHeight="1" x14ac:dyDescent="0.2">
      <c r="A386" s="23" t="str">
        <f t="shared" si="6"/>
        <v/>
      </c>
    </row>
    <row r="387" spans="1:1" ht="30" customHeight="1" x14ac:dyDescent="0.2">
      <c r="A387" s="23" t="str">
        <f t="shared" si="6"/>
        <v/>
      </c>
    </row>
    <row r="388" spans="1:1" ht="30" customHeight="1" x14ac:dyDescent="0.2">
      <c r="A388" s="23" t="str">
        <f t="shared" si="6"/>
        <v/>
      </c>
    </row>
    <row r="389" spans="1:1" ht="30" customHeight="1" x14ac:dyDescent="0.2">
      <c r="A389" s="23" t="str">
        <f t="shared" si="6"/>
        <v/>
      </c>
    </row>
    <row r="390" spans="1:1" ht="30" customHeight="1" x14ac:dyDescent="0.2">
      <c r="A390" s="23" t="str">
        <f t="shared" si="6"/>
        <v/>
      </c>
    </row>
    <row r="391" spans="1:1" ht="30" customHeight="1" x14ac:dyDescent="0.2">
      <c r="A391" s="23" t="str">
        <f t="shared" si="6"/>
        <v/>
      </c>
    </row>
    <row r="392" spans="1:1" ht="30" customHeight="1" x14ac:dyDescent="0.2">
      <c r="A392" s="23" t="str">
        <f t="shared" si="6"/>
        <v/>
      </c>
    </row>
    <row r="393" spans="1:1" ht="30" customHeight="1" x14ac:dyDescent="0.2">
      <c r="A393" s="23" t="str">
        <f t="shared" si="6"/>
        <v/>
      </c>
    </row>
    <row r="394" spans="1:1" ht="30" customHeight="1" x14ac:dyDescent="0.2">
      <c r="A394" s="23" t="str">
        <f t="shared" si="6"/>
        <v/>
      </c>
    </row>
    <row r="395" spans="1:1" ht="30" customHeight="1" x14ac:dyDescent="0.2">
      <c r="A395" s="23" t="str">
        <f t="shared" si="6"/>
        <v/>
      </c>
    </row>
    <row r="396" spans="1:1" ht="30" customHeight="1" x14ac:dyDescent="0.2">
      <c r="A396" s="23" t="str">
        <f t="shared" si="6"/>
        <v/>
      </c>
    </row>
    <row r="397" spans="1:1" ht="30" customHeight="1" x14ac:dyDescent="0.2">
      <c r="A397" s="23" t="str">
        <f t="shared" si="6"/>
        <v/>
      </c>
    </row>
    <row r="398" spans="1:1" ht="30" customHeight="1" x14ac:dyDescent="0.2">
      <c r="A398" s="23" t="str">
        <f t="shared" si="6"/>
        <v/>
      </c>
    </row>
    <row r="399" spans="1:1" ht="30" customHeight="1" x14ac:dyDescent="0.2">
      <c r="A399" s="23" t="str">
        <f t="shared" si="6"/>
        <v/>
      </c>
    </row>
    <row r="400" spans="1:1" ht="30" customHeight="1" x14ac:dyDescent="0.2">
      <c r="A400" s="23" t="str">
        <f t="shared" si="6"/>
        <v/>
      </c>
    </row>
    <row r="401" spans="1:1" ht="30" customHeight="1" x14ac:dyDescent="0.2">
      <c r="A401" s="23" t="str">
        <f t="shared" si="6"/>
        <v/>
      </c>
    </row>
    <row r="402" spans="1:1" ht="30" customHeight="1" x14ac:dyDescent="0.2">
      <c r="A402" s="23" t="str">
        <f t="shared" ref="A402:A465" si="7">IF(AND(B401&lt;&gt;"",B402=""),"Select Audit Point---&gt;","")</f>
        <v/>
      </c>
    </row>
    <row r="403" spans="1:1" ht="30" customHeight="1" x14ac:dyDescent="0.2">
      <c r="A403" s="23" t="str">
        <f t="shared" si="7"/>
        <v/>
      </c>
    </row>
    <row r="404" spans="1:1" ht="30" customHeight="1" x14ac:dyDescent="0.2">
      <c r="A404" s="23" t="str">
        <f t="shared" si="7"/>
        <v/>
      </c>
    </row>
    <row r="405" spans="1:1" ht="30" customHeight="1" x14ac:dyDescent="0.2">
      <c r="A405" s="23" t="str">
        <f t="shared" si="7"/>
        <v/>
      </c>
    </row>
    <row r="406" spans="1:1" ht="30" customHeight="1" x14ac:dyDescent="0.2">
      <c r="A406" s="23" t="str">
        <f t="shared" si="7"/>
        <v/>
      </c>
    </row>
    <row r="407" spans="1:1" ht="30" customHeight="1" x14ac:dyDescent="0.2">
      <c r="A407" s="23" t="str">
        <f t="shared" si="7"/>
        <v/>
      </c>
    </row>
    <row r="408" spans="1:1" ht="30" customHeight="1" x14ac:dyDescent="0.2">
      <c r="A408" s="23" t="str">
        <f t="shared" si="7"/>
        <v/>
      </c>
    </row>
    <row r="409" spans="1:1" ht="30" customHeight="1" x14ac:dyDescent="0.2">
      <c r="A409" s="23" t="str">
        <f t="shared" si="7"/>
        <v/>
      </c>
    </row>
    <row r="410" spans="1:1" ht="30" customHeight="1" x14ac:dyDescent="0.2">
      <c r="A410" s="23" t="str">
        <f t="shared" si="7"/>
        <v/>
      </c>
    </row>
    <row r="411" spans="1:1" ht="30" customHeight="1" x14ac:dyDescent="0.2">
      <c r="A411" s="23" t="str">
        <f t="shared" si="7"/>
        <v/>
      </c>
    </row>
    <row r="412" spans="1:1" ht="30" customHeight="1" x14ac:dyDescent="0.2">
      <c r="A412" s="23" t="str">
        <f t="shared" si="7"/>
        <v/>
      </c>
    </row>
    <row r="413" spans="1:1" ht="30" customHeight="1" x14ac:dyDescent="0.2">
      <c r="A413" s="23" t="str">
        <f t="shared" si="7"/>
        <v/>
      </c>
    </row>
    <row r="414" spans="1:1" ht="30" customHeight="1" x14ac:dyDescent="0.2">
      <c r="A414" s="23" t="str">
        <f t="shared" si="7"/>
        <v/>
      </c>
    </row>
    <row r="415" spans="1:1" ht="30" customHeight="1" x14ac:dyDescent="0.2">
      <c r="A415" s="23" t="str">
        <f t="shared" si="7"/>
        <v/>
      </c>
    </row>
    <row r="416" spans="1:1" ht="30" customHeight="1" x14ac:dyDescent="0.2">
      <c r="A416" s="23" t="str">
        <f t="shared" si="7"/>
        <v/>
      </c>
    </row>
    <row r="417" spans="1:1" ht="30" customHeight="1" x14ac:dyDescent="0.2">
      <c r="A417" s="23" t="str">
        <f t="shared" si="7"/>
        <v/>
      </c>
    </row>
    <row r="418" spans="1:1" ht="30" customHeight="1" x14ac:dyDescent="0.2">
      <c r="A418" s="23" t="str">
        <f t="shared" si="7"/>
        <v/>
      </c>
    </row>
    <row r="419" spans="1:1" ht="30" customHeight="1" x14ac:dyDescent="0.2">
      <c r="A419" s="23" t="str">
        <f t="shared" si="7"/>
        <v/>
      </c>
    </row>
    <row r="420" spans="1:1" ht="30" customHeight="1" x14ac:dyDescent="0.2">
      <c r="A420" s="23" t="str">
        <f t="shared" si="7"/>
        <v/>
      </c>
    </row>
    <row r="421" spans="1:1" ht="30" customHeight="1" x14ac:dyDescent="0.2">
      <c r="A421" s="23" t="str">
        <f t="shared" si="7"/>
        <v/>
      </c>
    </row>
    <row r="422" spans="1:1" ht="30" customHeight="1" x14ac:dyDescent="0.2">
      <c r="A422" s="23" t="str">
        <f t="shared" si="7"/>
        <v/>
      </c>
    </row>
    <row r="423" spans="1:1" ht="30" customHeight="1" x14ac:dyDescent="0.2">
      <c r="A423" s="23" t="str">
        <f t="shared" si="7"/>
        <v/>
      </c>
    </row>
    <row r="424" spans="1:1" ht="30" customHeight="1" x14ac:dyDescent="0.2">
      <c r="A424" s="23" t="str">
        <f t="shared" si="7"/>
        <v/>
      </c>
    </row>
    <row r="425" spans="1:1" ht="30" customHeight="1" x14ac:dyDescent="0.2">
      <c r="A425" s="23" t="str">
        <f t="shared" si="7"/>
        <v/>
      </c>
    </row>
    <row r="426" spans="1:1" ht="30" customHeight="1" x14ac:dyDescent="0.2">
      <c r="A426" s="23" t="str">
        <f t="shared" si="7"/>
        <v/>
      </c>
    </row>
    <row r="427" spans="1:1" ht="30" customHeight="1" x14ac:dyDescent="0.2">
      <c r="A427" s="23" t="str">
        <f t="shared" si="7"/>
        <v/>
      </c>
    </row>
    <row r="428" spans="1:1" ht="30" customHeight="1" x14ac:dyDescent="0.2">
      <c r="A428" s="23" t="str">
        <f t="shared" si="7"/>
        <v/>
      </c>
    </row>
    <row r="429" spans="1:1" ht="30" customHeight="1" x14ac:dyDescent="0.2">
      <c r="A429" s="23" t="str">
        <f t="shared" si="7"/>
        <v/>
      </c>
    </row>
    <row r="430" spans="1:1" ht="30" customHeight="1" x14ac:dyDescent="0.2">
      <c r="A430" s="23" t="str">
        <f t="shared" si="7"/>
        <v/>
      </c>
    </row>
    <row r="431" spans="1:1" ht="30" customHeight="1" x14ac:dyDescent="0.2">
      <c r="A431" s="23" t="str">
        <f t="shared" si="7"/>
        <v/>
      </c>
    </row>
    <row r="432" spans="1:1" ht="30" customHeight="1" x14ac:dyDescent="0.2">
      <c r="A432" s="23" t="str">
        <f t="shared" si="7"/>
        <v/>
      </c>
    </row>
    <row r="433" spans="1:1" ht="30" customHeight="1" x14ac:dyDescent="0.2">
      <c r="A433" s="23" t="str">
        <f t="shared" si="7"/>
        <v/>
      </c>
    </row>
    <row r="434" spans="1:1" ht="30" customHeight="1" x14ac:dyDescent="0.2">
      <c r="A434" s="23" t="str">
        <f t="shared" si="7"/>
        <v/>
      </c>
    </row>
    <row r="435" spans="1:1" ht="30" customHeight="1" x14ac:dyDescent="0.2">
      <c r="A435" s="23" t="str">
        <f t="shared" si="7"/>
        <v/>
      </c>
    </row>
    <row r="436" spans="1:1" ht="30" customHeight="1" x14ac:dyDescent="0.2">
      <c r="A436" s="23" t="str">
        <f t="shared" si="7"/>
        <v/>
      </c>
    </row>
    <row r="437" spans="1:1" ht="30" customHeight="1" x14ac:dyDescent="0.2">
      <c r="A437" s="23" t="str">
        <f t="shared" si="7"/>
        <v/>
      </c>
    </row>
    <row r="438" spans="1:1" ht="30" customHeight="1" x14ac:dyDescent="0.2">
      <c r="A438" s="23" t="str">
        <f t="shared" si="7"/>
        <v/>
      </c>
    </row>
    <row r="439" spans="1:1" ht="30" customHeight="1" x14ac:dyDescent="0.2">
      <c r="A439" s="23" t="str">
        <f t="shared" si="7"/>
        <v/>
      </c>
    </row>
    <row r="440" spans="1:1" ht="30" customHeight="1" x14ac:dyDescent="0.2">
      <c r="A440" s="23" t="str">
        <f t="shared" si="7"/>
        <v/>
      </c>
    </row>
    <row r="441" spans="1:1" ht="30" customHeight="1" x14ac:dyDescent="0.2">
      <c r="A441" s="23" t="str">
        <f t="shared" si="7"/>
        <v/>
      </c>
    </row>
    <row r="442" spans="1:1" ht="30" customHeight="1" x14ac:dyDescent="0.2">
      <c r="A442" s="23" t="str">
        <f t="shared" si="7"/>
        <v/>
      </c>
    </row>
    <row r="443" spans="1:1" ht="30" customHeight="1" x14ac:dyDescent="0.2">
      <c r="A443" s="23" t="str">
        <f t="shared" si="7"/>
        <v/>
      </c>
    </row>
    <row r="444" spans="1:1" ht="30" customHeight="1" x14ac:dyDescent="0.2">
      <c r="A444" s="23" t="str">
        <f t="shared" si="7"/>
        <v/>
      </c>
    </row>
    <row r="445" spans="1:1" ht="30" customHeight="1" x14ac:dyDescent="0.2">
      <c r="A445" s="23" t="str">
        <f t="shared" si="7"/>
        <v/>
      </c>
    </row>
    <row r="446" spans="1:1" ht="30" customHeight="1" x14ac:dyDescent="0.2">
      <c r="A446" s="23" t="str">
        <f t="shared" si="7"/>
        <v/>
      </c>
    </row>
    <row r="447" spans="1:1" ht="30" customHeight="1" x14ac:dyDescent="0.2">
      <c r="A447" s="23" t="str">
        <f t="shared" si="7"/>
        <v/>
      </c>
    </row>
    <row r="448" spans="1:1" ht="30" customHeight="1" x14ac:dyDescent="0.2">
      <c r="A448" s="23" t="str">
        <f t="shared" si="7"/>
        <v/>
      </c>
    </row>
    <row r="449" spans="1:1" ht="30" customHeight="1" x14ac:dyDescent="0.2">
      <c r="A449" s="23" t="str">
        <f t="shared" si="7"/>
        <v/>
      </c>
    </row>
    <row r="450" spans="1:1" ht="30" customHeight="1" x14ac:dyDescent="0.2">
      <c r="A450" s="23" t="str">
        <f t="shared" si="7"/>
        <v/>
      </c>
    </row>
    <row r="451" spans="1:1" ht="30" customHeight="1" x14ac:dyDescent="0.2">
      <c r="A451" s="23" t="str">
        <f t="shared" si="7"/>
        <v/>
      </c>
    </row>
    <row r="452" spans="1:1" ht="30" customHeight="1" x14ac:dyDescent="0.2">
      <c r="A452" s="23" t="str">
        <f t="shared" si="7"/>
        <v/>
      </c>
    </row>
    <row r="453" spans="1:1" ht="30" customHeight="1" x14ac:dyDescent="0.2">
      <c r="A453" s="23" t="str">
        <f t="shared" si="7"/>
        <v/>
      </c>
    </row>
    <row r="454" spans="1:1" ht="30" customHeight="1" x14ac:dyDescent="0.2">
      <c r="A454" s="23" t="str">
        <f t="shared" si="7"/>
        <v/>
      </c>
    </row>
    <row r="455" spans="1:1" ht="30" customHeight="1" x14ac:dyDescent="0.2">
      <c r="A455" s="23" t="str">
        <f t="shared" si="7"/>
        <v/>
      </c>
    </row>
    <row r="456" spans="1:1" ht="30" customHeight="1" x14ac:dyDescent="0.2">
      <c r="A456" s="23" t="str">
        <f t="shared" si="7"/>
        <v/>
      </c>
    </row>
    <row r="457" spans="1:1" ht="30" customHeight="1" x14ac:dyDescent="0.2">
      <c r="A457" s="23" t="str">
        <f t="shared" si="7"/>
        <v/>
      </c>
    </row>
    <row r="458" spans="1:1" ht="30" customHeight="1" x14ac:dyDescent="0.2">
      <c r="A458" s="23" t="str">
        <f t="shared" si="7"/>
        <v/>
      </c>
    </row>
    <row r="459" spans="1:1" ht="30" customHeight="1" x14ac:dyDescent="0.2">
      <c r="A459" s="23" t="str">
        <f t="shared" si="7"/>
        <v/>
      </c>
    </row>
    <row r="460" spans="1:1" ht="30" customHeight="1" x14ac:dyDescent="0.2">
      <c r="A460" s="23" t="str">
        <f t="shared" si="7"/>
        <v/>
      </c>
    </row>
    <row r="461" spans="1:1" ht="30" customHeight="1" x14ac:dyDescent="0.2">
      <c r="A461" s="23" t="str">
        <f t="shared" si="7"/>
        <v/>
      </c>
    </row>
    <row r="462" spans="1:1" ht="30" customHeight="1" x14ac:dyDescent="0.2">
      <c r="A462" s="23" t="str">
        <f t="shared" si="7"/>
        <v/>
      </c>
    </row>
    <row r="463" spans="1:1" ht="30" customHeight="1" x14ac:dyDescent="0.2">
      <c r="A463" s="23" t="str">
        <f t="shared" si="7"/>
        <v/>
      </c>
    </row>
    <row r="464" spans="1:1" ht="30" customHeight="1" x14ac:dyDescent="0.2">
      <c r="A464" s="23" t="str">
        <f t="shared" si="7"/>
        <v/>
      </c>
    </row>
    <row r="465" spans="1:1" ht="30" customHeight="1" x14ac:dyDescent="0.2">
      <c r="A465" s="23" t="str">
        <f t="shared" si="7"/>
        <v/>
      </c>
    </row>
    <row r="466" spans="1:1" ht="30" customHeight="1" x14ac:dyDescent="0.2">
      <c r="A466" s="23" t="str">
        <f t="shared" ref="A466:A529" si="8">IF(AND(B465&lt;&gt;"",B466=""),"Select Audit Point---&gt;","")</f>
        <v/>
      </c>
    </row>
    <row r="467" spans="1:1" ht="30" customHeight="1" x14ac:dyDescent="0.2">
      <c r="A467" s="23" t="str">
        <f t="shared" si="8"/>
        <v/>
      </c>
    </row>
    <row r="468" spans="1:1" ht="30" customHeight="1" x14ac:dyDescent="0.2">
      <c r="A468" s="23" t="str">
        <f t="shared" si="8"/>
        <v/>
      </c>
    </row>
    <row r="469" spans="1:1" ht="30" customHeight="1" x14ac:dyDescent="0.2">
      <c r="A469" s="23" t="str">
        <f t="shared" si="8"/>
        <v/>
      </c>
    </row>
    <row r="470" spans="1:1" ht="30" customHeight="1" x14ac:dyDescent="0.2">
      <c r="A470" s="23" t="str">
        <f t="shared" si="8"/>
        <v/>
      </c>
    </row>
    <row r="471" spans="1:1" ht="30" customHeight="1" x14ac:dyDescent="0.2">
      <c r="A471" s="23" t="str">
        <f t="shared" si="8"/>
        <v/>
      </c>
    </row>
    <row r="472" spans="1:1" ht="30" customHeight="1" x14ac:dyDescent="0.2">
      <c r="A472" s="23" t="str">
        <f t="shared" si="8"/>
        <v/>
      </c>
    </row>
    <row r="473" spans="1:1" ht="30" customHeight="1" x14ac:dyDescent="0.2">
      <c r="A473" s="23" t="str">
        <f t="shared" si="8"/>
        <v/>
      </c>
    </row>
    <row r="474" spans="1:1" ht="30" customHeight="1" x14ac:dyDescent="0.2">
      <c r="A474" s="23" t="str">
        <f t="shared" si="8"/>
        <v/>
      </c>
    </row>
    <row r="475" spans="1:1" ht="30" customHeight="1" x14ac:dyDescent="0.2">
      <c r="A475" s="23" t="str">
        <f t="shared" si="8"/>
        <v/>
      </c>
    </row>
    <row r="476" spans="1:1" ht="30" customHeight="1" x14ac:dyDescent="0.2">
      <c r="A476" s="23" t="str">
        <f t="shared" si="8"/>
        <v/>
      </c>
    </row>
    <row r="477" spans="1:1" ht="30" customHeight="1" x14ac:dyDescent="0.2">
      <c r="A477" s="23" t="str">
        <f t="shared" si="8"/>
        <v/>
      </c>
    </row>
    <row r="478" spans="1:1" ht="30" customHeight="1" x14ac:dyDescent="0.2">
      <c r="A478" s="23" t="str">
        <f t="shared" si="8"/>
        <v/>
      </c>
    </row>
    <row r="479" spans="1:1" ht="30" customHeight="1" x14ac:dyDescent="0.2">
      <c r="A479" s="23" t="str">
        <f t="shared" si="8"/>
        <v/>
      </c>
    </row>
    <row r="480" spans="1:1" ht="30" customHeight="1" x14ac:dyDescent="0.2">
      <c r="A480" s="23" t="str">
        <f t="shared" si="8"/>
        <v/>
      </c>
    </row>
    <row r="481" spans="1:1" ht="30" customHeight="1" x14ac:dyDescent="0.2">
      <c r="A481" s="23" t="str">
        <f t="shared" si="8"/>
        <v/>
      </c>
    </row>
    <row r="482" spans="1:1" ht="30" customHeight="1" x14ac:dyDescent="0.2">
      <c r="A482" s="23" t="str">
        <f t="shared" si="8"/>
        <v/>
      </c>
    </row>
    <row r="483" spans="1:1" ht="30" customHeight="1" x14ac:dyDescent="0.2">
      <c r="A483" s="23" t="str">
        <f t="shared" si="8"/>
        <v/>
      </c>
    </row>
    <row r="484" spans="1:1" ht="30" customHeight="1" x14ac:dyDescent="0.2">
      <c r="A484" s="23" t="str">
        <f t="shared" si="8"/>
        <v/>
      </c>
    </row>
    <row r="485" spans="1:1" ht="30" customHeight="1" x14ac:dyDescent="0.2">
      <c r="A485" s="23" t="str">
        <f t="shared" si="8"/>
        <v/>
      </c>
    </row>
    <row r="486" spans="1:1" ht="30" customHeight="1" x14ac:dyDescent="0.2">
      <c r="A486" s="23" t="str">
        <f t="shared" si="8"/>
        <v/>
      </c>
    </row>
    <row r="487" spans="1:1" ht="30" customHeight="1" x14ac:dyDescent="0.2">
      <c r="A487" s="23" t="str">
        <f t="shared" si="8"/>
        <v/>
      </c>
    </row>
    <row r="488" spans="1:1" ht="30" customHeight="1" x14ac:dyDescent="0.2">
      <c r="A488" s="23" t="str">
        <f t="shared" si="8"/>
        <v/>
      </c>
    </row>
    <row r="489" spans="1:1" ht="30" customHeight="1" x14ac:dyDescent="0.2">
      <c r="A489" s="23" t="str">
        <f t="shared" si="8"/>
        <v/>
      </c>
    </row>
    <row r="490" spans="1:1" ht="30" customHeight="1" x14ac:dyDescent="0.2">
      <c r="A490" s="23" t="str">
        <f t="shared" si="8"/>
        <v/>
      </c>
    </row>
    <row r="491" spans="1:1" ht="30" customHeight="1" x14ac:dyDescent="0.2">
      <c r="A491" s="23" t="str">
        <f t="shared" si="8"/>
        <v/>
      </c>
    </row>
    <row r="492" spans="1:1" ht="30" customHeight="1" x14ac:dyDescent="0.2">
      <c r="A492" s="23" t="str">
        <f t="shared" si="8"/>
        <v/>
      </c>
    </row>
    <row r="493" spans="1:1" ht="30" customHeight="1" x14ac:dyDescent="0.2">
      <c r="A493" s="23" t="str">
        <f t="shared" si="8"/>
        <v/>
      </c>
    </row>
    <row r="494" spans="1:1" ht="30" customHeight="1" x14ac:dyDescent="0.2">
      <c r="A494" s="23" t="str">
        <f t="shared" si="8"/>
        <v/>
      </c>
    </row>
    <row r="495" spans="1:1" ht="30" customHeight="1" x14ac:dyDescent="0.2">
      <c r="A495" s="23" t="str">
        <f t="shared" si="8"/>
        <v/>
      </c>
    </row>
    <row r="496" spans="1:1" ht="30" customHeight="1" x14ac:dyDescent="0.2">
      <c r="A496" s="23" t="str">
        <f t="shared" si="8"/>
        <v/>
      </c>
    </row>
    <row r="497" spans="1:1" ht="30" customHeight="1" x14ac:dyDescent="0.2">
      <c r="A497" s="23" t="str">
        <f t="shared" si="8"/>
        <v/>
      </c>
    </row>
    <row r="498" spans="1:1" ht="30" customHeight="1" x14ac:dyDescent="0.2">
      <c r="A498" s="23" t="str">
        <f t="shared" si="8"/>
        <v/>
      </c>
    </row>
    <row r="499" spans="1:1" ht="30" customHeight="1" x14ac:dyDescent="0.2">
      <c r="A499" s="23" t="str">
        <f t="shared" si="8"/>
        <v/>
      </c>
    </row>
    <row r="500" spans="1:1" ht="30" customHeight="1" x14ac:dyDescent="0.2">
      <c r="A500" s="23" t="str">
        <f t="shared" si="8"/>
        <v/>
      </c>
    </row>
    <row r="501" spans="1:1" ht="30" customHeight="1" x14ac:dyDescent="0.2">
      <c r="A501" s="23" t="str">
        <f t="shared" si="8"/>
        <v/>
      </c>
    </row>
    <row r="502" spans="1:1" ht="30" customHeight="1" x14ac:dyDescent="0.2">
      <c r="A502" s="23" t="str">
        <f t="shared" si="8"/>
        <v/>
      </c>
    </row>
    <row r="503" spans="1:1" ht="30" customHeight="1" x14ac:dyDescent="0.2">
      <c r="A503" s="23" t="str">
        <f t="shared" si="8"/>
        <v/>
      </c>
    </row>
    <row r="504" spans="1:1" ht="30" customHeight="1" x14ac:dyDescent="0.2">
      <c r="A504" s="23" t="str">
        <f t="shared" si="8"/>
        <v/>
      </c>
    </row>
    <row r="505" spans="1:1" ht="30" customHeight="1" x14ac:dyDescent="0.2">
      <c r="A505" s="23" t="str">
        <f t="shared" si="8"/>
        <v/>
      </c>
    </row>
    <row r="506" spans="1:1" ht="30" customHeight="1" x14ac:dyDescent="0.2">
      <c r="A506" s="23" t="str">
        <f t="shared" si="8"/>
        <v/>
      </c>
    </row>
    <row r="507" spans="1:1" ht="30" customHeight="1" x14ac:dyDescent="0.2">
      <c r="A507" s="23" t="str">
        <f t="shared" si="8"/>
        <v/>
      </c>
    </row>
    <row r="508" spans="1:1" ht="30" customHeight="1" x14ac:dyDescent="0.2">
      <c r="A508" s="23" t="str">
        <f t="shared" si="8"/>
        <v/>
      </c>
    </row>
    <row r="509" spans="1:1" ht="30" customHeight="1" x14ac:dyDescent="0.2">
      <c r="A509" s="23" t="str">
        <f t="shared" si="8"/>
        <v/>
      </c>
    </row>
    <row r="510" spans="1:1" ht="30" customHeight="1" x14ac:dyDescent="0.2">
      <c r="A510" s="23" t="str">
        <f t="shared" si="8"/>
        <v/>
      </c>
    </row>
    <row r="511" spans="1:1" ht="30" customHeight="1" x14ac:dyDescent="0.2">
      <c r="A511" s="23" t="str">
        <f t="shared" si="8"/>
        <v/>
      </c>
    </row>
    <row r="512" spans="1:1" ht="30" customHeight="1" x14ac:dyDescent="0.2">
      <c r="A512" s="23" t="str">
        <f t="shared" si="8"/>
        <v/>
      </c>
    </row>
    <row r="513" spans="1:1" ht="30" customHeight="1" x14ac:dyDescent="0.2">
      <c r="A513" s="23" t="str">
        <f t="shared" si="8"/>
        <v/>
      </c>
    </row>
    <row r="514" spans="1:1" ht="30" customHeight="1" x14ac:dyDescent="0.2">
      <c r="A514" s="23" t="str">
        <f t="shared" si="8"/>
        <v/>
      </c>
    </row>
    <row r="515" spans="1:1" ht="30" customHeight="1" x14ac:dyDescent="0.2">
      <c r="A515" s="23" t="str">
        <f t="shared" si="8"/>
        <v/>
      </c>
    </row>
    <row r="516" spans="1:1" ht="30" customHeight="1" x14ac:dyDescent="0.2">
      <c r="A516" s="23" t="str">
        <f t="shared" si="8"/>
        <v/>
      </c>
    </row>
    <row r="517" spans="1:1" ht="30" customHeight="1" x14ac:dyDescent="0.2">
      <c r="A517" s="23" t="str">
        <f t="shared" si="8"/>
        <v/>
      </c>
    </row>
    <row r="518" spans="1:1" ht="30" customHeight="1" x14ac:dyDescent="0.2">
      <c r="A518" s="23" t="str">
        <f t="shared" si="8"/>
        <v/>
      </c>
    </row>
    <row r="519" spans="1:1" ht="30" customHeight="1" x14ac:dyDescent="0.2">
      <c r="A519" s="23" t="str">
        <f t="shared" si="8"/>
        <v/>
      </c>
    </row>
    <row r="520" spans="1:1" ht="30" customHeight="1" x14ac:dyDescent="0.2">
      <c r="A520" s="23" t="str">
        <f t="shared" si="8"/>
        <v/>
      </c>
    </row>
    <row r="521" spans="1:1" ht="30" customHeight="1" x14ac:dyDescent="0.2">
      <c r="A521" s="23" t="str">
        <f t="shared" si="8"/>
        <v/>
      </c>
    </row>
    <row r="522" spans="1:1" ht="30" customHeight="1" x14ac:dyDescent="0.2">
      <c r="A522" s="23" t="str">
        <f t="shared" si="8"/>
        <v/>
      </c>
    </row>
    <row r="523" spans="1:1" ht="30" customHeight="1" x14ac:dyDescent="0.2">
      <c r="A523" s="23" t="str">
        <f t="shared" si="8"/>
        <v/>
      </c>
    </row>
    <row r="524" spans="1:1" ht="30" customHeight="1" x14ac:dyDescent="0.2">
      <c r="A524" s="23" t="str">
        <f t="shared" si="8"/>
        <v/>
      </c>
    </row>
    <row r="525" spans="1:1" ht="30" customHeight="1" x14ac:dyDescent="0.2">
      <c r="A525" s="23" t="str">
        <f t="shared" si="8"/>
        <v/>
      </c>
    </row>
    <row r="526" spans="1:1" ht="30" customHeight="1" x14ac:dyDescent="0.2">
      <c r="A526" s="23" t="str">
        <f t="shared" si="8"/>
        <v/>
      </c>
    </row>
    <row r="527" spans="1:1" ht="30" customHeight="1" x14ac:dyDescent="0.2">
      <c r="A527" s="23" t="str">
        <f t="shared" si="8"/>
        <v/>
      </c>
    </row>
    <row r="528" spans="1:1" ht="30" customHeight="1" x14ac:dyDescent="0.2">
      <c r="A528" s="23" t="str">
        <f t="shared" si="8"/>
        <v/>
      </c>
    </row>
    <row r="529" spans="1:1" ht="30" customHeight="1" x14ac:dyDescent="0.2">
      <c r="A529" s="23" t="str">
        <f t="shared" si="8"/>
        <v/>
      </c>
    </row>
    <row r="530" spans="1:1" ht="30" customHeight="1" x14ac:dyDescent="0.2">
      <c r="A530" s="23" t="str">
        <f t="shared" ref="A530:A593" si="9">IF(AND(B529&lt;&gt;"",B530=""),"Select Audit Point---&gt;","")</f>
        <v/>
      </c>
    </row>
    <row r="531" spans="1:1" ht="30" customHeight="1" x14ac:dyDescent="0.2">
      <c r="A531" s="23" t="str">
        <f t="shared" si="9"/>
        <v/>
      </c>
    </row>
    <row r="532" spans="1:1" ht="30" customHeight="1" x14ac:dyDescent="0.2">
      <c r="A532" s="23" t="str">
        <f t="shared" si="9"/>
        <v/>
      </c>
    </row>
    <row r="533" spans="1:1" ht="30" customHeight="1" x14ac:dyDescent="0.2">
      <c r="A533" s="23" t="str">
        <f t="shared" si="9"/>
        <v/>
      </c>
    </row>
    <row r="534" spans="1:1" ht="30" customHeight="1" x14ac:dyDescent="0.2">
      <c r="A534" s="23" t="str">
        <f t="shared" si="9"/>
        <v/>
      </c>
    </row>
    <row r="535" spans="1:1" ht="30" customHeight="1" x14ac:dyDescent="0.2">
      <c r="A535" s="23" t="str">
        <f t="shared" si="9"/>
        <v/>
      </c>
    </row>
    <row r="536" spans="1:1" ht="30" customHeight="1" x14ac:dyDescent="0.2">
      <c r="A536" s="23" t="str">
        <f t="shared" si="9"/>
        <v/>
      </c>
    </row>
    <row r="537" spans="1:1" ht="30" customHeight="1" x14ac:dyDescent="0.2">
      <c r="A537" s="23" t="str">
        <f t="shared" si="9"/>
        <v/>
      </c>
    </row>
    <row r="538" spans="1:1" ht="30" customHeight="1" x14ac:dyDescent="0.2">
      <c r="A538" s="23" t="str">
        <f t="shared" si="9"/>
        <v/>
      </c>
    </row>
    <row r="539" spans="1:1" ht="30" customHeight="1" x14ac:dyDescent="0.2">
      <c r="A539" s="23" t="str">
        <f t="shared" si="9"/>
        <v/>
      </c>
    </row>
    <row r="540" spans="1:1" ht="30" customHeight="1" x14ac:dyDescent="0.2">
      <c r="A540" s="23" t="str">
        <f t="shared" si="9"/>
        <v/>
      </c>
    </row>
    <row r="541" spans="1:1" ht="30" customHeight="1" x14ac:dyDescent="0.2">
      <c r="A541" s="23" t="str">
        <f t="shared" si="9"/>
        <v/>
      </c>
    </row>
    <row r="542" spans="1:1" ht="30" customHeight="1" x14ac:dyDescent="0.2">
      <c r="A542" s="23" t="str">
        <f t="shared" si="9"/>
        <v/>
      </c>
    </row>
    <row r="543" spans="1:1" ht="30" customHeight="1" x14ac:dyDescent="0.2">
      <c r="A543" s="23" t="str">
        <f t="shared" si="9"/>
        <v/>
      </c>
    </row>
    <row r="544" spans="1:1" ht="30" customHeight="1" x14ac:dyDescent="0.2">
      <c r="A544" s="23" t="str">
        <f t="shared" si="9"/>
        <v/>
      </c>
    </row>
    <row r="545" spans="1:1" ht="30" customHeight="1" x14ac:dyDescent="0.2">
      <c r="A545" s="23" t="str">
        <f t="shared" si="9"/>
        <v/>
      </c>
    </row>
    <row r="546" spans="1:1" ht="30" customHeight="1" x14ac:dyDescent="0.2">
      <c r="A546" s="23" t="str">
        <f t="shared" si="9"/>
        <v/>
      </c>
    </row>
    <row r="547" spans="1:1" ht="30" customHeight="1" x14ac:dyDescent="0.2">
      <c r="A547" s="23" t="str">
        <f t="shared" si="9"/>
        <v/>
      </c>
    </row>
    <row r="548" spans="1:1" ht="30" customHeight="1" x14ac:dyDescent="0.2">
      <c r="A548" s="23" t="str">
        <f t="shared" si="9"/>
        <v/>
      </c>
    </row>
    <row r="549" spans="1:1" ht="30" customHeight="1" x14ac:dyDescent="0.2">
      <c r="A549" s="23" t="str">
        <f t="shared" si="9"/>
        <v/>
      </c>
    </row>
    <row r="550" spans="1:1" ht="30" customHeight="1" x14ac:dyDescent="0.2">
      <c r="A550" s="23" t="str">
        <f t="shared" si="9"/>
        <v/>
      </c>
    </row>
    <row r="551" spans="1:1" ht="30" customHeight="1" x14ac:dyDescent="0.2">
      <c r="A551" s="23" t="str">
        <f t="shared" si="9"/>
        <v/>
      </c>
    </row>
    <row r="552" spans="1:1" ht="30" customHeight="1" x14ac:dyDescent="0.2">
      <c r="A552" s="23" t="str">
        <f t="shared" si="9"/>
        <v/>
      </c>
    </row>
    <row r="553" spans="1:1" ht="30" customHeight="1" x14ac:dyDescent="0.2">
      <c r="A553" s="23" t="str">
        <f t="shared" si="9"/>
        <v/>
      </c>
    </row>
    <row r="554" spans="1:1" ht="30" customHeight="1" x14ac:dyDescent="0.2">
      <c r="A554" s="23" t="str">
        <f t="shared" si="9"/>
        <v/>
      </c>
    </row>
    <row r="555" spans="1:1" ht="30" customHeight="1" x14ac:dyDescent="0.2">
      <c r="A555" s="23" t="str">
        <f t="shared" si="9"/>
        <v/>
      </c>
    </row>
    <row r="556" spans="1:1" ht="30" customHeight="1" x14ac:dyDescent="0.2">
      <c r="A556" s="23" t="str">
        <f t="shared" si="9"/>
        <v/>
      </c>
    </row>
    <row r="557" spans="1:1" ht="30" customHeight="1" x14ac:dyDescent="0.2">
      <c r="A557" s="23" t="str">
        <f t="shared" si="9"/>
        <v/>
      </c>
    </row>
    <row r="558" spans="1:1" ht="30" customHeight="1" x14ac:dyDescent="0.2">
      <c r="A558" s="23" t="str">
        <f t="shared" si="9"/>
        <v/>
      </c>
    </row>
    <row r="559" spans="1:1" ht="30" customHeight="1" x14ac:dyDescent="0.2">
      <c r="A559" s="23" t="str">
        <f t="shared" si="9"/>
        <v/>
      </c>
    </row>
    <row r="560" spans="1:1" ht="30" customHeight="1" x14ac:dyDescent="0.2">
      <c r="A560" s="23" t="str">
        <f t="shared" si="9"/>
        <v/>
      </c>
    </row>
    <row r="561" spans="1:1" ht="30" customHeight="1" x14ac:dyDescent="0.2">
      <c r="A561" s="23" t="str">
        <f t="shared" si="9"/>
        <v/>
      </c>
    </row>
    <row r="562" spans="1:1" ht="30" customHeight="1" x14ac:dyDescent="0.2">
      <c r="A562" s="23" t="str">
        <f t="shared" si="9"/>
        <v/>
      </c>
    </row>
    <row r="563" spans="1:1" ht="30" customHeight="1" x14ac:dyDescent="0.2">
      <c r="A563" s="23" t="str">
        <f t="shared" si="9"/>
        <v/>
      </c>
    </row>
    <row r="564" spans="1:1" ht="30" customHeight="1" x14ac:dyDescent="0.2">
      <c r="A564" s="23" t="str">
        <f t="shared" si="9"/>
        <v/>
      </c>
    </row>
    <row r="565" spans="1:1" ht="30" customHeight="1" x14ac:dyDescent="0.2">
      <c r="A565" s="23" t="str">
        <f t="shared" si="9"/>
        <v/>
      </c>
    </row>
    <row r="566" spans="1:1" ht="30" customHeight="1" x14ac:dyDescent="0.2">
      <c r="A566" s="23" t="str">
        <f t="shared" si="9"/>
        <v/>
      </c>
    </row>
    <row r="567" spans="1:1" ht="30" customHeight="1" x14ac:dyDescent="0.2">
      <c r="A567" s="23" t="str">
        <f t="shared" si="9"/>
        <v/>
      </c>
    </row>
    <row r="568" spans="1:1" ht="30" customHeight="1" x14ac:dyDescent="0.2">
      <c r="A568" s="23" t="str">
        <f t="shared" si="9"/>
        <v/>
      </c>
    </row>
    <row r="569" spans="1:1" ht="30" customHeight="1" x14ac:dyDescent="0.2">
      <c r="A569" s="23" t="str">
        <f t="shared" si="9"/>
        <v/>
      </c>
    </row>
    <row r="570" spans="1:1" ht="30" customHeight="1" x14ac:dyDescent="0.2">
      <c r="A570" s="23" t="str">
        <f t="shared" si="9"/>
        <v/>
      </c>
    </row>
    <row r="571" spans="1:1" ht="30" customHeight="1" x14ac:dyDescent="0.2">
      <c r="A571" s="23" t="str">
        <f t="shared" si="9"/>
        <v/>
      </c>
    </row>
    <row r="572" spans="1:1" ht="30" customHeight="1" x14ac:dyDescent="0.2">
      <c r="A572" s="23" t="str">
        <f t="shared" si="9"/>
        <v/>
      </c>
    </row>
    <row r="573" spans="1:1" ht="30" customHeight="1" x14ac:dyDescent="0.2">
      <c r="A573" s="23" t="str">
        <f t="shared" si="9"/>
        <v/>
      </c>
    </row>
    <row r="574" spans="1:1" ht="30" customHeight="1" x14ac:dyDescent="0.2">
      <c r="A574" s="23" t="str">
        <f t="shared" si="9"/>
        <v/>
      </c>
    </row>
    <row r="575" spans="1:1" ht="30" customHeight="1" x14ac:dyDescent="0.2">
      <c r="A575" s="23" t="str">
        <f t="shared" si="9"/>
        <v/>
      </c>
    </row>
    <row r="576" spans="1:1" ht="30" customHeight="1" x14ac:dyDescent="0.2">
      <c r="A576" s="23" t="str">
        <f t="shared" si="9"/>
        <v/>
      </c>
    </row>
    <row r="577" spans="1:1" ht="30" customHeight="1" x14ac:dyDescent="0.2">
      <c r="A577" s="23" t="str">
        <f t="shared" si="9"/>
        <v/>
      </c>
    </row>
    <row r="578" spans="1:1" ht="30" customHeight="1" x14ac:dyDescent="0.2">
      <c r="A578" s="23" t="str">
        <f t="shared" si="9"/>
        <v/>
      </c>
    </row>
    <row r="579" spans="1:1" ht="30" customHeight="1" x14ac:dyDescent="0.2">
      <c r="A579" s="23" t="str">
        <f t="shared" si="9"/>
        <v/>
      </c>
    </row>
    <row r="580" spans="1:1" ht="30" customHeight="1" x14ac:dyDescent="0.2">
      <c r="A580" s="23" t="str">
        <f t="shared" si="9"/>
        <v/>
      </c>
    </row>
    <row r="581" spans="1:1" ht="30" customHeight="1" x14ac:dyDescent="0.2">
      <c r="A581" s="23" t="str">
        <f t="shared" si="9"/>
        <v/>
      </c>
    </row>
    <row r="582" spans="1:1" ht="30" customHeight="1" x14ac:dyDescent="0.2">
      <c r="A582" s="23" t="str">
        <f t="shared" si="9"/>
        <v/>
      </c>
    </row>
    <row r="583" spans="1:1" ht="30" customHeight="1" x14ac:dyDescent="0.2">
      <c r="A583" s="23" t="str">
        <f t="shared" si="9"/>
        <v/>
      </c>
    </row>
    <row r="584" spans="1:1" ht="30" customHeight="1" x14ac:dyDescent="0.2">
      <c r="A584" s="23" t="str">
        <f t="shared" si="9"/>
        <v/>
      </c>
    </row>
    <row r="585" spans="1:1" ht="30" customHeight="1" x14ac:dyDescent="0.2">
      <c r="A585" s="23" t="str">
        <f t="shared" si="9"/>
        <v/>
      </c>
    </row>
    <row r="586" spans="1:1" ht="30" customHeight="1" x14ac:dyDescent="0.2">
      <c r="A586" s="23" t="str">
        <f t="shared" si="9"/>
        <v/>
      </c>
    </row>
    <row r="587" spans="1:1" ht="30" customHeight="1" x14ac:dyDescent="0.2">
      <c r="A587" s="23" t="str">
        <f t="shared" si="9"/>
        <v/>
      </c>
    </row>
    <row r="588" spans="1:1" ht="30" customHeight="1" x14ac:dyDescent="0.2">
      <c r="A588" s="23" t="str">
        <f t="shared" si="9"/>
        <v/>
      </c>
    </row>
    <row r="589" spans="1:1" ht="30" customHeight="1" x14ac:dyDescent="0.2">
      <c r="A589" s="23" t="str">
        <f t="shared" si="9"/>
        <v/>
      </c>
    </row>
    <row r="590" spans="1:1" ht="30" customHeight="1" x14ac:dyDescent="0.2">
      <c r="A590" s="23" t="str">
        <f t="shared" si="9"/>
        <v/>
      </c>
    </row>
    <row r="591" spans="1:1" ht="30" customHeight="1" x14ac:dyDescent="0.2">
      <c r="A591" s="23" t="str">
        <f t="shared" si="9"/>
        <v/>
      </c>
    </row>
    <row r="592" spans="1:1" ht="30" customHeight="1" x14ac:dyDescent="0.2">
      <c r="A592" s="23" t="str">
        <f t="shared" si="9"/>
        <v/>
      </c>
    </row>
    <row r="593" spans="1:1" ht="30" customHeight="1" x14ac:dyDescent="0.2">
      <c r="A593" s="23" t="str">
        <f t="shared" si="9"/>
        <v/>
      </c>
    </row>
    <row r="594" spans="1:1" ht="30" customHeight="1" x14ac:dyDescent="0.2">
      <c r="A594" s="23" t="str">
        <f t="shared" ref="A594:A657" si="10">IF(AND(B593&lt;&gt;"",B594=""),"Select Audit Point---&gt;","")</f>
        <v/>
      </c>
    </row>
    <row r="595" spans="1:1" ht="30" customHeight="1" x14ac:dyDescent="0.2">
      <c r="A595" s="23" t="str">
        <f t="shared" si="10"/>
        <v/>
      </c>
    </row>
    <row r="596" spans="1:1" ht="30" customHeight="1" x14ac:dyDescent="0.2">
      <c r="A596" s="23" t="str">
        <f t="shared" si="10"/>
        <v/>
      </c>
    </row>
    <row r="597" spans="1:1" ht="30" customHeight="1" x14ac:dyDescent="0.2">
      <c r="A597" s="23" t="str">
        <f t="shared" si="10"/>
        <v/>
      </c>
    </row>
    <row r="598" spans="1:1" ht="30" customHeight="1" x14ac:dyDescent="0.2">
      <c r="A598" s="23" t="str">
        <f t="shared" si="10"/>
        <v/>
      </c>
    </row>
    <row r="599" spans="1:1" ht="30" customHeight="1" x14ac:dyDescent="0.2">
      <c r="A599" s="23" t="str">
        <f t="shared" si="10"/>
        <v/>
      </c>
    </row>
    <row r="600" spans="1:1" ht="30" customHeight="1" x14ac:dyDescent="0.2">
      <c r="A600" s="23" t="str">
        <f t="shared" si="10"/>
        <v/>
      </c>
    </row>
    <row r="601" spans="1:1" ht="30" customHeight="1" x14ac:dyDescent="0.2">
      <c r="A601" s="23" t="str">
        <f t="shared" si="10"/>
        <v/>
      </c>
    </row>
    <row r="602" spans="1:1" ht="30" customHeight="1" x14ac:dyDescent="0.2">
      <c r="A602" s="23" t="str">
        <f t="shared" si="10"/>
        <v/>
      </c>
    </row>
    <row r="603" spans="1:1" ht="30" customHeight="1" x14ac:dyDescent="0.2">
      <c r="A603" s="23" t="str">
        <f t="shared" si="10"/>
        <v/>
      </c>
    </row>
    <row r="604" spans="1:1" ht="30" customHeight="1" x14ac:dyDescent="0.2">
      <c r="A604" s="23" t="str">
        <f t="shared" si="10"/>
        <v/>
      </c>
    </row>
    <row r="605" spans="1:1" ht="30" customHeight="1" x14ac:dyDescent="0.2">
      <c r="A605" s="23" t="str">
        <f t="shared" si="10"/>
        <v/>
      </c>
    </row>
    <row r="606" spans="1:1" ht="30" customHeight="1" x14ac:dyDescent="0.2">
      <c r="A606" s="23" t="str">
        <f t="shared" si="10"/>
        <v/>
      </c>
    </row>
    <row r="607" spans="1:1" ht="30" customHeight="1" x14ac:dyDescent="0.2">
      <c r="A607" s="23" t="str">
        <f t="shared" si="10"/>
        <v/>
      </c>
    </row>
    <row r="608" spans="1:1" ht="30" customHeight="1" x14ac:dyDescent="0.2">
      <c r="A608" s="23" t="str">
        <f t="shared" si="10"/>
        <v/>
      </c>
    </row>
    <row r="609" spans="1:1" ht="30" customHeight="1" x14ac:dyDescent="0.2">
      <c r="A609" s="23" t="str">
        <f t="shared" si="10"/>
        <v/>
      </c>
    </row>
    <row r="610" spans="1:1" ht="30" customHeight="1" x14ac:dyDescent="0.2">
      <c r="A610" s="23" t="str">
        <f t="shared" si="10"/>
        <v/>
      </c>
    </row>
    <row r="611" spans="1:1" ht="30" customHeight="1" x14ac:dyDescent="0.2">
      <c r="A611" s="23" t="str">
        <f t="shared" si="10"/>
        <v/>
      </c>
    </row>
    <row r="612" spans="1:1" ht="30" customHeight="1" x14ac:dyDescent="0.2">
      <c r="A612" s="23" t="str">
        <f t="shared" si="10"/>
        <v/>
      </c>
    </row>
    <row r="613" spans="1:1" ht="30" customHeight="1" x14ac:dyDescent="0.2">
      <c r="A613" s="23" t="str">
        <f t="shared" si="10"/>
        <v/>
      </c>
    </row>
    <row r="614" spans="1:1" ht="30" customHeight="1" x14ac:dyDescent="0.2">
      <c r="A614" s="23" t="str">
        <f t="shared" si="10"/>
        <v/>
      </c>
    </row>
    <row r="615" spans="1:1" ht="30" customHeight="1" x14ac:dyDescent="0.2">
      <c r="A615" s="23" t="str">
        <f t="shared" si="10"/>
        <v/>
      </c>
    </row>
    <row r="616" spans="1:1" ht="30" customHeight="1" x14ac:dyDescent="0.2">
      <c r="A616" s="23" t="str">
        <f t="shared" si="10"/>
        <v/>
      </c>
    </row>
    <row r="617" spans="1:1" ht="30" customHeight="1" x14ac:dyDescent="0.2">
      <c r="A617" s="23" t="str">
        <f t="shared" si="10"/>
        <v/>
      </c>
    </row>
    <row r="618" spans="1:1" ht="30" customHeight="1" x14ac:dyDescent="0.2">
      <c r="A618" s="23" t="str">
        <f t="shared" si="10"/>
        <v/>
      </c>
    </row>
    <row r="619" spans="1:1" ht="30" customHeight="1" x14ac:dyDescent="0.2">
      <c r="A619" s="23" t="str">
        <f t="shared" si="10"/>
        <v/>
      </c>
    </row>
    <row r="620" spans="1:1" ht="30" customHeight="1" x14ac:dyDescent="0.2">
      <c r="A620" s="23" t="str">
        <f t="shared" si="10"/>
        <v/>
      </c>
    </row>
    <row r="621" spans="1:1" ht="30" customHeight="1" x14ac:dyDescent="0.2">
      <c r="A621" s="23" t="str">
        <f t="shared" si="10"/>
        <v/>
      </c>
    </row>
    <row r="622" spans="1:1" ht="30" customHeight="1" x14ac:dyDescent="0.2">
      <c r="A622" s="23" t="str">
        <f t="shared" si="10"/>
        <v/>
      </c>
    </row>
    <row r="623" spans="1:1" ht="30" customHeight="1" x14ac:dyDescent="0.2">
      <c r="A623" s="23" t="str">
        <f t="shared" si="10"/>
        <v/>
      </c>
    </row>
    <row r="624" spans="1:1" ht="30" customHeight="1" x14ac:dyDescent="0.2">
      <c r="A624" s="23" t="str">
        <f t="shared" si="10"/>
        <v/>
      </c>
    </row>
    <row r="625" spans="1:1" ht="30" customHeight="1" x14ac:dyDescent="0.2">
      <c r="A625" s="23" t="str">
        <f t="shared" si="10"/>
        <v/>
      </c>
    </row>
    <row r="626" spans="1:1" ht="30" customHeight="1" x14ac:dyDescent="0.2">
      <c r="A626" s="23" t="str">
        <f t="shared" si="10"/>
        <v/>
      </c>
    </row>
    <row r="627" spans="1:1" ht="30" customHeight="1" x14ac:dyDescent="0.2">
      <c r="A627" s="23" t="str">
        <f t="shared" si="10"/>
        <v/>
      </c>
    </row>
    <row r="628" spans="1:1" ht="30" customHeight="1" x14ac:dyDescent="0.2">
      <c r="A628" s="23" t="str">
        <f t="shared" si="10"/>
        <v/>
      </c>
    </row>
    <row r="629" spans="1:1" ht="30" customHeight="1" x14ac:dyDescent="0.2">
      <c r="A629" s="23" t="str">
        <f t="shared" si="10"/>
        <v/>
      </c>
    </row>
    <row r="630" spans="1:1" ht="30" customHeight="1" x14ac:dyDescent="0.2">
      <c r="A630" s="23" t="str">
        <f t="shared" si="10"/>
        <v/>
      </c>
    </row>
    <row r="631" spans="1:1" ht="30" customHeight="1" x14ac:dyDescent="0.2">
      <c r="A631" s="23" t="str">
        <f t="shared" si="10"/>
        <v/>
      </c>
    </row>
    <row r="632" spans="1:1" ht="30" customHeight="1" x14ac:dyDescent="0.2">
      <c r="A632" s="23" t="str">
        <f t="shared" si="10"/>
        <v/>
      </c>
    </row>
    <row r="633" spans="1:1" ht="30" customHeight="1" x14ac:dyDescent="0.2">
      <c r="A633" s="23" t="str">
        <f t="shared" si="10"/>
        <v/>
      </c>
    </row>
    <row r="634" spans="1:1" ht="30" customHeight="1" x14ac:dyDescent="0.2">
      <c r="A634" s="23" t="str">
        <f t="shared" si="10"/>
        <v/>
      </c>
    </row>
    <row r="635" spans="1:1" ht="30" customHeight="1" x14ac:dyDescent="0.2">
      <c r="A635" s="23" t="str">
        <f t="shared" si="10"/>
        <v/>
      </c>
    </row>
    <row r="636" spans="1:1" ht="30" customHeight="1" x14ac:dyDescent="0.2">
      <c r="A636" s="23" t="str">
        <f t="shared" si="10"/>
        <v/>
      </c>
    </row>
    <row r="637" spans="1:1" ht="30" customHeight="1" x14ac:dyDescent="0.2">
      <c r="A637" s="23" t="str">
        <f t="shared" si="10"/>
        <v/>
      </c>
    </row>
    <row r="638" spans="1:1" ht="30" customHeight="1" x14ac:dyDescent="0.2">
      <c r="A638" s="23" t="str">
        <f t="shared" si="10"/>
        <v/>
      </c>
    </row>
    <row r="639" spans="1:1" ht="30" customHeight="1" x14ac:dyDescent="0.2">
      <c r="A639" s="23" t="str">
        <f t="shared" si="10"/>
        <v/>
      </c>
    </row>
    <row r="640" spans="1:1" ht="30" customHeight="1" x14ac:dyDescent="0.2">
      <c r="A640" s="23" t="str">
        <f t="shared" si="10"/>
        <v/>
      </c>
    </row>
    <row r="641" spans="1:1" ht="30" customHeight="1" x14ac:dyDescent="0.2">
      <c r="A641" s="23" t="str">
        <f t="shared" si="10"/>
        <v/>
      </c>
    </row>
    <row r="642" spans="1:1" ht="30" customHeight="1" x14ac:dyDescent="0.2">
      <c r="A642" s="23" t="str">
        <f t="shared" si="10"/>
        <v/>
      </c>
    </row>
    <row r="643" spans="1:1" ht="30" customHeight="1" x14ac:dyDescent="0.2">
      <c r="A643" s="23" t="str">
        <f t="shared" si="10"/>
        <v/>
      </c>
    </row>
    <row r="644" spans="1:1" ht="30" customHeight="1" x14ac:dyDescent="0.2">
      <c r="A644" s="23" t="str">
        <f t="shared" si="10"/>
        <v/>
      </c>
    </row>
    <row r="645" spans="1:1" ht="30" customHeight="1" x14ac:dyDescent="0.2">
      <c r="A645" s="23" t="str">
        <f t="shared" si="10"/>
        <v/>
      </c>
    </row>
    <row r="646" spans="1:1" ht="30" customHeight="1" x14ac:dyDescent="0.2">
      <c r="A646" s="23" t="str">
        <f t="shared" si="10"/>
        <v/>
      </c>
    </row>
    <row r="647" spans="1:1" ht="30" customHeight="1" x14ac:dyDescent="0.2">
      <c r="A647" s="23" t="str">
        <f t="shared" si="10"/>
        <v/>
      </c>
    </row>
    <row r="648" spans="1:1" ht="30" customHeight="1" x14ac:dyDescent="0.2">
      <c r="A648" s="23" t="str">
        <f t="shared" si="10"/>
        <v/>
      </c>
    </row>
    <row r="649" spans="1:1" ht="30" customHeight="1" x14ac:dyDescent="0.2">
      <c r="A649" s="23" t="str">
        <f t="shared" si="10"/>
        <v/>
      </c>
    </row>
    <row r="650" spans="1:1" ht="30" customHeight="1" x14ac:dyDescent="0.2">
      <c r="A650" s="23" t="str">
        <f t="shared" si="10"/>
        <v/>
      </c>
    </row>
    <row r="651" spans="1:1" ht="30" customHeight="1" x14ac:dyDescent="0.2">
      <c r="A651" s="23" t="str">
        <f t="shared" si="10"/>
        <v/>
      </c>
    </row>
    <row r="652" spans="1:1" ht="30" customHeight="1" x14ac:dyDescent="0.2">
      <c r="A652" s="23" t="str">
        <f t="shared" si="10"/>
        <v/>
      </c>
    </row>
    <row r="653" spans="1:1" ht="30" customHeight="1" x14ac:dyDescent="0.2">
      <c r="A653" s="23" t="str">
        <f t="shared" si="10"/>
        <v/>
      </c>
    </row>
    <row r="654" spans="1:1" ht="30" customHeight="1" x14ac:dyDescent="0.2">
      <c r="A654" s="23" t="str">
        <f t="shared" si="10"/>
        <v/>
      </c>
    </row>
    <row r="655" spans="1:1" ht="30" customHeight="1" x14ac:dyDescent="0.2">
      <c r="A655" s="23" t="str">
        <f t="shared" si="10"/>
        <v/>
      </c>
    </row>
    <row r="656" spans="1:1" ht="30" customHeight="1" x14ac:dyDescent="0.2">
      <c r="A656" s="23" t="str">
        <f t="shared" si="10"/>
        <v/>
      </c>
    </row>
    <row r="657" spans="1:1" ht="30" customHeight="1" x14ac:dyDescent="0.2">
      <c r="A657" s="23" t="str">
        <f t="shared" si="10"/>
        <v/>
      </c>
    </row>
    <row r="658" spans="1:1" ht="30" customHeight="1" x14ac:dyDescent="0.2">
      <c r="A658" s="23" t="str">
        <f t="shared" ref="A658:A721" si="11">IF(AND(B657&lt;&gt;"",B658=""),"Select Audit Point---&gt;","")</f>
        <v/>
      </c>
    </row>
    <row r="659" spans="1:1" ht="30" customHeight="1" x14ac:dyDescent="0.2">
      <c r="A659" s="23" t="str">
        <f t="shared" si="11"/>
        <v/>
      </c>
    </row>
    <row r="660" spans="1:1" ht="30" customHeight="1" x14ac:dyDescent="0.2">
      <c r="A660" s="23" t="str">
        <f t="shared" si="11"/>
        <v/>
      </c>
    </row>
    <row r="661" spans="1:1" ht="30" customHeight="1" x14ac:dyDescent="0.2">
      <c r="A661" s="23" t="str">
        <f t="shared" si="11"/>
        <v/>
      </c>
    </row>
    <row r="662" spans="1:1" ht="30" customHeight="1" x14ac:dyDescent="0.2">
      <c r="A662" s="23" t="str">
        <f t="shared" si="11"/>
        <v/>
      </c>
    </row>
    <row r="663" spans="1:1" ht="30" customHeight="1" x14ac:dyDescent="0.2">
      <c r="A663" s="23" t="str">
        <f t="shared" si="11"/>
        <v/>
      </c>
    </row>
    <row r="664" spans="1:1" ht="30" customHeight="1" x14ac:dyDescent="0.2">
      <c r="A664" s="23" t="str">
        <f t="shared" si="11"/>
        <v/>
      </c>
    </row>
    <row r="665" spans="1:1" ht="30" customHeight="1" x14ac:dyDescent="0.2">
      <c r="A665" s="23" t="str">
        <f t="shared" si="11"/>
        <v/>
      </c>
    </row>
    <row r="666" spans="1:1" ht="30" customHeight="1" x14ac:dyDescent="0.2">
      <c r="A666" s="23" t="str">
        <f t="shared" si="11"/>
        <v/>
      </c>
    </row>
    <row r="667" spans="1:1" ht="30" customHeight="1" x14ac:dyDescent="0.2">
      <c r="A667" s="23" t="str">
        <f t="shared" si="11"/>
        <v/>
      </c>
    </row>
    <row r="668" spans="1:1" ht="30" customHeight="1" x14ac:dyDescent="0.2">
      <c r="A668" s="23" t="str">
        <f t="shared" si="11"/>
        <v/>
      </c>
    </row>
    <row r="669" spans="1:1" ht="30" customHeight="1" x14ac:dyDescent="0.2">
      <c r="A669" s="23" t="str">
        <f t="shared" si="11"/>
        <v/>
      </c>
    </row>
    <row r="670" spans="1:1" ht="30" customHeight="1" x14ac:dyDescent="0.2">
      <c r="A670" s="23" t="str">
        <f t="shared" si="11"/>
        <v/>
      </c>
    </row>
    <row r="671" spans="1:1" ht="30" customHeight="1" x14ac:dyDescent="0.2">
      <c r="A671" s="23" t="str">
        <f t="shared" si="11"/>
        <v/>
      </c>
    </row>
    <row r="672" spans="1:1" ht="30" customHeight="1" x14ac:dyDescent="0.2">
      <c r="A672" s="23" t="str">
        <f t="shared" si="11"/>
        <v/>
      </c>
    </row>
    <row r="673" spans="1:1" ht="30" customHeight="1" x14ac:dyDescent="0.2">
      <c r="A673" s="23" t="str">
        <f t="shared" si="11"/>
        <v/>
      </c>
    </row>
    <row r="674" spans="1:1" ht="30" customHeight="1" x14ac:dyDescent="0.2">
      <c r="A674" s="23" t="str">
        <f t="shared" si="11"/>
        <v/>
      </c>
    </row>
    <row r="675" spans="1:1" ht="30" customHeight="1" x14ac:dyDescent="0.2">
      <c r="A675" s="23" t="str">
        <f t="shared" si="11"/>
        <v/>
      </c>
    </row>
    <row r="676" spans="1:1" ht="30" customHeight="1" x14ac:dyDescent="0.2">
      <c r="A676" s="23" t="str">
        <f t="shared" si="11"/>
        <v/>
      </c>
    </row>
    <row r="677" spans="1:1" ht="30" customHeight="1" x14ac:dyDescent="0.2">
      <c r="A677" s="23" t="str">
        <f t="shared" si="11"/>
        <v/>
      </c>
    </row>
    <row r="678" spans="1:1" ht="30" customHeight="1" x14ac:dyDescent="0.2">
      <c r="A678" s="23" t="str">
        <f t="shared" si="11"/>
        <v/>
      </c>
    </row>
    <row r="679" spans="1:1" ht="30" customHeight="1" x14ac:dyDescent="0.2">
      <c r="A679" s="23" t="str">
        <f t="shared" si="11"/>
        <v/>
      </c>
    </row>
    <row r="680" spans="1:1" ht="30" customHeight="1" x14ac:dyDescent="0.2">
      <c r="A680" s="23" t="str">
        <f t="shared" si="11"/>
        <v/>
      </c>
    </row>
    <row r="681" spans="1:1" ht="30" customHeight="1" x14ac:dyDescent="0.2">
      <c r="A681" s="23" t="str">
        <f t="shared" si="11"/>
        <v/>
      </c>
    </row>
    <row r="682" spans="1:1" ht="30" customHeight="1" x14ac:dyDescent="0.2">
      <c r="A682" s="23" t="str">
        <f t="shared" si="11"/>
        <v/>
      </c>
    </row>
    <row r="683" spans="1:1" ht="30" customHeight="1" x14ac:dyDescent="0.2">
      <c r="A683" s="23" t="str">
        <f t="shared" si="11"/>
        <v/>
      </c>
    </row>
    <row r="684" spans="1:1" ht="30" customHeight="1" x14ac:dyDescent="0.2">
      <c r="A684" s="23" t="str">
        <f t="shared" si="11"/>
        <v/>
      </c>
    </row>
    <row r="685" spans="1:1" ht="30" customHeight="1" x14ac:dyDescent="0.2">
      <c r="A685" s="23" t="str">
        <f t="shared" si="11"/>
        <v/>
      </c>
    </row>
    <row r="686" spans="1:1" ht="30" customHeight="1" x14ac:dyDescent="0.2">
      <c r="A686" s="23" t="str">
        <f t="shared" si="11"/>
        <v/>
      </c>
    </row>
    <row r="687" spans="1:1" ht="30" customHeight="1" x14ac:dyDescent="0.2">
      <c r="A687" s="23" t="str">
        <f t="shared" si="11"/>
        <v/>
      </c>
    </row>
    <row r="688" spans="1:1" ht="30" customHeight="1" x14ac:dyDescent="0.2">
      <c r="A688" s="23" t="str">
        <f t="shared" si="11"/>
        <v/>
      </c>
    </row>
    <row r="689" spans="1:1" ht="30" customHeight="1" x14ac:dyDescent="0.2">
      <c r="A689" s="23" t="str">
        <f t="shared" si="11"/>
        <v/>
      </c>
    </row>
    <row r="690" spans="1:1" ht="30" customHeight="1" x14ac:dyDescent="0.2">
      <c r="A690" s="23" t="str">
        <f t="shared" si="11"/>
        <v/>
      </c>
    </row>
    <row r="691" spans="1:1" ht="30" customHeight="1" x14ac:dyDescent="0.2">
      <c r="A691" s="23" t="str">
        <f t="shared" si="11"/>
        <v/>
      </c>
    </row>
    <row r="692" spans="1:1" ht="30" customHeight="1" x14ac:dyDescent="0.2">
      <c r="A692" s="23" t="str">
        <f t="shared" si="11"/>
        <v/>
      </c>
    </row>
    <row r="693" spans="1:1" ht="30" customHeight="1" x14ac:dyDescent="0.2">
      <c r="A693" s="23" t="str">
        <f t="shared" si="11"/>
        <v/>
      </c>
    </row>
    <row r="694" spans="1:1" ht="30" customHeight="1" x14ac:dyDescent="0.2">
      <c r="A694" s="23" t="str">
        <f t="shared" si="11"/>
        <v/>
      </c>
    </row>
    <row r="695" spans="1:1" ht="30" customHeight="1" x14ac:dyDescent="0.2">
      <c r="A695" s="23" t="str">
        <f t="shared" si="11"/>
        <v/>
      </c>
    </row>
    <row r="696" spans="1:1" ht="30" customHeight="1" x14ac:dyDescent="0.2">
      <c r="A696" s="23" t="str">
        <f t="shared" si="11"/>
        <v/>
      </c>
    </row>
    <row r="697" spans="1:1" ht="30" customHeight="1" x14ac:dyDescent="0.2">
      <c r="A697" s="23" t="str">
        <f t="shared" si="11"/>
        <v/>
      </c>
    </row>
    <row r="698" spans="1:1" ht="30" customHeight="1" x14ac:dyDescent="0.2">
      <c r="A698" s="23" t="str">
        <f t="shared" si="11"/>
        <v/>
      </c>
    </row>
    <row r="699" spans="1:1" ht="30" customHeight="1" x14ac:dyDescent="0.2">
      <c r="A699" s="23" t="str">
        <f t="shared" si="11"/>
        <v/>
      </c>
    </row>
    <row r="700" spans="1:1" ht="30" customHeight="1" x14ac:dyDescent="0.2">
      <c r="A700" s="23" t="str">
        <f t="shared" si="11"/>
        <v/>
      </c>
    </row>
    <row r="701" spans="1:1" ht="30" customHeight="1" x14ac:dyDescent="0.2">
      <c r="A701" s="23" t="str">
        <f t="shared" si="11"/>
        <v/>
      </c>
    </row>
    <row r="702" spans="1:1" ht="30" customHeight="1" x14ac:dyDescent="0.2">
      <c r="A702" s="23" t="str">
        <f t="shared" si="11"/>
        <v/>
      </c>
    </row>
    <row r="703" spans="1:1" ht="30" customHeight="1" x14ac:dyDescent="0.2">
      <c r="A703" s="23" t="str">
        <f t="shared" si="11"/>
        <v/>
      </c>
    </row>
    <row r="704" spans="1:1" ht="30" customHeight="1" x14ac:dyDescent="0.2">
      <c r="A704" s="23" t="str">
        <f t="shared" si="11"/>
        <v/>
      </c>
    </row>
    <row r="705" spans="1:1" ht="30" customHeight="1" x14ac:dyDescent="0.2">
      <c r="A705" s="23" t="str">
        <f t="shared" si="11"/>
        <v/>
      </c>
    </row>
    <row r="706" spans="1:1" ht="30" customHeight="1" x14ac:dyDescent="0.2">
      <c r="A706" s="23" t="str">
        <f t="shared" si="11"/>
        <v/>
      </c>
    </row>
    <row r="707" spans="1:1" ht="30" customHeight="1" x14ac:dyDescent="0.2">
      <c r="A707" s="23" t="str">
        <f t="shared" si="11"/>
        <v/>
      </c>
    </row>
    <row r="708" spans="1:1" ht="30" customHeight="1" x14ac:dyDescent="0.2">
      <c r="A708" s="23" t="str">
        <f t="shared" si="11"/>
        <v/>
      </c>
    </row>
    <row r="709" spans="1:1" ht="30" customHeight="1" x14ac:dyDescent="0.2">
      <c r="A709" s="23" t="str">
        <f t="shared" si="11"/>
        <v/>
      </c>
    </row>
    <row r="710" spans="1:1" ht="30" customHeight="1" x14ac:dyDescent="0.2">
      <c r="A710" s="23" t="str">
        <f t="shared" si="11"/>
        <v/>
      </c>
    </row>
    <row r="711" spans="1:1" ht="30" customHeight="1" x14ac:dyDescent="0.2">
      <c r="A711" s="23" t="str">
        <f t="shared" si="11"/>
        <v/>
      </c>
    </row>
    <row r="712" spans="1:1" ht="30" customHeight="1" x14ac:dyDescent="0.2">
      <c r="A712" s="23" t="str">
        <f t="shared" si="11"/>
        <v/>
      </c>
    </row>
    <row r="713" spans="1:1" ht="30" customHeight="1" x14ac:dyDescent="0.2">
      <c r="A713" s="23" t="str">
        <f t="shared" si="11"/>
        <v/>
      </c>
    </row>
    <row r="714" spans="1:1" ht="30" customHeight="1" x14ac:dyDescent="0.2">
      <c r="A714" s="23" t="str">
        <f t="shared" si="11"/>
        <v/>
      </c>
    </row>
    <row r="715" spans="1:1" ht="30" customHeight="1" x14ac:dyDescent="0.2">
      <c r="A715" s="23" t="str">
        <f t="shared" si="11"/>
        <v/>
      </c>
    </row>
    <row r="716" spans="1:1" ht="30" customHeight="1" x14ac:dyDescent="0.2">
      <c r="A716" s="23" t="str">
        <f t="shared" si="11"/>
        <v/>
      </c>
    </row>
    <row r="717" spans="1:1" ht="30" customHeight="1" x14ac:dyDescent="0.2">
      <c r="A717" s="23" t="str">
        <f t="shared" si="11"/>
        <v/>
      </c>
    </row>
    <row r="718" spans="1:1" ht="30" customHeight="1" x14ac:dyDescent="0.2">
      <c r="A718" s="23" t="str">
        <f t="shared" si="11"/>
        <v/>
      </c>
    </row>
    <row r="719" spans="1:1" ht="30" customHeight="1" x14ac:dyDescent="0.2">
      <c r="A719" s="23" t="str">
        <f t="shared" si="11"/>
        <v/>
      </c>
    </row>
    <row r="720" spans="1:1" ht="30" customHeight="1" x14ac:dyDescent="0.2">
      <c r="A720" s="23" t="str">
        <f t="shared" si="11"/>
        <v/>
      </c>
    </row>
    <row r="721" spans="1:1" ht="30" customHeight="1" x14ac:dyDescent="0.2">
      <c r="A721" s="23" t="str">
        <f t="shared" si="11"/>
        <v/>
      </c>
    </row>
    <row r="722" spans="1:1" ht="30" customHeight="1" x14ac:dyDescent="0.2">
      <c r="A722" s="23" t="str">
        <f t="shared" ref="A722:A785" si="12">IF(AND(B721&lt;&gt;"",B722=""),"Select Audit Point---&gt;","")</f>
        <v/>
      </c>
    </row>
    <row r="723" spans="1:1" ht="30" customHeight="1" x14ac:dyDescent="0.2">
      <c r="A723" s="23" t="str">
        <f t="shared" si="12"/>
        <v/>
      </c>
    </row>
    <row r="724" spans="1:1" ht="30" customHeight="1" x14ac:dyDescent="0.2">
      <c r="A724" s="23" t="str">
        <f t="shared" si="12"/>
        <v/>
      </c>
    </row>
    <row r="725" spans="1:1" ht="30" customHeight="1" x14ac:dyDescent="0.2">
      <c r="A725" s="23" t="str">
        <f t="shared" si="12"/>
        <v/>
      </c>
    </row>
    <row r="726" spans="1:1" ht="30" customHeight="1" x14ac:dyDescent="0.2">
      <c r="A726" s="23" t="str">
        <f t="shared" si="12"/>
        <v/>
      </c>
    </row>
    <row r="727" spans="1:1" ht="30" customHeight="1" x14ac:dyDescent="0.2">
      <c r="A727" s="23" t="str">
        <f t="shared" si="12"/>
        <v/>
      </c>
    </row>
    <row r="728" spans="1:1" ht="30" customHeight="1" x14ac:dyDescent="0.2">
      <c r="A728" s="23" t="str">
        <f t="shared" si="12"/>
        <v/>
      </c>
    </row>
    <row r="729" spans="1:1" ht="30" customHeight="1" x14ac:dyDescent="0.2">
      <c r="A729" s="23" t="str">
        <f t="shared" si="12"/>
        <v/>
      </c>
    </row>
    <row r="730" spans="1:1" ht="30" customHeight="1" x14ac:dyDescent="0.2">
      <c r="A730" s="23" t="str">
        <f t="shared" si="12"/>
        <v/>
      </c>
    </row>
    <row r="731" spans="1:1" ht="30" customHeight="1" x14ac:dyDescent="0.2">
      <c r="A731" s="23" t="str">
        <f t="shared" si="12"/>
        <v/>
      </c>
    </row>
    <row r="732" spans="1:1" ht="30" customHeight="1" x14ac:dyDescent="0.2">
      <c r="A732" s="23" t="str">
        <f t="shared" si="12"/>
        <v/>
      </c>
    </row>
    <row r="733" spans="1:1" ht="30" customHeight="1" x14ac:dyDescent="0.2">
      <c r="A733" s="23" t="str">
        <f t="shared" si="12"/>
        <v/>
      </c>
    </row>
    <row r="734" spans="1:1" ht="30" customHeight="1" x14ac:dyDescent="0.2">
      <c r="A734" s="23" t="str">
        <f t="shared" si="12"/>
        <v/>
      </c>
    </row>
    <row r="735" spans="1:1" ht="30" customHeight="1" x14ac:dyDescent="0.2">
      <c r="A735" s="23" t="str">
        <f t="shared" si="12"/>
        <v/>
      </c>
    </row>
    <row r="736" spans="1:1" ht="30" customHeight="1" x14ac:dyDescent="0.2">
      <c r="A736" s="23" t="str">
        <f t="shared" si="12"/>
        <v/>
      </c>
    </row>
    <row r="737" spans="1:1" ht="30" customHeight="1" x14ac:dyDescent="0.2">
      <c r="A737" s="23" t="str">
        <f t="shared" si="12"/>
        <v/>
      </c>
    </row>
    <row r="738" spans="1:1" ht="30" customHeight="1" x14ac:dyDescent="0.2">
      <c r="A738" s="23" t="str">
        <f t="shared" si="12"/>
        <v/>
      </c>
    </row>
    <row r="739" spans="1:1" ht="30" customHeight="1" x14ac:dyDescent="0.2">
      <c r="A739" s="23" t="str">
        <f t="shared" si="12"/>
        <v/>
      </c>
    </row>
    <row r="740" spans="1:1" ht="30" customHeight="1" x14ac:dyDescent="0.2">
      <c r="A740" s="23" t="str">
        <f t="shared" si="12"/>
        <v/>
      </c>
    </row>
    <row r="741" spans="1:1" ht="30" customHeight="1" x14ac:dyDescent="0.2">
      <c r="A741" s="23" t="str">
        <f t="shared" si="12"/>
        <v/>
      </c>
    </row>
    <row r="742" spans="1:1" ht="30" customHeight="1" x14ac:dyDescent="0.2">
      <c r="A742" s="23" t="str">
        <f t="shared" si="12"/>
        <v/>
      </c>
    </row>
    <row r="743" spans="1:1" ht="30" customHeight="1" x14ac:dyDescent="0.2">
      <c r="A743" s="23" t="str">
        <f t="shared" si="12"/>
        <v/>
      </c>
    </row>
    <row r="744" spans="1:1" ht="30" customHeight="1" x14ac:dyDescent="0.2">
      <c r="A744" s="23" t="str">
        <f t="shared" si="12"/>
        <v/>
      </c>
    </row>
    <row r="745" spans="1:1" ht="30" customHeight="1" x14ac:dyDescent="0.2">
      <c r="A745" s="23" t="str">
        <f t="shared" si="12"/>
        <v/>
      </c>
    </row>
    <row r="746" spans="1:1" ht="30" customHeight="1" x14ac:dyDescent="0.2">
      <c r="A746" s="23" t="str">
        <f t="shared" si="12"/>
        <v/>
      </c>
    </row>
    <row r="747" spans="1:1" ht="30" customHeight="1" x14ac:dyDescent="0.2">
      <c r="A747" s="23" t="str">
        <f t="shared" si="12"/>
        <v/>
      </c>
    </row>
    <row r="748" spans="1:1" ht="30" customHeight="1" x14ac:dyDescent="0.2">
      <c r="A748" s="23" t="str">
        <f t="shared" si="12"/>
        <v/>
      </c>
    </row>
    <row r="749" spans="1:1" ht="30" customHeight="1" x14ac:dyDescent="0.2">
      <c r="A749" s="23" t="str">
        <f t="shared" si="12"/>
        <v/>
      </c>
    </row>
    <row r="750" spans="1:1" ht="30" customHeight="1" x14ac:dyDescent="0.2">
      <c r="A750" s="23" t="str">
        <f t="shared" si="12"/>
        <v/>
      </c>
    </row>
    <row r="751" spans="1:1" ht="30" customHeight="1" x14ac:dyDescent="0.2">
      <c r="A751" s="23" t="str">
        <f t="shared" si="12"/>
        <v/>
      </c>
    </row>
    <row r="752" spans="1:1" ht="30" customHeight="1" x14ac:dyDescent="0.2">
      <c r="A752" s="23" t="str">
        <f t="shared" si="12"/>
        <v/>
      </c>
    </row>
    <row r="753" spans="1:1" ht="30" customHeight="1" x14ac:dyDescent="0.2">
      <c r="A753" s="23" t="str">
        <f t="shared" si="12"/>
        <v/>
      </c>
    </row>
    <row r="754" spans="1:1" ht="30" customHeight="1" x14ac:dyDescent="0.2">
      <c r="A754" s="23" t="str">
        <f t="shared" si="12"/>
        <v/>
      </c>
    </row>
    <row r="755" spans="1:1" ht="30" customHeight="1" x14ac:dyDescent="0.2">
      <c r="A755" s="23" t="str">
        <f t="shared" si="12"/>
        <v/>
      </c>
    </row>
    <row r="756" spans="1:1" ht="30" customHeight="1" x14ac:dyDescent="0.2">
      <c r="A756" s="23" t="str">
        <f t="shared" si="12"/>
        <v/>
      </c>
    </row>
    <row r="757" spans="1:1" ht="30" customHeight="1" x14ac:dyDescent="0.2">
      <c r="A757" s="23" t="str">
        <f t="shared" si="12"/>
        <v/>
      </c>
    </row>
    <row r="758" spans="1:1" ht="30" customHeight="1" x14ac:dyDescent="0.2">
      <c r="A758" s="23" t="str">
        <f t="shared" si="12"/>
        <v/>
      </c>
    </row>
    <row r="759" spans="1:1" ht="30" customHeight="1" x14ac:dyDescent="0.2">
      <c r="A759" s="23" t="str">
        <f t="shared" si="12"/>
        <v/>
      </c>
    </row>
    <row r="760" spans="1:1" ht="30" customHeight="1" x14ac:dyDescent="0.2">
      <c r="A760" s="23" t="str">
        <f t="shared" si="12"/>
        <v/>
      </c>
    </row>
    <row r="761" spans="1:1" ht="30" customHeight="1" x14ac:dyDescent="0.2">
      <c r="A761" s="23" t="str">
        <f t="shared" si="12"/>
        <v/>
      </c>
    </row>
    <row r="762" spans="1:1" ht="30" customHeight="1" x14ac:dyDescent="0.2">
      <c r="A762" s="23" t="str">
        <f t="shared" si="12"/>
        <v/>
      </c>
    </row>
    <row r="763" spans="1:1" ht="30" customHeight="1" x14ac:dyDescent="0.2">
      <c r="A763" s="23" t="str">
        <f t="shared" si="12"/>
        <v/>
      </c>
    </row>
    <row r="764" spans="1:1" ht="30" customHeight="1" x14ac:dyDescent="0.2">
      <c r="A764" s="23" t="str">
        <f t="shared" si="12"/>
        <v/>
      </c>
    </row>
    <row r="765" spans="1:1" ht="30" customHeight="1" x14ac:dyDescent="0.2">
      <c r="A765" s="23" t="str">
        <f t="shared" si="12"/>
        <v/>
      </c>
    </row>
    <row r="766" spans="1:1" ht="30" customHeight="1" x14ac:dyDescent="0.2">
      <c r="A766" s="23" t="str">
        <f t="shared" si="12"/>
        <v/>
      </c>
    </row>
    <row r="767" spans="1:1" ht="30" customHeight="1" x14ac:dyDescent="0.2">
      <c r="A767" s="23" t="str">
        <f t="shared" si="12"/>
        <v/>
      </c>
    </row>
    <row r="768" spans="1:1" ht="30" customHeight="1" x14ac:dyDescent="0.2">
      <c r="A768" s="23" t="str">
        <f t="shared" si="12"/>
        <v/>
      </c>
    </row>
    <row r="769" spans="1:1" ht="30" customHeight="1" x14ac:dyDescent="0.2">
      <c r="A769" s="23" t="str">
        <f t="shared" si="12"/>
        <v/>
      </c>
    </row>
    <row r="770" spans="1:1" ht="30" customHeight="1" x14ac:dyDescent="0.2">
      <c r="A770" s="23" t="str">
        <f t="shared" si="12"/>
        <v/>
      </c>
    </row>
    <row r="771" spans="1:1" ht="30" customHeight="1" x14ac:dyDescent="0.2">
      <c r="A771" s="23" t="str">
        <f t="shared" si="12"/>
        <v/>
      </c>
    </row>
    <row r="772" spans="1:1" ht="30" customHeight="1" x14ac:dyDescent="0.2">
      <c r="A772" s="23" t="str">
        <f t="shared" si="12"/>
        <v/>
      </c>
    </row>
    <row r="773" spans="1:1" ht="30" customHeight="1" x14ac:dyDescent="0.2">
      <c r="A773" s="23" t="str">
        <f t="shared" si="12"/>
        <v/>
      </c>
    </row>
    <row r="774" spans="1:1" ht="30" customHeight="1" x14ac:dyDescent="0.2">
      <c r="A774" s="23" t="str">
        <f t="shared" si="12"/>
        <v/>
      </c>
    </row>
    <row r="775" spans="1:1" ht="30" customHeight="1" x14ac:dyDescent="0.2">
      <c r="A775" s="23" t="str">
        <f t="shared" si="12"/>
        <v/>
      </c>
    </row>
    <row r="776" spans="1:1" ht="30" customHeight="1" x14ac:dyDescent="0.2">
      <c r="A776" s="23" t="str">
        <f t="shared" si="12"/>
        <v/>
      </c>
    </row>
    <row r="777" spans="1:1" ht="30" customHeight="1" x14ac:dyDescent="0.2">
      <c r="A777" s="23" t="str">
        <f t="shared" si="12"/>
        <v/>
      </c>
    </row>
    <row r="778" spans="1:1" ht="30" customHeight="1" x14ac:dyDescent="0.2">
      <c r="A778" s="23" t="str">
        <f t="shared" si="12"/>
        <v/>
      </c>
    </row>
    <row r="779" spans="1:1" ht="30" customHeight="1" x14ac:dyDescent="0.2">
      <c r="A779" s="23" t="str">
        <f t="shared" si="12"/>
        <v/>
      </c>
    </row>
    <row r="780" spans="1:1" ht="30" customHeight="1" x14ac:dyDescent="0.2">
      <c r="A780" s="23" t="str">
        <f t="shared" si="12"/>
        <v/>
      </c>
    </row>
    <row r="781" spans="1:1" ht="30" customHeight="1" x14ac:dyDescent="0.2">
      <c r="A781" s="23" t="str">
        <f t="shared" si="12"/>
        <v/>
      </c>
    </row>
    <row r="782" spans="1:1" ht="30" customHeight="1" x14ac:dyDescent="0.2">
      <c r="A782" s="23" t="str">
        <f t="shared" si="12"/>
        <v/>
      </c>
    </row>
    <row r="783" spans="1:1" ht="30" customHeight="1" x14ac:dyDescent="0.2">
      <c r="A783" s="23" t="str">
        <f t="shared" si="12"/>
        <v/>
      </c>
    </row>
    <row r="784" spans="1:1" ht="30" customHeight="1" x14ac:dyDescent="0.2">
      <c r="A784" s="23" t="str">
        <f t="shared" si="12"/>
        <v/>
      </c>
    </row>
    <row r="785" spans="1:1" ht="30" customHeight="1" x14ac:dyDescent="0.2">
      <c r="A785" s="23" t="str">
        <f t="shared" si="12"/>
        <v/>
      </c>
    </row>
    <row r="786" spans="1:1" ht="30" customHeight="1" x14ac:dyDescent="0.2">
      <c r="A786" s="23" t="str">
        <f t="shared" ref="A786:A849" si="13">IF(AND(B785&lt;&gt;"",B786=""),"Select Audit Point---&gt;","")</f>
        <v/>
      </c>
    </row>
    <row r="787" spans="1:1" ht="30" customHeight="1" x14ac:dyDescent="0.2">
      <c r="A787" s="23" t="str">
        <f t="shared" si="13"/>
        <v/>
      </c>
    </row>
    <row r="788" spans="1:1" ht="30" customHeight="1" x14ac:dyDescent="0.2">
      <c r="A788" s="23" t="str">
        <f t="shared" si="13"/>
        <v/>
      </c>
    </row>
    <row r="789" spans="1:1" ht="30" customHeight="1" x14ac:dyDescent="0.2">
      <c r="A789" s="23" t="str">
        <f t="shared" si="13"/>
        <v/>
      </c>
    </row>
    <row r="790" spans="1:1" ht="30" customHeight="1" x14ac:dyDescent="0.2">
      <c r="A790" s="23" t="str">
        <f t="shared" si="13"/>
        <v/>
      </c>
    </row>
    <row r="791" spans="1:1" ht="30" customHeight="1" x14ac:dyDescent="0.2">
      <c r="A791" s="23" t="str">
        <f t="shared" si="13"/>
        <v/>
      </c>
    </row>
    <row r="792" spans="1:1" ht="30" customHeight="1" x14ac:dyDescent="0.2">
      <c r="A792" s="23" t="str">
        <f t="shared" si="13"/>
        <v/>
      </c>
    </row>
    <row r="793" spans="1:1" ht="30" customHeight="1" x14ac:dyDescent="0.2">
      <c r="A793" s="23" t="str">
        <f t="shared" si="13"/>
        <v/>
      </c>
    </row>
    <row r="794" spans="1:1" ht="30" customHeight="1" x14ac:dyDescent="0.2">
      <c r="A794" s="23" t="str">
        <f t="shared" si="13"/>
        <v/>
      </c>
    </row>
    <row r="795" spans="1:1" ht="30" customHeight="1" x14ac:dyDescent="0.2">
      <c r="A795" s="23" t="str">
        <f t="shared" si="13"/>
        <v/>
      </c>
    </row>
    <row r="796" spans="1:1" ht="30" customHeight="1" x14ac:dyDescent="0.2">
      <c r="A796" s="23" t="str">
        <f t="shared" si="13"/>
        <v/>
      </c>
    </row>
    <row r="797" spans="1:1" ht="30" customHeight="1" x14ac:dyDescent="0.2">
      <c r="A797" s="23" t="str">
        <f t="shared" si="13"/>
        <v/>
      </c>
    </row>
    <row r="798" spans="1:1" ht="30" customHeight="1" x14ac:dyDescent="0.2">
      <c r="A798" s="23" t="str">
        <f t="shared" si="13"/>
        <v/>
      </c>
    </row>
    <row r="799" spans="1:1" ht="30" customHeight="1" x14ac:dyDescent="0.2">
      <c r="A799" s="23" t="str">
        <f t="shared" si="13"/>
        <v/>
      </c>
    </row>
    <row r="800" spans="1:1" ht="30" customHeight="1" x14ac:dyDescent="0.2">
      <c r="A800" s="23" t="str">
        <f t="shared" si="13"/>
        <v/>
      </c>
    </row>
    <row r="801" spans="1:1" ht="30" customHeight="1" x14ac:dyDescent="0.2">
      <c r="A801" s="23" t="str">
        <f t="shared" si="13"/>
        <v/>
      </c>
    </row>
    <row r="802" spans="1:1" ht="30" customHeight="1" x14ac:dyDescent="0.2">
      <c r="A802" s="23" t="str">
        <f t="shared" si="13"/>
        <v/>
      </c>
    </row>
    <row r="803" spans="1:1" ht="30" customHeight="1" x14ac:dyDescent="0.2">
      <c r="A803" s="23" t="str">
        <f t="shared" si="13"/>
        <v/>
      </c>
    </row>
    <row r="804" spans="1:1" ht="30" customHeight="1" x14ac:dyDescent="0.2">
      <c r="A804" s="23" t="str">
        <f t="shared" si="13"/>
        <v/>
      </c>
    </row>
    <row r="805" spans="1:1" ht="30" customHeight="1" x14ac:dyDescent="0.2">
      <c r="A805" s="23" t="str">
        <f t="shared" si="13"/>
        <v/>
      </c>
    </row>
    <row r="806" spans="1:1" ht="30" customHeight="1" x14ac:dyDescent="0.2">
      <c r="A806" s="23" t="str">
        <f t="shared" si="13"/>
        <v/>
      </c>
    </row>
    <row r="807" spans="1:1" ht="30" customHeight="1" x14ac:dyDescent="0.2">
      <c r="A807" s="23" t="str">
        <f t="shared" si="13"/>
        <v/>
      </c>
    </row>
    <row r="808" spans="1:1" ht="30" customHeight="1" x14ac:dyDescent="0.2">
      <c r="A808" s="23" t="str">
        <f t="shared" si="13"/>
        <v/>
      </c>
    </row>
    <row r="809" spans="1:1" ht="30" customHeight="1" x14ac:dyDescent="0.2">
      <c r="A809" s="23" t="str">
        <f t="shared" si="13"/>
        <v/>
      </c>
    </row>
    <row r="810" spans="1:1" ht="30" customHeight="1" x14ac:dyDescent="0.2">
      <c r="A810" s="23" t="str">
        <f t="shared" si="13"/>
        <v/>
      </c>
    </row>
    <row r="811" spans="1:1" ht="30" customHeight="1" x14ac:dyDescent="0.2">
      <c r="A811" s="23" t="str">
        <f t="shared" si="13"/>
        <v/>
      </c>
    </row>
    <row r="812" spans="1:1" ht="30" customHeight="1" x14ac:dyDescent="0.2">
      <c r="A812" s="23" t="str">
        <f t="shared" si="13"/>
        <v/>
      </c>
    </row>
    <row r="813" spans="1:1" ht="30" customHeight="1" x14ac:dyDescent="0.2">
      <c r="A813" s="23" t="str">
        <f t="shared" si="13"/>
        <v/>
      </c>
    </row>
    <row r="814" spans="1:1" ht="30" customHeight="1" x14ac:dyDescent="0.2">
      <c r="A814" s="23" t="str">
        <f t="shared" si="13"/>
        <v/>
      </c>
    </row>
    <row r="815" spans="1:1" ht="30" customHeight="1" x14ac:dyDescent="0.2">
      <c r="A815" s="23" t="str">
        <f t="shared" si="13"/>
        <v/>
      </c>
    </row>
    <row r="816" spans="1:1" ht="30" customHeight="1" x14ac:dyDescent="0.2">
      <c r="A816" s="23" t="str">
        <f t="shared" si="13"/>
        <v/>
      </c>
    </row>
    <row r="817" spans="1:1" ht="30" customHeight="1" x14ac:dyDescent="0.2">
      <c r="A817" s="23" t="str">
        <f t="shared" si="13"/>
        <v/>
      </c>
    </row>
    <row r="818" spans="1:1" ht="30" customHeight="1" x14ac:dyDescent="0.2">
      <c r="A818" s="23" t="str">
        <f t="shared" si="13"/>
        <v/>
      </c>
    </row>
    <row r="819" spans="1:1" ht="30" customHeight="1" x14ac:dyDescent="0.2">
      <c r="A819" s="23" t="str">
        <f t="shared" si="13"/>
        <v/>
      </c>
    </row>
    <row r="820" spans="1:1" ht="30" customHeight="1" x14ac:dyDescent="0.2">
      <c r="A820" s="23" t="str">
        <f t="shared" si="13"/>
        <v/>
      </c>
    </row>
    <row r="821" spans="1:1" ht="30" customHeight="1" x14ac:dyDescent="0.2">
      <c r="A821" s="23" t="str">
        <f t="shared" si="13"/>
        <v/>
      </c>
    </row>
    <row r="822" spans="1:1" ht="30" customHeight="1" x14ac:dyDescent="0.2">
      <c r="A822" s="23" t="str">
        <f t="shared" si="13"/>
        <v/>
      </c>
    </row>
    <row r="823" spans="1:1" ht="30" customHeight="1" x14ac:dyDescent="0.2">
      <c r="A823" s="23" t="str">
        <f t="shared" si="13"/>
        <v/>
      </c>
    </row>
    <row r="824" spans="1:1" ht="30" customHeight="1" x14ac:dyDescent="0.2">
      <c r="A824" s="23" t="str">
        <f t="shared" si="13"/>
        <v/>
      </c>
    </row>
    <row r="825" spans="1:1" ht="30" customHeight="1" x14ac:dyDescent="0.2">
      <c r="A825" s="23" t="str">
        <f t="shared" si="13"/>
        <v/>
      </c>
    </row>
    <row r="826" spans="1:1" ht="30" customHeight="1" x14ac:dyDescent="0.2">
      <c r="A826" s="23" t="str">
        <f t="shared" si="13"/>
        <v/>
      </c>
    </row>
    <row r="827" spans="1:1" ht="30" customHeight="1" x14ac:dyDescent="0.2">
      <c r="A827" s="23" t="str">
        <f t="shared" si="13"/>
        <v/>
      </c>
    </row>
    <row r="828" spans="1:1" ht="30" customHeight="1" x14ac:dyDescent="0.2">
      <c r="A828" s="23" t="str">
        <f t="shared" si="13"/>
        <v/>
      </c>
    </row>
    <row r="829" spans="1:1" ht="30" customHeight="1" x14ac:dyDescent="0.2">
      <c r="A829" s="23" t="str">
        <f t="shared" si="13"/>
        <v/>
      </c>
    </row>
    <row r="830" spans="1:1" ht="30" customHeight="1" x14ac:dyDescent="0.2">
      <c r="A830" s="23" t="str">
        <f t="shared" si="13"/>
        <v/>
      </c>
    </row>
    <row r="831" spans="1:1" ht="30" customHeight="1" x14ac:dyDescent="0.2">
      <c r="A831" s="23" t="str">
        <f t="shared" si="13"/>
        <v/>
      </c>
    </row>
    <row r="832" spans="1:1" ht="30" customHeight="1" x14ac:dyDescent="0.2">
      <c r="A832" s="23" t="str">
        <f t="shared" si="13"/>
        <v/>
      </c>
    </row>
    <row r="833" spans="1:1" ht="30" customHeight="1" x14ac:dyDescent="0.2">
      <c r="A833" s="23" t="str">
        <f t="shared" si="13"/>
        <v/>
      </c>
    </row>
    <row r="834" spans="1:1" ht="30" customHeight="1" x14ac:dyDescent="0.2">
      <c r="A834" s="23" t="str">
        <f t="shared" si="13"/>
        <v/>
      </c>
    </row>
    <row r="835" spans="1:1" ht="30" customHeight="1" x14ac:dyDescent="0.2">
      <c r="A835" s="23" t="str">
        <f t="shared" si="13"/>
        <v/>
      </c>
    </row>
    <row r="836" spans="1:1" ht="30" customHeight="1" x14ac:dyDescent="0.2">
      <c r="A836" s="23" t="str">
        <f t="shared" si="13"/>
        <v/>
      </c>
    </row>
    <row r="837" spans="1:1" ht="30" customHeight="1" x14ac:dyDescent="0.2">
      <c r="A837" s="23" t="str">
        <f t="shared" si="13"/>
        <v/>
      </c>
    </row>
    <row r="838" spans="1:1" ht="30" customHeight="1" x14ac:dyDescent="0.2">
      <c r="A838" s="23" t="str">
        <f t="shared" si="13"/>
        <v/>
      </c>
    </row>
    <row r="839" spans="1:1" ht="30" customHeight="1" x14ac:dyDescent="0.2">
      <c r="A839" s="23" t="str">
        <f t="shared" si="13"/>
        <v/>
      </c>
    </row>
    <row r="840" spans="1:1" ht="30" customHeight="1" x14ac:dyDescent="0.2">
      <c r="A840" s="23" t="str">
        <f t="shared" si="13"/>
        <v/>
      </c>
    </row>
    <row r="841" spans="1:1" ht="30" customHeight="1" x14ac:dyDescent="0.2">
      <c r="A841" s="23" t="str">
        <f t="shared" si="13"/>
        <v/>
      </c>
    </row>
    <row r="842" spans="1:1" ht="30" customHeight="1" x14ac:dyDescent="0.2">
      <c r="A842" s="23" t="str">
        <f t="shared" si="13"/>
        <v/>
      </c>
    </row>
    <row r="843" spans="1:1" ht="30" customHeight="1" x14ac:dyDescent="0.2">
      <c r="A843" s="23" t="str">
        <f t="shared" si="13"/>
        <v/>
      </c>
    </row>
    <row r="844" spans="1:1" ht="30" customHeight="1" x14ac:dyDescent="0.2">
      <c r="A844" s="23" t="str">
        <f t="shared" si="13"/>
        <v/>
      </c>
    </row>
    <row r="845" spans="1:1" ht="30" customHeight="1" x14ac:dyDescent="0.2">
      <c r="A845" s="23" t="str">
        <f t="shared" si="13"/>
        <v/>
      </c>
    </row>
    <row r="846" spans="1:1" ht="30" customHeight="1" x14ac:dyDescent="0.2">
      <c r="A846" s="23" t="str">
        <f t="shared" si="13"/>
        <v/>
      </c>
    </row>
    <row r="847" spans="1:1" ht="30" customHeight="1" x14ac:dyDescent="0.2">
      <c r="A847" s="23" t="str">
        <f t="shared" si="13"/>
        <v/>
      </c>
    </row>
    <row r="848" spans="1:1" ht="30" customHeight="1" x14ac:dyDescent="0.2">
      <c r="A848" s="23" t="str">
        <f t="shared" si="13"/>
        <v/>
      </c>
    </row>
    <row r="849" spans="1:1" ht="30" customHeight="1" x14ac:dyDescent="0.2">
      <c r="A849" s="23" t="str">
        <f t="shared" si="13"/>
        <v/>
      </c>
    </row>
    <row r="850" spans="1:1" ht="30" customHeight="1" x14ac:dyDescent="0.2">
      <c r="A850" s="23" t="str">
        <f t="shared" ref="A850:A913" si="14">IF(AND(B849&lt;&gt;"",B850=""),"Select Audit Point---&gt;","")</f>
        <v/>
      </c>
    </row>
    <row r="851" spans="1:1" ht="30" customHeight="1" x14ac:dyDescent="0.2">
      <c r="A851" s="23" t="str">
        <f t="shared" si="14"/>
        <v/>
      </c>
    </row>
    <row r="852" spans="1:1" ht="30" customHeight="1" x14ac:dyDescent="0.2">
      <c r="A852" s="23" t="str">
        <f t="shared" si="14"/>
        <v/>
      </c>
    </row>
    <row r="853" spans="1:1" ht="30" customHeight="1" x14ac:dyDescent="0.2">
      <c r="A853" s="23" t="str">
        <f t="shared" si="14"/>
        <v/>
      </c>
    </row>
    <row r="854" spans="1:1" ht="30" customHeight="1" x14ac:dyDescent="0.2">
      <c r="A854" s="23" t="str">
        <f t="shared" si="14"/>
        <v/>
      </c>
    </row>
    <row r="855" spans="1:1" ht="30" customHeight="1" x14ac:dyDescent="0.2">
      <c r="A855" s="23" t="str">
        <f t="shared" si="14"/>
        <v/>
      </c>
    </row>
    <row r="856" spans="1:1" ht="30" customHeight="1" x14ac:dyDescent="0.2">
      <c r="A856" s="23" t="str">
        <f t="shared" si="14"/>
        <v/>
      </c>
    </row>
    <row r="857" spans="1:1" ht="30" customHeight="1" x14ac:dyDescent="0.2">
      <c r="A857" s="23" t="str">
        <f t="shared" si="14"/>
        <v/>
      </c>
    </row>
    <row r="858" spans="1:1" ht="30" customHeight="1" x14ac:dyDescent="0.2">
      <c r="A858" s="23" t="str">
        <f t="shared" si="14"/>
        <v/>
      </c>
    </row>
    <row r="859" spans="1:1" ht="30" customHeight="1" x14ac:dyDescent="0.2">
      <c r="A859" s="23" t="str">
        <f t="shared" si="14"/>
        <v/>
      </c>
    </row>
    <row r="860" spans="1:1" ht="30" customHeight="1" x14ac:dyDescent="0.2">
      <c r="A860" s="23" t="str">
        <f t="shared" si="14"/>
        <v/>
      </c>
    </row>
    <row r="861" spans="1:1" ht="30" customHeight="1" x14ac:dyDescent="0.2">
      <c r="A861" s="23" t="str">
        <f t="shared" si="14"/>
        <v/>
      </c>
    </row>
    <row r="862" spans="1:1" ht="30" customHeight="1" x14ac:dyDescent="0.2">
      <c r="A862" s="23" t="str">
        <f t="shared" si="14"/>
        <v/>
      </c>
    </row>
    <row r="863" spans="1:1" ht="30" customHeight="1" x14ac:dyDescent="0.2">
      <c r="A863" s="23" t="str">
        <f t="shared" si="14"/>
        <v/>
      </c>
    </row>
    <row r="864" spans="1:1" ht="30" customHeight="1" x14ac:dyDescent="0.2">
      <c r="A864" s="23" t="str">
        <f t="shared" si="14"/>
        <v/>
      </c>
    </row>
    <row r="865" spans="1:1" ht="30" customHeight="1" x14ac:dyDescent="0.2">
      <c r="A865" s="23" t="str">
        <f t="shared" si="14"/>
        <v/>
      </c>
    </row>
    <row r="866" spans="1:1" ht="30" customHeight="1" x14ac:dyDescent="0.2">
      <c r="A866" s="23" t="str">
        <f t="shared" si="14"/>
        <v/>
      </c>
    </row>
    <row r="867" spans="1:1" ht="30" customHeight="1" x14ac:dyDescent="0.2">
      <c r="A867" s="23" t="str">
        <f t="shared" si="14"/>
        <v/>
      </c>
    </row>
    <row r="868" spans="1:1" ht="30" customHeight="1" x14ac:dyDescent="0.2">
      <c r="A868" s="23" t="str">
        <f t="shared" si="14"/>
        <v/>
      </c>
    </row>
    <row r="869" spans="1:1" ht="30" customHeight="1" x14ac:dyDescent="0.2">
      <c r="A869" s="23" t="str">
        <f t="shared" si="14"/>
        <v/>
      </c>
    </row>
    <row r="870" spans="1:1" ht="30" customHeight="1" x14ac:dyDescent="0.2">
      <c r="A870" s="23" t="str">
        <f t="shared" si="14"/>
        <v/>
      </c>
    </row>
    <row r="871" spans="1:1" ht="30" customHeight="1" x14ac:dyDescent="0.2">
      <c r="A871" s="23" t="str">
        <f t="shared" si="14"/>
        <v/>
      </c>
    </row>
    <row r="872" spans="1:1" ht="30" customHeight="1" x14ac:dyDescent="0.2">
      <c r="A872" s="23" t="str">
        <f t="shared" si="14"/>
        <v/>
      </c>
    </row>
    <row r="873" spans="1:1" ht="30" customHeight="1" x14ac:dyDescent="0.2">
      <c r="A873" s="23" t="str">
        <f t="shared" si="14"/>
        <v/>
      </c>
    </row>
    <row r="874" spans="1:1" ht="30" customHeight="1" x14ac:dyDescent="0.2">
      <c r="A874" s="23" t="str">
        <f t="shared" si="14"/>
        <v/>
      </c>
    </row>
    <row r="875" spans="1:1" ht="30" customHeight="1" x14ac:dyDescent="0.2">
      <c r="A875" s="23" t="str">
        <f t="shared" si="14"/>
        <v/>
      </c>
    </row>
    <row r="876" spans="1:1" ht="30" customHeight="1" x14ac:dyDescent="0.2">
      <c r="A876" s="23" t="str">
        <f t="shared" si="14"/>
        <v/>
      </c>
    </row>
    <row r="877" spans="1:1" ht="30" customHeight="1" x14ac:dyDescent="0.2">
      <c r="A877" s="23" t="str">
        <f t="shared" si="14"/>
        <v/>
      </c>
    </row>
    <row r="878" spans="1:1" ht="30" customHeight="1" x14ac:dyDescent="0.2">
      <c r="A878" s="23" t="str">
        <f t="shared" si="14"/>
        <v/>
      </c>
    </row>
    <row r="879" spans="1:1" ht="30" customHeight="1" x14ac:dyDescent="0.2">
      <c r="A879" s="23" t="str">
        <f t="shared" si="14"/>
        <v/>
      </c>
    </row>
    <row r="880" spans="1:1" ht="30" customHeight="1" x14ac:dyDescent="0.2">
      <c r="A880" s="23" t="str">
        <f t="shared" si="14"/>
        <v/>
      </c>
    </row>
    <row r="881" spans="1:1" ht="30" customHeight="1" x14ac:dyDescent="0.2">
      <c r="A881" s="23" t="str">
        <f t="shared" si="14"/>
        <v/>
      </c>
    </row>
    <row r="882" spans="1:1" ht="30" customHeight="1" x14ac:dyDescent="0.2">
      <c r="A882" s="23" t="str">
        <f t="shared" si="14"/>
        <v/>
      </c>
    </row>
    <row r="883" spans="1:1" ht="30" customHeight="1" x14ac:dyDescent="0.2">
      <c r="A883" s="23" t="str">
        <f t="shared" si="14"/>
        <v/>
      </c>
    </row>
    <row r="884" spans="1:1" ht="30" customHeight="1" x14ac:dyDescent="0.2">
      <c r="A884" s="23" t="str">
        <f t="shared" si="14"/>
        <v/>
      </c>
    </row>
    <row r="885" spans="1:1" ht="30" customHeight="1" x14ac:dyDescent="0.2">
      <c r="A885" s="23" t="str">
        <f t="shared" si="14"/>
        <v/>
      </c>
    </row>
    <row r="886" spans="1:1" ht="30" customHeight="1" x14ac:dyDescent="0.2">
      <c r="A886" s="23" t="str">
        <f t="shared" si="14"/>
        <v/>
      </c>
    </row>
    <row r="887" spans="1:1" ht="30" customHeight="1" x14ac:dyDescent="0.2">
      <c r="A887" s="23" t="str">
        <f t="shared" si="14"/>
        <v/>
      </c>
    </row>
    <row r="888" spans="1:1" ht="30" customHeight="1" x14ac:dyDescent="0.2">
      <c r="A888" s="23" t="str">
        <f t="shared" si="14"/>
        <v/>
      </c>
    </row>
    <row r="889" spans="1:1" ht="30" customHeight="1" x14ac:dyDescent="0.2">
      <c r="A889" s="23" t="str">
        <f t="shared" si="14"/>
        <v/>
      </c>
    </row>
    <row r="890" spans="1:1" ht="30" customHeight="1" x14ac:dyDescent="0.2">
      <c r="A890" s="23" t="str">
        <f t="shared" si="14"/>
        <v/>
      </c>
    </row>
    <row r="891" spans="1:1" ht="30" customHeight="1" x14ac:dyDescent="0.2">
      <c r="A891" s="23" t="str">
        <f t="shared" si="14"/>
        <v/>
      </c>
    </row>
    <row r="892" spans="1:1" ht="30" customHeight="1" x14ac:dyDescent="0.2">
      <c r="A892" s="23" t="str">
        <f t="shared" si="14"/>
        <v/>
      </c>
    </row>
    <row r="893" spans="1:1" ht="30" customHeight="1" x14ac:dyDescent="0.2">
      <c r="A893" s="23" t="str">
        <f t="shared" si="14"/>
        <v/>
      </c>
    </row>
    <row r="894" spans="1:1" ht="30" customHeight="1" x14ac:dyDescent="0.2">
      <c r="A894" s="23" t="str">
        <f t="shared" si="14"/>
        <v/>
      </c>
    </row>
    <row r="895" spans="1:1" ht="30" customHeight="1" x14ac:dyDescent="0.2">
      <c r="A895" s="23" t="str">
        <f t="shared" si="14"/>
        <v/>
      </c>
    </row>
    <row r="896" spans="1:1" ht="30" customHeight="1" x14ac:dyDescent="0.2">
      <c r="A896" s="23" t="str">
        <f t="shared" si="14"/>
        <v/>
      </c>
    </row>
    <row r="897" spans="1:1" ht="30" customHeight="1" x14ac:dyDescent="0.2">
      <c r="A897" s="23" t="str">
        <f t="shared" si="14"/>
        <v/>
      </c>
    </row>
    <row r="898" spans="1:1" ht="30" customHeight="1" x14ac:dyDescent="0.2">
      <c r="A898" s="23" t="str">
        <f t="shared" si="14"/>
        <v/>
      </c>
    </row>
    <row r="899" spans="1:1" ht="30" customHeight="1" x14ac:dyDescent="0.2">
      <c r="A899" s="23" t="str">
        <f t="shared" si="14"/>
        <v/>
      </c>
    </row>
    <row r="900" spans="1:1" ht="30" customHeight="1" x14ac:dyDescent="0.2">
      <c r="A900" s="23" t="str">
        <f t="shared" si="14"/>
        <v/>
      </c>
    </row>
    <row r="901" spans="1:1" ht="30" customHeight="1" x14ac:dyDescent="0.2">
      <c r="A901" s="23" t="str">
        <f t="shared" si="14"/>
        <v/>
      </c>
    </row>
    <row r="902" spans="1:1" ht="30" customHeight="1" x14ac:dyDescent="0.2">
      <c r="A902" s="23" t="str">
        <f t="shared" si="14"/>
        <v/>
      </c>
    </row>
    <row r="903" spans="1:1" ht="30" customHeight="1" x14ac:dyDescent="0.2">
      <c r="A903" s="23" t="str">
        <f t="shared" si="14"/>
        <v/>
      </c>
    </row>
    <row r="904" spans="1:1" ht="30" customHeight="1" x14ac:dyDescent="0.2">
      <c r="A904" s="23" t="str">
        <f t="shared" si="14"/>
        <v/>
      </c>
    </row>
    <row r="905" spans="1:1" ht="30" customHeight="1" x14ac:dyDescent="0.2">
      <c r="A905" s="23" t="str">
        <f t="shared" si="14"/>
        <v/>
      </c>
    </row>
    <row r="906" spans="1:1" ht="30" customHeight="1" x14ac:dyDescent="0.2">
      <c r="A906" s="23" t="str">
        <f t="shared" si="14"/>
        <v/>
      </c>
    </row>
    <row r="907" spans="1:1" ht="30" customHeight="1" x14ac:dyDescent="0.2">
      <c r="A907" s="23" t="str">
        <f t="shared" si="14"/>
        <v/>
      </c>
    </row>
    <row r="908" spans="1:1" ht="30" customHeight="1" x14ac:dyDescent="0.2">
      <c r="A908" s="23" t="str">
        <f t="shared" si="14"/>
        <v/>
      </c>
    </row>
    <row r="909" spans="1:1" ht="30" customHeight="1" x14ac:dyDescent="0.2">
      <c r="A909" s="23" t="str">
        <f t="shared" si="14"/>
        <v/>
      </c>
    </row>
    <row r="910" spans="1:1" ht="30" customHeight="1" x14ac:dyDescent="0.2">
      <c r="A910" s="23" t="str">
        <f t="shared" si="14"/>
        <v/>
      </c>
    </row>
    <row r="911" spans="1:1" ht="30" customHeight="1" x14ac:dyDescent="0.2">
      <c r="A911" s="23" t="str">
        <f t="shared" si="14"/>
        <v/>
      </c>
    </row>
    <row r="912" spans="1:1" ht="30" customHeight="1" x14ac:dyDescent="0.2">
      <c r="A912" s="23" t="str">
        <f t="shared" si="14"/>
        <v/>
      </c>
    </row>
    <row r="913" spans="1:1" ht="30" customHeight="1" x14ac:dyDescent="0.2">
      <c r="A913" s="23" t="str">
        <f t="shared" si="14"/>
        <v/>
      </c>
    </row>
    <row r="914" spans="1:1" ht="30" customHeight="1" x14ac:dyDescent="0.2">
      <c r="A914" s="23" t="str">
        <f t="shared" ref="A914:A977" si="15">IF(AND(B913&lt;&gt;"",B914=""),"Select Audit Point---&gt;","")</f>
        <v/>
      </c>
    </row>
    <row r="915" spans="1:1" ht="30" customHeight="1" x14ac:dyDescent="0.2">
      <c r="A915" s="23" t="str">
        <f t="shared" si="15"/>
        <v/>
      </c>
    </row>
    <row r="916" spans="1:1" ht="30" customHeight="1" x14ac:dyDescent="0.2">
      <c r="A916" s="23" t="str">
        <f t="shared" si="15"/>
        <v/>
      </c>
    </row>
    <row r="917" spans="1:1" ht="30" customHeight="1" x14ac:dyDescent="0.2">
      <c r="A917" s="23" t="str">
        <f t="shared" si="15"/>
        <v/>
      </c>
    </row>
    <row r="918" spans="1:1" ht="30" customHeight="1" x14ac:dyDescent="0.2">
      <c r="A918" s="23" t="str">
        <f t="shared" si="15"/>
        <v/>
      </c>
    </row>
    <row r="919" spans="1:1" ht="30" customHeight="1" x14ac:dyDescent="0.2">
      <c r="A919" s="23" t="str">
        <f t="shared" si="15"/>
        <v/>
      </c>
    </row>
    <row r="920" spans="1:1" ht="30" customHeight="1" x14ac:dyDescent="0.2">
      <c r="A920" s="23" t="str">
        <f t="shared" si="15"/>
        <v/>
      </c>
    </row>
    <row r="921" spans="1:1" ht="30" customHeight="1" x14ac:dyDescent="0.2">
      <c r="A921" s="23" t="str">
        <f t="shared" si="15"/>
        <v/>
      </c>
    </row>
    <row r="922" spans="1:1" ht="30" customHeight="1" x14ac:dyDescent="0.2">
      <c r="A922" s="23" t="str">
        <f t="shared" si="15"/>
        <v/>
      </c>
    </row>
    <row r="923" spans="1:1" ht="30" customHeight="1" x14ac:dyDescent="0.2">
      <c r="A923" s="23" t="str">
        <f t="shared" si="15"/>
        <v/>
      </c>
    </row>
    <row r="924" spans="1:1" ht="30" customHeight="1" x14ac:dyDescent="0.2">
      <c r="A924" s="23" t="str">
        <f t="shared" si="15"/>
        <v/>
      </c>
    </row>
    <row r="925" spans="1:1" ht="30" customHeight="1" x14ac:dyDescent="0.2">
      <c r="A925" s="23" t="str">
        <f t="shared" si="15"/>
        <v/>
      </c>
    </row>
    <row r="926" spans="1:1" ht="30" customHeight="1" x14ac:dyDescent="0.2">
      <c r="A926" s="23" t="str">
        <f t="shared" si="15"/>
        <v/>
      </c>
    </row>
    <row r="927" spans="1:1" ht="30" customHeight="1" x14ac:dyDescent="0.2">
      <c r="A927" s="23" t="str">
        <f t="shared" si="15"/>
        <v/>
      </c>
    </row>
    <row r="928" spans="1:1" ht="30" customHeight="1" x14ac:dyDescent="0.2">
      <c r="A928" s="23" t="str">
        <f t="shared" si="15"/>
        <v/>
      </c>
    </row>
    <row r="929" spans="1:1" ht="30" customHeight="1" x14ac:dyDescent="0.2">
      <c r="A929" s="23" t="str">
        <f t="shared" si="15"/>
        <v/>
      </c>
    </row>
    <row r="930" spans="1:1" ht="30" customHeight="1" x14ac:dyDescent="0.2">
      <c r="A930" s="23" t="str">
        <f t="shared" si="15"/>
        <v/>
      </c>
    </row>
    <row r="931" spans="1:1" ht="30" customHeight="1" x14ac:dyDescent="0.2">
      <c r="A931" s="23" t="str">
        <f t="shared" si="15"/>
        <v/>
      </c>
    </row>
    <row r="932" spans="1:1" ht="30" customHeight="1" x14ac:dyDescent="0.2">
      <c r="A932" s="23" t="str">
        <f t="shared" si="15"/>
        <v/>
      </c>
    </row>
    <row r="933" spans="1:1" ht="30" customHeight="1" x14ac:dyDescent="0.2">
      <c r="A933" s="23" t="str">
        <f t="shared" si="15"/>
        <v/>
      </c>
    </row>
    <row r="934" spans="1:1" ht="30" customHeight="1" x14ac:dyDescent="0.2">
      <c r="A934" s="23" t="str">
        <f t="shared" si="15"/>
        <v/>
      </c>
    </row>
    <row r="935" spans="1:1" ht="30" customHeight="1" x14ac:dyDescent="0.2">
      <c r="A935" s="23" t="str">
        <f t="shared" si="15"/>
        <v/>
      </c>
    </row>
    <row r="936" spans="1:1" ht="30" customHeight="1" x14ac:dyDescent="0.2">
      <c r="A936" s="23" t="str">
        <f t="shared" si="15"/>
        <v/>
      </c>
    </row>
    <row r="937" spans="1:1" ht="30" customHeight="1" x14ac:dyDescent="0.2">
      <c r="A937" s="23" t="str">
        <f t="shared" si="15"/>
        <v/>
      </c>
    </row>
    <row r="938" spans="1:1" ht="30" customHeight="1" x14ac:dyDescent="0.2">
      <c r="A938" s="23" t="str">
        <f t="shared" si="15"/>
        <v/>
      </c>
    </row>
    <row r="939" spans="1:1" ht="30" customHeight="1" x14ac:dyDescent="0.2">
      <c r="A939" s="23" t="str">
        <f t="shared" si="15"/>
        <v/>
      </c>
    </row>
    <row r="940" spans="1:1" ht="30" customHeight="1" x14ac:dyDescent="0.2">
      <c r="A940" s="23" t="str">
        <f t="shared" si="15"/>
        <v/>
      </c>
    </row>
    <row r="941" spans="1:1" ht="30" customHeight="1" x14ac:dyDescent="0.2">
      <c r="A941" s="23" t="str">
        <f t="shared" si="15"/>
        <v/>
      </c>
    </row>
    <row r="942" spans="1:1" ht="30" customHeight="1" x14ac:dyDescent="0.2">
      <c r="A942" s="23" t="str">
        <f t="shared" si="15"/>
        <v/>
      </c>
    </row>
    <row r="943" spans="1:1" ht="30" customHeight="1" x14ac:dyDescent="0.2">
      <c r="A943" s="23" t="str">
        <f t="shared" si="15"/>
        <v/>
      </c>
    </row>
    <row r="944" spans="1:1" ht="30" customHeight="1" x14ac:dyDescent="0.2">
      <c r="A944" s="23" t="str">
        <f t="shared" si="15"/>
        <v/>
      </c>
    </row>
    <row r="945" spans="1:1" ht="30" customHeight="1" x14ac:dyDescent="0.2">
      <c r="A945" s="23" t="str">
        <f t="shared" si="15"/>
        <v/>
      </c>
    </row>
    <row r="946" spans="1:1" ht="30" customHeight="1" x14ac:dyDescent="0.2">
      <c r="A946" s="23" t="str">
        <f t="shared" si="15"/>
        <v/>
      </c>
    </row>
    <row r="947" spans="1:1" ht="30" customHeight="1" x14ac:dyDescent="0.2">
      <c r="A947" s="23" t="str">
        <f t="shared" si="15"/>
        <v/>
      </c>
    </row>
    <row r="948" spans="1:1" ht="30" customHeight="1" x14ac:dyDescent="0.2">
      <c r="A948" s="23" t="str">
        <f t="shared" si="15"/>
        <v/>
      </c>
    </row>
    <row r="949" spans="1:1" ht="30" customHeight="1" x14ac:dyDescent="0.2">
      <c r="A949" s="23" t="str">
        <f t="shared" si="15"/>
        <v/>
      </c>
    </row>
    <row r="950" spans="1:1" ht="30" customHeight="1" x14ac:dyDescent="0.2">
      <c r="A950" s="23" t="str">
        <f t="shared" si="15"/>
        <v/>
      </c>
    </row>
    <row r="951" spans="1:1" ht="30" customHeight="1" x14ac:dyDescent="0.2">
      <c r="A951" s="23" t="str">
        <f t="shared" si="15"/>
        <v/>
      </c>
    </row>
    <row r="952" spans="1:1" ht="30" customHeight="1" x14ac:dyDescent="0.2">
      <c r="A952" s="23" t="str">
        <f t="shared" si="15"/>
        <v/>
      </c>
    </row>
    <row r="953" spans="1:1" ht="30" customHeight="1" x14ac:dyDescent="0.2">
      <c r="A953" s="23" t="str">
        <f t="shared" si="15"/>
        <v/>
      </c>
    </row>
    <row r="954" spans="1:1" ht="30" customHeight="1" x14ac:dyDescent="0.2">
      <c r="A954" s="23" t="str">
        <f t="shared" si="15"/>
        <v/>
      </c>
    </row>
    <row r="955" spans="1:1" ht="30" customHeight="1" x14ac:dyDescent="0.2">
      <c r="A955" s="23" t="str">
        <f t="shared" si="15"/>
        <v/>
      </c>
    </row>
    <row r="956" spans="1:1" ht="30" customHeight="1" x14ac:dyDescent="0.2">
      <c r="A956" s="23" t="str">
        <f t="shared" si="15"/>
        <v/>
      </c>
    </row>
    <row r="957" spans="1:1" ht="30" customHeight="1" x14ac:dyDescent="0.2">
      <c r="A957" s="23" t="str">
        <f t="shared" si="15"/>
        <v/>
      </c>
    </row>
    <row r="958" spans="1:1" ht="30" customHeight="1" x14ac:dyDescent="0.2">
      <c r="A958" s="23" t="str">
        <f t="shared" si="15"/>
        <v/>
      </c>
    </row>
    <row r="959" spans="1:1" ht="30" customHeight="1" x14ac:dyDescent="0.2">
      <c r="A959" s="23" t="str">
        <f t="shared" si="15"/>
        <v/>
      </c>
    </row>
    <row r="960" spans="1:1" ht="30" customHeight="1" x14ac:dyDescent="0.2">
      <c r="A960" s="23" t="str">
        <f t="shared" si="15"/>
        <v/>
      </c>
    </row>
    <row r="961" spans="1:1" ht="30" customHeight="1" x14ac:dyDescent="0.2">
      <c r="A961" s="23" t="str">
        <f t="shared" si="15"/>
        <v/>
      </c>
    </row>
    <row r="962" spans="1:1" ht="30" customHeight="1" x14ac:dyDescent="0.2">
      <c r="A962" s="23" t="str">
        <f t="shared" si="15"/>
        <v/>
      </c>
    </row>
    <row r="963" spans="1:1" ht="30" customHeight="1" x14ac:dyDescent="0.2">
      <c r="A963" s="23" t="str">
        <f t="shared" si="15"/>
        <v/>
      </c>
    </row>
    <row r="964" spans="1:1" ht="30" customHeight="1" x14ac:dyDescent="0.2">
      <c r="A964" s="23" t="str">
        <f t="shared" si="15"/>
        <v/>
      </c>
    </row>
    <row r="965" spans="1:1" ht="30" customHeight="1" x14ac:dyDescent="0.2">
      <c r="A965" s="23" t="str">
        <f t="shared" si="15"/>
        <v/>
      </c>
    </row>
    <row r="966" spans="1:1" ht="30" customHeight="1" x14ac:dyDescent="0.2">
      <c r="A966" s="23" t="str">
        <f t="shared" si="15"/>
        <v/>
      </c>
    </row>
    <row r="967" spans="1:1" ht="30" customHeight="1" x14ac:dyDescent="0.2">
      <c r="A967" s="23" t="str">
        <f t="shared" si="15"/>
        <v/>
      </c>
    </row>
    <row r="968" spans="1:1" ht="30" customHeight="1" x14ac:dyDescent="0.2">
      <c r="A968" s="23" t="str">
        <f t="shared" si="15"/>
        <v/>
      </c>
    </row>
    <row r="969" spans="1:1" ht="30" customHeight="1" x14ac:dyDescent="0.2">
      <c r="A969" s="23" t="str">
        <f t="shared" si="15"/>
        <v/>
      </c>
    </row>
    <row r="970" spans="1:1" ht="30" customHeight="1" x14ac:dyDescent="0.2">
      <c r="A970" s="23" t="str">
        <f t="shared" si="15"/>
        <v/>
      </c>
    </row>
    <row r="971" spans="1:1" ht="30" customHeight="1" x14ac:dyDescent="0.2">
      <c r="A971" s="23" t="str">
        <f t="shared" si="15"/>
        <v/>
      </c>
    </row>
    <row r="972" spans="1:1" ht="30" customHeight="1" x14ac:dyDescent="0.2">
      <c r="A972" s="23" t="str">
        <f t="shared" si="15"/>
        <v/>
      </c>
    </row>
    <row r="973" spans="1:1" ht="30" customHeight="1" x14ac:dyDescent="0.2">
      <c r="A973" s="23" t="str">
        <f t="shared" si="15"/>
        <v/>
      </c>
    </row>
    <row r="974" spans="1:1" ht="30" customHeight="1" x14ac:dyDescent="0.2">
      <c r="A974" s="23" t="str">
        <f t="shared" si="15"/>
        <v/>
      </c>
    </row>
    <row r="975" spans="1:1" ht="30" customHeight="1" x14ac:dyDescent="0.2">
      <c r="A975" s="23" t="str">
        <f t="shared" si="15"/>
        <v/>
      </c>
    </row>
    <row r="976" spans="1:1" ht="30" customHeight="1" x14ac:dyDescent="0.2">
      <c r="A976" s="23" t="str">
        <f t="shared" si="15"/>
        <v/>
      </c>
    </row>
    <row r="977" spans="1:1" ht="30" customHeight="1" x14ac:dyDescent="0.2">
      <c r="A977" s="23" t="str">
        <f t="shared" si="15"/>
        <v/>
      </c>
    </row>
    <row r="978" spans="1:1" ht="30" customHeight="1" x14ac:dyDescent="0.2">
      <c r="A978" s="23" t="str">
        <f t="shared" ref="A978:A996" si="16">IF(AND(B977&lt;&gt;"",B978=""),"Select Audit Point---&gt;","")</f>
        <v/>
      </c>
    </row>
    <row r="979" spans="1:1" ht="30" customHeight="1" x14ac:dyDescent="0.2">
      <c r="A979" s="23" t="str">
        <f t="shared" si="16"/>
        <v/>
      </c>
    </row>
    <row r="980" spans="1:1" ht="30" customHeight="1" x14ac:dyDescent="0.2">
      <c r="A980" s="23" t="str">
        <f t="shared" si="16"/>
        <v/>
      </c>
    </row>
    <row r="981" spans="1:1" ht="30" customHeight="1" x14ac:dyDescent="0.2">
      <c r="A981" s="23" t="str">
        <f t="shared" si="16"/>
        <v/>
      </c>
    </row>
    <row r="982" spans="1:1" ht="30" customHeight="1" x14ac:dyDescent="0.2">
      <c r="A982" s="23" t="str">
        <f t="shared" si="16"/>
        <v/>
      </c>
    </row>
    <row r="983" spans="1:1" ht="30" customHeight="1" x14ac:dyDescent="0.2">
      <c r="A983" s="23" t="str">
        <f t="shared" si="16"/>
        <v/>
      </c>
    </row>
    <row r="984" spans="1:1" ht="30" customHeight="1" x14ac:dyDescent="0.2">
      <c r="A984" s="23" t="str">
        <f t="shared" si="16"/>
        <v/>
      </c>
    </row>
    <row r="985" spans="1:1" ht="30" customHeight="1" x14ac:dyDescent="0.2">
      <c r="A985" s="23" t="str">
        <f t="shared" si="16"/>
        <v/>
      </c>
    </row>
    <row r="986" spans="1:1" ht="30" customHeight="1" x14ac:dyDescent="0.2">
      <c r="A986" s="23" t="str">
        <f t="shared" si="16"/>
        <v/>
      </c>
    </row>
    <row r="987" spans="1:1" ht="30" customHeight="1" x14ac:dyDescent="0.2">
      <c r="A987" s="23" t="str">
        <f t="shared" si="16"/>
        <v/>
      </c>
    </row>
    <row r="988" spans="1:1" ht="30" customHeight="1" x14ac:dyDescent="0.2">
      <c r="A988" s="23" t="str">
        <f t="shared" si="16"/>
        <v/>
      </c>
    </row>
    <row r="989" spans="1:1" ht="30" customHeight="1" x14ac:dyDescent="0.2">
      <c r="A989" s="23" t="str">
        <f t="shared" si="16"/>
        <v/>
      </c>
    </row>
    <row r="990" spans="1:1" ht="30" customHeight="1" x14ac:dyDescent="0.2">
      <c r="A990" s="23" t="str">
        <f t="shared" si="16"/>
        <v/>
      </c>
    </row>
    <row r="991" spans="1:1" ht="30" customHeight="1" x14ac:dyDescent="0.2">
      <c r="A991" s="23" t="str">
        <f t="shared" si="16"/>
        <v/>
      </c>
    </row>
    <row r="992" spans="1:1" ht="30" customHeight="1" x14ac:dyDescent="0.2">
      <c r="A992" s="23" t="str">
        <f t="shared" si="16"/>
        <v/>
      </c>
    </row>
    <row r="993" spans="1:1" ht="30" customHeight="1" x14ac:dyDescent="0.2">
      <c r="A993" s="23" t="str">
        <f t="shared" si="16"/>
        <v/>
      </c>
    </row>
    <row r="994" spans="1:1" ht="30" customHeight="1" x14ac:dyDescent="0.2">
      <c r="A994" s="23" t="str">
        <f t="shared" si="16"/>
        <v/>
      </c>
    </row>
    <row r="995" spans="1:1" ht="30" customHeight="1" x14ac:dyDescent="0.2">
      <c r="A995" s="23" t="str">
        <f t="shared" si="16"/>
        <v/>
      </c>
    </row>
    <row r="996" spans="1:1" ht="30" customHeight="1" x14ac:dyDescent="0.2">
      <c r="A996" s="23" t="str">
        <f t="shared" si="16"/>
        <v/>
      </c>
    </row>
    <row r="997" spans="1:1" ht="30" customHeight="1" x14ac:dyDescent="0.2">
      <c r="A997" s="23"/>
    </row>
    <row r="998" spans="1:1" ht="30" customHeight="1" x14ac:dyDescent="0.2">
      <c r="A998" s="23"/>
    </row>
    <row r="999" spans="1:1" ht="30" customHeight="1" x14ac:dyDescent="0.2">
      <c r="A999" s="23"/>
    </row>
    <row r="1000" spans="1:1" ht="30" customHeight="1" x14ac:dyDescent="0.2">
      <c r="A1000" s="23"/>
    </row>
    <row r="1001" spans="1:1" ht="30" customHeight="1" x14ac:dyDescent="0.2">
      <c r="A1001" s="23"/>
    </row>
    <row r="1002" spans="1:1" ht="30" customHeight="1" x14ac:dyDescent="0.2">
      <c r="A1002" s="23"/>
    </row>
    <row r="1003" spans="1:1" ht="30" customHeight="1" x14ac:dyDescent="0.2">
      <c r="A1003" s="23"/>
    </row>
    <row r="1004" spans="1:1" ht="30" customHeight="1" x14ac:dyDescent="0.2">
      <c r="A1004" s="23"/>
    </row>
    <row r="1005" spans="1:1" ht="30" customHeight="1" x14ac:dyDescent="0.2">
      <c r="A1005" s="23"/>
    </row>
    <row r="1006" spans="1:1" ht="30" customHeight="1" x14ac:dyDescent="0.2">
      <c r="A1006" s="23"/>
    </row>
    <row r="1007" spans="1:1" ht="30" customHeight="1" x14ac:dyDescent="0.2">
      <c r="A1007" s="23"/>
    </row>
    <row r="1008" spans="1:1" ht="30" customHeight="1" x14ac:dyDescent="0.2">
      <c r="A1008" s="23"/>
    </row>
    <row r="1009" spans="1:1" ht="30" customHeight="1" x14ac:dyDescent="0.2">
      <c r="A1009" s="23"/>
    </row>
    <row r="1010" spans="1:1" ht="30" customHeight="1" x14ac:dyDescent="0.2">
      <c r="A1010" s="23"/>
    </row>
    <row r="1011" spans="1:1" ht="30" customHeight="1" x14ac:dyDescent="0.2">
      <c r="A1011" s="23"/>
    </row>
    <row r="1012" spans="1:1" ht="30" customHeight="1" x14ac:dyDescent="0.2">
      <c r="A1012" s="23"/>
    </row>
    <row r="1013" spans="1:1" ht="30" customHeight="1" x14ac:dyDescent="0.2">
      <c r="A1013" s="23"/>
    </row>
    <row r="1014" spans="1:1" ht="30" customHeight="1" x14ac:dyDescent="0.2">
      <c r="A1014" s="23"/>
    </row>
    <row r="1015" spans="1:1" ht="30" customHeight="1" x14ac:dyDescent="0.2">
      <c r="A1015" s="23"/>
    </row>
    <row r="1016" spans="1:1" ht="30" customHeight="1" x14ac:dyDescent="0.2">
      <c r="A1016" s="23"/>
    </row>
    <row r="1017" spans="1:1" ht="30" customHeight="1" x14ac:dyDescent="0.2">
      <c r="A1017" s="23"/>
    </row>
    <row r="1018" spans="1:1" ht="30" customHeight="1" x14ac:dyDescent="0.2">
      <c r="A1018" s="23"/>
    </row>
    <row r="1019" spans="1:1" ht="30" customHeight="1" x14ac:dyDescent="0.2">
      <c r="A1019" s="23"/>
    </row>
    <row r="1020" spans="1:1" ht="30" customHeight="1" x14ac:dyDescent="0.2">
      <c r="A1020" s="23"/>
    </row>
    <row r="1021" spans="1:1" ht="30" customHeight="1" x14ac:dyDescent="0.2">
      <c r="A1021" s="23"/>
    </row>
    <row r="1022" spans="1:1" ht="30" customHeight="1" x14ac:dyDescent="0.2">
      <c r="A1022" s="23"/>
    </row>
    <row r="1023" spans="1:1" ht="30" customHeight="1" x14ac:dyDescent="0.2">
      <c r="A1023" s="23"/>
    </row>
    <row r="1024" spans="1:1" ht="30" customHeight="1" x14ac:dyDescent="0.2">
      <c r="A1024" s="23"/>
    </row>
    <row r="1025" spans="1:1" ht="30" customHeight="1" x14ac:dyDescent="0.2">
      <c r="A1025" s="23"/>
    </row>
    <row r="1026" spans="1:1" ht="30" customHeight="1" x14ac:dyDescent="0.2">
      <c r="A1026" s="23"/>
    </row>
    <row r="1027" spans="1:1" ht="30" customHeight="1" x14ac:dyDescent="0.2">
      <c r="A1027" s="23"/>
    </row>
    <row r="1028" spans="1:1" ht="30" customHeight="1" x14ac:dyDescent="0.2">
      <c r="A1028" s="23"/>
    </row>
    <row r="1029" spans="1:1" ht="30" customHeight="1" x14ac:dyDescent="0.2">
      <c r="A1029" s="23"/>
    </row>
    <row r="1030" spans="1:1" ht="30" customHeight="1" x14ac:dyDescent="0.2">
      <c r="A1030" s="23"/>
    </row>
    <row r="1031" spans="1:1" ht="30" customHeight="1" x14ac:dyDescent="0.2">
      <c r="A1031" s="23"/>
    </row>
    <row r="1032" spans="1:1" ht="30" customHeight="1" x14ac:dyDescent="0.2">
      <c r="A1032" s="23"/>
    </row>
    <row r="1033" spans="1:1" ht="30" customHeight="1" x14ac:dyDescent="0.2">
      <c r="A1033" s="23"/>
    </row>
    <row r="1034" spans="1:1" ht="30" customHeight="1" x14ac:dyDescent="0.2">
      <c r="A1034" s="23"/>
    </row>
    <row r="1035" spans="1:1" ht="30" customHeight="1" x14ac:dyDescent="0.2">
      <c r="A1035" s="23"/>
    </row>
    <row r="1036" spans="1:1" ht="30" customHeight="1" x14ac:dyDescent="0.2">
      <c r="A1036" s="23"/>
    </row>
    <row r="1037" spans="1:1" ht="30" customHeight="1" x14ac:dyDescent="0.2">
      <c r="A1037" s="23"/>
    </row>
    <row r="1038" spans="1:1" ht="30" customHeight="1" x14ac:dyDescent="0.2">
      <c r="A1038" s="23"/>
    </row>
    <row r="1039" spans="1:1" ht="30" customHeight="1" x14ac:dyDescent="0.2">
      <c r="A1039" s="23"/>
    </row>
    <row r="1040" spans="1:1" ht="30" customHeight="1" x14ac:dyDescent="0.2">
      <c r="A1040" s="23"/>
    </row>
    <row r="1041" spans="1:1" ht="30" customHeight="1" x14ac:dyDescent="0.2">
      <c r="A1041" s="23"/>
    </row>
    <row r="1042" spans="1:1" ht="30" customHeight="1" x14ac:dyDescent="0.2">
      <c r="A1042" s="23"/>
    </row>
    <row r="1043" spans="1:1" ht="30" customHeight="1" x14ac:dyDescent="0.2">
      <c r="A1043" s="23"/>
    </row>
    <row r="1044" spans="1:1" ht="30" customHeight="1" x14ac:dyDescent="0.2">
      <c r="A1044" s="23"/>
    </row>
    <row r="1045" spans="1:1" ht="30" customHeight="1" x14ac:dyDescent="0.2">
      <c r="A1045" s="23"/>
    </row>
    <row r="1046" spans="1:1" ht="30" customHeight="1" x14ac:dyDescent="0.2">
      <c r="A1046" s="23"/>
    </row>
    <row r="1047" spans="1:1" ht="30" customHeight="1" x14ac:dyDescent="0.2">
      <c r="A1047" s="23"/>
    </row>
    <row r="1048" spans="1:1" ht="30" customHeight="1" x14ac:dyDescent="0.2">
      <c r="A1048" s="23"/>
    </row>
  </sheetData>
  <phoneticPr fontId="5" type="noConversion"/>
  <dataValidations count="5">
    <dataValidation type="list" allowBlank="1" showInputMessage="1" showErrorMessage="1" sqref="C18:C39" xr:uid="{ED7768AA-9089-41C5-8F50-62B2DBBA235A}">
      <formula1>Clause</formula1>
    </dataValidation>
    <dataValidation type="list" allowBlank="1" showInputMessage="1" showErrorMessage="1" sqref="E18:E39" xr:uid="{FE21BC20-4F59-4150-BC42-7F326B31E256}">
      <formula1>Departments</formula1>
    </dataValidation>
    <dataValidation type="list" allowBlank="1" showInputMessage="1" showErrorMessage="1" sqref="W18:W39" xr:uid="{A7E89D93-EFFC-4C80-A605-8CB7B66841C7}">
      <formula1>Auditor</formula1>
    </dataValidation>
    <dataValidation type="list" allowBlank="1" showInputMessage="1" showErrorMessage="1" sqref="B18:B1048576" xr:uid="{2E73DDDB-36E0-42C6-BE46-9AE4DE966E69}">
      <formula1>Section</formula1>
    </dataValidation>
    <dataValidation type="decimal" allowBlank="1" showInputMessage="1" showErrorMessage="1" errorTitle="Wrong value recorded" error="Audit rating value should be between target score max and 0.5 min" sqref="G18:R39" xr:uid="{220A7B5E-D524-48B4-B7BA-C9ED9B6387C6}">
      <formula1>0.5</formula1>
      <formula2>$F18</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Full_screen">
                <anchor moveWithCells="1" sizeWithCells="1">
                  <from>
                    <xdr:col>0</xdr:col>
                    <xdr:colOff>38100</xdr:colOff>
                    <xdr:row>16</xdr:row>
                    <xdr:rowOff>0</xdr:rowOff>
                  </from>
                  <to>
                    <xdr:col>0</xdr:col>
                    <xdr:colOff>1809750</xdr:colOff>
                    <xdr:row>16</xdr:row>
                    <xdr:rowOff>285750</xdr:rowOff>
                  </to>
                </anchor>
              </controlPr>
            </control>
          </mc:Choice>
        </mc:AlternateContent>
        <mc:AlternateContent xmlns:mc="http://schemas.openxmlformats.org/markup-compatibility/2006">
          <mc:Choice Requires="x14">
            <control shapeId="2051" r:id="rId5" name="Button 3">
              <controlPr defaultSize="0" print="0" autoFill="0" autoPict="0" macro="[0]!Refresh">
                <anchor moveWithCells="1" sizeWithCells="1">
                  <from>
                    <xdr:col>0</xdr:col>
                    <xdr:colOff>19050</xdr:colOff>
                    <xdr:row>16</xdr:row>
                    <xdr:rowOff>304800</xdr:rowOff>
                  </from>
                  <to>
                    <xdr:col>0</xdr:col>
                    <xdr:colOff>1809750</xdr:colOff>
                    <xdr:row>16</xdr:row>
                    <xdr:rowOff>590550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A8F9A8FE-FBD5-40A2-A5BA-B7B95922E917}">
            <xm:f>NOT(ISERROR(SEARCH('Audit Database'!$M$7,U18)))</xm:f>
            <xm:f>'Audit Database'!$M$7</xm:f>
            <x14:dxf>
              <font>
                <color rgb="FF9C0006"/>
              </font>
              <fill>
                <patternFill>
                  <bgColor rgb="FFFFC7CE"/>
                </patternFill>
              </fill>
            </x14:dxf>
          </x14:cfRule>
          <x14:cfRule type="containsText" priority="5" operator="containsText" id="{0224F8B3-3257-410F-82B9-E461CED46936}">
            <xm:f>NOT(ISERROR(SEARCH('Audit Database'!$M$6,U18)))</xm:f>
            <xm:f>'Audit Database'!$M$6</xm:f>
            <x14:dxf>
              <font>
                <color rgb="FF9C5700"/>
              </font>
              <fill>
                <patternFill>
                  <bgColor rgb="FFFFEB9C"/>
                </patternFill>
              </fill>
            </x14:dxf>
          </x14:cfRule>
          <x14:cfRule type="containsText" priority="6" operator="containsText" id="{11B3BDAF-3502-480F-87EF-88CC9C8A2DEE}">
            <xm:f>NOT(ISERROR(SEARCH('Audit Database'!$M$5,U18)))</xm:f>
            <xm:f>'Audit Database'!$M$5</xm:f>
            <x14:dxf>
              <font>
                <color rgb="FF006100"/>
              </font>
              <fill>
                <patternFill>
                  <bgColor rgb="FFC6EFCE"/>
                </patternFill>
              </fill>
            </x14:dxf>
          </x14:cfRule>
          <xm:sqref>U18:U39</xm:sqref>
        </x14:conditionalFormatting>
        <x14:conditionalFormatting xmlns:xm="http://schemas.microsoft.com/office/excel/2006/main">
          <x14:cfRule type="cellIs" priority="1" operator="between" id="{E1B2CB85-9B51-4088-B1D1-C94161255F0A}">
            <xm:f>'Audit Database'!$L$7</xm:f>
            <xm:f>0.0000000000000000001</xm:f>
            <x14:dxf>
              <font>
                <color rgb="FF9C0006"/>
              </font>
              <fill>
                <patternFill>
                  <bgColor rgb="FFFFC7CE"/>
                </patternFill>
              </fill>
            </x14:dxf>
          </x14:cfRule>
          <x14:cfRule type="cellIs" priority="2" operator="between" id="{8C907969-AF38-48A5-9B91-C6CE0405EA20}">
            <xm:f>'Audit Database'!$L$7</xm:f>
            <xm:f>'Audit Database'!$L$6</xm:f>
            <x14:dxf>
              <font>
                <color rgb="FF9C5700"/>
              </font>
              <fill>
                <patternFill>
                  <bgColor rgb="FFFFEB9C"/>
                </patternFill>
              </fill>
            </x14:dxf>
          </x14:cfRule>
          <x14:cfRule type="cellIs" priority="3" operator="between" id="{76C0AEC5-7F3E-4A2F-B1A4-7EDB709344C1}">
            <xm:f>'Audit Database'!$L$6</xm:f>
            <xm:f>'Audit Database'!$L$5</xm:f>
            <x14:dxf>
              <font>
                <color rgb="FF006100"/>
              </font>
              <fill>
                <patternFill>
                  <bgColor rgb="FFC6EFCE"/>
                </patternFill>
              </fill>
            </x14:dxf>
          </x14:cfRule>
          <xm:sqref>G18:S39</xm:sqref>
        </x14:conditionalFormatting>
      </x14:conditionalFormattings>
    </ex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N24"/>
  <sheetViews>
    <sheetView showGridLines="0" showRowColHeaders="0" zoomScale="90" zoomScaleNormal="90" workbookViewId="0">
      <pane ySplit="4" topLeftCell="A5" activePane="bottomLeft" state="frozen"/>
      <selection pane="bottomLeft" activeCell="G11" sqref="G11"/>
    </sheetView>
  </sheetViews>
  <sheetFormatPr defaultColWidth="9.140625" defaultRowHeight="30" customHeight="1" x14ac:dyDescent="0.2"/>
  <cols>
    <col min="1" max="1" width="0.7109375" style="15" customWidth="1"/>
    <col min="2" max="2" width="20.7109375" style="26" customWidth="1"/>
    <col min="3" max="3" width="1" style="15" customWidth="1"/>
    <col min="4" max="4" width="27.7109375" style="26" customWidth="1"/>
    <col min="5" max="5" width="1" style="15" customWidth="1"/>
    <col min="6" max="6" width="24.28515625" style="25" customWidth="1"/>
    <col min="7" max="7" width="71.140625" style="25" customWidth="1"/>
    <col min="8" max="8" width="22.7109375" style="43" customWidth="1"/>
    <col min="9" max="9" width="0.7109375" style="15" customWidth="1"/>
    <col min="10" max="10" width="17.7109375" style="26" customWidth="1"/>
    <col min="11" max="11" width="0.7109375" style="15" customWidth="1"/>
    <col min="12" max="13" width="22.7109375" style="31" customWidth="1"/>
    <col min="14" max="14" width="0.7109375" style="15" customWidth="1"/>
    <col min="15" max="16384" width="9.140625" style="16"/>
  </cols>
  <sheetData>
    <row r="1" spans="1:14" customFormat="1" ht="12.75" x14ac:dyDescent="0.2">
      <c r="A1" s="13"/>
      <c r="B1" s="17"/>
      <c r="C1" s="17"/>
      <c r="D1" s="17"/>
      <c r="E1" s="17"/>
      <c r="F1" s="17"/>
      <c r="G1" s="17"/>
      <c r="H1" s="17"/>
      <c r="I1" s="17"/>
      <c r="J1" s="17"/>
      <c r="K1" s="17"/>
      <c r="L1" s="17"/>
      <c r="M1" s="17"/>
      <c r="N1" s="17"/>
    </row>
    <row r="2" spans="1:14" customFormat="1" ht="15" x14ac:dyDescent="0.25">
      <c r="A2" s="77" t="s">
        <v>59</v>
      </c>
      <c r="B2" s="77"/>
      <c r="C2" s="77" t="s">
        <v>58</v>
      </c>
      <c r="D2" s="77"/>
      <c r="E2" s="77" t="s">
        <v>57</v>
      </c>
      <c r="F2" s="77"/>
      <c r="G2" s="77"/>
      <c r="H2" s="77"/>
      <c r="I2" s="77" t="s">
        <v>38</v>
      </c>
      <c r="J2" s="77"/>
      <c r="K2" s="77" t="s">
        <v>60</v>
      </c>
      <c r="L2" s="77"/>
      <c r="M2" s="77"/>
      <c r="N2" s="22"/>
    </row>
    <row r="3" spans="1:14" customFormat="1" ht="12.75" x14ac:dyDescent="0.2">
      <c r="A3" s="13"/>
      <c r="B3" s="17"/>
      <c r="C3" s="17"/>
      <c r="D3" s="17"/>
      <c r="E3" s="17"/>
      <c r="F3" s="17"/>
      <c r="G3" s="17"/>
      <c r="H3" s="17"/>
      <c r="I3" s="17"/>
      <c r="J3" s="17"/>
      <c r="K3" s="17"/>
      <c r="L3" s="17"/>
      <c r="M3" s="17"/>
      <c r="N3" s="17"/>
    </row>
    <row r="4" spans="1:14" ht="27" customHeight="1" thickBot="1" x14ac:dyDescent="0.25">
      <c r="B4" s="18" t="s">
        <v>40</v>
      </c>
      <c r="D4" s="18" t="s">
        <v>41</v>
      </c>
      <c r="F4" s="19" t="s">
        <v>23</v>
      </c>
      <c r="G4" s="19" t="s">
        <v>24</v>
      </c>
      <c r="H4" s="20" t="s">
        <v>25</v>
      </c>
      <c r="J4" s="18" t="s">
        <v>38</v>
      </c>
      <c r="L4" s="21" t="s">
        <v>44</v>
      </c>
      <c r="M4" s="21" t="s">
        <v>45</v>
      </c>
    </row>
    <row r="5" spans="1:14" ht="30" customHeight="1" thickTop="1" x14ac:dyDescent="0.2">
      <c r="B5" s="26" t="s">
        <v>47</v>
      </c>
      <c r="D5" s="26" t="s">
        <v>61</v>
      </c>
      <c r="F5" s="27" t="s">
        <v>86</v>
      </c>
      <c r="G5" s="24" t="s">
        <v>106</v>
      </c>
      <c r="H5" s="42">
        <v>10</v>
      </c>
      <c r="J5" s="26" t="s">
        <v>81</v>
      </c>
      <c r="L5" s="26">
        <v>10</v>
      </c>
      <c r="M5" s="28" t="s">
        <v>46</v>
      </c>
    </row>
    <row r="6" spans="1:14" ht="30" customHeight="1" x14ac:dyDescent="0.2">
      <c r="B6" s="26" t="s">
        <v>48</v>
      </c>
      <c r="D6" s="26" t="s">
        <v>62</v>
      </c>
      <c r="F6" s="27" t="s">
        <v>87</v>
      </c>
      <c r="G6" s="24" t="s">
        <v>107</v>
      </c>
      <c r="H6" s="42">
        <v>10</v>
      </c>
      <c r="J6" s="26" t="s">
        <v>82</v>
      </c>
      <c r="L6" s="26">
        <v>8.5</v>
      </c>
      <c r="M6" s="29" t="s">
        <v>127</v>
      </c>
    </row>
    <row r="7" spans="1:14" ht="30" customHeight="1" x14ac:dyDescent="0.2">
      <c r="B7" s="26" t="s">
        <v>49</v>
      </c>
      <c r="D7" s="26" t="s">
        <v>63</v>
      </c>
      <c r="F7" s="27" t="s">
        <v>88</v>
      </c>
      <c r="G7" s="24" t="s">
        <v>108</v>
      </c>
      <c r="H7" s="42">
        <v>10</v>
      </c>
      <c r="J7" s="26" t="s">
        <v>83</v>
      </c>
      <c r="L7" s="26">
        <v>6.5</v>
      </c>
      <c r="M7" s="30" t="s">
        <v>128</v>
      </c>
    </row>
    <row r="8" spans="1:14" ht="30" customHeight="1" x14ac:dyDescent="0.2">
      <c r="B8" s="26" t="s">
        <v>50</v>
      </c>
      <c r="D8" s="26" t="s">
        <v>64</v>
      </c>
      <c r="F8" s="27" t="s">
        <v>89</v>
      </c>
      <c r="G8" s="24" t="s">
        <v>109</v>
      </c>
      <c r="H8" s="42">
        <v>10</v>
      </c>
      <c r="J8" s="26" t="s">
        <v>84</v>
      </c>
    </row>
    <row r="9" spans="1:14" ht="30" customHeight="1" x14ac:dyDescent="0.2">
      <c r="B9" s="26" t="s">
        <v>51</v>
      </c>
      <c r="D9" s="26" t="s">
        <v>65</v>
      </c>
      <c r="F9" s="27" t="s">
        <v>90</v>
      </c>
      <c r="G9" s="24" t="s">
        <v>110</v>
      </c>
      <c r="H9" s="42">
        <v>10</v>
      </c>
      <c r="J9" s="26" t="s">
        <v>85</v>
      </c>
    </row>
    <row r="10" spans="1:14" ht="30" customHeight="1" x14ac:dyDescent="0.2">
      <c r="B10" s="26" t="s">
        <v>52</v>
      </c>
      <c r="D10" s="26" t="s">
        <v>66</v>
      </c>
      <c r="F10" s="27" t="s">
        <v>91</v>
      </c>
      <c r="G10" s="24" t="s">
        <v>111</v>
      </c>
      <c r="H10" s="42">
        <v>10</v>
      </c>
    </row>
    <row r="11" spans="1:14" ht="30" customHeight="1" x14ac:dyDescent="0.2">
      <c r="B11" s="26" t="s">
        <v>53</v>
      </c>
      <c r="D11" s="26" t="s">
        <v>67</v>
      </c>
      <c r="F11" s="27" t="s">
        <v>92</v>
      </c>
      <c r="G11" s="24" t="s">
        <v>112</v>
      </c>
      <c r="H11" s="42">
        <v>10</v>
      </c>
    </row>
    <row r="12" spans="1:14" ht="30" customHeight="1" x14ac:dyDescent="0.2">
      <c r="B12" s="26" t="s">
        <v>54</v>
      </c>
      <c r="D12" s="26" t="s">
        <v>68</v>
      </c>
      <c r="F12" s="27" t="s">
        <v>93</v>
      </c>
      <c r="G12" s="24" t="s">
        <v>113</v>
      </c>
      <c r="H12" s="42">
        <v>10</v>
      </c>
    </row>
    <row r="13" spans="1:14" ht="30" customHeight="1" x14ac:dyDescent="0.2">
      <c r="B13" s="26" t="s">
        <v>55</v>
      </c>
      <c r="D13" s="26" t="s">
        <v>69</v>
      </c>
      <c r="F13" s="27" t="s">
        <v>94</v>
      </c>
      <c r="G13" s="24" t="s">
        <v>114</v>
      </c>
      <c r="H13" s="43">
        <v>10</v>
      </c>
    </row>
    <row r="14" spans="1:14" ht="30" customHeight="1" x14ac:dyDescent="0.2">
      <c r="B14" s="26" t="s">
        <v>56</v>
      </c>
      <c r="D14" s="26" t="s">
        <v>70</v>
      </c>
      <c r="F14" s="27" t="s">
        <v>95</v>
      </c>
      <c r="G14" s="24" t="s">
        <v>115</v>
      </c>
      <c r="H14" s="43">
        <v>10</v>
      </c>
    </row>
    <row r="15" spans="1:14" ht="30" customHeight="1" x14ac:dyDescent="0.2">
      <c r="D15" s="26" t="s">
        <v>71</v>
      </c>
      <c r="F15" s="27" t="s">
        <v>96</v>
      </c>
      <c r="G15" s="24" t="s">
        <v>116</v>
      </c>
      <c r="H15" s="43">
        <v>10</v>
      </c>
    </row>
    <row r="16" spans="1:14" ht="30" customHeight="1" x14ac:dyDescent="0.2">
      <c r="D16" s="26" t="s">
        <v>72</v>
      </c>
      <c r="F16" s="27" t="s">
        <v>97</v>
      </c>
      <c r="G16" s="24" t="s">
        <v>117</v>
      </c>
      <c r="H16" s="43">
        <v>10</v>
      </c>
    </row>
    <row r="17" spans="4:8" ht="30" customHeight="1" x14ac:dyDescent="0.2">
      <c r="D17" s="26" t="s">
        <v>73</v>
      </c>
      <c r="F17" s="27" t="s">
        <v>98</v>
      </c>
      <c r="G17" s="24" t="s">
        <v>118</v>
      </c>
      <c r="H17" s="43">
        <v>10</v>
      </c>
    </row>
    <row r="18" spans="4:8" ht="30" customHeight="1" x14ac:dyDescent="0.2">
      <c r="D18" s="26" t="s">
        <v>74</v>
      </c>
      <c r="F18" s="27" t="s">
        <v>99</v>
      </c>
      <c r="G18" s="24" t="s">
        <v>119</v>
      </c>
      <c r="H18" s="43">
        <v>10</v>
      </c>
    </row>
    <row r="19" spans="4:8" ht="30" customHeight="1" x14ac:dyDescent="0.2">
      <c r="D19" s="26" t="s">
        <v>75</v>
      </c>
      <c r="F19" s="27" t="s">
        <v>100</v>
      </c>
      <c r="G19" s="24" t="s">
        <v>120</v>
      </c>
      <c r="H19" s="43">
        <v>10</v>
      </c>
    </row>
    <row r="20" spans="4:8" ht="30" customHeight="1" x14ac:dyDescent="0.2">
      <c r="D20" s="26" t="s">
        <v>76</v>
      </c>
      <c r="F20" s="27" t="s">
        <v>101</v>
      </c>
      <c r="G20" s="24" t="s">
        <v>121</v>
      </c>
      <c r="H20" s="43">
        <v>10</v>
      </c>
    </row>
    <row r="21" spans="4:8" ht="30" customHeight="1" x14ac:dyDescent="0.2">
      <c r="D21" s="26" t="s">
        <v>77</v>
      </c>
      <c r="F21" s="27" t="s">
        <v>102</v>
      </c>
      <c r="G21" s="24" t="s">
        <v>122</v>
      </c>
      <c r="H21" s="43">
        <v>10</v>
      </c>
    </row>
    <row r="22" spans="4:8" ht="30" customHeight="1" x14ac:dyDescent="0.2">
      <c r="D22" s="26" t="s">
        <v>78</v>
      </c>
      <c r="F22" s="27" t="s">
        <v>103</v>
      </c>
      <c r="G22" s="24" t="s">
        <v>123</v>
      </c>
      <c r="H22" s="43">
        <v>10</v>
      </c>
    </row>
    <row r="23" spans="4:8" ht="30" customHeight="1" x14ac:dyDescent="0.2">
      <c r="D23" s="26" t="s">
        <v>79</v>
      </c>
      <c r="F23" s="27" t="s">
        <v>104</v>
      </c>
      <c r="G23" s="24" t="s">
        <v>124</v>
      </c>
      <c r="H23" s="43">
        <v>10</v>
      </c>
    </row>
    <row r="24" spans="4:8" ht="30" customHeight="1" x14ac:dyDescent="0.2">
      <c r="D24" s="26" t="s">
        <v>80</v>
      </c>
      <c r="F24" s="27" t="s">
        <v>105</v>
      </c>
      <c r="G24" s="24" t="s">
        <v>125</v>
      </c>
      <c r="H24" s="43">
        <v>10</v>
      </c>
    </row>
  </sheetData>
  <sheetProtection selectLockedCells="1"/>
  <mergeCells count="5">
    <mergeCell ref="K2:M2"/>
    <mergeCell ref="I2:J2"/>
    <mergeCell ref="E2:H2"/>
    <mergeCell ref="C2:D2"/>
    <mergeCell ref="A2:B2"/>
  </mergeCells>
  <phoneticPr fontId="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ED075-4494-4F8F-B593-73019F6C74D4}">
  <dimension ref="B4:J22"/>
  <sheetViews>
    <sheetView topLeftCell="D1" workbookViewId="0">
      <selection activeCell="E11" sqref="E11"/>
    </sheetView>
  </sheetViews>
  <sheetFormatPr defaultRowHeight="12.75" x14ac:dyDescent="0.2"/>
  <cols>
    <col min="2" max="2" width="16.42578125" bestFit="1" customWidth="1"/>
    <col min="3" max="3" width="24.28515625" bestFit="1" customWidth="1"/>
    <col min="5" max="5" width="24.85546875" bestFit="1" customWidth="1"/>
    <col min="6" max="6" width="24.28515625" bestFit="1" customWidth="1"/>
    <col min="8" max="12" width="17" bestFit="1" customWidth="1"/>
    <col min="13" max="14" width="11.7109375" bestFit="1" customWidth="1"/>
  </cols>
  <sheetData>
    <row r="4" spans="2:10" x14ac:dyDescent="0.2">
      <c r="B4" s="59" t="s">
        <v>132</v>
      </c>
      <c r="C4" t="s">
        <v>134</v>
      </c>
      <c r="E4" s="59" t="s">
        <v>132</v>
      </c>
      <c r="F4" t="s">
        <v>134</v>
      </c>
      <c r="H4" s="61"/>
      <c r="I4" s="62"/>
      <c r="J4" s="63"/>
    </row>
    <row r="5" spans="2:10" x14ac:dyDescent="0.2">
      <c r="B5" s="60" t="s">
        <v>52</v>
      </c>
      <c r="C5" s="58">
        <v>6.4722222222222223</v>
      </c>
      <c r="E5" s="60" t="s">
        <v>62</v>
      </c>
      <c r="F5" s="58">
        <v>4.75</v>
      </c>
      <c r="H5" s="64"/>
      <c r="I5" s="65"/>
      <c r="J5" s="66"/>
    </row>
    <row r="6" spans="2:10" x14ac:dyDescent="0.2">
      <c r="B6" s="60" t="s">
        <v>55</v>
      </c>
      <c r="C6" s="58">
        <v>6.4722222222222214</v>
      </c>
      <c r="E6" s="60" t="s">
        <v>61</v>
      </c>
      <c r="F6" s="58">
        <v>5.25</v>
      </c>
      <c r="H6" s="64"/>
      <c r="I6" s="65"/>
      <c r="J6" s="66"/>
    </row>
    <row r="7" spans="2:10" x14ac:dyDescent="0.2">
      <c r="B7" s="60" t="s">
        <v>49</v>
      </c>
      <c r="C7" s="58">
        <v>7.5833333333333339</v>
      </c>
      <c r="E7" s="60" t="s">
        <v>67</v>
      </c>
      <c r="F7" s="58">
        <v>8.8333333333333339</v>
      </c>
      <c r="H7" s="64"/>
      <c r="I7" s="65"/>
      <c r="J7" s="66"/>
    </row>
    <row r="8" spans="2:10" x14ac:dyDescent="0.2">
      <c r="B8" s="60" t="s">
        <v>50</v>
      </c>
      <c r="C8" s="58">
        <v>6.416666666666667</v>
      </c>
      <c r="E8" s="60" t="s">
        <v>68</v>
      </c>
      <c r="F8" s="58">
        <v>6.166666666666667</v>
      </c>
      <c r="H8" s="64"/>
      <c r="I8" s="65"/>
      <c r="J8" s="66"/>
    </row>
    <row r="9" spans="2:10" x14ac:dyDescent="0.2">
      <c r="B9" s="60" t="s">
        <v>54</v>
      </c>
      <c r="C9" s="58">
        <v>8.0833333333333339</v>
      </c>
      <c r="E9" s="60" t="s">
        <v>66</v>
      </c>
      <c r="F9" s="58">
        <v>5.833333333333333</v>
      </c>
      <c r="H9" s="64"/>
      <c r="I9" s="65"/>
      <c r="J9" s="66"/>
    </row>
    <row r="10" spans="2:10" x14ac:dyDescent="0.2">
      <c r="B10" s="60" t="s">
        <v>48</v>
      </c>
      <c r="C10" s="58">
        <v>7.416666666666667</v>
      </c>
      <c r="E10" s="60" t="s">
        <v>70</v>
      </c>
      <c r="F10" s="58">
        <v>6.2916666666666661</v>
      </c>
      <c r="H10" s="64"/>
      <c r="I10" s="65"/>
      <c r="J10" s="66"/>
    </row>
    <row r="11" spans="2:10" x14ac:dyDescent="0.2">
      <c r="B11" s="60" t="s">
        <v>56</v>
      </c>
      <c r="C11" s="58">
        <v>6.7083333333333321</v>
      </c>
      <c r="E11" s="60" t="s">
        <v>71</v>
      </c>
      <c r="F11" s="58">
        <v>6.333333333333333</v>
      </c>
      <c r="H11" s="64"/>
      <c r="I11" s="65"/>
      <c r="J11" s="66"/>
    </row>
    <row r="12" spans="2:10" x14ac:dyDescent="0.2">
      <c r="B12" s="60" t="s">
        <v>47</v>
      </c>
      <c r="C12" s="58">
        <v>5.75</v>
      </c>
      <c r="E12" s="60" t="s">
        <v>72</v>
      </c>
      <c r="F12" s="58">
        <v>7.3055555555555545</v>
      </c>
      <c r="H12" s="64"/>
      <c r="I12" s="65"/>
      <c r="J12" s="66"/>
    </row>
    <row r="13" spans="2:10" x14ac:dyDescent="0.2">
      <c r="B13" s="60" t="s">
        <v>51</v>
      </c>
      <c r="C13" s="58">
        <v>6.5</v>
      </c>
      <c r="E13" s="60" t="s">
        <v>73</v>
      </c>
      <c r="F13" s="58">
        <v>6.833333333333333</v>
      </c>
      <c r="H13" s="64"/>
      <c r="I13" s="65"/>
      <c r="J13" s="66"/>
    </row>
    <row r="14" spans="2:10" x14ac:dyDescent="0.2">
      <c r="B14" s="60" t="s">
        <v>133</v>
      </c>
      <c r="C14" s="58">
        <v>6.7348484848484844</v>
      </c>
      <c r="E14" s="60" t="s">
        <v>74</v>
      </c>
      <c r="F14" s="58">
        <v>6.75</v>
      </c>
      <c r="H14" s="64"/>
      <c r="I14" s="65"/>
      <c r="J14" s="66"/>
    </row>
    <row r="15" spans="2:10" x14ac:dyDescent="0.2">
      <c r="E15" s="60" t="s">
        <v>75</v>
      </c>
      <c r="F15" s="58">
        <v>6</v>
      </c>
      <c r="H15" s="64"/>
      <c r="I15" s="65"/>
      <c r="J15" s="66"/>
    </row>
    <row r="16" spans="2:10" x14ac:dyDescent="0.2">
      <c r="E16" s="60" t="s">
        <v>76</v>
      </c>
      <c r="F16" s="58">
        <v>6.416666666666667</v>
      </c>
      <c r="H16" s="64"/>
      <c r="I16" s="65"/>
      <c r="J16" s="66"/>
    </row>
    <row r="17" spans="5:10" x14ac:dyDescent="0.2">
      <c r="E17" s="60" t="s">
        <v>77</v>
      </c>
      <c r="F17" s="58">
        <v>6.25</v>
      </c>
      <c r="H17" s="64"/>
      <c r="I17" s="65"/>
      <c r="J17" s="66"/>
    </row>
    <row r="18" spans="5:10" x14ac:dyDescent="0.2">
      <c r="E18" s="60" t="s">
        <v>78</v>
      </c>
      <c r="F18" s="58">
        <v>6.166666666666667</v>
      </c>
      <c r="H18" s="64"/>
      <c r="I18" s="65"/>
      <c r="J18" s="66"/>
    </row>
    <row r="19" spans="5:10" x14ac:dyDescent="0.2">
      <c r="E19" s="60" t="s">
        <v>79</v>
      </c>
      <c r="F19" s="58">
        <v>8.5833333333333339</v>
      </c>
      <c r="H19" s="64"/>
      <c r="I19" s="65"/>
      <c r="J19" s="66"/>
    </row>
    <row r="20" spans="5:10" x14ac:dyDescent="0.2">
      <c r="E20" s="60" t="s">
        <v>80</v>
      </c>
      <c r="F20" s="58">
        <v>7.416666666666667</v>
      </c>
      <c r="H20" s="64"/>
      <c r="I20" s="65"/>
      <c r="J20" s="66"/>
    </row>
    <row r="21" spans="5:10" x14ac:dyDescent="0.2">
      <c r="E21" s="60" t="s">
        <v>64</v>
      </c>
      <c r="F21" s="58">
        <v>7.3611111111111116</v>
      </c>
      <c r="H21" s="67"/>
      <c r="I21" s="68"/>
      <c r="J21" s="69"/>
    </row>
    <row r="22" spans="5:10" x14ac:dyDescent="0.2">
      <c r="E22" s="60" t="s">
        <v>133</v>
      </c>
      <c r="F22" s="58">
        <v>6.7348484848484853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67B1C36-39B2-4DB4-96A4-CA08510B0B01}">
  <ds:schemaRefs>
    <ds:schemaRef ds:uri="http://schemas.microsoft.com/DataMashup"/>
  </ds:schemaRefs>
</ds:datastoreItem>
</file>

<file path=customXml/itemProps3.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4.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Introduction</vt:lpstr>
      <vt:lpstr>Audit Evaluation</vt:lpstr>
      <vt:lpstr>Audit Database</vt:lpstr>
      <vt:lpstr>Sheet3</vt:lpstr>
      <vt:lpstr>'Audit Evaluation'!Criteria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2024-09-20T12:26:05Z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