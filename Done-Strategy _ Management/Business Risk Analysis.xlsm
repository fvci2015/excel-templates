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4470D2CD-2249-CD33-4A35-6F278624656F}"/>
  <workbookPr codeName="ThisWorkbook" hidePivotFieldList="1" defaultThemeVersion="124226"/>
  <mc:AlternateContent xmlns:mc="http://schemas.openxmlformats.org/markup-compatibility/2006">
    <mc:Choice Requires="x15">
      <x15ac:absPath xmlns:x15ac="http://schemas.microsoft.com/office/spreadsheetml/2010/11/ac" url="D:\yash_jain_vesu\Future_Vision\books\advance_excel\NEW-FILES-PROJECTS\100+ Premium Excel Templates\Strategy _ Management\"/>
    </mc:Choice>
  </mc:AlternateContent>
  <xr:revisionPtr revIDLastSave="0" documentId="13_ncr:1_{ACDA35DD-C477-4DD1-B96A-AC1A7C07FA89}" xr6:coauthVersionLast="47" xr6:coauthVersionMax="47" xr10:uidLastSave="{00000000-0000-0000-0000-000000000000}"/>
  <bookViews>
    <workbookView xWindow="-120" yWindow="-120" windowWidth="29040" windowHeight="15840" xr2:uid="{00000000-000D-0000-FFFF-FFFF00000000}"/>
  </bookViews>
  <sheets>
    <sheet name="Introduction" sheetId="3" r:id="rId1"/>
    <sheet name="Risk analyis" sheetId="18" r:id="rId2"/>
    <sheet name="Sheet1" sheetId="21" state="hidden" r:id="rId3"/>
  </sheets>
  <definedNames>
    <definedName name="Slicer_Related_department">#N/A</definedName>
    <definedName name="Slicer_Status">#N/A</definedName>
  </definedNames>
  <calcPr calcId="191029"/>
  <pivotCaches>
    <pivotCache cacheId="1"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6" i="18" l="1"/>
  <c r="G16" i="18" s="1"/>
  <c r="J16" i="18"/>
  <c r="L16" i="18"/>
  <c r="L11" i="18"/>
  <c r="L12" i="18"/>
  <c r="L13" i="18"/>
  <c r="L14" i="18"/>
  <c r="L15" i="18"/>
  <c r="L17" i="18"/>
  <c r="L18" i="18"/>
  <c r="L19" i="18"/>
  <c r="L20" i="18"/>
  <c r="L21" i="18"/>
  <c r="J11" i="18"/>
  <c r="J12" i="18"/>
  <c r="J13" i="18"/>
  <c r="J14" i="18"/>
  <c r="J15" i="18"/>
  <c r="J17" i="18"/>
  <c r="J18" i="18"/>
  <c r="J19" i="18"/>
  <c r="J20" i="18"/>
  <c r="J21" i="18"/>
  <c r="F21" i="18" l="1"/>
  <c r="G21" i="18" s="1"/>
  <c r="F20" i="18"/>
  <c r="G20" i="18" s="1"/>
  <c r="F19" i="18"/>
  <c r="G19" i="18" s="1"/>
  <c r="F18" i="18"/>
  <c r="G18" i="18" s="1"/>
  <c r="F17" i="18"/>
  <c r="G17" i="18" s="1"/>
  <c r="F15" i="18"/>
  <c r="G15" i="18" s="1"/>
  <c r="F14" i="18"/>
  <c r="G14" i="18" s="1"/>
  <c r="F13" i="18"/>
  <c r="G13" i="18" s="1"/>
  <c r="F12" i="18" l="1"/>
  <c r="G12" i="18" s="1"/>
  <c r="F11" i="18" l="1"/>
  <c r="G11" i="18" s="1"/>
</calcChain>
</file>

<file path=xl/sharedStrings.xml><?xml version="1.0" encoding="utf-8"?>
<sst xmlns="http://schemas.openxmlformats.org/spreadsheetml/2006/main" count="135" uniqueCount="97">
  <si>
    <t>Title</t>
  </si>
  <si>
    <t>Navigation</t>
  </si>
  <si>
    <t>Content</t>
  </si>
  <si>
    <t>Customization difficulty (1-3)</t>
  </si>
  <si>
    <t>Explanation of sheets</t>
  </si>
  <si>
    <t>How to customize</t>
  </si>
  <si>
    <t>1)</t>
  </si>
  <si>
    <t>2)</t>
  </si>
  <si>
    <t>3)</t>
  </si>
  <si>
    <t>4)</t>
  </si>
  <si>
    <t>5)</t>
  </si>
  <si>
    <t>6)</t>
  </si>
  <si>
    <t>Business risk analysis</t>
  </si>
  <si>
    <t>Severity --&gt;</t>
  </si>
  <si>
    <t>Probability --&gt;</t>
  </si>
  <si>
    <t>Probability</t>
  </si>
  <si>
    <t>Severity</t>
  </si>
  <si>
    <t>Risk description</t>
  </si>
  <si>
    <t>Action taken</t>
  </si>
  <si>
    <t>Related department</t>
  </si>
  <si>
    <t>In-progress</t>
  </si>
  <si>
    <t>Risk No.</t>
  </si>
  <si>
    <t>Delay shipment</t>
  </si>
  <si>
    <t>Material</t>
  </si>
  <si>
    <t>Request air shipment</t>
  </si>
  <si>
    <t>Key staff leave</t>
  </si>
  <si>
    <t>Production</t>
  </si>
  <si>
    <t>Negotiate with him</t>
  </si>
  <si>
    <t>Not start</t>
  </si>
  <si>
    <t>Exchange rate changes</t>
  </si>
  <si>
    <t>Finance</t>
  </si>
  <si>
    <t>Accept deal</t>
  </si>
  <si>
    <t>Closed</t>
  </si>
  <si>
    <t>Data lose from cloud</t>
  </si>
  <si>
    <t>IT</t>
  </si>
  <si>
    <t>Make backup</t>
  </si>
  <si>
    <t>Funding risk</t>
  </si>
  <si>
    <t>Bad weather</t>
  </si>
  <si>
    <t>Safety</t>
  </si>
  <si>
    <t>Make OFF day</t>
  </si>
  <si>
    <t>Risk issue 8</t>
  </si>
  <si>
    <t>Risk issue 9</t>
  </si>
  <si>
    <t>Risk issue 10</t>
  </si>
  <si>
    <t>Department 1</t>
  </si>
  <si>
    <t>Department 4</t>
  </si>
  <si>
    <t>Department 3</t>
  </si>
  <si>
    <t>Department 6</t>
  </si>
  <si>
    <t>add funds to bank account</t>
  </si>
  <si>
    <t>Degree</t>
  </si>
  <si>
    <t>Row Labels</t>
  </si>
  <si>
    <t>Grand Total</t>
  </si>
  <si>
    <t>Status</t>
  </si>
  <si>
    <t>Weak</t>
  </si>
  <si>
    <t>Dangerous</t>
  </si>
  <si>
    <t>Low</t>
  </si>
  <si>
    <t>Medium</t>
  </si>
  <si>
    <t>Hight</t>
  </si>
  <si>
    <t>Danger</t>
  </si>
  <si>
    <t>High</t>
  </si>
  <si>
    <t>Count of Degree</t>
  </si>
  <si>
    <t>Sum of Risk No.</t>
  </si>
  <si>
    <t>S</t>
  </si>
  <si>
    <t>Due date</t>
  </si>
  <si>
    <t>Remain</t>
  </si>
  <si>
    <t>Sum of Remain</t>
  </si>
  <si>
    <t>Risk Analysis is a process that helps you identify and manage potential problems that could undermine key business initiatives or projects.</t>
  </si>
  <si>
    <t>Risk analysis</t>
  </si>
  <si>
    <t>Probability of risk</t>
  </si>
  <si>
    <t>Severity of risk</t>
  </si>
  <si>
    <t>Risk number</t>
  </si>
  <si>
    <t>Risk mapping</t>
  </si>
  <si>
    <t>Worker accident</t>
  </si>
  <si>
    <t>Wear PPE's</t>
  </si>
  <si>
    <t>is the chance that a risk will occur. By definition, a risk is a probability of a loss.</t>
  </si>
  <si>
    <t>severity of the most likely problem that will occur.</t>
  </si>
  <si>
    <t>It's multiply of risk probability and risk severity</t>
  </si>
  <si>
    <t>It shows map of risk in productivity matrix of risk probability with risk severity</t>
  </si>
  <si>
    <t>Main sheet to record and enter your business risks with details and summarize risk priority analysis in dynamic dashboard</t>
  </si>
  <si>
    <t>Starting from risk analysis enter risk issues with required details in light green black font column header</t>
  </si>
  <si>
    <t>From risk mapping you can filter your data according to risk degree zone</t>
  </si>
  <si>
    <t>Clear your filter from clear button</t>
  </si>
  <si>
    <t>From Top bar dashboard you can manipulate your data in preview graphs using slicers</t>
  </si>
  <si>
    <t>To update new entries and reflect in dashboard Click "Refresh" buttons</t>
  </si>
  <si>
    <t>Risk issue 11</t>
  </si>
  <si>
    <t>No need to insert row to add new risk details, Just record your data in last empty row and automatically will included to risk table</t>
  </si>
  <si>
    <t>Risk Analysis</t>
  </si>
  <si>
    <t>Related To Online Templates</t>
  </si>
  <si>
    <t>Our templates is compatible with online service but some templates that including macros feature is still not supported with Excel Online</t>
  </si>
  <si>
    <t>Here is some hints that replace our macros in case of using Online Template</t>
  </si>
  <si>
    <t>Referesh / Update Data</t>
  </si>
  <si>
    <r>
      <t xml:space="preserve">Some of our templates include </t>
    </r>
    <r>
      <rPr>
        <b/>
        <sz val="10"/>
        <color theme="1"/>
        <rFont val="Arial"/>
        <family val="2"/>
      </rPr>
      <t xml:space="preserve">Referesh/Update data </t>
    </r>
    <r>
      <rPr>
        <sz val="10"/>
        <color theme="1"/>
        <rFont val="Arial"/>
        <family val="2"/>
      </rPr>
      <t>macro button that can be replaced with Referesh All tool in Excel Online ribbon</t>
    </r>
  </si>
  <si>
    <t>Full Screen</t>
  </si>
  <si>
    <r>
      <t xml:space="preserve">Some of our templates have </t>
    </r>
    <r>
      <rPr>
        <b/>
        <sz val="10"/>
        <color theme="1"/>
        <rFont val="Arial"/>
        <family val="2"/>
      </rPr>
      <t xml:space="preserve">Full Screen </t>
    </r>
    <r>
      <rPr>
        <sz val="10"/>
        <color theme="1"/>
        <rFont val="Arial"/>
        <family val="2"/>
      </rPr>
      <t xml:space="preserve">macro button that can be replaced with the itself web browser full screen tool </t>
    </r>
  </si>
  <si>
    <r>
      <t xml:space="preserve">Other macros is applied on less than ~15% of our templats can be overcome by transferring to Desktop App </t>
    </r>
    <r>
      <rPr>
        <b/>
        <sz val="10"/>
        <color theme="1"/>
        <rFont val="Arial"/>
        <family val="2"/>
      </rPr>
      <t>"Open in Desktop App"</t>
    </r>
    <r>
      <rPr>
        <sz val="10"/>
        <color theme="1"/>
        <rFont val="Arial"/>
        <family val="2"/>
      </rPr>
      <t xml:space="preserve"> button</t>
    </r>
  </si>
  <si>
    <t>Other Macros / Buttons</t>
  </si>
  <si>
    <t>Open in Desktop App</t>
  </si>
  <si>
    <t>To open online template using Desktop App be sure that you signed in to your Microsoft account / Onedrive account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</si>
</sst>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quot;&quot;&quot;&quot;"/>
  </numFmts>
  <fonts count="19" x14ac:knownFonts="1">
    <font>
      <sz val="10"/>
      <name val="Arial"/>
    </font>
    <font>
      <sz val="11"/>
      <color theme="1"/>
      <name val="Calibri"/>
      <family val="2"/>
      <scheme val="minor"/>
    </font>
    <font>
      <sz val="10"/>
      <color theme="1"/>
      <name val="Arial"/>
      <family val="2"/>
    </font>
    <font>
      <b/>
      <sz val="10"/>
      <color theme="1"/>
      <name val="Arial"/>
      <family val="2"/>
    </font>
    <font>
      <u/>
      <sz val="11"/>
      <color theme="10"/>
      <name val="Calibri"/>
      <family val="2"/>
      <scheme val="minor"/>
    </font>
    <font>
      <i/>
      <u/>
      <sz val="10"/>
      <color theme="1"/>
      <name val="Arial"/>
      <family val="2"/>
    </font>
    <font>
      <b/>
      <u/>
      <sz val="10"/>
      <color theme="1"/>
      <name val="Arial"/>
      <family val="2"/>
    </font>
    <font>
      <b/>
      <sz val="10"/>
      <color theme="0"/>
      <name val="Arial"/>
      <family val="2"/>
    </font>
    <font>
      <sz val="10"/>
      <color theme="0"/>
      <name val="Arial"/>
      <family val="2"/>
    </font>
    <font>
      <sz val="10"/>
      <name val="Arial"/>
      <family val="2"/>
    </font>
    <font>
      <sz val="10"/>
      <name val="Arial"/>
      <family val="2"/>
    </font>
    <font>
      <b/>
      <sz val="10"/>
      <color rgb="FF50B47F"/>
      <name val="Arial"/>
      <family val="2"/>
    </font>
    <font>
      <sz val="8"/>
      <name val="Arial"/>
      <family val="2"/>
    </font>
    <font>
      <sz val="10"/>
      <color rgb="FF000000"/>
      <name val="Arial"/>
      <family val="2"/>
    </font>
    <font>
      <sz val="10"/>
      <color rgb="FF8FCFAD"/>
      <name val="Arial"/>
      <family val="2"/>
    </font>
    <font>
      <sz val="9"/>
      <name val="Arial"/>
      <family val="2"/>
    </font>
    <font>
      <u/>
      <sz val="10"/>
      <color theme="10"/>
      <name val="Arial"/>
      <family val="2"/>
    </font>
    <font>
      <u/>
      <sz val="10"/>
      <color theme="0"/>
      <name val="Arial"/>
      <family val="2"/>
    </font>
    <font>
      <b/>
      <sz val="11"/>
      <color rgb="FF50B47F"/>
      <name val="Arial"/>
      <family val="2"/>
    </font>
  </fonts>
  <fills count="8">
    <fill>
      <patternFill patternType="none"/>
    </fill>
    <fill>
      <patternFill patternType="gray125"/>
    </fill>
    <fill>
      <patternFill patternType="solid">
        <fgColor rgb="FF50B47F"/>
        <bgColor indexed="64"/>
      </patternFill>
    </fill>
    <fill>
      <patternFill patternType="solid">
        <fgColor rgb="FF8FCFAD"/>
        <bgColor indexed="64"/>
      </patternFill>
    </fill>
    <fill>
      <patternFill patternType="solid">
        <fgColor theme="0" tint="-0.14999847407452621"/>
        <bgColor indexed="64"/>
      </patternFill>
    </fill>
    <fill>
      <patternFill patternType="solid">
        <fgColor rgb="FFFFFF5B"/>
        <bgColor indexed="64"/>
      </patternFill>
    </fill>
    <fill>
      <patternFill patternType="solid">
        <fgColor rgb="FFFFCB25"/>
        <bgColor indexed="64"/>
      </patternFill>
    </fill>
    <fill>
      <patternFill patternType="solid">
        <fgColor rgb="FFC00000"/>
        <bgColor indexed="64"/>
      </patternFill>
    </fill>
  </fills>
  <borders count="10">
    <border>
      <left/>
      <right/>
      <top/>
      <bottom/>
      <diagonal/>
    </border>
    <border>
      <left style="thin">
        <color theme="0"/>
      </left>
      <right style="thin">
        <color theme="0"/>
      </right>
      <top style="thin">
        <color theme="0"/>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diagonal/>
    </border>
  </borders>
  <cellStyleXfs count="6">
    <xf numFmtId="0" fontId="0" fillId="0" borderId="0"/>
    <xf numFmtId="0" fontId="1" fillId="0" borderId="0"/>
    <xf numFmtId="0" fontId="4" fillId="0" borderId="0" applyNumberFormat="0" applyFill="0" applyBorder="0" applyAlignment="0" applyProtection="0"/>
    <xf numFmtId="0" fontId="2" fillId="0" borderId="0"/>
    <xf numFmtId="9" fontId="10" fillId="0" borderId="0" applyFont="0" applyFill="0" applyBorder="0" applyAlignment="0" applyProtection="0"/>
    <xf numFmtId="0" fontId="16" fillId="0" borderId="0" applyNumberFormat="0" applyFill="0" applyBorder="0" applyAlignment="0" applyProtection="0"/>
  </cellStyleXfs>
  <cellXfs count="55">
    <xf numFmtId="0" fontId="0" fillId="0" borderId="0" xfId="0"/>
    <xf numFmtId="0" fontId="2" fillId="0" borderId="0" xfId="1" applyFont="1"/>
    <xf numFmtId="0" fontId="3" fillId="0" borderId="0" xfId="1" applyFont="1"/>
    <xf numFmtId="0" fontId="5" fillId="0" borderId="0" xfId="1" applyFont="1" applyAlignment="1">
      <alignment horizontal="right"/>
    </xf>
    <xf numFmtId="0" fontId="3" fillId="0" borderId="0" xfId="3" applyFont="1"/>
    <xf numFmtId="0" fontId="6" fillId="0" borderId="0" xfId="1" applyFont="1" applyAlignment="1">
      <alignment horizontal="right"/>
    </xf>
    <xf numFmtId="0" fontId="2" fillId="0" borderId="0" xfId="1" applyFont="1" applyAlignment="1">
      <alignment horizontal="right"/>
    </xf>
    <xf numFmtId="0" fontId="2" fillId="2" borderId="0" xfId="1" applyFont="1" applyFill="1"/>
    <xf numFmtId="0" fontId="7" fillId="2" borderId="0" xfId="1" applyFont="1" applyFill="1"/>
    <xf numFmtId="0" fontId="8" fillId="2" borderId="0" xfId="1" applyFont="1" applyFill="1"/>
    <xf numFmtId="0" fontId="9" fillId="0" borderId="0" xfId="0" applyFont="1"/>
    <xf numFmtId="0" fontId="8" fillId="2" borderId="0" xfId="0" applyFont="1" applyFill="1"/>
    <xf numFmtId="0" fontId="0" fillId="4" borderId="0" xfId="0" applyFill="1" applyAlignment="1">
      <alignment horizontal="center" vertical="center"/>
    </xf>
    <xf numFmtId="0" fontId="9" fillId="3" borderId="0" xfId="0" applyFont="1" applyFill="1"/>
    <xf numFmtId="0" fontId="9" fillId="3" borderId="0" xfId="0" applyFont="1" applyFill="1" applyAlignment="1">
      <alignment horizontal="center"/>
    </xf>
    <xf numFmtId="0" fontId="0" fillId="0" borderId="0" xfId="0" applyAlignment="1">
      <alignment horizontal="center"/>
    </xf>
    <xf numFmtId="0" fontId="0" fillId="5" borderId="1" xfId="0" applyFill="1" applyBorder="1" applyAlignment="1">
      <alignment horizontal="center" vertical="center"/>
    </xf>
    <xf numFmtId="0" fontId="0" fillId="5" borderId="2" xfId="0" applyFill="1" applyBorder="1" applyAlignment="1">
      <alignment horizontal="center" vertical="center"/>
    </xf>
    <xf numFmtId="0" fontId="0" fillId="5" borderId="3" xfId="0" applyFill="1" applyBorder="1" applyAlignment="1">
      <alignment horizontal="center" vertical="center"/>
    </xf>
    <xf numFmtId="0" fontId="0" fillId="6" borderId="3" xfId="0" applyFill="1" applyBorder="1" applyAlignment="1">
      <alignment horizontal="center" vertical="center"/>
    </xf>
    <xf numFmtId="0" fontId="0" fillId="3" borderId="5" xfId="0" applyFill="1" applyBorder="1" applyAlignment="1">
      <alignment horizontal="center" vertical="center"/>
    </xf>
    <xf numFmtId="0" fontId="0" fillId="6" borderId="6" xfId="0" applyFill="1" applyBorder="1" applyAlignment="1">
      <alignment horizontal="center" vertical="center"/>
    </xf>
    <xf numFmtId="0" fontId="0" fillId="5" borderId="6" xfId="0" applyFill="1" applyBorder="1" applyAlignment="1">
      <alignment horizontal="center" vertical="center"/>
    </xf>
    <xf numFmtId="0" fontId="0" fillId="5" borderId="9" xfId="0" applyFill="1" applyBorder="1" applyAlignment="1">
      <alignment horizontal="center" vertical="center"/>
    </xf>
    <xf numFmtId="164" fontId="0" fillId="4" borderId="0" xfId="0" applyNumberFormat="1" applyFill="1" applyAlignment="1">
      <alignment horizontal="center" vertical="center"/>
    </xf>
    <xf numFmtId="9" fontId="0" fillId="0" borderId="0" xfId="4" applyFont="1"/>
    <xf numFmtId="0" fontId="11" fillId="0" borderId="0" xfId="0" applyFont="1" applyAlignment="1">
      <alignment vertical="center"/>
    </xf>
    <xf numFmtId="9" fontId="9" fillId="0" borderId="0" xfId="4" applyFont="1" applyAlignment="1">
      <alignment horizontal="center"/>
    </xf>
    <xf numFmtId="0" fontId="8" fillId="7" borderId="3" xfId="0" applyFont="1" applyFill="1" applyBorder="1" applyAlignment="1">
      <alignment horizontal="center" vertical="center"/>
    </xf>
    <xf numFmtId="0" fontId="8" fillId="7" borderId="4" xfId="0" applyFont="1" applyFill="1" applyBorder="1" applyAlignment="1">
      <alignment horizontal="center" vertical="center"/>
    </xf>
    <xf numFmtId="0" fontId="8" fillId="7" borderId="6" xfId="0" applyFont="1" applyFill="1" applyBorder="1" applyAlignment="1">
      <alignment horizontal="center" vertical="center"/>
    </xf>
    <xf numFmtId="0" fontId="8" fillId="2" borderId="5" xfId="0" applyFont="1" applyFill="1" applyBorder="1" applyAlignment="1">
      <alignment horizontal="center" vertical="center"/>
    </xf>
    <xf numFmtId="0" fontId="8" fillId="2" borderId="7" xfId="0" applyFont="1" applyFill="1" applyBorder="1" applyAlignment="1">
      <alignment horizontal="center" vertical="center"/>
    </xf>
    <xf numFmtId="0" fontId="8" fillId="2" borderId="8" xfId="0" applyFont="1" applyFill="1" applyBorder="1" applyAlignment="1">
      <alignment horizontal="center" vertical="center"/>
    </xf>
    <xf numFmtId="9" fontId="0" fillId="0" borderId="0" xfId="4" applyFont="1" applyAlignment="1">
      <alignment horizontal="center"/>
    </xf>
    <xf numFmtId="0" fontId="0" fillId="0" borderId="0" xfId="0" pivotButton="1"/>
    <xf numFmtId="0" fontId="0" fillId="0" borderId="0" xfId="0" applyAlignment="1">
      <alignment horizontal="left"/>
    </xf>
    <xf numFmtId="0" fontId="9" fillId="3" borderId="1" xfId="0" applyFont="1" applyFill="1" applyBorder="1" applyAlignment="1">
      <alignment horizontal="center" vertical="center"/>
    </xf>
    <xf numFmtId="0" fontId="9" fillId="3" borderId="8" xfId="0" applyFont="1" applyFill="1" applyBorder="1" applyAlignment="1">
      <alignment horizontal="center" vertical="center"/>
    </xf>
    <xf numFmtId="0" fontId="9" fillId="5" borderId="1" xfId="0" applyFont="1" applyFill="1" applyBorder="1" applyAlignment="1">
      <alignment horizontal="center" vertical="center"/>
    </xf>
    <xf numFmtId="0" fontId="9" fillId="6" borderId="1" xfId="0" applyFont="1" applyFill="1" applyBorder="1" applyAlignment="1">
      <alignment horizontal="center" vertical="center"/>
    </xf>
    <xf numFmtId="165" fontId="0" fillId="0" borderId="0" xfId="0" applyNumberFormat="1" applyAlignment="1">
      <alignment horizontal="left"/>
    </xf>
    <xf numFmtId="0" fontId="14" fillId="3" borderId="0" xfId="0" applyFont="1" applyFill="1"/>
    <xf numFmtId="14" fontId="15" fillId="0" borderId="0" xfId="0" applyNumberFormat="1" applyFont="1"/>
    <xf numFmtId="0" fontId="17" fillId="2" borderId="0" xfId="5" applyFont="1" applyFill="1"/>
    <xf numFmtId="0" fontId="3" fillId="0" borderId="0" xfId="0" applyFont="1"/>
    <xf numFmtId="0" fontId="2" fillId="0" borderId="0" xfId="0" applyFont="1" applyAlignment="1">
      <alignment horizontal="right"/>
    </xf>
    <xf numFmtId="0" fontId="2" fillId="0" borderId="0" xfId="0" applyFont="1" applyAlignment="1">
      <alignment horizontal="left"/>
    </xf>
    <xf numFmtId="0" fontId="2" fillId="0" borderId="0" xfId="0" applyFont="1"/>
    <xf numFmtId="0" fontId="3" fillId="0" borderId="0" xfId="0" applyFont="1" applyAlignment="1">
      <alignment horizontal="right"/>
    </xf>
    <xf numFmtId="0" fontId="2" fillId="0" borderId="0" xfId="3"/>
    <xf numFmtId="0" fontId="16" fillId="0" borderId="0" xfId="5"/>
    <xf numFmtId="0" fontId="18" fillId="0" borderId="0" xfId="0" applyFont="1" applyAlignment="1">
      <alignment horizontal="center"/>
    </xf>
    <xf numFmtId="0" fontId="9" fillId="0" borderId="0" xfId="0" applyFont="1" applyAlignment="1">
      <alignment textRotation="90"/>
    </xf>
    <xf numFmtId="0" fontId="0" fillId="0" borderId="0" xfId="0" applyAlignment="1">
      <alignment textRotation="90"/>
    </xf>
  </cellXfs>
  <cellStyles count="6">
    <cellStyle name="Hyperlink" xfId="5" builtinId="8"/>
    <cellStyle name="Hyperlink 2" xfId="2" xr:uid="{C655A027-0E0A-4515-8F37-17149F1729DF}"/>
    <cellStyle name="Normal" xfId="0" builtinId="0"/>
    <cellStyle name="Normal 2" xfId="1" xr:uid="{538F14FF-6232-45A2-AFCB-2E8184F85E71}"/>
    <cellStyle name="Normal 2 2" xfId="3" xr:uid="{EC160B6C-61A3-46B1-AF32-02D3873369EF}"/>
    <cellStyle name="Percent" xfId="4" builtinId="5"/>
  </cellStyles>
  <dxfs count="18">
    <dxf>
      <numFmt numFmtId="0" formatCode="General"/>
    </dxf>
    <dxf>
      <font>
        <strike val="0"/>
        <outline val="0"/>
        <shadow val="0"/>
        <u val="none"/>
        <vertAlign val="baseline"/>
        <sz val="9"/>
        <color auto="1"/>
        <name val="Arial"/>
        <family val="2"/>
        <scheme val="none"/>
      </font>
    </dxf>
    <dxf>
      <numFmt numFmtId="165" formatCode="&quot;&quot;&quot;&quot;"/>
      <alignment horizontal="left"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bottom" textRotation="0" wrapText="0" indent="0" justifyLastLine="0" shrinkToFit="0" readingOrder="0"/>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50B47F"/>
      </font>
    </dxf>
    <dxf>
      <font>
        <color rgb="FF9C5700"/>
      </font>
      <fill>
        <patternFill>
          <bgColor rgb="FFFFEB9C"/>
        </patternFill>
      </fill>
    </dxf>
    <dxf>
      <font>
        <color rgb="FF9C0006"/>
      </font>
      <fill>
        <patternFill>
          <bgColor rgb="FFFFC7CE"/>
        </patternFill>
      </fill>
    </dxf>
    <dxf>
      <font>
        <color theme="0"/>
      </font>
      <fill>
        <patternFill>
          <bgColor rgb="FFC00000"/>
        </patternFill>
      </fill>
    </dxf>
    <dxf>
      <font>
        <color rgb="FFC00000"/>
      </font>
    </dxf>
    <dxf>
      <font>
        <color rgb="FF50B47F"/>
      </font>
    </dxf>
    <dxf>
      <font>
        <color rgb="FFEAB200"/>
      </font>
    </dxf>
  </dxfs>
  <tableStyles count="0" defaultTableStyle="TableStyleMedium2" defaultPivotStyle="PivotStyleLight16"/>
  <colors>
    <mruColors>
      <color rgb="FF50B47F"/>
      <color rgb="FF8FCFAD"/>
      <color rgb="FFFFCB25"/>
      <color rgb="FFEAB200"/>
      <color rgb="FF00D25F"/>
      <color rgb="FFFFFF5B"/>
      <color rgb="FFFF4747"/>
      <color rgb="FFFFBDBD"/>
      <color rgb="FFFFA7A7"/>
      <color rgb="FFC8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 Risk Analysis.xlsm]Sheet1!PivotTable2</c:name>
    <c:fmtId val="1"/>
  </c:pivotSource>
  <c:chart>
    <c:title>
      <c:tx>
        <c:rich>
          <a:bodyPr rot="0" spcFirstLastPara="1" vertOverflow="ellipsis" vert="horz" wrap="square" anchor="ctr" anchorCtr="1"/>
          <a:lstStyle/>
          <a:p>
            <a:pPr>
              <a:defRPr sz="1400" b="0" i="0" u="none" strike="noStrike" kern="1200" spc="0" baseline="0">
                <a:solidFill>
                  <a:srgbClr val="50B47F"/>
                </a:solidFill>
                <a:latin typeface="Arial" panose="020B0604020202020204" pitchFamily="34" charset="0"/>
                <a:ea typeface="+mn-ea"/>
                <a:cs typeface="Arial" panose="020B0604020202020204" pitchFamily="34" charset="0"/>
              </a:defRPr>
            </a:pPr>
            <a:r>
              <a:rPr lang="en-US">
                <a:solidFill>
                  <a:srgbClr val="50B47F"/>
                </a:solidFill>
                <a:latin typeface="Arial" panose="020B0604020202020204" pitchFamily="34" charset="0"/>
                <a:cs typeface="Arial" panose="020B0604020202020204" pitchFamily="34" charset="0"/>
              </a:rPr>
              <a:t>Risk issues category</a:t>
            </a:r>
          </a:p>
        </c:rich>
      </c:tx>
      <c:layout>
        <c:manualLayout>
          <c:xMode val="edge"/>
          <c:yMode val="edge"/>
          <c:x val="0.15538375106676613"/>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50B47F"/>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8FCFAD"/>
          </a:solidFill>
          <a:ln>
            <a:solidFill>
              <a:srgbClr val="50B47F"/>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8FCFAD"/>
          </a:solidFill>
          <a:ln>
            <a:solidFill>
              <a:srgbClr val="50B47F"/>
            </a:solidFill>
          </a:ln>
          <a:effectLst/>
        </c:spPr>
      </c:pivotFmt>
      <c:pivotFmt>
        <c:idx val="3"/>
        <c:spPr>
          <a:solidFill>
            <a:srgbClr val="8FCFAD"/>
          </a:solidFill>
          <a:ln>
            <a:solidFill>
              <a:srgbClr val="50B47F"/>
            </a:solidFill>
          </a:ln>
          <a:effectLst/>
        </c:spPr>
      </c:pivotFmt>
      <c:pivotFmt>
        <c:idx val="4"/>
        <c:spPr>
          <a:solidFill>
            <a:srgbClr val="8FCFAD"/>
          </a:solidFill>
          <a:ln>
            <a:solidFill>
              <a:srgbClr val="50B47F"/>
            </a:solidFill>
          </a:ln>
          <a:effectLst/>
        </c:spPr>
      </c:pivotFmt>
      <c:pivotFmt>
        <c:idx val="5"/>
        <c:spPr>
          <a:solidFill>
            <a:srgbClr val="8FCFAD"/>
          </a:solidFill>
          <a:ln>
            <a:solidFill>
              <a:srgbClr val="50B47F"/>
            </a:solidFill>
          </a:ln>
          <a:effectLst/>
        </c:spPr>
      </c:pivotFmt>
      <c:pivotFmt>
        <c:idx val="6"/>
        <c:spPr>
          <a:solidFill>
            <a:srgbClr val="8FCFAD"/>
          </a:solidFill>
          <a:ln>
            <a:solidFill>
              <a:srgbClr val="50B47F"/>
            </a:solidFill>
          </a:ln>
          <a:effectLst/>
        </c:spPr>
      </c:pivotFmt>
    </c:pivotFmts>
    <c:plotArea>
      <c:layout>
        <c:manualLayout>
          <c:layoutTarget val="inner"/>
          <c:xMode val="edge"/>
          <c:yMode val="edge"/>
          <c:x val="0.27839233648943978"/>
          <c:y val="0.14359221837349662"/>
          <c:w val="0.66518467120177738"/>
          <c:h val="0.7958899884422711"/>
        </c:manualLayout>
      </c:layout>
      <c:barChart>
        <c:barDir val="bar"/>
        <c:grouping val="clustered"/>
        <c:varyColors val="0"/>
        <c:ser>
          <c:idx val="0"/>
          <c:order val="0"/>
          <c:tx>
            <c:strRef>
              <c:f>Sheet1!$C$5</c:f>
              <c:strCache>
                <c:ptCount val="1"/>
                <c:pt idx="0">
                  <c:v>Total</c:v>
                </c:pt>
              </c:strCache>
            </c:strRef>
          </c:tx>
          <c:spPr>
            <a:solidFill>
              <a:srgbClr val="8FCFAD"/>
            </a:solidFill>
            <a:ln>
              <a:solidFill>
                <a:srgbClr val="50B47F"/>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Sheet1!$B$6:$B$10</c:f>
              <c:strCache>
                <c:ptCount val="5"/>
                <c:pt idx="0">
                  <c:v>Dangerous</c:v>
                </c:pt>
                <c:pt idx="1">
                  <c:v>High</c:v>
                </c:pt>
                <c:pt idx="2">
                  <c:v>Low</c:v>
                </c:pt>
                <c:pt idx="3">
                  <c:v>Medium</c:v>
                </c:pt>
                <c:pt idx="4">
                  <c:v>Weak</c:v>
                </c:pt>
              </c:strCache>
            </c:strRef>
          </c:cat>
          <c:val>
            <c:numRef>
              <c:f>Sheet1!$C$6:$C$10</c:f>
              <c:numCache>
                <c:formatCode>General</c:formatCode>
                <c:ptCount val="5"/>
                <c:pt idx="0">
                  <c:v>1</c:v>
                </c:pt>
                <c:pt idx="1">
                  <c:v>4</c:v>
                </c:pt>
                <c:pt idx="2">
                  <c:v>4</c:v>
                </c:pt>
                <c:pt idx="3">
                  <c:v>1</c:v>
                </c:pt>
                <c:pt idx="4">
                  <c:v>1</c:v>
                </c:pt>
              </c:numCache>
            </c:numRef>
          </c:val>
          <c:extLst>
            <c:ext xmlns:c16="http://schemas.microsoft.com/office/drawing/2014/chart" uri="{C3380CC4-5D6E-409C-BE32-E72D297353CC}">
              <c16:uniqueId val="{00000000-D165-4AF0-8581-DBA6D7AE1533}"/>
            </c:ext>
          </c:extLst>
        </c:ser>
        <c:dLbls>
          <c:showLegendKey val="0"/>
          <c:showVal val="1"/>
          <c:showCatName val="0"/>
          <c:showSerName val="0"/>
          <c:showPercent val="0"/>
          <c:showBubbleSize val="0"/>
        </c:dLbls>
        <c:gapWidth val="150"/>
        <c:axId val="1699200432"/>
        <c:axId val="1528434160"/>
      </c:barChart>
      <c:catAx>
        <c:axId val="16992004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8434160"/>
        <c:crosses val="autoZero"/>
        <c:auto val="1"/>
        <c:lblAlgn val="ctr"/>
        <c:lblOffset val="100"/>
        <c:noMultiLvlLbl val="0"/>
      </c:catAx>
      <c:valAx>
        <c:axId val="1528434160"/>
        <c:scaling>
          <c:orientation val="minMax"/>
        </c:scaling>
        <c:delete val="1"/>
        <c:axPos val="b"/>
        <c:numFmt formatCode="General" sourceLinked="1"/>
        <c:majorTickMark val="none"/>
        <c:minorTickMark val="none"/>
        <c:tickLblPos val="nextTo"/>
        <c:crossAx val="16992004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[Business Risk Analysis.xlsm]Sheet1!PivotTable3</c:name>
    <c:fmtId val="2"/>
  </c:pivotSource>
  <c:chart>
    <c:title>
      <c:tx>
        <c:rich>
          <a:bodyPr rot="0" spcFirstLastPara="1" vertOverflow="ellipsis" vert="horz" wrap="square" anchor="ctr" anchorCtr="1"/>
          <a:lstStyle/>
          <a:p>
            <a:pPr>
              <a:defRPr sz="1400" b="0" i="0" u="none" strike="noStrike" kern="1200" spc="0" baseline="0">
                <a:solidFill>
                  <a:srgbClr val="50B47F"/>
                </a:solidFill>
                <a:latin typeface="Arial" panose="020B0604020202020204" pitchFamily="34" charset="0"/>
                <a:ea typeface="+mn-ea"/>
                <a:cs typeface="Arial" panose="020B0604020202020204" pitchFamily="34" charset="0"/>
              </a:defRPr>
            </a:pPr>
            <a:r>
              <a:rPr lang="en-US">
                <a:solidFill>
                  <a:srgbClr val="50B47F"/>
                </a:solidFill>
                <a:latin typeface="Arial" panose="020B0604020202020204" pitchFamily="34" charset="0"/>
                <a:cs typeface="Arial" panose="020B0604020202020204" pitchFamily="34" charset="0"/>
              </a:rPr>
              <a:t>Risk % per department</a:t>
            </a:r>
          </a:p>
        </c:rich>
      </c:tx>
      <c:layout>
        <c:manualLayout>
          <c:xMode val="edge"/>
          <c:yMode val="edge"/>
          <c:x val="0.26541666666666669"/>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50B47F"/>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3"/>
          </a:solidFill>
          <a:ln w="19050">
            <a:solidFill>
              <a:schemeClr val="lt1"/>
            </a:solidFill>
          </a:ln>
          <a:effectLst/>
        </c:spPr>
      </c:pivotFmt>
      <c:pivotFmt>
        <c:idx val="3"/>
        <c:spPr>
          <a:solidFill>
            <a:schemeClr val="accent3"/>
          </a:solidFill>
          <a:ln w="19050">
            <a:solidFill>
              <a:schemeClr val="lt1"/>
            </a:solidFill>
          </a:ln>
          <a:effectLst/>
        </c:spPr>
      </c:pivotFmt>
      <c:pivotFmt>
        <c:idx val="4"/>
        <c:spPr>
          <a:solidFill>
            <a:schemeClr val="accent3"/>
          </a:solidFill>
          <a:ln w="19050">
            <a:solidFill>
              <a:schemeClr val="lt1"/>
            </a:solidFill>
          </a:ln>
          <a:effectLst/>
        </c:spPr>
      </c:pivotFmt>
      <c:pivotFmt>
        <c:idx val="5"/>
        <c:spPr>
          <a:solidFill>
            <a:schemeClr val="accent3"/>
          </a:solidFill>
          <a:ln w="19050">
            <a:solidFill>
              <a:schemeClr val="lt1"/>
            </a:solidFill>
          </a:ln>
          <a:effectLst/>
        </c:spPr>
      </c:pivotFmt>
      <c:pivotFmt>
        <c:idx val="6"/>
        <c:spPr>
          <a:solidFill>
            <a:schemeClr val="accent3"/>
          </a:solidFill>
          <a:ln w="19050">
            <a:solidFill>
              <a:schemeClr val="lt1"/>
            </a:solidFill>
          </a:ln>
          <a:effectLst/>
        </c:spPr>
      </c:pivotFmt>
      <c:pivotFmt>
        <c:idx val="7"/>
        <c:spPr>
          <a:solidFill>
            <a:schemeClr val="accent3"/>
          </a:solidFill>
          <a:ln w="19050">
            <a:solidFill>
              <a:schemeClr val="lt1"/>
            </a:solidFill>
          </a:ln>
          <a:effectLst/>
        </c:spPr>
      </c:pivotFmt>
      <c:pivotFmt>
        <c:idx val="8"/>
        <c:spPr>
          <a:solidFill>
            <a:schemeClr val="accent3"/>
          </a:solidFill>
          <a:ln w="19050">
            <a:solidFill>
              <a:schemeClr val="lt1"/>
            </a:solidFill>
          </a:ln>
          <a:effectLst/>
        </c:spPr>
      </c:pivotFmt>
      <c:pivotFmt>
        <c:idx val="9"/>
        <c:spPr>
          <a:solidFill>
            <a:schemeClr val="accent3"/>
          </a:solidFill>
          <a:ln w="19050">
            <a:solidFill>
              <a:schemeClr val="lt1"/>
            </a:solidFill>
          </a:ln>
          <a:effectLst/>
        </c:spPr>
      </c:pivotFmt>
      <c:pivotFmt>
        <c:idx val="10"/>
        <c:spPr>
          <a:solidFill>
            <a:schemeClr val="accent3"/>
          </a:solidFill>
          <a:ln w="19050">
            <a:solidFill>
              <a:schemeClr val="lt1"/>
            </a:solidFill>
          </a:ln>
          <a:effectLst/>
        </c:spPr>
      </c:pivotFmt>
      <c:pivotFmt>
        <c:idx val="11"/>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2"/>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3"/>
        <c:spPr>
          <a:solidFill>
            <a:schemeClr val="accent3">
              <a:shade val="44000"/>
            </a:schemeClr>
          </a:solidFill>
          <a:ln w="19050">
            <a:solidFill>
              <a:schemeClr val="lt1"/>
            </a:solidFill>
          </a:ln>
          <a:effectLst/>
        </c:spPr>
        <c:dLbl>
          <c:idx val="0"/>
          <c:layout>
            <c:manualLayout>
              <c:x val="0.25262479810216032"/>
              <c:y val="0.1174671674720411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4"/>
        <c:spPr>
          <a:solidFill>
            <a:schemeClr val="accent3">
              <a:shade val="58000"/>
            </a:schemeClr>
          </a:solidFill>
          <a:ln w="19050">
            <a:solidFill>
              <a:schemeClr val="lt1"/>
            </a:solidFill>
          </a:ln>
          <a:effectLst/>
        </c:spPr>
      </c:pivotFmt>
      <c:pivotFmt>
        <c:idx val="15"/>
        <c:spPr>
          <a:solidFill>
            <a:schemeClr val="accent3">
              <a:shade val="72000"/>
            </a:schemeClr>
          </a:solidFill>
          <a:ln w="19050">
            <a:solidFill>
              <a:schemeClr val="lt1"/>
            </a:solidFill>
          </a:ln>
          <a:effectLst/>
        </c:spPr>
      </c:pivotFmt>
      <c:pivotFmt>
        <c:idx val="16"/>
        <c:spPr>
          <a:solidFill>
            <a:schemeClr val="accent3">
              <a:shade val="86000"/>
            </a:schemeClr>
          </a:solidFill>
          <a:ln w="19050">
            <a:solidFill>
              <a:schemeClr val="lt1"/>
            </a:solidFill>
          </a:ln>
          <a:effectLst/>
        </c:spPr>
      </c:pivotFmt>
      <c:pivotFmt>
        <c:idx val="17"/>
        <c:spPr>
          <a:solidFill>
            <a:schemeClr val="accent3"/>
          </a:solidFill>
          <a:ln w="19050">
            <a:solidFill>
              <a:schemeClr val="lt1"/>
            </a:solidFill>
          </a:ln>
          <a:effectLst/>
        </c:spPr>
      </c:pivotFmt>
      <c:pivotFmt>
        <c:idx val="18"/>
        <c:spPr>
          <a:solidFill>
            <a:schemeClr val="accent3">
              <a:tint val="86000"/>
            </a:schemeClr>
          </a:solidFill>
          <a:ln w="19050">
            <a:solidFill>
              <a:schemeClr val="lt1"/>
            </a:solidFill>
          </a:ln>
          <a:effectLst/>
        </c:spPr>
      </c:pivotFmt>
      <c:pivotFmt>
        <c:idx val="19"/>
        <c:spPr>
          <a:solidFill>
            <a:schemeClr val="accent3">
              <a:tint val="72000"/>
            </a:schemeClr>
          </a:solidFill>
          <a:ln w="19050">
            <a:solidFill>
              <a:schemeClr val="lt1"/>
            </a:solidFill>
          </a:ln>
          <a:effectLst/>
        </c:spPr>
      </c:pivotFmt>
      <c:pivotFmt>
        <c:idx val="20"/>
        <c:spPr>
          <a:solidFill>
            <a:schemeClr val="accent3">
              <a:tint val="58000"/>
            </a:schemeClr>
          </a:solidFill>
          <a:ln w="19050">
            <a:solidFill>
              <a:schemeClr val="lt1"/>
            </a:solidFill>
          </a:ln>
          <a:effectLst/>
        </c:spPr>
      </c:pivotFmt>
      <c:pivotFmt>
        <c:idx val="21"/>
        <c:spPr>
          <a:solidFill>
            <a:schemeClr val="accent3">
              <a:tint val="44000"/>
            </a:schemeClr>
          </a:solidFill>
          <a:ln w="19050">
            <a:solidFill>
              <a:schemeClr val="lt1"/>
            </a:solidFill>
          </a:ln>
          <a:effectLst/>
        </c:spPr>
      </c:pivotFmt>
    </c:pivotFmts>
    <c:plotArea>
      <c:layout>
        <c:manualLayout>
          <c:layoutTarget val="inner"/>
          <c:xMode val="edge"/>
          <c:yMode val="edge"/>
          <c:x val="0.24837850797496466"/>
          <c:y val="0.1958430543731946"/>
          <c:w val="0.47119195437108824"/>
          <c:h val="0.79910521492860676"/>
        </c:manualLayout>
      </c:layout>
      <c:pieChart>
        <c:varyColors val="1"/>
        <c:ser>
          <c:idx val="0"/>
          <c:order val="0"/>
          <c:tx>
            <c:strRef>
              <c:f>Sheet1!$F$5</c:f>
              <c:strCache>
                <c:ptCount val="1"/>
                <c:pt idx="0">
                  <c:v>Total</c:v>
                </c:pt>
              </c:strCache>
            </c:strRef>
          </c:tx>
          <c:dPt>
            <c:idx val="0"/>
            <c:bubble3D val="0"/>
            <c:spPr>
              <a:solidFill>
                <a:schemeClr val="accent3">
                  <a:shade val="44000"/>
                </a:schemeClr>
              </a:solidFill>
              <a:ln w="19050">
                <a:solidFill>
                  <a:schemeClr val="lt1"/>
                </a:solidFill>
              </a:ln>
              <a:effectLst/>
            </c:spPr>
            <c:extLst>
              <c:ext xmlns:c16="http://schemas.microsoft.com/office/drawing/2014/chart" uri="{C3380CC4-5D6E-409C-BE32-E72D297353CC}">
                <c16:uniqueId val="{00000016-BDF9-4262-A232-5D72C5094986}"/>
              </c:ext>
            </c:extLst>
          </c:dPt>
          <c:dPt>
            <c:idx val="1"/>
            <c:bubble3D val="0"/>
            <c:spPr>
              <a:solidFill>
                <a:schemeClr val="accent3">
                  <a:shade val="58000"/>
                </a:schemeClr>
              </a:solidFill>
              <a:ln w="19050">
                <a:solidFill>
                  <a:schemeClr val="lt1"/>
                </a:solidFill>
              </a:ln>
              <a:effectLst/>
            </c:spPr>
            <c:extLst>
              <c:ext xmlns:c16="http://schemas.microsoft.com/office/drawing/2014/chart" uri="{C3380CC4-5D6E-409C-BE32-E72D297353CC}">
                <c16:uniqueId val="{00000003-9B8C-48AD-982B-25C640418BD9}"/>
              </c:ext>
            </c:extLst>
          </c:dPt>
          <c:dPt>
            <c:idx val="2"/>
            <c:bubble3D val="0"/>
            <c:spPr>
              <a:solidFill>
                <a:schemeClr val="accent3">
                  <a:shade val="72000"/>
                </a:schemeClr>
              </a:solidFill>
              <a:ln w="19050">
                <a:solidFill>
                  <a:schemeClr val="lt1"/>
                </a:solidFill>
              </a:ln>
              <a:effectLst/>
            </c:spPr>
            <c:extLst>
              <c:ext xmlns:c16="http://schemas.microsoft.com/office/drawing/2014/chart" uri="{C3380CC4-5D6E-409C-BE32-E72D297353CC}">
                <c16:uniqueId val="{00000005-9B8C-48AD-982B-25C640418BD9}"/>
              </c:ext>
            </c:extLst>
          </c:dPt>
          <c:dPt>
            <c:idx val="3"/>
            <c:bubble3D val="0"/>
            <c:spPr>
              <a:solidFill>
                <a:schemeClr val="accent3">
                  <a:shade val="86000"/>
                </a:schemeClr>
              </a:solidFill>
              <a:ln w="19050">
                <a:solidFill>
                  <a:schemeClr val="lt1"/>
                </a:solidFill>
              </a:ln>
              <a:effectLst/>
            </c:spPr>
            <c:extLst>
              <c:ext xmlns:c16="http://schemas.microsoft.com/office/drawing/2014/chart" uri="{C3380CC4-5D6E-409C-BE32-E72D297353CC}">
                <c16:uniqueId val="{00000007-9B8C-48AD-982B-25C640418BD9}"/>
              </c:ext>
            </c:extLst>
          </c:dPt>
          <c:dPt>
            <c:idx val="4"/>
            <c:bubble3D val="0"/>
            <c:spPr>
              <a:solidFill>
                <a:schemeClr val="accent3"/>
              </a:solidFill>
              <a:ln w="19050">
                <a:solidFill>
                  <a:schemeClr val="lt1"/>
                </a:solidFill>
              </a:ln>
              <a:effectLst/>
            </c:spPr>
            <c:extLst>
              <c:ext xmlns:c16="http://schemas.microsoft.com/office/drawing/2014/chart" uri="{C3380CC4-5D6E-409C-BE32-E72D297353CC}">
                <c16:uniqueId val="{00000009-9B8C-48AD-982B-25C640418BD9}"/>
              </c:ext>
            </c:extLst>
          </c:dPt>
          <c:dPt>
            <c:idx val="5"/>
            <c:bubble3D val="0"/>
            <c:spPr>
              <a:solidFill>
                <a:schemeClr val="accent3">
                  <a:tint val="86000"/>
                </a:schemeClr>
              </a:solidFill>
              <a:ln w="19050">
                <a:solidFill>
                  <a:schemeClr val="lt1"/>
                </a:solidFill>
              </a:ln>
              <a:effectLst/>
            </c:spPr>
            <c:extLst>
              <c:ext xmlns:c16="http://schemas.microsoft.com/office/drawing/2014/chart" uri="{C3380CC4-5D6E-409C-BE32-E72D297353CC}">
                <c16:uniqueId val="{0000000B-9B8C-48AD-982B-25C640418BD9}"/>
              </c:ext>
            </c:extLst>
          </c:dPt>
          <c:dPt>
            <c:idx val="6"/>
            <c:bubble3D val="0"/>
            <c:spPr>
              <a:solidFill>
                <a:schemeClr val="accent3">
                  <a:tint val="72000"/>
                </a:schemeClr>
              </a:solidFill>
              <a:ln w="19050">
                <a:solidFill>
                  <a:schemeClr val="lt1"/>
                </a:solidFill>
              </a:ln>
              <a:effectLst/>
            </c:spPr>
            <c:extLst>
              <c:ext xmlns:c16="http://schemas.microsoft.com/office/drawing/2014/chart" uri="{C3380CC4-5D6E-409C-BE32-E72D297353CC}">
                <c16:uniqueId val="{0000000D-9B8C-48AD-982B-25C640418BD9}"/>
              </c:ext>
            </c:extLst>
          </c:dPt>
          <c:dPt>
            <c:idx val="7"/>
            <c:bubble3D val="0"/>
            <c:spPr>
              <a:solidFill>
                <a:schemeClr val="accent3">
                  <a:tint val="58000"/>
                </a:schemeClr>
              </a:solidFill>
              <a:ln w="19050">
                <a:solidFill>
                  <a:schemeClr val="lt1"/>
                </a:solidFill>
              </a:ln>
              <a:effectLst/>
            </c:spPr>
            <c:extLst>
              <c:ext xmlns:c16="http://schemas.microsoft.com/office/drawing/2014/chart" uri="{C3380CC4-5D6E-409C-BE32-E72D297353CC}">
                <c16:uniqueId val="{0000000F-9B8C-48AD-982B-25C640418BD9}"/>
              </c:ext>
            </c:extLst>
          </c:dPt>
          <c:dPt>
            <c:idx val="8"/>
            <c:bubble3D val="0"/>
            <c:spPr>
              <a:solidFill>
                <a:schemeClr val="accent3">
                  <a:tint val="44000"/>
                </a:schemeClr>
              </a:solidFill>
              <a:ln w="19050">
                <a:solidFill>
                  <a:schemeClr val="lt1"/>
                </a:solidFill>
              </a:ln>
              <a:effectLst/>
            </c:spPr>
            <c:extLst>
              <c:ext xmlns:c16="http://schemas.microsoft.com/office/drawing/2014/chart" uri="{C3380CC4-5D6E-409C-BE32-E72D297353CC}">
                <c16:uniqueId val="{00000011-9B8C-48AD-982B-25C640418BD9}"/>
              </c:ext>
            </c:extLst>
          </c:dPt>
          <c:dLbls>
            <c:dLbl>
              <c:idx val="0"/>
              <c:layout>
                <c:manualLayout>
                  <c:x val="0.25262479810216032"/>
                  <c:y val="0.11746716747204111"/>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6-BDF9-4262-A232-5D72C509498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Sheet1!$E$6:$E$15</c:f>
              <c:strCache>
                <c:ptCount val="9"/>
                <c:pt idx="0">
                  <c:v>Department 1</c:v>
                </c:pt>
                <c:pt idx="1">
                  <c:v>Department 3</c:v>
                </c:pt>
                <c:pt idx="2">
                  <c:v>Department 4</c:v>
                </c:pt>
                <c:pt idx="3">
                  <c:v>Department 6</c:v>
                </c:pt>
                <c:pt idx="4">
                  <c:v>Finance</c:v>
                </c:pt>
                <c:pt idx="5">
                  <c:v>IT</c:v>
                </c:pt>
                <c:pt idx="6">
                  <c:v>Material</c:v>
                </c:pt>
                <c:pt idx="7">
                  <c:v>Production</c:v>
                </c:pt>
                <c:pt idx="8">
                  <c:v>Safety</c:v>
                </c:pt>
              </c:strCache>
            </c:strRef>
          </c:cat>
          <c:val>
            <c:numRef>
              <c:f>Sheet1!$F$6:$F$15</c:f>
              <c:numCache>
                <c:formatCode>General</c:formatCode>
                <c:ptCount val="9"/>
                <c:pt idx="0">
                  <c:v>0.8</c:v>
                </c:pt>
                <c:pt idx="1">
                  <c:v>3.5</c:v>
                </c:pt>
                <c:pt idx="2">
                  <c:v>0.1</c:v>
                </c:pt>
                <c:pt idx="3">
                  <c:v>0.89999999999999991</c:v>
                </c:pt>
                <c:pt idx="4">
                  <c:v>4.7</c:v>
                </c:pt>
                <c:pt idx="5">
                  <c:v>5</c:v>
                </c:pt>
                <c:pt idx="6">
                  <c:v>0.44999999999999996</c:v>
                </c:pt>
                <c:pt idx="7">
                  <c:v>0.89999999999999991</c:v>
                </c:pt>
                <c:pt idx="8">
                  <c:v>5.5</c:v>
                </c:pt>
              </c:numCache>
            </c:numRef>
          </c:val>
          <c:extLst>
            <c:ext xmlns:c16="http://schemas.microsoft.com/office/drawing/2014/chart" uri="{C3380CC4-5D6E-409C-BE32-E72D297353CC}">
              <c16:uniqueId val="{00000015-BDF9-4262-A232-5D72C5094986}"/>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 Risk Analysis.xlsm]Sheet1!PivotTable4</c:name>
    <c:fmtId val="1"/>
  </c:pivotSource>
  <c:chart>
    <c:title>
      <c:tx>
        <c:rich>
          <a:bodyPr rot="0" spcFirstLastPara="1" vertOverflow="ellipsis" vert="horz" wrap="square" anchor="ctr" anchorCtr="1"/>
          <a:lstStyle/>
          <a:p>
            <a:pPr>
              <a:defRPr sz="1400" b="0" i="0" u="none" strike="noStrike" kern="1200" spc="0" baseline="0">
                <a:solidFill>
                  <a:srgbClr val="50B47F"/>
                </a:solidFill>
                <a:latin typeface="Arial" panose="020B0604020202020204" pitchFamily="34" charset="0"/>
                <a:ea typeface="+mn-ea"/>
                <a:cs typeface="Arial" panose="020B0604020202020204" pitchFamily="34" charset="0"/>
              </a:defRPr>
            </a:pPr>
            <a:r>
              <a:rPr lang="en-US">
                <a:solidFill>
                  <a:srgbClr val="50B47F"/>
                </a:solidFill>
                <a:latin typeface="Arial" panose="020B0604020202020204" pitchFamily="34" charset="0"/>
                <a:cs typeface="Arial" panose="020B0604020202020204" pitchFamily="34" charset="0"/>
              </a:rPr>
              <a:t>Risk degree VS remain days</a:t>
            </a:r>
          </a:p>
        </c:rich>
      </c:tx>
      <c:layout>
        <c:manualLayout>
          <c:xMode val="edge"/>
          <c:yMode val="edge"/>
          <c:x val="0.14304822680071735"/>
          <c:y val="1.601474618802756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50B47F"/>
              </a:solidFill>
              <a:latin typeface="Arial" panose="020B0604020202020204" pitchFamily="34" charset="0"/>
              <a:ea typeface="+mn-ea"/>
              <a:cs typeface="Arial" panose="020B0604020202020204" pitchFamily="34" charset="0"/>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1">
              <a:lumMod val="6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3595065257157189E-2"/>
          <c:y val="0.14459983202599111"/>
          <c:w val="0.9313829501370432"/>
          <c:h val="0.46035894517104614"/>
        </c:manualLayout>
      </c:layout>
      <c:barChart>
        <c:barDir val="col"/>
        <c:grouping val="clustered"/>
        <c:varyColors val="0"/>
        <c:ser>
          <c:idx val="0"/>
          <c:order val="0"/>
          <c:tx>
            <c:strRef>
              <c:f>Sheet1!$I$5</c:f>
              <c:strCache>
                <c:ptCount val="1"/>
                <c:pt idx="0">
                  <c:v>Sum of Risk No.</c:v>
                </c:pt>
              </c:strCache>
            </c:strRef>
          </c:tx>
          <c:spPr>
            <a:solidFill>
              <a:schemeClr val="bg1">
                <a:lumMod val="6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Sheet1!$H$6:$H$17</c:f>
              <c:strCache>
                <c:ptCount val="11"/>
                <c:pt idx="0">
                  <c:v>Bad weather</c:v>
                </c:pt>
                <c:pt idx="1">
                  <c:v>Data lose from cloud</c:v>
                </c:pt>
                <c:pt idx="2">
                  <c:v>Delay shipment</c:v>
                </c:pt>
                <c:pt idx="3">
                  <c:v>Exchange rate changes</c:v>
                </c:pt>
                <c:pt idx="4">
                  <c:v>Funding risk</c:v>
                </c:pt>
                <c:pt idx="5">
                  <c:v>Key staff leave</c:v>
                </c:pt>
                <c:pt idx="6">
                  <c:v>Risk issue 10</c:v>
                </c:pt>
                <c:pt idx="7">
                  <c:v>Risk issue 8</c:v>
                </c:pt>
                <c:pt idx="8">
                  <c:v>Risk issue 9</c:v>
                </c:pt>
                <c:pt idx="9">
                  <c:v>Worker accident</c:v>
                </c:pt>
                <c:pt idx="10">
                  <c:v>Risk issue 11</c:v>
                </c:pt>
              </c:strCache>
            </c:strRef>
          </c:cat>
          <c:val>
            <c:numRef>
              <c:f>Sheet1!$I$6:$I$17</c:f>
              <c:numCache>
                <c:formatCode>General</c:formatCode>
                <c:ptCount val="11"/>
                <c:pt idx="0">
                  <c:v>3</c:v>
                </c:pt>
                <c:pt idx="1">
                  <c:v>5</c:v>
                </c:pt>
                <c:pt idx="2">
                  <c:v>0.44999999999999996</c:v>
                </c:pt>
                <c:pt idx="3">
                  <c:v>3.5</c:v>
                </c:pt>
                <c:pt idx="4">
                  <c:v>1.2</c:v>
                </c:pt>
                <c:pt idx="5">
                  <c:v>0.89999999999999991</c:v>
                </c:pt>
                <c:pt idx="6">
                  <c:v>3.5</c:v>
                </c:pt>
                <c:pt idx="7">
                  <c:v>0.8</c:v>
                </c:pt>
                <c:pt idx="8">
                  <c:v>0.1</c:v>
                </c:pt>
                <c:pt idx="9">
                  <c:v>2.5</c:v>
                </c:pt>
                <c:pt idx="10">
                  <c:v>0.89999999999999991</c:v>
                </c:pt>
              </c:numCache>
            </c:numRef>
          </c:val>
          <c:extLst>
            <c:ext xmlns:c16="http://schemas.microsoft.com/office/drawing/2014/chart" uri="{C3380CC4-5D6E-409C-BE32-E72D297353CC}">
              <c16:uniqueId val="{00000000-7A5D-4E8F-9D41-67E246F45BD0}"/>
            </c:ext>
          </c:extLst>
        </c:ser>
        <c:dLbls>
          <c:dLblPos val="outEnd"/>
          <c:showLegendKey val="0"/>
          <c:showVal val="1"/>
          <c:showCatName val="0"/>
          <c:showSerName val="0"/>
          <c:showPercent val="0"/>
          <c:showBubbleSize val="0"/>
        </c:dLbls>
        <c:gapWidth val="219"/>
        <c:axId val="1831234032"/>
        <c:axId val="1705761120"/>
      </c:barChart>
      <c:lineChart>
        <c:grouping val="standard"/>
        <c:varyColors val="0"/>
        <c:ser>
          <c:idx val="1"/>
          <c:order val="1"/>
          <c:tx>
            <c:strRef>
              <c:f>Sheet1!$J$5</c:f>
              <c:strCache>
                <c:ptCount val="1"/>
                <c:pt idx="0">
                  <c:v>Sum of Remain</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Sheet1!$H$6:$H$17</c:f>
              <c:strCache>
                <c:ptCount val="11"/>
                <c:pt idx="0">
                  <c:v>Bad weather</c:v>
                </c:pt>
                <c:pt idx="1">
                  <c:v>Data lose from cloud</c:v>
                </c:pt>
                <c:pt idx="2">
                  <c:v>Delay shipment</c:v>
                </c:pt>
                <c:pt idx="3">
                  <c:v>Exchange rate changes</c:v>
                </c:pt>
                <c:pt idx="4">
                  <c:v>Funding risk</c:v>
                </c:pt>
                <c:pt idx="5">
                  <c:v>Key staff leave</c:v>
                </c:pt>
                <c:pt idx="6">
                  <c:v>Risk issue 10</c:v>
                </c:pt>
                <c:pt idx="7">
                  <c:v>Risk issue 8</c:v>
                </c:pt>
                <c:pt idx="8">
                  <c:v>Risk issue 9</c:v>
                </c:pt>
                <c:pt idx="9">
                  <c:v>Worker accident</c:v>
                </c:pt>
                <c:pt idx="10">
                  <c:v>Risk issue 11</c:v>
                </c:pt>
              </c:strCache>
            </c:strRef>
          </c:cat>
          <c:val>
            <c:numRef>
              <c:f>Sheet1!$J$6:$J$17</c:f>
              <c:numCache>
                <c:formatCode>General</c:formatCode>
                <c:ptCount val="11"/>
                <c:pt idx="0">
                  <c:v>23</c:v>
                </c:pt>
                <c:pt idx="1">
                  <c:v>1</c:v>
                </c:pt>
                <c:pt idx="2">
                  <c:v>3</c:v>
                </c:pt>
                <c:pt idx="3">
                  <c:v>18</c:v>
                </c:pt>
                <c:pt idx="4">
                  <c:v>40</c:v>
                </c:pt>
                <c:pt idx="5">
                  <c:v>32</c:v>
                </c:pt>
                <c:pt idx="6">
                  <c:v>36</c:v>
                </c:pt>
                <c:pt idx="7">
                  <c:v>11</c:v>
                </c:pt>
                <c:pt idx="8">
                  <c:v>4</c:v>
                </c:pt>
                <c:pt idx="9">
                  <c:v>6</c:v>
                </c:pt>
                <c:pt idx="10">
                  <c:v>22</c:v>
                </c:pt>
              </c:numCache>
            </c:numRef>
          </c:val>
          <c:smooth val="0"/>
          <c:extLst>
            <c:ext xmlns:c16="http://schemas.microsoft.com/office/drawing/2014/chart" uri="{C3380CC4-5D6E-409C-BE32-E72D297353CC}">
              <c16:uniqueId val="{00000001-5CE3-474F-9F37-BE259C768FBC}"/>
            </c:ext>
          </c:extLst>
        </c:ser>
        <c:dLbls>
          <c:showLegendKey val="0"/>
          <c:showVal val="0"/>
          <c:showCatName val="0"/>
          <c:showSerName val="0"/>
          <c:showPercent val="0"/>
          <c:showBubbleSize val="0"/>
        </c:dLbls>
        <c:marker val="1"/>
        <c:smooth val="0"/>
        <c:axId val="1666290928"/>
        <c:axId val="1469753664"/>
      </c:lineChart>
      <c:catAx>
        <c:axId val="18312340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5761120"/>
        <c:crosses val="autoZero"/>
        <c:auto val="1"/>
        <c:lblAlgn val="ctr"/>
        <c:lblOffset val="100"/>
        <c:noMultiLvlLbl val="0"/>
      </c:catAx>
      <c:valAx>
        <c:axId val="1705761120"/>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1234032"/>
        <c:crosses val="autoZero"/>
        <c:crossBetween val="between"/>
      </c:valAx>
      <c:valAx>
        <c:axId val="1469753664"/>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6290928"/>
        <c:crosses val="max"/>
        <c:crossBetween val="between"/>
      </c:valAx>
      <c:catAx>
        <c:axId val="1666290928"/>
        <c:scaling>
          <c:orientation val="minMax"/>
        </c:scaling>
        <c:delete val="1"/>
        <c:axPos val="b"/>
        <c:numFmt formatCode="General" sourceLinked="1"/>
        <c:majorTickMark val="none"/>
        <c:minorTickMark val="none"/>
        <c:tickLblPos val="nextTo"/>
        <c:crossAx val="1469753664"/>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6">
  <a:schemeClr val="accent3"/>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47624</xdr:colOff>
      <xdr:row>32</xdr:row>
      <xdr:rowOff>19050</xdr:rowOff>
    </xdr:from>
    <xdr:to>
      <xdr:col>14</xdr:col>
      <xdr:colOff>226218</xdr:colOff>
      <xdr:row>36</xdr:row>
      <xdr:rowOff>38100</xdr:rowOff>
    </xdr:to>
    <xdr:grpSp>
      <xdr:nvGrpSpPr>
        <xdr:cNvPr id="10" name="Group 9">
          <a:extLst>
            <a:ext uri="{FF2B5EF4-FFF2-40B4-BE49-F238E27FC236}">
              <a16:creationId xmlns:a16="http://schemas.microsoft.com/office/drawing/2014/main" id="{947A04F9-988C-40E1-8B89-02AF97B95072}"/>
            </a:ext>
          </a:extLst>
        </xdr:cNvPr>
        <xdr:cNvGrpSpPr/>
      </xdr:nvGrpSpPr>
      <xdr:grpSpPr>
        <a:xfrm>
          <a:off x="4214812" y="5353050"/>
          <a:ext cx="6858000" cy="685800"/>
          <a:chOff x="4257674" y="8324850"/>
          <a:chExt cx="7353301" cy="666750"/>
        </a:xfrm>
      </xdr:grpSpPr>
      <xdr:pic>
        <xdr:nvPicPr>
          <xdr:cNvPr id="11" name="Picture 10">
            <a:extLst>
              <a:ext uri="{FF2B5EF4-FFF2-40B4-BE49-F238E27FC236}">
                <a16:creationId xmlns:a16="http://schemas.microsoft.com/office/drawing/2014/main" id="{63677AEB-CF04-486F-A288-4A90132C8FA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57674" y="8324850"/>
            <a:ext cx="7353301" cy="666750"/>
          </a:xfrm>
          <a:prstGeom prst="rect">
            <a:avLst/>
          </a:prstGeom>
        </xdr:spPr>
      </xdr:pic>
      <xdr:sp macro="" textlink="">
        <xdr:nvSpPr>
          <xdr:cNvPr id="12" name="Rectangle 11">
            <a:extLst>
              <a:ext uri="{FF2B5EF4-FFF2-40B4-BE49-F238E27FC236}">
                <a16:creationId xmlns:a16="http://schemas.microsoft.com/office/drawing/2014/main" id="{777BD3F4-A18F-40C8-A842-03DBF342C174}"/>
              </a:ext>
            </a:extLst>
          </xdr:cNvPr>
          <xdr:cNvSpPr/>
        </xdr:nvSpPr>
        <xdr:spPr>
          <a:xfrm>
            <a:off x="4333875" y="8572500"/>
            <a:ext cx="819150" cy="2095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7CA9B30F-C80E-48E1-BF95-DA83106014A3}"/>
              </a:ext>
            </a:extLst>
          </xdr:cNvPr>
          <xdr:cNvSpPr/>
        </xdr:nvSpPr>
        <xdr:spPr>
          <a:xfrm>
            <a:off x="7248525" y="8429625"/>
            <a:ext cx="361950" cy="1714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66674</xdr:colOff>
      <xdr:row>40</xdr:row>
      <xdr:rowOff>95250</xdr:rowOff>
    </xdr:from>
    <xdr:to>
      <xdr:col>14</xdr:col>
      <xdr:colOff>245268</xdr:colOff>
      <xdr:row>44</xdr:row>
      <xdr:rowOff>114300</xdr:rowOff>
    </xdr:to>
    <xdr:grpSp>
      <xdr:nvGrpSpPr>
        <xdr:cNvPr id="14" name="Group 13">
          <a:extLst>
            <a:ext uri="{FF2B5EF4-FFF2-40B4-BE49-F238E27FC236}">
              <a16:creationId xmlns:a16="http://schemas.microsoft.com/office/drawing/2014/main" id="{57C6EC77-9357-4A42-85E2-299AEC3B552F}"/>
            </a:ext>
          </a:extLst>
        </xdr:cNvPr>
        <xdr:cNvGrpSpPr/>
      </xdr:nvGrpSpPr>
      <xdr:grpSpPr>
        <a:xfrm>
          <a:off x="4233862" y="6762750"/>
          <a:ext cx="6858000" cy="685800"/>
          <a:chOff x="4276724" y="9696450"/>
          <a:chExt cx="7353301" cy="666750"/>
        </a:xfrm>
      </xdr:grpSpPr>
      <xdr:pic>
        <xdr:nvPicPr>
          <xdr:cNvPr id="15" name="Picture 14">
            <a:extLst>
              <a:ext uri="{FF2B5EF4-FFF2-40B4-BE49-F238E27FC236}">
                <a16:creationId xmlns:a16="http://schemas.microsoft.com/office/drawing/2014/main" id="{E4BAD1BF-F255-47E3-8204-12B00B45E6E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76724" y="9696450"/>
            <a:ext cx="7353301" cy="666750"/>
          </a:xfrm>
          <a:prstGeom prst="rect">
            <a:avLst/>
          </a:prstGeom>
        </xdr:spPr>
      </xdr:pic>
      <xdr:sp macro="" textlink="">
        <xdr:nvSpPr>
          <xdr:cNvPr id="16" name="Rectangle 15">
            <a:extLst>
              <a:ext uri="{FF2B5EF4-FFF2-40B4-BE49-F238E27FC236}">
                <a16:creationId xmlns:a16="http://schemas.microsoft.com/office/drawing/2014/main" id="{96F81DD6-DA16-40CD-8CBB-DFB41EF27291}"/>
              </a:ext>
            </a:extLst>
          </xdr:cNvPr>
          <xdr:cNvSpPr/>
        </xdr:nvSpPr>
        <xdr:spPr>
          <a:xfrm>
            <a:off x="9782174" y="9791700"/>
            <a:ext cx="923926" cy="1809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85725</xdr:colOff>
      <xdr:row>46</xdr:row>
      <xdr:rowOff>47625</xdr:rowOff>
    </xdr:from>
    <xdr:to>
      <xdr:col>14</xdr:col>
      <xdr:colOff>199766</xdr:colOff>
      <xdr:row>50</xdr:row>
      <xdr:rowOff>133350</xdr:rowOff>
    </xdr:to>
    <xdr:grpSp>
      <xdr:nvGrpSpPr>
        <xdr:cNvPr id="17" name="Group 16">
          <a:extLst>
            <a:ext uri="{FF2B5EF4-FFF2-40B4-BE49-F238E27FC236}">
              <a16:creationId xmlns:a16="http://schemas.microsoft.com/office/drawing/2014/main" id="{25D774A6-990F-4582-90BC-0F2CB042228E}"/>
            </a:ext>
          </a:extLst>
        </xdr:cNvPr>
        <xdr:cNvGrpSpPr/>
      </xdr:nvGrpSpPr>
      <xdr:grpSpPr>
        <a:xfrm>
          <a:off x="4252913" y="7715250"/>
          <a:ext cx="6793447" cy="752475"/>
          <a:chOff x="4295775" y="10620375"/>
          <a:chExt cx="7334250" cy="733425"/>
        </a:xfrm>
      </xdr:grpSpPr>
      <xdr:pic>
        <xdr:nvPicPr>
          <xdr:cNvPr id="18" name="Picture 17">
            <a:extLst>
              <a:ext uri="{FF2B5EF4-FFF2-40B4-BE49-F238E27FC236}">
                <a16:creationId xmlns:a16="http://schemas.microsoft.com/office/drawing/2014/main" id="{A19E4002-AB20-4F43-A466-D6CACAA4CD9D}"/>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8333"/>
          <a:stretch/>
        </xdr:blipFill>
        <xdr:spPr>
          <a:xfrm>
            <a:off x="4295775" y="10620375"/>
            <a:ext cx="7334250" cy="733425"/>
          </a:xfrm>
          <a:prstGeom prst="rect">
            <a:avLst/>
          </a:prstGeom>
        </xdr:spPr>
      </xdr:pic>
      <xdr:sp macro="" textlink="">
        <xdr:nvSpPr>
          <xdr:cNvPr id="19" name="Rectangle 18">
            <a:extLst>
              <a:ext uri="{FF2B5EF4-FFF2-40B4-BE49-F238E27FC236}">
                <a16:creationId xmlns:a16="http://schemas.microsoft.com/office/drawing/2014/main" id="{9E213F09-96C2-4A40-98B5-46C65019C385}"/>
              </a:ext>
            </a:extLst>
          </xdr:cNvPr>
          <xdr:cNvSpPr/>
        </xdr:nvSpPr>
        <xdr:spPr>
          <a:xfrm>
            <a:off x="10848975" y="10648949"/>
            <a:ext cx="762000" cy="238125"/>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47625</xdr:colOff>
          <xdr:row>5</xdr:row>
          <xdr:rowOff>57150</xdr:rowOff>
        </xdr:from>
        <xdr:to>
          <xdr:col>10</xdr:col>
          <xdr:colOff>590550</xdr:colOff>
          <xdr:row>5</xdr:row>
          <xdr:rowOff>295275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Weak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38100</xdr:colOff>
          <xdr:row>4</xdr:row>
          <xdr:rowOff>76200</xdr:rowOff>
        </xdr:from>
        <xdr:to>
          <xdr:col>11</xdr:col>
          <xdr:colOff>590550</xdr:colOff>
          <xdr:row>4</xdr:row>
          <xdr:rowOff>304800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3</xdr:row>
          <xdr:rowOff>57150</xdr:rowOff>
        </xdr:from>
        <xdr:to>
          <xdr:col>12</xdr:col>
          <xdr:colOff>600075</xdr:colOff>
          <xdr:row>3</xdr:row>
          <xdr:rowOff>295275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Medium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47625</xdr:colOff>
          <xdr:row>2</xdr:row>
          <xdr:rowOff>57150</xdr:rowOff>
        </xdr:from>
        <xdr:to>
          <xdr:col>13</xdr:col>
          <xdr:colOff>600075</xdr:colOff>
          <xdr:row>2</xdr:row>
          <xdr:rowOff>295275</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47625</xdr:colOff>
          <xdr:row>1</xdr:row>
          <xdr:rowOff>66675</xdr:rowOff>
        </xdr:from>
        <xdr:to>
          <xdr:col>14</xdr:col>
          <xdr:colOff>600075</xdr:colOff>
          <xdr:row>1</xdr:row>
          <xdr:rowOff>304800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Danger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371475</xdr:colOff>
          <xdr:row>8</xdr:row>
          <xdr:rowOff>76200</xdr:rowOff>
        </xdr:from>
        <xdr:to>
          <xdr:col>14</xdr:col>
          <xdr:colOff>638175</xdr:colOff>
          <xdr:row>9</xdr:row>
          <xdr:rowOff>152400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114300</xdr:colOff>
          <xdr:row>8</xdr:row>
          <xdr:rowOff>76200</xdr:rowOff>
        </xdr:from>
        <xdr:to>
          <xdr:col>13</xdr:col>
          <xdr:colOff>323850</xdr:colOff>
          <xdr:row>9</xdr:row>
          <xdr:rowOff>152400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Refresh</a:t>
              </a:r>
            </a:p>
          </xdr:txBody>
        </xdr:sp>
        <xdr:clientData fPrintsWithSheet="0"/>
      </xdr:twoCellAnchor>
    </mc:Choice>
    <mc:Fallback/>
  </mc:AlternateContent>
  <xdr:twoCellAnchor>
    <xdr:from>
      <xdr:col>1</xdr:col>
      <xdr:colOff>22971</xdr:colOff>
      <xdr:row>0</xdr:row>
      <xdr:rowOff>33618</xdr:rowOff>
    </xdr:from>
    <xdr:to>
      <xdr:col>2</xdr:col>
      <xdr:colOff>44823</xdr:colOff>
      <xdr:row>8</xdr:row>
      <xdr:rowOff>134471</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2133601</xdr:colOff>
      <xdr:row>0</xdr:row>
      <xdr:rowOff>39219</xdr:rowOff>
    </xdr:from>
    <xdr:to>
      <xdr:col>5</xdr:col>
      <xdr:colOff>459442</xdr:colOff>
      <xdr:row>8</xdr:row>
      <xdr:rowOff>44824</xdr:rowOff>
    </xdr:to>
    <xdr:graphicFrame macro="">
      <xdr:nvGraphicFramePr>
        <xdr:cNvPr id="3" name="Chart 3">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1702141</xdr:colOff>
      <xdr:row>0</xdr:row>
      <xdr:rowOff>67235</xdr:rowOff>
    </xdr:from>
    <xdr:to>
      <xdr:col>8</xdr:col>
      <xdr:colOff>607358</xdr:colOff>
      <xdr:row>3</xdr:row>
      <xdr:rowOff>291353</xdr:rowOff>
    </xdr:to>
    <mc:AlternateContent xmlns:mc="http://schemas.openxmlformats.org/markup-compatibility/2006" xmlns:a14="http://schemas.microsoft.com/office/drawing/2010/main">
      <mc:Choice Requires="a14">
        <xdr:graphicFrame macro="">
          <xdr:nvGraphicFramePr>
            <xdr:cNvPr id="11" name="Status">
              <a:extLst>
                <a:ext uri="{FF2B5EF4-FFF2-40B4-BE49-F238E27FC236}">
                  <a16:creationId xmlns:a16="http://schemas.microsoft.com/office/drawing/2014/main" id="{00000000-0008-0000-0100-00000B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9322141" y="67235"/>
              <a:ext cx="1359305"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1692088</xdr:colOff>
      <xdr:row>3</xdr:row>
      <xdr:rowOff>313765</xdr:rowOff>
    </xdr:from>
    <xdr:to>
      <xdr:col>8</xdr:col>
      <xdr:colOff>607358</xdr:colOff>
      <xdr:row>8</xdr:row>
      <xdr:rowOff>123264</xdr:rowOff>
    </xdr:to>
    <mc:AlternateContent xmlns:mc="http://schemas.openxmlformats.org/markup-compatibility/2006" xmlns:a14="http://schemas.microsoft.com/office/drawing/2010/main">
      <mc:Choice Requires="a14">
        <xdr:graphicFrame macro="">
          <xdr:nvGraphicFramePr>
            <xdr:cNvPr id="12" name="Related department">
              <a:extLst>
                <a:ext uri="{FF2B5EF4-FFF2-40B4-BE49-F238E27FC236}">
                  <a16:creationId xmlns:a16="http://schemas.microsoft.com/office/drawing/2014/main" id="{00000000-0008-0000-0100-00000C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Related department"/>
            </a:graphicData>
          </a:graphic>
        </xdr:graphicFrame>
      </mc:Choice>
      <mc:Fallback xmlns="">
        <xdr:sp macro="" textlink="">
          <xdr:nvSpPr>
            <xdr:cNvPr id="0" name=""/>
            <xdr:cNvSpPr>
              <a:spLocks noTextEdit="1"/>
            </xdr:cNvSpPr>
          </xdr:nvSpPr>
          <xdr:spPr>
            <a:xfrm>
              <a:off x="9312088" y="1232647"/>
              <a:ext cx="1369358" cy="113179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414618</xdr:colOff>
      <xdr:row>0</xdr:row>
      <xdr:rowOff>11206</xdr:rowOff>
    </xdr:from>
    <xdr:to>
      <xdr:col>7</xdr:col>
      <xdr:colOff>1669676</xdr:colOff>
      <xdr:row>8</xdr:row>
      <xdr:rowOff>112059</xdr:rowOff>
    </xdr:to>
    <xdr:graphicFrame macro="">
      <xdr:nvGraphicFramePr>
        <xdr:cNvPr id="4" name="Chart 6">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eem mostafa" refreshedDate="44205.90948101852" createdVersion="6" refreshedVersion="6" minRefreshableVersion="3" recordCount="11" xr:uid="{A0D6460E-B246-462A-B6FA-38E69081ACFD}">
  <cacheSource type="worksheet">
    <worksheetSource name="Risk"/>
  </cacheSource>
  <cacheFields count="11">
    <cacheField name="Risk description" numFmtId="0">
      <sharedItems containsBlank="1" count="13">
        <s v="Delay shipment"/>
        <s v="Key staff leave"/>
        <s v="Exchange rate changes"/>
        <s v="Data lose from cloud"/>
        <s v="Funding risk"/>
        <s v="Worker accident"/>
        <s v="Bad weather"/>
        <s v="Risk issue 8"/>
        <s v="Risk issue 9"/>
        <s v="Risk issue 10"/>
        <s v="Risk issue 11"/>
        <m u="1"/>
        <s v="Risk issue 7" u="1"/>
      </sharedItems>
    </cacheField>
    <cacheField name="Related department" numFmtId="0">
      <sharedItems containsBlank="1" count="10">
        <s v="Material"/>
        <s v="Production"/>
        <s v="Finance"/>
        <s v="IT"/>
        <s v="Safety"/>
        <s v="Department 1"/>
        <s v="Department 4"/>
        <s v="Department 3"/>
        <s v="Department 6"/>
        <m u="1"/>
      </sharedItems>
    </cacheField>
    <cacheField name="Probability" numFmtId="9">
      <sharedItems containsSemiMixedTypes="0" containsString="0" containsNumber="1" minValue="0.1" maxValue="1"/>
    </cacheField>
    <cacheField name="Severity" numFmtId="0">
      <sharedItems containsSemiMixedTypes="0" containsString="0" containsNumber="1" containsInteger="1" minValue="1" maxValue="5"/>
    </cacheField>
    <cacheField name="Risk No." numFmtId="0">
      <sharedItems containsSemiMixedTypes="0" containsString="0" containsNumber="1" minValue="0.1" maxValue="5"/>
    </cacheField>
    <cacheField name="Degree" numFmtId="0">
      <sharedItems count="6">
        <s v="Low"/>
        <s v="High"/>
        <s v="Dangerous"/>
        <s v="Medium"/>
        <s v="Weak"/>
        <s v="" u="1"/>
      </sharedItems>
    </cacheField>
    <cacheField name="Action taken" numFmtId="0">
      <sharedItems containsBlank="1"/>
    </cacheField>
    <cacheField name="Status" numFmtId="0">
      <sharedItems containsBlank="1" count="4">
        <s v="In-progress"/>
        <s v="Not start"/>
        <s v="Closed"/>
        <m u="1"/>
      </sharedItems>
    </cacheField>
    <cacheField name="S" numFmtId="165">
      <sharedItems containsSemiMixedTypes="0" containsString="0" containsNumber="1" containsInteger="1" minValue="-1" maxValue="1"/>
    </cacheField>
    <cacheField name="Due date" numFmtId="14">
      <sharedItems containsSemiMixedTypes="0" containsNonDate="0" containsDate="1" containsString="0" minDate="2021-01-10T00:00:00" maxDate="2021-02-19T00:00:00"/>
    </cacheField>
    <cacheField name="Remain" numFmtId="0">
      <sharedItems containsSemiMixedTypes="0" containsString="0" containsNumber="1" containsInteger="1" minValue="1" maxValue="40"/>
    </cacheField>
  </cacheFields>
  <extLst>
    <ext xmlns:x14="http://schemas.microsoft.com/office/spreadsheetml/2009/9/main" uri="{725AE2AE-9491-48be-B2B4-4EB974FC3084}">
      <x14:pivotCacheDefinition pivotCacheId="155896261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
  <r>
    <x v="0"/>
    <x v="0"/>
    <n v="0.15"/>
    <n v="3"/>
    <n v="0.44999999999999996"/>
    <x v="0"/>
    <s v="Request air shipment"/>
    <x v="0"/>
    <n v="0"/>
    <d v="2021-01-12T00:00:00"/>
    <n v="3"/>
  </r>
  <r>
    <x v="1"/>
    <x v="1"/>
    <n v="0.3"/>
    <n v="3"/>
    <n v="0.89999999999999991"/>
    <x v="0"/>
    <s v="Negotiate with him"/>
    <x v="1"/>
    <n v="-1"/>
    <d v="2021-02-10T00:00:00"/>
    <n v="32"/>
  </r>
  <r>
    <x v="2"/>
    <x v="2"/>
    <n v="0.7"/>
    <n v="5"/>
    <n v="3.5"/>
    <x v="1"/>
    <s v="Accept deal"/>
    <x v="2"/>
    <n v="1"/>
    <d v="2021-01-27T00:00:00"/>
    <n v="18"/>
  </r>
  <r>
    <x v="3"/>
    <x v="3"/>
    <n v="1"/>
    <n v="5"/>
    <n v="5"/>
    <x v="2"/>
    <s v="Make backup"/>
    <x v="0"/>
    <n v="0"/>
    <d v="2021-01-10T00:00:00"/>
    <n v="1"/>
  </r>
  <r>
    <x v="4"/>
    <x v="2"/>
    <n v="0.3"/>
    <n v="4"/>
    <n v="1.2"/>
    <x v="3"/>
    <s v="add funds to bank account"/>
    <x v="1"/>
    <n v="-1"/>
    <d v="2021-02-18T00:00:00"/>
    <n v="40"/>
  </r>
  <r>
    <x v="5"/>
    <x v="4"/>
    <n v="0.5"/>
    <n v="5"/>
    <n v="2.5"/>
    <x v="1"/>
    <s v="Wear PPE's"/>
    <x v="0"/>
    <n v="0"/>
    <d v="2021-01-15T00:00:00"/>
    <n v="6"/>
  </r>
  <r>
    <x v="6"/>
    <x v="4"/>
    <n v="0.6"/>
    <n v="5"/>
    <n v="3"/>
    <x v="1"/>
    <s v="Make OFF day"/>
    <x v="2"/>
    <n v="1"/>
    <d v="2021-02-01T00:00:00"/>
    <n v="23"/>
  </r>
  <r>
    <x v="7"/>
    <x v="5"/>
    <n v="0.2"/>
    <n v="4"/>
    <n v="0.8"/>
    <x v="0"/>
    <m/>
    <x v="2"/>
    <n v="1"/>
    <d v="2021-01-20T00:00:00"/>
    <n v="11"/>
  </r>
  <r>
    <x v="8"/>
    <x v="6"/>
    <n v="0.1"/>
    <n v="1"/>
    <n v="0.1"/>
    <x v="4"/>
    <m/>
    <x v="0"/>
    <n v="0"/>
    <d v="2021-01-13T00:00:00"/>
    <n v="4"/>
  </r>
  <r>
    <x v="9"/>
    <x v="7"/>
    <n v="0.7"/>
    <n v="5"/>
    <n v="3.5"/>
    <x v="1"/>
    <m/>
    <x v="1"/>
    <n v="-1"/>
    <d v="2021-02-14T00:00:00"/>
    <n v="36"/>
  </r>
  <r>
    <x v="10"/>
    <x v="8"/>
    <n v="0.3"/>
    <n v="3"/>
    <n v="0.89999999999999991"/>
    <x v="0"/>
    <m/>
    <x v="2"/>
    <n v="1"/>
    <d v="2021-01-31T00:00:00"/>
    <n v="2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D2F034A-AFF8-419E-951A-EA8CA40F7178}" name="PivotTable4"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H5:J17" firstHeaderRow="0" firstDataRow="1" firstDataCol="1"/>
  <pivotFields count="11">
    <pivotField axis="axisRow" showAll="0">
      <items count="14">
        <item x="6"/>
        <item x="3"/>
        <item x="0"/>
        <item x="2"/>
        <item x="4"/>
        <item x="1"/>
        <item x="9"/>
        <item m="1" x="12"/>
        <item x="7"/>
        <item x="8"/>
        <item x="5"/>
        <item m="1" x="11"/>
        <item x="10"/>
        <item t="default"/>
      </items>
    </pivotField>
    <pivotField showAll="0">
      <items count="11">
        <item x="5"/>
        <item x="7"/>
        <item x="6"/>
        <item x="8"/>
        <item x="2"/>
        <item x="3"/>
        <item x="0"/>
        <item x="1"/>
        <item x="4"/>
        <item m="1" x="9"/>
        <item t="default"/>
      </items>
    </pivotField>
    <pivotField numFmtId="9" showAll="0"/>
    <pivotField showAll="0"/>
    <pivotField dataField="1" showAll="0"/>
    <pivotField showAll="0"/>
    <pivotField showAll="0"/>
    <pivotField showAll="0">
      <items count="5">
        <item x="2"/>
        <item x="0"/>
        <item x="1"/>
        <item m="1" x="3"/>
        <item t="default"/>
      </items>
    </pivotField>
    <pivotField numFmtId="165" showAll="0"/>
    <pivotField numFmtId="14" showAll="0"/>
    <pivotField dataField="1" showAll="0"/>
  </pivotFields>
  <rowFields count="1">
    <field x="0"/>
  </rowFields>
  <rowItems count="12">
    <i>
      <x/>
    </i>
    <i>
      <x v="1"/>
    </i>
    <i>
      <x v="2"/>
    </i>
    <i>
      <x v="3"/>
    </i>
    <i>
      <x v="4"/>
    </i>
    <i>
      <x v="5"/>
    </i>
    <i>
      <x v="6"/>
    </i>
    <i>
      <x v="8"/>
    </i>
    <i>
      <x v="9"/>
    </i>
    <i>
      <x v="10"/>
    </i>
    <i>
      <x v="12"/>
    </i>
    <i t="grand">
      <x/>
    </i>
  </rowItems>
  <colFields count="1">
    <field x="-2"/>
  </colFields>
  <colItems count="2">
    <i>
      <x/>
    </i>
    <i i="1">
      <x v="1"/>
    </i>
  </colItems>
  <dataFields count="2">
    <dataField name="Sum of Risk No." fld="4" baseField="0" baseItem="0"/>
    <dataField name="Sum of Remain" fld="10" baseField="0" baseItem="0"/>
  </dataFields>
  <chartFormats count="2">
    <chartFormat chart="1" format="1"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BF132E-3C29-406C-BC4A-A61F53B6E20B}" name="PivotTable3"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E5:F15" firstHeaderRow="1" firstDataRow="1" firstDataCol="1"/>
  <pivotFields count="11">
    <pivotField showAll="0"/>
    <pivotField axis="axisRow" showAll="0">
      <items count="11">
        <item x="5"/>
        <item x="7"/>
        <item x="6"/>
        <item x="8"/>
        <item x="2"/>
        <item x="3"/>
        <item x="0"/>
        <item x="1"/>
        <item x="4"/>
        <item m="1" x="9"/>
        <item t="default"/>
      </items>
    </pivotField>
    <pivotField numFmtId="9" showAll="0"/>
    <pivotField showAll="0"/>
    <pivotField dataField="1" showAll="0"/>
    <pivotField showAll="0"/>
    <pivotField showAll="0"/>
    <pivotField showAll="0">
      <items count="5">
        <item x="2"/>
        <item x="0"/>
        <item x="1"/>
        <item m="1" x="3"/>
        <item t="default"/>
      </items>
    </pivotField>
    <pivotField numFmtId="165" showAll="0"/>
    <pivotField numFmtId="14" showAll="0"/>
    <pivotField showAll="0"/>
  </pivotFields>
  <rowFields count="1">
    <field x="1"/>
  </rowFields>
  <rowItems count="10">
    <i>
      <x/>
    </i>
    <i>
      <x v="1"/>
    </i>
    <i>
      <x v="2"/>
    </i>
    <i>
      <x v="3"/>
    </i>
    <i>
      <x v="4"/>
    </i>
    <i>
      <x v="5"/>
    </i>
    <i>
      <x v="6"/>
    </i>
    <i>
      <x v="7"/>
    </i>
    <i>
      <x v="8"/>
    </i>
    <i t="grand">
      <x/>
    </i>
  </rowItems>
  <colItems count="1">
    <i/>
  </colItems>
  <dataFields count="1">
    <dataField name="Sum of Risk No." fld="4" baseField="0" baseItem="0"/>
  </dataFields>
  <chartFormats count="10">
    <chartFormat chart="2" format="12" series="1">
      <pivotArea type="data" outline="0" fieldPosition="0">
        <references count="1">
          <reference field="4294967294" count="1" selected="0">
            <x v="0"/>
          </reference>
        </references>
      </pivotArea>
    </chartFormat>
    <chartFormat chart="2" format="13">
      <pivotArea type="data" outline="0" fieldPosition="0">
        <references count="2">
          <reference field="4294967294" count="1" selected="0">
            <x v="0"/>
          </reference>
          <reference field="1" count="1" selected="0">
            <x v="0"/>
          </reference>
        </references>
      </pivotArea>
    </chartFormat>
    <chartFormat chart="2" format="14">
      <pivotArea type="data" outline="0" fieldPosition="0">
        <references count="2">
          <reference field="4294967294" count="1" selected="0">
            <x v="0"/>
          </reference>
          <reference field="1" count="1" selected="0">
            <x v="1"/>
          </reference>
        </references>
      </pivotArea>
    </chartFormat>
    <chartFormat chart="2" format="15">
      <pivotArea type="data" outline="0" fieldPosition="0">
        <references count="2">
          <reference field="4294967294" count="1" selected="0">
            <x v="0"/>
          </reference>
          <reference field="1" count="1" selected="0">
            <x v="2"/>
          </reference>
        </references>
      </pivotArea>
    </chartFormat>
    <chartFormat chart="2" format="16">
      <pivotArea type="data" outline="0" fieldPosition="0">
        <references count="2">
          <reference field="4294967294" count="1" selected="0">
            <x v="0"/>
          </reference>
          <reference field="1" count="1" selected="0">
            <x v="3"/>
          </reference>
        </references>
      </pivotArea>
    </chartFormat>
    <chartFormat chart="2" format="17">
      <pivotArea type="data" outline="0" fieldPosition="0">
        <references count="2">
          <reference field="4294967294" count="1" selected="0">
            <x v="0"/>
          </reference>
          <reference field="1" count="1" selected="0">
            <x v="4"/>
          </reference>
        </references>
      </pivotArea>
    </chartFormat>
    <chartFormat chart="2" format="18">
      <pivotArea type="data" outline="0" fieldPosition="0">
        <references count="2">
          <reference field="4294967294" count="1" selected="0">
            <x v="0"/>
          </reference>
          <reference field="1" count="1" selected="0">
            <x v="5"/>
          </reference>
        </references>
      </pivotArea>
    </chartFormat>
    <chartFormat chart="2" format="19">
      <pivotArea type="data" outline="0" fieldPosition="0">
        <references count="2">
          <reference field="4294967294" count="1" selected="0">
            <x v="0"/>
          </reference>
          <reference field="1" count="1" selected="0">
            <x v="6"/>
          </reference>
        </references>
      </pivotArea>
    </chartFormat>
    <chartFormat chart="2" format="20">
      <pivotArea type="data" outline="0" fieldPosition="0">
        <references count="2">
          <reference field="4294967294" count="1" selected="0">
            <x v="0"/>
          </reference>
          <reference field="1" count="1" selected="0">
            <x v="7"/>
          </reference>
        </references>
      </pivotArea>
    </chartFormat>
    <chartFormat chart="2" format="21">
      <pivotArea type="data" outline="0" fieldPosition="0">
        <references count="2">
          <reference field="4294967294" count="1" selected="0">
            <x v="0"/>
          </reference>
          <reference field="1"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C9FAAEE-5BE9-47FC-A7BC-F30207FB100C}" name="PivotTable2" cacheId="1" applyNumberFormats="0" applyBorderFormats="0" applyFontFormats="0" applyPatternFormats="0" applyAlignmentFormats="0" applyWidthHeightFormats="1" dataCaption="Values" updatedVersion="6" minRefreshableVersion="3" useAutoFormatting="1" rowGrandTotals="0" itemPrintTitles="1" createdVersion="6" indent="0" outline="1" outlineData="1" multipleFieldFilters="0" chartFormat="2">
  <location ref="B5:C10" firstHeaderRow="1" firstDataRow="1" firstDataCol="1"/>
  <pivotFields count="11">
    <pivotField showAll="0"/>
    <pivotField showAll="0">
      <items count="11">
        <item x="5"/>
        <item x="7"/>
        <item x="6"/>
        <item x="8"/>
        <item x="2"/>
        <item x="3"/>
        <item x="0"/>
        <item x="1"/>
        <item x="4"/>
        <item m="1" x="9"/>
        <item t="default"/>
      </items>
    </pivotField>
    <pivotField numFmtId="9" showAll="0"/>
    <pivotField showAll="0"/>
    <pivotField showAll="0"/>
    <pivotField axis="axisRow" dataField="1" showAll="0">
      <items count="7">
        <item x="2"/>
        <item x="1"/>
        <item x="0"/>
        <item x="3"/>
        <item x="4"/>
        <item m="1" x="5"/>
        <item t="default"/>
      </items>
    </pivotField>
    <pivotField showAll="0"/>
    <pivotField showAll="0">
      <items count="5">
        <item x="2"/>
        <item x="0"/>
        <item x="1"/>
        <item m="1" x="3"/>
        <item t="default"/>
      </items>
    </pivotField>
    <pivotField numFmtId="165" showAll="0"/>
    <pivotField numFmtId="14" showAll="0"/>
    <pivotField showAll="0"/>
  </pivotFields>
  <rowFields count="1">
    <field x="5"/>
  </rowFields>
  <rowItems count="5">
    <i>
      <x/>
    </i>
    <i>
      <x v="1"/>
    </i>
    <i>
      <x v="2"/>
    </i>
    <i>
      <x v="3"/>
    </i>
    <i>
      <x v="4"/>
    </i>
  </rowItems>
  <colItems count="1">
    <i/>
  </colItems>
  <dataFields count="1">
    <dataField name="Count of Degree" fld="5" subtotal="count" baseField="0" baseItem="0"/>
  </dataFields>
  <chartFormats count="6">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5" count="1" selected="0">
            <x v="4"/>
          </reference>
        </references>
      </pivotArea>
    </chartFormat>
    <chartFormat chart="1" format="3">
      <pivotArea type="data" outline="0" fieldPosition="0">
        <references count="2">
          <reference field="4294967294" count="1" selected="0">
            <x v="0"/>
          </reference>
          <reference field="5" count="1" selected="0">
            <x v="3"/>
          </reference>
        </references>
      </pivotArea>
    </chartFormat>
    <chartFormat chart="1" format="4">
      <pivotArea type="data" outline="0" fieldPosition="0">
        <references count="2">
          <reference field="4294967294" count="1" selected="0">
            <x v="0"/>
          </reference>
          <reference field="5" count="1" selected="0">
            <x v="2"/>
          </reference>
        </references>
      </pivotArea>
    </chartFormat>
    <chartFormat chart="1" format="5">
      <pivotArea type="data" outline="0" fieldPosition="0">
        <references count="2">
          <reference field="4294967294" count="1" selected="0">
            <x v="0"/>
          </reference>
          <reference field="5" count="1" selected="0">
            <x v="1"/>
          </reference>
        </references>
      </pivotArea>
    </chartFormat>
    <chartFormat chart="1" format="6">
      <pivotArea type="data" outline="0" fieldPosition="0">
        <references count="2">
          <reference field="4294967294" count="1" selected="0">
            <x v="0"/>
          </reference>
          <reference field="5"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43267204-2376-41EA-AA23-2B604A0131EE}" sourceName="Status">
  <pivotTables>
    <pivotTable tabId="21" name="PivotTable3"/>
    <pivotTable tabId="21" name="PivotTable2"/>
    <pivotTable tabId="21" name="PivotTable4"/>
  </pivotTables>
  <data>
    <tabular pivotCacheId="155896261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lated_department" xr10:uid="{0A8E5A25-E734-4F4F-9E59-F59C0DE4D332}" sourceName="Related department">
  <pivotTables>
    <pivotTable tabId="21" name="PivotTable2"/>
    <pivotTable tabId="21" name="PivotTable4"/>
  </pivotTables>
  <data>
    <tabular pivotCacheId="1558962613">
      <items count="10">
        <i x="5" s="1"/>
        <i x="7" s="1"/>
        <i x="6" s="1"/>
        <i x="8" s="1"/>
        <i x="2" s="1"/>
        <i x="3" s="1"/>
        <i x="0" s="1"/>
        <i x="1" s="1"/>
        <i x="4" s="1"/>
        <i x="9"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us" xr10:uid="{36EB6BD7-49C8-4AEE-BC19-87FFF5664CA2}" cache="Slicer_Status" caption="Status" style="SlicerStyleLight3" lockedPosition="1" rowHeight="225425"/>
  <slicer name="Related department" xr10:uid="{A9B5951E-E5B6-45E0-A13C-D784B1998CB8}" cache="Slicer_Related_department" caption="Related department" style="SlicerStyleLight3" lockedPosition="1"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0FA41F3-4430-41E0-BCF4-9030EE6F6E2F}" name="Risk" displayName="Risk" ref="B10:L21" totalsRowShown="0">
  <autoFilter ref="B10:L21" xr:uid="{8D7D27AB-C3AE-4C45-AB04-4991A8D45D27}"/>
  <tableColumns count="11">
    <tableColumn id="2" xr3:uid="{743178E6-C4A1-4180-8DB1-DB43D8021864}" name="Risk description"/>
    <tableColumn id="3" xr3:uid="{699F3017-D8E7-46D6-BCA5-48A1BA6550E6}" name="Related department"/>
    <tableColumn id="4" xr3:uid="{9AA13835-657F-41D8-B861-76AA141D9903}" name="Probability" dataDxfId="7" dataCellStyle="Percent"/>
    <tableColumn id="5" xr3:uid="{AB3E7331-D92E-4E3E-871D-A9599F83D164}" name="Severity" dataDxfId="6"/>
    <tableColumn id="6" xr3:uid="{2DDB6F2B-F26D-456F-80D2-D371378179DE}" name="Risk No." dataDxfId="5">
      <calculatedColumnFormula>IFERROR(IF(Risk[[#This Row],[Severity]]="","",Risk[[#This Row],[Probability]]*Risk[[#This Row],[Severity]]),"")</calculatedColumnFormula>
    </tableColumn>
    <tableColumn id="7" xr3:uid="{564D3B85-985B-4027-99E3-A88DA3863221}" name="Degree" dataDxfId="4">
      <calculatedColumnFormula>IF(Risk[[#This Row],[Risk No.]]="","",IF(Risk[[#This Row],[Risk No.]]&lt;=0.4,"Weak",IF(Risk[[#This Row],[Risk No.]]&lt;=0.9,"Low",IF(Risk[[#This Row],[Risk No.]]&lt;=2.3,"Medium",IF(Risk[[#This Row],[Risk No.]]&lt;=4,"High","Dangerous")))))</calculatedColumnFormula>
    </tableColumn>
    <tableColumn id="8" xr3:uid="{43B313B2-B96A-46D9-954C-1AFF64DC4607}" name="Action taken"/>
    <tableColumn id="9" xr3:uid="{486F70E9-ABAD-4564-9041-77398FEE0E9E}" name="Status" dataDxfId="3"/>
    <tableColumn id="1" xr3:uid="{71696852-44D8-431B-B695-46297C13CA10}" name="S" dataDxfId="2">
      <calculatedColumnFormula>IF(Risk[[#This Row],[Status]]="CLOSED",1,IF(Risk[[#This Row],[Status]]="IN-PROGRESS",0,IF(Risk[[#This Row],[Status]]="NOT start",-1,"")))</calculatedColumnFormula>
    </tableColumn>
    <tableColumn id="10" xr3:uid="{864D5760-1810-4336-9AEF-AA5AF062A8C4}" name="Due date" dataDxfId="1"/>
    <tableColumn id="11" xr3:uid="{AA85F8EF-0445-4F54-B61B-6E3BE1DDCF15}" name="Remain" dataDxfId="0">
      <calculatedColumnFormula>IF(Risk[[#This Row],[Due date]]="","",IF(Risk[[#This Row],[Due date]]&lt;TODAY(),0,Risk[[#This Row],[Due date]]-TODAY()))</calculatedColumnFormula>
    </tableColumn>
  </tableColumns>
  <tableStyleInfo name="TableStyleLight18"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table" Target="../tables/table1.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BFDB01-2E02-4F46-B574-EAAA651E4782}">
  <sheetPr codeName="Sheet1">
    <tabColor rgb="FFC00000"/>
  </sheetPr>
  <dimension ref="A1:O58"/>
  <sheetViews>
    <sheetView showGridLines="0" showRowColHeaders="0" tabSelected="1" topLeftCell="A25" zoomScale="80" zoomScaleNormal="80" workbookViewId="0">
      <pane xSplit="3" topLeftCell="D1" activePane="topRight" state="frozen"/>
      <selection pane="topRight" activeCell="C52" sqref="C52:J63"/>
    </sheetView>
  </sheetViews>
  <sheetFormatPr defaultRowHeight="12.75" x14ac:dyDescent="0.2"/>
  <cols>
    <col min="1" max="1" width="17.7109375" style="9" customWidth="1"/>
    <col min="2" max="2" width="20.28515625" style="1" customWidth="1"/>
    <col min="3" max="3" width="24.42578125" style="1" customWidth="1"/>
    <col min="4" max="16384" width="9.140625" style="1"/>
  </cols>
  <sheetData>
    <row r="1" spans="1:4" x14ac:dyDescent="0.2">
      <c r="A1" s="1"/>
    </row>
    <row r="2" spans="1:4" x14ac:dyDescent="0.2">
      <c r="A2" s="1"/>
    </row>
    <row r="3" spans="1:4" x14ac:dyDescent="0.2">
      <c r="A3" s="1"/>
    </row>
    <row r="4" spans="1:4" x14ac:dyDescent="0.2">
      <c r="A4" s="1"/>
    </row>
    <row r="5" spans="1:4" x14ac:dyDescent="0.2">
      <c r="A5" s="7"/>
      <c r="B5" s="2"/>
      <c r="D5" s="2"/>
    </row>
    <row r="6" spans="1:4" x14ac:dyDescent="0.2">
      <c r="A6" s="8" t="s">
        <v>1</v>
      </c>
      <c r="B6" s="2" t="s">
        <v>0</v>
      </c>
      <c r="D6" s="2" t="s">
        <v>12</v>
      </c>
    </row>
    <row r="8" spans="1:4" x14ac:dyDescent="0.2">
      <c r="A8" s="44" t="s">
        <v>66</v>
      </c>
      <c r="B8" s="2" t="s">
        <v>2</v>
      </c>
      <c r="D8" s="1" t="s">
        <v>65</v>
      </c>
    </row>
    <row r="9" spans="1:4" x14ac:dyDescent="0.2">
      <c r="A9" s="11"/>
      <c r="B9" s="2"/>
    </row>
    <row r="10" spans="1:4" x14ac:dyDescent="0.2">
      <c r="A10" s="11"/>
      <c r="C10" s="3"/>
    </row>
    <row r="11" spans="1:4" x14ac:dyDescent="0.2">
      <c r="A11" s="11"/>
      <c r="C11" s="3" t="s">
        <v>67</v>
      </c>
      <c r="D11" s="1" t="s">
        <v>73</v>
      </c>
    </row>
    <row r="12" spans="1:4" x14ac:dyDescent="0.2">
      <c r="A12" s="11"/>
      <c r="C12" s="3" t="s">
        <v>68</v>
      </c>
      <c r="D12" s="1" t="s">
        <v>74</v>
      </c>
    </row>
    <row r="13" spans="1:4" x14ac:dyDescent="0.2">
      <c r="A13" s="11"/>
      <c r="C13" s="3" t="s">
        <v>69</v>
      </c>
      <c r="D13" s="1" t="s">
        <v>75</v>
      </c>
    </row>
    <row r="14" spans="1:4" x14ac:dyDescent="0.2">
      <c r="C14" s="3" t="s">
        <v>70</v>
      </c>
      <c r="D14" s="1" t="s">
        <v>76</v>
      </c>
    </row>
    <row r="16" spans="1:4" x14ac:dyDescent="0.2">
      <c r="B16" s="4" t="s">
        <v>3</v>
      </c>
      <c r="D16" s="4">
        <v>1</v>
      </c>
    </row>
    <row r="18" spans="2:15" x14ac:dyDescent="0.2">
      <c r="B18" s="4" t="s">
        <v>4</v>
      </c>
      <c r="C18" s="5" t="s">
        <v>85</v>
      </c>
      <c r="D18" s="1" t="s">
        <v>77</v>
      </c>
    </row>
    <row r="20" spans="2:15" x14ac:dyDescent="0.2">
      <c r="B20" s="4" t="s">
        <v>5</v>
      </c>
      <c r="C20" s="6" t="s">
        <v>6</v>
      </c>
      <c r="D20" s="1" t="s">
        <v>78</v>
      </c>
    </row>
    <row r="21" spans="2:15" x14ac:dyDescent="0.2">
      <c r="C21" s="6" t="s">
        <v>7</v>
      </c>
      <c r="D21" s="1" t="s">
        <v>84</v>
      </c>
    </row>
    <row r="22" spans="2:15" x14ac:dyDescent="0.2">
      <c r="C22" s="6" t="s">
        <v>8</v>
      </c>
      <c r="D22" s="1" t="s">
        <v>79</v>
      </c>
    </row>
    <row r="23" spans="2:15" x14ac:dyDescent="0.2">
      <c r="C23" s="6" t="s">
        <v>9</v>
      </c>
      <c r="D23" s="1" t="s">
        <v>80</v>
      </c>
    </row>
    <row r="24" spans="2:15" x14ac:dyDescent="0.2">
      <c r="C24" s="6" t="s">
        <v>10</v>
      </c>
      <c r="D24" s="1" t="s">
        <v>81</v>
      </c>
    </row>
    <row r="25" spans="2:15" x14ac:dyDescent="0.2">
      <c r="C25" s="6" t="s">
        <v>11</v>
      </c>
      <c r="D25" s="1" t="s">
        <v>82</v>
      </c>
    </row>
    <row r="26" spans="2:15" x14ac:dyDescent="0.2">
      <c r="C26" s="6"/>
    </row>
    <row r="27" spans="2:15" x14ac:dyDescent="0.2">
      <c r="C27" s="6"/>
    </row>
    <row r="28" spans="2:15" x14ac:dyDescent="0.2">
      <c r="C28" s="6"/>
    </row>
    <row r="29" spans="2:15" x14ac:dyDescent="0.2">
      <c r="B29" s="45" t="s">
        <v>86</v>
      </c>
      <c r="C29" s="46"/>
      <c r="D29" s="47" t="s">
        <v>87</v>
      </c>
      <c r="E29" s="48"/>
      <c r="F29" s="48"/>
      <c r="G29" s="48"/>
      <c r="H29" s="50"/>
      <c r="I29" s="50"/>
      <c r="J29" s="50"/>
      <c r="K29" s="50"/>
      <c r="L29" s="50"/>
      <c r="M29" s="50"/>
      <c r="N29" s="50"/>
      <c r="O29" s="50"/>
    </row>
    <row r="30" spans="2:15" x14ac:dyDescent="0.2">
      <c r="B30" s="48"/>
      <c r="C30" s="48"/>
      <c r="D30" s="47" t="s">
        <v>88</v>
      </c>
      <c r="E30" s="48"/>
      <c r="F30" s="48"/>
      <c r="G30" s="48"/>
      <c r="H30" s="50"/>
      <c r="I30" s="50"/>
      <c r="J30" s="50"/>
      <c r="K30" s="50"/>
      <c r="L30" s="50"/>
      <c r="M30" s="50"/>
      <c r="N30" s="50"/>
      <c r="O30" s="50"/>
    </row>
    <row r="31" spans="2:15" x14ac:dyDescent="0.2">
      <c r="B31" s="48"/>
      <c r="C31" s="48"/>
      <c r="D31" s="48"/>
      <c r="E31" s="48"/>
      <c r="F31" s="48"/>
      <c r="G31" s="48"/>
      <c r="H31" s="50"/>
      <c r="I31" s="50"/>
      <c r="J31" s="50"/>
      <c r="K31" s="50"/>
      <c r="L31" s="50"/>
      <c r="M31" s="50"/>
      <c r="N31" s="50"/>
      <c r="O31" s="50"/>
    </row>
    <row r="32" spans="2:15" x14ac:dyDescent="0.2">
      <c r="B32" s="48"/>
      <c r="C32" s="49" t="s">
        <v>89</v>
      </c>
      <c r="D32" s="48" t="s">
        <v>90</v>
      </c>
      <c r="E32" s="48"/>
      <c r="F32" s="48"/>
      <c r="G32" s="48"/>
      <c r="H32" s="50"/>
      <c r="I32" s="50"/>
      <c r="J32" s="50"/>
      <c r="K32" s="50"/>
      <c r="L32" s="50"/>
      <c r="M32" s="50"/>
      <c r="N32" s="50"/>
      <c r="O32" s="50"/>
    </row>
    <row r="33" spans="2:15" x14ac:dyDescent="0.2">
      <c r="B33" s="48"/>
      <c r="C33" s="48"/>
      <c r="D33" s="46"/>
      <c r="E33" s="48"/>
      <c r="F33" s="48"/>
      <c r="G33" s="48"/>
      <c r="H33" s="50"/>
      <c r="I33" s="50"/>
      <c r="J33" s="50"/>
      <c r="K33" s="50"/>
      <c r="L33" s="50"/>
      <c r="M33" s="50"/>
      <c r="N33" s="50"/>
      <c r="O33" s="50"/>
    </row>
    <row r="34" spans="2:15" x14ac:dyDescent="0.2">
      <c r="B34" s="48"/>
      <c r="C34" s="48"/>
      <c r="D34" s="46"/>
      <c r="E34" s="48"/>
      <c r="F34" s="48"/>
      <c r="G34" s="48"/>
      <c r="H34" s="50"/>
      <c r="I34" s="50"/>
      <c r="J34" s="50"/>
      <c r="K34" s="50"/>
      <c r="L34" s="50"/>
      <c r="M34" s="50"/>
      <c r="N34" s="50"/>
      <c r="O34" s="50"/>
    </row>
    <row r="35" spans="2:15" x14ac:dyDescent="0.2">
      <c r="B35" s="48"/>
      <c r="C35" s="48"/>
      <c r="D35" s="46"/>
      <c r="E35" s="48"/>
      <c r="F35" s="48"/>
      <c r="G35" s="48"/>
      <c r="H35" s="50"/>
      <c r="I35" s="50"/>
      <c r="J35" s="50"/>
      <c r="K35" s="50"/>
      <c r="L35" s="50"/>
      <c r="M35" s="50"/>
      <c r="N35" s="50"/>
      <c r="O35" s="50"/>
    </row>
    <row r="36" spans="2:15" x14ac:dyDescent="0.2">
      <c r="B36" s="48"/>
      <c r="C36" s="48"/>
      <c r="D36" s="46"/>
      <c r="E36" s="48"/>
      <c r="F36" s="48"/>
      <c r="G36" s="48"/>
      <c r="H36" s="50"/>
      <c r="I36" s="50"/>
      <c r="J36" s="50"/>
      <c r="K36" s="50"/>
      <c r="L36" s="50"/>
      <c r="M36" s="50"/>
      <c r="N36" s="50"/>
      <c r="O36" s="50"/>
    </row>
    <row r="37" spans="2:15" x14ac:dyDescent="0.2">
      <c r="B37" s="48"/>
      <c r="C37" s="48"/>
      <c r="D37" s="46"/>
      <c r="E37" s="48"/>
      <c r="F37" s="48"/>
      <c r="G37" s="48"/>
      <c r="H37" s="50"/>
      <c r="I37" s="50"/>
      <c r="J37" s="50"/>
      <c r="K37" s="50"/>
      <c r="L37" s="50"/>
      <c r="M37" s="50"/>
      <c r="N37" s="50"/>
      <c r="O37" s="50"/>
    </row>
    <row r="38" spans="2:15" x14ac:dyDescent="0.2">
      <c r="B38" s="48"/>
      <c r="C38" s="49" t="s">
        <v>91</v>
      </c>
      <c r="D38" s="48" t="s">
        <v>92</v>
      </c>
      <c r="E38" s="48"/>
      <c r="F38" s="48"/>
      <c r="G38" s="48"/>
      <c r="H38" s="50"/>
      <c r="I38" s="50"/>
      <c r="J38" s="50"/>
      <c r="K38" s="50"/>
      <c r="L38" s="50"/>
      <c r="M38" s="50"/>
      <c r="N38" s="50"/>
      <c r="O38" s="50"/>
    </row>
    <row r="39" spans="2:15" x14ac:dyDescent="0.2">
      <c r="B39" s="48"/>
      <c r="C39" s="48"/>
      <c r="D39" s="48"/>
      <c r="E39" s="48"/>
      <c r="F39" s="48"/>
      <c r="G39" s="48"/>
      <c r="H39" s="50"/>
      <c r="I39" s="50"/>
      <c r="J39" s="50"/>
      <c r="K39" s="50"/>
      <c r="L39" s="50"/>
      <c r="M39" s="50"/>
      <c r="N39" s="50"/>
      <c r="O39" s="50"/>
    </row>
    <row r="40" spans="2:15" x14ac:dyDescent="0.2">
      <c r="B40" s="48"/>
      <c r="C40" s="49" t="s">
        <v>94</v>
      </c>
      <c r="D40" s="48" t="s">
        <v>93</v>
      </c>
      <c r="E40" s="48"/>
      <c r="F40" s="48"/>
      <c r="G40" s="48"/>
      <c r="H40" s="50"/>
      <c r="I40" s="50"/>
      <c r="J40" s="50"/>
      <c r="K40" s="50"/>
      <c r="L40" s="50"/>
      <c r="M40" s="50"/>
      <c r="N40" s="50"/>
      <c r="O40" s="50"/>
    </row>
    <row r="41" spans="2:15" x14ac:dyDescent="0.2">
      <c r="B41" s="48"/>
      <c r="C41" s="48"/>
      <c r="D41" s="48"/>
      <c r="E41" s="48"/>
      <c r="F41" s="48"/>
      <c r="G41" s="48"/>
      <c r="H41" s="50"/>
      <c r="I41" s="50"/>
      <c r="J41" s="50"/>
      <c r="K41" s="50"/>
      <c r="L41" s="50"/>
      <c r="M41" s="50"/>
      <c r="N41" s="50"/>
      <c r="O41" s="50"/>
    </row>
    <row r="42" spans="2:15" x14ac:dyDescent="0.2">
      <c r="B42" s="48"/>
      <c r="C42" s="48"/>
      <c r="D42" s="48"/>
      <c r="E42" s="48"/>
      <c r="F42" s="48"/>
      <c r="G42" s="48"/>
      <c r="H42" s="50"/>
      <c r="I42" s="50"/>
      <c r="J42" s="50"/>
      <c r="K42" s="50"/>
      <c r="L42" s="50"/>
      <c r="M42" s="50"/>
      <c r="N42" s="50"/>
      <c r="O42" s="50"/>
    </row>
    <row r="43" spans="2:15" x14ac:dyDescent="0.2">
      <c r="B43" s="48"/>
      <c r="C43" s="48"/>
      <c r="D43" s="48"/>
      <c r="E43" s="48"/>
      <c r="F43" s="48"/>
      <c r="G43" s="48"/>
      <c r="H43" s="50"/>
      <c r="I43" s="50"/>
      <c r="J43" s="50"/>
      <c r="K43" s="50"/>
      <c r="L43" s="50"/>
      <c r="M43" s="50"/>
      <c r="N43" s="50"/>
      <c r="O43" s="50"/>
    </row>
    <row r="44" spans="2:15" x14ac:dyDescent="0.2">
      <c r="B44" s="48"/>
      <c r="C44" s="48"/>
      <c r="D44" s="48"/>
      <c r="E44" s="48"/>
      <c r="F44" s="48"/>
      <c r="G44" s="48"/>
      <c r="H44" s="50"/>
      <c r="I44" s="50"/>
      <c r="J44" s="50"/>
      <c r="K44" s="50"/>
      <c r="L44" s="50"/>
      <c r="M44" s="50"/>
      <c r="N44" s="50"/>
      <c r="O44" s="50"/>
    </row>
    <row r="45" spans="2:15" x14ac:dyDescent="0.2">
      <c r="B45" s="48"/>
      <c r="C45" s="48"/>
      <c r="D45" s="48"/>
      <c r="E45" s="48"/>
      <c r="F45" s="48"/>
      <c r="G45" s="48"/>
      <c r="H45" s="50"/>
      <c r="I45" s="50"/>
      <c r="J45" s="50"/>
      <c r="K45" s="50"/>
      <c r="L45" s="50"/>
      <c r="M45" s="50"/>
      <c r="N45" s="50"/>
      <c r="O45" s="50"/>
    </row>
    <row r="46" spans="2:15" x14ac:dyDescent="0.2">
      <c r="B46" s="48"/>
      <c r="C46" s="49" t="s">
        <v>95</v>
      </c>
      <c r="D46" s="48" t="s">
        <v>96</v>
      </c>
      <c r="E46" s="48"/>
      <c r="F46" s="48"/>
      <c r="G46" s="48"/>
      <c r="H46" s="50"/>
      <c r="I46" s="50"/>
      <c r="J46" s="50"/>
      <c r="K46" s="50"/>
      <c r="L46" s="50"/>
      <c r="M46" s="50"/>
      <c r="N46" s="50"/>
      <c r="O46" s="50"/>
    </row>
    <row r="47" spans="2:15" x14ac:dyDescent="0.2">
      <c r="B47" s="48"/>
      <c r="C47" s="48"/>
      <c r="D47" s="48"/>
      <c r="E47" s="48"/>
      <c r="F47" s="48"/>
      <c r="G47" s="48"/>
      <c r="H47" s="50"/>
      <c r="I47" s="50"/>
      <c r="J47" s="50"/>
      <c r="K47" s="50"/>
      <c r="L47" s="50"/>
      <c r="M47" s="50"/>
      <c r="N47" s="50"/>
      <c r="O47" s="50"/>
    </row>
    <row r="48" spans="2:15" x14ac:dyDescent="0.2">
      <c r="B48" s="48"/>
      <c r="C48" s="48"/>
      <c r="D48" s="48"/>
      <c r="E48" s="48"/>
      <c r="F48" s="48"/>
      <c r="G48" s="48"/>
      <c r="H48" s="50"/>
      <c r="I48" s="50"/>
      <c r="J48" s="50"/>
      <c r="K48" s="50"/>
      <c r="L48" s="50"/>
      <c r="M48" s="50"/>
      <c r="N48" s="50"/>
      <c r="O48" s="50"/>
    </row>
    <row r="49" spans="2:15" x14ac:dyDescent="0.2">
      <c r="B49" s="48"/>
      <c r="C49" s="48"/>
      <c r="D49" s="48"/>
      <c r="E49" s="48"/>
      <c r="F49" s="48"/>
      <c r="G49" s="48"/>
      <c r="H49" s="50"/>
      <c r="I49" s="50"/>
      <c r="J49" s="50"/>
      <c r="K49" s="50"/>
      <c r="L49" s="50"/>
      <c r="M49" s="50"/>
      <c r="N49" s="50"/>
      <c r="O49" s="50"/>
    </row>
    <row r="50" spans="2:15" x14ac:dyDescent="0.2">
      <c r="B50" s="48"/>
      <c r="C50" s="48"/>
      <c r="D50" s="48"/>
      <c r="E50" s="48"/>
      <c r="F50" s="48"/>
      <c r="G50" s="48"/>
      <c r="H50" s="50"/>
      <c r="I50" s="50"/>
      <c r="J50" s="50"/>
      <c r="K50" s="50"/>
      <c r="L50" s="50"/>
      <c r="M50" s="50"/>
      <c r="N50" s="50"/>
      <c r="O50" s="50"/>
    </row>
    <row r="51" spans="2:15" x14ac:dyDescent="0.2">
      <c r="B51" s="48"/>
      <c r="C51" s="48"/>
      <c r="D51" s="48"/>
      <c r="E51" s="48"/>
      <c r="F51" s="48"/>
      <c r="G51" s="48"/>
      <c r="H51" s="50"/>
      <c r="I51" s="50"/>
      <c r="J51" s="50"/>
      <c r="K51" s="50"/>
      <c r="L51" s="50"/>
      <c r="M51" s="50"/>
      <c r="N51" s="50"/>
      <c r="O51" s="50"/>
    </row>
    <row r="52" spans="2:15" x14ac:dyDescent="0.2">
      <c r="B52" s="48"/>
      <c r="C52" s="48"/>
      <c r="D52" s="47"/>
      <c r="E52" s="48"/>
      <c r="F52" s="48"/>
      <c r="G52" s="48"/>
      <c r="H52" s="50"/>
      <c r="I52" s="50"/>
      <c r="J52" s="50"/>
      <c r="K52" s="50"/>
      <c r="L52" s="50"/>
      <c r="M52" s="50"/>
      <c r="N52" s="50"/>
      <c r="O52" s="50"/>
    </row>
    <row r="53" spans="2:15" x14ac:dyDescent="0.2">
      <c r="B53" s="48"/>
      <c r="C53" s="48"/>
      <c r="D53" s="50"/>
      <c r="E53" s="48"/>
      <c r="F53" s="48"/>
      <c r="G53" s="48"/>
      <c r="H53" s="50"/>
      <c r="I53" s="50"/>
      <c r="J53" s="50"/>
      <c r="K53" s="50"/>
      <c r="L53" s="50"/>
      <c r="M53" s="50"/>
      <c r="N53" s="50"/>
      <c r="O53" s="50"/>
    </row>
    <row r="54" spans="2:15" x14ac:dyDescent="0.2">
      <c r="B54" s="48"/>
      <c r="C54" s="48"/>
      <c r="D54" s="51"/>
      <c r="E54" s="48"/>
      <c r="F54" s="48"/>
      <c r="G54" s="48"/>
      <c r="H54" s="50"/>
      <c r="I54" s="50"/>
      <c r="J54" s="50"/>
      <c r="K54" s="50"/>
      <c r="L54" s="50"/>
      <c r="M54" s="50"/>
      <c r="N54" s="50"/>
      <c r="O54" s="50"/>
    </row>
    <row r="55" spans="2:15" x14ac:dyDescent="0.2">
      <c r="B55" s="48"/>
      <c r="C55" s="48"/>
      <c r="D55" s="50"/>
      <c r="E55" s="48"/>
      <c r="F55" s="48"/>
      <c r="G55" s="48"/>
      <c r="H55" s="50"/>
      <c r="I55" s="50"/>
      <c r="J55" s="50"/>
      <c r="K55" s="50"/>
      <c r="L55" s="50"/>
      <c r="M55" s="50"/>
      <c r="N55" s="50"/>
      <c r="O55" s="50"/>
    </row>
    <row r="56" spans="2:15" x14ac:dyDescent="0.2">
      <c r="B56" s="48"/>
      <c r="C56" s="48"/>
      <c r="D56" s="50"/>
      <c r="E56" s="48"/>
      <c r="F56" s="48"/>
      <c r="G56" s="48"/>
      <c r="H56" s="50"/>
      <c r="I56" s="50"/>
      <c r="J56" s="50"/>
      <c r="K56" s="50"/>
      <c r="L56" s="50"/>
      <c r="M56" s="50"/>
      <c r="N56" s="50"/>
      <c r="O56" s="50"/>
    </row>
    <row r="57" spans="2:15" x14ac:dyDescent="0.2">
      <c r="B57" s="48"/>
      <c r="C57" s="48"/>
      <c r="D57" s="50"/>
      <c r="E57" s="48"/>
      <c r="F57" s="48"/>
      <c r="G57" s="48"/>
      <c r="H57" s="50"/>
      <c r="I57" s="50"/>
      <c r="J57" s="50"/>
      <c r="K57" s="50"/>
      <c r="L57" s="50"/>
      <c r="M57" s="50"/>
      <c r="N57" s="50"/>
      <c r="O57" s="50"/>
    </row>
    <row r="58" spans="2:15" x14ac:dyDescent="0.2">
      <c r="B58" s="50"/>
      <c r="C58" s="50"/>
      <c r="D58" s="50"/>
      <c r="E58" s="50"/>
      <c r="F58" s="50"/>
      <c r="G58" s="50"/>
      <c r="H58" s="50"/>
      <c r="I58" s="50"/>
      <c r="J58" s="50"/>
      <c r="K58" s="50"/>
      <c r="L58" s="50"/>
      <c r="M58" s="50"/>
      <c r="N58" s="50"/>
      <c r="O58" s="50"/>
    </row>
  </sheetData>
  <conditionalFormatting sqref="D16">
    <cfRule type="iconSet" priority="1">
      <iconSet reverse="1">
        <cfvo type="percent" val="0"/>
        <cfvo type="num" val="1" gte="0"/>
        <cfvo type="num" val="2" gte="0"/>
      </iconSet>
    </cfRule>
  </conditionalFormatting>
  <hyperlinks>
    <hyperlink ref="A8" location="'Risk analyis'!A1" display="Risk analysis" xr:uid="{FBA0443E-F551-423F-ABBD-8CFEDD265FAD}"/>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49B2F-2A10-4652-8291-E5CC254E905F}">
  <sheetPr codeName="Sheet2">
    <tabColor rgb="FF50B47F"/>
  </sheetPr>
  <dimension ref="A1:BC21"/>
  <sheetViews>
    <sheetView showGridLines="0" showRowColHeaders="0" zoomScale="85" zoomScaleNormal="85" workbookViewId="0">
      <pane ySplit="10" topLeftCell="A11" activePane="bottomLeft" state="frozen"/>
      <selection pane="bottomLeft" activeCell="C16" sqref="C16"/>
    </sheetView>
  </sheetViews>
  <sheetFormatPr defaultColWidth="0" defaultRowHeight="12.75" outlineLevelRow="1" x14ac:dyDescent="0.2"/>
  <cols>
    <col min="1" max="1" width="0.85546875" customWidth="1"/>
    <col min="2" max="2" width="36.85546875" customWidth="1"/>
    <col min="3" max="3" width="21.5703125" customWidth="1"/>
    <col min="4" max="4" width="13.140625" style="25" customWidth="1"/>
    <col min="5" max="5" width="13.140625" customWidth="1"/>
    <col min="6" max="7" width="14.42578125" customWidth="1"/>
    <col min="8" max="8" width="36.85546875" customWidth="1"/>
    <col min="9" max="9" width="12" customWidth="1"/>
    <col min="10" max="10" width="3.7109375" customWidth="1"/>
    <col min="11" max="15" width="9.7109375" customWidth="1"/>
    <col min="16" max="16" width="2.42578125" customWidth="1"/>
    <col min="17" max="55" width="0" hidden="1" customWidth="1"/>
    <col min="56" max="16384" width="9.140625" hidden="1"/>
  </cols>
  <sheetData>
    <row r="1" spans="2:15" ht="17.25" customHeight="1" outlineLevel="1" x14ac:dyDescent="0.25">
      <c r="D1"/>
      <c r="K1" s="26"/>
      <c r="L1" s="52" t="s">
        <v>70</v>
      </c>
      <c r="M1" s="52"/>
      <c r="N1" s="52"/>
    </row>
    <row r="2" spans="2:15" ht="27.95" customHeight="1" outlineLevel="1" x14ac:dyDescent="0.2">
      <c r="D2"/>
      <c r="J2" s="24">
        <v>1</v>
      </c>
      <c r="K2" s="17"/>
      <c r="L2" s="18"/>
      <c r="M2" s="19"/>
      <c r="N2" s="28"/>
      <c r="O2" s="29" t="s">
        <v>57</v>
      </c>
    </row>
    <row r="3" spans="2:15" ht="27.95" customHeight="1" outlineLevel="1" x14ac:dyDescent="0.2">
      <c r="D3"/>
      <c r="J3" s="24">
        <v>0.8</v>
      </c>
      <c r="K3" s="20"/>
      <c r="L3" s="16"/>
      <c r="M3" s="16"/>
      <c r="N3" s="40" t="s">
        <v>56</v>
      </c>
      <c r="O3" s="30"/>
    </row>
    <row r="4" spans="2:15" ht="27.95" customHeight="1" outlineLevel="1" x14ac:dyDescent="0.2">
      <c r="D4"/>
      <c r="I4" s="53" t="s">
        <v>14</v>
      </c>
      <c r="J4" s="24">
        <v>0.6</v>
      </c>
      <c r="K4" s="20"/>
      <c r="L4" s="16"/>
      <c r="M4" s="39" t="s">
        <v>55</v>
      </c>
      <c r="N4" s="16"/>
      <c r="O4" s="21"/>
    </row>
    <row r="5" spans="2:15" ht="27.95" customHeight="1" outlineLevel="1" x14ac:dyDescent="0.2">
      <c r="D5"/>
      <c r="I5" s="54"/>
      <c r="J5" s="24">
        <v>0.4</v>
      </c>
      <c r="K5" s="31"/>
      <c r="L5" s="37" t="s">
        <v>54</v>
      </c>
      <c r="M5" s="16"/>
      <c r="N5" s="16"/>
      <c r="O5" s="22"/>
    </row>
    <row r="6" spans="2:15" ht="27.95" customHeight="1" outlineLevel="1" x14ac:dyDescent="0.2">
      <c r="D6"/>
      <c r="I6" s="54"/>
      <c r="J6" s="24">
        <v>0.2</v>
      </c>
      <c r="K6" s="32" t="s">
        <v>52</v>
      </c>
      <c r="L6" s="33"/>
      <c r="M6" s="38"/>
      <c r="N6" s="38"/>
      <c r="O6" s="23"/>
    </row>
    <row r="7" spans="2:15" ht="9.75" customHeight="1" outlineLevel="1" x14ac:dyDescent="0.2">
      <c r="D7"/>
      <c r="K7" s="12">
        <v>1</v>
      </c>
      <c r="L7" s="12">
        <v>2</v>
      </c>
      <c r="M7" s="12">
        <v>3</v>
      </c>
      <c r="N7" s="12">
        <v>4</v>
      </c>
      <c r="O7" s="12">
        <v>5</v>
      </c>
    </row>
    <row r="8" spans="2:15" outlineLevel="1" x14ac:dyDescent="0.2">
      <c r="D8"/>
      <c r="K8" s="10" t="s">
        <v>13</v>
      </c>
    </row>
    <row r="9" spans="2:15" outlineLevel="1" x14ac:dyDescent="0.2">
      <c r="D9"/>
    </row>
    <row r="10" spans="2:15" x14ac:dyDescent="0.2">
      <c r="B10" s="13" t="s">
        <v>17</v>
      </c>
      <c r="C10" s="13" t="s">
        <v>19</v>
      </c>
      <c r="D10" s="13" t="s">
        <v>15</v>
      </c>
      <c r="E10" s="13" t="s">
        <v>16</v>
      </c>
      <c r="F10" s="11" t="s">
        <v>21</v>
      </c>
      <c r="G10" s="11" t="s">
        <v>48</v>
      </c>
      <c r="H10" s="14" t="s">
        <v>18</v>
      </c>
      <c r="I10" s="14" t="s">
        <v>51</v>
      </c>
      <c r="J10" s="42" t="s">
        <v>61</v>
      </c>
      <c r="K10" s="13" t="s">
        <v>62</v>
      </c>
      <c r="L10" s="11" t="s">
        <v>63</v>
      </c>
    </row>
    <row r="11" spans="2:15" x14ac:dyDescent="0.2">
      <c r="B11" s="10" t="s">
        <v>22</v>
      </c>
      <c r="C11" s="10" t="s">
        <v>23</v>
      </c>
      <c r="D11" s="27">
        <v>0.15</v>
      </c>
      <c r="E11" s="15">
        <v>3</v>
      </c>
      <c r="F11" s="15">
        <f>IFERROR(IF(Risk[[#This Row],[Severity]]="","",Risk[[#This Row],[Probability]]*Risk[[#This Row],[Severity]]),"")</f>
        <v>0.44999999999999996</v>
      </c>
      <c r="G11" s="15" t="str">
        <f>IF(Risk[[#This Row],[Risk No.]]="","",IF(Risk[[#This Row],[Risk No.]]&lt;=0.4,"Weak",IF(Risk[[#This Row],[Risk No.]]&lt;=0.9,"Low",IF(Risk[[#This Row],[Risk No.]]&lt;=2.3,"Medium",IF(Risk[[#This Row],[Risk No.]]&lt;=4,"High","Dangerous")))))</f>
        <v>Low</v>
      </c>
      <c r="H11" s="10" t="s">
        <v>24</v>
      </c>
      <c r="I11" s="15" t="s">
        <v>20</v>
      </c>
      <c r="J11" s="41">
        <f>IF(Risk[[#This Row],[Status]]="CLOSED",1,IF(Risk[[#This Row],[Status]]="IN-PROGRESS",0,IF(Risk[[#This Row],[Status]]="NOT start",-1,"")))</f>
        <v>0</v>
      </c>
      <c r="K11" s="43">
        <v>44208</v>
      </c>
      <c r="L11">
        <f ca="1">IF(Risk[[#This Row],[Due date]]="","",IF(Risk[[#This Row],[Due date]]&lt;TODAY(),0,Risk[[#This Row],[Due date]]-TODAY()))</f>
        <v>0</v>
      </c>
    </row>
    <row r="12" spans="2:15" x14ac:dyDescent="0.2">
      <c r="B12" t="s">
        <v>25</v>
      </c>
      <c r="C12" t="s">
        <v>26</v>
      </c>
      <c r="D12" s="34">
        <v>0.3</v>
      </c>
      <c r="E12" s="15">
        <v>3</v>
      </c>
      <c r="F12" s="15">
        <f>IFERROR(IF(Risk[[#This Row],[Severity]]="","",Risk[[#This Row],[Probability]]*Risk[[#This Row],[Severity]]),"")</f>
        <v>0.89999999999999991</v>
      </c>
      <c r="G12" s="15" t="str">
        <f>IF(Risk[[#This Row],[Risk No.]]="","",IF(Risk[[#This Row],[Risk No.]]&lt;=0.4,"Weak",IF(Risk[[#This Row],[Risk No.]]&lt;=0.9,"Low",IF(Risk[[#This Row],[Risk No.]]&lt;=2.3,"Medium",IF(Risk[[#This Row],[Risk No.]]&lt;=4,"High","Dangerous")))))</f>
        <v>Low</v>
      </c>
      <c r="H12" t="s">
        <v>27</v>
      </c>
      <c r="I12" s="15" t="s">
        <v>28</v>
      </c>
      <c r="J12" s="41">
        <f>IF(Risk[[#This Row],[Status]]="CLOSED",1,IF(Risk[[#This Row],[Status]]="IN-PROGRESS",0,IF(Risk[[#This Row],[Status]]="NOT start",-1,"")))</f>
        <v>-1</v>
      </c>
      <c r="K12" s="43">
        <v>44237</v>
      </c>
      <c r="L12">
        <f ca="1">IF(Risk[[#This Row],[Due date]]="","",IF(Risk[[#This Row],[Due date]]&lt;TODAY(),0,Risk[[#This Row],[Due date]]-TODAY()))</f>
        <v>0</v>
      </c>
    </row>
    <row r="13" spans="2:15" x14ac:dyDescent="0.2">
      <c r="B13" t="s">
        <v>29</v>
      </c>
      <c r="C13" t="s">
        <v>30</v>
      </c>
      <c r="D13" s="34">
        <v>0.7</v>
      </c>
      <c r="E13" s="15">
        <v>5</v>
      </c>
      <c r="F13" s="15">
        <f>IFERROR(IF(Risk[[#This Row],[Severity]]="","",Risk[[#This Row],[Probability]]*Risk[[#This Row],[Severity]]),"")</f>
        <v>3.5</v>
      </c>
      <c r="G13" s="15" t="str">
        <f>IF(Risk[[#This Row],[Risk No.]]="","",IF(Risk[[#This Row],[Risk No.]]&lt;=0.4,"Weak",IF(Risk[[#This Row],[Risk No.]]&lt;=0.9,"Low",IF(Risk[[#This Row],[Risk No.]]&lt;=2.3,"Medium",IF(Risk[[#This Row],[Risk No.]]&lt;=4,"High","Dangerous")))))</f>
        <v>High</v>
      </c>
      <c r="H13" t="s">
        <v>31</v>
      </c>
      <c r="I13" s="15" t="s">
        <v>32</v>
      </c>
      <c r="J13" s="41">
        <f>IF(Risk[[#This Row],[Status]]="CLOSED",1,IF(Risk[[#This Row],[Status]]="IN-PROGRESS",0,IF(Risk[[#This Row],[Status]]="NOT start",-1,"")))</f>
        <v>1</v>
      </c>
      <c r="K13" s="43">
        <v>44223</v>
      </c>
      <c r="L13">
        <f ca="1">IF(Risk[[#This Row],[Due date]]="","",IF(Risk[[#This Row],[Due date]]&lt;TODAY(),0,Risk[[#This Row],[Due date]]-TODAY()))</f>
        <v>0</v>
      </c>
    </row>
    <row r="14" spans="2:15" x14ac:dyDescent="0.2">
      <c r="B14" t="s">
        <v>33</v>
      </c>
      <c r="C14" t="s">
        <v>34</v>
      </c>
      <c r="D14" s="34">
        <v>1</v>
      </c>
      <c r="E14" s="15">
        <v>5</v>
      </c>
      <c r="F14" s="15">
        <f>IFERROR(IF(Risk[[#This Row],[Severity]]="","",Risk[[#This Row],[Probability]]*Risk[[#This Row],[Severity]]),"")</f>
        <v>5</v>
      </c>
      <c r="G14" s="15" t="str">
        <f>IF(Risk[[#This Row],[Risk No.]]="","",IF(Risk[[#This Row],[Risk No.]]&lt;=0.4,"Weak",IF(Risk[[#This Row],[Risk No.]]&lt;=0.9,"Low",IF(Risk[[#This Row],[Risk No.]]&lt;=2.3,"Medium",IF(Risk[[#This Row],[Risk No.]]&lt;=4,"High","Dangerous")))))</f>
        <v>Dangerous</v>
      </c>
      <c r="H14" t="s">
        <v>35</v>
      </c>
      <c r="I14" s="15" t="s">
        <v>20</v>
      </c>
      <c r="J14" s="41">
        <f>IF(Risk[[#This Row],[Status]]="CLOSED",1,IF(Risk[[#This Row],[Status]]="IN-PROGRESS",0,IF(Risk[[#This Row],[Status]]="NOT start",-1,"")))</f>
        <v>0</v>
      </c>
      <c r="K14" s="43">
        <v>44206</v>
      </c>
      <c r="L14">
        <f ca="1">IF(Risk[[#This Row],[Due date]]="","",IF(Risk[[#This Row],[Due date]]&lt;TODAY(),0,Risk[[#This Row],[Due date]]-TODAY()))</f>
        <v>0</v>
      </c>
    </row>
    <row r="15" spans="2:15" x14ac:dyDescent="0.2">
      <c r="B15" t="s">
        <v>36</v>
      </c>
      <c r="C15" t="s">
        <v>30</v>
      </c>
      <c r="D15" s="34">
        <v>0.3</v>
      </c>
      <c r="E15" s="15">
        <v>4</v>
      </c>
      <c r="F15" s="15">
        <f>IFERROR(IF(Risk[[#This Row],[Severity]]="","",Risk[[#This Row],[Probability]]*Risk[[#This Row],[Severity]]),"")</f>
        <v>1.2</v>
      </c>
      <c r="G15" s="15" t="str">
        <f>IF(Risk[[#This Row],[Risk No.]]="","",IF(Risk[[#This Row],[Risk No.]]&lt;=0.4,"Weak",IF(Risk[[#This Row],[Risk No.]]&lt;=0.9,"Low",IF(Risk[[#This Row],[Risk No.]]&lt;=2.3,"Medium",IF(Risk[[#This Row],[Risk No.]]&lt;=4,"High","Dangerous")))))</f>
        <v>Medium</v>
      </c>
      <c r="H15" t="s">
        <v>47</v>
      </c>
      <c r="I15" s="15" t="s">
        <v>28</v>
      </c>
      <c r="J15" s="41">
        <f>IF(Risk[[#This Row],[Status]]="CLOSED",1,IF(Risk[[#This Row],[Status]]="IN-PROGRESS",0,IF(Risk[[#This Row],[Status]]="NOT start",-1,"")))</f>
        <v>-1</v>
      </c>
      <c r="K15" s="43">
        <v>44245</v>
      </c>
      <c r="L15">
        <f ca="1">IF(Risk[[#This Row],[Due date]]="","",IF(Risk[[#This Row],[Due date]]&lt;TODAY(),0,Risk[[#This Row],[Due date]]-TODAY()))</f>
        <v>0</v>
      </c>
    </row>
    <row r="16" spans="2:15" x14ac:dyDescent="0.2">
      <c r="B16" s="10" t="s">
        <v>71</v>
      </c>
      <c r="C16" s="10" t="s">
        <v>38</v>
      </c>
      <c r="D16" s="27">
        <v>0.5</v>
      </c>
      <c r="E16" s="15">
        <v>5</v>
      </c>
      <c r="F16" s="15">
        <f>IFERROR(IF(Risk[[#This Row],[Severity]]="","",Risk[[#This Row],[Probability]]*Risk[[#This Row],[Severity]]),"")</f>
        <v>2.5</v>
      </c>
      <c r="G16" s="15" t="str">
        <f>IF(Risk[[#This Row],[Risk No.]]="","",IF(Risk[[#This Row],[Risk No.]]&lt;=0.4,"Weak",IF(Risk[[#This Row],[Risk No.]]&lt;=0.9,"Low",IF(Risk[[#This Row],[Risk No.]]&lt;=2.3,"Medium",IF(Risk[[#This Row],[Risk No.]]&lt;=4,"High","Dangerous")))))</f>
        <v>High</v>
      </c>
      <c r="H16" s="10" t="s">
        <v>72</v>
      </c>
      <c r="I16" s="15" t="s">
        <v>20</v>
      </c>
      <c r="J16" s="41">
        <f>IF(Risk[[#This Row],[Status]]="CLOSED",1,IF(Risk[[#This Row],[Status]]="IN-PROGRESS",0,IF(Risk[[#This Row],[Status]]="NOT start",-1,"")))</f>
        <v>0</v>
      </c>
      <c r="K16" s="43">
        <v>44211</v>
      </c>
      <c r="L16">
        <f ca="1">IF(Risk[[#This Row],[Due date]]="","",IF(Risk[[#This Row],[Due date]]&lt;TODAY(),0,Risk[[#This Row],[Due date]]-TODAY()))</f>
        <v>0</v>
      </c>
    </row>
    <row r="17" spans="2:12" x14ac:dyDescent="0.2">
      <c r="B17" s="10" t="s">
        <v>37</v>
      </c>
      <c r="C17" t="s">
        <v>38</v>
      </c>
      <c r="D17" s="34">
        <v>0.6</v>
      </c>
      <c r="E17" s="15">
        <v>5</v>
      </c>
      <c r="F17" s="15">
        <f>IFERROR(IF(Risk[[#This Row],[Severity]]="","",Risk[[#This Row],[Probability]]*Risk[[#This Row],[Severity]]),"")</f>
        <v>3</v>
      </c>
      <c r="G17" s="15" t="str">
        <f>IF(Risk[[#This Row],[Risk No.]]="","",IF(Risk[[#This Row],[Risk No.]]&lt;=0.4,"Weak",IF(Risk[[#This Row],[Risk No.]]&lt;=0.9,"Low",IF(Risk[[#This Row],[Risk No.]]&lt;=2.3,"Medium",IF(Risk[[#This Row],[Risk No.]]&lt;=4,"High","Dangerous")))))</f>
        <v>High</v>
      </c>
      <c r="H17" t="s">
        <v>39</v>
      </c>
      <c r="I17" s="15" t="s">
        <v>32</v>
      </c>
      <c r="J17" s="41">
        <f>IF(Risk[[#This Row],[Status]]="CLOSED",1,IF(Risk[[#This Row],[Status]]="IN-PROGRESS",0,IF(Risk[[#This Row],[Status]]="NOT start",-1,"")))</f>
        <v>1</v>
      </c>
      <c r="K17" s="43">
        <v>44228</v>
      </c>
      <c r="L17">
        <f ca="1">IF(Risk[[#This Row],[Due date]]="","",IF(Risk[[#This Row],[Due date]]&lt;TODAY(),0,Risk[[#This Row],[Due date]]-TODAY()))</f>
        <v>0</v>
      </c>
    </row>
    <row r="18" spans="2:12" x14ac:dyDescent="0.2">
      <c r="B18" s="10" t="s">
        <v>40</v>
      </c>
      <c r="C18" t="s">
        <v>43</v>
      </c>
      <c r="D18" s="34">
        <v>0.2</v>
      </c>
      <c r="E18" s="15">
        <v>4</v>
      </c>
      <c r="F18" s="15">
        <f>IFERROR(IF(Risk[[#This Row],[Severity]]="","",Risk[[#This Row],[Probability]]*Risk[[#This Row],[Severity]]),"")</f>
        <v>0.8</v>
      </c>
      <c r="G18" s="15" t="str">
        <f>IF(Risk[[#This Row],[Risk No.]]="","",IF(Risk[[#This Row],[Risk No.]]&lt;=0.4,"Weak",IF(Risk[[#This Row],[Risk No.]]&lt;=0.9,"Low",IF(Risk[[#This Row],[Risk No.]]&lt;=2.3,"Medium",IF(Risk[[#This Row],[Risk No.]]&lt;=4,"High","Dangerous")))))</f>
        <v>Low</v>
      </c>
      <c r="I18" s="15" t="s">
        <v>32</v>
      </c>
      <c r="J18" s="41">
        <f>IF(Risk[[#This Row],[Status]]="CLOSED",1,IF(Risk[[#This Row],[Status]]="IN-PROGRESS",0,IF(Risk[[#This Row],[Status]]="NOT start",-1,"")))</f>
        <v>1</v>
      </c>
      <c r="K18" s="43">
        <v>44216</v>
      </c>
      <c r="L18">
        <f ca="1">IF(Risk[[#This Row],[Due date]]="","",IF(Risk[[#This Row],[Due date]]&lt;TODAY(),0,Risk[[#This Row],[Due date]]-TODAY()))</f>
        <v>0</v>
      </c>
    </row>
    <row r="19" spans="2:12" x14ac:dyDescent="0.2">
      <c r="B19" s="10" t="s">
        <v>41</v>
      </c>
      <c r="C19" t="s">
        <v>44</v>
      </c>
      <c r="D19" s="34">
        <v>0.1</v>
      </c>
      <c r="E19" s="15">
        <v>1</v>
      </c>
      <c r="F19" s="15">
        <f>IFERROR(IF(Risk[[#This Row],[Severity]]="","",Risk[[#This Row],[Probability]]*Risk[[#This Row],[Severity]]),"")</f>
        <v>0.1</v>
      </c>
      <c r="G19" s="15" t="str">
        <f>IF(Risk[[#This Row],[Risk No.]]="","",IF(Risk[[#This Row],[Risk No.]]&lt;=0.4,"Weak",IF(Risk[[#This Row],[Risk No.]]&lt;=0.9,"Low",IF(Risk[[#This Row],[Risk No.]]&lt;=2.3,"Medium",IF(Risk[[#This Row],[Risk No.]]&lt;=4,"High","Dangerous")))))</f>
        <v>Weak</v>
      </c>
      <c r="I19" s="15" t="s">
        <v>20</v>
      </c>
      <c r="J19" s="41">
        <f>IF(Risk[[#This Row],[Status]]="CLOSED",1,IF(Risk[[#This Row],[Status]]="IN-PROGRESS",0,IF(Risk[[#This Row],[Status]]="NOT start",-1,"")))</f>
        <v>0</v>
      </c>
      <c r="K19" s="43">
        <v>44209</v>
      </c>
      <c r="L19">
        <f ca="1">IF(Risk[[#This Row],[Due date]]="","",IF(Risk[[#This Row],[Due date]]&lt;TODAY(),0,Risk[[#This Row],[Due date]]-TODAY()))</f>
        <v>0</v>
      </c>
    </row>
    <row r="20" spans="2:12" x14ac:dyDescent="0.2">
      <c r="B20" s="10" t="s">
        <v>42</v>
      </c>
      <c r="C20" t="s">
        <v>45</v>
      </c>
      <c r="D20" s="34">
        <v>0.7</v>
      </c>
      <c r="E20" s="15">
        <v>5</v>
      </c>
      <c r="F20" s="15">
        <f>IFERROR(IF(Risk[[#This Row],[Severity]]="","",Risk[[#This Row],[Probability]]*Risk[[#This Row],[Severity]]),"")</f>
        <v>3.5</v>
      </c>
      <c r="G20" s="15" t="str">
        <f>IF(Risk[[#This Row],[Risk No.]]="","",IF(Risk[[#This Row],[Risk No.]]&lt;=0.4,"Weak",IF(Risk[[#This Row],[Risk No.]]&lt;=0.9,"Low",IF(Risk[[#This Row],[Risk No.]]&lt;=2.3,"Medium",IF(Risk[[#This Row],[Risk No.]]&lt;=4,"High","Dangerous")))))</f>
        <v>High</v>
      </c>
      <c r="I20" s="15" t="s">
        <v>28</v>
      </c>
      <c r="J20" s="41">
        <f>IF(Risk[[#This Row],[Status]]="CLOSED",1,IF(Risk[[#This Row],[Status]]="IN-PROGRESS",0,IF(Risk[[#This Row],[Status]]="NOT start",-1,"")))</f>
        <v>-1</v>
      </c>
      <c r="K20" s="43">
        <v>44241</v>
      </c>
      <c r="L20">
        <f ca="1">IF(Risk[[#This Row],[Due date]]="","",IF(Risk[[#This Row],[Due date]]&lt;TODAY(),0,Risk[[#This Row],[Due date]]-TODAY()))</f>
        <v>0</v>
      </c>
    </row>
    <row r="21" spans="2:12" x14ac:dyDescent="0.2">
      <c r="B21" s="10" t="s">
        <v>83</v>
      </c>
      <c r="C21" t="s">
        <v>46</v>
      </c>
      <c r="D21" s="34">
        <v>0.3</v>
      </c>
      <c r="E21" s="15">
        <v>3</v>
      </c>
      <c r="F21" s="15">
        <f>IFERROR(IF(Risk[[#This Row],[Severity]]="","",Risk[[#This Row],[Probability]]*Risk[[#This Row],[Severity]]),"")</f>
        <v>0.89999999999999991</v>
      </c>
      <c r="G21" s="15" t="str">
        <f>IF(Risk[[#This Row],[Risk No.]]="","",IF(Risk[[#This Row],[Risk No.]]&lt;=0.4,"Weak",IF(Risk[[#This Row],[Risk No.]]&lt;=0.9,"Low",IF(Risk[[#This Row],[Risk No.]]&lt;=2.3,"Medium",IF(Risk[[#This Row],[Risk No.]]&lt;=4,"High","Dangerous")))))</f>
        <v>Low</v>
      </c>
      <c r="I21" s="15" t="s">
        <v>32</v>
      </c>
      <c r="J21" s="41">
        <f>IF(Risk[[#This Row],[Status]]="CLOSED",1,IF(Risk[[#This Row],[Status]]="IN-PROGRESS",0,IF(Risk[[#This Row],[Status]]="NOT start",-1,"")))</f>
        <v>1</v>
      </c>
      <c r="K21" s="43">
        <v>44227</v>
      </c>
      <c r="L21">
        <f ca="1">IF(Risk[[#This Row],[Due date]]="","",IF(Risk[[#This Row],[Due date]]&lt;TODAY(),0,Risk[[#This Row],[Due date]]-TODAY()))</f>
        <v>0</v>
      </c>
    </row>
  </sheetData>
  <mergeCells count="2">
    <mergeCell ref="L1:N1"/>
    <mergeCell ref="I4:I6"/>
  </mergeCells>
  <phoneticPr fontId="12" type="noConversion"/>
  <conditionalFormatting sqref="I11:I21">
    <cfRule type="containsText" dxfId="17" priority="20" operator="containsText" text="In-progress">
      <formula>NOT(ISERROR(SEARCH("In-progress",I11)))</formula>
    </cfRule>
    <cfRule type="containsText" dxfId="16" priority="21" operator="containsText" text="Closed">
      <formula>NOT(ISERROR(SEARCH("Closed",I11)))</formula>
    </cfRule>
    <cfRule type="containsText" dxfId="15" priority="23" operator="containsText" text="not start">
      <formula>NOT(ISERROR(SEARCH("not start",I11)))</formula>
    </cfRule>
  </conditionalFormatting>
  <conditionalFormatting sqref="G11:G21">
    <cfRule type="containsText" dxfId="14" priority="2" operator="containsText" text="Dangerous">
      <formula>NOT(ISERROR(SEARCH("Dangerous",G11)))</formula>
    </cfRule>
    <cfRule type="containsText" dxfId="13" priority="3" operator="containsText" text="High">
      <formula>NOT(ISERROR(SEARCH("High",G11)))</formula>
    </cfRule>
    <cfRule type="containsText" dxfId="12" priority="4" operator="containsText" text="Medium">
      <formula>NOT(ISERROR(SEARCH("Medium",G11)))</formula>
    </cfRule>
    <cfRule type="containsText" dxfId="11" priority="5" operator="containsText" text="Low">
      <formula>NOT(ISERROR(SEARCH("Low",G11)))</formula>
    </cfRule>
    <cfRule type="containsText" dxfId="10" priority="6" operator="containsText" text="Weak">
      <formula>NOT(ISERROR(SEARCH("Weak",G11)))</formula>
    </cfRule>
    <cfRule type="containsText" dxfId="9" priority="7" operator="containsText" text="Very low">
      <formula>NOT(ISERROR(SEARCH("Very low",G11)))</formula>
    </cfRule>
    <cfRule type="containsText" dxfId="8" priority="9" operator="containsText" text="&quot;Very low&quot;">
      <formula>NOT(ISERROR(SEARCH("""Very low""",G11)))</formula>
    </cfRule>
  </conditionalFormatting>
  <conditionalFormatting sqref="J11:J21">
    <cfRule type="iconSet" priority="24">
      <iconSet iconSet="3Symbols">
        <cfvo type="percent" val="0"/>
        <cfvo type="percent" val="33"/>
        <cfvo type="percent" val="67"/>
      </iconSet>
    </cfRule>
  </conditionalFormatting>
  <dataValidations count="3">
    <dataValidation type="decimal" allowBlank="1" showInputMessage="1" showErrorMessage="1" sqref="D11:D21" xr:uid="{B5D3126C-900C-485B-8768-1A15AF67FF18}">
      <formula1>0</formula1>
      <formula2>1</formula2>
    </dataValidation>
    <dataValidation type="whole" allowBlank="1" showInputMessage="1" showErrorMessage="1" sqref="E11:E21" xr:uid="{A3F2C187-07FD-4C0D-91B0-8700E968DE32}">
      <formula1>0</formula1>
      <formula2>5</formula2>
    </dataValidation>
    <dataValidation type="list" allowBlank="1" showInputMessage="1" showErrorMessage="1" sqref="I11:I21" xr:uid="{5F01B7BC-88C5-4374-BD2C-1F22CC56D332}">
      <formula1>"Not start,In-progress,Closed"</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Weak">
                <anchor moveWithCells="1" sizeWithCells="1">
                  <from>
                    <xdr:col>10</xdr:col>
                    <xdr:colOff>47625</xdr:colOff>
                    <xdr:row>5</xdr:row>
                    <xdr:rowOff>57150</xdr:rowOff>
                  </from>
                  <to>
                    <xdr:col>10</xdr:col>
                    <xdr:colOff>590550</xdr:colOff>
                    <xdr:row>5</xdr:row>
                    <xdr:rowOff>295275</xdr:rowOff>
                  </to>
                </anchor>
              </controlPr>
            </control>
          </mc:Choice>
        </mc:AlternateContent>
        <mc:AlternateContent xmlns:mc="http://schemas.openxmlformats.org/markup-compatibility/2006">
          <mc:Choice Requires="x14">
            <control shapeId="2053" r:id="rId5" name="Button 5">
              <controlPr defaultSize="0" print="0" autoFill="0" autoPict="0" macro="[0]!low">
                <anchor moveWithCells="1" sizeWithCells="1">
                  <from>
                    <xdr:col>11</xdr:col>
                    <xdr:colOff>38100</xdr:colOff>
                    <xdr:row>4</xdr:row>
                    <xdr:rowOff>76200</xdr:rowOff>
                  </from>
                  <to>
                    <xdr:col>11</xdr:col>
                    <xdr:colOff>590550</xdr:colOff>
                    <xdr:row>4</xdr:row>
                    <xdr:rowOff>304800</xdr:rowOff>
                  </to>
                </anchor>
              </controlPr>
            </control>
          </mc:Choice>
        </mc:AlternateContent>
        <mc:AlternateContent xmlns:mc="http://schemas.openxmlformats.org/markup-compatibility/2006">
          <mc:Choice Requires="x14">
            <control shapeId="2054" r:id="rId6" name="Button 6">
              <controlPr defaultSize="0" print="0" autoFill="0" autoPict="0" macro="[0]!Medium">
                <anchor moveWithCells="1" sizeWithCells="1">
                  <from>
                    <xdr:col>12</xdr:col>
                    <xdr:colOff>47625</xdr:colOff>
                    <xdr:row>3</xdr:row>
                    <xdr:rowOff>57150</xdr:rowOff>
                  </from>
                  <to>
                    <xdr:col>12</xdr:col>
                    <xdr:colOff>600075</xdr:colOff>
                    <xdr:row>3</xdr:row>
                    <xdr:rowOff>295275</xdr:rowOff>
                  </to>
                </anchor>
              </controlPr>
            </control>
          </mc:Choice>
        </mc:AlternateContent>
        <mc:AlternateContent xmlns:mc="http://schemas.openxmlformats.org/markup-compatibility/2006">
          <mc:Choice Requires="x14">
            <control shapeId="2055" r:id="rId7" name="Button 7">
              <controlPr defaultSize="0" print="0" autoFill="0" autoPict="0" macro="[0]!High">
                <anchor moveWithCells="1" sizeWithCells="1">
                  <from>
                    <xdr:col>13</xdr:col>
                    <xdr:colOff>47625</xdr:colOff>
                    <xdr:row>2</xdr:row>
                    <xdr:rowOff>57150</xdr:rowOff>
                  </from>
                  <to>
                    <xdr:col>13</xdr:col>
                    <xdr:colOff>600075</xdr:colOff>
                    <xdr:row>2</xdr:row>
                    <xdr:rowOff>295275</xdr:rowOff>
                  </to>
                </anchor>
              </controlPr>
            </control>
          </mc:Choice>
        </mc:AlternateContent>
        <mc:AlternateContent xmlns:mc="http://schemas.openxmlformats.org/markup-compatibility/2006">
          <mc:Choice Requires="x14">
            <control shapeId="2056" r:id="rId8" name="Button 8">
              <controlPr defaultSize="0" print="0" autoFill="0" autoPict="0" macro="[0]!Danger">
                <anchor moveWithCells="1" sizeWithCells="1">
                  <from>
                    <xdr:col>14</xdr:col>
                    <xdr:colOff>47625</xdr:colOff>
                    <xdr:row>1</xdr:row>
                    <xdr:rowOff>66675</xdr:rowOff>
                  </from>
                  <to>
                    <xdr:col>14</xdr:col>
                    <xdr:colOff>600075</xdr:colOff>
                    <xdr:row>1</xdr:row>
                    <xdr:rowOff>304800</xdr:rowOff>
                  </to>
                </anchor>
              </controlPr>
            </control>
          </mc:Choice>
        </mc:AlternateContent>
        <mc:AlternateContent xmlns:mc="http://schemas.openxmlformats.org/markup-compatibility/2006">
          <mc:Choice Requires="x14">
            <control shapeId="2057" r:id="rId9" name="Button 9">
              <controlPr defaultSize="0" print="0" autoFill="0" autoPict="0" macro="[0]!Clear">
                <anchor moveWithCells="1" sizeWithCells="1">
                  <from>
                    <xdr:col>13</xdr:col>
                    <xdr:colOff>371475</xdr:colOff>
                    <xdr:row>8</xdr:row>
                    <xdr:rowOff>76200</xdr:rowOff>
                  </from>
                  <to>
                    <xdr:col>14</xdr:col>
                    <xdr:colOff>638175</xdr:colOff>
                    <xdr:row>9</xdr:row>
                    <xdr:rowOff>152400</xdr:rowOff>
                  </to>
                </anchor>
              </controlPr>
            </control>
          </mc:Choice>
        </mc:AlternateContent>
        <mc:AlternateContent xmlns:mc="http://schemas.openxmlformats.org/markup-compatibility/2006">
          <mc:Choice Requires="x14">
            <control shapeId="2058" r:id="rId10" name="Button 10">
              <controlPr defaultSize="0" print="0" autoFill="0" autoPict="0" macro="[0]!Refresh">
                <anchor moveWithCells="1" sizeWithCells="1">
                  <from>
                    <xdr:col>12</xdr:col>
                    <xdr:colOff>114300</xdr:colOff>
                    <xdr:row>8</xdr:row>
                    <xdr:rowOff>76200</xdr:rowOff>
                  </from>
                  <to>
                    <xdr:col>13</xdr:col>
                    <xdr:colOff>323850</xdr:colOff>
                    <xdr:row>9</xdr:row>
                    <xdr:rowOff>152400</xdr:rowOff>
                  </to>
                </anchor>
              </controlPr>
            </control>
          </mc:Choice>
        </mc:AlternateContent>
      </controls>
    </mc:Choice>
  </mc:AlternateContent>
  <tableParts count="1">
    <tablePart r:id="rId11"/>
  </tableParts>
  <extLst>
    <ext xmlns:x14="http://schemas.microsoft.com/office/spreadsheetml/2009/9/main" uri="{A8765BA9-456A-4dab-B4F3-ACF838C121DE}">
      <x14:slicerList>
        <x14:slicer r:id="rId1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F918C-85B7-47AF-B9CE-E57BDE6EED0D}">
  <sheetPr codeName="Sheet3"/>
  <dimension ref="B3:J17"/>
  <sheetViews>
    <sheetView workbookViewId="0">
      <selection activeCell="I9" sqref="I9"/>
    </sheetView>
  </sheetViews>
  <sheetFormatPr defaultRowHeight="12.75" x14ac:dyDescent="0.2"/>
  <cols>
    <col min="2" max="2" width="13.85546875" bestFit="1" customWidth="1"/>
    <col min="3" max="3" width="15.85546875" bestFit="1" customWidth="1"/>
    <col min="5" max="5" width="13.85546875" bestFit="1" customWidth="1"/>
    <col min="6" max="6" width="15.42578125" bestFit="1" customWidth="1"/>
    <col min="8" max="8" width="20.85546875" bestFit="1" customWidth="1"/>
    <col min="9" max="9" width="15.42578125" bestFit="1" customWidth="1"/>
    <col min="10" max="10" width="15.140625" bestFit="1" customWidth="1"/>
    <col min="11" max="11" width="8.42578125" bestFit="1" customWidth="1"/>
    <col min="12" max="12" width="11.7109375" bestFit="1" customWidth="1"/>
  </cols>
  <sheetData>
    <row r="3" spans="2:10" x14ac:dyDescent="0.2">
      <c r="B3" s="10"/>
      <c r="C3" s="10"/>
      <c r="D3" s="10"/>
    </row>
    <row r="5" spans="2:10" x14ac:dyDescent="0.2">
      <c r="B5" s="35" t="s">
        <v>49</v>
      </c>
      <c r="C5" t="s">
        <v>59</v>
      </c>
      <c r="E5" s="35" t="s">
        <v>49</v>
      </c>
      <c r="F5" t="s">
        <v>60</v>
      </c>
      <c r="H5" s="35" t="s">
        <v>49</v>
      </c>
      <c r="I5" t="s">
        <v>60</v>
      </c>
      <c r="J5" t="s">
        <v>64</v>
      </c>
    </row>
    <row r="6" spans="2:10" x14ac:dyDescent="0.2">
      <c r="B6" s="36" t="s">
        <v>53</v>
      </c>
      <c r="C6">
        <v>1</v>
      </c>
      <c r="E6" s="36" t="s">
        <v>43</v>
      </c>
      <c r="F6">
        <v>0.8</v>
      </c>
      <c r="H6" s="36" t="s">
        <v>37</v>
      </c>
      <c r="I6">
        <v>3</v>
      </c>
      <c r="J6">
        <v>23</v>
      </c>
    </row>
    <row r="7" spans="2:10" x14ac:dyDescent="0.2">
      <c r="B7" s="36" t="s">
        <v>58</v>
      </c>
      <c r="C7">
        <v>4</v>
      </c>
      <c r="E7" s="36" t="s">
        <v>45</v>
      </c>
      <c r="F7">
        <v>3.5</v>
      </c>
      <c r="H7" s="36" t="s">
        <v>33</v>
      </c>
      <c r="I7">
        <v>5</v>
      </c>
      <c r="J7">
        <v>1</v>
      </c>
    </row>
    <row r="8" spans="2:10" x14ac:dyDescent="0.2">
      <c r="B8" s="36" t="s">
        <v>54</v>
      </c>
      <c r="C8">
        <v>4</v>
      </c>
      <c r="E8" s="36" t="s">
        <v>44</v>
      </c>
      <c r="F8">
        <v>0.1</v>
      </c>
      <c r="H8" s="36" t="s">
        <v>22</v>
      </c>
      <c r="I8">
        <v>0.44999999999999996</v>
      </c>
      <c r="J8">
        <v>3</v>
      </c>
    </row>
    <row r="9" spans="2:10" x14ac:dyDescent="0.2">
      <c r="B9" s="36" t="s">
        <v>55</v>
      </c>
      <c r="C9">
        <v>1</v>
      </c>
      <c r="E9" s="36" t="s">
        <v>46</v>
      </c>
      <c r="F9">
        <v>0.89999999999999991</v>
      </c>
      <c r="H9" s="36" t="s">
        <v>29</v>
      </c>
      <c r="I9">
        <v>3.5</v>
      </c>
      <c r="J9">
        <v>18</v>
      </c>
    </row>
    <row r="10" spans="2:10" x14ac:dyDescent="0.2">
      <c r="B10" s="36" t="s">
        <v>52</v>
      </c>
      <c r="C10">
        <v>1</v>
      </c>
      <c r="E10" s="36" t="s">
        <v>30</v>
      </c>
      <c r="F10">
        <v>4.7</v>
      </c>
      <c r="H10" s="36" t="s">
        <v>36</v>
      </c>
      <c r="I10">
        <v>1.2</v>
      </c>
      <c r="J10">
        <v>40</v>
      </c>
    </row>
    <row r="11" spans="2:10" x14ac:dyDescent="0.2">
      <c r="E11" s="36" t="s">
        <v>34</v>
      </c>
      <c r="F11">
        <v>5</v>
      </c>
      <c r="H11" s="36" t="s">
        <v>25</v>
      </c>
      <c r="I11">
        <v>0.89999999999999991</v>
      </c>
      <c r="J11">
        <v>32</v>
      </c>
    </row>
    <row r="12" spans="2:10" x14ac:dyDescent="0.2">
      <c r="E12" s="36" t="s">
        <v>23</v>
      </c>
      <c r="F12">
        <v>0.44999999999999996</v>
      </c>
      <c r="H12" s="36" t="s">
        <v>42</v>
      </c>
      <c r="I12">
        <v>3.5</v>
      </c>
      <c r="J12">
        <v>36</v>
      </c>
    </row>
    <row r="13" spans="2:10" x14ac:dyDescent="0.2">
      <c r="E13" s="36" t="s">
        <v>26</v>
      </c>
      <c r="F13">
        <v>0.89999999999999991</v>
      </c>
      <c r="H13" s="36" t="s">
        <v>40</v>
      </c>
      <c r="I13">
        <v>0.8</v>
      </c>
      <c r="J13">
        <v>11</v>
      </c>
    </row>
    <row r="14" spans="2:10" x14ac:dyDescent="0.2">
      <c r="E14" s="36" t="s">
        <v>38</v>
      </c>
      <c r="F14">
        <v>5.5</v>
      </c>
      <c r="H14" s="36" t="s">
        <v>41</v>
      </c>
      <c r="I14">
        <v>0.1</v>
      </c>
      <c r="J14">
        <v>4</v>
      </c>
    </row>
    <row r="15" spans="2:10" x14ac:dyDescent="0.2">
      <c r="E15" s="36" t="s">
        <v>50</v>
      </c>
      <c r="F15">
        <v>21.849999999999998</v>
      </c>
      <c r="H15" s="36" t="s">
        <v>71</v>
      </c>
      <c r="I15">
        <v>2.5</v>
      </c>
      <c r="J15">
        <v>6</v>
      </c>
    </row>
    <row r="16" spans="2:10" x14ac:dyDescent="0.2">
      <c r="H16" s="36" t="s">
        <v>83</v>
      </c>
      <c r="I16">
        <v>0.89999999999999991</v>
      </c>
      <c r="J16">
        <v>22</v>
      </c>
    </row>
    <row r="17" spans="8:10" x14ac:dyDescent="0.2">
      <c r="H17" s="36" t="s">
        <v>50</v>
      </c>
      <c r="I17">
        <v>21.849999999999998</v>
      </c>
      <c r="J17">
        <v>196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Introduction</vt:lpstr>
      <vt:lpstr>Risk analyis</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kareem mostafa</dc:creator>
  <cp:lastModifiedBy>QSK1184</cp:lastModifiedBy>
  <cp:lastPrinted>2008-05-03T23:46:59Z</cp:lastPrinted>
  <dcterms:created xsi:type="dcterms:W3CDTF">1901-01-01T04:00:00Z</dcterms:created>
  <dcterms:modified xsi:type="dcterms:W3CDTF">2024-09-20T12:24:57Z</dcterms:modified>
</cp:coreProperties>
</file>