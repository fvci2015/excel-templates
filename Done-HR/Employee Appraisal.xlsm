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mc:AlternateContent xmlns:mc="http://schemas.openxmlformats.org/markup-compatibility/2006">
    <mc:Choice Requires="x15">
      <x15ac:absPath xmlns:x15ac="http://schemas.microsoft.com/office/spreadsheetml/2010/11/ac" url="D:\yash_jain_vesu\Future_Vision\books\advance_excel\NEW-FILES-PROJECTS\100+ Premium Excel Templates\HR\"/>
    </mc:Choice>
  </mc:AlternateContent>
  <xr:revisionPtr revIDLastSave="0" documentId="13_ncr:1_{36845724-B64E-4F5B-B39D-C8C28369D1EB}" xr6:coauthVersionLast="47" xr6:coauthVersionMax="47" xr10:uidLastSave="{00000000-0000-0000-0000-000000000000}"/>
  <bookViews>
    <workbookView xWindow="-120" yWindow="-120" windowWidth="29040" windowHeight="15840" xr2:uid="{00000000-000D-0000-FFFF-FFFF00000000}"/>
  </bookViews>
  <sheets>
    <sheet name="Introduction" sheetId="1" r:id="rId1"/>
    <sheet name="Dashboard" sheetId="13" r:id="rId2"/>
    <sheet name="Raw_data" sheetId="11" r:id="rId3"/>
    <sheet name="Data_base" sheetId="12" r:id="rId4"/>
    <sheet name="Calculations" sheetId="14" state="hidden" r:id="rId5"/>
  </sheets>
  <definedNames>
    <definedName name="appraisal">#REF!</definedName>
    <definedName name="department">OFFSET(Data_base!$L$4,0,0,COUNTA(Data_base!$L:$L)-2,1)</definedName>
    <definedName name="EMPID">OFFSET(Data_base!$C$4,0,0,COUNTA(Data_base!$C:$C)-2,1)</definedName>
    <definedName name="Employees">OFFSET(Data_base!$B$4,0,0,COUNTA(Data_base!$B:$B)-2,1)</definedName>
    <definedName name="external">#REF!</definedName>
    <definedName name="internal">#REF!</definedName>
    <definedName name="NativeTimeline_Date">#N/A</definedName>
    <definedName name="prevention">#REF!</definedName>
    <definedName name="Slicer_Department">#N/A</definedName>
    <definedName name="Slicer_Emp_Code">#N/A</definedName>
    <definedName name="Slicer_Gender">#N/A</definedName>
    <definedName name="Slicer_Job_type">#N/A</definedName>
    <definedName name="Slicer_Skill_level">#N/A</definedName>
    <definedName name="Slicer_Title">#N/A</definedName>
    <definedName name="Title">OFFSET(Data_base!$M$4,0,0,COUNTA(Data_base!$M:$M)-2,1)</definedName>
  </definedNames>
  <calcPr calcId="191029"/>
  <pivotCaches>
    <pivotCache cacheId="5"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 i="11" l="1"/>
  <c r="Y7" i="11"/>
  <c r="Y9" i="11"/>
  <c r="Y10" i="11"/>
  <c r="Y11" i="11"/>
  <c r="Y12" i="11"/>
  <c r="Y13" i="11"/>
  <c r="Y14" i="11"/>
  <c r="Y15" i="11"/>
  <c r="Y16" i="11"/>
  <c r="Y17" i="11"/>
  <c r="Y18" i="11"/>
  <c r="Y19" i="11"/>
  <c r="Y20" i="11"/>
  <c r="Y22" i="11"/>
  <c r="Y23" i="11"/>
  <c r="Y24" i="11"/>
  <c r="Y25" i="11"/>
  <c r="Y26" i="11"/>
  <c r="Y27" i="11"/>
  <c r="Y28" i="11"/>
  <c r="Y29" i="11"/>
  <c r="Y30" i="11"/>
  <c r="Y32" i="11"/>
  <c r="Y33" i="11"/>
  <c r="Y34" i="11"/>
  <c r="Y35" i="11"/>
  <c r="Y36" i="11"/>
  <c r="Y37" i="11"/>
  <c r="Y38" i="11"/>
  <c r="Y39" i="11"/>
  <c r="Y40" i="11"/>
  <c r="Y41" i="11"/>
  <c r="Y42" i="11"/>
  <c r="Y43" i="11"/>
  <c r="Y45" i="11"/>
  <c r="Y46" i="11"/>
  <c r="Y47" i="11"/>
  <c r="Y48" i="11"/>
  <c r="Y50" i="11"/>
  <c r="Y51" i="11"/>
  <c r="Y53" i="11"/>
  <c r="Y54" i="11"/>
  <c r="Y55" i="11"/>
  <c r="Y56" i="11"/>
  <c r="Y57" i="11"/>
  <c r="Y58" i="11"/>
  <c r="Y59" i="11"/>
  <c r="Y62" i="11"/>
  <c r="Y63" i="11"/>
  <c r="Y64" i="11"/>
  <c r="Y66" i="11"/>
  <c r="Y68" i="11"/>
  <c r="Y69" i="11"/>
  <c r="Y70" i="11"/>
  <c r="Y71" i="11"/>
  <c r="Y72" i="11"/>
  <c r="Y74" i="11"/>
  <c r="Y75" i="11"/>
  <c r="Y76" i="11"/>
  <c r="Y78" i="11"/>
  <c r="Y81" i="11"/>
  <c r="Y82" i="11"/>
  <c r="Y83" i="11"/>
  <c r="Y84" i="11"/>
  <c r="Y85" i="11"/>
  <c r="Y87" i="11"/>
  <c r="Y88" i="11"/>
  <c r="Y89" i="11"/>
  <c r="Y90" i="11"/>
  <c r="Y91" i="11"/>
  <c r="Y93" i="11"/>
  <c r="Y94" i="11"/>
  <c r="Y95" i="11"/>
  <c r="Y96" i="11"/>
  <c r="Y97" i="11"/>
  <c r="Y98" i="11"/>
  <c r="Y99" i="11"/>
  <c r="Y101" i="11"/>
  <c r="Y102" i="11"/>
  <c r="Y103" i="11"/>
  <c r="Y104" i="11"/>
  <c r="Y106" i="11"/>
  <c r="Y107" i="11"/>
  <c r="Y108" i="11"/>
  <c r="Y109" i="11"/>
  <c r="Y110" i="11"/>
  <c r="Y111" i="11"/>
  <c r="Y112" i="11"/>
  <c r="Y113" i="11"/>
  <c r="Y116" i="11"/>
  <c r="Y117" i="11"/>
  <c r="Y118" i="11"/>
  <c r="Y119" i="11"/>
  <c r="Y122" i="11"/>
  <c r="Y124" i="11"/>
  <c r="Y125" i="11"/>
  <c r="Y126" i="11"/>
  <c r="Y127" i="11"/>
  <c r="Y129" i="11"/>
  <c r="Y132" i="11"/>
  <c r="Y133" i="11"/>
  <c r="Y134" i="11"/>
  <c r="Y135" i="11"/>
  <c r="Y136" i="11"/>
  <c r="Y137" i="11"/>
  <c r="Y138" i="11"/>
  <c r="Y139" i="11"/>
  <c r="Y142" i="11"/>
  <c r="Y143" i="11"/>
  <c r="Y144" i="11"/>
  <c r="Y145" i="11"/>
  <c r="Y149" i="11"/>
  <c r="Y150" i="11"/>
  <c r="Y151" i="11"/>
  <c r="Y152" i="11"/>
  <c r="Y153" i="11"/>
  <c r="Y154" i="11"/>
  <c r="Y156" i="11"/>
  <c r="Y158" i="11"/>
  <c r="Y159" i="11"/>
  <c r="Y160" i="11"/>
  <c r="Y161" i="11"/>
  <c r="Y163" i="11"/>
  <c r="Y164" i="11"/>
  <c r="Y165" i="11"/>
  <c r="Y166" i="11"/>
  <c r="Y168" i="11"/>
  <c r="Y169" i="11"/>
  <c r="Y171" i="11"/>
  <c r="Y172" i="11"/>
  <c r="Y173" i="11"/>
  <c r="Y174" i="11"/>
  <c r="Y176" i="11"/>
  <c r="Y177" i="11"/>
  <c r="Y178" i="11"/>
  <c r="Y179" i="11"/>
  <c r="Y180" i="11"/>
  <c r="Y182" i="11"/>
  <c r="Y183" i="11"/>
  <c r="Y184" i="11"/>
  <c r="Y185" i="11"/>
  <c r="Y188" i="11"/>
  <c r="Y189" i="11"/>
  <c r="Y190" i="11"/>
  <c r="Y191" i="11"/>
  <c r="Y192" i="11"/>
  <c r="Y194" i="11"/>
  <c r="Y195" i="11"/>
  <c r="Y196" i="11"/>
  <c r="Y197" i="11"/>
  <c r="Y198" i="11"/>
  <c r="Y200" i="11"/>
  <c r="Y202" i="11"/>
  <c r="Y203" i="11"/>
  <c r="Y204" i="11"/>
  <c r="Y205" i="11"/>
  <c r="Y206" i="11"/>
  <c r="Y207" i="11"/>
  <c r="Y209" i="11"/>
  <c r="Y211" i="11"/>
  <c r="Y212" i="11"/>
  <c r="Y213" i="11"/>
  <c r="Y214" i="11"/>
  <c r="Y215" i="11"/>
  <c r="Y219" i="11"/>
  <c r="Y220" i="11"/>
  <c r="Y221" i="11"/>
  <c r="Y222" i="11"/>
  <c r="Y224" i="11"/>
  <c r="X42" i="13"/>
  <c r="Z42" i="13"/>
  <c r="L6" i="13"/>
  <c r="K6" i="13"/>
  <c r="AA293" i="12" l="1"/>
  <c r="Z40" i="13"/>
  <c r="Y3" i="13"/>
  <c r="X40" i="13"/>
  <c r="Y5" i="13"/>
  <c r="X3" i="13"/>
  <c r="S3" i="11" l="1"/>
  <c r="S4" i="11"/>
  <c r="S5" i="11"/>
  <c r="S6" i="11"/>
  <c r="S7" i="11"/>
  <c r="S8" i="11"/>
  <c r="S9" i="11"/>
  <c r="S10" i="11"/>
  <c r="S11" i="11"/>
  <c r="S12" i="11"/>
  <c r="S13" i="11"/>
  <c r="S14" i="11"/>
  <c r="S15" i="11"/>
  <c r="S16" i="11"/>
  <c r="S17" i="11"/>
  <c r="S18" i="11"/>
  <c r="S19" i="11"/>
  <c r="S20" i="11"/>
  <c r="S21" i="11"/>
  <c r="S22" i="11"/>
  <c r="S23" i="11"/>
  <c r="S24" i="11"/>
  <c r="S25" i="11"/>
  <c r="S26" i="11"/>
  <c r="S27" i="11"/>
  <c r="S28" i="11"/>
  <c r="S29" i="11"/>
  <c r="S30" i="11"/>
  <c r="S31" i="11"/>
  <c r="S32" i="11"/>
  <c r="S33" i="11"/>
  <c r="S34" i="11"/>
  <c r="S35" i="11"/>
  <c r="S36" i="11"/>
  <c r="S37" i="11"/>
  <c r="S38" i="11"/>
  <c r="S39" i="11"/>
  <c r="S40" i="11"/>
  <c r="S41" i="11"/>
  <c r="S42" i="11"/>
  <c r="S43" i="11"/>
  <c r="S44" i="11"/>
  <c r="S45" i="11"/>
  <c r="S46" i="11"/>
  <c r="S47" i="11"/>
  <c r="S48" i="11"/>
  <c r="S49" i="11"/>
  <c r="S50" i="11"/>
  <c r="S51" i="11"/>
  <c r="S52" i="11"/>
  <c r="S53" i="11"/>
  <c r="S54" i="11"/>
  <c r="S55" i="11"/>
  <c r="S56" i="11"/>
  <c r="S57" i="11"/>
  <c r="S58" i="11"/>
  <c r="S59" i="11"/>
  <c r="S60" i="11"/>
  <c r="S61" i="11"/>
  <c r="S62" i="11"/>
  <c r="S63" i="11"/>
  <c r="S64" i="11"/>
  <c r="S65" i="11"/>
  <c r="S66" i="11"/>
  <c r="S67" i="11"/>
  <c r="S68" i="11"/>
  <c r="S69" i="11"/>
  <c r="S70" i="11"/>
  <c r="S71" i="11"/>
  <c r="S72" i="11"/>
  <c r="S73" i="11"/>
  <c r="S74" i="11"/>
  <c r="S75" i="11"/>
  <c r="S76" i="11"/>
  <c r="S77" i="11"/>
  <c r="S78" i="11"/>
  <c r="S79" i="11"/>
  <c r="S80" i="11"/>
  <c r="S81" i="11"/>
  <c r="S82" i="11"/>
  <c r="S83" i="11"/>
  <c r="S84" i="11"/>
  <c r="S85" i="11"/>
  <c r="S86" i="11"/>
  <c r="S87" i="11"/>
  <c r="S88" i="11"/>
  <c r="S89" i="11"/>
  <c r="S90" i="11"/>
  <c r="S91" i="11"/>
  <c r="S92" i="11"/>
  <c r="S93" i="11"/>
  <c r="S94" i="11"/>
  <c r="S95" i="11"/>
  <c r="S96" i="11"/>
  <c r="S97" i="11"/>
  <c r="S98" i="11"/>
  <c r="S99" i="11"/>
  <c r="S100" i="11"/>
  <c r="S101" i="11"/>
  <c r="S102" i="11"/>
  <c r="S103" i="11"/>
  <c r="S104" i="11"/>
  <c r="S105" i="11"/>
  <c r="S106" i="11"/>
  <c r="S107" i="11"/>
  <c r="S108" i="11"/>
  <c r="S109" i="11"/>
  <c r="S110" i="11"/>
  <c r="S111" i="11"/>
  <c r="S112" i="11"/>
  <c r="S113" i="11"/>
  <c r="S114" i="11"/>
  <c r="S115" i="11"/>
  <c r="S116" i="11"/>
  <c r="S117" i="11"/>
  <c r="S118" i="11"/>
  <c r="S119" i="11"/>
  <c r="S120" i="11"/>
  <c r="S121" i="11"/>
  <c r="S122" i="11"/>
  <c r="S123" i="11"/>
  <c r="S124" i="11"/>
  <c r="S125" i="11"/>
  <c r="S126" i="11"/>
  <c r="S127" i="11"/>
  <c r="S128" i="11"/>
  <c r="S129" i="11"/>
  <c r="S130" i="11"/>
  <c r="S131" i="11"/>
  <c r="S132" i="11"/>
  <c r="S133" i="11"/>
  <c r="S134" i="11"/>
  <c r="S135" i="11"/>
  <c r="S136" i="11"/>
  <c r="S137" i="11"/>
  <c r="S138" i="11"/>
  <c r="S139" i="11"/>
  <c r="S140" i="11"/>
  <c r="S141" i="11"/>
  <c r="S142" i="11"/>
  <c r="S143" i="11"/>
  <c r="S144" i="11"/>
  <c r="S145" i="11"/>
  <c r="S146" i="11"/>
  <c r="S147" i="11"/>
  <c r="S148" i="11"/>
  <c r="S149" i="11"/>
  <c r="S150" i="11"/>
  <c r="S151" i="11"/>
  <c r="S152" i="11"/>
  <c r="S153" i="11"/>
  <c r="S154" i="11"/>
  <c r="S155" i="11"/>
  <c r="S156" i="11"/>
  <c r="S157" i="11"/>
  <c r="S158" i="11"/>
  <c r="S159" i="11"/>
  <c r="S160" i="11"/>
  <c r="S161" i="11"/>
  <c r="S162" i="11"/>
  <c r="S163" i="11"/>
  <c r="S164" i="11"/>
  <c r="S165" i="11"/>
  <c r="S166" i="11"/>
  <c r="S167" i="11"/>
  <c r="S168" i="11"/>
  <c r="S169" i="11"/>
  <c r="S170" i="11"/>
  <c r="S171" i="11"/>
  <c r="S172" i="11"/>
  <c r="S173" i="11"/>
  <c r="S174" i="11"/>
  <c r="S175" i="11"/>
  <c r="S176" i="11"/>
  <c r="S177" i="11"/>
  <c r="S178" i="11"/>
  <c r="S179" i="11"/>
  <c r="S180" i="11"/>
  <c r="S181" i="11"/>
  <c r="S182" i="11"/>
  <c r="S183" i="11"/>
  <c r="S184" i="11"/>
  <c r="S185" i="11"/>
  <c r="S186" i="11"/>
  <c r="S187" i="11"/>
  <c r="S188" i="11"/>
  <c r="S189" i="11"/>
  <c r="S190" i="11"/>
  <c r="S191" i="11"/>
  <c r="S192" i="11"/>
  <c r="S193" i="11"/>
  <c r="S194" i="11"/>
  <c r="S195" i="11"/>
  <c r="S196" i="11"/>
  <c r="S197" i="11"/>
  <c r="S198" i="11"/>
  <c r="S199" i="11"/>
  <c r="S200" i="11"/>
  <c r="S201" i="11"/>
  <c r="S202" i="11"/>
  <c r="S203" i="11"/>
  <c r="S204" i="11"/>
  <c r="S205" i="11"/>
  <c r="S206" i="11"/>
  <c r="S207" i="11"/>
  <c r="S208" i="11"/>
  <c r="S209" i="11"/>
  <c r="S210" i="11"/>
  <c r="S211" i="11"/>
  <c r="S212" i="11"/>
  <c r="S213" i="11"/>
  <c r="S214" i="11"/>
  <c r="S215" i="11"/>
  <c r="S216" i="11"/>
  <c r="S217" i="11"/>
  <c r="S218" i="11"/>
  <c r="S219" i="11"/>
  <c r="S220" i="11"/>
  <c r="S221" i="11"/>
  <c r="S222" i="11"/>
  <c r="S223" i="11"/>
  <c r="S224" i="11"/>
  <c r="X27" i="13"/>
  <c r="AA5" i="12"/>
  <c r="AA6" i="12"/>
  <c r="AA7" i="12"/>
  <c r="AA8" i="12"/>
  <c r="Z26" i="13" s="1"/>
  <c r="AA9" i="12"/>
  <c r="AA10" i="12"/>
  <c r="AA11" i="12"/>
  <c r="AA12" i="12"/>
  <c r="AA13" i="12"/>
  <c r="AA14" i="12"/>
  <c r="AA15" i="12"/>
  <c r="AA16" i="12"/>
  <c r="AA17" i="12"/>
  <c r="AA18" i="12"/>
  <c r="AA19" i="12"/>
  <c r="AA20" i="12"/>
  <c r="AA21" i="12"/>
  <c r="AA22" i="12"/>
  <c r="AA23" i="12"/>
  <c r="AA24" i="12"/>
  <c r="AA25" i="12"/>
  <c r="AA26" i="12"/>
  <c r="AA27" i="12"/>
  <c r="AA28" i="12"/>
  <c r="AA29" i="12"/>
  <c r="AA30" i="12"/>
  <c r="AA31" i="12"/>
  <c r="AA32" i="12"/>
  <c r="AA33" i="12"/>
  <c r="AA34" i="12"/>
  <c r="AA35" i="12"/>
  <c r="AA36" i="12"/>
  <c r="AA37" i="12"/>
  <c r="AA38" i="12"/>
  <c r="AA39" i="12"/>
  <c r="AA40" i="12"/>
  <c r="AA41" i="12"/>
  <c r="AA42" i="12"/>
  <c r="AA43" i="12"/>
  <c r="AA44" i="12"/>
  <c r="AA45" i="12"/>
  <c r="AA46" i="12"/>
  <c r="AA47" i="12"/>
  <c r="AA48" i="12"/>
  <c r="AA49" i="12"/>
  <c r="AA50" i="12"/>
  <c r="AA51" i="12"/>
  <c r="AA52" i="12"/>
  <c r="AA53" i="12"/>
  <c r="AA54" i="12"/>
  <c r="AA55" i="12"/>
  <c r="AA56" i="12"/>
  <c r="AA57" i="12"/>
  <c r="AA58" i="12"/>
  <c r="AA59" i="12"/>
  <c r="AA60" i="12"/>
  <c r="AA61" i="12"/>
  <c r="AA62" i="12"/>
  <c r="AA63" i="12"/>
  <c r="AA64" i="12"/>
  <c r="AA65" i="12"/>
  <c r="AA66" i="12"/>
  <c r="AA67" i="12"/>
  <c r="AA68" i="12"/>
  <c r="AA69" i="12"/>
  <c r="AA70" i="12"/>
  <c r="AA71" i="12"/>
  <c r="AA72" i="12"/>
  <c r="AA73" i="12"/>
  <c r="AA74" i="12"/>
  <c r="AA75" i="12"/>
  <c r="AA76" i="12"/>
  <c r="AA77" i="12"/>
  <c r="AA78" i="12"/>
  <c r="AA79" i="12"/>
  <c r="AA80" i="12"/>
  <c r="AA81" i="12"/>
  <c r="AA82" i="12"/>
  <c r="AA83" i="12"/>
  <c r="AA84" i="12"/>
  <c r="AA85" i="12"/>
  <c r="AA86" i="12"/>
  <c r="AA87" i="12"/>
  <c r="AA88" i="12"/>
  <c r="AA89" i="12"/>
  <c r="AA90" i="12"/>
  <c r="AA91" i="12"/>
  <c r="AA92" i="12"/>
  <c r="AA93" i="12"/>
  <c r="AA94" i="12"/>
  <c r="AA95" i="12"/>
  <c r="AA96" i="12"/>
  <c r="AA97" i="12"/>
  <c r="AA98" i="12"/>
  <c r="AA99" i="12"/>
  <c r="AA100" i="12"/>
  <c r="AA101" i="12"/>
  <c r="AA102" i="12"/>
  <c r="AA103" i="12"/>
  <c r="AA104" i="12"/>
  <c r="AA105" i="12"/>
  <c r="AA106" i="12"/>
  <c r="AA107" i="12"/>
  <c r="AA108" i="12"/>
  <c r="AA109" i="12"/>
  <c r="AA110" i="12"/>
  <c r="AA111" i="12"/>
  <c r="AA112" i="12"/>
  <c r="AA113" i="12"/>
  <c r="AA114" i="12"/>
  <c r="AA115" i="12"/>
  <c r="AA116" i="12"/>
  <c r="AA117" i="12"/>
  <c r="AA118" i="12"/>
  <c r="AA119" i="12"/>
  <c r="AA120" i="12"/>
  <c r="AA121" i="12"/>
  <c r="AA122" i="12"/>
  <c r="AA123" i="12"/>
  <c r="AA124" i="12"/>
  <c r="AA125" i="12"/>
  <c r="AA126" i="12"/>
  <c r="AA127" i="12"/>
  <c r="AA128" i="12"/>
  <c r="AA129" i="12"/>
  <c r="AA130" i="12"/>
  <c r="AA131" i="12"/>
  <c r="AA132" i="12"/>
  <c r="AA133" i="12"/>
  <c r="AA134" i="12"/>
  <c r="AA135" i="12"/>
  <c r="AA136" i="12"/>
  <c r="AA137" i="12"/>
  <c r="AA138" i="12"/>
  <c r="AA139" i="12"/>
  <c r="AA140" i="12"/>
  <c r="AA141" i="12"/>
  <c r="AA142" i="12"/>
  <c r="AA143" i="12"/>
  <c r="AA144" i="12"/>
  <c r="AA145" i="12"/>
  <c r="AA146" i="12"/>
  <c r="AA147" i="12"/>
  <c r="AA148" i="12"/>
  <c r="AA149" i="12"/>
  <c r="AA150" i="12"/>
  <c r="AA151" i="12"/>
  <c r="AA152" i="12"/>
  <c r="AA153" i="12"/>
  <c r="AA154" i="12"/>
  <c r="AA155" i="12"/>
  <c r="AA156" i="12"/>
  <c r="AA157" i="12"/>
  <c r="AA158" i="12"/>
  <c r="AA159" i="12"/>
  <c r="AA160" i="12"/>
  <c r="AA161" i="12"/>
  <c r="AA162" i="12"/>
  <c r="AA163" i="12"/>
  <c r="AA164" i="12"/>
  <c r="AA165" i="12"/>
  <c r="AA166" i="12"/>
  <c r="AA167" i="12"/>
  <c r="AA168" i="12"/>
  <c r="AA169" i="12"/>
  <c r="AA170" i="12"/>
  <c r="AA171" i="12"/>
  <c r="AA172" i="12"/>
  <c r="AA173" i="12"/>
  <c r="AA174" i="12"/>
  <c r="AA175" i="12"/>
  <c r="AA176" i="12"/>
  <c r="AA177" i="12"/>
  <c r="AA178" i="12"/>
  <c r="AA179" i="12"/>
  <c r="AA180" i="12"/>
  <c r="AA181" i="12"/>
  <c r="AA182" i="12"/>
  <c r="AA183" i="12"/>
  <c r="AA184" i="12"/>
  <c r="AA185" i="12"/>
  <c r="AA186" i="12"/>
  <c r="AA187" i="12"/>
  <c r="AA188" i="12"/>
  <c r="AA189" i="12"/>
  <c r="AA190" i="12"/>
  <c r="AA191" i="12"/>
  <c r="X26" i="13" s="1"/>
  <c r="AA192" i="12"/>
  <c r="AA193" i="12"/>
  <c r="AA194" i="12"/>
  <c r="AA195" i="12"/>
  <c r="AA196" i="12"/>
  <c r="AA197" i="12"/>
  <c r="AA198" i="12"/>
  <c r="AA199" i="12"/>
  <c r="AA200" i="12"/>
  <c r="AA201" i="12"/>
  <c r="AA202" i="12"/>
  <c r="AA203" i="12"/>
  <c r="AA204" i="12"/>
  <c r="AA205" i="12"/>
  <c r="AA206" i="12"/>
  <c r="AA207" i="12"/>
  <c r="AA208" i="12"/>
  <c r="AA209" i="12"/>
  <c r="AA210" i="12"/>
  <c r="AA211" i="12"/>
  <c r="AA212" i="12"/>
  <c r="AA213" i="12"/>
  <c r="AA214" i="12"/>
  <c r="AA215" i="12"/>
  <c r="AA216" i="12"/>
  <c r="AA217" i="12"/>
  <c r="AA218" i="12"/>
  <c r="AA219" i="12"/>
  <c r="AA220" i="12"/>
  <c r="AA221" i="12"/>
  <c r="AA222" i="12"/>
  <c r="AA223" i="12"/>
  <c r="AA224" i="12"/>
  <c r="AA225" i="12"/>
  <c r="AA226" i="12"/>
  <c r="AA227" i="12"/>
  <c r="AA228" i="12"/>
  <c r="AA229" i="12"/>
  <c r="AA230" i="12"/>
  <c r="AA231" i="12"/>
  <c r="AA232" i="12"/>
  <c r="AA233" i="12"/>
  <c r="AA234" i="12"/>
  <c r="AA235" i="12"/>
  <c r="AA236" i="12"/>
  <c r="AA237" i="12"/>
  <c r="AA238" i="12"/>
  <c r="AA239" i="12"/>
  <c r="AA240" i="12"/>
  <c r="AA241" i="12"/>
  <c r="AA242" i="12"/>
  <c r="AA243" i="12"/>
  <c r="AA244" i="12"/>
  <c r="AA245" i="12"/>
  <c r="AA246" i="12"/>
  <c r="AA247" i="12"/>
  <c r="AA248" i="12"/>
  <c r="AA249" i="12"/>
  <c r="AA250" i="12"/>
  <c r="AA251" i="12"/>
  <c r="AA252" i="12"/>
  <c r="AA253" i="12"/>
  <c r="AA254" i="12"/>
  <c r="AA255" i="12"/>
  <c r="AA256" i="12"/>
  <c r="AA257" i="12"/>
  <c r="AA258" i="12"/>
  <c r="AA259" i="12"/>
  <c r="AA260" i="12"/>
  <c r="AA261" i="12"/>
  <c r="AA262" i="12"/>
  <c r="AA263" i="12"/>
  <c r="AA264" i="12"/>
  <c r="AA265" i="12"/>
  <c r="AA266" i="12"/>
  <c r="AA267" i="12"/>
  <c r="AA268" i="12"/>
  <c r="AA269" i="12"/>
  <c r="AA270" i="12"/>
  <c r="AA271" i="12"/>
  <c r="AA272" i="12"/>
  <c r="AA273" i="12"/>
  <c r="AA274" i="12"/>
  <c r="AA275" i="12"/>
  <c r="AA276" i="12"/>
  <c r="AA277" i="12"/>
  <c r="AA278" i="12"/>
  <c r="AA279" i="12"/>
  <c r="AA280" i="12"/>
  <c r="AA281" i="12"/>
  <c r="AA282" i="12"/>
  <c r="AA283" i="12"/>
  <c r="AA284" i="12"/>
  <c r="AA285" i="12"/>
  <c r="AA286" i="12"/>
  <c r="AA287" i="12"/>
  <c r="AA288" i="12"/>
  <c r="AA289" i="12"/>
  <c r="AA290" i="12"/>
  <c r="AA291" i="12"/>
  <c r="AA292" i="12"/>
  <c r="AA4" i="12"/>
  <c r="E3" i="11" l="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E136" i="11"/>
  <c r="E137" i="11"/>
  <c r="E138" i="11"/>
  <c r="E139" i="11"/>
  <c r="E140" i="1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Z36" i="13"/>
  <c r="X35" i="13"/>
  <c r="Z39" i="13"/>
  <c r="X37" i="13"/>
  <c r="Z35" i="13"/>
  <c r="X36" i="13"/>
  <c r="X41" i="13"/>
  <c r="Z37" i="13"/>
  <c r="Z41" i="13"/>
  <c r="Z38" i="13"/>
  <c r="X39" i="13"/>
  <c r="X38" i="13"/>
  <c r="H3" i="11" l="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Z32" i="13"/>
  <c r="Z31" i="13"/>
  <c r="Z30" i="13"/>
  <c r="Z29" i="13"/>
  <c r="Z28" i="13"/>
  <c r="Z27" i="13"/>
  <c r="X32" i="13"/>
  <c r="X31" i="13"/>
  <c r="X30" i="13"/>
  <c r="X29" i="13"/>
  <c r="X28" i="13"/>
  <c r="O3" i="11"/>
  <c r="Y3" i="11" s="1"/>
  <c r="O4" i="11"/>
  <c r="Y4" i="11" s="1"/>
  <c r="O5" i="11"/>
  <c r="O6" i="11"/>
  <c r="Y6" i="11" s="1"/>
  <c r="O7" i="11"/>
  <c r="O8" i="11"/>
  <c r="Y8" i="11" s="1"/>
  <c r="O9" i="11"/>
  <c r="O10" i="11"/>
  <c r="O11" i="11"/>
  <c r="O12" i="11"/>
  <c r="O13" i="11"/>
  <c r="O14" i="11"/>
  <c r="O15" i="11"/>
  <c r="O16" i="11"/>
  <c r="O17" i="11"/>
  <c r="O18" i="11"/>
  <c r="O19" i="11"/>
  <c r="O20" i="11"/>
  <c r="O21" i="11"/>
  <c r="Y21" i="11" s="1"/>
  <c r="O22" i="11"/>
  <c r="O23" i="11"/>
  <c r="O24" i="11"/>
  <c r="O25" i="11"/>
  <c r="O26" i="11"/>
  <c r="O27" i="11"/>
  <c r="O28" i="11"/>
  <c r="O29" i="11"/>
  <c r="O30" i="11"/>
  <c r="O31" i="11"/>
  <c r="Y31" i="11" s="1"/>
  <c r="O32" i="11"/>
  <c r="O33" i="11"/>
  <c r="O34" i="11"/>
  <c r="O35" i="11"/>
  <c r="O36" i="11"/>
  <c r="O37" i="11"/>
  <c r="O38" i="11"/>
  <c r="O39" i="11"/>
  <c r="O40" i="11"/>
  <c r="O41" i="11"/>
  <c r="O42" i="11"/>
  <c r="O43" i="11"/>
  <c r="O44" i="11"/>
  <c r="Y44" i="11" s="1"/>
  <c r="O45" i="11"/>
  <c r="O46" i="11"/>
  <c r="O47" i="11"/>
  <c r="O48" i="11"/>
  <c r="O49" i="11"/>
  <c r="Y49" i="11" s="1"/>
  <c r="O50" i="11"/>
  <c r="O51" i="11"/>
  <c r="O52" i="11"/>
  <c r="Y52" i="11" s="1"/>
  <c r="O53" i="11"/>
  <c r="O54" i="11"/>
  <c r="O55" i="11"/>
  <c r="O56" i="11"/>
  <c r="O57" i="11"/>
  <c r="O58" i="11"/>
  <c r="O59" i="11"/>
  <c r="O60" i="11"/>
  <c r="Y60" i="11" s="1"/>
  <c r="O61" i="11"/>
  <c r="Y61" i="11" s="1"/>
  <c r="O62" i="11"/>
  <c r="O63" i="11"/>
  <c r="O64" i="11"/>
  <c r="O65" i="11"/>
  <c r="Y65" i="11" s="1"/>
  <c r="O66" i="11"/>
  <c r="O67" i="11"/>
  <c r="Y67" i="11" s="1"/>
  <c r="O68" i="11"/>
  <c r="O69" i="11"/>
  <c r="O70" i="11"/>
  <c r="O71" i="11"/>
  <c r="O72" i="11"/>
  <c r="O73" i="11"/>
  <c r="Y73" i="11" s="1"/>
  <c r="O74" i="11"/>
  <c r="O75" i="11"/>
  <c r="O76" i="11"/>
  <c r="O77" i="11"/>
  <c r="Y77" i="11" s="1"/>
  <c r="O78" i="11"/>
  <c r="O79" i="11"/>
  <c r="Y79" i="11" s="1"/>
  <c r="O80" i="11"/>
  <c r="Y80" i="11" s="1"/>
  <c r="O81" i="11"/>
  <c r="O82" i="11"/>
  <c r="O83" i="11"/>
  <c r="O84" i="11"/>
  <c r="O85" i="11"/>
  <c r="O86" i="11"/>
  <c r="Y86" i="11" s="1"/>
  <c r="O87" i="11"/>
  <c r="O88" i="11"/>
  <c r="O89" i="11"/>
  <c r="O90" i="11"/>
  <c r="O91" i="11"/>
  <c r="O92" i="11"/>
  <c r="Y92" i="11" s="1"/>
  <c r="O93" i="11"/>
  <c r="O94" i="11"/>
  <c r="O95" i="11"/>
  <c r="O96" i="11"/>
  <c r="O97" i="11"/>
  <c r="O98" i="11"/>
  <c r="O99" i="11"/>
  <c r="O100" i="11"/>
  <c r="Y100" i="11" s="1"/>
  <c r="O101" i="11"/>
  <c r="O102" i="11"/>
  <c r="O103" i="11"/>
  <c r="O104" i="11"/>
  <c r="O105" i="11"/>
  <c r="Y105" i="11" s="1"/>
  <c r="O106" i="11"/>
  <c r="O107" i="11"/>
  <c r="O108" i="11"/>
  <c r="O109" i="11"/>
  <c r="O110" i="11"/>
  <c r="O111" i="11"/>
  <c r="O112" i="11"/>
  <c r="O113" i="11"/>
  <c r="O114" i="11"/>
  <c r="Y114" i="11" s="1"/>
  <c r="O115" i="11"/>
  <c r="Y115" i="11" s="1"/>
  <c r="O116" i="11"/>
  <c r="O117" i="11"/>
  <c r="O118" i="11"/>
  <c r="O119" i="11"/>
  <c r="O120" i="11"/>
  <c r="Y120" i="11" s="1"/>
  <c r="O121" i="11"/>
  <c r="Y121" i="11" s="1"/>
  <c r="O122" i="11"/>
  <c r="O123" i="11"/>
  <c r="Y123" i="11" s="1"/>
  <c r="O124" i="11"/>
  <c r="O125" i="11"/>
  <c r="O126" i="11"/>
  <c r="O127" i="11"/>
  <c r="O128" i="11"/>
  <c r="Y128" i="11" s="1"/>
  <c r="O129" i="11"/>
  <c r="O130" i="11"/>
  <c r="Y130" i="11" s="1"/>
  <c r="O131" i="11"/>
  <c r="Y131" i="11" s="1"/>
  <c r="O132" i="11"/>
  <c r="O133" i="11"/>
  <c r="O134" i="11"/>
  <c r="O135" i="11"/>
  <c r="O136" i="11"/>
  <c r="O137" i="11"/>
  <c r="O138" i="11"/>
  <c r="O139" i="11"/>
  <c r="O140" i="11"/>
  <c r="Y140" i="11" s="1"/>
  <c r="O141" i="11"/>
  <c r="Y141" i="11" s="1"/>
  <c r="O142" i="11"/>
  <c r="O143" i="11"/>
  <c r="O144" i="11"/>
  <c r="O145" i="11"/>
  <c r="O146" i="11"/>
  <c r="Y146" i="11" s="1"/>
  <c r="O147" i="11"/>
  <c r="Y147" i="11" s="1"/>
  <c r="O148" i="11"/>
  <c r="Y148" i="11" s="1"/>
  <c r="O149" i="11"/>
  <c r="O150" i="11"/>
  <c r="O151" i="11"/>
  <c r="O152" i="11"/>
  <c r="O153" i="11"/>
  <c r="O154" i="11"/>
  <c r="O155" i="11"/>
  <c r="Y155" i="11" s="1"/>
  <c r="O156" i="11"/>
  <c r="O157" i="11"/>
  <c r="Y157" i="11" s="1"/>
  <c r="O158" i="11"/>
  <c r="O159" i="11"/>
  <c r="O160" i="11"/>
  <c r="O161" i="11"/>
  <c r="O162" i="11"/>
  <c r="Y162" i="11" s="1"/>
  <c r="O163" i="11"/>
  <c r="O164" i="11"/>
  <c r="O165" i="11"/>
  <c r="O166" i="11"/>
  <c r="O167" i="11"/>
  <c r="Y167" i="11" s="1"/>
  <c r="O168" i="11"/>
  <c r="O169" i="11"/>
  <c r="O170" i="11"/>
  <c r="Y170" i="11" s="1"/>
  <c r="O171" i="11"/>
  <c r="O172" i="11"/>
  <c r="O173" i="11"/>
  <c r="O174" i="11"/>
  <c r="O175" i="11"/>
  <c r="Y175" i="11" s="1"/>
  <c r="O176" i="11"/>
  <c r="O177" i="11"/>
  <c r="O178" i="11"/>
  <c r="O179" i="11"/>
  <c r="O180" i="11"/>
  <c r="O181" i="11"/>
  <c r="Y181" i="11" s="1"/>
  <c r="O182" i="11"/>
  <c r="O183" i="11"/>
  <c r="O184" i="11"/>
  <c r="O185" i="11"/>
  <c r="O186" i="11"/>
  <c r="Y186" i="11" s="1"/>
  <c r="O187" i="11"/>
  <c r="Y187" i="11" s="1"/>
  <c r="O188" i="11"/>
  <c r="O189" i="11"/>
  <c r="O190" i="11"/>
  <c r="O191" i="11"/>
  <c r="O192" i="11"/>
  <c r="O193" i="11"/>
  <c r="Y193" i="11" s="1"/>
  <c r="O194" i="11"/>
  <c r="O195" i="11"/>
  <c r="O196" i="11"/>
  <c r="O197" i="11"/>
  <c r="O198" i="11"/>
  <c r="O199" i="11"/>
  <c r="Y199" i="11" s="1"/>
  <c r="O200" i="11"/>
  <c r="O201" i="11"/>
  <c r="Y201" i="11" s="1"/>
  <c r="O202" i="11"/>
  <c r="O203" i="11"/>
  <c r="O204" i="11"/>
  <c r="O205" i="11"/>
  <c r="O206" i="11"/>
  <c r="O207" i="11"/>
  <c r="O208" i="11"/>
  <c r="Y208" i="11" s="1"/>
  <c r="O209" i="11"/>
  <c r="O210" i="11"/>
  <c r="Y210" i="11" s="1"/>
  <c r="O211" i="11"/>
  <c r="O212" i="11"/>
  <c r="O213" i="11"/>
  <c r="O214" i="11"/>
  <c r="O215" i="11"/>
  <c r="O216" i="11"/>
  <c r="Y216" i="11" s="1"/>
  <c r="O217" i="11"/>
  <c r="Y217" i="11" s="1"/>
  <c r="O218" i="11"/>
  <c r="Y218" i="11" s="1"/>
  <c r="O219" i="11"/>
  <c r="O220" i="11"/>
  <c r="O221" i="11"/>
  <c r="O222" i="11"/>
  <c r="O223" i="11"/>
  <c r="Y223" i="11" s="1"/>
  <c r="O224" i="11"/>
  <c r="N3" i="11"/>
  <c r="N4" i="1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N155" i="11"/>
  <c r="N156" i="11"/>
  <c r="N157" i="11"/>
  <c r="N158" i="11"/>
  <c r="N159" i="11"/>
  <c r="N160" i="11"/>
  <c r="N161" i="11"/>
  <c r="N162" i="11"/>
  <c r="N163" i="11"/>
  <c r="N164" i="11"/>
  <c r="N165" i="11"/>
  <c r="N166" i="11"/>
  <c r="N167" i="11"/>
  <c r="N168" i="11"/>
  <c r="N169" i="11"/>
  <c r="N170" i="11"/>
  <c r="N171" i="11"/>
  <c r="N172" i="11"/>
  <c r="N173" i="11"/>
  <c r="N174" i="11"/>
  <c r="N175" i="11"/>
  <c r="N176" i="11"/>
  <c r="N177" i="11"/>
  <c r="N178" i="11"/>
  <c r="N179" i="11"/>
  <c r="N180" i="11"/>
  <c r="N181" i="11"/>
  <c r="N182" i="11"/>
  <c r="N183" i="11"/>
  <c r="N184" i="11"/>
  <c r="N185" i="11"/>
  <c r="N186" i="11"/>
  <c r="N187" i="11"/>
  <c r="N188" i="11"/>
  <c r="N189" i="11"/>
  <c r="N190" i="11"/>
  <c r="N191" i="11"/>
  <c r="N192" i="11"/>
  <c r="N193" i="11"/>
  <c r="N194" i="11"/>
  <c r="N195" i="11"/>
  <c r="N196" i="11"/>
  <c r="N197" i="11"/>
  <c r="N198" i="11"/>
  <c r="N199" i="11"/>
  <c r="N200" i="11"/>
  <c r="N201" i="11"/>
  <c r="N202" i="11"/>
  <c r="N203" i="11"/>
  <c r="N204" i="11"/>
  <c r="N205" i="11"/>
  <c r="N206" i="11"/>
  <c r="N207" i="11"/>
  <c r="N208" i="11"/>
  <c r="N209" i="11"/>
  <c r="N210" i="11"/>
  <c r="N211" i="11"/>
  <c r="N212" i="11"/>
  <c r="N213" i="11"/>
  <c r="N214" i="11"/>
  <c r="N215" i="11"/>
  <c r="N216" i="11"/>
  <c r="N217" i="11"/>
  <c r="N218" i="11"/>
  <c r="N219" i="11"/>
  <c r="N220" i="11"/>
  <c r="N221" i="11"/>
  <c r="N222" i="11"/>
  <c r="N223" i="11"/>
  <c r="N224" i="11"/>
  <c r="M3" i="11"/>
  <c r="M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L3"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L207" i="11"/>
  <c r="L208" i="11"/>
  <c r="L209" i="11"/>
  <c r="L210" i="11"/>
  <c r="L211" i="11"/>
  <c r="L212" i="11"/>
  <c r="L213" i="11"/>
  <c r="L214" i="11"/>
  <c r="L215" i="11"/>
  <c r="L216" i="11"/>
  <c r="L217" i="11"/>
  <c r="L218" i="11"/>
  <c r="L219" i="11"/>
  <c r="L220" i="11"/>
  <c r="L221" i="11"/>
  <c r="L222" i="11"/>
  <c r="L223" i="11"/>
  <c r="L224" i="11"/>
  <c r="K3" i="1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I3" i="11"/>
  <c r="I4" i="11"/>
  <c r="I5" i="11"/>
  <c r="I6" i="11"/>
  <c r="I7"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38" i="11"/>
  <c r="I39" i="11"/>
  <c r="I40" i="11"/>
  <c r="I41" i="11"/>
  <c r="I42" i="11"/>
  <c r="I43" i="11"/>
  <c r="I44" i="11"/>
  <c r="I45" i="11"/>
  <c r="I46" i="11"/>
  <c r="I47" i="11"/>
  <c r="I4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99" i="11"/>
  <c r="I100" i="11"/>
  <c r="I101" i="11"/>
  <c r="I102" i="11"/>
  <c r="I103" i="11"/>
  <c r="I104" i="11"/>
  <c r="I105" i="11"/>
  <c r="I106" i="11"/>
  <c r="I107" i="11"/>
  <c r="I108" i="11"/>
  <c r="I109" i="11"/>
  <c r="I110" i="11"/>
  <c r="I111" i="11"/>
  <c r="I112" i="11"/>
  <c r="I113" i="11"/>
  <c r="I114" i="11"/>
  <c r="I115" i="11"/>
  <c r="I116" i="11"/>
  <c r="I117" i="11"/>
  <c r="I118" i="11"/>
  <c r="I119" i="11"/>
  <c r="I120" i="11"/>
  <c r="I121" i="11"/>
  <c r="I122" i="11"/>
  <c r="I123" i="11"/>
  <c r="I124" i="11"/>
  <c r="I125" i="11"/>
  <c r="I126" i="11"/>
  <c r="I127" i="11"/>
  <c r="I128" i="11"/>
  <c r="I129" i="11"/>
  <c r="I130" i="11"/>
  <c r="I131" i="11"/>
  <c r="I132" i="11"/>
  <c r="I133" i="11"/>
  <c r="I134" i="11"/>
  <c r="I135" i="11"/>
  <c r="I136" i="11"/>
  <c r="I137" i="11"/>
  <c r="I138" i="11"/>
  <c r="I139" i="11"/>
  <c r="I140" i="11"/>
  <c r="I141" i="11"/>
  <c r="I142" i="11"/>
  <c r="I143" i="11"/>
  <c r="I144" i="11"/>
  <c r="I145" i="11"/>
  <c r="I146" i="11"/>
  <c r="I147" i="11"/>
  <c r="I148" i="11"/>
  <c r="I149" i="11"/>
  <c r="I150" i="11"/>
  <c r="I151" i="11"/>
  <c r="I152" i="11"/>
  <c r="I153" i="11"/>
  <c r="I154" i="11"/>
  <c r="I155" i="11"/>
  <c r="I156" i="11"/>
  <c r="I157" i="11"/>
  <c r="I158" i="11"/>
  <c r="I159" i="11"/>
  <c r="I160" i="11"/>
  <c r="I161" i="11"/>
  <c r="I162" i="11"/>
  <c r="I163" i="11"/>
  <c r="I164" i="11"/>
  <c r="I165" i="11"/>
  <c r="I166" i="11"/>
  <c r="I167" i="11"/>
  <c r="I168" i="11"/>
  <c r="I169" i="11"/>
  <c r="I170" i="11"/>
  <c r="I171" i="11"/>
  <c r="I172" i="11"/>
  <c r="I173" i="11"/>
  <c r="I174" i="11"/>
  <c r="I175" i="11"/>
  <c r="I176" i="11"/>
  <c r="I177" i="11"/>
  <c r="I178" i="11"/>
  <c r="I179" i="11"/>
  <c r="I180" i="11"/>
  <c r="I181" i="11"/>
  <c r="I182" i="11"/>
  <c r="I183" i="11"/>
  <c r="I184" i="11"/>
  <c r="I185" i="11"/>
  <c r="I186" i="11"/>
  <c r="I187" i="11"/>
  <c r="I188" i="11"/>
  <c r="I189"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Z24" i="13" l="1"/>
  <c r="X24" i="13"/>
  <c r="C3" i="11" l="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K5" i="13"/>
  <c r="Z5" i="13"/>
  <c r="L5" i="13"/>
  <c r="W3" i="13"/>
  <c r="X5" i="13"/>
  <c r="V3" i="13"/>
  <c r="Z3" i="13"/>
  <c r="V5" i="13"/>
  <c r="W5" i="13"/>
  <c r="F15" i="11" l="1"/>
  <c r="D23" i="11"/>
  <c r="F31" i="11"/>
  <c r="F39" i="11"/>
  <c r="D47" i="11"/>
  <c r="D55" i="11"/>
  <c r="D63" i="11"/>
  <c r="F71" i="11"/>
  <c r="D79" i="11"/>
  <c r="D87" i="11"/>
  <c r="D95" i="11"/>
  <c r="F103" i="11"/>
  <c r="D111" i="11"/>
  <c r="D119" i="11"/>
  <c r="D127" i="11"/>
  <c r="F135" i="11"/>
  <c r="D143" i="11"/>
  <c r="D151" i="11"/>
  <c r="D159" i="11"/>
  <c r="F167" i="11"/>
  <c r="D175" i="11"/>
  <c r="F183" i="11"/>
  <c r="D191" i="11"/>
  <c r="F199" i="11"/>
  <c r="D207" i="11"/>
  <c r="D215" i="11"/>
  <c r="D223" i="11"/>
  <c r="F17" i="11"/>
  <c r="F25" i="11"/>
  <c r="F41" i="11"/>
  <c r="F49" i="11"/>
  <c r="F57" i="11"/>
  <c r="D65" i="11"/>
  <c r="T65" i="11" s="1"/>
  <c r="W65" i="11" s="1"/>
  <c r="D73" i="11"/>
  <c r="T73" i="11" s="1"/>
  <c r="W73" i="11" s="1"/>
  <c r="D81" i="11"/>
  <c r="T81" i="11" s="1"/>
  <c r="W81" i="11" s="1"/>
  <c r="D89" i="11"/>
  <c r="T89" i="11" s="1"/>
  <c r="W89" i="11" s="1"/>
  <c r="D97" i="11"/>
  <c r="T97" i="11" s="1"/>
  <c r="W97" i="11" s="1"/>
  <c r="D105" i="11"/>
  <c r="T105" i="11" s="1"/>
  <c r="W105" i="11" s="1"/>
  <c r="D113" i="11"/>
  <c r="T113" i="11" s="1"/>
  <c r="W113" i="11" s="1"/>
  <c r="D121" i="11"/>
  <c r="D129" i="11"/>
  <c r="D137" i="11"/>
  <c r="D145" i="11"/>
  <c r="D153" i="11"/>
  <c r="D161" i="11"/>
  <c r="D169" i="11"/>
  <c r="D177" i="11"/>
  <c r="D178" i="11"/>
  <c r="D179" i="11"/>
  <c r="F181" i="11"/>
  <c r="D185" i="11"/>
  <c r="T185" i="11" s="1"/>
  <c r="W185" i="11" s="1"/>
  <c r="F186" i="11"/>
  <c r="D187" i="11"/>
  <c r="F189" i="11"/>
  <c r="D193" i="11"/>
  <c r="T193" i="11" s="1"/>
  <c r="W193" i="11" s="1"/>
  <c r="F194" i="11"/>
  <c r="F195" i="11"/>
  <c r="F197" i="11"/>
  <c r="D201" i="11"/>
  <c r="T201" i="11" s="1"/>
  <c r="W201" i="11" s="1"/>
  <c r="F203" i="11"/>
  <c r="F205" i="11"/>
  <c r="F207" i="11"/>
  <c r="D209" i="11"/>
  <c r="T209" i="11" s="1"/>
  <c r="W209" i="11" s="1"/>
  <c r="F211" i="11"/>
  <c r="F213" i="11"/>
  <c r="F217" i="11"/>
  <c r="D176" i="11"/>
  <c r="F176" i="11"/>
  <c r="F178" i="11"/>
  <c r="D180" i="11"/>
  <c r="F180" i="11"/>
  <c r="D181" i="11"/>
  <c r="D182" i="11"/>
  <c r="T182" i="11" s="1"/>
  <c r="W182" i="11" s="1"/>
  <c r="F182" i="11"/>
  <c r="D184" i="11"/>
  <c r="F184" i="11"/>
  <c r="D186" i="11"/>
  <c r="T186" i="11" s="1"/>
  <c r="W186" i="11" s="1"/>
  <c r="D188" i="11"/>
  <c r="F188" i="11"/>
  <c r="D189" i="11"/>
  <c r="D190" i="11"/>
  <c r="T190" i="11" s="1"/>
  <c r="W190" i="11" s="1"/>
  <c r="F190" i="11"/>
  <c r="D192" i="11"/>
  <c r="F192" i="11"/>
  <c r="D194" i="11"/>
  <c r="T194" i="11" s="1"/>
  <c r="W194" i="11" s="1"/>
  <c r="D195" i="11"/>
  <c r="D196" i="11"/>
  <c r="F196" i="11"/>
  <c r="D197" i="11"/>
  <c r="D198" i="11"/>
  <c r="T198" i="11" s="1"/>
  <c r="W198" i="11" s="1"/>
  <c r="F198" i="11"/>
  <c r="D200" i="11"/>
  <c r="F200" i="11"/>
  <c r="D202" i="11"/>
  <c r="T202" i="11" s="1"/>
  <c r="W202" i="11" s="1"/>
  <c r="F202" i="11"/>
  <c r="D203" i="11"/>
  <c r="D204" i="11"/>
  <c r="F204" i="11"/>
  <c r="D205" i="11"/>
  <c r="D206" i="11"/>
  <c r="T206" i="11" s="1"/>
  <c r="W206" i="11" s="1"/>
  <c r="F206" i="11"/>
  <c r="D208" i="11"/>
  <c r="F208" i="11"/>
  <c r="D210" i="11"/>
  <c r="T210" i="11" s="1"/>
  <c r="W210" i="11" s="1"/>
  <c r="F210" i="11"/>
  <c r="D211" i="11"/>
  <c r="D212" i="11"/>
  <c r="F212" i="11"/>
  <c r="D213" i="11"/>
  <c r="D214" i="11"/>
  <c r="T214" i="11" s="1"/>
  <c r="W214" i="11" s="1"/>
  <c r="F214" i="11"/>
  <c r="D216" i="11"/>
  <c r="F216" i="11"/>
  <c r="D60" i="11"/>
  <c r="F60" i="11"/>
  <c r="D61" i="11"/>
  <c r="F61" i="11"/>
  <c r="D62" i="11"/>
  <c r="F62" i="11"/>
  <c r="D64" i="11"/>
  <c r="F64" i="11"/>
  <c r="D66" i="11"/>
  <c r="F66" i="11"/>
  <c r="D67" i="11"/>
  <c r="F67" i="11"/>
  <c r="D68" i="11"/>
  <c r="F68" i="11"/>
  <c r="D69" i="11"/>
  <c r="F69" i="11"/>
  <c r="D70" i="11"/>
  <c r="F70" i="11"/>
  <c r="D72" i="11"/>
  <c r="F72" i="11"/>
  <c r="D74" i="11"/>
  <c r="F74" i="11"/>
  <c r="D75" i="11"/>
  <c r="F75" i="11"/>
  <c r="D76" i="11"/>
  <c r="F76" i="11"/>
  <c r="D77" i="11"/>
  <c r="F77" i="11"/>
  <c r="D78" i="11"/>
  <c r="F78" i="11"/>
  <c r="F79" i="11"/>
  <c r="D80" i="11"/>
  <c r="F80" i="11"/>
  <c r="D82" i="11"/>
  <c r="F82" i="11"/>
  <c r="D83" i="11"/>
  <c r="F83" i="11"/>
  <c r="D84" i="11"/>
  <c r="F84" i="11"/>
  <c r="D85" i="11"/>
  <c r="F85" i="11"/>
  <c r="D86" i="11"/>
  <c r="F86" i="11"/>
  <c r="D88" i="11"/>
  <c r="F88" i="11"/>
  <c r="D90" i="11"/>
  <c r="F90" i="11"/>
  <c r="D91" i="11"/>
  <c r="F91" i="11"/>
  <c r="D92" i="11"/>
  <c r="F92" i="11"/>
  <c r="D93" i="11"/>
  <c r="F93" i="11"/>
  <c r="D94" i="11"/>
  <c r="F94" i="11"/>
  <c r="D96" i="11"/>
  <c r="F96" i="11"/>
  <c r="D98" i="11"/>
  <c r="F98" i="11"/>
  <c r="D99" i="11"/>
  <c r="F99" i="11"/>
  <c r="D100" i="11"/>
  <c r="F100" i="11"/>
  <c r="D101" i="11"/>
  <c r="F101" i="11"/>
  <c r="D102" i="11"/>
  <c r="F102" i="11"/>
  <c r="D104" i="11"/>
  <c r="F104" i="11"/>
  <c r="D106" i="11"/>
  <c r="F106" i="11"/>
  <c r="D107" i="11"/>
  <c r="F107" i="11"/>
  <c r="D108" i="11"/>
  <c r="F108" i="11"/>
  <c r="D109" i="11"/>
  <c r="F109" i="11"/>
  <c r="D110" i="11"/>
  <c r="F110" i="11"/>
  <c r="F111" i="11"/>
  <c r="D112" i="11"/>
  <c r="F112" i="11"/>
  <c r="D114" i="11"/>
  <c r="F114" i="11"/>
  <c r="D115" i="11"/>
  <c r="F115" i="11"/>
  <c r="D116" i="11"/>
  <c r="F116" i="11"/>
  <c r="D117" i="11"/>
  <c r="F117" i="11"/>
  <c r="D118" i="11"/>
  <c r="F118" i="11"/>
  <c r="D120" i="11"/>
  <c r="F120" i="11"/>
  <c r="D122" i="11"/>
  <c r="F122" i="11"/>
  <c r="D123" i="11"/>
  <c r="F123" i="11"/>
  <c r="D124" i="11"/>
  <c r="F124" i="11"/>
  <c r="D125" i="11"/>
  <c r="F125" i="11"/>
  <c r="D126" i="11"/>
  <c r="F126" i="11"/>
  <c r="D128" i="11"/>
  <c r="F128" i="11"/>
  <c r="D130" i="11"/>
  <c r="F130" i="11"/>
  <c r="D131" i="11"/>
  <c r="F131" i="11"/>
  <c r="D132" i="11"/>
  <c r="F132" i="11"/>
  <c r="D133" i="11"/>
  <c r="F133" i="11"/>
  <c r="D134" i="11"/>
  <c r="F134" i="11"/>
  <c r="D136" i="11"/>
  <c r="F136" i="11"/>
  <c r="D138" i="11"/>
  <c r="F138" i="11"/>
  <c r="D139" i="11"/>
  <c r="F139" i="11"/>
  <c r="D140" i="11"/>
  <c r="F140" i="11"/>
  <c r="D141" i="11"/>
  <c r="F141" i="11"/>
  <c r="D142" i="11"/>
  <c r="F142" i="11"/>
  <c r="F143" i="11"/>
  <c r="D144" i="11"/>
  <c r="F144" i="11"/>
  <c r="D146" i="11"/>
  <c r="F146" i="11"/>
  <c r="D147" i="11"/>
  <c r="F147" i="11"/>
  <c r="D148" i="11"/>
  <c r="F148" i="11"/>
  <c r="D149" i="11"/>
  <c r="F149" i="11"/>
  <c r="D150" i="11"/>
  <c r="F150" i="11"/>
  <c r="D152" i="11"/>
  <c r="F152" i="11"/>
  <c r="D154" i="11"/>
  <c r="F154" i="11"/>
  <c r="D155" i="11"/>
  <c r="F155" i="11"/>
  <c r="D156" i="11"/>
  <c r="F156" i="11"/>
  <c r="D157" i="11"/>
  <c r="F157" i="11"/>
  <c r="D158" i="11"/>
  <c r="F158" i="11"/>
  <c r="D160" i="11"/>
  <c r="F160" i="11"/>
  <c r="D162" i="11"/>
  <c r="F162" i="11"/>
  <c r="D163" i="11"/>
  <c r="F163" i="11"/>
  <c r="D164" i="11"/>
  <c r="F164" i="11"/>
  <c r="D165" i="11"/>
  <c r="F165" i="11"/>
  <c r="D166" i="11"/>
  <c r="F166" i="11"/>
  <c r="D168" i="11"/>
  <c r="F168" i="11"/>
  <c r="D170" i="11"/>
  <c r="F170" i="11"/>
  <c r="D171" i="11"/>
  <c r="F171" i="11"/>
  <c r="D172" i="11"/>
  <c r="F172" i="11"/>
  <c r="D173" i="11"/>
  <c r="F173" i="11"/>
  <c r="D174" i="11"/>
  <c r="F174" i="11"/>
  <c r="D217" i="11"/>
  <c r="D218" i="11"/>
  <c r="F218" i="11"/>
  <c r="D219" i="11"/>
  <c r="F219" i="11"/>
  <c r="D220" i="11"/>
  <c r="F220" i="11"/>
  <c r="D221" i="11"/>
  <c r="F221" i="11"/>
  <c r="D222" i="11"/>
  <c r="F222" i="11"/>
  <c r="D224" i="11"/>
  <c r="F224" i="11"/>
  <c r="D34" i="11"/>
  <c r="F34" i="11"/>
  <c r="D35" i="11"/>
  <c r="F35" i="11"/>
  <c r="D36" i="11"/>
  <c r="F36" i="11"/>
  <c r="D37" i="11"/>
  <c r="F37" i="11"/>
  <c r="D38" i="11"/>
  <c r="F38" i="11"/>
  <c r="D39" i="11"/>
  <c r="D40" i="11"/>
  <c r="F40" i="11"/>
  <c r="D41" i="11"/>
  <c r="D42" i="11"/>
  <c r="F42" i="11"/>
  <c r="D43" i="11"/>
  <c r="F43" i="11"/>
  <c r="D44" i="11"/>
  <c r="F44" i="11"/>
  <c r="D45" i="11"/>
  <c r="F45" i="11"/>
  <c r="D46" i="11"/>
  <c r="F46" i="11"/>
  <c r="F47" i="11"/>
  <c r="D48" i="11"/>
  <c r="F48" i="11"/>
  <c r="D49" i="11"/>
  <c r="D50" i="11"/>
  <c r="F50" i="11"/>
  <c r="D51" i="11"/>
  <c r="F51" i="11"/>
  <c r="D52" i="11"/>
  <c r="F52" i="11"/>
  <c r="D53" i="11"/>
  <c r="F53" i="11"/>
  <c r="D54" i="11"/>
  <c r="F54" i="11"/>
  <c r="D56" i="11"/>
  <c r="F56" i="11"/>
  <c r="D57" i="11"/>
  <c r="D58" i="11"/>
  <c r="F58" i="11"/>
  <c r="D59" i="11"/>
  <c r="F59" i="11"/>
  <c r="D13" i="11"/>
  <c r="F13" i="11"/>
  <c r="D14" i="11"/>
  <c r="F14" i="11"/>
  <c r="D16" i="11"/>
  <c r="F16" i="11"/>
  <c r="D17" i="11"/>
  <c r="D18" i="11"/>
  <c r="F18" i="11"/>
  <c r="D19" i="11"/>
  <c r="F19" i="11"/>
  <c r="D20" i="11"/>
  <c r="F20" i="11"/>
  <c r="D21" i="11"/>
  <c r="F21" i="11"/>
  <c r="D22" i="11"/>
  <c r="F22" i="11"/>
  <c r="D24" i="11"/>
  <c r="F24" i="11"/>
  <c r="D25" i="11"/>
  <c r="D26" i="11"/>
  <c r="F26" i="11"/>
  <c r="D27" i="11"/>
  <c r="F27" i="11"/>
  <c r="D28" i="11"/>
  <c r="F28" i="11"/>
  <c r="D29" i="11"/>
  <c r="F29" i="11"/>
  <c r="D30" i="11"/>
  <c r="F30" i="11"/>
  <c r="H5" i="13"/>
  <c r="E6" i="13"/>
  <c r="H6" i="13"/>
  <c r="I5" i="13"/>
  <c r="F6" i="13"/>
  <c r="E2" i="13"/>
  <c r="F2" i="13"/>
  <c r="I6" i="13"/>
  <c r="D6" i="13" l="1"/>
  <c r="T34" i="11"/>
  <c r="T75" i="11"/>
  <c r="T216" i="11"/>
  <c r="T181" i="11"/>
  <c r="T121" i="11"/>
  <c r="T29" i="11"/>
  <c r="T14" i="11"/>
  <c r="T173" i="11"/>
  <c r="T168" i="11"/>
  <c r="T163" i="11"/>
  <c r="T157" i="11"/>
  <c r="T152" i="11"/>
  <c r="T147" i="11"/>
  <c r="T110" i="11"/>
  <c r="T106" i="11"/>
  <c r="T100" i="11"/>
  <c r="T94" i="11"/>
  <c r="T90" i="11"/>
  <c r="T84" i="11"/>
  <c r="T196" i="11"/>
  <c r="T177" i="11"/>
  <c r="T191" i="11"/>
  <c r="T127" i="11"/>
  <c r="T63" i="11"/>
  <c r="T52" i="11"/>
  <c r="T64" i="11"/>
  <c r="T178" i="11"/>
  <c r="T24" i="11"/>
  <c r="T19" i="11"/>
  <c r="T56" i="11"/>
  <c r="T51" i="11"/>
  <c r="T46" i="11"/>
  <c r="T42" i="11"/>
  <c r="T37" i="11"/>
  <c r="T224" i="11"/>
  <c r="T219" i="11"/>
  <c r="T141" i="11"/>
  <c r="T136" i="11"/>
  <c r="T131" i="11"/>
  <c r="T125" i="11"/>
  <c r="T120" i="11"/>
  <c r="T115" i="11"/>
  <c r="T78" i="11"/>
  <c r="T74" i="11"/>
  <c r="T68" i="11"/>
  <c r="T62" i="11"/>
  <c r="T208" i="11"/>
  <c r="T195" i="11"/>
  <c r="T188" i="11"/>
  <c r="T180" i="11"/>
  <c r="T169" i="11"/>
  <c r="T119" i="11"/>
  <c r="T55" i="11"/>
  <c r="T220" i="11"/>
  <c r="T142" i="11"/>
  <c r="T13" i="11"/>
  <c r="T41" i="11"/>
  <c r="T172" i="11"/>
  <c r="T166" i="11"/>
  <c r="T162" i="11"/>
  <c r="T156" i="11"/>
  <c r="T150" i="11"/>
  <c r="T146" i="11"/>
  <c r="T109" i="11"/>
  <c r="T104" i="11"/>
  <c r="T99" i="11"/>
  <c r="T93" i="11"/>
  <c r="T88" i="11"/>
  <c r="T83" i="11"/>
  <c r="T213" i="11"/>
  <c r="T187" i="11"/>
  <c r="T161" i="11"/>
  <c r="T175" i="11"/>
  <c r="T111" i="11"/>
  <c r="T47" i="11"/>
  <c r="T57" i="11"/>
  <c r="T132" i="11"/>
  <c r="T189" i="11"/>
  <c r="T22" i="11"/>
  <c r="T18" i="11"/>
  <c r="T54" i="11"/>
  <c r="T50" i="11"/>
  <c r="T45" i="11"/>
  <c r="T36" i="11"/>
  <c r="T222" i="11"/>
  <c r="T218" i="11"/>
  <c r="T140" i="11"/>
  <c r="T134" i="11"/>
  <c r="T130" i="11"/>
  <c r="T124" i="11"/>
  <c r="T118" i="11"/>
  <c r="T114" i="11"/>
  <c r="T77" i="11"/>
  <c r="T72" i="11"/>
  <c r="T67" i="11"/>
  <c r="T61" i="11"/>
  <c r="T200" i="11"/>
  <c r="T153" i="11"/>
  <c r="T25" i="11"/>
  <c r="T126" i="11"/>
  <c r="T69" i="11"/>
  <c r="T40" i="11"/>
  <c r="T171" i="11"/>
  <c r="T155" i="11"/>
  <c r="T149" i="11"/>
  <c r="T144" i="11"/>
  <c r="T108" i="11"/>
  <c r="T102" i="11"/>
  <c r="T98" i="11"/>
  <c r="T92" i="11"/>
  <c r="T86" i="11"/>
  <c r="T82" i="11"/>
  <c r="T212" i="11"/>
  <c r="T205" i="11"/>
  <c r="T192" i="11"/>
  <c r="T184" i="11"/>
  <c r="T176" i="11"/>
  <c r="T145" i="11"/>
  <c r="T223" i="11"/>
  <c r="T159" i="11"/>
  <c r="T95" i="11"/>
  <c r="T43" i="11"/>
  <c r="T122" i="11"/>
  <c r="T28" i="11"/>
  <c r="T27" i="11"/>
  <c r="T17" i="11"/>
  <c r="T165" i="11"/>
  <c r="T53" i="11"/>
  <c r="T44" i="11"/>
  <c r="T39" i="11"/>
  <c r="T35" i="11"/>
  <c r="T221" i="11"/>
  <c r="T139" i="11"/>
  <c r="T133" i="11"/>
  <c r="T128" i="11"/>
  <c r="T123" i="11"/>
  <c r="T117" i="11"/>
  <c r="T112" i="11"/>
  <c r="T76" i="11"/>
  <c r="T70" i="11"/>
  <c r="T66" i="11"/>
  <c r="T60" i="11"/>
  <c r="T211" i="11"/>
  <c r="T137" i="11"/>
  <c r="T215" i="11"/>
  <c r="T151" i="11"/>
  <c r="T87" i="11"/>
  <c r="T23" i="11"/>
  <c r="T20" i="11"/>
  <c r="T38" i="11"/>
  <c r="T138" i="11"/>
  <c r="T116" i="11"/>
  <c r="T203" i="11"/>
  <c r="T59" i="11"/>
  <c r="T49" i="11"/>
  <c r="T217" i="11"/>
  <c r="T160" i="11"/>
  <c r="T21" i="11"/>
  <c r="T30" i="11"/>
  <c r="T26" i="11"/>
  <c r="T16" i="11"/>
  <c r="T58" i="11"/>
  <c r="T48" i="11"/>
  <c r="T174" i="11"/>
  <c r="T170" i="11"/>
  <c r="T164" i="11"/>
  <c r="T158" i="11"/>
  <c r="T154" i="11"/>
  <c r="T148" i="11"/>
  <c r="T107" i="11"/>
  <c r="T101" i="11"/>
  <c r="T96" i="11"/>
  <c r="T91" i="11"/>
  <c r="T85" i="11"/>
  <c r="T80" i="11"/>
  <c r="T204" i="11"/>
  <c r="T197" i="11"/>
  <c r="T179" i="11"/>
  <c r="T129" i="11"/>
  <c r="T207" i="11"/>
  <c r="T143" i="11"/>
  <c r="T79" i="11"/>
  <c r="D15" i="11"/>
  <c r="D31" i="11"/>
  <c r="D167" i="11"/>
  <c r="D135" i="11"/>
  <c r="D103" i="11"/>
  <c r="D71" i="11"/>
  <c r="D183" i="11"/>
  <c r="F191" i="11"/>
  <c r="F55" i="11"/>
  <c r="F151" i="11"/>
  <c r="F119" i="11"/>
  <c r="F87" i="11"/>
  <c r="F175" i="11"/>
  <c r="F159" i="11"/>
  <c r="F127" i="11"/>
  <c r="F95" i="11"/>
  <c r="F63" i="11"/>
  <c r="D199" i="11"/>
  <c r="F215" i="11"/>
  <c r="F23" i="11"/>
  <c r="F223" i="11"/>
  <c r="F187" i="11"/>
  <c r="F179" i="11"/>
  <c r="F169" i="11"/>
  <c r="F161" i="11"/>
  <c r="F153" i="11"/>
  <c r="F145" i="11"/>
  <c r="F137" i="11"/>
  <c r="F129" i="11"/>
  <c r="F121" i="11"/>
  <c r="F113" i="11"/>
  <c r="F105" i="11"/>
  <c r="F97" i="11"/>
  <c r="F89" i="11"/>
  <c r="F81" i="11"/>
  <c r="F73" i="11"/>
  <c r="F65" i="11"/>
  <c r="F209" i="11"/>
  <c r="F201" i="11"/>
  <c r="F193" i="11"/>
  <c r="F185" i="11"/>
  <c r="F177" i="11"/>
  <c r="U105" i="11"/>
  <c r="U97" i="11"/>
  <c r="U89" i="11"/>
  <c r="U81" i="11"/>
  <c r="U73" i="11"/>
  <c r="U65" i="11"/>
  <c r="U214" i="11"/>
  <c r="U210" i="11"/>
  <c r="U206" i="11"/>
  <c r="U202" i="11"/>
  <c r="U198" i="11"/>
  <c r="U194" i="11"/>
  <c r="U190" i="11"/>
  <c r="U186" i="11"/>
  <c r="U182" i="11"/>
  <c r="U113" i="11"/>
  <c r="U209" i="11"/>
  <c r="U201" i="11"/>
  <c r="U193" i="11"/>
  <c r="U185" i="11"/>
  <c r="D33" i="11"/>
  <c r="F33" i="11"/>
  <c r="F3" i="11"/>
  <c r="F4" i="11"/>
  <c r="F5" i="11"/>
  <c r="F6" i="11"/>
  <c r="F7" i="11"/>
  <c r="F8" i="11"/>
  <c r="F9" i="11"/>
  <c r="F10" i="11"/>
  <c r="F11" i="11"/>
  <c r="F12" i="11"/>
  <c r="F32" i="11"/>
  <c r="D3" i="11"/>
  <c r="T3" i="11" s="1"/>
  <c r="W3" i="11" s="1"/>
  <c r="D4" i="11"/>
  <c r="T4" i="11" s="1"/>
  <c r="W4" i="11" s="1"/>
  <c r="D5" i="11"/>
  <c r="T5" i="11" s="1"/>
  <c r="W5" i="11" s="1"/>
  <c r="D6" i="11"/>
  <c r="T6" i="11" s="1"/>
  <c r="W6" i="11" s="1"/>
  <c r="D7" i="11"/>
  <c r="T7" i="11" s="1"/>
  <c r="W7" i="11" s="1"/>
  <c r="D8" i="11"/>
  <c r="T8" i="11" s="1"/>
  <c r="W8" i="11" s="1"/>
  <c r="D9" i="11"/>
  <c r="T9" i="11" s="1"/>
  <c r="W9" i="11" s="1"/>
  <c r="D10" i="11"/>
  <c r="T10" i="11" s="1"/>
  <c r="W10" i="11" s="1"/>
  <c r="D11" i="11"/>
  <c r="T11" i="11" s="1"/>
  <c r="W11" i="11" s="1"/>
  <c r="D12" i="11"/>
  <c r="T12" i="11" s="1"/>
  <c r="W12" i="11" s="1"/>
  <c r="D32" i="11"/>
  <c r="T32" i="11" s="1"/>
  <c r="W32" i="11" s="1"/>
  <c r="U204" i="11" l="1"/>
  <c r="W204" i="11"/>
  <c r="U26" i="11"/>
  <c r="W26" i="11"/>
  <c r="U137" i="11"/>
  <c r="W137" i="11"/>
  <c r="U80" i="11"/>
  <c r="W80" i="11"/>
  <c r="U158" i="11"/>
  <c r="W158" i="11"/>
  <c r="U30" i="11"/>
  <c r="W30" i="11"/>
  <c r="U138" i="11"/>
  <c r="W138" i="11"/>
  <c r="U211" i="11"/>
  <c r="W211" i="11"/>
  <c r="U128" i="11"/>
  <c r="W128" i="11"/>
  <c r="U165" i="11"/>
  <c r="W165" i="11"/>
  <c r="U223" i="11"/>
  <c r="W223" i="11"/>
  <c r="U86" i="11"/>
  <c r="W86" i="11"/>
  <c r="U171" i="11"/>
  <c r="W171" i="11"/>
  <c r="U67" i="11"/>
  <c r="W67" i="11"/>
  <c r="U140" i="11"/>
  <c r="W140" i="11"/>
  <c r="U22" i="11"/>
  <c r="W22" i="11"/>
  <c r="U187" i="11"/>
  <c r="W187" i="11"/>
  <c r="U146" i="11"/>
  <c r="W146" i="11"/>
  <c r="U142" i="11"/>
  <c r="W142" i="11"/>
  <c r="U208" i="11"/>
  <c r="W208" i="11"/>
  <c r="U131" i="11"/>
  <c r="W131" i="11"/>
  <c r="U51" i="11"/>
  <c r="W51" i="11"/>
  <c r="U127" i="11"/>
  <c r="W127" i="11"/>
  <c r="U106" i="11"/>
  <c r="W106" i="11"/>
  <c r="U14" i="11"/>
  <c r="W14" i="11"/>
  <c r="U85" i="11"/>
  <c r="W85" i="11"/>
  <c r="U21" i="11"/>
  <c r="W21" i="11"/>
  <c r="U60" i="11"/>
  <c r="W60" i="11"/>
  <c r="U17" i="11"/>
  <c r="W17" i="11"/>
  <c r="U92" i="11"/>
  <c r="W92" i="11"/>
  <c r="U40" i="11"/>
  <c r="W40" i="11"/>
  <c r="U72" i="11"/>
  <c r="W72" i="11"/>
  <c r="U218" i="11"/>
  <c r="W218" i="11"/>
  <c r="U213" i="11"/>
  <c r="W213" i="11"/>
  <c r="U150" i="11"/>
  <c r="W150" i="11"/>
  <c r="U220" i="11"/>
  <c r="W220" i="11"/>
  <c r="U62" i="11"/>
  <c r="W62" i="11"/>
  <c r="U136" i="11"/>
  <c r="W136" i="11"/>
  <c r="U56" i="11"/>
  <c r="W56" i="11"/>
  <c r="U191" i="11"/>
  <c r="W191" i="11"/>
  <c r="U110" i="11"/>
  <c r="W110" i="11"/>
  <c r="U29" i="11"/>
  <c r="W29" i="11"/>
  <c r="U79" i="11"/>
  <c r="W79" i="11"/>
  <c r="U164" i="11"/>
  <c r="W164" i="11"/>
  <c r="U38" i="11"/>
  <c r="W38" i="11"/>
  <c r="U133" i="11"/>
  <c r="W133" i="11"/>
  <c r="U145" i="11"/>
  <c r="W145" i="11"/>
  <c r="U189" i="11"/>
  <c r="W189" i="11"/>
  <c r="U143" i="11"/>
  <c r="W143" i="11"/>
  <c r="U91" i="11"/>
  <c r="W91" i="11"/>
  <c r="U170" i="11"/>
  <c r="W170" i="11"/>
  <c r="U160" i="11"/>
  <c r="W160" i="11"/>
  <c r="U20" i="11"/>
  <c r="W20" i="11"/>
  <c r="U66" i="11"/>
  <c r="W66" i="11"/>
  <c r="U139" i="11"/>
  <c r="W139" i="11"/>
  <c r="U27" i="11"/>
  <c r="W27" i="11"/>
  <c r="U176" i="11"/>
  <c r="W176" i="11"/>
  <c r="U98" i="11"/>
  <c r="W98" i="11"/>
  <c r="U69" i="11"/>
  <c r="W69" i="11"/>
  <c r="U77" i="11"/>
  <c r="W77" i="11"/>
  <c r="U222" i="11"/>
  <c r="W222" i="11"/>
  <c r="U132" i="11"/>
  <c r="W132" i="11"/>
  <c r="U83" i="11"/>
  <c r="W83" i="11"/>
  <c r="U156" i="11"/>
  <c r="W156" i="11"/>
  <c r="U55" i="11"/>
  <c r="W55" i="11"/>
  <c r="U68" i="11"/>
  <c r="W68" i="11"/>
  <c r="U141" i="11"/>
  <c r="W141" i="11"/>
  <c r="U19" i="11"/>
  <c r="W19" i="11"/>
  <c r="U177" i="11"/>
  <c r="W177" i="11"/>
  <c r="U147" i="11"/>
  <c r="W147" i="11"/>
  <c r="U121" i="11"/>
  <c r="W121" i="11"/>
  <c r="U207" i="11"/>
  <c r="W207" i="11"/>
  <c r="U174" i="11"/>
  <c r="W174" i="11"/>
  <c r="U217" i="11"/>
  <c r="W217" i="11"/>
  <c r="U70" i="11"/>
  <c r="W70" i="11"/>
  <c r="U221" i="11"/>
  <c r="W221" i="11"/>
  <c r="U28" i="11"/>
  <c r="W28" i="11"/>
  <c r="U184" i="11"/>
  <c r="W184" i="11"/>
  <c r="U102" i="11"/>
  <c r="W102" i="11"/>
  <c r="U126" i="11"/>
  <c r="W126" i="11"/>
  <c r="U114" i="11"/>
  <c r="W114" i="11"/>
  <c r="U36" i="11"/>
  <c r="W36" i="11"/>
  <c r="U57" i="11"/>
  <c r="W57" i="11"/>
  <c r="U88" i="11"/>
  <c r="W88" i="11"/>
  <c r="U162" i="11"/>
  <c r="W162" i="11"/>
  <c r="U119" i="11"/>
  <c r="W119" i="11"/>
  <c r="U74" i="11"/>
  <c r="W74" i="11"/>
  <c r="U219" i="11"/>
  <c r="W219" i="11"/>
  <c r="U24" i="11"/>
  <c r="W24" i="11"/>
  <c r="U196" i="11"/>
  <c r="W196" i="11"/>
  <c r="U152" i="11"/>
  <c r="W152" i="11"/>
  <c r="U181" i="11"/>
  <c r="W181" i="11"/>
  <c r="U96" i="11"/>
  <c r="W96" i="11"/>
  <c r="U23" i="11"/>
  <c r="W23" i="11"/>
  <c r="U129" i="11"/>
  <c r="W129" i="11"/>
  <c r="U101" i="11"/>
  <c r="W101" i="11"/>
  <c r="U48" i="11"/>
  <c r="W48" i="11"/>
  <c r="U49" i="11"/>
  <c r="W49" i="11"/>
  <c r="U87" i="11"/>
  <c r="W87" i="11"/>
  <c r="U76" i="11"/>
  <c r="W76" i="11"/>
  <c r="U35" i="11"/>
  <c r="W35" i="11"/>
  <c r="U122" i="11"/>
  <c r="W122" i="11"/>
  <c r="U192" i="11"/>
  <c r="W192" i="11"/>
  <c r="U108" i="11"/>
  <c r="W108" i="11"/>
  <c r="U25" i="11"/>
  <c r="W25" i="11"/>
  <c r="U118" i="11"/>
  <c r="W118" i="11"/>
  <c r="U45" i="11"/>
  <c r="W45" i="11"/>
  <c r="U47" i="11"/>
  <c r="W47" i="11"/>
  <c r="U93" i="11"/>
  <c r="W93" i="11"/>
  <c r="U166" i="11"/>
  <c r="W166" i="11"/>
  <c r="U169" i="11"/>
  <c r="W169" i="11"/>
  <c r="U78" i="11"/>
  <c r="W78" i="11"/>
  <c r="U224" i="11"/>
  <c r="W224" i="11"/>
  <c r="U178" i="11"/>
  <c r="W178" i="11"/>
  <c r="U84" i="11"/>
  <c r="W84" i="11"/>
  <c r="U157" i="11"/>
  <c r="W157" i="11"/>
  <c r="U216" i="11"/>
  <c r="W216" i="11"/>
  <c r="U107" i="11"/>
  <c r="W107" i="11"/>
  <c r="U59" i="11"/>
  <c r="W59" i="11"/>
  <c r="U112" i="11"/>
  <c r="W112" i="11"/>
  <c r="U43" i="11"/>
  <c r="W43" i="11"/>
  <c r="U144" i="11"/>
  <c r="W144" i="11"/>
  <c r="U153" i="11"/>
  <c r="W153" i="11"/>
  <c r="U124" i="11"/>
  <c r="W124" i="11"/>
  <c r="U111" i="11"/>
  <c r="W111" i="11"/>
  <c r="U99" i="11"/>
  <c r="W99" i="11"/>
  <c r="U172" i="11"/>
  <c r="W172" i="11"/>
  <c r="U180" i="11"/>
  <c r="W180" i="11"/>
  <c r="U115" i="11"/>
  <c r="W115" i="11"/>
  <c r="U37" i="11"/>
  <c r="W37" i="11"/>
  <c r="U64" i="11"/>
  <c r="W64" i="11"/>
  <c r="U90" i="11"/>
  <c r="W90" i="11"/>
  <c r="U163" i="11"/>
  <c r="W163" i="11"/>
  <c r="U75" i="11"/>
  <c r="W75" i="11"/>
  <c r="U179" i="11"/>
  <c r="W179" i="11"/>
  <c r="U58" i="11"/>
  <c r="W58" i="11"/>
  <c r="U151" i="11"/>
  <c r="W151" i="11"/>
  <c r="U39" i="11"/>
  <c r="W39" i="11"/>
  <c r="U205" i="11"/>
  <c r="W205" i="11"/>
  <c r="U50" i="11"/>
  <c r="W50" i="11"/>
  <c r="U197" i="11"/>
  <c r="W197" i="11"/>
  <c r="U148" i="11"/>
  <c r="W148" i="11"/>
  <c r="U16" i="11"/>
  <c r="W16" i="11"/>
  <c r="U203" i="11"/>
  <c r="W203" i="11"/>
  <c r="U215" i="11"/>
  <c r="W215" i="11"/>
  <c r="U117" i="11"/>
  <c r="W117" i="11"/>
  <c r="U44" i="11"/>
  <c r="W44" i="11"/>
  <c r="U95" i="11"/>
  <c r="W95" i="11"/>
  <c r="U212" i="11"/>
  <c r="W212" i="11"/>
  <c r="U149" i="11"/>
  <c r="W149" i="11"/>
  <c r="U200" i="11"/>
  <c r="W200" i="11"/>
  <c r="U130" i="11"/>
  <c r="W130" i="11"/>
  <c r="U54" i="11"/>
  <c r="W54" i="11"/>
  <c r="U175" i="11"/>
  <c r="W175" i="11"/>
  <c r="U104" i="11"/>
  <c r="W104" i="11"/>
  <c r="U41" i="11"/>
  <c r="W41" i="11"/>
  <c r="U188" i="11"/>
  <c r="W188" i="11"/>
  <c r="U120" i="11"/>
  <c r="W120" i="11"/>
  <c r="U42" i="11"/>
  <c r="W42" i="11"/>
  <c r="U52" i="11"/>
  <c r="W52" i="11"/>
  <c r="U94" i="11"/>
  <c r="W94" i="11"/>
  <c r="U168" i="11"/>
  <c r="W168" i="11"/>
  <c r="U34" i="11"/>
  <c r="W34" i="11"/>
  <c r="U154" i="11"/>
  <c r="W154" i="11"/>
  <c r="U116" i="11"/>
  <c r="W116" i="11"/>
  <c r="U123" i="11"/>
  <c r="W123" i="11"/>
  <c r="U53" i="11"/>
  <c r="W53" i="11"/>
  <c r="U159" i="11"/>
  <c r="W159" i="11"/>
  <c r="U82" i="11"/>
  <c r="W82" i="11"/>
  <c r="U155" i="11"/>
  <c r="W155" i="11"/>
  <c r="U61" i="11"/>
  <c r="W61" i="11"/>
  <c r="U134" i="11"/>
  <c r="W134" i="11"/>
  <c r="U18" i="11"/>
  <c r="W18" i="11"/>
  <c r="U161" i="11"/>
  <c r="W161" i="11"/>
  <c r="U109" i="11"/>
  <c r="W109" i="11"/>
  <c r="U13" i="11"/>
  <c r="W13" i="11"/>
  <c r="U195" i="11"/>
  <c r="W195" i="11"/>
  <c r="U125" i="11"/>
  <c r="W125" i="11"/>
  <c r="U46" i="11"/>
  <c r="W46" i="11"/>
  <c r="U63" i="11"/>
  <c r="W63" i="11"/>
  <c r="U100" i="11"/>
  <c r="W100" i="11"/>
  <c r="U173" i="11"/>
  <c r="W173" i="11"/>
  <c r="T167" i="11"/>
  <c r="T199" i="11"/>
  <c r="T31" i="11"/>
  <c r="T15" i="11"/>
  <c r="T33" i="11"/>
  <c r="T183" i="11"/>
  <c r="T135" i="11"/>
  <c r="T71" i="11"/>
  <c r="T103" i="11"/>
  <c r="U5" i="11"/>
  <c r="U6" i="11"/>
  <c r="U9" i="11"/>
  <c r="U10" i="11"/>
  <c r="U11" i="11"/>
  <c r="U12" i="11"/>
  <c r="U183" i="11" l="1"/>
  <c r="W183" i="11"/>
  <c r="U33" i="11"/>
  <c r="W33" i="11"/>
  <c r="U15" i="11"/>
  <c r="W15" i="11"/>
  <c r="U103" i="11"/>
  <c r="W103" i="11"/>
  <c r="U31" i="11"/>
  <c r="W31" i="11"/>
  <c r="U199" i="11"/>
  <c r="W199" i="11"/>
  <c r="U167" i="11"/>
  <c r="W167" i="11"/>
  <c r="U71" i="11"/>
  <c r="W71" i="11"/>
  <c r="U135" i="11"/>
  <c r="W135" i="11"/>
  <c r="U7" i="11"/>
  <c r="U8" i="11"/>
  <c r="U4" i="11"/>
  <c r="U32" i="11"/>
  <c r="U3" i="11"/>
</calcChain>
</file>

<file path=xl/sharedStrings.xml><?xml version="1.0" encoding="utf-8"?>
<sst xmlns="http://schemas.openxmlformats.org/spreadsheetml/2006/main" count="2401" uniqueCount="743">
  <si>
    <t>Title</t>
  </si>
  <si>
    <t>Navigation</t>
  </si>
  <si>
    <t>Content</t>
  </si>
  <si>
    <t>Customization difficulty (1-3)</t>
  </si>
  <si>
    <t>Explanation of sheets</t>
  </si>
  <si>
    <t>How to customize</t>
  </si>
  <si>
    <t>1)</t>
  </si>
  <si>
    <t>2)</t>
  </si>
  <si>
    <t>3)</t>
  </si>
  <si>
    <t>4)</t>
  </si>
  <si>
    <t>5)</t>
  </si>
  <si>
    <t>6)</t>
  </si>
  <si>
    <t>Quality</t>
  </si>
  <si>
    <t>Feb</t>
  </si>
  <si>
    <t>Mar</t>
  </si>
  <si>
    <t>Apr</t>
  </si>
  <si>
    <t>May</t>
  </si>
  <si>
    <t>Jun</t>
  </si>
  <si>
    <t>Jul</t>
  </si>
  <si>
    <t>Aug</t>
  </si>
  <si>
    <t>Sep</t>
  </si>
  <si>
    <t>Oct</t>
  </si>
  <si>
    <t>Nov</t>
  </si>
  <si>
    <t>Dec</t>
  </si>
  <si>
    <t>Date</t>
  </si>
  <si>
    <t>Emp Name</t>
  </si>
  <si>
    <t>Emp Code</t>
  </si>
  <si>
    <t>Department</t>
  </si>
  <si>
    <t>Gender</t>
  </si>
  <si>
    <t>Job type</t>
  </si>
  <si>
    <t>Salary</t>
  </si>
  <si>
    <t>Skill level</t>
  </si>
  <si>
    <t>KPI achieve</t>
  </si>
  <si>
    <t>Month</t>
  </si>
  <si>
    <t>Week</t>
  </si>
  <si>
    <t>Emp_name</t>
  </si>
  <si>
    <t>Emp_code</t>
  </si>
  <si>
    <t>department</t>
  </si>
  <si>
    <t>Empolyee details list</t>
  </si>
  <si>
    <t>salary</t>
  </si>
  <si>
    <t>Increament</t>
  </si>
  <si>
    <t>Age</t>
  </si>
  <si>
    <t>Planning</t>
  </si>
  <si>
    <t>Full time</t>
  </si>
  <si>
    <t>Part time</t>
  </si>
  <si>
    <t>Production</t>
  </si>
  <si>
    <t>Material</t>
  </si>
  <si>
    <t>Procurement</t>
  </si>
  <si>
    <t>Sales</t>
  </si>
  <si>
    <t>HR</t>
  </si>
  <si>
    <t>Finance</t>
  </si>
  <si>
    <t>Working days</t>
  </si>
  <si>
    <t>Activity</t>
  </si>
  <si>
    <t>Jan</t>
  </si>
  <si>
    <t>Number</t>
  </si>
  <si>
    <t>Manager</t>
  </si>
  <si>
    <t>Senior</t>
  </si>
  <si>
    <t>Junior</t>
  </si>
  <si>
    <t>Technician</t>
  </si>
  <si>
    <t>Workrer</t>
  </si>
  <si>
    <t>Abscene rate</t>
  </si>
  <si>
    <t>Penality</t>
  </si>
  <si>
    <t>Month No.</t>
  </si>
  <si>
    <t>Staff</t>
  </si>
  <si>
    <t>Sub fixed list</t>
  </si>
  <si>
    <t>Hiring date</t>
  </si>
  <si>
    <t>M</t>
  </si>
  <si>
    <t>F</t>
  </si>
  <si>
    <t>employee 1</t>
  </si>
  <si>
    <t>employee 2</t>
  </si>
  <si>
    <t>employee 3</t>
  </si>
  <si>
    <t>employee 4</t>
  </si>
  <si>
    <t>employee 5</t>
  </si>
  <si>
    <t>employee 6</t>
  </si>
  <si>
    <t>employee 7</t>
  </si>
  <si>
    <t>employee 8</t>
  </si>
  <si>
    <t>employee 9</t>
  </si>
  <si>
    <t>employee 10</t>
  </si>
  <si>
    <t>employee 11</t>
  </si>
  <si>
    <t>employee 12</t>
  </si>
  <si>
    <t>employee 13</t>
  </si>
  <si>
    <t>employee 14</t>
  </si>
  <si>
    <t>employee 15</t>
  </si>
  <si>
    <t>employee 16</t>
  </si>
  <si>
    <t>employee 17</t>
  </si>
  <si>
    <t>employee 18</t>
  </si>
  <si>
    <t>employee 19</t>
  </si>
  <si>
    <t>employee 20</t>
  </si>
  <si>
    <t>employee 21</t>
  </si>
  <si>
    <t>employee 22</t>
  </si>
  <si>
    <t>employee 23</t>
  </si>
  <si>
    <t>employee 24</t>
  </si>
  <si>
    <t>employee 25</t>
  </si>
  <si>
    <t>employee 26</t>
  </si>
  <si>
    <t>employee 27</t>
  </si>
  <si>
    <t>employee 28</t>
  </si>
  <si>
    <t>employee 29</t>
  </si>
  <si>
    <t>employee 30</t>
  </si>
  <si>
    <t>employee 31</t>
  </si>
  <si>
    <t>employee 32</t>
  </si>
  <si>
    <t>employee 33</t>
  </si>
  <si>
    <t>employee 34</t>
  </si>
  <si>
    <t>employee 35</t>
  </si>
  <si>
    <t>employee 36</t>
  </si>
  <si>
    <t>employee 37</t>
  </si>
  <si>
    <t>employee 38</t>
  </si>
  <si>
    <t>employee 39</t>
  </si>
  <si>
    <t>employee 40</t>
  </si>
  <si>
    <t>employee 41</t>
  </si>
  <si>
    <t>employee 42</t>
  </si>
  <si>
    <t>employee 43</t>
  </si>
  <si>
    <t>employee 44</t>
  </si>
  <si>
    <t>employee 45</t>
  </si>
  <si>
    <t>employee 46</t>
  </si>
  <si>
    <t>employee 47</t>
  </si>
  <si>
    <t>employee 48</t>
  </si>
  <si>
    <t>employee 49</t>
  </si>
  <si>
    <t>employee 50</t>
  </si>
  <si>
    <t>employee 51</t>
  </si>
  <si>
    <t>employee 52</t>
  </si>
  <si>
    <t>employee 53</t>
  </si>
  <si>
    <t>employee 54</t>
  </si>
  <si>
    <t>employee 55</t>
  </si>
  <si>
    <t>employee 56</t>
  </si>
  <si>
    <t>employee 57</t>
  </si>
  <si>
    <t>employee 58</t>
  </si>
  <si>
    <t>employee 59</t>
  </si>
  <si>
    <t>employee 60</t>
  </si>
  <si>
    <t>employee 61</t>
  </si>
  <si>
    <t>employee 62</t>
  </si>
  <si>
    <t>employee 63</t>
  </si>
  <si>
    <t>employee 64</t>
  </si>
  <si>
    <t>employee 65</t>
  </si>
  <si>
    <t>employee 66</t>
  </si>
  <si>
    <t>employee 67</t>
  </si>
  <si>
    <t>employee 68</t>
  </si>
  <si>
    <t>employee 69</t>
  </si>
  <si>
    <t>employee 70</t>
  </si>
  <si>
    <t>employee 71</t>
  </si>
  <si>
    <t>employee 72</t>
  </si>
  <si>
    <t>employee 73</t>
  </si>
  <si>
    <t>employee 74</t>
  </si>
  <si>
    <t>employee 75</t>
  </si>
  <si>
    <t>employee 76</t>
  </si>
  <si>
    <t>employee 77</t>
  </si>
  <si>
    <t>employee 78</t>
  </si>
  <si>
    <t>employee 79</t>
  </si>
  <si>
    <t>employee 80</t>
  </si>
  <si>
    <t>employee 81</t>
  </si>
  <si>
    <t>employee 82</t>
  </si>
  <si>
    <t>employee 83</t>
  </si>
  <si>
    <t>employee 84</t>
  </si>
  <si>
    <t>employee 85</t>
  </si>
  <si>
    <t>employee 86</t>
  </si>
  <si>
    <t>employee 87</t>
  </si>
  <si>
    <t>employee 88</t>
  </si>
  <si>
    <t>employee 89</t>
  </si>
  <si>
    <t>employee 90</t>
  </si>
  <si>
    <t>employee 91</t>
  </si>
  <si>
    <t>employee 92</t>
  </si>
  <si>
    <t>employee 93</t>
  </si>
  <si>
    <t>employee 94</t>
  </si>
  <si>
    <t>employee 95</t>
  </si>
  <si>
    <t>employee 96</t>
  </si>
  <si>
    <t>employee 97</t>
  </si>
  <si>
    <t>employee 98</t>
  </si>
  <si>
    <t>employee 99</t>
  </si>
  <si>
    <t>employee 100</t>
  </si>
  <si>
    <t>employee 101</t>
  </si>
  <si>
    <t>employee 102</t>
  </si>
  <si>
    <t>employee 103</t>
  </si>
  <si>
    <t>employee 104</t>
  </si>
  <si>
    <t>employee 105</t>
  </si>
  <si>
    <t>employee 106</t>
  </si>
  <si>
    <t>employee 107</t>
  </si>
  <si>
    <t>employee 108</t>
  </si>
  <si>
    <t>employee 109</t>
  </si>
  <si>
    <t>employee 110</t>
  </si>
  <si>
    <t>employee 111</t>
  </si>
  <si>
    <t>employee 112</t>
  </si>
  <si>
    <t>employee 113</t>
  </si>
  <si>
    <t>employee 114</t>
  </si>
  <si>
    <t>employee 115</t>
  </si>
  <si>
    <t>employee 116</t>
  </si>
  <si>
    <t>employee 117</t>
  </si>
  <si>
    <t>employee 118</t>
  </si>
  <si>
    <t>employee 119</t>
  </si>
  <si>
    <t>employee 120</t>
  </si>
  <si>
    <t>employee 121</t>
  </si>
  <si>
    <t>employee 122</t>
  </si>
  <si>
    <t>employee 123</t>
  </si>
  <si>
    <t>employee 124</t>
  </si>
  <si>
    <t>employee 125</t>
  </si>
  <si>
    <t>employee 126</t>
  </si>
  <si>
    <t>employee 127</t>
  </si>
  <si>
    <t>employee 128</t>
  </si>
  <si>
    <t>employee 129</t>
  </si>
  <si>
    <t>employee 130</t>
  </si>
  <si>
    <t>employee 131</t>
  </si>
  <si>
    <t>employee 132</t>
  </si>
  <si>
    <t>employee 133</t>
  </si>
  <si>
    <t>employee 134</t>
  </si>
  <si>
    <t>employee 135</t>
  </si>
  <si>
    <t>employee 136</t>
  </si>
  <si>
    <t>employee 137</t>
  </si>
  <si>
    <t>employee 138</t>
  </si>
  <si>
    <t>employee 139</t>
  </si>
  <si>
    <t>employee 140</t>
  </si>
  <si>
    <t>employee 141</t>
  </si>
  <si>
    <t>employee 142</t>
  </si>
  <si>
    <t>employee 143</t>
  </si>
  <si>
    <t>employee 144</t>
  </si>
  <si>
    <t>employee 145</t>
  </si>
  <si>
    <t>employee 146</t>
  </si>
  <si>
    <t>employee 147</t>
  </si>
  <si>
    <t>employee 148</t>
  </si>
  <si>
    <t>employee 149</t>
  </si>
  <si>
    <t>employee 150</t>
  </si>
  <si>
    <t>employee 151</t>
  </si>
  <si>
    <t>employee 152</t>
  </si>
  <si>
    <t>employee 153</t>
  </si>
  <si>
    <t>employee 154</t>
  </si>
  <si>
    <t>employee 155</t>
  </si>
  <si>
    <t>employee 156</t>
  </si>
  <si>
    <t>employee 157</t>
  </si>
  <si>
    <t>employee 158</t>
  </si>
  <si>
    <t>employee 159</t>
  </si>
  <si>
    <t>employee 160</t>
  </si>
  <si>
    <t>employee 161</t>
  </si>
  <si>
    <t>employee 162</t>
  </si>
  <si>
    <t>employee 163</t>
  </si>
  <si>
    <t>employee 164</t>
  </si>
  <si>
    <t>employee 165</t>
  </si>
  <si>
    <t>employee 166</t>
  </si>
  <si>
    <t>employee 167</t>
  </si>
  <si>
    <t>employee 168</t>
  </si>
  <si>
    <t>employee 169</t>
  </si>
  <si>
    <t>employee 170</t>
  </si>
  <si>
    <t>employee 171</t>
  </si>
  <si>
    <t>employee 172</t>
  </si>
  <si>
    <t>employee 173</t>
  </si>
  <si>
    <t>employee 174</t>
  </si>
  <si>
    <t>employee 175</t>
  </si>
  <si>
    <t>employee 176</t>
  </si>
  <si>
    <t>employee 177</t>
  </si>
  <si>
    <t>employee 178</t>
  </si>
  <si>
    <t>employee 179</t>
  </si>
  <si>
    <t>employee 180</t>
  </si>
  <si>
    <t>employee 181</t>
  </si>
  <si>
    <t>employee 182</t>
  </si>
  <si>
    <t>employee 183</t>
  </si>
  <si>
    <t>employee 184</t>
  </si>
  <si>
    <t>employee 185</t>
  </si>
  <si>
    <t>employee 186</t>
  </si>
  <si>
    <t>employee 187</t>
  </si>
  <si>
    <t>employee 188</t>
  </si>
  <si>
    <t>employee 189</t>
  </si>
  <si>
    <t>employee 190</t>
  </si>
  <si>
    <t>employee 191</t>
  </si>
  <si>
    <t>employee 192</t>
  </si>
  <si>
    <t>employee 193</t>
  </si>
  <si>
    <t>employee 194</t>
  </si>
  <si>
    <t>employee 195</t>
  </si>
  <si>
    <t>employee 196</t>
  </si>
  <si>
    <t>employee 197</t>
  </si>
  <si>
    <t>employee 198</t>
  </si>
  <si>
    <t>employee 199</t>
  </si>
  <si>
    <t>employee 200</t>
  </si>
  <si>
    <t>employee 201</t>
  </si>
  <si>
    <t>employee 202</t>
  </si>
  <si>
    <t>employee 203</t>
  </si>
  <si>
    <t>employee 204</t>
  </si>
  <si>
    <t>employee 205</t>
  </si>
  <si>
    <t>employee 206</t>
  </si>
  <si>
    <t>employee 207</t>
  </si>
  <si>
    <t>employee 208</t>
  </si>
  <si>
    <t>employee 209</t>
  </si>
  <si>
    <t>employee 210</t>
  </si>
  <si>
    <t>employee 211</t>
  </si>
  <si>
    <t>employee 212</t>
  </si>
  <si>
    <t>employee 213</t>
  </si>
  <si>
    <t>employee 214</t>
  </si>
  <si>
    <t>employee 215</t>
  </si>
  <si>
    <t>employee 216</t>
  </si>
  <si>
    <t>employee 217</t>
  </si>
  <si>
    <t>employee 218</t>
  </si>
  <si>
    <t>employee 219</t>
  </si>
  <si>
    <t>employee 220</t>
  </si>
  <si>
    <t>employee 221</t>
  </si>
  <si>
    <t>employee 222</t>
  </si>
  <si>
    <t>employee 223</t>
  </si>
  <si>
    <t>employee 224</t>
  </si>
  <si>
    <t>employee 225</t>
  </si>
  <si>
    <t>employee 226</t>
  </si>
  <si>
    <t>employee 227</t>
  </si>
  <si>
    <t>employee 228</t>
  </si>
  <si>
    <t>employee 229</t>
  </si>
  <si>
    <t>employee 230</t>
  </si>
  <si>
    <t>employee 231</t>
  </si>
  <si>
    <t>employee 232</t>
  </si>
  <si>
    <t>employee 233</t>
  </si>
  <si>
    <t>employee 234</t>
  </si>
  <si>
    <t>employee 235</t>
  </si>
  <si>
    <t>employee 236</t>
  </si>
  <si>
    <t>employee 237</t>
  </si>
  <si>
    <t>employee 238</t>
  </si>
  <si>
    <t>employee 239</t>
  </si>
  <si>
    <t>employee 240</t>
  </si>
  <si>
    <t>employee 241</t>
  </si>
  <si>
    <t>employee 242</t>
  </si>
  <si>
    <t>employee 243</t>
  </si>
  <si>
    <t>employee 244</t>
  </si>
  <si>
    <t>employee 245</t>
  </si>
  <si>
    <t>employee 246</t>
  </si>
  <si>
    <t>employee 247</t>
  </si>
  <si>
    <t>employee 248</t>
  </si>
  <si>
    <t>employee 249</t>
  </si>
  <si>
    <t>employee 250</t>
  </si>
  <si>
    <t>employee 251</t>
  </si>
  <si>
    <t>employee 252</t>
  </si>
  <si>
    <t>employee 253</t>
  </si>
  <si>
    <t>employee 254</t>
  </si>
  <si>
    <t>employee 255</t>
  </si>
  <si>
    <t>employee 256</t>
  </si>
  <si>
    <t>employee 257</t>
  </si>
  <si>
    <t>employee 258</t>
  </si>
  <si>
    <t>employee 259</t>
  </si>
  <si>
    <t>employee 260</t>
  </si>
  <si>
    <t>employee 261</t>
  </si>
  <si>
    <t>employee 262</t>
  </si>
  <si>
    <t>employee 263</t>
  </si>
  <si>
    <t>employee 264</t>
  </si>
  <si>
    <t>employee 265</t>
  </si>
  <si>
    <t>employee 266</t>
  </si>
  <si>
    <t>employee 267</t>
  </si>
  <si>
    <t>employee 268</t>
  </si>
  <si>
    <t>employee 269</t>
  </si>
  <si>
    <t>employee 270</t>
  </si>
  <si>
    <t>employee 271</t>
  </si>
  <si>
    <t>employee 272</t>
  </si>
  <si>
    <t>employee 273</t>
  </si>
  <si>
    <t>employee 274</t>
  </si>
  <si>
    <t>employee 275</t>
  </si>
  <si>
    <t>employee 276</t>
  </si>
  <si>
    <t>employee 277</t>
  </si>
  <si>
    <t>employee 278</t>
  </si>
  <si>
    <t>employee 279</t>
  </si>
  <si>
    <t>employee 280</t>
  </si>
  <si>
    <t>employee 281</t>
  </si>
  <si>
    <t>employee 282</t>
  </si>
  <si>
    <t>employee 283</t>
  </si>
  <si>
    <t>employee 284</t>
  </si>
  <si>
    <t>employee 285</t>
  </si>
  <si>
    <t>employee 286</t>
  </si>
  <si>
    <t>employee 287</t>
  </si>
  <si>
    <t>employee 288</t>
  </si>
  <si>
    <t>employee 289</t>
  </si>
  <si>
    <t>Shop calendar list</t>
  </si>
  <si>
    <t>Employee Appraisal Dashboard</t>
  </si>
  <si>
    <t>Total emp</t>
  </si>
  <si>
    <t>Row Labels</t>
  </si>
  <si>
    <t>Grand Total</t>
  </si>
  <si>
    <t>Count of Gender</t>
  </si>
  <si>
    <t>Count of Gender2</t>
  </si>
  <si>
    <t>Count of Job type</t>
  </si>
  <si>
    <t>Average of Salary</t>
  </si>
  <si>
    <t>Average of KPI achieve</t>
  </si>
  <si>
    <t>Avg.salary</t>
  </si>
  <si>
    <t>Sum of Skill level</t>
  </si>
  <si>
    <t>Column Labels</t>
  </si>
  <si>
    <t>Count of Age</t>
  </si>
  <si>
    <t>KPI</t>
  </si>
  <si>
    <t>Absence</t>
  </si>
  <si>
    <t>Sum of Penality</t>
  </si>
  <si>
    <t>Sum of Increament</t>
  </si>
  <si>
    <t>Average of Abscene rate</t>
  </si>
  <si>
    <t>Year</t>
  </si>
  <si>
    <t>Appraisal comparison</t>
  </si>
  <si>
    <t>Member 1 Code</t>
  </si>
  <si>
    <t>Member 2 Code</t>
  </si>
  <si>
    <t>Absence rate</t>
  </si>
  <si>
    <t>TTL increament</t>
  </si>
  <si>
    <t>Max of Skill level</t>
  </si>
  <si>
    <t>Average of Activity</t>
  </si>
  <si>
    <t>ID250001</t>
  </si>
  <si>
    <t>ID250002</t>
  </si>
  <si>
    <t>ID250003</t>
  </si>
  <si>
    <t>ID250004</t>
  </si>
  <si>
    <t>ID250005</t>
  </si>
  <si>
    <t>ID250006</t>
  </si>
  <si>
    <t>ID250007</t>
  </si>
  <si>
    <t>ID250008</t>
  </si>
  <si>
    <t>ID250009</t>
  </si>
  <si>
    <t>ID250010</t>
  </si>
  <si>
    <t>ID250011</t>
  </si>
  <si>
    <t>ID250012</t>
  </si>
  <si>
    <t>ID250013</t>
  </si>
  <si>
    <t>ID250014</t>
  </si>
  <si>
    <t>ID250015</t>
  </si>
  <si>
    <t>ID250016</t>
  </si>
  <si>
    <t>ID250017</t>
  </si>
  <si>
    <t>ID250018</t>
  </si>
  <si>
    <t>ID250019</t>
  </si>
  <si>
    <t>ID250020</t>
  </si>
  <si>
    <t>ID250021</t>
  </si>
  <si>
    <t>ID250022</t>
  </si>
  <si>
    <t>ID250023</t>
  </si>
  <si>
    <t>ID250024</t>
  </si>
  <si>
    <t>ID250025</t>
  </si>
  <si>
    <t>ID250026</t>
  </si>
  <si>
    <t>ID250027</t>
  </si>
  <si>
    <t>ID250028</t>
  </si>
  <si>
    <t>ID250029</t>
  </si>
  <si>
    <t>ID250030</t>
  </si>
  <si>
    <t>ID250031</t>
  </si>
  <si>
    <t>ID250032</t>
  </si>
  <si>
    <t>ID250033</t>
  </si>
  <si>
    <t>ID250034</t>
  </si>
  <si>
    <t>ID250035</t>
  </si>
  <si>
    <t>ID250036</t>
  </si>
  <si>
    <t>ID250037</t>
  </si>
  <si>
    <t>ID250038</t>
  </si>
  <si>
    <t>ID250039</t>
  </si>
  <si>
    <t>ID250040</t>
  </si>
  <si>
    <t>ID250041</t>
  </si>
  <si>
    <t>ID250042</t>
  </si>
  <si>
    <t>ID250043</t>
  </si>
  <si>
    <t>ID250044</t>
  </si>
  <si>
    <t>ID250045</t>
  </si>
  <si>
    <t>ID250046</t>
  </si>
  <si>
    <t>ID250047</t>
  </si>
  <si>
    <t>ID250048</t>
  </si>
  <si>
    <t>ID250049</t>
  </si>
  <si>
    <t>ID250050</t>
  </si>
  <si>
    <t>ID250051</t>
  </si>
  <si>
    <t>ID250052</t>
  </si>
  <si>
    <t>ID250053</t>
  </si>
  <si>
    <t>ID250054</t>
  </si>
  <si>
    <t>ID250055</t>
  </si>
  <si>
    <t>ID250056</t>
  </si>
  <si>
    <t>ID250057</t>
  </si>
  <si>
    <t>ID250058</t>
  </si>
  <si>
    <t>ID250059</t>
  </si>
  <si>
    <t>ID250060</t>
  </si>
  <si>
    <t>ID250061</t>
  </si>
  <si>
    <t>ID250062</t>
  </si>
  <si>
    <t>ID250063</t>
  </si>
  <si>
    <t>ID250064</t>
  </si>
  <si>
    <t>ID250065</t>
  </si>
  <si>
    <t>ID250066</t>
  </si>
  <si>
    <t>ID250067</t>
  </si>
  <si>
    <t>ID250068</t>
  </si>
  <si>
    <t>ID250069</t>
  </si>
  <si>
    <t>ID250070</t>
  </si>
  <si>
    <t>ID250071</t>
  </si>
  <si>
    <t>ID250072</t>
  </si>
  <si>
    <t>ID250073</t>
  </si>
  <si>
    <t>ID250074</t>
  </si>
  <si>
    <t>ID250075</t>
  </si>
  <si>
    <t>ID250076</t>
  </si>
  <si>
    <t>ID250077</t>
  </si>
  <si>
    <t>ID250078</t>
  </si>
  <si>
    <t>ID250079</t>
  </si>
  <si>
    <t>ID250080</t>
  </si>
  <si>
    <t>ID250081</t>
  </si>
  <si>
    <t>ID250082</t>
  </si>
  <si>
    <t>ID250083</t>
  </si>
  <si>
    <t>ID250084</t>
  </si>
  <si>
    <t>ID250085</t>
  </si>
  <si>
    <t>ID250086</t>
  </si>
  <si>
    <t>ID250087</t>
  </si>
  <si>
    <t>ID250088</t>
  </si>
  <si>
    <t>ID250089</t>
  </si>
  <si>
    <t>ID250090</t>
  </si>
  <si>
    <t>ID250091</t>
  </si>
  <si>
    <t>ID250092</t>
  </si>
  <si>
    <t>ID250093</t>
  </si>
  <si>
    <t>ID250094</t>
  </si>
  <si>
    <t>ID250095</t>
  </si>
  <si>
    <t>ID250096</t>
  </si>
  <si>
    <t>ID250097</t>
  </si>
  <si>
    <t>ID250098</t>
  </si>
  <si>
    <t>ID250099</t>
  </si>
  <si>
    <t>ID250100</t>
  </si>
  <si>
    <t>ID250101</t>
  </si>
  <si>
    <t>ID250102</t>
  </si>
  <si>
    <t>ID250103</t>
  </si>
  <si>
    <t>ID250104</t>
  </si>
  <si>
    <t>ID250105</t>
  </si>
  <si>
    <t>ID250106</t>
  </si>
  <si>
    <t>ID250107</t>
  </si>
  <si>
    <t>ID250108</t>
  </si>
  <si>
    <t>ID250109</t>
  </si>
  <si>
    <t>ID250110</t>
  </si>
  <si>
    <t>ID250111</t>
  </si>
  <si>
    <t>ID250112</t>
  </si>
  <si>
    <t>ID250113</t>
  </si>
  <si>
    <t>ID250114</t>
  </si>
  <si>
    <t>ID250115</t>
  </si>
  <si>
    <t>ID250116</t>
  </si>
  <si>
    <t>ID250117</t>
  </si>
  <si>
    <t>ID250118</t>
  </si>
  <si>
    <t>ID250119</t>
  </si>
  <si>
    <t>ID250120</t>
  </si>
  <si>
    <t>ID250121</t>
  </si>
  <si>
    <t>ID250122</t>
  </si>
  <si>
    <t>ID250123</t>
  </si>
  <si>
    <t>ID250124</t>
  </si>
  <si>
    <t>ID250125</t>
  </si>
  <si>
    <t>ID250126</t>
  </si>
  <si>
    <t>ID250127</t>
  </si>
  <si>
    <t>ID250128</t>
  </si>
  <si>
    <t>ID250129</t>
  </si>
  <si>
    <t>ID250130</t>
  </si>
  <si>
    <t>ID250131</t>
  </si>
  <si>
    <t>ID250132</t>
  </si>
  <si>
    <t>ID250133</t>
  </si>
  <si>
    <t>ID250134</t>
  </si>
  <si>
    <t>ID250135</t>
  </si>
  <si>
    <t>ID250136</t>
  </si>
  <si>
    <t>ID250137</t>
  </si>
  <si>
    <t>ID250138</t>
  </si>
  <si>
    <t>ID250139</t>
  </si>
  <si>
    <t>ID250140</t>
  </si>
  <si>
    <t>ID250141</t>
  </si>
  <si>
    <t>ID250142</t>
  </si>
  <si>
    <t>ID250143</t>
  </si>
  <si>
    <t>ID250144</t>
  </si>
  <si>
    <t>ID250145</t>
  </si>
  <si>
    <t>ID250146</t>
  </si>
  <si>
    <t>ID250147</t>
  </si>
  <si>
    <t>ID250148</t>
  </si>
  <si>
    <t>ID250149</t>
  </si>
  <si>
    <t>ID250150</t>
  </si>
  <si>
    <t>ID250151</t>
  </si>
  <si>
    <t>ID250152</t>
  </si>
  <si>
    <t>ID250153</t>
  </si>
  <si>
    <t>ID250154</t>
  </si>
  <si>
    <t>ID250155</t>
  </si>
  <si>
    <t>ID250156</t>
  </si>
  <si>
    <t>ID250157</t>
  </si>
  <si>
    <t>ID250158</t>
  </si>
  <si>
    <t>ID250159</t>
  </si>
  <si>
    <t>ID250160</t>
  </si>
  <si>
    <t>ID250161</t>
  </si>
  <si>
    <t>ID250162</t>
  </si>
  <si>
    <t>ID250163</t>
  </si>
  <si>
    <t>ID250164</t>
  </si>
  <si>
    <t>ID250165</t>
  </si>
  <si>
    <t>ID250166</t>
  </si>
  <si>
    <t>ID250167</t>
  </si>
  <si>
    <t>ID250168</t>
  </si>
  <si>
    <t>ID250169</t>
  </si>
  <si>
    <t>ID250170</t>
  </si>
  <si>
    <t>ID250171</t>
  </si>
  <si>
    <t>ID250172</t>
  </si>
  <si>
    <t>ID250173</t>
  </si>
  <si>
    <t>ID250174</t>
  </si>
  <si>
    <t>ID250175</t>
  </si>
  <si>
    <t>ID250176</t>
  </si>
  <si>
    <t>ID250177</t>
  </si>
  <si>
    <t>ID250178</t>
  </si>
  <si>
    <t>ID250179</t>
  </si>
  <si>
    <t>ID250180</t>
  </si>
  <si>
    <t>ID250181</t>
  </si>
  <si>
    <t>ID250182</t>
  </si>
  <si>
    <t>ID250183</t>
  </si>
  <si>
    <t>ID250184</t>
  </si>
  <si>
    <t>ID250185</t>
  </si>
  <si>
    <t>ID250186</t>
  </si>
  <si>
    <t>ID250187</t>
  </si>
  <si>
    <t>ID250188</t>
  </si>
  <si>
    <t>ID250189</t>
  </si>
  <si>
    <t>ID250190</t>
  </si>
  <si>
    <t>ID250191</t>
  </si>
  <si>
    <t>ID250192</t>
  </si>
  <si>
    <t>ID250193</t>
  </si>
  <si>
    <t>ID250194</t>
  </si>
  <si>
    <t>ID250195</t>
  </si>
  <si>
    <t>ID250196</t>
  </si>
  <si>
    <t>ID250197</t>
  </si>
  <si>
    <t>ID250198</t>
  </si>
  <si>
    <t>ID250199</t>
  </si>
  <si>
    <t>ID250200</t>
  </si>
  <si>
    <t>ID250201</t>
  </si>
  <si>
    <t>ID250202</t>
  </si>
  <si>
    <t>ID250203</t>
  </si>
  <si>
    <t>ID250204</t>
  </si>
  <si>
    <t>ID250205</t>
  </si>
  <si>
    <t>ID250206</t>
  </si>
  <si>
    <t>ID250207</t>
  </si>
  <si>
    <t>ID250208</t>
  </si>
  <si>
    <t>ID250209</t>
  </si>
  <si>
    <t>ID250210</t>
  </si>
  <si>
    <t>ID250211</t>
  </si>
  <si>
    <t>ID250212</t>
  </si>
  <si>
    <t>ID250213</t>
  </si>
  <si>
    <t>ID250214</t>
  </si>
  <si>
    <t>ID250215</t>
  </si>
  <si>
    <t>ID250216</t>
  </si>
  <si>
    <t>ID250217</t>
  </si>
  <si>
    <t>ID250218</t>
  </si>
  <si>
    <t>ID250219</t>
  </si>
  <si>
    <t>ID250220</t>
  </si>
  <si>
    <t>ID250221</t>
  </si>
  <si>
    <t>ID250222</t>
  </si>
  <si>
    <t>ID250223</t>
  </si>
  <si>
    <t>ID250224</t>
  </si>
  <si>
    <t>ID250225</t>
  </si>
  <si>
    <t>ID250226</t>
  </si>
  <si>
    <t>ID250227</t>
  </si>
  <si>
    <t>ID250228</t>
  </si>
  <si>
    <t>Statistics</t>
  </si>
  <si>
    <t>ID250229</t>
  </si>
  <si>
    <t>ID250230</t>
  </si>
  <si>
    <t>ID250231</t>
  </si>
  <si>
    <t>ID250232</t>
  </si>
  <si>
    <t>ID250233</t>
  </si>
  <si>
    <t>ID250234</t>
  </si>
  <si>
    <t>ID250235</t>
  </si>
  <si>
    <t>ID250236</t>
  </si>
  <si>
    <t>ID250237</t>
  </si>
  <si>
    <t>ID250238</t>
  </si>
  <si>
    <t>ID250239</t>
  </si>
  <si>
    <t>ID250240</t>
  </si>
  <si>
    <t>ID250241</t>
  </si>
  <si>
    <t>ID250242</t>
  </si>
  <si>
    <t>ID250243</t>
  </si>
  <si>
    <t>ID250244</t>
  </si>
  <si>
    <t>ID250245</t>
  </si>
  <si>
    <t>ID250246</t>
  </si>
  <si>
    <t>ID250247</t>
  </si>
  <si>
    <t>ID250248</t>
  </si>
  <si>
    <t>ID250249</t>
  </si>
  <si>
    <t>ID250250</t>
  </si>
  <si>
    <t>ID250251</t>
  </si>
  <si>
    <t>ID250252</t>
  </si>
  <si>
    <t>ID250253</t>
  </si>
  <si>
    <t>ID250254</t>
  </si>
  <si>
    <t>ID250255</t>
  </si>
  <si>
    <t>ID250256</t>
  </si>
  <si>
    <t>ID250257</t>
  </si>
  <si>
    <t>ID250258</t>
  </si>
  <si>
    <t>ID250259</t>
  </si>
  <si>
    <t>ID250260</t>
  </si>
  <si>
    <t>ID250261</t>
  </si>
  <si>
    <t>ID250262</t>
  </si>
  <si>
    <t>ID250263</t>
  </si>
  <si>
    <t>ID250264</t>
  </si>
  <si>
    <t>ID250265</t>
  </si>
  <si>
    <t>ID250266</t>
  </si>
  <si>
    <t>ID250267</t>
  </si>
  <si>
    <t>ID250268</t>
  </si>
  <si>
    <t>ID250269</t>
  </si>
  <si>
    <t>ID250270</t>
  </si>
  <si>
    <t>ID250271</t>
  </si>
  <si>
    <t>ID250272</t>
  </si>
  <si>
    <t>ID250273</t>
  </si>
  <si>
    <t>ID250274</t>
  </si>
  <si>
    <t>ID250275</t>
  </si>
  <si>
    <t>ID250276</t>
  </si>
  <si>
    <t>ID250277</t>
  </si>
  <si>
    <t>ID250278</t>
  </si>
  <si>
    <t>ID250279</t>
  </si>
  <si>
    <t>ID250280</t>
  </si>
  <si>
    <t>ID250281</t>
  </si>
  <si>
    <t>ID250282</t>
  </si>
  <si>
    <t>ID250283</t>
  </si>
  <si>
    <t>ID250284</t>
  </si>
  <si>
    <t>ID250285</t>
  </si>
  <si>
    <t>ID250286</t>
  </si>
  <si>
    <t>ID250287</t>
  </si>
  <si>
    <t>ID250288</t>
  </si>
  <si>
    <t>ID250289</t>
  </si>
  <si>
    <t>2016</t>
  </si>
  <si>
    <t>Qtr1</t>
  </si>
  <si>
    <t>2018</t>
  </si>
  <si>
    <t>2019</t>
  </si>
  <si>
    <t>2017</t>
  </si>
  <si>
    <t>2020</t>
  </si>
  <si>
    <t>Qtr2</t>
  </si>
  <si>
    <t>Qtr3</t>
  </si>
  <si>
    <t>Qtr4</t>
  </si>
  <si>
    <t>Sum of Salary</t>
  </si>
  <si>
    <t>Average of Increament</t>
  </si>
  <si>
    <t>Count of Title</t>
  </si>
  <si>
    <t>MEMBERS RATING</t>
  </si>
  <si>
    <t>Performance</t>
  </si>
  <si>
    <t>Name VLOK</t>
  </si>
  <si>
    <t>Employee name</t>
  </si>
  <si>
    <t>Penality deduction %</t>
  </si>
  <si>
    <t>days</t>
  </si>
  <si>
    <t>deduction</t>
  </si>
  <si>
    <t>penality deduction</t>
  </si>
  <si>
    <t>Average of Performance</t>
  </si>
  <si>
    <t>25-29</t>
  </si>
  <si>
    <t>30-34</t>
  </si>
  <si>
    <t>35-39</t>
  </si>
  <si>
    <t>40-44</t>
  </si>
  <si>
    <t>Salary / activity</t>
  </si>
  <si>
    <t>Members counting</t>
  </si>
  <si>
    <t>General statistics</t>
  </si>
  <si>
    <t>increament %</t>
  </si>
  <si>
    <t>Average of increament %</t>
  </si>
  <si>
    <t>Increament %</t>
  </si>
  <si>
    <t>Also known as an annual review, performance review or evaluation, or employee appraisal, </t>
  </si>
  <si>
    <t>A performance appraisal or employee is a regular review of an employee's job performance and overall contribution to a company. </t>
  </si>
  <si>
    <t>Dashboard</t>
  </si>
  <si>
    <t>Raw data</t>
  </si>
  <si>
    <t>Data base</t>
  </si>
  <si>
    <t>Key performance indicator is a type of performance measurement that helps you understand how your organization or department is performing.</t>
  </si>
  <si>
    <t>Employee performance is defined as how an employee fulfills their job duties and executes their required tasks.</t>
  </si>
  <si>
    <t>It refers to the effectiveness, quality, and efficiency of their output. Performance</t>
  </si>
  <si>
    <t>also contributes to our assessment of how valuable an employee is to the organization</t>
  </si>
  <si>
    <t>From this dashboard sheet you can review all employee details in for of visual management with dynamic slicers that can manipulate all details fast and easy</t>
  </si>
  <si>
    <t>At this sheet you will insert monthly employee data (in light green black font column header) as history raw daya</t>
  </si>
  <si>
    <t>From this sheet you will establish company standards for employee names, ID, department, Title, Skill level, Gender and so on which will be used as reference for dynamic calculations</t>
  </si>
  <si>
    <t>Also you should insert Shop calender for each month of the year EX.( Jan only working days is 22 day after deduction of weekly holiday and public holiday)</t>
  </si>
  <si>
    <t>Jan Month=31days, weekend 8days, public holiday 1day So working days =31-8-1=22</t>
  </si>
  <si>
    <t>Employee details list</t>
  </si>
  <si>
    <t>Here you should save employee list with required detalis in above header</t>
  </si>
  <si>
    <t>some cells is closed with data validation by indirect list from sub fixed list</t>
  </si>
  <si>
    <t>Below each header record your company rules and standard</t>
  </si>
  <si>
    <t>at this table you can refer for each penality matrix days how many performance deduction %</t>
  </si>
  <si>
    <t>Firstly the data inside this sheets is just random examples so the dashboard visualization is not logic, So we will remove content for all this examples data</t>
  </si>
  <si>
    <t>From Data base sheet we will remove recorded examples and will record company rule and standards as mentioned in above sheet dscription</t>
  </si>
  <si>
    <t>From Raw data sheet you will insert monthly employee data at light green column header with black font, Some data will be list select</t>
  </si>
  <si>
    <t>Save your sheet and to update dynamic data you must refresh your excel sheet "Alt--&gt; A--&gt; R--&gt; A" in sequence</t>
  </si>
  <si>
    <t>Go to Dashboard sheet and you can check Employee appraisal visualization with dynamic slicers to segment your interest to vies</t>
  </si>
  <si>
    <t>From appraisal comparison area you can choose 2 employe to be compared with useful statistics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</si>
  <si>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</si>
  <si>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</si>
  <si>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</si>
  <si>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</si>
  <si>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t>Full Screen</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</si>
  <si>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</si>
  <si>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</si>
  <si>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</si>
  <si>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</si>
  <si>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</si>
  <si>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</si>
  <si>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Employee Appraisal</t>
  </si>
  <si>
    <t>A performance appraisal evaluates an employee’s skills, achievements, and growth--or lack thereof.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</si>
</sst>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 #,##0_);_(* \(#,##0\);_(* &quot;-&quot;??_);_(@_)"/>
    <numFmt numFmtId="166" formatCode="mmm"/>
    <numFmt numFmtId="167" formatCode="0.000"/>
    <numFmt numFmtId="168" formatCode="0.0%"/>
    <numFmt numFmtId="169" formatCode="yyyy"/>
  </numFmts>
  <fonts count="25" x14ac:knownFonts="1">
    <font>
      <sz val="11"/>
      <color theme="1"/>
      <name val="Calibri"/>
      <family val="2"/>
      <scheme val="minor"/>
    </font>
    <font>
      <sz val="10"/>
      <color theme="1"/>
      <name val="Arial"/>
      <family val="2"/>
    </font>
    <font>
      <b/>
      <sz val="10"/>
      <color theme="1"/>
      <name val="Arial"/>
      <family val="2"/>
    </font>
    <font>
      <b/>
      <u/>
      <sz val="10"/>
      <color theme="1"/>
      <name val="Arial"/>
      <family val="2"/>
    </font>
    <font>
      <i/>
      <u/>
      <sz val="10"/>
      <color theme="1"/>
      <name val="Arial"/>
      <family val="2"/>
    </font>
    <font>
      <sz val="11"/>
      <color theme="1"/>
      <name val="Calibri"/>
      <family val="2"/>
      <scheme val="minor"/>
    </font>
    <font>
      <sz val="10"/>
      <color theme="0"/>
      <name val="Arial"/>
      <family val="2"/>
    </font>
    <font>
      <sz val="8"/>
      <name val="Calibri"/>
      <family val="2"/>
      <scheme val="minor"/>
    </font>
    <font>
      <sz val="14"/>
      <color theme="0"/>
      <name val="Arial"/>
      <family val="2"/>
    </font>
    <font>
      <sz val="10"/>
      <color rgb="FF50B47F"/>
      <name val="Arial"/>
      <family val="2"/>
    </font>
    <font>
      <b/>
      <sz val="10"/>
      <color rgb="FF50B47F"/>
      <name val="Arial"/>
      <family val="2"/>
    </font>
    <font>
      <sz val="12"/>
      <color rgb="FF50B47F"/>
      <name val="Arial"/>
      <family val="2"/>
    </font>
    <font>
      <sz val="10"/>
      <color theme="0" tint="-0.499984740745262"/>
      <name val="Arial"/>
      <family val="2"/>
    </font>
    <font>
      <sz val="10"/>
      <name val="Arial"/>
      <family val="2"/>
    </font>
    <font>
      <sz val="10"/>
      <color theme="5" tint="-0.499984740745262"/>
      <name val="Arial"/>
      <family val="2"/>
    </font>
    <font>
      <sz val="12"/>
      <color theme="0" tint="-0.499984740745262"/>
      <name val="Arial"/>
      <family val="2"/>
    </font>
    <font>
      <sz val="12"/>
      <color theme="5" tint="-0.499984740745262"/>
      <name val="Arial"/>
      <family val="2"/>
    </font>
    <font>
      <b/>
      <sz val="10"/>
      <color theme="5" tint="-0.499984740745262"/>
      <name val="Arial"/>
      <family val="2"/>
    </font>
    <font>
      <b/>
      <u/>
      <sz val="11"/>
      <color rgb="FF50B47F"/>
      <name val="Arial"/>
      <family val="2"/>
    </font>
    <font>
      <b/>
      <sz val="10"/>
      <color theme="2" tint="-0.749992370372631"/>
      <name val="Arial"/>
      <family val="2"/>
    </font>
    <font>
      <sz val="10"/>
      <color theme="2" tint="-0.749992370372631"/>
      <name val="Arial"/>
      <family val="2"/>
    </font>
    <font>
      <b/>
      <sz val="11"/>
      <color theme="1"/>
      <name val="Arial"/>
      <family val="2"/>
    </font>
    <font>
      <b/>
      <sz val="12"/>
      <color rgb="FF50B47F"/>
      <name val="Arial"/>
      <family val="2"/>
    </font>
    <font>
      <u/>
      <sz val="11"/>
      <color theme="10"/>
      <name val="Calibri"/>
      <family val="2"/>
      <scheme val="minor"/>
    </font>
    <font>
      <sz val="11"/>
      <color rgb="FF000000"/>
      <name val="Arial"/>
      <family val="2"/>
    </font>
  </fonts>
  <fills count="8">
    <fill>
      <patternFill patternType="none"/>
    </fill>
    <fill>
      <patternFill patternType="gray125"/>
    </fill>
    <fill>
      <patternFill patternType="solid">
        <fgColor rgb="FFD9D9D9"/>
        <bgColor indexed="64"/>
      </patternFill>
    </fill>
    <fill>
      <patternFill patternType="solid">
        <fgColor rgb="FF50B47F"/>
        <bgColor indexed="64"/>
      </patternFill>
    </fill>
    <fill>
      <patternFill patternType="solid">
        <fgColor rgb="FF8FCFAD"/>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thin">
        <color indexed="64"/>
      </right>
      <top/>
      <bottom style="dashed">
        <color indexed="64"/>
      </bottom>
      <diagonal/>
    </border>
    <border>
      <left/>
      <right/>
      <top/>
      <bottom style="medium">
        <color theme="0" tint="-0.34998626667073579"/>
      </bottom>
      <diagonal/>
    </border>
    <border>
      <left/>
      <right style="thin">
        <color theme="0" tint="-0.34998626667073579"/>
      </right>
      <top/>
      <bottom style="medium">
        <color theme="0" tint="-0.34998626667073579"/>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medium">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double">
        <color theme="0" tint="-0.499984740745262"/>
      </left>
      <right/>
      <top style="double">
        <color theme="0" tint="-0.499984740745262"/>
      </top>
      <bottom style="double">
        <color theme="0" tint="-0.499984740745262"/>
      </bottom>
      <diagonal/>
    </border>
    <border>
      <left/>
      <right style="double">
        <color theme="0" tint="-0.499984740745262"/>
      </right>
      <top style="double">
        <color theme="0" tint="-0.499984740745262"/>
      </top>
      <bottom style="double">
        <color theme="0" tint="-0.49998474074526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s>
  <cellStyleXfs count="6">
    <xf numFmtId="0" fontId="0" fillId="0" borderId="0"/>
    <xf numFmtId="0" fontId="1" fillId="0" borderId="0"/>
    <xf numFmtId="164" fontId="5" fillId="0" borderId="0" applyFont="0" applyFill="0" applyBorder="0" applyAlignment="0" applyProtection="0"/>
    <xf numFmtId="9" fontId="5" fillId="0" borderId="0" applyFont="0" applyFill="0" applyBorder="0" applyAlignment="0" applyProtection="0"/>
    <xf numFmtId="0" fontId="23" fillId="0" borderId="0" applyNumberFormat="0" applyFill="0" applyBorder="0" applyAlignment="0" applyProtection="0"/>
    <xf numFmtId="0" fontId="1" fillId="0" borderId="0"/>
  </cellStyleXfs>
  <cellXfs count="116">
    <xf numFmtId="0" fontId="0" fillId="0" borderId="0" xfId="0"/>
    <xf numFmtId="0" fontId="1" fillId="0" borderId="0" xfId="0" applyFont="1"/>
    <xf numFmtId="0" fontId="1" fillId="2" borderId="0" xfId="0" applyFont="1" applyFill="1"/>
    <xf numFmtId="0" fontId="2" fillId="0" borderId="0" xfId="0" applyFont="1"/>
    <xf numFmtId="0" fontId="2" fillId="2" borderId="0" xfId="0" applyFont="1" applyFill="1"/>
    <xf numFmtId="0" fontId="2" fillId="0" borderId="0" xfId="1" applyFont="1"/>
    <xf numFmtId="0" fontId="4" fillId="0" borderId="0" xfId="0" applyFont="1" applyAlignment="1">
      <alignment horizontal="right"/>
    </xf>
    <xf numFmtId="0" fontId="3" fillId="0" borderId="0" xfId="0" applyFont="1" applyAlignment="1">
      <alignment horizontal="right"/>
    </xf>
    <xf numFmtId="0" fontId="1" fillId="0" borderId="0" xfId="0" applyFont="1" applyAlignment="1">
      <alignment horizontal="right"/>
    </xf>
    <xf numFmtId="0" fontId="0" fillId="5" borderId="0" xfId="0" applyFill="1"/>
    <xf numFmtId="0" fontId="1" fillId="0" borderId="0" xfId="0" applyFont="1" applyAlignment="1">
      <alignment horizontal="center" vertical="center"/>
    </xf>
    <xf numFmtId="165" fontId="1" fillId="0" borderId="0" xfId="2" applyNumberFormat="1" applyFont="1" applyAlignment="1">
      <alignment horizontal="center" vertical="center"/>
    </xf>
    <xf numFmtId="9" fontId="1" fillId="0" borderId="0" xfId="3" applyFont="1" applyAlignment="1">
      <alignment horizontal="center" vertical="center"/>
    </xf>
    <xf numFmtId="0" fontId="1" fillId="0" borderId="0" xfId="2" applyNumberFormat="1" applyFont="1" applyAlignment="1">
      <alignment horizontal="center" vertical="center"/>
    </xf>
    <xf numFmtId="14" fontId="1" fillId="0" borderId="0" xfId="2" applyNumberFormat="1" applyFont="1" applyAlignment="1">
      <alignment horizontal="center" vertical="center"/>
    </xf>
    <xf numFmtId="0" fontId="1" fillId="0" borderId="0" xfId="0" applyFont="1" applyAlignment="1">
      <alignment horizontal="center"/>
    </xf>
    <xf numFmtId="0" fontId="6" fillId="3" borderId="0" xfId="0" applyFont="1" applyFill="1" applyAlignment="1">
      <alignment horizontal="left"/>
    </xf>
    <xf numFmtId="9" fontId="1" fillId="0" borderId="0" xfId="3" applyFont="1"/>
    <xf numFmtId="167" fontId="1" fillId="0" borderId="0" xfId="3" applyNumberFormat="1" applyFont="1"/>
    <xf numFmtId="0" fontId="0" fillId="0" borderId="0" xfId="0" pivotButton="1"/>
    <xf numFmtId="0" fontId="0" fillId="0" borderId="0" xfId="0" applyAlignment="1">
      <alignment horizontal="left"/>
    </xf>
    <xf numFmtId="168" fontId="0" fillId="0" borderId="0" xfId="0" applyNumberFormat="1"/>
    <xf numFmtId="0" fontId="0" fillId="0" borderId="0" xfId="0" applyAlignment="1">
      <alignment horizontal="left" indent="1"/>
    </xf>
    <xf numFmtId="1" fontId="0" fillId="0" borderId="0" xfId="0" applyNumberFormat="1"/>
    <xf numFmtId="9" fontId="0" fillId="0" borderId="0" xfId="0" applyNumberFormat="1"/>
    <xf numFmtId="165" fontId="0" fillId="0" borderId="0" xfId="0" applyNumberFormat="1" applyAlignment="1">
      <alignment horizontal="left"/>
    </xf>
    <xf numFmtId="0" fontId="1" fillId="6" borderId="0" xfId="0" applyFont="1" applyFill="1"/>
    <xf numFmtId="0" fontId="1" fillId="6" borderId="10" xfId="0" applyFont="1" applyFill="1" applyBorder="1"/>
    <xf numFmtId="0" fontId="10" fillId="6" borderId="0" xfId="0" applyFont="1" applyFill="1"/>
    <xf numFmtId="0" fontId="11" fillId="6" borderId="0" xfId="0" applyFont="1" applyFill="1" applyAlignment="1">
      <alignment horizontal="center"/>
    </xf>
    <xf numFmtId="0" fontId="9" fillId="6" borderId="0" xfId="0" applyFont="1" applyFill="1"/>
    <xf numFmtId="0" fontId="1" fillId="6" borderId="11" xfId="0" applyFont="1" applyFill="1" applyBorder="1"/>
    <xf numFmtId="0" fontId="9" fillId="6" borderId="0" xfId="0" applyFont="1" applyFill="1" applyAlignment="1">
      <alignment horizontal="center" vertical="center"/>
    </xf>
    <xf numFmtId="0" fontId="1" fillId="6" borderId="8" xfId="0" applyFont="1" applyFill="1" applyBorder="1"/>
    <xf numFmtId="0" fontId="1" fillId="6" borderId="9" xfId="0" applyFont="1" applyFill="1" applyBorder="1"/>
    <xf numFmtId="0" fontId="1" fillId="6" borderId="12" xfId="0" applyFont="1" applyFill="1" applyBorder="1"/>
    <xf numFmtId="0" fontId="9" fillId="6" borderId="8" xfId="0" applyFont="1" applyFill="1" applyBorder="1"/>
    <xf numFmtId="9" fontId="12" fillId="6" borderId="10" xfId="3" applyFont="1" applyFill="1" applyBorder="1" applyAlignment="1">
      <alignment horizontal="center"/>
    </xf>
    <xf numFmtId="169" fontId="1" fillId="0" borderId="0" xfId="0" applyNumberFormat="1" applyFont="1" applyAlignment="1">
      <alignment horizontal="center" vertical="center"/>
    </xf>
    <xf numFmtId="0" fontId="12" fillId="6" borderId="10" xfId="0" applyFont="1" applyFill="1" applyBorder="1" applyAlignment="1">
      <alignment horizontal="center" vertical="center"/>
    </xf>
    <xf numFmtId="0" fontId="14" fillId="6" borderId="0" xfId="0" applyFont="1" applyFill="1" applyAlignment="1">
      <alignment horizontal="center" vertical="center"/>
    </xf>
    <xf numFmtId="1" fontId="12" fillId="6" borderId="10" xfId="3" applyNumberFormat="1" applyFont="1" applyFill="1" applyBorder="1" applyAlignment="1">
      <alignment horizontal="center"/>
    </xf>
    <xf numFmtId="0" fontId="1" fillId="6" borderId="15" xfId="0" applyFont="1" applyFill="1" applyBorder="1"/>
    <xf numFmtId="0" fontId="1" fillId="6" borderId="16" xfId="0" applyFont="1" applyFill="1" applyBorder="1"/>
    <xf numFmtId="9" fontId="14" fillId="6" borderId="0" xfId="3" applyFont="1" applyFill="1" applyBorder="1" applyAlignment="1">
      <alignment horizontal="center"/>
    </xf>
    <xf numFmtId="1" fontId="14" fillId="6" borderId="0" xfId="3" applyNumberFormat="1" applyFont="1" applyFill="1" applyBorder="1" applyAlignment="1">
      <alignment horizontal="center"/>
    </xf>
    <xf numFmtId="0" fontId="9" fillId="6" borderId="11" xfId="0" applyFont="1" applyFill="1" applyBorder="1"/>
    <xf numFmtId="0" fontId="17" fillId="6" borderId="11" xfId="0" applyFont="1" applyFill="1" applyBorder="1"/>
    <xf numFmtId="0" fontId="1" fillId="6" borderId="20" xfId="0" applyFont="1" applyFill="1" applyBorder="1"/>
    <xf numFmtId="0" fontId="1" fillId="6" borderId="13" xfId="0" applyFont="1" applyFill="1" applyBorder="1"/>
    <xf numFmtId="0" fontId="17" fillId="6" borderId="0" xfId="0" applyFont="1" applyFill="1" applyAlignment="1">
      <alignment horizontal="center"/>
    </xf>
    <xf numFmtId="0" fontId="14" fillId="6" borderId="16" xfId="0" applyFont="1" applyFill="1" applyBorder="1" applyAlignment="1">
      <alignment horizontal="center"/>
    </xf>
    <xf numFmtId="0" fontId="14" fillId="6" borderId="20" xfId="0" applyFont="1" applyFill="1" applyBorder="1" applyAlignment="1">
      <alignment horizontal="center"/>
    </xf>
    <xf numFmtId="0" fontId="14" fillId="6" borderId="0" xfId="0" applyFont="1" applyFill="1" applyAlignment="1">
      <alignment horizontal="center"/>
    </xf>
    <xf numFmtId="0" fontId="9" fillId="6" borderId="15" xfId="0" applyFont="1" applyFill="1" applyBorder="1"/>
    <xf numFmtId="0" fontId="9" fillId="6" borderId="19" xfId="0" applyFont="1" applyFill="1" applyBorder="1"/>
    <xf numFmtId="0" fontId="18" fillId="6" borderId="11" xfId="0" applyFont="1" applyFill="1" applyBorder="1"/>
    <xf numFmtId="0" fontId="19" fillId="6" borderId="11" xfId="0" applyFont="1" applyFill="1" applyBorder="1"/>
    <xf numFmtId="0" fontId="19" fillId="6" borderId="0" xfId="0" applyFont="1" applyFill="1" applyAlignment="1">
      <alignment horizontal="center"/>
    </xf>
    <xf numFmtId="0" fontId="20" fillId="6" borderId="16" xfId="0" applyFont="1" applyFill="1" applyBorder="1" applyAlignment="1">
      <alignment horizontal="center"/>
    </xf>
    <xf numFmtId="0" fontId="20" fillId="6" borderId="20" xfId="0" applyFont="1" applyFill="1" applyBorder="1" applyAlignment="1">
      <alignment horizontal="center"/>
    </xf>
    <xf numFmtId="0" fontId="20" fillId="6" borderId="0" xfId="0" applyFont="1" applyFill="1" applyAlignment="1">
      <alignment horizontal="center"/>
    </xf>
    <xf numFmtId="9" fontId="20" fillId="6" borderId="0" xfId="3" applyFont="1" applyFill="1" applyBorder="1" applyAlignment="1">
      <alignment horizontal="center"/>
    </xf>
    <xf numFmtId="1" fontId="20" fillId="6" borderId="0" xfId="0" applyNumberFormat="1" applyFont="1" applyFill="1" applyAlignment="1">
      <alignment horizontal="center"/>
    </xf>
    <xf numFmtId="166" fontId="1" fillId="0" borderId="0" xfId="0" applyNumberFormat="1" applyFont="1" applyAlignment="1">
      <alignment horizontal="center" vertical="center"/>
    </xf>
    <xf numFmtId="166" fontId="0" fillId="0" borderId="0" xfId="0" applyNumberFormat="1" applyAlignment="1">
      <alignment horizontal="left"/>
    </xf>
    <xf numFmtId="9" fontId="9" fillId="6" borderId="0" xfId="3" applyFont="1" applyFill="1" applyBorder="1"/>
    <xf numFmtId="0" fontId="10" fillId="6" borderId="0" xfId="0" applyFont="1" applyFill="1" applyAlignment="1">
      <alignment horizontal="center"/>
    </xf>
    <xf numFmtId="9" fontId="10" fillId="6" borderId="0" xfId="3" applyFont="1" applyFill="1" applyAlignment="1">
      <alignment horizontal="center"/>
    </xf>
    <xf numFmtId="0" fontId="10" fillId="6" borderId="0" xfId="0" applyFont="1" applyFill="1" applyAlignment="1">
      <alignment vertical="center"/>
    </xf>
    <xf numFmtId="14" fontId="14" fillId="6" borderId="16" xfId="0" applyNumberFormat="1" applyFont="1" applyFill="1" applyBorder="1" applyAlignment="1">
      <alignment horizontal="center"/>
    </xf>
    <xf numFmtId="14" fontId="20" fillId="6" borderId="16" xfId="0" applyNumberFormat="1" applyFont="1" applyFill="1" applyBorder="1" applyAlignment="1">
      <alignment horizontal="center"/>
    </xf>
    <xf numFmtId="9" fontId="6" fillId="3" borderId="0" xfId="3" applyFont="1" applyFill="1" applyAlignment="1">
      <alignment horizontal="left"/>
    </xf>
    <xf numFmtId="9" fontId="1" fillId="0" borderId="0" xfId="0" applyNumberFormat="1" applyFont="1"/>
    <xf numFmtId="0" fontId="13" fillId="4" borderId="0" xfId="0" applyFont="1" applyFill="1" applyAlignment="1" applyProtection="1">
      <alignment horizontal="left"/>
      <protection locked="0"/>
    </xf>
    <xf numFmtId="17" fontId="1" fillId="0" borderId="0" xfId="0" applyNumberFormat="1" applyFont="1" applyAlignment="1" applyProtection="1">
      <alignment horizontal="center" vertical="center"/>
      <protection locked="0"/>
    </xf>
    <xf numFmtId="0" fontId="1" fillId="0" borderId="0" xfId="0" applyFont="1" applyProtection="1">
      <protection locked="0"/>
    </xf>
    <xf numFmtId="0" fontId="1" fillId="0" borderId="0" xfId="0" applyFont="1" applyAlignment="1" applyProtection="1">
      <alignment horizontal="center" vertical="center"/>
      <protection locked="0"/>
    </xf>
    <xf numFmtId="165" fontId="1" fillId="0" borderId="0" xfId="2" applyNumberFormat="1" applyFont="1" applyAlignment="1" applyProtection="1">
      <alignment horizontal="center" vertical="center"/>
      <protection locked="0"/>
    </xf>
    <xf numFmtId="9" fontId="1" fillId="0" borderId="0" xfId="3" applyFont="1" applyAlignment="1" applyProtection="1">
      <alignment horizontal="center" vertical="center"/>
      <protection locked="0"/>
    </xf>
    <xf numFmtId="0" fontId="10" fillId="6" borderId="0" xfId="0" applyFont="1" applyFill="1" applyAlignment="1">
      <alignment horizontal="center" vertical="center"/>
    </xf>
    <xf numFmtId="0" fontId="22" fillId="6" borderId="0" xfId="0" applyFont="1" applyFill="1" applyAlignment="1">
      <alignment horizontal="center" vertical="center"/>
    </xf>
    <xf numFmtId="0" fontId="1" fillId="0" borderId="5" xfId="0" applyFont="1" applyBorder="1" applyProtection="1">
      <protection locked="0"/>
    </xf>
    <xf numFmtId="0" fontId="1" fillId="0" borderId="6" xfId="0" applyFont="1" applyBorder="1" applyProtection="1">
      <protection locked="0"/>
    </xf>
    <xf numFmtId="14" fontId="1" fillId="0" borderId="6" xfId="0" applyNumberFormat="1" applyFont="1" applyBorder="1" applyAlignment="1" applyProtection="1">
      <alignment horizontal="left"/>
      <protection locked="0"/>
    </xf>
    <xf numFmtId="165" fontId="1" fillId="0" borderId="7" xfId="2" applyNumberFormat="1" applyFont="1" applyBorder="1" applyProtection="1">
      <protection locked="0"/>
    </xf>
    <xf numFmtId="9" fontId="1" fillId="0" borderId="0" xfId="3" applyFont="1" applyProtection="1">
      <protection locked="0"/>
    </xf>
    <xf numFmtId="0" fontId="1" fillId="0" borderId="2" xfId="0" applyFont="1" applyBorder="1" applyProtection="1">
      <protection locked="0"/>
    </xf>
    <xf numFmtId="14" fontId="1" fillId="0" borderId="2" xfId="0" applyNumberFormat="1" applyFont="1" applyBorder="1" applyAlignment="1" applyProtection="1">
      <alignment horizontal="left"/>
      <protection locked="0"/>
    </xf>
    <xf numFmtId="165" fontId="1" fillId="0" borderId="4" xfId="2" applyNumberFormat="1" applyFont="1" applyBorder="1" applyProtection="1">
      <protection locked="0"/>
    </xf>
    <xf numFmtId="0" fontId="1" fillId="0" borderId="3" xfId="0" applyFont="1" applyBorder="1" applyProtection="1">
      <protection locked="0"/>
    </xf>
    <xf numFmtId="14" fontId="1" fillId="0" borderId="2" xfId="0" applyNumberFormat="1" applyFont="1" applyBorder="1" applyProtection="1">
      <protection locked="0"/>
    </xf>
    <xf numFmtId="166" fontId="12" fillId="0" borderId="0" xfId="0" applyNumberFormat="1" applyFont="1"/>
    <xf numFmtId="0" fontId="12" fillId="0" borderId="0" xfId="0" applyFont="1"/>
    <xf numFmtId="0" fontId="1" fillId="4" borderId="0" xfId="0" applyFont="1" applyFill="1"/>
    <xf numFmtId="0" fontId="13" fillId="4" borderId="0" xfId="0" applyFont="1" applyFill="1"/>
    <xf numFmtId="0" fontId="1" fillId="4" borderId="1" xfId="0" applyFont="1" applyFill="1" applyBorder="1"/>
    <xf numFmtId="0" fontId="1" fillId="0" borderId="0" xfId="0" quotePrefix="1" applyFont="1"/>
    <xf numFmtId="0" fontId="23" fillId="5" borderId="0" xfId="4" applyFill="1"/>
    <xf numFmtId="0" fontId="23" fillId="2" borderId="0" xfId="4" applyFill="1"/>
    <xf numFmtId="0" fontId="1" fillId="0" borderId="0" xfId="0" applyFont="1" applyAlignment="1">
      <alignment horizontal="left"/>
    </xf>
    <xf numFmtId="0" fontId="1" fillId="0" borderId="0" xfId="5"/>
    <xf numFmtId="0" fontId="2" fillId="0" borderId="0" xfId="0" applyFont="1" applyAlignment="1">
      <alignment horizontal="right"/>
    </xf>
    <xf numFmtId="0" fontId="23" fillId="0" borderId="0" xfId="4"/>
    <xf numFmtId="0" fontId="1" fillId="7" borderId="17" xfId="0" applyFont="1" applyFill="1" applyBorder="1" applyAlignment="1" applyProtection="1">
      <alignment horizontal="center"/>
      <protection locked="0"/>
    </xf>
    <xf numFmtId="0" fontId="1" fillId="7" borderId="18" xfId="0" applyFont="1" applyFill="1" applyBorder="1" applyAlignment="1" applyProtection="1">
      <alignment horizontal="center"/>
      <protection locked="0"/>
    </xf>
    <xf numFmtId="0" fontId="8" fillId="3" borderId="0" xfId="0" applyFont="1" applyFill="1" applyAlignment="1">
      <alignment horizontal="center" vertical="center" wrapText="1"/>
    </xf>
    <xf numFmtId="0" fontId="8" fillId="3" borderId="10" xfId="0" applyFont="1" applyFill="1" applyBorder="1" applyAlignment="1">
      <alignment horizontal="center" vertical="center" wrapText="1"/>
    </xf>
    <xf numFmtId="0" fontId="8" fillId="3" borderId="8" xfId="0" applyFont="1" applyFill="1" applyBorder="1" applyAlignment="1">
      <alignment horizontal="center" vertical="center" wrapText="1"/>
    </xf>
    <xf numFmtId="0" fontId="8" fillId="3" borderId="9" xfId="0" applyFont="1" applyFill="1" applyBorder="1" applyAlignment="1">
      <alignment horizontal="center" vertical="center" wrapText="1"/>
    </xf>
    <xf numFmtId="0" fontId="15" fillId="6" borderId="0" xfId="0" applyFont="1" applyFill="1" applyAlignment="1">
      <alignment horizontal="center"/>
    </xf>
    <xf numFmtId="0" fontId="21" fillId="4" borderId="13" xfId="0" applyFont="1" applyFill="1" applyBorder="1" applyAlignment="1">
      <alignment horizontal="center"/>
    </xf>
    <xf numFmtId="0" fontId="21" fillId="4" borderId="14" xfId="0" applyFont="1" applyFill="1" applyBorder="1" applyAlignment="1">
      <alignment horizontal="center"/>
    </xf>
    <xf numFmtId="9" fontId="15" fillId="6" borderId="0" xfId="3" applyFont="1" applyFill="1" applyAlignment="1">
      <alignment horizontal="center"/>
    </xf>
    <xf numFmtId="0" fontId="16" fillId="6" borderId="0" xfId="0" applyFont="1" applyFill="1" applyAlignment="1">
      <alignment horizontal="center"/>
    </xf>
    <xf numFmtId="9" fontId="16" fillId="6" borderId="0" xfId="3" applyFont="1" applyFill="1" applyAlignment="1">
      <alignment horizontal="center"/>
    </xf>
  </cellXfs>
  <cellStyles count="6">
    <cellStyle name="Comma" xfId="2" builtinId="3"/>
    <cellStyle name="Hyperlink" xfId="4" builtinId="8"/>
    <cellStyle name="Normal" xfId="0" builtinId="0"/>
    <cellStyle name="Normal 2" xfId="1" xr:uid="{4C4B56A4-5300-4763-9054-91E1974E06C1}"/>
    <cellStyle name="Normal 2 2" xfId="5" xr:uid="{76B059D7-2F3E-4080-8DC1-202768B6A91B}"/>
    <cellStyle name="Percent" xfId="3" builtinId="5"/>
  </cellStyles>
  <dxfs count="79">
    <dxf>
      <numFmt numFmtId="13" formatCode="0%"/>
    </dxf>
    <dxf>
      <numFmt numFmtId="13" formatCode="0%"/>
    </dxf>
    <dxf>
      <numFmt numFmtId="13" formatCode="0%"/>
    </dxf>
    <dxf>
      <numFmt numFmtId="1" formatCode="0"/>
    </dxf>
    <dxf>
      <numFmt numFmtId="0" formatCode="General"/>
    </dxf>
    <dxf>
      <numFmt numFmtId="1" formatCode="0"/>
    </dxf>
    <dxf>
      <numFmt numFmtId="13" formatCode="0%"/>
    </dxf>
    <dxf>
      <numFmt numFmtId="1" formatCode="0"/>
    </dxf>
    <dxf>
      <numFmt numFmtId="168" formatCode="0.0%"/>
    </dxf>
    <dxf>
      <numFmt numFmtId="168" formatCode="0.0%"/>
    </dxf>
    <dxf>
      <numFmt numFmtId="168" formatCode="0.0%"/>
    </dxf>
    <dxf>
      <numFmt numFmtId="168" formatCode="0.0%"/>
    </dxf>
    <dxf>
      <numFmt numFmtId="168" formatCode="0.0%"/>
    </dxf>
    <dxf>
      <numFmt numFmtId="13" formatCode="0%"/>
    </dxf>
    <dxf>
      <fill>
        <patternFill patternType="solid">
          <fgColor indexed="64"/>
          <bgColor rgb="FF50B47F"/>
        </patternFill>
      </fill>
    </dxf>
    <dxf>
      <font>
        <b val="0"/>
        <i val="0"/>
        <strike val="0"/>
        <condense val="0"/>
        <extend val="0"/>
        <outline val="0"/>
        <shadow val="0"/>
        <u val="none"/>
        <vertAlign val="baseline"/>
        <sz val="10"/>
        <color theme="1"/>
        <name val="Arial"/>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_(* #,##0_);_(* \(#,##0\);_(* &quot;-&quot;??_);_(@_)"/>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5" formatCode="_(* #,##0_);_(* \(#,##0\);_(* &quot;-&quot;??_);_(@_)"/>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5" formatCode="_(* #,##0_);_(* \(#,##0\);_(* &quot;-&quot;??_);_(@_)"/>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5" formatCode="_(* #,##0_);_(* \(#,##0\);_(* &quot;-&quot;??_);_(@_)"/>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5" formatCode="_(* #,##0_);_(* \(#,##0\);_(* &quot;-&quot;??_);_(@_)"/>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5" formatCode="_(* #,##0_);_(* \(#,##0\);_(* &quot;-&quot;??_);_(@_)"/>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_(* #,##0_);_(* \(#,##0\);_(*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70" formatCode="mm/dd/yyyy"/>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6" formatCode="mmm"/>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9" formatCode="yyyy"/>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71" formatCode="mmm\-yy"/>
      <alignment horizontal="center" vertical="center" textRotation="0" wrapText="0" indent="0" justifyLastLine="0" shrinkToFit="0" readingOrder="0"/>
      <protection locked="0" hidden="0"/>
    </dxf>
    <dxf>
      <fill>
        <patternFill patternType="solid">
          <fgColor indexed="64"/>
          <bgColor rgb="FF50B47F"/>
        </patternFill>
      </fill>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8FCFAD"/>
        </patternFill>
      </fill>
      <alignment horizontal="left" vertical="bottom" textRotation="0" wrapText="0" indent="0" justifyLastLine="0" shrinkToFit="0" readingOrder="0"/>
    </dxf>
    <dxf>
      <font>
        <b/>
        <sz val="11"/>
        <color theme="1"/>
      </font>
      <fill>
        <patternFill>
          <bgColor rgb="FF8FCFAD"/>
        </patternFill>
      </fill>
    </dxf>
    <dxf>
      <fill>
        <patternFill patternType="solid">
          <fgColor theme="0"/>
          <bgColor theme="0" tint="-4.9989318521683403E-2"/>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fill>
        <patternFill>
          <bgColor rgb="FF50B47F"/>
        </patternFill>
      </fill>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ill>
        <patternFill>
          <bgColor rgb="FF8FCFAD"/>
        </patternFill>
      </fill>
    </dxf>
    <dxf>
      <fill>
        <patternFill>
          <bgColor rgb="FF8FCFAD"/>
        </patternFill>
      </fill>
    </dxf>
    <dxf>
      <fill>
        <patternFill>
          <bgColor rgb="FF8FCFAD"/>
        </patternFill>
      </fill>
    </dxf>
    <dxf>
      <fill>
        <patternFill>
          <bgColor rgb="FF8FCFAD"/>
        </patternFill>
      </fill>
    </dxf>
    <dxf>
      <fill>
        <patternFill>
          <bgColor theme="0" tint="-0.14996795556505021"/>
        </patternFill>
      </fill>
    </dxf>
    <dxf>
      <fill>
        <patternFill>
          <bgColor theme="0" tint="-4.9989318521683403E-2"/>
        </patternFill>
      </fill>
    </dxf>
  </dxfs>
  <tableStyles count="9" defaultTableStyle="TableStyleMedium2" defaultPivotStyle="PivotStyleLight16">
    <tableStyle name="Slicer Style 1" pivot="0" table="0" count="8" xr9:uid="{7B2114DF-2F21-4834-9FB7-80A32690279A}">
      <tableStyleElement type="wholeTable" dxfId="78"/>
      <tableStyleElement type="headerRow" dxfId="77"/>
    </tableStyle>
    <tableStyle name="Table Style 1" pivot="0" count="1" xr9:uid="{BB7F0C67-185F-4631-93AA-BD2E768D7A13}">
      <tableStyleElement type="wholeTable" dxfId="76"/>
    </tableStyle>
    <tableStyle name="Table Style 2" pivot="0" count="1" xr9:uid="{3D276D6F-F8EC-4105-AF4E-EF90E0497490}">
      <tableStyleElement type="secondColumnStripe" dxfId="75"/>
    </tableStyle>
    <tableStyle name="Table Style 3" pivot="0" count="1" xr9:uid="{58126073-47CA-432E-9930-0966B1055812}">
      <tableStyleElement type="firstColumnStripe" dxfId="74"/>
    </tableStyle>
    <tableStyle name="Table Style 4" pivot="0" count="1" xr9:uid="{5E1F8E05-1701-4D75-BC47-9223CD34FC6B}">
      <tableStyleElement type="firstRowStripe" dxfId="73"/>
    </tableStyle>
    <tableStyle name="Timeline Style 1" pivot="0" table="0" count="8" xr9:uid="{C2E335C9-31F7-40A6-909D-A0A242EC80DD}">
      <tableStyleElement type="wholeTable" dxfId="72"/>
      <tableStyleElement type="headerRow" dxfId="71"/>
    </tableStyle>
    <tableStyle name="Timeline Style 2" pivot="0" table="0" count="8" xr9:uid="{BD7D3DEA-9F17-4B02-A38B-A505F988F17B}">
      <tableStyleElement type="wholeTable" dxfId="70"/>
      <tableStyleElement type="headerRow" dxfId="69"/>
    </tableStyle>
    <tableStyle name="Timeline Style 3" pivot="0" table="0" count="9" xr9:uid="{03AB8773-F939-4292-A158-497A8B257D1F}">
      <tableStyleElement type="wholeTable" dxfId="68"/>
      <tableStyleElement type="headerRow" dxfId="67"/>
    </tableStyle>
    <tableStyle name="Timeline Style 4" pivot="0" table="0" count="8" xr9:uid="{F5CB4BB9-9B9C-4013-9938-FDB853025423}">
      <tableStyleElement type="wholeTable" dxfId="66"/>
      <tableStyleElement type="headerRow" dxfId="65"/>
    </tableStyle>
  </tableStyles>
  <colors>
    <mruColors>
      <color rgb="FF50B47F"/>
      <color rgb="FF8FCFAD"/>
      <color rgb="FFD9D9D9"/>
    </mruColors>
  </colors>
  <extLst>
    <ext xmlns:x14="http://schemas.microsoft.com/office/spreadsheetml/2009/9/main" uri="{46F421CA-312F-682f-3DD2-61675219B42D}">
      <x14:dxfs count="6">
        <dxf>
          <fill>
            <patternFill>
              <bgColor theme="0" tint="-4.9989318521683403E-2"/>
            </patternFill>
          </fill>
        </dxf>
        <dxf>
          <font>
            <color theme="0"/>
          </font>
          <fill>
            <patternFill>
              <bgColor rgb="FF50B47F"/>
            </patternFill>
          </fill>
        </dxf>
        <dxf>
          <fill>
            <patternFill>
              <bgColor theme="0" tint="-0.14996795556505021"/>
            </patternFill>
          </fill>
        </dxf>
        <dxf>
          <font>
            <color auto="1"/>
          </font>
          <fill>
            <patternFill>
              <bgColor rgb="FF8FCFAD"/>
            </patternFill>
          </fill>
        </dxf>
        <dxf>
          <font>
            <color theme="0" tint="-0.499984740745262"/>
          </font>
          <fill>
            <patternFill>
              <bgColor theme="0" tint="-0.1499679555650502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UnselectedItemWithNoData" dxfId="0"/>
          </x14:slicerStyleElements>
        </x14:slicerStyle>
      </x14:slicerStyles>
    </ext>
    <ext xmlns:x15="http://schemas.microsoft.com/office/spreadsheetml/2010/11/main" uri="{A0A4C193-F2C1-4fcb-8827-314CF55A85BB}">
      <x15:dxfs count="25">
        <dxf>
          <fill>
            <patternFill patternType="solid">
              <fgColor theme="0" tint="-0.14993743705557422"/>
              <bgColor theme="0" tint="-0.14996795556505021"/>
            </patternFill>
          </fill>
        </dxf>
        <dxf>
          <fill>
            <patternFill patternType="solid">
              <fgColor theme="0"/>
              <bgColor rgb="FF50B47F"/>
            </patternFill>
          </fill>
        </dxf>
        <dxf>
          <font>
            <sz val="9"/>
            <color theme="1" tint="0.499984740745262"/>
          </font>
        </dxf>
        <dxf>
          <font>
            <sz val="9"/>
            <color theme="1" tint="0.499984740745262"/>
          </font>
        </dxf>
        <dxf>
          <font>
            <sz val="9"/>
            <color auto="1"/>
            <name val="Calibri"/>
            <family val="2"/>
            <scheme val="minor"/>
          </font>
        </dxf>
        <dxf>
          <font>
            <sz val="10"/>
            <color auto="1"/>
            <name val="Calibri"/>
            <family val="2"/>
            <scheme val="minor"/>
          </font>
        </dxf>
        <dxf>
          <fill>
            <patternFill>
              <bgColor rgb="FF8FCFAD"/>
            </patternFill>
          </fill>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rgb="FF50B47F"/>
            <name val="Calibri"/>
            <family val="2"/>
            <scheme val="minor"/>
          </font>
        </dxf>
        <dxf>
          <font>
            <sz val="10"/>
            <color rgb="FF50B47F"/>
            <name val="Calibri"/>
            <family val="2"/>
            <scheme val="minor"/>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24"/>
            <x15:timelineStyleElement type="timeLevel" dxfId="23"/>
            <x15:timelineStyleElement type="periodLabel1" dxfId="22"/>
            <x15:timelineStyleElement type="periodLabel2" dxfId="21"/>
            <x15:timelineStyleElement type="selectedTimeBlock" dxfId="20"/>
            <x15:timelineStyleElement type="unselectedTimeBlock" dxfId="19"/>
          </x15:timelineStyleElements>
        </x15:timelineStyle>
        <x15:timelineStyle name="Timeline Style 2">
          <x15:timelineStyleElements>
            <x15:timelineStyleElement type="selectionLabel" dxfId="18"/>
            <x15:timelineStyleElement type="timeLevel" dxfId="17"/>
            <x15:timelineStyleElement type="periodLabel1" dxfId="16"/>
            <x15:timelineStyleElement type="periodLabel2" dxfId="15"/>
            <x15:timelineStyleElement type="selectedTimeBlock" dxfId="14"/>
            <x15:timelineStyleElement type="unselectedTimeBlock" dxfId="13"/>
          </x15:timelineStyleElements>
        </x15:timelineStyle>
        <x15:timelineStyle name="Timeline Style 3">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 type="selectedTimeBlockSpace" dxfId="6"/>
          </x15:timelineStyleElements>
        </x15:timelineStyle>
        <x15:timelineStyle name="Timeline Style 4">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Appraisal.xlsm]Calculations!Skill level</c:name>
    <c:fmtId val="1"/>
  </c:pivotSource>
  <c:chart>
    <c:title>
      <c:tx>
        <c:rich>
          <a:bodyPr rot="0" spcFirstLastPara="1" vertOverflow="ellipsis" vert="horz" wrap="square" anchor="ctr" anchorCtr="1"/>
          <a:lstStyle/>
          <a:p>
            <a:pPr>
              <a:defRPr sz="1000" b="1" i="0" u="none" strike="noStrike" kern="1200" cap="all" spc="150" baseline="0">
                <a:solidFill>
                  <a:srgbClr val="50B47F"/>
                </a:solidFill>
                <a:latin typeface="+mn-lt"/>
                <a:ea typeface="+mn-ea"/>
                <a:cs typeface="+mn-cs"/>
              </a:defRPr>
            </a:pPr>
            <a:r>
              <a:rPr lang="en-US" sz="1000">
                <a:solidFill>
                  <a:srgbClr val="50B47F"/>
                </a:solidFill>
                <a:latin typeface="Arial" panose="020B0604020202020204" pitchFamily="34" charset="0"/>
                <a:cs typeface="Arial" panose="020B0604020202020204" pitchFamily="34" charset="0"/>
              </a:rPr>
              <a:t>Skill level</a:t>
            </a:r>
          </a:p>
        </c:rich>
      </c:tx>
      <c:layout>
        <c:manualLayout>
          <c:xMode val="edge"/>
          <c:yMode val="edge"/>
          <c:x val="0.22758903244345938"/>
          <c:y val="4.621238839741329E-2"/>
        </c:manualLayout>
      </c:layout>
      <c:overlay val="0"/>
      <c:spPr>
        <a:noFill/>
        <a:ln>
          <a:noFill/>
        </a:ln>
        <a:effectLst/>
      </c:spPr>
      <c:txPr>
        <a:bodyPr rot="0" spcFirstLastPara="1" vertOverflow="ellipsis" vert="horz" wrap="square" anchor="ctr" anchorCtr="1"/>
        <a:lstStyle/>
        <a:p>
          <a:pPr>
            <a:defRPr sz="1000" b="1" i="0" u="none" strike="noStrike" kern="1200" cap="all" spc="150" baseline="0">
              <a:solidFill>
                <a:srgbClr val="50B47F"/>
              </a:solidFill>
              <a:latin typeface="+mn-lt"/>
              <a:ea typeface="+mn-ea"/>
              <a:cs typeface="+mn-cs"/>
            </a:defRPr>
          </a:pPr>
          <a:endParaRPr lang="en-US"/>
        </a:p>
      </c:txPr>
    </c:title>
    <c:autoTitleDeleted val="0"/>
    <c:pivotFmts>
      <c:pivotFmt>
        <c:idx val="0"/>
        <c:spPr>
          <a:solidFill>
            <a:schemeClr val="accent1">
              <a:alpha val="50196"/>
            </a:schemeClr>
          </a:solidFill>
          <a:ln w="25400" cap="rnd" cmpd="sng" algn="ctr">
            <a:solidFill>
              <a:schemeClr val="accent1"/>
            </a:solidFill>
            <a:prstDash val="sysDot"/>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5400" cap="rnd" cmpd="sng" algn="ctr">
            <a:solidFill>
              <a:srgbClr val="50B47F"/>
            </a:solidFill>
            <a:prstDash val="sysDot"/>
            <a:round/>
          </a:ln>
          <a:effectLst/>
        </c:spPr>
        <c:marker>
          <c:symbol val="circle"/>
          <c:size val="6"/>
          <c:spPr>
            <a:solidFill>
              <a:srgbClr val="50B47F"/>
            </a:solidFill>
            <a:ln>
              <a:solidFill>
                <a:srgbClr val="50B47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662072931152105"/>
          <c:y val="0.22632579623397109"/>
          <c:w val="0.55239008401783352"/>
          <c:h val="0.64965638349061372"/>
        </c:manualLayout>
      </c:layout>
      <c:radarChart>
        <c:radarStyle val="marker"/>
        <c:varyColors val="0"/>
        <c:ser>
          <c:idx val="0"/>
          <c:order val="0"/>
          <c:tx>
            <c:strRef>
              <c:f>Calculations!$N$3</c:f>
              <c:strCache>
                <c:ptCount val="1"/>
                <c:pt idx="0">
                  <c:v>Total</c:v>
                </c:pt>
              </c:strCache>
            </c:strRef>
          </c:tx>
          <c:spPr>
            <a:ln w="25400" cap="rnd" cmpd="sng" algn="ctr">
              <a:solidFill>
                <a:srgbClr val="50B47F"/>
              </a:solidFill>
              <a:prstDash val="sysDot"/>
              <a:round/>
            </a:ln>
            <a:effectLst/>
          </c:spPr>
          <c:marker>
            <c:symbol val="circle"/>
            <c:size val="6"/>
            <c:spPr>
              <a:solidFill>
                <a:srgbClr val="50B47F"/>
              </a:solidFill>
              <a:ln>
                <a:solidFill>
                  <a:srgbClr val="50B47F"/>
                </a:solidFill>
              </a:ln>
              <a:effectLst/>
            </c:spPr>
          </c:marker>
          <c:cat>
            <c:strRef>
              <c:f>Calculations!$M$4:$M$8</c:f>
              <c:strCache>
                <c:ptCount val="5"/>
                <c:pt idx="0">
                  <c:v> 1 </c:v>
                </c:pt>
                <c:pt idx="1">
                  <c:v> 2 </c:v>
                </c:pt>
                <c:pt idx="2">
                  <c:v> 3 </c:v>
                </c:pt>
                <c:pt idx="3">
                  <c:v> 4 </c:v>
                </c:pt>
                <c:pt idx="4">
                  <c:v> 5 </c:v>
                </c:pt>
              </c:strCache>
            </c:strRef>
          </c:cat>
          <c:val>
            <c:numRef>
              <c:f>Calculations!$N$4:$N$8</c:f>
              <c:numCache>
                <c:formatCode>0%</c:formatCode>
                <c:ptCount val="5"/>
                <c:pt idx="0">
                  <c:v>7.3394495412844041E-2</c:v>
                </c:pt>
                <c:pt idx="1">
                  <c:v>0.14984709480122324</c:v>
                </c:pt>
                <c:pt idx="2">
                  <c:v>0.16055045871559634</c:v>
                </c:pt>
                <c:pt idx="3">
                  <c:v>0.28746177370030579</c:v>
                </c:pt>
                <c:pt idx="4">
                  <c:v>0.32874617737003059</c:v>
                </c:pt>
              </c:numCache>
            </c:numRef>
          </c:val>
          <c:extLst>
            <c:ext xmlns:c16="http://schemas.microsoft.com/office/drawing/2014/chart" uri="{C3380CC4-5D6E-409C-BE32-E72D297353CC}">
              <c16:uniqueId val="{00000000-826D-46F8-9534-0A6EA2AA59EE}"/>
            </c:ext>
          </c:extLst>
        </c:ser>
        <c:dLbls>
          <c:showLegendKey val="0"/>
          <c:showVal val="0"/>
          <c:showCatName val="0"/>
          <c:showSerName val="0"/>
          <c:showPercent val="0"/>
          <c:showBubbleSize val="0"/>
        </c:dLbls>
        <c:axId val="1116706208"/>
        <c:axId val="1052977776"/>
      </c:radarChart>
      <c:catAx>
        <c:axId val="1116706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7776"/>
        <c:crosses val="autoZero"/>
        <c:auto val="1"/>
        <c:lblAlgn val="ctr"/>
        <c:lblOffset val="100"/>
        <c:noMultiLvlLbl val="0"/>
      </c:catAx>
      <c:valAx>
        <c:axId val="10529777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706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Appraisal.xlsm]Calculations!Age</c:name>
    <c:fmtId val="1"/>
  </c:pivotSource>
  <c:chart>
    <c:title>
      <c:tx>
        <c:rich>
          <a:bodyPr rot="0" spcFirstLastPara="1" vertOverflow="ellipsis" vert="horz" wrap="square" anchor="ctr" anchorCtr="1"/>
          <a:lstStyle/>
          <a:p>
            <a:pPr>
              <a:defRPr sz="10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sz="1000" b="1">
                <a:solidFill>
                  <a:srgbClr val="50B47F"/>
                </a:solidFill>
                <a:latin typeface="Arial" panose="020B0604020202020204" pitchFamily="34" charset="0"/>
                <a:cs typeface="Arial" panose="020B0604020202020204" pitchFamily="34" charset="0"/>
              </a:rPr>
              <a:t>AGE ANALYSIS</a:t>
            </a:r>
          </a:p>
        </c:rich>
      </c:tx>
      <c:layout>
        <c:manualLayout>
          <c:xMode val="edge"/>
          <c:yMode val="edge"/>
          <c:x val="0.23130976461809982"/>
          <c:y val="4.5897885516940296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648613813791117E-3"/>
          <c:y val="0.43256953915682356"/>
          <c:w val="0.97334055447448342"/>
          <c:h val="0.35561327968009365"/>
        </c:manualLayout>
      </c:layout>
      <c:barChart>
        <c:barDir val="col"/>
        <c:grouping val="clustered"/>
        <c:varyColors val="0"/>
        <c:ser>
          <c:idx val="0"/>
          <c:order val="0"/>
          <c:tx>
            <c:strRef>
              <c:f>Calculations!$Q$3:$Q$4</c:f>
              <c:strCache>
                <c:ptCount val="1"/>
                <c:pt idx="0">
                  <c:v>F</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Calculations!$P$5:$P$8</c:f>
              <c:strCache>
                <c:ptCount val="4"/>
                <c:pt idx="0">
                  <c:v>25-29</c:v>
                </c:pt>
                <c:pt idx="1">
                  <c:v>30-34</c:v>
                </c:pt>
                <c:pt idx="2">
                  <c:v>35-39</c:v>
                </c:pt>
                <c:pt idx="3">
                  <c:v>40-44</c:v>
                </c:pt>
              </c:strCache>
            </c:strRef>
          </c:cat>
          <c:val>
            <c:numRef>
              <c:f>Calculations!$Q$5:$Q$8</c:f>
              <c:numCache>
                <c:formatCode>General</c:formatCode>
                <c:ptCount val="4"/>
                <c:pt idx="0">
                  <c:v>10</c:v>
                </c:pt>
                <c:pt idx="1">
                  <c:v>40</c:v>
                </c:pt>
                <c:pt idx="2">
                  <c:v>44</c:v>
                </c:pt>
                <c:pt idx="3">
                  <c:v>37</c:v>
                </c:pt>
              </c:numCache>
            </c:numRef>
          </c:val>
          <c:extLst>
            <c:ext xmlns:c16="http://schemas.microsoft.com/office/drawing/2014/chart" uri="{C3380CC4-5D6E-409C-BE32-E72D297353CC}">
              <c16:uniqueId val="{00000000-87AD-48A9-8EF7-29BD8E865CFF}"/>
            </c:ext>
          </c:extLst>
        </c:ser>
        <c:ser>
          <c:idx val="1"/>
          <c:order val="1"/>
          <c:tx>
            <c:strRef>
              <c:f>Calculations!$R$3:$R$4</c:f>
              <c:strCache>
                <c:ptCount val="1"/>
                <c:pt idx="0">
                  <c:v>M</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Calculations!$P$5:$P$8</c:f>
              <c:strCache>
                <c:ptCount val="4"/>
                <c:pt idx="0">
                  <c:v>25-29</c:v>
                </c:pt>
                <c:pt idx="1">
                  <c:v>30-34</c:v>
                </c:pt>
                <c:pt idx="2">
                  <c:v>35-39</c:v>
                </c:pt>
                <c:pt idx="3">
                  <c:v>40-44</c:v>
                </c:pt>
              </c:strCache>
            </c:strRef>
          </c:cat>
          <c:val>
            <c:numRef>
              <c:f>Calculations!$R$5:$R$8</c:f>
              <c:numCache>
                <c:formatCode>General</c:formatCode>
                <c:ptCount val="4"/>
                <c:pt idx="0">
                  <c:v>4</c:v>
                </c:pt>
                <c:pt idx="1">
                  <c:v>20</c:v>
                </c:pt>
                <c:pt idx="2">
                  <c:v>26</c:v>
                </c:pt>
                <c:pt idx="3">
                  <c:v>41</c:v>
                </c:pt>
              </c:numCache>
            </c:numRef>
          </c:val>
          <c:extLst>
            <c:ext xmlns:c16="http://schemas.microsoft.com/office/drawing/2014/chart" uri="{C3380CC4-5D6E-409C-BE32-E72D297353CC}">
              <c16:uniqueId val="{00000001-D56B-422C-B8AB-3ECDDA59B029}"/>
            </c:ext>
          </c:extLst>
        </c:ser>
        <c:dLbls>
          <c:showLegendKey val="0"/>
          <c:showVal val="1"/>
          <c:showCatName val="0"/>
          <c:showSerName val="0"/>
          <c:showPercent val="0"/>
          <c:showBubbleSize val="0"/>
        </c:dLbls>
        <c:gapWidth val="150"/>
        <c:overlap val="-25"/>
        <c:axId val="1125778304"/>
        <c:axId val="1052968208"/>
      </c:barChart>
      <c:catAx>
        <c:axId val="112577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68208"/>
        <c:crosses val="autoZero"/>
        <c:auto val="1"/>
        <c:lblAlgn val="ctr"/>
        <c:lblOffset val="100"/>
        <c:noMultiLvlLbl val="0"/>
      </c:catAx>
      <c:valAx>
        <c:axId val="1052968208"/>
        <c:scaling>
          <c:orientation val="minMax"/>
        </c:scaling>
        <c:delete val="1"/>
        <c:axPos val="l"/>
        <c:numFmt formatCode="General" sourceLinked="1"/>
        <c:majorTickMark val="out"/>
        <c:minorTickMark val="none"/>
        <c:tickLblPos val="nextTo"/>
        <c:crossAx val="1125778304"/>
        <c:crosses val="autoZero"/>
        <c:crossBetween val="between"/>
      </c:valAx>
      <c:spPr>
        <a:noFill/>
        <a:ln>
          <a:noFill/>
        </a:ln>
        <a:effectLst/>
      </c:spPr>
    </c:plotArea>
    <c:legend>
      <c:legendPos val="t"/>
      <c:layout>
        <c:manualLayout>
          <c:xMode val="edge"/>
          <c:yMode val="edge"/>
          <c:x val="0.38028649457679703"/>
          <c:y val="0.15978782190326168"/>
          <c:w val="0.25729194712617154"/>
          <c:h val="0.156856287162191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Appraisal.xlsm]Calculations!KPI</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Calculations!$AM$3</c:f>
              <c:strCache>
                <c:ptCount val="1"/>
                <c:pt idx="0">
                  <c:v>Total</c:v>
                </c:pt>
              </c:strCache>
            </c:strRef>
          </c:tx>
          <c:spPr>
            <a:solidFill>
              <a:schemeClr val="accent1"/>
            </a:solidFill>
            <a:ln>
              <a:noFill/>
            </a:ln>
            <a:effectLst/>
          </c:spPr>
          <c:invertIfNegative val="0"/>
          <c:cat>
            <c:strRef>
              <c:f>Calculations!$AL$4:$AL$11</c:f>
              <c:strCache>
                <c:ptCount val="8"/>
                <c:pt idx="0">
                  <c:v>Finance</c:v>
                </c:pt>
                <c:pt idx="1">
                  <c:v>HR</c:v>
                </c:pt>
                <c:pt idx="2">
                  <c:v>Material</c:v>
                </c:pt>
                <c:pt idx="3">
                  <c:v>Planning</c:v>
                </c:pt>
                <c:pt idx="4">
                  <c:v>Procurement</c:v>
                </c:pt>
                <c:pt idx="5">
                  <c:v>Production</c:v>
                </c:pt>
                <c:pt idx="6">
                  <c:v>Quality</c:v>
                </c:pt>
                <c:pt idx="7">
                  <c:v>Sales</c:v>
                </c:pt>
              </c:strCache>
            </c:strRef>
          </c:cat>
          <c:val>
            <c:numRef>
              <c:f>Calculations!$AM$4:$AM$11</c:f>
              <c:numCache>
                <c:formatCode>0%</c:formatCode>
                <c:ptCount val="8"/>
                <c:pt idx="0">
                  <c:v>0.49782602459782255</c:v>
                </c:pt>
                <c:pt idx="1">
                  <c:v>0.5419217990974512</c:v>
                </c:pt>
                <c:pt idx="2">
                  <c:v>0.57745583036834902</c:v>
                </c:pt>
                <c:pt idx="3">
                  <c:v>0.47205243419725368</c:v>
                </c:pt>
                <c:pt idx="4">
                  <c:v>0.54310027703837005</c:v>
                </c:pt>
                <c:pt idx="5">
                  <c:v>0.53935930457015568</c:v>
                </c:pt>
                <c:pt idx="6">
                  <c:v>0.43073234052597736</c:v>
                </c:pt>
                <c:pt idx="7">
                  <c:v>0.50116849095246774</c:v>
                </c:pt>
              </c:numCache>
            </c:numRef>
          </c:val>
          <c:extLst>
            <c:ext xmlns:c16="http://schemas.microsoft.com/office/drawing/2014/chart" uri="{C3380CC4-5D6E-409C-BE32-E72D297353CC}">
              <c16:uniqueId val="{00000000-FB16-49D9-AEFB-24D190378515}"/>
            </c:ext>
          </c:extLst>
        </c:ser>
        <c:dLbls>
          <c:showLegendKey val="0"/>
          <c:showVal val="0"/>
          <c:showCatName val="0"/>
          <c:showSerName val="0"/>
          <c:showPercent val="0"/>
          <c:showBubbleSize val="0"/>
        </c:dLbls>
        <c:gapWidth val="219"/>
        <c:overlap val="-27"/>
        <c:axId val="960334736"/>
        <c:axId val="859197696"/>
      </c:barChart>
      <c:catAx>
        <c:axId val="96033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197696"/>
        <c:crosses val="autoZero"/>
        <c:auto val="1"/>
        <c:lblAlgn val="ctr"/>
        <c:lblOffset val="100"/>
        <c:noMultiLvlLbl val="0"/>
      </c:catAx>
      <c:valAx>
        <c:axId val="859197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334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Appraisal.xlsm]Calculations!KPI</c:name>
    <c:fmtId val="5"/>
  </c:pivotSource>
  <c:chart>
    <c:title>
      <c:tx>
        <c:rich>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KPI achieve</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FCFAD"/>
          </a:solidFill>
          <a:ln>
            <a:solidFill>
              <a:srgbClr val="50B47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92709159401645"/>
          <c:y val="0.10560438694496588"/>
          <c:w val="0.78088177434435191"/>
          <c:h val="0.84587966444293627"/>
        </c:manualLayout>
      </c:layout>
      <c:barChart>
        <c:barDir val="bar"/>
        <c:grouping val="clustered"/>
        <c:varyColors val="0"/>
        <c:ser>
          <c:idx val="0"/>
          <c:order val="0"/>
          <c:tx>
            <c:strRef>
              <c:f>Calculations!$AM$3</c:f>
              <c:strCache>
                <c:ptCount val="1"/>
                <c:pt idx="0">
                  <c:v>Total</c:v>
                </c:pt>
              </c:strCache>
            </c:strRef>
          </c:tx>
          <c:spPr>
            <a:solidFill>
              <a:srgbClr val="8FCFAD"/>
            </a:solidFill>
            <a:ln>
              <a:solidFill>
                <a:srgbClr val="50B47F"/>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Calculations!$AL$4:$AL$11</c:f>
              <c:strCache>
                <c:ptCount val="8"/>
                <c:pt idx="0">
                  <c:v>Finance</c:v>
                </c:pt>
                <c:pt idx="1">
                  <c:v>HR</c:v>
                </c:pt>
                <c:pt idx="2">
                  <c:v>Material</c:v>
                </c:pt>
                <c:pt idx="3">
                  <c:v>Planning</c:v>
                </c:pt>
                <c:pt idx="4">
                  <c:v>Procurement</c:v>
                </c:pt>
                <c:pt idx="5">
                  <c:v>Production</c:v>
                </c:pt>
                <c:pt idx="6">
                  <c:v>Quality</c:v>
                </c:pt>
                <c:pt idx="7">
                  <c:v>Sales</c:v>
                </c:pt>
              </c:strCache>
            </c:strRef>
          </c:cat>
          <c:val>
            <c:numRef>
              <c:f>Calculations!$AM$4:$AM$11</c:f>
              <c:numCache>
                <c:formatCode>0%</c:formatCode>
                <c:ptCount val="8"/>
                <c:pt idx="0">
                  <c:v>0.49782602459782255</c:v>
                </c:pt>
                <c:pt idx="1">
                  <c:v>0.5419217990974512</c:v>
                </c:pt>
                <c:pt idx="2">
                  <c:v>0.57745583036834902</c:v>
                </c:pt>
                <c:pt idx="3">
                  <c:v>0.47205243419725368</c:v>
                </c:pt>
                <c:pt idx="4">
                  <c:v>0.54310027703837005</c:v>
                </c:pt>
                <c:pt idx="5">
                  <c:v>0.53935930457015568</c:v>
                </c:pt>
                <c:pt idx="6">
                  <c:v>0.43073234052597736</c:v>
                </c:pt>
                <c:pt idx="7">
                  <c:v>0.50116849095246774</c:v>
                </c:pt>
              </c:numCache>
            </c:numRef>
          </c:val>
          <c:extLst>
            <c:ext xmlns:c16="http://schemas.microsoft.com/office/drawing/2014/chart" uri="{C3380CC4-5D6E-409C-BE32-E72D297353CC}">
              <c16:uniqueId val="{00000000-A091-4B6B-8333-9BEC0AE7055A}"/>
            </c:ext>
          </c:extLst>
        </c:ser>
        <c:dLbls>
          <c:showLegendKey val="0"/>
          <c:showVal val="1"/>
          <c:showCatName val="0"/>
          <c:showSerName val="0"/>
          <c:showPercent val="0"/>
          <c:showBubbleSize val="0"/>
        </c:dLbls>
        <c:gapWidth val="150"/>
        <c:overlap val="-25"/>
        <c:axId val="1020346688"/>
        <c:axId val="1017214896"/>
      </c:barChart>
      <c:catAx>
        <c:axId val="102034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214896"/>
        <c:crosses val="autoZero"/>
        <c:auto val="1"/>
        <c:lblAlgn val="ctr"/>
        <c:lblOffset val="100"/>
        <c:noMultiLvlLbl val="0"/>
      </c:catAx>
      <c:valAx>
        <c:axId val="1017214896"/>
        <c:scaling>
          <c:orientation val="minMax"/>
        </c:scaling>
        <c:delete val="1"/>
        <c:axPos val="b"/>
        <c:numFmt formatCode="0%" sourceLinked="1"/>
        <c:majorTickMark val="none"/>
        <c:minorTickMark val="none"/>
        <c:tickLblPos val="nextTo"/>
        <c:crossAx val="1020346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Appraisal.xlsm]Calculations!abscence</c:name>
    <c:fmtId val="1"/>
  </c:pivotSource>
  <c:chart>
    <c:title>
      <c:tx>
        <c:rich>
          <a:bodyPr rot="0" spcFirstLastPara="1" vertOverflow="ellipsis" vert="horz" wrap="square" anchor="ctr" anchorCtr="1"/>
          <a:lstStyle/>
          <a:p>
            <a:pPr>
              <a:defRPr sz="1400" b="1" i="0" u="none" strike="noStrike" kern="1200" cap="none" spc="2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Abscence rate%</a:t>
            </a:r>
          </a:p>
        </c:rich>
      </c:tx>
      <c:layout>
        <c:manualLayout>
          <c:xMode val="edge"/>
          <c:yMode val="edge"/>
          <c:x val="0.30640058383618002"/>
          <c:y val="4.0045069096137594E-2"/>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rgbClr val="50B47F"/>
            </a:solidFill>
            <a:round/>
          </a:ln>
          <a:effectLst/>
        </c:spPr>
        <c:marker>
          <c:symbol val="circle"/>
          <c:size val="4"/>
          <c:spPr>
            <a:solidFill>
              <a:srgbClr val="8FCFAD"/>
            </a:solidFill>
            <a:ln w="9525" cap="flat" cmpd="sng" algn="ctr">
              <a:solidFill>
                <a:srgbClr val="50B47F"/>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909248473415319E-2"/>
          <c:y val="0.16062522159672968"/>
          <c:w val="0.9581815030531694"/>
          <c:h val="0.74950355325538731"/>
        </c:manualLayout>
      </c:layout>
      <c:lineChart>
        <c:grouping val="standard"/>
        <c:varyColors val="0"/>
        <c:ser>
          <c:idx val="0"/>
          <c:order val="0"/>
          <c:tx>
            <c:strRef>
              <c:f>Calculations!$AP$3</c:f>
              <c:strCache>
                <c:ptCount val="1"/>
                <c:pt idx="0">
                  <c:v>Total</c:v>
                </c:pt>
              </c:strCache>
            </c:strRef>
          </c:tx>
          <c:spPr>
            <a:ln w="22225" cap="rnd" cmpd="sng" algn="ctr">
              <a:solidFill>
                <a:srgbClr val="50B47F"/>
              </a:solidFill>
              <a:round/>
            </a:ln>
            <a:effectLst/>
          </c:spPr>
          <c:marker>
            <c:symbol val="circle"/>
            <c:size val="4"/>
            <c:spPr>
              <a:solidFill>
                <a:srgbClr val="8FCFAD"/>
              </a:solidFill>
              <a:ln w="9525" cap="flat" cmpd="sng" algn="ctr">
                <a:solidFill>
                  <a:srgbClr val="50B47F"/>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Calculations!$AO$4:$AO$15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Calculations!$AP$4:$AP$15</c:f>
              <c:numCache>
                <c:formatCode>0%</c:formatCode>
                <c:ptCount val="12"/>
                <c:pt idx="0">
                  <c:v>0.13571428571428573</c:v>
                </c:pt>
                <c:pt idx="1">
                  <c:v>0.22807017543859648</c:v>
                </c:pt>
                <c:pt idx="2">
                  <c:v>0.17391304347826086</c:v>
                </c:pt>
                <c:pt idx="3">
                  <c:v>0.23333333333333331</c:v>
                </c:pt>
                <c:pt idx="4">
                  <c:v>0.1973244147157191</c:v>
                </c:pt>
                <c:pt idx="5">
                  <c:v>7.9411764705882362E-2</c:v>
                </c:pt>
                <c:pt idx="6">
                  <c:v>0.15217391304347816</c:v>
                </c:pt>
                <c:pt idx="7">
                  <c:v>7.3913043478260873E-2</c:v>
                </c:pt>
                <c:pt idx="8">
                  <c:v>0.22135416666666666</c:v>
                </c:pt>
                <c:pt idx="9">
                  <c:v>0.16969696969696965</c:v>
                </c:pt>
                <c:pt idx="10">
                  <c:v>0.19130434782608699</c:v>
                </c:pt>
                <c:pt idx="11">
                  <c:v>0.22303921568627449</c:v>
                </c:pt>
              </c:numCache>
            </c:numRef>
          </c:val>
          <c:smooth val="0"/>
          <c:extLst>
            <c:ext xmlns:c16="http://schemas.microsoft.com/office/drawing/2014/chart" uri="{C3380CC4-5D6E-409C-BE32-E72D297353CC}">
              <c16:uniqueId val="{00000000-FFEE-4BBB-A27E-F5E17D90352F}"/>
            </c:ext>
          </c:extLst>
        </c:ser>
        <c:dLbls>
          <c:showLegendKey val="0"/>
          <c:showVal val="1"/>
          <c:showCatName val="0"/>
          <c:showSerName val="0"/>
          <c:showPercent val="0"/>
          <c:showBubbleSize val="0"/>
        </c:dLbls>
        <c:marker val="1"/>
        <c:smooth val="0"/>
        <c:axId val="1075631248"/>
        <c:axId val="1017208656"/>
      </c:lineChart>
      <c:catAx>
        <c:axId val="107563124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017208656"/>
        <c:crosses val="autoZero"/>
        <c:auto val="1"/>
        <c:lblAlgn val="ctr"/>
        <c:lblOffset val="100"/>
        <c:noMultiLvlLbl val="0"/>
      </c:catAx>
      <c:valAx>
        <c:axId val="1017208656"/>
        <c:scaling>
          <c:orientation val="minMax"/>
        </c:scaling>
        <c:delete val="1"/>
        <c:axPos val="l"/>
        <c:numFmt formatCode="0%" sourceLinked="1"/>
        <c:majorTickMark val="none"/>
        <c:minorTickMark val="none"/>
        <c:tickLblPos val="nextTo"/>
        <c:crossAx val="107563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Appraisal.xlsm]Calculations!KPI achieve</c:name>
    <c:fmtId val="1"/>
  </c:pivotSource>
  <c:chart>
    <c:title>
      <c:tx>
        <c:rich>
          <a:bodyPr rot="0" spcFirstLastPara="1" vertOverflow="ellipsis" vert="horz" wrap="square" anchor="ctr" anchorCtr="1"/>
          <a:lstStyle/>
          <a:p>
            <a:pPr>
              <a:defRPr sz="1400" b="1" i="0" u="none" strike="noStrike" kern="1200" cap="none" spc="2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Performance Progress</a:t>
            </a:r>
          </a:p>
        </c:rich>
      </c:tx>
      <c:layout>
        <c:manualLayout>
          <c:xMode val="edge"/>
          <c:yMode val="edge"/>
          <c:x val="0.4033166616935851"/>
          <c:y val="1.8950793619026778E-2"/>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rgbClr val="8FCFAD"/>
            </a:solidFill>
            <a:round/>
          </a:ln>
          <a:effectLst/>
        </c:spPr>
        <c:marker>
          <c:symbol val="circle"/>
          <c:size val="4"/>
          <c:spPr>
            <a:solidFill>
              <a:srgbClr val="50B47F"/>
            </a:solidFill>
            <a:ln w="9525" cap="flat" cmpd="sng" algn="ctr">
              <a:solidFill>
                <a:srgbClr val="8FCFAD"/>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ln w="22225" cap="rnd" cmpd="sng" algn="ctr">
            <a:solidFill>
              <a:srgbClr val="50B47F"/>
            </a:solidFill>
            <a:round/>
          </a:ln>
          <a:effectLst/>
        </c:spPr>
        <c:marker>
          <c:symbol val="circle"/>
          <c:size val="4"/>
          <c:spPr>
            <a:solidFill>
              <a:srgbClr val="50B47F"/>
            </a:solidFill>
            <a:ln w="9525" cap="flat" cmpd="sng" algn="ctr">
              <a:solidFill>
                <a:srgbClr val="50B47F"/>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252892709665698E-2"/>
          <c:y val="5.4180151913854724E-2"/>
          <c:w val="0.90944696944169701"/>
          <c:h val="0.7602475920471139"/>
        </c:manualLayout>
      </c:layout>
      <c:lineChart>
        <c:grouping val="standard"/>
        <c:varyColors val="0"/>
        <c:ser>
          <c:idx val="0"/>
          <c:order val="0"/>
          <c:tx>
            <c:strRef>
              <c:f>Calculations!$AS$3</c:f>
              <c:strCache>
                <c:ptCount val="1"/>
                <c:pt idx="0">
                  <c:v>Total</c:v>
                </c:pt>
              </c:strCache>
            </c:strRef>
          </c:tx>
          <c:spPr>
            <a:ln w="22225" cap="rnd" cmpd="sng" algn="ctr">
              <a:solidFill>
                <a:srgbClr val="50B47F"/>
              </a:solidFill>
              <a:round/>
            </a:ln>
            <a:effectLst/>
          </c:spPr>
          <c:marker>
            <c:symbol val="circle"/>
            <c:size val="4"/>
            <c:spPr>
              <a:solidFill>
                <a:srgbClr val="50B47F"/>
              </a:solidFill>
              <a:ln w="9525" cap="flat" cmpd="sng" algn="ctr">
                <a:solidFill>
                  <a:srgbClr val="50B47F"/>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Calculations!$AR$4:$AR$26</c:f>
              <c:multiLvlStrCache>
                <c:ptCount val="18"/>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Qtr3</c:v>
                  </c:pt>
                </c:lvl>
                <c:lvl>
                  <c:pt idx="0">
                    <c:v>2016</c:v>
                  </c:pt>
                  <c:pt idx="4">
                    <c:v>2017</c:v>
                  </c:pt>
                  <c:pt idx="8">
                    <c:v>2018</c:v>
                  </c:pt>
                  <c:pt idx="12">
                    <c:v>2019</c:v>
                  </c:pt>
                  <c:pt idx="16">
                    <c:v>2020</c:v>
                  </c:pt>
                </c:lvl>
              </c:multiLvlStrCache>
            </c:multiLvlStrRef>
          </c:cat>
          <c:val>
            <c:numRef>
              <c:f>Calculations!$AS$4:$AS$26</c:f>
              <c:numCache>
                <c:formatCode>0%</c:formatCode>
                <c:ptCount val="18"/>
                <c:pt idx="0">
                  <c:v>0.69645719273393403</c:v>
                </c:pt>
                <c:pt idx="1">
                  <c:v>0.72437880925510534</c:v>
                </c:pt>
                <c:pt idx="2">
                  <c:v>0.74297936895238059</c:v>
                </c:pt>
                <c:pt idx="3">
                  <c:v>0.71536109792627434</c:v>
                </c:pt>
                <c:pt idx="4">
                  <c:v>0.68995295901509435</c:v>
                </c:pt>
                <c:pt idx="5">
                  <c:v>0.64563821395924625</c:v>
                </c:pt>
                <c:pt idx="6">
                  <c:v>0.6862222956222751</c:v>
                </c:pt>
                <c:pt idx="7">
                  <c:v>0.67078005056647727</c:v>
                </c:pt>
                <c:pt idx="8">
                  <c:v>0.64343966667903085</c:v>
                </c:pt>
                <c:pt idx="9">
                  <c:v>0.6306617247943973</c:v>
                </c:pt>
                <c:pt idx="10">
                  <c:v>0.64594027782746655</c:v>
                </c:pt>
                <c:pt idx="11">
                  <c:v>0.65246210630229806</c:v>
                </c:pt>
                <c:pt idx="12">
                  <c:v>0.65339662806357068</c:v>
                </c:pt>
                <c:pt idx="13">
                  <c:v>0.75851195480056</c:v>
                </c:pt>
                <c:pt idx="14">
                  <c:v>0.71285974748871295</c:v>
                </c:pt>
                <c:pt idx="15">
                  <c:v>0.69016332025962002</c:v>
                </c:pt>
                <c:pt idx="16">
                  <c:v>0.60194963510899435</c:v>
                </c:pt>
                <c:pt idx="17">
                  <c:v>0.88262011283328523</c:v>
                </c:pt>
              </c:numCache>
            </c:numRef>
          </c:val>
          <c:smooth val="0"/>
          <c:extLst>
            <c:ext xmlns:c16="http://schemas.microsoft.com/office/drawing/2014/chart" uri="{C3380CC4-5D6E-409C-BE32-E72D297353CC}">
              <c16:uniqueId val="{00000001-B70F-4B51-A7BD-6873B3F029C2}"/>
            </c:ext>
          </c:extLst>
        </c:ser>
        <c:dLbls>
          <c:dLblPos val="ctr"/>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21114416"/>
        <c:axId val="1713132240"/>
      </c:lineChart>
      <c:catAx>
        <c:axId val="162111441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13132240"/>
        <c:crosses val="autoZero"/>
        <c:auto val="1"/>
        <c:lblAlgn val="ctr"/>
        <c:lblOffset val="100"/>
        <c:noMultiLvlLbl val="0"/>
      </c:catAx>
      <c:valAx>
        <c:axId val="1713132240"/>
        <c:scaling>
          <c:orientation val="minMax"/>
          <c:max val="1"/>
          <c:min val="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21114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Appraisal.xlsm]Calculations!increament rate</c:name>
    <c:fmtId val="1"/>
  </c:pivotSource>
  <c:chart>
    <c:title>
      <c:tx>
        <c:rich>
          <a:bodyPr rot="0" spcFirstLastPara="1" vertOverflow="ellipsis" vert="horz" wrap="square" anchor="ctr" anchorCtr="1"/>
          <a:lstStyle/>
          <a:p>
            <a:pPr>
              <a:defRPr sz="1400" b="1" i="0" u="none" strike="noStrike" kern="1200" cap="all" spc="150" baseline="0">
                <a:solidFill>
                  <a:schemeClr val="tx1">
                    <a:lumMod val="50000"/>
                    <a:lumOff val="50000"/>
                  </a:schemeClr>
                </a:solidFill>
                <a:latin typeface="Arial" panose="020B0604020202020204" pitchFamily="34" charset="0"/>
                <a:ea typeface="+mn-ea"/>
                <a:cs typeface="Arial" panose="020B0604020202020204" pitchFamily="34" charset="0"/>
              </a:defRPr>
            </a:pPr>
            <a:r>
              <a:rPr lang="en-US" sz="1400">
                <a:solidFill>
                  <a:srgbClr val="50B47F"/>
                </a:solidFill>
                <a:latin typeface="Arial" panose="020B0604020202020204" pitchFamily="34" charset="0"/>
                <a:cs typeface="Arial" panose="020B0604020202020204" pitchFamily="34" charset="0"/>
              </a:rPr>
              <a:t>Salary increament RATE%</a:t>
            </a:r>
          </a:p>
        </c:rich>
      </c:tx>
      <c:overlay val="0"/>
      <c:spPr>
        <a:noFill/>
        <a:ln>
          <a:noFill/>
        </a:ln>
        <a:effectLst/>
      </c:spPr>
      <c:txPr>
        <a:bodyPr rot="0" spcFirstLastPara="1" vertOverflow="ellipsis" vert="horz" wrap="square" anchor="ctr" anchorCtr="1"/>
        <a:lstStyle/>
        <a:p>
          <a:pPr>
            <a:defRPr sz="1400" b="1" i="0" u="none" strike="noStrike" kern="1200" cap="all" spc="15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rgbClr val="8FCFAD"/>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lumMod val="75000"/>
            </a:schemeClr>
          </a:solidFill>
          <a:ln>
            <a:solidFill>
              <a:schemeClr val="bg1">
                <a:lumMod val="75000"/>
              </a:schemeClr>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89118107530922"/>
          <c:y val="0.29726348742790515"/>
          <c:w val="0.85224466294365964"/>
          <c:h val="0.58865551415358874"/>
        </c:manualLayout>
      </c:layout>
      <c:barChart>
        <c:barDir val="col"/>
        <c:grouping val="stacked"/>
        <c:varyColors val="0"/>
        <c:ser>
          <c:idx val="0"/>
          <c:order val="0"/>
          <c:tx>
            <c:strRef>
              <c:f>Calculations!$AV$3</c:f>
              <c:strCache>
                <c:ptCount val="1"/>
                <c:pt idx="0">
                  <c:v>Average of Salary</c:v>
                </c:pt>
              </c:strCache>
            </c:strRef>
          </c:tx>
          <c:spPr>
            <a:solidFill>
              <a:srgbClr val="8FCFAD"/>
            </a:solidFill>
            <a:ln>
              <a:solidFill>
                <a:srgbClr val="8FCFAD"/>
              </a:solid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Calculations!$AU$4:$AU$9</c:f>
              <c:strCache>
                <c:ptCount val="6"/>
                <c:pt idx="0">
                  <c:v>Junior</c:v>
                </c:pt>
                <c:pt idx="1">
                  <c:v>Manager</c:v>
                </c:pt>
                <c:pt idx="2">
                  <c:v>Senior</c:v>
                </c:pt>
                <c:pt idx="3">
                  <c:v>Staff</c:v>
                </c:pt>
                <c:pt idx="4">
                  <c:v>Technician</c:v>
                </c:pt>
                <c:pt idx="5">
                  <c:v>Workrer</c:v>
                </c:pt>
              </c:strCache>
            </c:strRef>
          </c:cat>
          <c:val>
            <c:numRef>
              <c:f>Calculations!$AV$4:$AV$9</c:f>
              <c:numCache>
                <c:formatCode>0</c:formatCode>
                <c:ptCount val="6"/>
                <c:pt idx="0">
                  <c:v>6825.7352941176468</c:v>
                </c:pt>
                <c:pt idx="1">
                  <c:v>7358.4827586206893</c:v>
                </c:pt>
                <c:pt idx="2">
                  <c:v>7355.75</c:v>
                </c:pt>
                <c:pt idx="3">
                  <c:v>7779.045454545455</c:v>
                </c:pt>
                <c:pt idx="4">
                  <c:v>6911.9230769230771</c:v>
                </c:pt>
                <c:pt idx="5">
                  <c:v>7117.458333333333</c:v>
                </c:pt>
              </c:numCache>
            </c:numRef>
          </c:val>
          <c:extLst>
            <c:ext xmlns:c16="http://schemas.microsoft.com/office/drawing/2014/chart" uri="{C3380CC4-5D6E-409C-BE32-E72D297353CC}">
              <c16:uniqueId val="{00000000-A0BD-423F-B348-85B37DFB4517}"/>
            </c:ext>
          </c:extLst>
        </c:ser>
        <c:ser>
          <c:idx val="1"/>
          <c:order val="1"/>
          <c:tx>
            <c:strRef>
              <c:f>Calculations!$AW$3</c:f>
              <c:strCache>
                <c:ptCount val="1"/>
                <c:pt idx="0">
                  <c:v>Average of Increament</c:v>
                </c:pt>
              </c:strCache>
            </c:strRef>
          </c:tx>
          <c:spPr>
            <a:solidFill>
              <a:schemeClr val="bg1">
                <a:lumMod val="75000"/>
              </a:schemeClr>
            </a:solidFill>
            <a:ln>
              <a:solidFill>
                <a:schemeClr val="bg1">
                  <a:lumMod val="75000"/>
                </a:schemeClr>
              </a:solid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Calculations!$AU$4:$AU$9</c:f>
              <c:strCache>
                <c:ptCount val="6"/>
                <c:pt idx="0">
                  <c:v>Junior</c:v>
                </c:pt>
                <c:pt idx="1">
                  <c:v>Manager</c:v>
                </c:pt>
                <c:pt idx="2">
                  <c:v>Senior</c:v>
                </c:pt>
                <c:pt idx="3">
                  <c:v>Staff</c:v>
                </c:pt>
                <c:pt idx="4">
                  <c:v>Technician</c:v>
                </c:pt>
                <c:pt idx="5">
                  <c:v>Workrer</c:v>
                </c:pt>
              </c:strCache>
            </c:strRef>
          </c:cat>
          <c:val>
            <c:numRef>
              <c:f>Calculations!$AW$4:$AW$9</c:f>
              <c:numCache>
                <c:formatCode>0</c:formatCode>
                <c:ptCount val="6"/>
                <c:pt idx="0">
                  <c:v>500</c:v>
                </c:pt>
                <c:pt idx="1">
                  <c:v>537.5</c:v>
                </c:pt>
                <c:pt idx="2">
                  <c:v>540</c:v>
                </c:pt>
                <c:pt idx="3">
                  <c:v>500</c:v>
                </c:pt>
                <c:pt idx="4">
                  <c:v>512.5</c:v>
                </c:pt>
                <c:pt idx="5">
                  <c:v>443.75</c:v>
                </c:pt>
              </c:numCache>
            </c:numRef>
          </c:val>
          <c:extLst>
            <c:ext xmlns:c16="http://schemas.microsoft.com/office/drawing/2014/chart" uri="{C3380CC4-5D6E-409C-BE32-E72D297353CC}">
              <c16:uniqueId val="{00000001-A0BD-423F-B348-85B37DFB4517}"/>
            </c:ext>
          </c:extLst>
        </c:ser>
        <c:dLbls>
          <c:dLblPos val="ctr"/>
          <c:showLegendKey val="0"/>
          <c:showVal val="1"/>
          <c:showCatName val="0"/>
          <c:showSerName val="0"/>
          <c:showPercent val="0"/>
          <c:showBubbleSize val="0"/>
        </c:dLbls>
        <c:gapWidth val="75"/>
        <c:overlap val="100"/>
        <c:axId val="1825074560"/>
        <c:axId val="1717483472"/>
      </c:barChart>
      <c:lineChart>
        <c:grouping val="stacked"/>
        <c:varyColors val="0"/>
        <c:ser>
          <c:idx val="2"/>
          <c:order val="2"/>
          <c:tx>
            <c:strRef>
              <c:f>Calculations!$AX$3</c:f>
              <c:strCache>
                <c:ptCount val="1"/>
                <c:pt idx="0">
                  <c:v>Average of increament %</c:v>
                </c:pt>
              </c:strCache>
            </c:strRef>
          </c:tx>
          <c:spPr>
            <a:ln w="28575" cap="rnd">
              <a:solidFill>
                <a:schemeClr val="accent2">
                  <a:lumMod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Calculations!$AU$4:$AU$9</c:f>
              <c:strCache>
                <c:ptCount val="6"/>
                <c:pt idx="0">
                  <c:v>Junior</c:v>
                </c:pt>
                <c:pt idx="1">
                  <c:v>Manager</c:v>
                </c:pt>
                <c:pt idx="2">
                  <c:v>Senior</c:v>
                </c:pt>
                <c:pt idx="3">
                  <c:v>Staff</c:v>
                </c:pt>
                <c:pt idx="4">
                  <c:v>Technician</c:v>
                </c:pt>
                <c:pt idx="5">
                  <c:v>Workrer</c:v>
                </c:pt>
              </c:strCache>
            </c:strRef>
          </c:cat>
          <c:val>
            <c:numRef>
              <c:f>Calculations!$AX$4:$AX$9</c:f>
              <c:numCache>
                <c:formatCode>0%</c:formatCode>
                <c:ptCount val="6"/>
                <c:pt idx="0">
                  <c:v>8.9843934241423076E-2</c:v>
                </c:pt>
                <c:pt idx="1">
                  <c:v>7.7093671380186052E-2</c:v>
                </c:pt>
                <c:pt idx="2">
                  <c:v>6.7491762806622724E-2</c:v>
                </c:pt>
                <c:pt idx="3">
                  <c:v>6.8917597703409481E-2</c:v>
                </c:pt>
                <c:pt idx="4">
                  <c:v>6.7092920761483446E-2</c:v>
                </c:pt>
                <c:pt idx="5">
                  <c:v>6.2143815273245376E-2</c:v>
                </c:pt>
              </c:numCache>
            </c:numRef>
          </c:val>
          <c:smooth val="0"/>
          <c:extLst>
            <c:ext xmlns:c16="http://schemas.microsoft.com/office/drawing/2014/chart" uri="{C3380CC4-5D6E-409C-BE32-E72D297353CC}">
              <c16:uniqueId val="{00000001-4D3B-4683-9851-3CC2641994B6}"/>
            </c:ext>
          </c:extLst>
        </c:ser>
        <c:dLbls>
          <c:showLegendKey val="0"/>
          <c:showVal val="0"/>
          <c:showCatName val="0"/>
          <c:showSerName val="0"/>
          <c:showPercent val="0"/>
          <c:showBubbleSize val="0"/>
        </c:dLbls>
        <c:marker val="1"/>
        <c:smooth val="0"/>
        <c:axId val="479453168"/>
        <c:axId val="684433792"/>
      </c:lineChart>
      <c:catAx>
        <c:axId val="182507456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483472"/>
        <c:crosses val="autoZero"/>
        <c:auto val="1"/>
        <c:lblAlgn val="ctr"/>
        <c:lblOffset val="100"/>
        <c:noMultiLvlLbl val="0"/>
      </c:catAx>
      <c:valAx>
        <c:axId val="1717483472"/>
        <c:scaling>
          <c:orientation val="minMax"/>
        </c:scaling>
        <c:delete val="0"/>
        <c:axPos val="l"/>
        <c:majorGridlines>
          <c:spPr>
            <a:ln>
              <a:solidFill>
                <a:schemeClr val="tx1">
                  <a:lumMod val="15000"/>
                  <a:lumOff val="85000"/>
                </a:schemeClr>
              </a:solidFill>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5074560"/>
        <c:crosses val="autoZero"/>
        <c:crossBetween val="between"/>
      </c:valAx>
      <c:valAx>
        <c:axId val="68443379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53168"/>
        <c:crosses val="max"/>
        <c:crossBetween val="between"/>
      </c:valAx>
      <c:catAx>
        <c:axId val="479453168"/>
        <c:scaling>
          <c:orientation val="minMax"/>
        </c:scaling>
        <c:delete val="1"/>
        <c:axPos val="b"/>
        <c:numFmt formatCode="General" sourceLinked="1"/>
        <c:majorTickMark val="out"/>
        <c:minorTickMark val="none"/>
        <c:tickLblPos val="nextTo"/>
        <c:crossAx val="684433792"/>
        <c:crosses val="autoZero"/>
        <c:auto val="1"/>
        <c:lblAlgn val="ctr"/>
        <c:lblOffset val="100"/>
        <c:noMultiLvlLbl val="0"/>
      </c:catAx>
      <c:spPr>
        <a:noFill/>
        <a:ln>
          <a:noFill/>
        </a:ln>
        <a:effectLst/>
      </c:spPr>
    </c:plotArea>
    <c:legend>
      <c:legendPos val="b"/>
      <c:layout>
        <c:manualLayout>
          <c:xMode val="edge"/>
          <c:yMode val="edge"/>
          <c:x val="5.461977238891449E-3"/>
          <c:y val="0.15096090456159481"/>
          <c:w val="0.98676278048925592"/>
          <c:h val="0.122958438055759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[Employee Appraisal.xlsm]Calculations!Pie chart</c:name>
    <c:fmtId val="1"/>
  </c:pivotSource>
  <c:chart>
    <c:title>
      <c:tx>
        <c:rich>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Overall salary % PER JOB TYPE category </a:t>
            </a:r>
          </a:p>
        </c:rich>
      </c:tx>
      <c:layout>
        <c:manualLayout>
          <c:xMode val="edge"/>
          <c:yMode val="edge"/>
          <c:x val="0.17539367346652932"/>
          <c:y val="6.643730293467403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tint val="50000"/>
            </a:schemeClr>
          </a:solidFill>
          <a:ln w="19050">
            <a:solidFill>
              <a:schemeClr val="lt1"/>
            </a:solidFill>
          </a:ln>
          <a:effectLst/>
        </c:spPr>
      </c:pivotFmt>
      <c:pivotFmt>
        <c:idx val="3"/>
        <c:spPr>
          <a:solidFill>
            <a:schemeClr val="accent6">
              <a:tint val="70000"/>
            </a:schemeClr>
          </a:solidFill>
          <a:ln w="19050">
            <a:solidFill>
              <a:schemeClr val="lt1"/>
            </a:solidFill>
          </a:ln>
          <a:effectLst/>
        </c:spPr>
      </c:pivotFmt>
      <c:pivotFmt>
        <c:idx val="4"/>
        <c:spPr>
          <a:solidFill>
            <a:schemeClr val="accent6">
              <a:tint val="90000"/>
            </a:schemeClr>
          </a:solidFill>
          <a:ln w="19050">
            <a:solidFill>
              <a:schemeClr val="lt1"/>
            </a:solidFill>
          </a:ln>
          <a:effectLst/>
        </c:spPr>
      </c:pivotFmt>
      <c:pivotFmt>
        <c:idx val="5"/>
        <c:spPr>
          <a:solidFill>
            <a:schemeClr val="accent6">
              <a:shade val="90000"/>
            </a:schemeClr>
          </a:solidFill>
          <a:ln w="19050">
            <a:solidFill>
              <a:schemeClr val="lt1"/>
            </a:solidFill>
          </a:ln>
          <a:effectLst/>
        </c:spPr>
      </c:pivotFmt>
      <c:pivotFmt>
        <c:idx val="6"/>
        <c:spPr>
          <a:solidFill>
            <a:schemeClr val="accent6">
              <a:shade val="70000"/>
            </a:schemeClr>
          </a:solidFill>
          <a:ln w="19050">
            <a:solidFill>
              <a:schemeClr val="lt1"/>
            </a:solidFill>
          </a:ln>
          <a:effectLst/>
        </c:spPr>
      </c:pivotFmt>
      <c:pivotFmt>
        <c:idx val="7"/>
        <c:spPr>
          <a:solidFill>
            <a:schemeClr val="accent6">
              <a:shade val="50000"/>
            </a:schemeClr>
          </a:solidFill>
          <a:ln w="19050">
            <a:solidFill>
              <a:schemeClr val="lt1"/>
            </a:solidFill>
          </a:ln>
          <a:effectLst/>
        </c:spPr>
      </c:pivotFmt>
    </c:pivotFmts>
    <c:plotArea>
      <c:layout>
        <c:manualLayout>
          <c:layoutTarget val="inner"/>
          <c:xMode val="edge"/>
          <c:yMode val="edge"/>
          <c:x val="0.15484810125787862"/>
          <c:y val="0.21809722809293275"/>
          <c:w val="0.79480945426657634"/>
          <c:h val="0.72242368028804604"/>
        </c:manualLayout>
      </c:layout>
      <c:doughnutChart>
        <c:varyColors val="1"/>
        <c:ser>
          <c:idx val="0"/>
          <c:order val="0"/>
          <c:tx>
            <c:strRef>
              <c:f>Calculations!$BA$3</c:f>
              <c:strCache>
                <c:ptCount val="1"/>
                <c:pt idx="0">
                  <c:v>Total</c:v>
                </c:pt>
              </c:strCache>
            </c:strRef>
          </c:tx>
          <c:dPt>
            <c:idx val="0"/>
            <c:bubble3D val="0"/>
            <c:spPr>
              <a:solidFill>
                <a:schemeClr val="accent6">
                  <a:tint val="50000"/>
                </a:schemeClr>
              </a:solidFill>
              <a:ln w="19050">
                <a:solidFill>
                  <a:schemeClr val="lt1"/>
                </a:solidFill>
              </a:ln>
              <a:effectLst/>
            </c:spPr>
            <c:extLst>
              <c:ext xmlns:c16="http://schemas.microsoft.com/office/drawing/2014/chart" uri="{C3380CC4-5D6E-409C-BE32-E72D297353CC}">
                <c16:uniqueId val="{00000001-68B3-4EA5-900D-D4417CFEA30F}"/>
              </c:ext>
            </c:extLst>
          </c:dPt>
          <c:dPt>
            <c:idx val="1"/>
            <c:bubble3D val="0"/>
            <c:spPr>
              <a:solidFill>
                <a:schemeClr val="accent6">
                  <a:tint val="70000"/>
                </a:schemeClr>
              </a:solidFill>
              <a:ln w="19050">
                <a:solidFill>
                  <a:schemeClr val="lt1"/>
                </a:solidFill>
              </a:ln>
              <a:effectLst/>
            </c:spPr>
            <c:extLst>
              <c:ext xmlns:c16="http://schemas.microsoft.com/office/drawing/2014/chart" uri="{C3380CC4-5D6E-409C-BE32-E72D297353CC}">
                <c16:uniqueId val="{00000003-68B3-4EA5-900D-D4417CFEA30F}"/>
              </c:ext>
            </c:extLst>
          </c:dPt>
          <c:dPt>
            <c:idx val="2"/>
            <c:bubble3D val="0"/>
            <c:spPr>
              <a:solidFill>
                <a:schemeClr val="accent6">
                  <a:tint val="90000"/>
                </a:schemeClr>
              </a:solidFill>
              <a:ln w="19050">
                <a:solidFill>
                  <a:schemeClr val="lt1"/>
                </a:solidFill>
              </a:ln>
              <a:effectLst/>
            </c:spPr>
            <c:extLst>
              <c:ext xmlns:c16="http://schemas.microsoft.com/office/drawing/2014/chart" uri="{C3380CC4-5D6E-409C-BE32-E72D297353CC}">
                <c16:uniqueId val="{00000005-68B3-4EA5-900D-D4417CFEA30F}"/>
              </c:ext>
            </c:extLst>
          </c:dPt>
          <c:dPt>
            <c:idx val="3"/>
            <c:bubble3D val="0"/>
            <c:spPr>
              <a:solidFill>
                <a:schemeClr val="accent6">
                  <a:shade val="90000"/>
                </a:schemeClr>
              </a:solidFill>
              <a:ln w="19050">
                <a:solidFill>
                  <a:schemeClr val="lt1"/>
                </a:solidFill>
              </a:ln>
              <a:effectLst/>
            </c:spPr>
            <c:extLst>
              <c:ext xmlns:c16="http://schemas.microsoft.com/office/drawing/2014/chart" uri="{C3380CC4-5D6E-409C-BE32-E72D297353CC}">
                <c16:uniqueId val="{00000007-68B3-4EA5-900D-D4417CFEA30F}"/>
              </c:ext>
            </c:extLst>
          </c:dPt>
          <c:dPt>
            <c:idx val="4"/>
            <c:bubble3D val="0"/>
            <c:spPr>
              <a:solidFill>
                <a:schemeClr val="accent6">
                  <a:shade val="70000"/>
                </a:schemeClr>
              </a:solidFill>
              <a:ln w="19050">
                <a:solidFill>
                  <a:schemeClr val="lt1"/>
                </a:solidFill>
              </a:ln>
              <a:effectLst/>
            </c:spPr>
            <c:extLst>
              <c:ext xmlns:c16="http://schemas.microsoft.com/office/drawing/2014/chart" uri="{C3380CC4-5D6E-409C-BE32-E72D297353CC}">
                <c16:uniqueId val="{00000009-68B3-4EA5-900D-D4417CFEA30F}"/>
              </c:ext>
            </c:extLst>
          </c:dPt>
          <c:dPt>
            <c:idx val="5"/>
            <c:bubble3D val="0"/>
            <c:spPr>
              <a:solidFill>
                <a:schemeClr val="accent6">
                  <a:shade val="50000"/>
                </a:schemeClr>
              </a:solidFill>
              <a:ln w="19050">
                <a:solidFill>
                  <a:schemeClr val="lt1"/>
                </a:solidFill>
              </a:ln>
              <a:effectLst/>
            </c:spPr>
            <c:extLst>
              <c:ext xmlns:c16="http://schemas.microsoft.com/office/drawing/2014/chart" uri="{C3380CC4-5D6E-409C-BE32-E72D297353CC}">
                <c16:uniqueId val="{0000000B-68B3-4EA5-900D-D4417CFEA3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Calculations!$AZ$4:$AZ$9</c:f>
              <c:strCache>
                <c:ptCount val="6"/>
                <c:pt idx="0">
                  <c:v>Junior</c:v>
                </c:pt>
                <c:pt idx="1">
                  <c:v>Manager</c:v>
                </c:pt>
                <c:pt idx="2">
                  <c:v>Senior</c:v>
                </c:pt>
                <c:pt idx="3">
                  <c:v>Staff</c:v>
                </c:pt>
                <c:pt idx="4">
                  <c:v>Technician</c:v>
                </c:pt>
                <c:pt idx="5">
                  <c:v>Workrer</c:v>
                </c:pt>
              </c:strCache>
            </c:strRef>
          </c:cat>
          <c:val>
            <c:numRef>
              <c:f>Calculations!$BA$4:$BA$9</c:f>
              <c:numCache>
                <c:formatCode>General</c:formatCode>
                <c:ptCount val="6"/>
                <c:pt idx="0">
                  <c:v>232075</c:v>
                </c:pt>
                <c:pt idx="1">
                  <c:v>213396</c:v>
                </c:pt>
                <c:pt idx="2">
                  <c:v>205961</c:v>
                </c:pt>
                <c:pt idx="3">
                  <c:v>342278</c:v>
                </c:pt>
                <c:pt idx="4">
                  <c:v>269565</c:v>
                </c:pt>
                <c:pt idx="5">
                  <c:v>341638</c:v>
                </c:pt>
              </c:numCache>
            </c:numRef>
          </c:val>
          <c:extLst>
            <c:ext xmlns:c16="http://schemas.microsoft.com/office/drawing/2014/chart" uri="{C3380CC4-5D6E-409C-BE32-E72D297353CC}">
              <c16:uniqueId val="{0000000C-68B3-4EA5-900D-D4417CFEA30F}"/>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Appraisal.xlsm]Calculations!members</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Calculations!$BD$3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Calculations!$BC$4:$BC$9</c:f>
              <c:strCache>
                <c:ptCount val="6"/>
                <c:pt idx="0">
                  <c:v>Junior</c:v>
                </c:pt>
                <c:pt idx="1">
                  <c:v>Manager</c:v>
                </c:pt>
                <c:pt idx="2">
                  <c:v>Senior</c:v>
                </c:pt>
                <c:pt idx="3">
                  <c:v>Staff</c:v>
                </c:pt>
                <c:pt idx="4">
                  <c:v>Technician</c:v>
                </c:pt>
                <c:pt idx="5">
                  <c:v>Workrer</c:v>
                </c:pt>
              </c:strCache>
            </c:strRef>
          </c:cat>
          <c:val>
            <c:numRef>
              <c:f>Calculations!$BD$4:$BD$9</c:f>
              <c:numCache>
                <c:formatCode>General</c:formatCode>
                <c:ptCount val="6"/>
                <c:pt idx="0">
                  <c:v>34</c:v>
                </c:pt>
                <c:pt idx="1">
                  <c:v>29</c:v>
                </c:pt>
                <c:pt idx="2">
                  <c:v>28</c:v>
                </c:pt>
                <c:pt idx="3">
                  <c:v>44</c:v>
                </c:pt>
                <c:pt idx="4">
                  <c:v>39</c:v>
                </c:pt>
                <c:pt idx="5">
                  <c:v>48</c:v>
                </c:pt>
              </c:numCache>
            </c:numRef>
          </c:val>
          <c:extLst>
            <c:ext xmlns:c16="http://schemas.microsoft.com/office/drawing/2014/chart" uri="{C3380CC4-5D6E-409C-BE32-E72D297353CC}">
              <c16:uniqueId val="{00000000-EEE1-4BA6-B4E2-9C5339BE9A5D}"/>
            </c:ext>
          </c:extLst>
        </c:ser>
        <c:dLbls>
          <c:showLegendKey val="0"/>
          <c:showVal val="1"/>
          <c:showCatName val="0"/>
          <c:showSerName val="0"/>
          <c:showPercent val="0"/>
          <c:showBubbleSize val="0"/>
        </c:dLbls>
        <c:gapWidth val="150"/>
        <c:overlap val="-25"/>
        <c:axId val="1789889728"/>
        <c:axId val="1680649632"/>
      </c:barChart>
      <c:catAx>
        <c:axId val="1789889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649632"/>
        <c:crosses val="autoZero"/>
        <c:auto val="1"/>
        <c:lblAlgn val="ctr"/>
        <c:lblOffset val="100"/>
        <c:noMultiLvlLbl val="0"/>
      </c:catAx>
      <c:valAx>
        <c:axId val="1680649632"/>
        <c:scaling>
          <c:orientation val="minMax"/>
        </c:scaling>
        <c:delete val="1"/>
        <c:axPos val="b"/>
        <c:numFmt formatCode="General" sourceLinked="1"/>
        <c:majorTickMark val="none"/>
        <c:minorTickMark val="none"/>
        <c:tickLblPos val="nextTo"/>
        <c:crossAx val="1789889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Appraisal.xlsm]Calculations!members</c:name>
    <c:fmtId val="3"/>
  </c:pivotSource>
  <c:chart>
    <c:autoTitleDeleted val="1"/>
    <c:pivotFmts>
      <c:pivotFmt>
        <c:idx val="0"/>
        <c:spPr>
          <a:pattFill prst="narVert">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0B47F"/>
          </a:solidFill>
          <a:ln>
            <a:solidFill>
              <a:srgbClr val="50B47F"/>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691456106475871"/>
          <c:y val="6.0565450388186053E-2"/>
          <c:w val="0.50114839047645376"/>
          <c:h val="0.88002683715014562"/>
        </c:manualLayout>
      </c:layout>
      <c:barChart>
        <c:barDir val="bar"/>
        <c:grouping val="clustered"/>
        <c:varyColors val="0"/>
        <c:ser>
          <c:idx val="0"/>
          <c:order val="0"/>
          <c:tx>
            <c:strRef>
              <c:f>Calculations!$BD$3</c:f>
              <c:strCache>
                <c:ptCount val="1"/>
                <c:pt idx="0">
                  <c:v>Total</c:v>
                </c:pt>
              </c:strCache>
            </c:strRef>
          </c:tx>
          <c:spPr>
            <a:solidFill>
              <a:srgbClr val="50B47F"/>
            </a:solidFill>
            <a:ln>
              <a:solidFill>
                <a:srgbClr val="50B47F"/>
              </a:solid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Calculations!$BC$4:$BC$9</c:f>
              <c:strCache>
                <c:ptCount val="6"/>
                <c:pt idx="0">
                  <c:v>Junior</c:v>
                </c:pt>
                <c:pt idx="1">
                  <c:v>Manager</c:v>
                </c:pt>
                <c:pt idx="2">
                  <c:v>Senior</c:v>
                </c:pt>
                <c:pt idx="3">
                  <c:v>Staff</c:v>
                </c:pt>
                <c:pt idx="4">
                  <c:v>Technician</c:v>
                </c:pt>
                <c:pt idx="5">
                  <c:v>Workrer</c:v>
                </c:pt>
              </c:strCache>
            </c:strRef>
          </c:cat>
          <c:val>
            <c:numRef>
              <c:f>Calculations!$BD$4:$BD$9</c:f>
              <c:numCache>
                <c:formatCode>General</c:formatCode>
                <c:ptCount val="6"/>
                <c:pt idx="0">
                  <c:v>34</c:v>
                </c:pt>
                <c:pt idx="1">
                  <c:v>29</c:v>
                </c:pt>
                <c:pt idx="2">
                  <c:v>28</c:v>
                </c:pt>
                <c:pt idx="3">
                  <c:v>44</c:v>
                </c:pt>
                <c:pt idx="4">
                  <c:v>39</c:v>
                </c:pt>
                <c:pt idx="5">
                  <c:v>48</c:v>
                </c:pt>
              </c:numCache>
            </c:numRef>
          </c:val>
          <c:extLst>
            <c:ext xmlns:c16="http://schemas.microsoft.com/office/drawing/2014/chart" uri="{C3380CC4-5D6E-409C-BE32-E72D297353CC}">
              <c16:uniqueId val="{00000000-DE4D-4955-B6AE-EB5B68792240}"/>
            </c:ext>
          </c:extLst>
        </c:ser>
        <c:dLbls>
          <c:showLegendKey val="0"/>
          <c:showVal val="1"/>
          <c:showCatName val="0"/>
          <c:showSerName val="0"/>
          <c:showPercent val="0"/>
          <c:showBubbleSize val="0"/>
        </c:dLbls>
        <c:gapWidth val="227"/>
        <c:overlap val="-48"/>
        <c:axId val="1862127648"/>
        <c:axId val="1680656288"/>
      </c:barChart>
      <c:catAx>
        <c:axId val="1862127648"/>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80656288"/>
        <c:crosses val="autoZero"/>
        <c:auto val="1"/>
        <c:lblAlgn val="ctr"/>
        <c:lblOffset val="100"/>
        <c:noMultiLvlLbl val="0"/>
      </c:catAx>
      <c:valAx>
        <c:axId val="1680656288"/>
        <c:scaling>
          <c:orientation val="minMax"/>
        </c:scaling>
        <c:delete val="1"/>
        <c:axPos val="b"/>
        <c:numFmt formatCode="General" sourceLinked="1"/>
        <c:majorTickMark val="none"/>
        <c:minorTickMark val="none"/>
        <c:tickLblPos val="nextTo"/>
        <c:crossAx val="186212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3.svg"/><Relationship Id="rId18" Type="http://schemas.openxmlformats.org/officeDocument/2006/relationships/chart" Target="../charts/chart7.xml"/><Relationship Id="rId3" Type="http://schemas.openxmlformats.org/officeDocument/2006/relationships/image" Target="../media/image5.png"/><Relationship Id="rId21" Type="http://schemas.openxmlformats.org/officeDocument/2006/relationships/chart" Target="../charts/chart10.xml"/><Relationship Id="rId7" Type="http://schemas.openxmlformats.org/officeDocument/2006/relationships/image" Target="../media/image9.png"/><Relationship Id="rId12" Type="http://schemas.openxmlformats.org/officeDocument/2006/relationships/chart" Target="../charts/chart2.xml"/><Relationship Id="rId17" Type="http://schemas.openxmlformats.org/officeDocument/2006/relationships/chart" Target="../charts/chart6.xml"/><Relationship Id="rId2" Type="http://schemas.openxmlformats.org/officeDocument/2006/relationships/image" Target="../media/image4.svg"/><Relationship Id="rId16" Type="http://schemas.openxmlformats.org/officeDocument/2006/relationships/chart" Target="../charts/chart5.xml"/><Relationship Id="rId20" Type="http://schemas.openxmlformats.org/officeDocument/2006/relationships/chart" Target="../charts/chart9.xml"/><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chart" Target="../charts/chart1.xml"/><Relationship Id="rId5" Type="http://schemas.openxmlformats.org/officeDocument/2006/relationships/image" Target="../media/image7.png"/><Relationship Id="rId15" Type="http://schemas.openxmlformats.org/officeDocument/2006/relationships/chart" Target="../charts/chart4.xml"/><Relationship Id="rId10" Type="http://schemas.openxmlformats.org/officeDocument/2006/relationships/image" Target="../media/image12.svg"/><Relationship Id="rId19" Type="http://schemas.openxmlformats.org/officeDocument/2006/relationships/chart" Target="../charts/chart8.xml"/><Relationship Id="rId4" Type="http://schemas.openxmlformats.org/officeDocument/2006/relationships/image" Target="../media/image6.svg"/><Relationship Id="rId9" Type="http://schemas.openxmlformats.org/officeDocument/2006/relationships/image" Target="../media/image11.png"/><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47624</xdr:colOff>
      <xdr:row>48</xdr:row>
      <xdr:rowOff>19050</xdr:rowOff>
    </xdr:from>
    <xdr:to>
      <xdr:col>14</xdr:col>
      <xdr:colOff>273843</xdr:colOff>
      <xdr:row>52</xdr:row>
      <xdr:rowOff>38100</xdr:rowOff>
    </xdr:to>
    <xdr:grpSp>
      <xdr:nvGrpSpPr>
        <xdr:cNvPr id="11" name="Group 10">
          <a:extLst>
            <a:ext uri="{FF2B5EF4-FFF2-40B4-BE49-F238E27FC236}">
              <a16:creationId xmlns:a16="http://schemas.microsoft.com/office/drawing/2014/main" id="{C4123EAD-306E-4A5C-8C6B-311CE914E7F8}"/>
            </a:ext>
          </a:extLst>
        </xdr:cNvPr>
        <xdr:cNvGrpSpPr/>
      </xdr:nvGrpSpPr>
      <xdr:grpSpPr>
        <a:xfrm>
          <a:off x="4214812" y="8139113"/>
          <a:ext cx="6905625" cy="685800"/>
          <a:chOff x="4257674" y="8324850"/>
          <a:chExt cx="7353301" cy="666750"/>
        </a:xfrm>
      </xdr:grpSpPr>
      <xdr:pic>
        <xdr:nvPicPr>
          <xdr:cNvPr id="12" name="Picture 11">
            <a:extLst>
              <a:ext uri="{FF2B5EF4-FFF2-40B4-BE49-F238E27FC236}">
                <a16:creationId xmlns:a16="http://schemas.microsoft.com/office/drawing/2014/main" id="{1236AAF6-7DF0-4ADA-BBC0-00D8FCF6FB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3" name="Rectangle 12">
            <a:extLst>
              <a:ext uri="{FF2B5EF4-FFF2-40B4-BE49-F238E27FC236}">
                <a16:creationId xmlns:a16="http://schemas.microsoft.com/office/drawing/2014/main" id="{2D808CF1-681B-4569-BB67-63A573747EA7}"/>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DB8D9FB6-88E3-4681-92F4-A6586470E2F3}"/>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56</xdr:row>
      <xdr:rowOff>95250</xdr:rowOff>
    </xdr:from>
    <xdr:to>
      <xdr:col>14</xdr:col>
      <xdr:colOff>292893</xdr:colOff>
      <xdr:row>60</xdr:row>
      <xdr:rowOff>114300</xdr:rowOff>
    </xdr:to>
    <xdr:grpSp>
      <xdr:nvGrpSpPr>
        <xdr:cNvPr id="15" name="Group 14">
          <a:extLst>
            <a:ext uri="{FF2B5EF4-FFF2-40B4-BE49-F238E27FC236}">
              <a16:creationId xmlns:a16="http://schemas.microsoft.com/office/drawing/2014/main" id="{A45E886F-B5B0-439F-92A7-21996A773147}"/>
            </a:ext>
          </a:extLst>
        </xdr:cNvPr>
        <xdr:cNvGrpSpPr/>
      </xdr:nvGrpSpPr>
      <xdr:grpSpPr>
        <a:xfrm>
          <a:off x="4233862" y="9548813"/>
          <a:ext cx="6905625" cy="685800"/>
          <a:chOff x="4276724" y="9696450"/>
          <a:chExt cx="7353301" cy="666750"/>
        </a:xfrm>
      </xdr:grpSpPr>
      <xdr:pic>
        <xdr:nvPicPr>
          <xdr:cNvPr id="16" name="Picture 15">
            <a:extLst>
              <a:ext uri="{FF2B5EF4-FFF2-40B4-BE49-F238E27FC236}">
                <a16:creationId xmlns:a16="http://schemas.microsoft.com/office/drawing/2014/main" id="{889CEAB0-BFA6-4F07-AEBC-9B4B0315254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7" name="Rectangle 16">
            <a:extLst>
              <a:ext uri="{FF2B5EF4-FFF2-40B4-BE49-F238E27FC236}">
                <a16:creationId xmlns:a16="http://schemas.microsoft.com/office/drawing/2014/main" id="{5041743A-5772-4972-BC02-E534A20492CC}"/>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62</xdr:row>
      <xdr:rowOff>47625</xdr:rowOff>
    </xdr:from>
    <xdr:to>
      <xdr:col>14</xdr:col>
      <xdr:colOff>246943</xdr:colOff>
      <xdr:row>66</xdr:row>
      <xdr:rowOff>133350</xdr:rowOff>
    </xdr:to>
    <xdr:grpSp>
      <xdr:nvGrpSpPr>
        <xdr:cNvPr id="18" name="Group 17">
          <a:extLst>
            <a:ext uri="{FF2B5EF4-FFF2-40B4-BE49-F238E27FC236}">
              <a16:creationId xmlns:a16="http://schemas.microsoft.com/office/drawing/2014/main" id="{9CE124F8-5038-45E3-9FDB-F76E7BEEF7D6}"/>
            </a:ext>
          </a:extLst>
        </xdr:cNvPr>
        <xdr:cNvGrpSpPr/>
      </xdr:nvGrpSpPr>
      <xdr:grpSpPr>
        <a:xfrm>
          <a:off x="4252913" y="10501313"/>
          <a:ext cx="6840624" cy="752475"/>
          <a:chOff x="4295775" y="10620375"/>
          <a:chExt cx="7334250" cy="733425"/>
        </a:xfrm>
      </xdr:grpSpPr>
      <xdr:pic>
        <xdr:nvPicPr>
          <xdr:cNvPr id="19" name="Picture 18">
            <a:extLst>
              <a:ext uri="{FF2B5EF4-FFF2-40B4-BE49-F238E27FC236}">
                <a16:creationId xmlns:a16="http://schemas.microsoft.com/office/drawing/2014/main" id="{F35C4F71-CD2A-48A9-A410-A8F18B4A27F7}"/>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0" name="Rectangle 19">
            <a:extLst>
              <a:ext uri="{FF2B5EF4-FFF2-40B4-BE49-F238E27FC236}">
                <a16:creationId xmlns:a16="http://schemas.microsoft.com/office/drawing/2014/main" id="{A35BA7EF-CD7E-4296-BA13-65E2EFAD1773}"/>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128512</xdr:colOff>
      <xdr:row>2</xdr:row>
      <xdr:rowOff>1511</xdr:rowOff>
    </xdr:from>
    <xdr:to>
      <xdr:col>3</xdr:col>
      <xdr:colOff>588112</xdr:colOff>
      <xdr:row>4</xdr:row>
      <xdr:rowOff>149294</xdr:rowOff>
    </xdr:to>
    <xdr:pic>
      <xdr:nvPicPr>
        <xdr:cNvPr id="7" name="Graphic 6" descr="Users">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65476" y="545797"/>
          <a:ext cx="459600" cy="474354"/>
        </a:xfrm>
        <a:prstGeom prst="rect">
          <a:avLst/>
        </a:prstGeom>
      </xdr:spPr>
    </xdr:pic>
    <xdr:clientData/>
  </xdr:twoCellAnchor>
  <xdr:twoCellAnchor editAs="oneCell">
    <xdr:from>
      <xdr:col>4</xdr:col>
      <xdr:colOff>105833</xdr:colOff>
      <xdr:row>2</xdr:row>
      <xdr:rowOff>10584</xdr:rowOff>
    </xdr:from>
    <xdr:to>
      <xdr:col>4</xdr:col>
      <xdr:colOff>565433</xdr:colOff>
      <xdr:row>4</xdr:row>
      <xdr:rowOff>88063</xdr:rowOff>
    </xdr:to>
    <xdr:pic>
      <xdr:nvPicPr>
        <xdr:cNvPr id="9" name="Graphic 8" descr="Man">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175000" y="328084"/>
          <a:ext cx="459600" cy="394979"/>
        </a:xfrm>
        <a:prstGeom prst="rect">
          <a:avLst/>
        </a:prstGeom>
      </xdr:spPr>
    </xdr:pic>
    <xdr:clientData/>
  </xdr:twoCellAnchor>
  <xdr:twoCellAnchor editAs="oneCell">
    <xdr:from>
      <xdr:col>5</xdr:col>
      <xdr:colOff>95250</xdr:colOff>
      <xdr:row>2</xdr:row>
      <xdr:rowOff>21168</xdr:rowOff>
    </xdr:from>
    <xdr:to>
      <xdr:col>5</xdr:col>
      <xdr:colOff>554850</xdr:colOff>
      <xdr:row>4</xdr:row>
      <xdr:rowOff>98647</xdr:rowOff>
    </xdr:to>
    <xdr:pic>
      <xdr:nvPicPr>
        <xdr:cNvPr id="10" name="Graphic 9" descr="Woman">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778250" y="338668"/>
          <a:ext cx="459600" cy="394979"/>
        </a:xfrm>
        <a:prstGeom prst="rect">
          <a:avLst/>
        </a:prstGeom>
      </xdr:spPr>
    </xdr:pic>
    <xdr:clientData/>
  </xdr:twoCellAnchor>
  <xdr:twoCellAnchor editAs="oneCell">
    <xdr:from>
      <xdr:col>0</xdr:col>
      <xdr:colOff>24494</xdr:colOff>
      <xdr:row>7</xdr:row>
      <xdr:rowOff>45964</xdr:rowOff>
    </xdr:from>
    <xdr:to>
      <xdr:col>2</xdr:col>
      <xdr:colOff>592095</xdr:colOff>
      <xdr:row>10</xdr:row>
      <xdr:rowOff>89806</xdr:rowOff>
    </xdr:to>
    <mc:AlternateContent xmlns:mc="http://schemas.openxmlformats.org/markup-compatibility/2006" xmlns:a14="http://schemas.microsoft.com/office/drawing/2010/main">
      <mc:Choice Requires="a14">
        <xdr:graphicFrame macro="">
          <xdr:nvGraphicFramePr>
            <xdr:cNvPr id="11" name="Gender">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4493" y="1229785"/>
              <a:ext cx="1812471" cy="7024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18</xdr:row>
      <xdr:rowOff>102973</xdr:rowOff>
    </xdr:from>
    <xdr:to>
      <xdr:col>2</xdr:col>
      <xdr:colOff>592095</xdr:colOff>
      <xdr:row>27</xdr:row>
      <xdr:rowOff>21167</xdr:rowOff>
    </xdr:to>
    <mc:AlternateContent xmlns:mc="http://schemas.openxmlformats.org/markup-compatibility/2006" xmlns:a14="http://schemas.microsoft.com/office/drawing/2010/main">
      <mc:Choice Requires="a14">
        <xdr:graphicFrame macro="">
          <xdr:nvGraphicFramePr>
            <xdr:cNvPr id="12" name="Department">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0" y="3140676"/>
              <a:ext cx="1802027" cy="18057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116416</xdr:colOff>
      <xdr:row>1</xdr:row>
      <xdr:rowOff>72571</xdr:rowOff>
    </xdr:from>
    <xdr:to>
      <xdr:col>6</xdr:col>
      <xdr:colOff>468916</xdr:colOff>
      <xdr:row>3</xdr:row>
      <xdr:rowOff>22541</xdr:rowOff>
    </xdr:to>
    <xdr:pic>
      <xdr:nvPicPr>
        <xdr:cNvPr id="14" name="Graphic 13" descr="Clock">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7559" y="371928"/>
          <a:ext cx="352500" cy="358184"/>
        </a:xfrm>
        <a:prstGeom prst="rect">
          <a:avLst/>
        </a:prstGeom>
      </xdr:spPr>
    </xdr:pic>
    <xdr:clientData/>
  </xdr:twoCellAnchor>
  <xdr:twoCellAnchor editAs="oneCell">
    <xdr:from>
      <xdr:col>7</xdr:col>
      <xdr:colOff>84667</xdr:colOff>
      <xdr:row>1</xdr:row>
      <xdr:rowOff>23284</xdr:rowOff>
    </xdr:from>
    <xdr:to>
      <xdr:col>7</xdr:col>
      <xdr:colOff>544267</xdr:colOff>
      <xdr:row>3</xdr:row>
      <xdr:rowOff>21388</xdr:rowOff>
    </xdr:to>
    <xdr:pic>
      <xdr:nvPicPr>
        <xdr:cNvPr id="15" name="Graphic 14" descr="Man">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351867" y="318559"/>
          <a:ext cx="459600" cy="398154"/>
        </a:xfrm>
        <a:prstGeom prst="rect">
          <a:avLst/>
        </a:prstGeom>
      </xdr:spPr>
    </xdr:pic>
    <xdr:clientData/>
  </xdr:twoCellAnchor>
  <xdr:twoCellAnchor editAs="oneCell">
    <xdr:from>
      <xdr:col>8</xdr:col>
      <xdr:colOff>63500</xdr:colOff>
      <xdr:row>1</xdr:row>
      <xdr:rowOff>23284</xdr:rowOff>
    </xdr:from>
    <xdr:to>
      <xdr:col>8</xdr:col>
      <xdr:colOff>523100</xdr:colOff>
      <xdr:row>3</xdr:row>
      <xdr:rowOff>21388</xdr:rowOff>
    </xdr:to>
    <xdr:pic>
      <xdr:nvPicPr>
        <xdr:cNvPr id="16" name="Graphic 15" descr="Woman">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40300" y="318559"/>
          <a:ext cx="459600" cy="398154"/>
        </a:xfrm>
        <a:prstGeom prst="rect">
          <a:avLst/>
        </a:prstGeom>
      </xdr:spPr>
    </xdr:pic>
    <xdr:clientData/>
  </xdr:twoCellAnchor>
  <xdr:twoCellAnchor editAs="oneCell">
    <xdr:from>
      <xdr:col>10</xdr:col>
      <xdr:colOff>105834</xdr:colOff>
      <xdr:row>1</xdr:row>
      <xdr:rowOff>23284</xdr:rowOff>
    </xdr:from>
    <xdr:to>
      <xdr:col>10</xdr:col>
      <xdr:colOff>565434</xdr:colOff>
      <xdr:row>3</xdr:row>
      <xdr:rowOff>21388</xdr:rowOff>
    </xdr:to>
    <xdr:pic>
      <xdr:nvPicPr>
        <xdr:cNvPr id="17" name="Graphic 16" descr="Man">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278034" y="318559"/>
          <a:ext cx="459600" cy="398154"/>
        </a:xfrm>
        <a:prstGeom prst="rect">
          <a:avLst/>
        </a:prstGeom>
      </xdr:spPr>
    </xdr:pic>
    <xdr:clientData/>
  </xdr:twoCellAnchor>
  <xdr:twoCellAnchor editAs="oneCell">
    <xdr:from>
      <xdr:col>11</xdr:col>
      <xdr:colOff>84667</xdr:colOff>
      <xdr:row>1</xdr:row>
      <xdr:rowOff>23284</xdr:rowOff>
    </xdr:from>
    <xdr:to>
      <xdr:col>11</xdr:col>
      <xdr:colOff>544267</xdr:colOff>
      <xdr:row>3</xdr:row>
      <xdr:rowOff>21388</xdr:rowOff>
    </xdr:to>
    <xdr:pic>
      <xdr:nvPicPr>
        <xdr:cNvPr id="18" name="Graphic 17" descr="Woman">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866467" y="318559"/>
          <a:ext cx="459600" cy="398154"/>
        </a:xfrm>
        <a:prstGeom prst="rect">
          <a:avLst/>
        </a:prstGeom>
      </xdr:spPr>
    </xdr:pic>
    <xdr:clientData/>
  </xdr:twoCellAnchor>
  <xdr:twoCellAnchor editAs="oneCell">
    <xdr:from>
      <xdr:col>9</xdr:col>
      <xdr:colOff>142120</xdr:colOff>
      <xdr:row>1</xdr:row>
      <xdr:rowOff>86178</xdr:rowOff>
    </xdr:from>
    <xdr:to>
      <xdr:col>9</xdr:col>
      <xdr:colOff>494620</xdr:colOff>
      <xdr:row>3</xdr:row>
      <xdr:rowOff>36148</xdr:rowOff>
    </xdr:to>
    <xdr:pic>
      <xdr:nvPicPr>
        <xdr:cNvPr id="19" name="Graphic 18" descr="Coins">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680227" y="385535"/>
          <a:ext cx="352500" cy="358184"/>
        </a:xfrm>
        <a:prstGeom prst="rect">
          <a:avLst/>
        </a:prstGeom>
      </xdr:spPr>
    </xdr:pic>
    <xdr:clientData/>
  </xdr:twoCellAnchor>
  <xdr:twoCellAnchor>
    <xdr:from>
      <xdr:col>14</xdr:col>
      <xdr:colOff>180975</xdr:colOff>
      <xdr:row>0</xdr:row>
      <xdr:rowOff>0</xdr:rowOff>
    </xdr:from>
    <xdr:to>
      <xdr:col>17</xdr:col>
      <xdr:colOff>116684</xdr:colOff>
      <xdr:row>7</xdr:row>
      <xdr:rowOff>101222</xdr:rowOff>
    </xdr:to>
    <xdr:graphicFrame macro="">
      <xdr:nvGraphicFramePr>
        <xdr:cNvPr id="20" name="Chart 3">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583405</xdr:colOff>
      <xdr:row>0</xdr:row>
      <xdr:rowOff>0</xdr:rowOff>
    </xdr:from>
    <xdr:to>
      <xdr:col>20</xdr:col>
      <xdr:colOff>-1</xdr:colOff>
      <xdr:row>6</xdr:row>
      <xdr:rowOff>180975</xdr:rowOff>
    </xdr:to>
    <xdr:graphicFrame macro="">
      <xdr:nvGraphicFramePr>
        <xdr:cNvPr id="21" name="Chart 4">
          <a:extLst>
            <a:ext uri="{FF2B5EF4-FFF2-40B4-BE49-F238E27FC236}">
              <a16:creationId xmlns:a16="http://schemas.microsoft.com/office/drawing/2014/main" id="{00000000-0008-0000-01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20</xdr:col>
      <xdr:colOff>67016</xdr:colOff>
      <xdr:row>2</xdr:row>
      <xdr:rowOff>11905</xdr:rowOff>
    </xdr:from>
    <xdr:to>
      <xdr:col>20</xdr:col>
      <xdr:colOff>526616</xdr:colOff>
      <xdr:row>4</xdr:row>
      <xdr:rowOff>54801</xdr:rowOff>
    </xdr:to>
    <xdr:pic>
      <xdr:nvPicPr>
        <xdr:cNvPr id="22" name="Graphic 21" descr="Man">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335216" y="545305"/>
          <a:ext cx="459600" cy="366746"/>
        </a:xfrm>
        <a:prstGeom prst="rect">
          <a:avLst/>
        </a:prstGeom>
      </xdr:spPr>
    </xdr:pic>
    <xdr:clientData/>
  </xdr:twoCellAnchor>
  <xdr:twoCellAnchor editAs="oneCell">
    <xdr:from>
      <xdr:col>20</xdr:col>
      <xdr:colOff>65313</xdr:colOff>
      <xdr:row>4</xdr:row>
      <xdr:rowOff>76513</xdr:rowOff>
    </xdr:from>
    <xdr:to>
      <xdr:col>20</xdr:col>
      <xdr:colOff>524913</xdr:colOff>
      <xdr:row>6</xdr:row>
      <xdr:rowOff>104127</xdr:rowOff>
    </xdr:to>
    <xdr:pic>
      <xdr:nvPicPr>
        <xdr:cNvPr id="23" name="Graphic 22" descr="Woman">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333513" y="933763"/>
          <a:ext cx="459600" cy="360989"/>
        </a:xfrm>
        <a:prstGeom prst="rect">
          <a:avLst/>
        </a:prstGeom>
      </xdr:spPr>
    </xdr:pic>
    <xdr:clientData/>
  </xdr:twoCellAnchor>
  <xdr:twoCellAnchor editAs="oneCell">
    <xdr:from>
      <xdr:col>0</xdr:col>
      <xdr:colOff>13607</xdr:colOff>
      <xdr:row>34</xdr:row>
      <xdr:rowOff>108857</xdr:rowOff>
    </xdr:from>
    <xdr:to>
      <xdr:col>2</xdr:col>
      <xdr:colOff>585107</xdr:colOff>
      <xdr:row>42</xdr:row>
      <xdr:rowOff>148167</xdr:rowOff>
    </xdr:to>
    <mc:AlternateContent xmlns:mc="http://schemas.openxmlformats.org/markup-compatibility/2006" xmlns:a14="http://schemas.microsoft.com/office/drawing/2010/main">
      <mc:Choice Requires="a14">
        <xdr:graphicFrame macro="">
          <xdr:nvGraphicFramePr>
            <xdr:cNvPr id="25" name="Emp Code">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microsoft.com/office/drawing/2010/slicer">
              <sle:slicer xmlns:sle="http://schemas.microsoft.com/office/drawing/2010/slicer" name="Emp Code"/>
            </a:graphicData>
          </a:graphic>
        </xdr:graphicFrame>
      </mc:Choice>
      <mc:Fallback xmlns="">
        <xdr:sp macro="" textlink="">
          <xdr:nvSpPr>
            <xdr:cNvPr id="0" name=""/>
            <xdr:cNvSpPr>
              <a:spLocks noTextEdit="1"/>
            </xdr:cNvSpPr>
          </xdr:nvSpPr>
          <xdr:spPr>
            <a:xfrm>
              <a:off x="13607" y="4946381"/>
              <a:ext cx="1781432" cy="2274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604965</xdr:colOff>
      <xdr:row>7</xdr:row>
      <xdr:rowOff>12700</xdr:rowOff>
    </xdr:from>
    <xdr:to>
      <xdr:col>26</xdr:col>
      <xdr:colOff>4412</xdr:colOff>
      <xdr:row>14</xdr:row>
      <xdr:rowOff>115846</xdr:rowOff>
    </xdr:to>
    <mc:AlternateContent xmlns:mc="http://schemas.openxmlformats.org/markup-compatibility/2006" xmlns:tsle="http://schemas.microsoft.com/office/drawing/2012/timeslicer">
      <mc:Choice Requires="tsle">
        <xdr:graphicFrame macro="">
          <xdr:nvGraphicFramePr>
            <xdr:cNvPr id="26" name="Date">
              <a:extLst>
                <a:ext uri="{FF2B5EF4-FFF2-40B4-BE49-F238E27FC236}">
                  <a16:creationId xmlns:a16="http://schemas.microsoft.com/office/drawing/2014/main" id="{00000000-0008-0000-0100-00001A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2781520" y="1209761"/>
              <a:ext cx="4093176" cy="140396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11</xdr:row>
      <xdr:rowOff>13608</xdr:rowOff>
    </xdr:from>
    <xdr:to>
      <xdr:col>2</xdr:col>
      <xdr:colOff>592095</xdr:colOff>
      <xdr:row>14</xdr:row>
      <xdr:rowOff>63954</xdr:rowOff>
    </xdr:to>
    <mc:AlternateContent xmlns:mc="http://schemas.openxmlformats.org/markup-compatibility/2006" xmlns:a14="http://schemas.microsoft.com/office/drawing/2010/main">
      <mc:Choice Requires="a14">
        <xdr:graphicFrame macro="">
          <xdr:nvGraphicFramePr>
            <xdr:cNvPr id="28" name="Job type">
              <a:extLst>
                <a:ext uri="{FF2B5EF4-FFF2-40B4-BE49-F238E27FC236}">
                  <a16:creationId xmlns:a16="http://schemas.microsoft.com/office/drawing/2014/main" id="{00000000-0008-0000-0100-00001C000000}"/>
                </a:ext>
              </a:extLst>
            </xdr:cNvPr>
            <xdr:cNvGraphicFramePr/>
          </xdr:nvGraphicFramePr>
          <xdr:xfrm>
            <a:off x="0" y="0"/>
            <a:ext cx="0" cy="0"/>
          </xdr:xfrm>
          <a:graphic>
            <a:graphicData uri="http://schemas.microsoft.com/office/drawing/2010/slicer">
              <sle:slicer xmlns:sle="http://schemas.microsoft.com/office/drawing/2010/slicer" name="Job type"/>
            </a:graphicData>
          </a:graphic>
        </xdr:graphicFrame>
      </mc:Choice>
      <mc:Fallback xmlns="">
        <xdr:sp macro="" textlink="">
          <xdr:nvSpPr>
            <xdr:cNvPr id="0" name=""/>
            <xdr:cNvSpPr>
              <a:spLocks noTextEdit="1"/>
            </xdr:cNvSpPr>
          </xdr:nvSpPr>
          <xdr:spPr>
            <a:xfrm>
              <a:off x="0" y="1879993"/>
              <a:ext cx="1802027" cy="6380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xdr:colOff>
      <xdr:row>14</xdr:row>
      <xdr:rowOff>52917</xdr:rowOff>
    </xdr:from>
    <xdr:to>
      <xdr:col>2</xdr:col>
      <xdr:colOff>592096</xdr:colOff>
      <xdr:row>18</xdr:row>
      <xdr:rowOff>127000</xdr:rowOff>
    </xdr:to>
    <mc:AlternateContent xmlns:mc="http://schemas.openxmlformats.org/markup-compatibility/2006" xmlns:a14="http://schemas.microsoft.com/office/drawing/2010/main">
      <mc:Choice Requires="a14">
        <xdr:graphicFrame macro="">
          <xdr:nvGraphicFramePr>
            <xdr:cNvPr id="29" name="Skill level">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Skill level"/>
            </a:graphicData>
          </a:graphic>
        </xdr:graphicFrame>
      </mc:Choice>
      <mc:Fallback xmlns="">
        <xdr:sp macro="" textlink="">
          <xdr:nvSpPr>
            <xdr:cNvPr id="0" name=""/>
            <xdr:cNvSpPr>
              <a:spLocks noTextEdit="1"/>
            </xdr:cNvSpPr>
          </xdr:nvSpPr>
          <xdr:spPr>
            <a:xfrm>
              <a:off x="2" y="2504450"/>
              <a:ext cx="1802026" cy="6148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16384</xdr:col>
      <xdr:colOff>14976021</xdr:colOff>
      <xdr:row>5</xdr:row>
      <xdr:rowOff>26533</xdr:rowOff>
    </xdr:from>
    <xdr:to>
      <xdr:col>16384</xdr:col>
      <xdr:colOff>19548021</xdr:colOff>
      <xdr:row>21</xdr:row>
      <xdr:rowOff>75519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604477</xdr:colOff>
      <xdr:row>7</xdr:row>
      <xdr:rowOff>27215</xdr:rowOff>
    </xdr:from>
    <xdr:to>
      <xdr:col>10</xdr:col>
      <xdr:colOff>216273</xdr:colOff>
      <xdr:row>24</xdr:row>
      <xdr:rowOff>180486</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81643</xdr:colOff>
      <xdr:row>25</xdr:row>
      <xdr:rowOff>14337</xdr:rowOff>
    </xdr:from>
    <xdr:to>
      <xdr:col>9</xdr:col>
      <xdr:colOff>340324</xdr:colOff>
      <xdr:row>42</xdr:row>
      <xdr:rowOff>65550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0</xdr:col>
      <xdr:colOff>0</xdr:colOff>
      <xdr:row>27</xdr:row>
      <xdr:rowOff>40822</xdr:rowOff>
    </xdr:from>
    <xdr:to>
      <xdr:col>2</xdr:col>
      <xdr:colOff>598714</xdr:colOff>
      <xdr:row>34</xdr:row>
      <xdr:rowOff>95250</xdr:rowOff>
    </xdr:to>
    <mc:AlternateContent xmlns:mc="http://schemas.openxmlformats.org/markup-compatibility/2006" xmlns:a14="http://schemas.microsoft.com/office/drawing/2010/main">
      <mc:Choice Requires="a14">
        <xdr:graphicFrame macro="">
          <xdr:nvGraphicFramePr>
            <xdr:cNvPr id="24" name="Title">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0" y="4579204"/>
              <a:ext cx="1816260" cy="11998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108857</xdr:colOff>
      <xdr:row>7</xdr:row>
      <xdr:rowOff>68036</xdr:rowOff>
    </xdr:from>
    <xdr:to>
      <xdr:col>20</xdr:col>
      <xdr:colOff>544286</xdr:colOff>
      <xdr:row>24</xdr:row>
      <xdr:rowOff>167331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496661</xdr:colOff>
      <xdr:row>25</xdr:row>
      <xdr:rowOff>97972</xdr:rowOff>
    </xdr:from>
    <xdr:to>
      <xdr:col>15</xdr:col>
      <xdr:colOff>587375</xdr:colOff>
      <xdr:row>43</xdr:row>
      <xdr:rowOff>0</xdr:rowOff>
    </xdr:to>
    <xdr:graphicFrame macro="">
      <xdr:nvGraphicFramePr>
        <xdr:cNvPr id="6" name="Chart 3">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319314</xdr:colOff>
      <xdr:row>24</xdr:row>
      <xdr:rowOff>113394</xdr:rowOff>
    </xdr:from>
    <xdr:to>
      <xdr:col>20</xdr:col>
      <xdr:colOff>444500</xdr:colOff>
      <xdr:row>43</xdr:row>
      <xdr:rowOff>15875</xdr:rowOff>
    </xdr:to>
    <xdr:graphicFrame macro="">
      <xdr:nvGraphicFramePr>
        <xdr:cNvPr id="8" name="Chart 4">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16384</xdr:col>
      <xdr:colOff>27256431</xdr:colOff>
      <xdr:row>4</xdr:row>
      <xdr:rowOff>57793</xdr:rowOff>
    </xdr:from>
    <xdr:to>
      <xdr:col>16384</xdr:col>
      <xdr:colOff>31828431</xdr:colOff>
      <xdr:row>20</xdr:row>
      <xdr:rowOff>59338</xdr:rowOff>
    </xdr:to>
    <xdr:graphicFrame macro="">
      <xdr:nvGraphicFramePr>
        <xdr:cNvPr id="13" name="Chart 5">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597033</xdr:colOff>
      <xdr:row>0</xdr:row>
      <xdr:rowOff>219075</xdr:rowOff>
    </xdr:from>
    <xdr:to>
      <xdr:col>14</xdr:col>
      <xdr:colOff>301198</xdr:colOff>
      <xdr:row>6</xdr:row>
      <xdr:rowOff>187138</xdr:rowOff>
    </xdr:to>
    <xdr:graphicFrame macro="">
      <xdr:nvGraphicFramePr>
        <xdr:cNvPr id="27" name="Chart 6">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5</xdr:row>
          <xdr:rowOff>104775</xdr:rowOff>
        </xdr:from>
        <xdr:to>
          <xdr:col>1</xdr:col>
          <xdr:colOff>200025</xdr:colOff>
          <xdr:row>6</xdr:row>
          <xdr:rowOff>190500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5</xdr:row>
          <xdr:rowOff>95250</xdr:rowOff>
        </xdr:from>
        <xdr:to>
          <xdr:col>2</xdr:col>
          <xdr:colOff>590550</xdr:colOff>
          <xdr:row>6</xdr:row>
          <xdr:rowOff>190500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Full screen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39.427009143517" createdVersion="6" refreshedVersion="6" minRefreshableVersion="3" recordCount="222" xr:uid="{5B9C22CE-4BB1-4CF2-81F9-5AE0C6ECC7AC}">
  <cacheSource type="worksheet">
    <worksheetSource name="Emp"/>
  </cacheSource>
  <cacheFields count="26">
    <cacheField name="Date" numFmtId="17">
      <sharedItems containsSemiMixedTypes="0" containsNonDate="0" containsDate="1" containsString="0" minDate="2016-01-02T00:00:00" maxDate="2020-09-02T00:00:00" count="208">
        <d v="2019-08-01T00:00:00"/>
        <d v="2020-09-01T00:00:00"/>
        <d v="2020-03-01T00:00:00"/>
        <d v="2019-04-01T00:00:00"/>
        <d v="2018-05-01T00:00:00"/>
        <d v="2016-09-14T00:00:00"/>
        <d v="2017-07-26T00:00:00"/>
        <d v="2017-06-05T00:00:00"/>
        <d v="2017-12-28T00:00:00"/>
        <d v="2017-07-20T00:00:00"/>
        <d v="2019-10-11T00:00:00"/>
        <d v="2017-12-31T00:00:00"/>
        <d v="2019-01-17T00:00:00"/>
        <d v="2016-04-16T00:00:00"/>
        <d v="2017-01-17T00:00:00"/>
        <d v="2019-03-20T00:00:00"/>
        <d v="2018-03-02T00:00:00"/>
        <d v="2018-09-30T00:00:00"/>
        <d v="2018-02-22T00:00:00"/>
        <d v="2017-11-16T00:00:00"/>
        <d v="2017-08-01T00:00:00"/>
        <d v="2019-02-13T00:00:00"/>
        <d v="2018-04-17T00:00:00"/>
        <d v="2018-12-05T00:00:00"/>
        <d v="2016-01-02T00:00:00"/>
        <d v="2019-07-29T00:00:00"/>
        <d v="2017-02-12T00:00:00"/>
        <d v="2019-06-10T00:00:00"/>
        <d v="2016-12-02T00:00:00"/>
        <d v="2016-06-12T00:00:00"/>
        <d v="2018-03-01T00:00:00"/>
        <d v="2018-07-23T00:00:00"/>
        <d v="2017-11-12T00:00:00"/>
        <d v="2017-07-18T00:00:00"/>
        <d v="2017-03-01T00:00:00"/>
        <d v="2019-01-09T00:00:00"/>
        <d v="2016-05-10T00:00:00"/>
        <d v="2018-10-28T00:00:00"/>
        <d v="2016-03-11T00:00:00"/>
        <d v="2016-10-21T00:00:00"/>
        <d v="2019-08-14T00:00:00"/>
        <d v="2018-07-12T00:00:00"/>
        <d v="2018-03-16T00:00:00"/>
        <d v="2019-09-29T00:00:00"/>
        <d v="2017-04-11T00:00:00"/>
        <d v="2017-08-07T00:00:00"/>
        <d v="2017-04-14T00:00:00"/>
        <d v="2017-06-29T00:00:00"/>
        <d v="2019-10-19T00:00:00"/>
        <d v="2017-05-15T00:00:00"/>
        <d v="2017-04-05T00:00:00"/>
        <d v="2017-01-25T00:00:00"/>
        <d v="2016-04-12T00:00:00"/>
        <d v="2019-08-04T00:00:00"/>
        <d v="2017-09-11T00:00:00"/>
        <d v="2016-12-27T00:00:00"/>
        <d v="2017-08-28T00:00:00"/>
        <d v="2016-11-23T00:00:00"/>
        <d v="2019-10-23T00:00:00"/>
        <d v="2017-01-08T00:00:00"/>
        <d v="2018-01-11T00:00:00"/>
        <d v="2017-05-30T00:00:00"/>
        <d v="2019-11-12T00:00:00"/>
        <d v="2018-10-14T00:00:00"/>
        <d v="2018-01-23T00:00:00"/>
        <d v="2017-08-11T00:00:00"/>
        <d v="2019-12-19T00:00:00"/>
        <d v="2017-05-19T00:00:00"/>
        <d v="2016-02-14T00:00:00"/>
        <d v="2017-10-27T00:00:00"/>
        <d v="2019-03-05T00:00:00"/>
        <d v="2019-08-30T00:00:00"/>
        <d v="2016-07-14T00:00:00"/>
        <d v="2016-11-18T00:00:00"/>
        <d v="2019-04-14T00:00:00"/>
        <d v="2018-03-12T00:00:00"/>
        <d v="2016-07-15T00:00:00"/>
        <d v="2016-06-18T00:00:00"/>
        <d v="2017-06-08T00:00:00"/>
        <d v="2018-02-13T00:00:00"/>
        <d v="2016-01-31T00:00:00"/>
        <d v="2019-02-07T00:00:00"/>
        <d v="2018-12-30T00:00:00"/>
        <d v="2016-06-26T00:00:00"/>
        <d v="2016-02-28T00:00:00"/>
        <d v="2017-08-04T00:00:00"/>
        <d v="2016-07-24T00:00:00"/>
        <d v="2018-07-24T00:00:00"/>
        <d v="2018-09-07T00:00:00"/>
        <d v="2017-11-29T00:00:00"/>
        <d v="2018-01-03T00:00:00"/>
        <d v="2018-05-05T00:00:00"/>
        <d v="2018-04-24T00:00:00"/>
        <d v="2017-03-22T00:00:00"/>
        <d v="2016-02-06T00:00:00"/>
        <d v="2016-05-17T00:00:00"/>
        <d v="2017-05-04T00:00:00"/>
        <d v="2017-06-30T00:00:00"/>
        <d v="2016-01-22T00:00:00"/>
        <d v="2016-08-04T00:00:00"/>
        <d v="2016-12-06T00:00:00"/>
        <d v="2017-08-06T00:00:00"/>
        <d v="2019-02-12T00:00:00"/>
        <d v="2019-09-30T00:00:00"/>
        <d v="2019-08-05T00:00:00"/>
        <d v="2019-11-14T00:00:00"/>
        <d v="2016-07-11T00:00:00"/>
        <d v="2017-04-25T00:00:00"/>
        <d v="2016-08-16T00:00:00"/>
        <d v="2017-03-26T00:00:00"/>
        <d v="2019-06-27T00:00:00"/>
        <d v="2017-10-11T00:00:00"/>
        <d v="2018-02-26T00:00:00"/>
        <d v="2016-02-19T00:00:00"/>
        <d v="2016-06-05T00:00:00"/>
        <d v="2016-07-19T00:00:00"/>
        <d v="2019-03-03T00:00:00"/>
        <d v="2018-04-19T00:00:00"/>
        <d v="2017-10-15T00:00:00"/>
        <d v="2016-09-12T00:00:00"/>
        <d v="2019-08-03T00:00:00"/>
        <d v="2018-05-17T00:00:00"/>
        <d v="2019-04-20T00:00:00"/>
        <d v="2016-09-16T00:00:00"/>
        <d v="2016-04-04T00:00:00"/>
        <d v="2017-06-07T00:00:00"/>
        <d v="2019-01-01T00:00:00"/>
        <d v="2017-01-29T00:00:00"/>
        <d v="2019-09-11T00:00:00"/>
        <d v="2019-11-23T00:00:00"/>
        <d v="2019-06-05T00:00:00"/>
        <d v="2019-12-23T00:00:00"/>
        <d v="2017-06-20T00:00:00"/>
        <d v="2018-11-30T00:00:00"/>
        <d v="2016-08-23T00:00:00"/>
        <d v="2016-04-06T00:00:00"/>
        <d v="2017-11-01T00:00:00"/>
        <d v="2017-07-30T00:00:00"/>
        <d v="2018-02-04T00:00:00"/>
        <d v="2018-07-05T00:00:00"/>
        <d v="2018-11-13T00:00:00"/>
        <d v="2018-07-15T00:00:00"/>
        <d v="2017-08-10T00:00:00"/>
        <d v="2016-07-22T00:00:00"/>
        <d v="2018-10-04T00:00:00"/>
        <d v="2018-08-03T00:00:00"/>
        <d v="2018-04-03T00:00:00"/>
        <d v="2017-06-02T00:00:00"/>
        <d v="2016-06-25T00:00:00"/>
        <d v="2017-04-08T00:00:00"/>
        <d v="2016-10-27T00:00:00"/>
        <d v="2016-11-01T00:00:00"/>
        <d v="2018-03-26T00:00:00"/>
        <d v="2018-03-22T00:00:00"/>
        <d v="2018-12-20T00:00:00"/>
        <d v="2017-10-06T00:00:00"/>
        <d v="2018-12-26T00:00:00"/>
        <d v="2017-04-18T00:00:00"/>
        <d v="2019-07-03T00:00:00"/>
        <d v="2016-12-07T00:00:00"/>
        <d v="2016-07-31T00:00:00"/>
        <d v="2016-11-11T00:00:00"/>
        <d v="2019-02-25T00:00:00"/>
        <d v="2017-11-13T00:00:00"/>
        <d v="2016-01-16T00:00:00"/>
        <d v="2018-09-18T00:00:00"/>
        <d v="2019-04-18T00:00:00"/>
        <d v="2019-06-06T00:00:00"/>
        <d v="2017-05-26T00:00:00"/>
        <d v="2019-07-30T00:00:00"/>
        <d v="2019-12-09T00:00:00"/>
        <d v="2018-02-01T00:00:00"/>
        <d v="2019-11-22T00:00:00"/>
        <d v="2016-05-26T00:00:00"/>
        <d v="2018-04-30T00:00:00"/>
        <d v="2019-02-23T00:00:00"/>
        <d v="2018-10-16T00:00:00"/>
        <d v="2016-09-21T00:00:00"/>
        <d v="2018-12-15T00:00:00"/>
        <d v="2016-12-30T00:00:00"/>
        <d v="2017-09-26T00:00:00"/>
        <d v="2018-02-18T00:00:00"/>
        <d v="2016-08-17T00:00:00"/>
        <d v="2017-07-23T00:00:00"/>
        <d v="2019-03-01T00:00:00"/>
        <d v="2019-08-21T00:00:00"/>
        <d v="2019-11-11T00:00:00"/>
        <d v="2017-03-07T00:00:00"/>
        <d v="2019-08-25T00:00:00"/>
        <d v="2018-09-11T00:00:00"/>
        <d v="2018-11-17T00:00:00"/>
        <d v="2017-07-17T00:00:00"/>
        <d v="2017-07-31T00:00:00"/>
        <d v="2016-02-27T00:00:00"/>
        <d v="2017-12-21T00:00:00"/>
        <d v="2017-09-03T00:00:00"/>
        <d v="2019-01-25T00:00:00"/>
        <d v="2018-01-19T00:00:00"/>
        <d v="2017-08-30T00:00:00"/>
        <d v="2016-02-25T00:00:00"/>
        <d v="2017-02-11T00:00:00"/>
        <d v="2017-11-18T00:00:00"/>
        <d v="2017-05-07T00:00:00"/>
        <d v="2018-03-04T00:00:00"/>
        <d v="2019-09-26T00:00:00"/>
        <d v="2016-08-05T00:00:00"/>
        <d v="2019-05-17T00:00:00"/>
        <d v="2019-01-20T00:00:00"/>
      </sharedItems>
    </cacheField>
    <cacheField name="Year" numFmtId="169">
      <sharedItems containsSemiMixedTypes="0" containsNonDate="0" containsDate="1" containsString="0" minDate="2016-01-02T00:00:00" maxDate="2020-09-02T00:00:00"/>
    </cacheField>
    <cacheField name="Month No." numFmtId="0">
      <sharedItems containsSemiMixedTypes="0" containsString="0" containsNumber="1" containsInteger="1" minValue="1" maxValue="12"/>
    </cacheField>
    <cacheField name="Month" numFmtId="166">
      <sharedItems containsSemiMixedTypes="0" containsNonDate="0" containsDate="1" containsString="0" minDate="2016-01-02T00:00:00" maxDate="2020-09-02T00:00:00" count="208">
        <d v="2019-08-01T00:00:00"/>
        <d v="2020-09-01T00:00:00"/>
        <d v="2020-03-01T00:00:00"/>
        <d v="2019-04-01T00:00:00"/>
        <d v="2018-05-01T00:00:00"/>
        <d v="2016-09-14T00:00:00"/>
        <d v="2017-07-26T00:00:00"/>
        <d v="2017-06-05T00:00:00"/>
        <d v="2017-12-28T00:00:00"/>
        <d v="2017-07-20T00:00:00"/>
        <d v="2019-10-11T00:00:00"/>
        <d v="2017-12-31T00:00:00"/>
        <d v="2019-01-17T00:00:00"/>
        <d v="2016-04-16T00:00:00"/>
        <d v="2017-01-17T00:00:00"/>
        <d v="2019-03-20T00:00:00"/>
        <d v="2018-03-02T00:00:00"/>
        <d v="2018-09-30T00:00:00"/>
        <d v="2018-02-22T00:00:00"/>
        <d v="2017-11-16T00:00:00"/>
        <d v="2017-08-01T00:00:00"/>
        <d v="2019-02-13T00:00:00"/>
        <d v="2018-04-17T00:00:00"/>
        <d v="2018-12-05T00:00:00"/>
        <d v="2016-01-02T00:00:00"/>
        <d v="2019-07-29T00:00:00"/>
        <d v="2017-02-12T00:00:00"/>
        <d v="2019-06-10T00:00:00"/>
        <d v="2016-12-02T00:00:00"/>
        <d v="2016-06-12T00:00:00"/>
        <d v="2018-03-01T00:00:00"/>
        <d v="2018-07-23T00:00:00"/>
        <d v="2017-11-12T00:00:00"/>
        <d v="2017-07-18T00:00:00"/>
        <d v="2017-03-01T00:00:00"/>
        <d v="2019-01-09T00:00:00"/>
        <d v="2016-05-10T00:00:00"/>
        <d v="2018-10-28T00:00:00"/>
        <d v="2016-03-11T00:00:00"/>
        <d v="2016-10-21T00:00:00"/>
        <d v="2019-08-14T00:00:00"/>
        <d v="2018-07-12T00:00:00"/>
        <d v="2018-03-16T00:00:00"/>
        <d v="2019-09-29T00:00:00"/>
        <d v="2017-04-11T00:00:00"/>
        <d v="2017-08-07T00:00:00"/>
        <d v="2017-04-14T00:00:00"/>
        <d v="2017-06-29T00:00:00"/>
        <d v="2019-10-19T00:00:00"/>
        <d v="2017-05-15T00:00:00"/>
        <d v="2017-04-05T00:00:00"/>
        <d v="2017-01-25T00:00:00"/>
        <d v="2016-04-12T00:00:00"/>
        <d v="2019-08-04T00:00:00"/>
        <d v="2017-09-11T00:00:00"/>
        <d v="2016-12-27T00:00:00"/>
        <d v="2017-08-28T00:00:00"/>
        <d v="2016-11-23T00:00:00"/>
        <d v="2019-10-23T00:00:00"/>
        <d v="2017-01-08T00:00:00"/>
        <d v="2018-01-11T00:00:00"/>
        <d v="2017-05-30T00:00:00"/>
        <d v="2019-11-12T00:00:00"/>
        <d v="2018-10-14T00:00:00"/>
        <d v="2018-01-23T00:00:00"/>
        <d v="2017-08-11T00:00:00"/>
        <d v="2019-12-19T00:00:00"/>
        <d v="2017-05-19T00:00:00"/>
        <d v="2016-02-14T00:00:00"/>
        <d v="2017-10-27T00:00:00"/>
        <d v="2019-03-05T00:00:00"/>
        <d v="2019-08-30T00:00:00"/>
        <d v="2016-07-14T00:00:00"/>
        <d v="2016-11-18T00:00:00"/>
        <d v="2019-04-14T00:00:00"/>
        <d v="2018-03-12T00:00:00"/>
        <d v="2016-07-15T00:00:00"/>
        <d v="2016-06-18T00:00:00"/>
        <d v="2017-06-08T00:00:00"/>
        <d v="2018-02-13T00:00:00"/>
        <d v="2016-01-31T00:00:00"/>
        <d v="2019-02-07T00:00:00"/>
        <d v="2018-12-30T00:00:00"/>
        <d v="2016-06-26T00:00:00"/>
        <d v="2016-02-28T00:00:00"/>
        <d v="2017-08-04T00:00:00"/>
        <d v="2016-07-24T00:00:00"/>
        <d v="2018-07-24T00:00:00"/>
        <d v="2018-09-07T00:00:00"/>
        <d v="2017-11-29T00:00:00"/>
        <d v="2018-01-03T00:00:00"/>
        <d v="2018-05-05T00:00:00"/>
        <d v="2018-04-24T00:00:00"/>
        <d v="2017-03-22T00:00:00"/>
        <d v="2016-02-06T00:00:00"/>
        <d v="2016-05-17T00:00:00"/>
        <d v="2017-05-04T00:00:00"/>
        <d v="2017-06-30T00:00:00"/>
        <d v="2016-01-22T00:00:00"/>
        <d v="2016-08-04T00:00:00"/>
        <d v="2016-12-06T00:00:00"/>
        <d v="2017-08-06T00:00:00"/>
        <d v="2019-02-12T00:00:00"/>
        <d v="2019-09-30T00:00:00"/>
        <d v="2019-08-05T00:00:00"/>
        <d v="2019-11-14T00:00:00"/>
        <d v="2016-07-11T00:00:00"/>
        <d v="2017-04-25T00:00:00"/>
        <d v="2016-08-16T00:00:00"/>
        <d v="2017-03-26T00:00:00"/>
        <d v="2019-06-27T00:00:00"/>
        <d v="2017-10-11T00:00:00"/>
        <d v="2018-02-26T00:00:00"/>
        <d v="2016-02-19T00:00:00"/>
        <d v="2016-06-05T00:00:00"/>
        <d v="2016-07-19T00:00:00"/>
        <d v="2019-03-03T00:00:00"/>
        <d v="2018-04-19T00:00:00"/>
        <d v="2017-10-15T00:00:00"/>
        <d v="2016-09-12T00:00:00"/>
        <d v="2019-08-03T00:00:00"/>
        <d v="2018-05-17T00:00:00"/>
        <d v="2019-04-20T00:00:00"/>
        <d v="2016-09-16T00:00:00"/>
        <d v="2016-04-04T00:00:00"/>
        <d v="2017-06-07T00:00:00"/>
        <d v="2019-01-01T00:00:00"/>
        <d v="2017-01-29T00:00:00"/>
        <d v="2019-09-11T00:00:00"/>
        <d v="2019-11-23T00:00:00"/>
        <d v="2019-06-05T00:00:00"/>
        <d v="2019-12-23T00:00:00"/>
        <d v="2017-06-20T00:00:00"/>
        <d v="2018-11-30T00:00:00"/>
        <d v="2016-08-23T00:00:00"/>
        <d v="2016-04-06T00:00:00"/>
        <d v="2017-11-01T00:00:00"/>
        <d v="2017-07-30T00:00:00"/>
        <d v="2018-02-04T00:00:00"/>
        <d v="2018-07-05T00:00:00"/>
        <d v="2018-11-13T00:00:00"/>
        <d v="2018-07-15T00:00:00"/>
        <d v="2017-08-10T00:00:00"/>
        <d v="2016-07-22T00:00:00"/>
        <d v="2018-10-04T00:00:00"/>
        <d v="2018-08-03T00:00:00"/>
        <d v="2018-04-03T00:00:00"/>
        <d v="2017-06-02T00:00:00"/>
        <d v="2016-06-25T00:00:00"/>
        <d v="2017-04-08T00:00:00"/>
        <d v="2016-10-27T00:00:00"/>
        <d v="2016-11-01T00:00:00"/>
        <d v="2018-03-26T00:00:00"/>
        <d v="2018-03-22T00:00:00"/>
        <d v="2018-12-20T00:00:00"/>
        <d v="2017-10-06T00:00:00"/>
        <d v="2018-12-26T00:00:00"/>
        <d v="2017-04-18T00:00:00"/>
        <d v="2019-07-03T00:00:00"/>
        <d v="2016-12-07T00:00:00"/>
        <d v="2016-07-31T00:00:00"/>
        <d v="2016-11-11T00:00:00"/>
        <d v="2019-02-25T00:00:00"/>
        <d v="2017-11-13T00:00:00"/>
        <d v="2016-01-16T00:00:00"/>
        <d v="2018-09-18T00:00:00"/>
        <d v="2019-04-18T00:00:00"/>
        <d v="2019-06-06T00:00:00"/>
        <d v="2017-05-26T00:00:00"/>
        <d v="2019-07-30T00:00:00"/>
        <d v="2019-12-09T00:00:00"/>
        <d v="2018-02-01T00:00:00"/>
        <d v="2019-11-22T00:00:00"/>
        <d v="2016-05-26T00:00:00"/>
        <d v="2018-04-30T00:00:00"/>
        <d v="2019-02-23T00:00:00"/>
        <d v="2018-10-16T00:00:00"/>
        <d v="2016-09-21T00:00:00"/>
        <d v="2018-12-15T00:00:00"/>
        <d v="2016-12-30T00:00:00"/>
        <d v="2017-09-26T00:00:00"/>
        <d v="2018-02-18T00:00:00"/>
        <d v="2016-08-17T00:00:00"/>
        <d v="2017-07-23T00:00:00"/>
        <d v="2019-03-01T00:00:00"/>
        <d v="2019-08-21T00:00:00"/>
        <d v="2019-11-11T00:00:00"/>
        <d v="2017-03-07T00:00:00"/>
        <d v="2019-08-25T00:00:00"/>
        <d v="2018-09-11T00:00:00"/>
        <d v="2018-11-17T00:00:00"/>
        <d v="2017-07-17T00:00:00"/>
        <d v="2017-07-31T00:00:00"/>
        <d v="2016-02-27T00:00:00"/>
        <d v="2017-12-21T00:00:00"/>
        <d v="2017-09-03T00:00:00"/>
        <d v="2019-01-25T00:00:00"/>
        <d v="2018-01-19T00:00:00"/>
        <d v="2017-08-30T00:00:00"/>
        <d v="2016-02-25T00:00:00"/>
        <d v="2017-02-11T00:00:00"/>
        <d v="2017-11-18T00:00:00"/>
        <d v="2017-05-07T00:00:00"/>
        <d v="2018-03-04T00:00:00"/>
        <d v="2019-09-26T00:00:00"/>
        <d v="2016-08-05T00:00:00"/>
        <d v="2019-05-17T00:00:00"/>
        <d v="2019-01-20T00:00:00"/>
      </sharedItems>
      <fieldGroup par="25" base="3">
        <rangePr groupBy="months" startDate="2016-01-02T00:00:00" endDate="2020-09-02T00:00:00"/>
        <groupItems count="14">
          <s v="&lt;01/02/2016"/>
          <s v="Jan"/>
          <s v="Feb"/>
          <s v="Mar"/>
          <s v="Apr"/>
          <s v="May"/>
          <s v="Jun"/>
          <s v="Jul"/>
          <s v="Aug"/>
          <s v="Sep"/>
          <s v="Oct"/>
          <s v="Nov"/>
          <s v="Dec"/>
          <s v="&gt;09/02/2020"/>
        </groupItems>
      </fieldGroup>
    </cacheField>
    <cacheField name="Week" numFmtId="0">
      <sharedItems containsSemiMixedTypes="0" containsString="0" containsNumber="1" containsInteger="1" minValue="1" maxValue="53"/>
    </cacheField>
    <cacheField name="Emp Name" numFmtId="0">
      <sharedItems/>
    </cacheField>
    <cacheField name="Emp Code" numFmtId="0">
      <sharedItems containsMixedTypes="1" containsNumber="1" containsInteger="1" minValue="250001" maxValue="250228" count="275">
        <s v="ID250211"/>
        <s v="ID250017"/>
        <s v="ID250169"/>
        <s v="ID250070"/>
        <s v="ID250197"/>
        <s v="ID250189"/>
        <s v="ID250054"/>
        <s v="ID250220"/>
        <s v="ID250002"/>
        <s v="ID250117"/>
        <s v="ID250073"/>
        <s v="ID250049"/>
        <s v="ID250042"/>
        <s v="ID250234"/>
        <s v="ID250237"/>
        <s v="ID250072"/>
        <s v="ID250204"/>
        <s v="ID250109"/>
        <s v="ID250188"/>
        <s v="ID250064"/>
        <s v="ID250132"/>
        <s v="ID250037"/>
        <s v="ID250279"/>
        <s v="ID250162"/>
        <s v="ID250198"/>
        <s v="ID250184"/>
        <s v="ID250148"/>
        <s v="ID250114"/>
        <s v="ID250134"/>
        <s v="ID250238"/>
        <s v="ID250061"/>
        <s v="ID250213"/>
        <s v="ID250001"/>
        <s v="ID250036"/>
        <s v="ID250085"/>
        <s v="ID250192"/>
        <s v="ID250022"/>
        <s v="ID250013"/>
        <s v="ID250081"/>
        <s v="ID250075"/>
        <s v="ID250057"/>
        <s v="ID250138"/>
        <s v="ID250257"/>
        <s v="ID250209"/>
        <s v="ID250170"/>
        <s v="ID250050"/>
        <s v="ID250040"/>
        <s v="ID250147"/>
        <s v="ID250177"/>
        <s v="ID250179"/>
        <s v="ID250156"/>
        <s v="ID250256"/>
        <s v="ID250182"/>
        <s v="ID250032"/>
        <s v="ID250043"/>
        <s v="ID250235"/>
        <s v="ID250006"/>
        <s v="ID250278"/>
        <s v="ID250093"/>
        <s v="ID250251"/>
        <s v="ID250221"/>
        <s v="ID250077"/>
        <s v="ID250224"/>
        <s v="ID250136"/>
        <s v="ID250252"/>
        <s v="ID250167"/>
        <s v="ID250099"/>
        <s v="ID250125"/>
        <s v="ID250154"/>
        <s v="ID250267"/>
        <s v="ID250128"/>
        <s v="ID250137"/>
        <s v="ID250226"/>
        <s v="ID250196"/>
        <s v="ID250216"/>
        <s v="ID250244"/>
        <s v="ID250029"/>
        <s v="ID250097"/>
        <s v="ID250200"/>
        <s v="ID250207"/>
        <s v="ID250083"/>
        <s v="ID250135"/>
        <s v="ID250107"/>
        <s v="ID250052"/>
        <s v="ID250254"/>
        <s v="ID250004"/>
        <s v="ID250288"/>
        <s v="ID250289"/>
        <s v="ID250271"/>
        <s v="ID250272"/>
        <s v="ID250095"/>
        <s v="ID250151"/>
        <s v="ID250100"/>
        <s v="ID250215"/>
        <s v="ID250214"/>
        <s v="ID250018"/>
        <s v="ID250124"/>
        <s v="ID250277"/>
        <s v="ID250021"/>
        <s v="ID250079"/>
        <s v="ID250183"/>
        <s v="ID250092"/>
        <s v="ID250035"/>
        <s v="ID250005"/>
        <s v="ID250260"/>
        <s v="ID250164"/>
        <s v="ID250243"/>
        <s v="ID250160"/>
        <s v="ID250143"/>
        <s v="ID250012"/>
        <s v="ID250145"/>
        <s v="ID250250"/>
        <s v="ID250084"/>
        <s v="ID250106"/>
        <s v="ID250047"/>
        <s v="ID250222"/>
        <s v="ID250233"/>
        <s v="ID250241"/>
        <s v="ID250030"/>
        <s v="ID250190"/>
        <s v="ID250230"/>
        <s v="ID250242"/>
        <s v="ID250245"/>
        <s v="ID250034"/>
        <s v="ID250090"/>
        <s v="ID250119"/>
        <s v="ID250202"/>
        <s v="ID250255"/>
        <s v="ID250010"/>
        <s v="ID250089"/>
        <s v="ID250039"/>
        <s v="ID250033"/>
        <s v="ID250240"/>
        <s v="ID250063"/>
        <s v="ID250058"/>
        <s v="ID250069"/>
        <s v="ID250110"/>
        <s v="ID250142"/>
        <s v="ID250041"/>
        <s v="ID250268"/>
        <s v="ID250078"/>
        <s v="ID250116"/>
        <s v="ID250284"/>
        <s v="ID250133"/>
        <s v="ID250201"/>
        <s v="ID250091"/>
        <s v="ID250015"/>
        <s v="ID250115"/>
        <s v="ID250194"/>
        <s v="ID250048"/>
        <n v="250034" u="1"/>
        <n v="250081" u="1"/>
        <n v="250221" u="1"/>
        <n v="250128" u="1"/>
        <n v="250035" u="1"/>
        <n v="250222" u="1"/>
        <n v="250129" u="1"/>
        <n v="250036" u="1"/>
        <n v="250083" u="1"/>
        <n v="250037" u="1"/>
        <n v="250177" u="1"/>
        <n v="250084" u="1"/>
        <n v="250224" u="1"/>
        <n v="250085" u="1"/>
        <n v="250132" u="1"/>
        <n v="250039" u="1"/>
        <n v="250179" u="1"/>
        <n v="250226" u="1"/>
        <n v="250133" u="1"/>
        <n v="250040" u="1"/>
        <n v="250134" u="1"/>
        <n v="250041" u="1"/>
        <n v="250228" u="1"/>
        <n v="250135" u="1"/>
        <n v="250042" u="1"/>
        <n v="250182" u="1"/>
        <n v="250089" u="1"/>
        <n v="250136" u="1"/>
        <n v="250043" u="1"/>
        <n v="250183" u="1"/>
        <n v="250090" u="1"/>
        <n v="250137" u="1"/>
        <n v="250184" u="1"/>
        <n v="250091" u="1"/>
        <n v="250138" u="1"/>
        <n v="250092" u="1"/>
        <n v="250093" u="1"/>
        <n v="250047" u="1"/>
        <n v="250001" u="1"/>
        <n v="250048" u="1"/>
        <n v="250188" u="1"/>
        <n v="250095" u="1"/>
        <n v="250002" u="1"/>
        <n v="250142" u="1"/>
        <n v="250049" u="1"/>
        <n v="250189" u="1"/>
        <n v="250143" u="1"/>
        <n v="250050" u="1"/>
        <n v="250190" u="1"/>
        <n v="250097" u="1"/>
        <n v="250004" u="1"/>
        <n v="250005" u="1"/>
        <n v="250145" u="1"/>
        <n v="250052" u="1"/>
        <n v="250192" u="1"/>
        <n v="250099" u="1"/>
        <n v="250006" u="1"/>
        <n v="250100" u="1"/>
        <n v="250147" u="1"/>
        <n v="250054" u="1"/>
        <n v="250194" u="1"/>
        <n v="250148" u="1"/>
        <n v="250149" u="1"/>
        <n v="250196" u="1"/>
        <n v="250010" u="1"/>
        <n v="250057" u="1"/>
        <n v="250197" u="1"/>
        <n v="250151" u="1"/>
        <n v="250058" u="1"/>
        <n v="250198" u="1"/>
        <n v="250012" u="1"/>
        <n v="250199" u="1"/>
        <n v="250106" u="1"/>
        <n v="250013" u="1"/>
        <n v="250200" u="1"/>
        <n v="250107" u="1"/>
        <n v="250154" u="1"/>
        <n v="250061" u="1"/>
        <n v="250201" u="1"/>
        <n v="250015" u="1"/>
        <n v="250202" u="1"/>
        <n v="250109" u="1"/>
        <n v="250156" u="1"/>
        <n v="250063" u="1"/>
        <n v="250110" u="1"/>
        <n v="250017" u="1"/>
        <n v="250064" u="1"/>
        <n v="250204" u="1"/>
        <n v="250018" u="1"/>
        <n v="250160" u="1"/>
        <n v="250207" u="1"/>
        <n v="250114" u="1"/>
        <n v="250021" u="1"/>
        <n v="250115" u="1"/>
        <n v="250022" u="1"/>
        <n v="250162" u="1"/>
        <n v="250069" u="1"/>
        <n v="250209" u="1"/>
        <n v="250116" u="1"/>
        <n v="250070" u="1"/>
        <n v="250117" u="1"/>
        <n v="250164" u="1"/>
        <n v="250211" u="1"/>
        <n v="250072" u="1"/>
        <n v="250119" u="1"/>
        <n v="250073" u="1"/>
        <n v="250213" u="1"/>
        <n v="250167" u="1"/>
        <n v="250214" u="1"/>
        <n v="250075" u="1"/>
        <n v="250215" u="1"/>
        <n v="250029" u="1"/>
        <n v="250169" u="1"/>
        <n v="250216" u="1"/>
        <n v="250030" u="1"/>
        <n v="250170" u="1"/>
        <n v="250077" u="1"/>
        <n v="250124" u="1"/>
        <n v="250078" u="1"/>
        <n v="250125" u="1"/>
        <n v="250032" u="1"/>
        <n v="250079" u="1"/>
        <n v="250219" u="1"/>
        <n v="250033" u="1"/>
        <n v="250220" u="1"/>
      </sharedItems>
    </cacheField>
    <cacheField name="Department" numFmtId="0">
      <sharedItems count="10">
        <s v="Planning"/>
        <s v="Material"/>
        <s v="HR"/>
        <s v="Sales"/>
        <s v="Production"/>
        <s v="Quality"/>
        <s v="Procurement"/>
        <s v="Finance"/>
        <s v="" u="1"/>
        <s v="xxxx" u="1"/>
      </sharedItems>
    </cacheField>
    <cacheField name="Title" numFmtId="0">
      <sharedItems count="7">
        <s v="Technician"/>
        <s v="Staff"/>
        <s v="Workrer"/>
        <s v="Manager"/>
        <s v="Senior"/>
        <s v="Junior"/>
        <s v="" u="1"/>
      </sharedItems>
    </cacheField>
    <cacheField name="Gender" numFmtId="0">
      <sharedItems count="3">
        <s v="M"/>
        <s v="F"/>
        <s v="" u="1"/>
      </sharedItems>
    </cacheField>
    <cacheField name="Job type" numFmtId="0">
      <sharedItems count="3">
        <s v="Full time"/>
        <s v="Part time"/>
        <s v="" u="1"/>
      </sharedItems>
    </cacheField>
    <cacheField name="Hiring date" numFmtId="14">
      <sharedItems containsSemiMixedTypes="0" containsNonDate="0" containsDate="1" containsString="0" minDate="2010-01-19T00:00:00" maxDate="2019-11-08T00:00:00"/>
    </cacheField>
    <cacheField name="Age" numFmtId="0">
      <sharedItems containsSemiMixedTypes="0" containsString="0" containsNumber="1" containsInteger="1" minValue="28" maxValue="44" count="17">
        <n v="39"/>
        <n v="28"/>
        <n v="40"/>
        <n v="34"/>
        <n v="37"/>
        <n v="29"/>
        <n v="42"/>
        <n v="36"/>
        <n v="30"/>
        <n v="31"/>
        <n v="41"/>
        <n v="35"/>
        <n v="38"/>
        <n v="43"/>
        <n v="32"/>
        <n v="33"/>
        <n v="44"/>
      </sharedItems>
      <fieldGroup base="12">
        <rangePr autoStart="0" autoEnd="0" startNum="20" endNum="60" groupInterval="5"/>
        <groupItems count="10">
          <s v="&lt;20"/>
          <s v="20-24"/>
          <s v="25-29"/>
          <s v="30-34"/>
          <s v="35-39"/>
          <s v="40-44"/>
          <s v="45-49"/>
          <s v="50-54"/>
          <s v="55-60"/>
          <s v="&gt;60"/>
        </groupItems>
      </fieldGroup>
    </cacheField>
    <cacheField name="Salary" numFmtId="165">
      <sharedItems containsSemiMixedTypes="0" containsString="0" containsNumber="1" containsInteger="1" minValue="4527" maxValue="9801"/>
    </cacheField>
    <cacheField name="Penality" numFmtId="165">
      <sharedItems containsSemiMixedTypes="0" containsString="0" containsNumber="1" containsInteger="1" minValue="0" maxValue="3"/>
    </cacheField>
    <cacheField name="Skill level" numFmtId="165">
      <sharedItems containsSemiMixedTypes="0" containsString="0" containsNumber="1" containsInteger="1" minValue="1" maxValue="5" count="5">
        <n v="4"/>
        <n v="3"/>
        <n v="2"/>
        <n v="5"/>
        <n v="1"/>
      </sharedItems>
    </cacheField>
    <cacheField name="Working days" numFmtId="0">
      <sharedItems containsSemiMixedTypes="0" containsString="0" containsNumber="1" containsInteger="1" minValue="17" maxValue="20"/>
    </cacheField>
    <cacheField name="penality deduction" numFmtId="9">
      <sharedItems containsMixedTypes="1" containsNumber="1" minValue="0.55000000000000004" maxValue="0.85"/>
    </cacheField>
    <cacheField name="Activity" numFmtId="9">
      <sharedItems containsSemiMixedTypes="0" containsString="0" containsNumber="1" minValue="0.70833333333333337" maxValue="1"/>
    </cacheField>
    <cacheField name="Abscene rate" numFmtId="9">
      <sharedItems containsSemiMixedTypes="0" containsString="0" containsNumber="1" minValue="0" maxValue="0.29166666666666663"/>
    </cacheField>
    <cacheField name="KPI achieve" numFmtId="9">
      <sharedItems containsSemiMixedTypes="0" containsString="0" containsNumber="1" minValue="5.5926389008420507E-4" maxValue="0.98930703040612467"/>
    </cacheField>
    <cacheField name="Performance" numFmtId="9">
      <sharedItems containsSemiMixedTypes="0" containsString="0" containsNumber="1" minValue="0.4180158900397698" maxValue="0.94644263945343621"/>
    </cacheField>
    <cacheField name="Increament" numFmtId="165">
      <sharedItems containsString="0" containsBlank="1" containsNumber="1" containsInteger="1" minValue="0" maxValue="1000"/>
    </cacheField>
    <cacheField name="increament %" numFmtId="9">
      <sharedItems containsMixedTypes="1" containsNumber="1" minValue="0" maxValue="0.15669069257286117"/>
    </cacheField>
    <cacheField name="Quarters2" numFmtId="0" databaseField="0">
      <fieldGroup base="3">
        <rangePr groupBy="quarters" startDate="2016-01-02T00:00:00" endDate="2020-09-02T00:00:00"/>
        <groupItems count="6">
          <s v="&lt;01/02/2016"/>
          <s v="Qtr1"/>
          <s v="Qtr2"/>
          <s v="Qtr3"/>
          <s v="Qtr4"/>
          <s v="&gt;09/02/2020"/>
        </groupItems>
      </fieldGroup>
    </cacheField>
    <cacheField name="Years2" numFmtId="0" databaseField="0">
      <fieldGroup base="3">
        <rangePr groupBy="years" startDate="2016-01-02T00:00:00" endDate="2020-09-02T00:00:00"/>
        <groupItems count="7">
          <s v="&lt;01/02/2016"/>
          <s v="2016"/>
          <s v="2017"/>
          <s v="2018"/>
          <s v="2019"/>
          <s v="2020"/>
          <s v="&gt;09/02/2020"/>
        </groupItems>
      </fieldGroup>
    </cacheField>
  </cacheFields>
  <extLst>
    <ext xmlns:x14="http://schemas.microsoft.com/office/spreadsheetml/2009/9/main" uri="{725AE2AE-9491-48be-B2B4-4EB974FC3084}">
      <x14:pivotCacheDefinition pivotCacheId="4015885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
  <r>
    <x v="0"/>
    <d v="2019-08-01T00:00:00"/>
    <n v="8"/>
    <x v="0"/>
    <n v="31"/>
    <s v="employee 211"/>
    <x v="0"/>
    <x v="0"/>
    <x v="0"/>
    <x v="0"/>
    <x v="0"/>
    <d v="2010-02-27T00:00:00"/>
    <x v="0"/>
    <n v="6568"/>
    <n v="1"/>
    <x v="0"/>
    <n v="19"/>
    <n v="0.85"/>
    <n v="0.95"/>
    <n v="5.0000000000000044E-2"/>
    <n v="0.28790183867905272"/>
    <n v="0.69596727955968429"/>
    <n v="500"/>
    <n v="7.6126674786845316E-2"/>
  </r>
  <r>
    <x v="1"/>
    <d v="2020-09-01T00:00:00"/>
    <n v="9"/>
    <x v="1"/>
    <n v="36"/>
    <s v="employee 17"/>
    <x v="1"/>
    <x v="1"/>
    <x v="1"/>
    <x v="1"/>
    <x v="0"/>
    <d v="2017-03-22T00:00:00"/>
    <x v="1"/>
    <n v="6045"/>
    <n v="0"/>
    <x v="1"/>
    <n v="20"/>
    <s v=""/>
    <n v="0.83333333333333337"/>
    <n v="0.16666666666666663"/>
    <n v="0.93190689233323709"/>
    <n v="0.88262011283328523"/>
    <n v="0"/>
    <n v="0"/>
  </r>
  <r>
    <x v="0"/>
    <d v="2019-08-01T00:00:00"/>
    <n v="8"/>
    <x v="0"/>
    <n v="31"/>
    <s v="employee 169"/>
    <x v="2"/>
    <x v="1"/>
    <x v="2"/>
    <x v="0"/>
    <x v="1"/>
    <d v="2011-11-30T00:00:00"/>
    <x v="2"/>
    <n v="5548"/>
    <n v="0"/>
    <x v="1"/>
    <n v="19"/>
    <s v=""/>
    <n v="0.95"/>
    <n v="5.0000000000000044E-2"/>
    <n v="0.94288527890687235"/>
    <n v="0.94644263945343621"/>
    <m/>
    <s v=""/>
  </r>
  <r>
    <x v="2"/>
    <d v="2020-03-01T00:00:00"/>
    <n v="3"/>
    <x v="2"/>
    <n v="10"/>
    <s v="employee 70"/>
    <x v="3"/>
    <x v="0"/>
    <x v="3"/>
    <x v="0"/>
    <x v="1"/>
    <d v="2019-11-07T00:00:00"/>
    <x v="3"/>
    <n v="7162"/>
    <n v="2"/>
    <x v="2"/>
    <n v="20"/>
    <n v="0.7"/>
    <n v="0.86956521739130432"/>
    <n v="0.13043478260869568"/>
    <n v="0.23628368793567867"/>
    <n v="0.60194963510899435"/>
    <n v="300"/>
    <n v="4.1887740854509914E-2"/>
  </r>
  <r>
    <x v="3"/>
    <d v="2019-04-01T00:00:00"/>
    <n v="4"/>
    <x v="3"/>
    <n v="14"/>
    <s v="employee 197"/>
    <x v="4"/>
    <x v="0"/>
    <x v="0"/>
    <x v="1"/>
    <x v="0"/>
    <d v="2017-03-24T00:00:00"/>
    <x v="4"/>
    <n v="5119"/>
    <n v="3"/>
    <x v="0"/>
    <n v="19"/>
    <n v="0.55000000000000004"/>
    <n v="0.79166666666666663"/>
    <n v="0.20833333333333337"/>
    <n v="0.98930703040612467"/>
    <n v="0.77699123235759726"/>
    <m/>
    <s v=""/>
  </r>
  <r>
    <x v="4"/>
    <d v="2018-05-01T00:00:00"/>
    <n v="5"/>
    <x v="4"/>
    <n v="18"/>
    <s v="employee 189"/>
    <x v="5"/>
    <x v="2"/>
    <x v="1"/>
    <x v="1"/>
    <x v="0"/>
    <d v="2012-05-28T00:00:00"/>
    <x v="5"/>
    <n v="4527"/>
    <n v="0"/>
    <x v="3"/>
    <n v="20"/>
    <s v=""/>
    <n v="0.86956521739130432"/>
    <n v="0.13043478260869568"/>
    <n v="0.33021871398113589"/>
    <n v="0.59989196568622005"/>
    <n v="400"/>
    <n v="8.8358736470068477E-2"/>
  </r>
  <r>
    <x v="5"/>
    <d v="2016-09-14T00:00:00"/>
    <n v="9"/>
    <x v="5"/>
    <n v="38"/>
    <s v="employee 54"/>
    <x v="6"/>
    <x v="0"/>
    <x v="1"/>
    <x v="0"/>
    <x v="1"/>
    <d v="2018-01-04T00:00:00"/>
    <x v="6"/>
    <n v="6701"/>
    <n v="0"/>
    <x v="1"/>
    <n v="19"/>
    <s v=""/>
    <n v="0.79166666666666663"/>
    <n v="0.20833333333333337"/>
    <n v="0.81819083350544786"/>
    <n v="0.80492875008605724"/>
    <m/>
    <s v=""/>
  </r>
  <r>
    <x v="6"/>
    <d v="2017-07-26T00:00:00"/>
    <n v="7"/>
    <x v="6"/>
    <n v="30"/>
    <s v="employee 220"/>
    <x v="7"/>
    <x v="3"/>
    <x v="0"/>
    <x v="1"/>
    <x v="0"/>
    <d v="2017-08-18T00:00:00"/>
    <x v="5"/>
    <n v="5767"/>
    <n v="0"/>
    <x v="2"/>
    <n v="18"/>
    <s v=""/>
    <n v="0.81818181818181823"/>
    <n v="0.18181818181818177"/>
    <n v="0.21768578456299248"/>
    <n v="0.5179338013724053"/>
    <m/>
    <s v=""/>
  </r>
  <r>
    <x v="7"/>
    <d v="2017-06-05T00:00:00"/>
    <n v="6"/>
    <x v="7"/>
    <n v="23"/>
    <s v="employee 2"/>
    <x v="8"/>
    <x v="2"/>
    <x v="0"/>
    <x v="1"/>
    <x v="1"/>
    <d v="2015-09-10T00:00:00"/>
    <x v="7"/>
    <n v="8587"/>
    <n v="3"/>
    <x v="0"/>
    <n v="20"/>
    <n v="0.55000000000000004"/>
    <n v="1"/>
    <n v="0"/>
    <n v="3.3769475464332177E-2"/>
    <n v="0.52792315848811078"/>
    <m/>
    <s v=""/>
  </r>
  <r>
    <x v="8"/>
    <d v="2017-12-28T00:00:00"/>
    <n v="12"/>
    <x v="8"/>
    <n v="52"/>
    <s v="employee 117"/>
    <x v="9"/>
    <x v="1"/>
    <x v="2"/>
    <x v="0"/>
    <x v="0"/>
    <d v="2019-05-24T00:00:00"/>
    <x v="7"/>
    <n v="8956"/>
    <n v="1"/>
    <x v="4"/>
    <n v="17"/>
    <n v="0.85"/>
    <n v="0.70833333333333337"/>
    <n v="0.29166666666666663"/>
    <n v="0.12707603834186587"/>
    <n v="0.56180312389173304"/>
    <m/>
    <s v=""/>
  </r>
  <r>
    <x v="9"/>
    <d v="2017-07-20T00:00:00"/>
    <n v="7"/>
    <x v="9"/>
    <n v="29"/>
    <s v="employee 73"/>
    <x v="10"/>
    <x v="0"/>
    <x v="3"/>
    <x v="1"/>
    <x v="1"/>
    <d v="2018-11-14T00:00:00"/>
    <x v="6"/>
    <n v="5663"/>
    <n v="2"/>
    <x v="3"/>
    <n v="17"/>
    <n v="0.7"/>
    <n v="0.77272727272727271"/>
    <n v="0.22727272727272729"/>
    <n v="0.7560205712468625"/>
    <n v="0.74291594799137839"/>
    <m/>
    <s v=""/>
  </r>
  <r>
    <x v="10"/>
    <d v="2019-10-11T00:00:00"/>
    <n v="10"/>
    <x v="10"/>
    <n v="41"/>
    <s v="employee 49"/>
    <x v="11"/>
    <x v="4"/>
    <x v="0"/>
    <x v="1"/>
    <x v="0"/>
    <d v="2017-03-03T00:00:00"/>
    <x v="8"/>
    <n v="5755"/>
    <n v="3"/>
    <x v="4"/>
    <n v="19"/>
    <n v="0.55000000000000004"/>
    <n v="0.86363636363636365"/>
    <n v="0.13636363636363635"/>
    <n v="0.4595536934261929"/>
    <n v="0.62439668568751883"/>
    <m/>
    <s v=""/>
  </r>
  <r>
    <x v="11"/>
    <d v="2017-12-31T00:00:00"/>
    <n v="12"/>
    <x v="11"/>
    <n v="53"/>
    <s v="employee 42"/>
    <x v="12"/>
    <x v="5"/>
    <x v="1"/>
    <x v="0"/>
    <x v="0"/>
    <d v="2014-04-29T00:00:00"/>
    <x v="5"/>
    <n v="9789"/>
    <n v="2"/>
    <x v="3"/>
    <n v="20"/>
    <n v="0.7"/>
    <n v="0.83333333333333337"/>
    <n v="0.16666666666666663"/>
    <n v="0.58237134055870909"/>
    <n v="0.70523489129734751"/>
    <m/>
    <s v=""/>
  </r>
  <r>
    <x v="12"/>
    <d v="2019-01-17T00:00:00"/>
    <n v="1"/>
    <x v="12"/>
    <n v="3"/>
    <s v="employee 234"/>
    <x v="13"/>
    <x v="6"/>
    <x v="3"/>
    <x v="1"/>
    <x v="0"/>
    <d v="2017-07-19T00:00:00"/>
    <x v="7"/>
    <n v="9048"/>
    <n v="1"/>
    <x v="0"/>
    <n v="18"/>
    <n v="0.85"/>
    <n v="0.8571428571428571"/>
    <n v="0.1428571428571429"/>
    <n v="0.65329749423033212"/>
    <n v="0.78681345045772977"/>
    <m/>
    <s v=""/>
  </r>
  <r>
    <x v="13"/>
    <d v="2016-04-16T00:00:00"/>
    <n v="4"/>
    <x v="13"/>
    <n v="16"/>
    <s v="employee 237"/>
    <x v="14"/>
    <x v="0"/>
    <x v="1"/>
    <x v="1"/>
    <x v="1"/>
    <d v="2019-09-16T00:00:00"/>
    <x v="3"/>
    <n v="4699"/>
    <n v="0"/>
    <x v="4"/>
    <n v="17"/>
    <s v=""/>
    <n v="0.70833333333333337"/>
    <n v="0.29166666666666663"/>
    <n v="0.73336366777415152"/>
    <n v="0.72084850055374239"/>
    <m/>
    <s v=""/>
  </r>
  <r>
    <x v="14"/>
    <d v="2017-01-17T00:00:00"/>
    <n v="1"/>
    <x v="14"/>
    <n v="3"/>
    <s v="employee 72"/>
    <x v="15"/>
    <x v="0"/>
    <x v="4"/>
    <x v="1"/>
    <x v="0"/>
    <d v="2017-08-10T00:00:00"/>
    <x v="9"/>
    <n v="8856"/>
    <n v="3"/>
    <x v="2"/>
    <n v="19"/>
    <n v="0.55000000000000004"/>
    <n v="0.90476190476190477"/>
    <n v="9.5238095238095233E-2"/>
    <n v="0.67068399217952612"/>
    <n v="0.70848196564714361"/>
    <m/>
    <s v=""/>
  </r>
  <r>
    <x v="15"/>
    <d v="2019-03-20T00:00:00"/>
    <n v="3"/>
    <x v="15"/>
    <n v="12"/>
    <s v="employee 204"/>
    <x v="16"/>
    <x v="6"/>
    <x v="4"/>
    <x v="0"/>
    <x v="0"/>
    <d v="2015-10-07T00:00:00"/>
    <x v="2"/>
    <n v="8277"/>
    <n v="2"/>
    <x v="1"/>
    <n v="19"/>
    <n v="0.7"/>
    <n v="0.82608695652173914"/>
    <n v="0.17391304347826086"/>
    <n v="0.44978123549858839"/>
    <n v="0.65862273067344257"/>
    <m/>
    <s v=""/>
  </r>
  <r>
    <x v="16"/>
    <d v="2018-03-02T00:00:00"/>
    <n v="3"/>
    <x v="16"/>
    <n v="9"/>
    <s v="employee 109"/>
    <x v="17"/>
    <x v="5"/>
    <x v="2"/>
    <x v="0"/>
    <x v="1"/>
    <d v="2013-01-02T00:00:00"/>
    <x v="10"/>
    <n v="5604"/>
    <n v="3"/>
    <x v="1"/>
    <n v="20"/>
    <n v="0.55000000000000004"/>
    <n v="0.86956521739130432"/>
    <n v="0.13043478260869568"/>
    <n v="0.66334507160864642"/>
    <n v="0.69430342966665037"/>
    <m/>
    <s v=""/>
  </r>
  <r>
    <x v="17"/>
    <d v="2018-09-30T00:00:00"/>
    <n v="9"/>
    <x v="17"/>
    <n v="40"/>
    <s v="employee 188"/>
    <x v="18"/>
    <x v="3"/>
    <x v="1"/>
    <x v="1"/>
    <x v="0"/>
    <d v="2015-12-25T00:00:00"/>
    <x v="7"/>
    <n v="9369"/>
    <n v="1"/>
    <x v="2"/>
    <n v="18"/>
    <n v="0.85"/>
    <n v="0.75"/>
    <n v="0.25"/>
    <n v="0.33279261768729762"/>
    <n v="0.64426420589576594"/>
    <n v="500"/>
    <n v="5.3367488525989965E-2"/>
  </r>
  <r>
    <x v="18"/>
    <d v="2018-02-22T00:00:00"/>
    <n v="2"/>
    <x v="18"/>
    <n v="8"/>
    <s v="employee 64"/>
    <x v="19"/>
    <x v="5"/>
    <x v="1"/>
    <x v="0"/>
    <x v="1"/>
    <d v="2011-05-10T00:00:00"/>
    <x v="6"/>
    <n v="7261"/>
    <n v="0"/>
    <x v="4"/>
    <n v="17"/>
    <s v=""/>
    <n v="0.70833333333333337"/>
    <n v="0.29166666666666663"/>
    <n v="0.19929790079574228"/>
    <n v="0.45381561706453782"/>
    <m/>
    <s v=""/>
  </r>
  <r>
    <x v="19"/>
    <d v="2017-11-16T00:00:00"/>
    <n v="11"/>
    <x v="19"/>
    <n v="46"/>
    <s v="employee 132"/>
    <x v="20"/>
    <x v="2"/>
    <x v="1"/>
    <x v="0"/>
    <x v="0"/>
    <d v="2016-12-25T00:00:00"/>
    <x v="2"/>
    <n v="8305"/>
    <n v="2"/>
    <x v="4"/>
    <n v="20"/>
    <n v="0.7"/>
    <n v="0.86956521739130432"/>
    <n v="0.13043478260869568"/>
    <n v="0.49368616942129273"/>
    <n v="0.68775046227086578"/>
    <m/>
    <s v=""/>
  </r>
  <r>
    <x v="20"/>
    <d v="2017-08-01T00:00:00"/>
    <n v="8"/>
    <x v="20"/>
    <n v="31"/>
    <s v="employee 37"/>
    <x v="21"/>
    <x v="6"/>
    <x v="4"/>
    <x v="1"/>
    <x v="1"/>
    <d v="2016-10-09T00:00:00"/>
    <x v="11"/>
    <n v="8906"/>
    <n v="2"/>
    <x v="3"/>
    <n v="17"/>
    <n v="0.7"/>
    <n v="0.85"/>
    <n v="0.15000000000000002"/>
    <n v="0.14663621722414777"/>
    <n v="0.56554540574138257"/>
    <m/>
    <s v=""/>
  </r>
  <r>
    <x v="21"/>
    <d v="2019-02-13T00:00:00"/>
    <n v="2"/>
    <x v="21"/>
    <n v="7"/>
    <s v="employee 279"/>
    <x v="22"/>
    <x v="1"/>
    <x v="3"/>
    <x v="1"/>
    <x v="1"/>
    <d v="2013-11-25T00:00:00"/>
    <x v="7"/>
    <n v="8765"/>
    <n v="3"/>
    <x v="2"/>
    <n v="18"/>
    <n v="0.55000000000000004"/>
    <n v="0.75"/>
    <n v="0.25"/>
    <n v="0.31947764716934268"/>
    <n v="0.53982588238978091"/>
    <m/>
    <s v=""/>
  </r>
  <r>
    <x v="22"/>
    <d v="2018-04-17T00:00:00"/>
    <n v="4"/>
    <x v="22"/>
    <n v="16"/>
    <s v="employee 162"/>
    <x v="23"/>
    <x v="3"/>
    <x v="4"/>
    <x v="0"/>
    <x v="0"/>
    <d v="2019-01-03T00:00:00"/>
    <x v="8"/>
    <n v="9578"/>
    <n v="3"/>
    <x v="3"/>
    <n v="18"/>
    <n v="0.55000000000000004"/>
    <n v="0.75"/>
    <n v="0.25"/>
    <n v="0.42311348930915904"/>
    <n v="0.57437116310305303"/>
    <m/>
    <s v=""/>
  </r>
  <r>
    <x v="23"/>
    <d v="2018-12-05T00:00:00"/>
    <n v="12"/>
    <x v="23"/>
    <n v="49"/>
    <s v="employee 198"/>
    <x v="24"/>
    <x v="1"/>
    <x v="3"/>
    <x v="1"/>
    <x v="0"/>
    <d v="2011-03-31T00:00:00"/>
    <x v="12"/>
    <n v="9065"/>
    <n v="1"/>
    <x v="0"/>
    <n v="19"/>
    <n v="0.85"/>
    <n v="0.79166666666666663"/>
    <n v="0.20833333333333337"/>
    <n v="0.46204976817080956"/>
    <n v="0.70123881161249202"/>
    <m/>
    <s v=""/>
  </r>
  <r>
    <x v="24"/>
    <d v="2016-01-02T00:00:00"/>
    <n v="1"/>
    <x v="24"/>
    <n v="1"/>
    <s v="employee 184"/>
    <x v="25"/>
    <x v="2"/>
    <x v="5"/>
    <x v="0"/>
    <x v="0"/>
    <d v="2012-06-02T00:00:00"/>
    <x v="10"/>
    <n v="9676"/>
    <n v="3"/>
    <x v="4"/>
    <n v="19"/>
    <n v="0.55000000000000004"/>
    <n v="0.90476190476190477"/>
    <n v="9.5238095238095233E-2"/>
    <n v="0.38916963350232769"/>
    <n v="0.61464384608807754"/>
    <m/>
    <s v=""/>
  </r>
  <r>
    <x v="25"/>
    <d v="2019-07-29T00:00:00"/>
    <n v="7"/>
    <x v="25"/>
    <n v="31"/>
    <s v="employee 148"/>
    <x v="26"/>
    <x v="7"/>
    <x v="1"/>
    <x v="0"/>
    <x v="0"/>
    <d v="2012-01-29T00:00:00"/>
    <x v="13"/>
    <n v="5440"/>
    <n v="0"/>
    <x v="2"/>
    <n v="20"/>
    <s v=""/>
    <n v="0.90909090909090906"/>
    <n v="9.0909090909090939E-2"/>
    <n v="0.79173688633241679"/>
    <n v="0.85041389771166287"/>
    <m/>
    <s v=""/>
  </r>
  <r>
    <x v="26"/>
    <d v="2017-02-12T00:00:00"/>
    <n v="2"/>
    <x v="26"/>
    <n v="7"/>
    <s v="employee 114"/>
    <x v="27"/>
    <x v="0"/>
    <x v="3"/>
    <x v="0"/>
    <x v="0"/>
    <d v="2011-06-20T00:00:00"/>
    <x v="3"/>
    <n v="4822"/>
    <n v="3"/>
    <x v="0"/>
    <n v="17"/>
    <n v="0.55000000000000004"/>
    <n v="0.70833333333333337"/>
    <n v="0.29166666666666663"/>
    <n v="0.142334482240558"/>
    <n v="0.46688927185796381"/>
    <m/>
    <s v=""/>
  </r>
  <r>
    <x v="27"/>
    <d v="2019-06-10T00:00:00"/>
    <n v="6"/>
    <x v="27"/>
    <n v="24"/>
    <s v="employee 134"/>
    <x v="28"/>
    <x v="6"/>
    <x v="1"/>
    <x v="0"/>
    <x v="1"/>
    <d v="2018-12-05T00:00:00"/>
    <x v="6"/>
    <n v="9140"/>
    <n v="2"/>
    <x v="2"/>
    <n v="19"/>
    <n v="0.7"/>
    <n v="0.95"/>
    <n v="5.0000000000000044E-2"/>
    <n v="0.96951094050573761"/>
    <n v="0.87317031350191243"/>
    <n v="700"/>
    <n v="7.6586433260393869E-2"/>
  </r>
  <r>
    <x v="28"/>
    <d v="2016-12-02T00:00:00"/>
    <n v="12"/>
    <x v="28"/>
    <n v="49"/>
    <s v="employee 238"/>
    <x v="29"/>
    <x v="5"/>
    <x v="5"/>
    <x v="1"/>
    <x v="0"/>
    <d v="2012-05-25T00:00:00"/>
    <x v="7"/>
    <n v="8993"/>
    <n v="1"/>
    <x v="0"/>
    <n v="18"/>
    <n v="0.85"/>
    <n v="0.75"/>
    <n v="0.25"/>
    <n v="3.0346178271898339E-2"/>
    <n v="0.54344872609063277"/>
    <m/>
    <s v=""/>
  </r>
  <r>
    <x v="29"/>
    <d v="2016-06-12T00:00:00"/>
    <n v="6"/>
    <x v="29"/>
    <n v="25"/>
    <s v="employee 61"/>
    <x v="30"/>
    <x v="4"/>
    <x v="2"/>
    <x v="1"/>
    <x v="0"/>
    <d v="2015-11-26T00:00:00"/>
    <x v="13"/>
    <n v="8695"/>
    <n v="1"/>
    <x v="4"/>
    <n v="18"/>
    <n v="0.85"/>
    <n v="0.9"/>
    <n v="9.9999999999999978E-2"/>
    <n v="0.7437418294985696"/>
    <n v="0.83124727649952324"/>
    <m/>
    <s v=""/>
  </r>
  <r>
    <x v="30"/>
    <d v="2018-03-01T00:00:00"/>
    <n v="3"/>
    <x v="30"/>
    <n v="9"/>
    <s v="employee 213"/>
    <x v="31"/>
    <x v="3"/>
    <x v="3"/>
    <x v="1"/>
    <x v="0"/>
    <d v="2014-01-30T00:00:00"/>
    <x v="12"/>
    <n v="5032"/>
    <n v="2"/>
    <x v="4"/>
    <n v="19"/>
    <n v="0.7"/>
    <n v="0.82608695652173914"/>
    <n v="0.17391304347826086"/>
    <n v="0.17924260939764325"/>
    <n v="0.56844318863979415"/>
    <m/>
    <s v=""/>
  </r>
  <r>
    <x v="31"/>
    <d v="2018-07-23T00:00:00"/>
    <n v="7"/>
    <x v="31"/>
    <n v="30"/>
    <s v="employee 1"/>
    <x v="32"/>
    <x v="1"/>
    <x v="5"/>
    <x v="0"/>
    <x v="1"/>
    <d v="2012-06-16T00:00:00"/>
    <x v="9"/>
    <n v="4729"/>
    <n v="1"/>
    <x v="2"/>
    <n v="17"/>
    <n v="0.85"/>
    <n v="0.77272727272727271"/>
    <n v="0.22727272727272729"/>
    <n v="0.58758510360750693"/>
    <n v="0.73677079211159324"/>
    <m/>
    <s v=""/>
  </r>
  <r>
    <x v="32"/>
    <d v="2017-11-12T00:00:00"/>
    <n v="11"/>
    <x v="32"/>
    <n v="46"/>
    <s v="employee 36"/>
    <x v="33"/>
    <x v="3"/>
    <x v="0"/>
    <x v="0"/>
    <x v="1"/>
    <d v="2019-07-17T00:00:00"/>
    <x v="6"/>
    <n v="5416"/>
    <n v="1"/>
    <x v="1"/>
    <n v="18"/>
    <n v="0.85"/>
    <n v="0.78260869565217395"/>
    <n v="0.21739130434782605"/>
    <n v="0.74328876604835259"/>
    <n v="0.79196582056684217"/>
    <m/>
    <s v=""/>
  </r>
  <r>
    <x v="33"/>
    <d v="2017-07-18T00:00:00"/>
    <n v="7"/>
    <x v="33"/>
    <n v="29"/>
    <s v="employee 85"/>
    <x v="34"/>
    <x v="7"/>
    <x v="5"/>
    <x v="1"/>
    <x v="0"/>
    <d v="2018-11-28T00:00:00"/>
    <x v="8"/>
    <n v="5218"/>
    <n v="3"/>
    <x v="3"/>
    <n v="18"/>
    <n v="0.55000000000000004"/>
    <n v="0.81818181818181823"/>
    <n v="0.18181818181818177"/>
    <n v="0.13472873919518935"/>
    <n v="0.50097018579233588"/>
    <m/>
    <s v=""/>
  </r>
  <r>
    <x v="34"/>
    <d v="2017-03-01T00:00:00"/>
    <n v="3"/>
    <x v="34"/>
    <n v="9"/>
    <s v="employee 192"/>
    <x v="35"/>
    <x v="2"/>
    <x v="0"/>
    <x v="0"/>
    <x v="1"/>
    <d v="2016-02-18T00:00:00"/>
    <x v="6"/>
    <n v="9035"/>
    <n v="2"/>
    <x v="0"/>
    <n v="18"/>
    <n v="0.7"/>
    <n v="0.78260869565217395"/>
    <n v="0.21739130434782605"/>
    <n v="0.38508152292389386"/>
    <n v="0.62256340619202255"/>
    <m/>
    <s v=""/>
  </r>
  <r>
    <x v="35"/>
    <d v="2019-01-09T00:00:00"/>
    <n v="1"/>
    <x v="35"/>
    <n v="2"/>
    <s v="employee 22"/>
    <x v="36"/>
    <x v="0"/>
    <x v="0"/>
    <x v="1"/>
    <x v="0"/>
    <d v="2010-04-22T00:00:00"/>
    <x v="6"/>
    <n v="5167"/>
    <n v="2"/>
    <x v="4"/>
    <n v="20"/>
    <n v="0.7"/>
    <n v="0.95238095238095233"/>
    <n v="4.7619047619047672E-2"/>
    <n v="0.25181190578131696"/>
    <n v="0.63473095272075641"/>
    <m/>
    <s v=""/>
  </r>
  <r>
    <x v="36"/>
    <d v="2016-05-10T00:00:00"/>
    <n v="5"/>
    <x v="36"/>
    <n v="20"/>
    <s v="employee 13"/>
    <x v="37"/>
    <x v="7"/>
    <x v="2"/>
    <x v="0"/>
    <x v="1"/>
    <d v="2013-09-09T00:00:00"/>
    <x v="10"/>
    <n v="7185"/>
    <n v="3"/>
    <x v="4"/>
    <n v="18"/>
    <n v="0.55000000000000004"/>
    <n v="0.78260869565217395"/>
    <n v="0.21739130434782605"/>
    <n v="0.3406378393531313"/>
    <n v="0.55774884500176847"/>
    <m/>
    <s v=""/>
  </r>
  <r>
    <x v="37"/>
    <d v="2018-10-28T00:00:00"/>
    <n v="10"/>
    <x v="37"/>
    <n v="44"/>
    <s v="employee 81"/>
    <x v="38"/>
    <x v="3"/>
    <x v="2"/>
    <x v="1"/>
    <x v="1"/>
    <d v="2014-05-04T00:00:00"/>
    <x v="11"/>
    <n v="6714"/>
    <n v="2"/>
    <x v="1"/>
    <n v="17"/>
    <n v="0.7"/>
    <n v="0.77272727272727271"/>
    <n v="0.22727272727272729"/>
    <n v="0.94728435105597109"/>
    <n v="0.80667054126108118"/>
    <m/>
    <s v=""/>
  </r>
  <r>
    <x v="38"/>
    <d v="2016-03-11T00:00:00"/>
    <n v="3"/>
    <x v="38"/>
    <n v="11"/>
    <s v="employee 75"/>
    <x v="39"/>
    <x v="3"/>
    <x v="4"/>
    <x v="1"/>
    <x v="0"/>
    <d v="2010-06-20T00:00:00"/>
    <x v="3"/>
    <n v="6780"/>
    <n v="1"/>
    <x v="2"/>
    <n v="18"/>
    <n v="0.85"/>
    <n v="0.78260869565217395"/>
    <n v="0.21739130434782605"/>
    <n v="0.35955326475371785"/>
    <n v="0.66405398680196404"/>
    <m/>
    <s v=""/>
  </r>
  <r>
    <x v="39"/>
    <d v="2016-10-21T00:00:00"/>
    <n v="10"/>
    <x v="39"/>
    <n v="43"/>
    <s v="employee 57"/>
    <x v="40"/>
    <x v="6"/>
    <x v="1"/>
    <x v="0"/>
    <x v="0"/>
    <d v="2012-11-16T00:00:00"/>
    <x v="14"/>
    <n v="9587"/>
    <n v="1"/>
    <x v="3"/>
    <n v="18"/>
    <n v="0.85"/>
    <n v="0.81818181818181823"/>
    <n v="0.18181818181818177"/>
    <n v="0.40343724519225777"/>
    <n v="0.69053968779135866"/>
    <m/>
    <s v=""/>
  </r>
  <r>
    <x v="40"/>
    <d v="2019-08-14T00:00:00"/>
    <n v="8"/>
    <x v="40"/>
    <n v="33"/>
    <s v="employee 138"/>
    <x v="41"/>
    <x v="4"/>
    <x v="0"/>
    <x v="0"/>
    <x v="0"/>
    <d v="2016-11-15T00:00:00"/>
    <x v="2"/>
    <n v="9706"/>
    <n v="1"/>
    <x v="3"/>
    <n v="19"/>
    <n v="0.85"/>
    <n v="0.95"/>
    <n v="5.0000000000000044E-2"/>
    <n v="0.93141233491829556"/>
    <n v="0.91047077830609846"/>
    <n v="1000"/>
    <n v="0.10302905419328251"/>
  </r>
  <r>
    <x v="41"/>
    <d v="2018-07-12T00:00:00"/>
    <n v="7"/>
    <x v="41"/>
    <n v="28"/>
    <s v="employee 257"/>
    <x v="42"/>
    <x v="4"/>
    <x v="0"/>
    <x v="1"/>
    <x v="1"/>
    <d v="2016-07-18T00:00:00"/>
    <x v="15"/>
    <n v="9232"/>
    <n v="1"/>
    <x v="0"/>
    <n v="17"/>
    <n v="0.85"/>
    <n v="0.77272727272727271"/>
    <n v="0.22727272727272729"/>
    <n v="6.2228228961265786E-2"/>
    <n v="0.56165183389617945"/>
    <m/>
    <s v=""/>
  </r>
  <r>
    <x v="42"/>
    <d v="2018-03-16T00:00:00"/>
    <n v="3"/>
    <x v="42"/>
    <n v="11"/>
    <s v="employee 209"/>
    <x v="43"/>
    <x v="0"/>
    <x v="5"/>
    <x v="1"/>
    <x v="0"/>
    <d v="2015-06-22T00:00:00"/>
    <x v="16"/>
    <n v="8565"/>
    <n v="2"/>
    <x v="2"/>
    <n v="18"/>
    <n v="0.7"/>
    <n v="0.78260869565217395"/>
    <n v="0.21739130434782605"/>
    <n v="0.80841972910345472"/>
    <n v="0.76367614158520958"/>
    <m/>
    <s v=""/>
  </r>
  <r>
    <x v="43"/>
    <d v="2019-09-29T00:00:00"/>
    <n v="9"/>
    <x v="43"/>
    <n v="40"/>
    <s v="employee 170"/>
    <x v="44"/>
    <x v="5"/>
    <x v="3"/>
    <x v="0"/>
    <x v="0"/>
    <d v="2014-10-11T00:00:00"/>
    <x v="3"/>
    <n v="5206"/>
    <n v="3"/>
    <x v="1"/>
    <n v="18"/>
    <n v="0.55000000000000004"/>
    <n v="0.75"/>
    <n v="0.25"/>
    <n v="4.7573864024049839E-2"/>
    <n v="0.44919128800801661"/>
    <m/>
    <s v=""/>
  </r>
  <r>
    <x v="44"/>
    <d v="2017-04-11T00:00:00"/>
    <n v="4"/>
    <x v="44"/>
    <n v="15"/>
    <s v="employee 50"/>
    <x v="45"/>
    <x v="7"/>
    <x v="4"/>
    <x v="1"/>
    <x v="0"/>
    <d v="2019-10-24T00:00:00"/>
    <x v="13"/>
    <n v="8858"/>
    <n v="0"/>
    <x v="3"/>
    <n v="17"/>
    <s v=""/>
    <n v="0.70833333333333337"/>
    <n v="0.29166666666666663"/>
    <n v="0.84649979074583437"/>
    <n v="0.77741656203958387"/>
    <m/>
    <s v=""/>
  </r>
  <r>
    <x v="45"/>
    <d v="2017-08-07T00:00:00"/>
    <n v="8"/>
    <x v="45"/>
    <n v="32"/>
    <s v="employee 40"/>
    <x v="46"/>
    <x v="0"/>
    <x v="2"/>
    <x v="0"/>
    <x v="1"/>
    <d v="2014-10-31T00:00:00"/>
    <x v="16"/>
    <n v="6811"/>
    <n v="0"/>
    <x v="0"/>
    <n v="17"/>
    <s v=""/>
    <n v="0.85"/>
    <n v="0.15000000000000002"/>
    <n v="0.35589784458468054"/>
    <n v="0.60294892229234032"/>
    <n v="500"/>
    <n v="7.341065922771986E-2"/>
  </r>
  <r>
    <x v="46"/>
    <d v="2017-04-14T00:00:00"/>
    <n v="4"/>
    <x v="46"/>
    <n v="15"/>
    <s v="employee 147"/>
    <x v="47"/>
    <x v="0"/>
    <x v="1"/>
    <x v="1"/>
    <x v="0"/>
    <d v="2013-01-28T00:00:00"/>
    <x v="2"/>
    <n v="7280"/>
    <n v="0"/>
    <x v="4"/>
    <n v="20"/>
    <s v=""/>
    <n v="0.83333333333333337"/>
    <n v="0.16666666666666663"/>
    <n v="2.6984467462062289E-3"/>
    <n v="0.4180158900397698"/>
    <m/>
    <s v=""/>
  </r>
  <r>
    <x v="47"/>
    <d v="2017-06-29T00:00:00"/>
    <n v="6"/>
    <x v="47"/>
    <n v="26"/>
    <s v="employee 177"/>
    <x v="48"/>
    <x v="3"/>
    <x v="3"/>
    <x v="0"/>
    <x v="0"/>
    <d v="2018-03-15T00:00:00"/>
    <x v="0"/>
    <n v="7713"/>
    <n v="1"/>
    <x v="2"/>
    <n v="17"/>
    <n v="0.85"/>
    <n v="0.85"/>
    <n v="0.15000000000000002"/>
    <n v="0.43475696149940524"/>
    <n v="0.7115856538331351"/>
    <m/>
    <s v=""/>
  </r>
  <r>
    <x v="48"/>
    <d v="2019-10-19T00:00:00"/>
    <n v="10"/>
    <x v="48"/>
    <n v="42"/>
    <s v="employee 179"/>
    <x v="49"/>
    <x v="1"/>
    <x v="2"/>
    <x v="0"/>
    <x v="1"/>
    <d v="2019-08-31T00:00:00"/>
    <x v="7"/>
    <n v="9141"/>
    <n v="1"/>
    <x v="1"/>
    <n v="18"/>
    <n v="0.85"/>
    <n v="0.81818181818181823"/>
    <n v="0.18181818181818177"/>
    <n v="0.79250286692523675"/>
    <n v="0.82022822836901843"/>
    <n v="300"/>
    <n v="3.2819166393173616E-2"/>
  </r>
  <r>
    <x v="49"/>
    <d v="2017-05-15T00:00:00"/>
    <n v="5"/>
    <x v="49"/>
    <n v="20"/>
    <s v="employee 156"/>
    <x v="50"/>
    <x v="0"/>
    <x v="3"/>
    <x v="1"/>
    <x v="0"/>
    <d v="2013-05-11T00:00:00"/>
    <x v="9"/>
    <n v="9109"/>
    <n v="0"/>
    <x v="3"/>
    <n v="19"/>
    <s v=""/>
    <n v="0.82608695652173914"/>
    <n v="0.17391304347826086"/>
    <n v="0.37790863517248408"/>
    <n v="0.60199779584711166"/>
    <m/>
    <s v=""/>
  </r>
  <r>
    <x v="50"/>
    <d v="2017-04-05T00:00:00"/>
    <n v="4"/>
    <x v="50"/>
    <n v="14"/>
    <s v="employee 256"/>
    <x v="51"/>
    <x v="6"/>
    <x v="4"/>
    <x v="1"/>
    <x v="0"/>
    <d v="2014-06-07T00:00:00"/>
    <x v="10"/>
    <n v="4911"/>
    <n v="0"/>
    <x v="1"/>
    <n v="18"/>
    <s v=""/>
    <n v="0.75"/>
    <n v="0.25"/>
    <n v="0.66586428926900587"/>
    <n v="0.70793214463450294"/>
    <m/>
    <s v=""/>
  </r>
  <r>
    <x v="51"/>
    <d v="2017-01-25T00:00:00"/>
    <n v="1"/>
    <x v="51"/>
    <n v="4"/>
    <s v="employee 42"/>
    <x v="12"/>
    <x v="5"/>
    <x v="1"/>
    <x v="0"/>
    <x v="0"/>
    <d v="2014-04-29T00:00:00"/>
    <x v="5"/>
    <n v="9789"/>
    <n v="1"/>
    <x v="3"/>
    <n v="20"/>
    <n v="0.85"/>
    <n v="0.95238095238095233"/>
    <n v="4.7619047619047672E-2"/>
    <n v="0.48300329825527522"/>
    <n v="0.76179475021207577"/>
    <m/>
    <s v=""/>
  </r>
  <r>
    <x v="52"/>
    <d v="2016-04-12T00:00:00"/>
    <n v="4"/>
    <x v="52"/>
    <n v="16"/>
    <s v="employee 182"/>
    <x v="52"/>
    <x v="3"/>
    <x v="3"/>
    <x v="0"/>
    <x v="0"/>
    <d v="2012-12-17T00:00:00"/>
    <x v="12"/>
    <n v="6274"/>
    <n v="1"/>
    <x v="1"/>
    <n v="20"/>
    <n v="0.85"/>
    <n v="0.83333333333333337"/>
    <n v="0.16666666666666663"/>
    <n v="0.53839335418270784"/>
    <n v="0.74057556250534706"/>
    <m/>
    <s v=""/>
  </r>
  <r>
    <x v="53"/>
    <d v="2019-08-04T00:00:00"/>
    <n v="8"/>
    <x v="53"/>
    <n v="32"/>
    <s v="employee 32"/>
    <x v="53"/>
    <x v="5"/>
    <x v="0"/>
    <x v="0"/>
    <x v="1"/>
    <d v="2018-05-11T00:00:00"/>
    <x v="2"/>
    <n v="7916"/>
    <n v="1"/>
    <x v="4"/>
    <n v="17"/>
    <n v="0.85"/>
    <n v="0.85"/>
    <n v="0.15000000000000002"/>
    <n v="0.42769080226078549"/>
    <n v="0.70923026742026185"/>
    <m/>
    <s v=""/>
  </r>
  <r>
    <x v="54"/>
    <d v="2017-09-11T00:00:00"/>
    <n v="9"/>
    <x v="54"/>
    <n v="37"/>
    <s v="employee 43"/>
    <x v="54"/>
    <x v="6"/>
    <x v="2"/>
    <x v="0"/>
    <x v="0"/>
    <d v="2014-09-02T00:00:00"/>
    <x v="16"/>
    <n v="6304"/>
    <n v="0"/>
    <x v="4"/>
    <n v="20"/>
    <s v=""/>
    <n v="0.83333333333333337"/>
    <n v="0.16666666666666663"/>
    <n v="0.94173343831630074"/>
    <n v="0.88753338582481711"/>
    <m/>
    <s v=""/>
  </r>
  <r>
    <x v="55"/>
    <d v="2016-12-27T00:00:00"/>
    <n v="12"/>
    <x v="55"/>
    <n v="53"/>
    <s v="employee 43"/>
    <x v="54"/>
    <x v="6"/>
    <x v="2"/>
    <x v="0"/>
    <x v="0"/>
    <d v="2014-09-02T00:00:00"/>
    <x v="16"/>
    <n v="6304"/>
    <n v="1"/>
    <x v="0"/>
    <n v="17"/>
    <n v="0.85"/>
    <n v="0.70833333333333337"/>
    <n v="0.29166666666666663"/>
    <n v="0.89280579756686318"/>
    <n v="0.8170463769667321"/>
    <m/>
    <s v=""/>
  </r>
  <r>
    <x v="56"/>
    <d v="2017-08-28T00:00:00"/>
    <n v="8"/>
    <x v="56"/>
    <n v="35"/>
    <s v="employee 70"/>
    <x v="3"/>
    <x v="0"/>
    <x v="3"/>
    <x v="0"/>
    <x v="1"/>
    <d v="2019-11-07T00:00:00"/>
    <x v="3"/>
    <n v="7162"/>
    <n v="0"/>
    <x v="3"/>
    <n v="18"/>
    <s v=""/>
    <n v="0.9"/>
    <n v="9.9999999999999978E-2"/>
    <n v="0.91429194105672495"/>
    <n v="0.90714597052836243"/>
    <n v="700"/>
    <n v="9.773806199385647E-2"/>
  </r>
  <r>
    <x v="57"/>
    <d v="2016-11-23T00:00:00"/>
    <n v="11"/>
    <x v="57"/>
    <n v="48"/>
    <s v="employee 235"/>
    <x v="55"/>
    <x v="2"/>
    <x v="3"/>
    <x v="1"/>
    <x v="0"/>
    <d v="2017-08-04T00:00:00"/>
    <x v="0"/>
    <n v="9652"/>
    <n v="3"/>
    <x v="1"/>
    <n v="18"/>
    <n v="0.55000000000000004"/>
    <n v="0.78260869565217395"/>
    <n v="0.21739130434782605"/>
    <n v="0.69393304577617276"/>
    <n v="0.67551391380944903"/>
    <n v="500"/>
    <n v="5.1802735184417741E-2"/>
  </r>
  <r>
    <x v="58"/>
    <d v="2019-10-23T00:00:00"/>
    <n v="10"/>
    <x v="58"/>
    <n v="43"/>
    <s v="employee 6"/>
    <x v="56"/>
    <x v="0"/>
    <x v="2"/>
    <x v="1"/>
    <x v="1"/>
    <d v="2016-01-14T00:00:00"/>
    <x v="12"/>
    <n v="7033"/>
    <n v="2"/>
    <x v="4"/>
    <n v="19"/>
    <n v="0.7"/>
    <n v="0.86363636363636365"/>
    <n v="0.13636363636363635"/>
    <n v="6.0568355802752771E-2"/>
    <n v="0.54140157314637216"/>
    <m/>
    <s v=""/>
  </r>
  <r>
    <x v="59"/>
    <d v="2017-01-08T00:00:00"/>
    <n v="1"/>
    <x v="59"/>
    <n v="2"/>
    <s v="employee 278"/>
    <x v="57"/>
    <x v="2"/>
    <x v="4"/>
    <x v="1"/>
    <x v="0"/>
    <d v="2019-08-12T00:00:00"/>
    <x v="6"/>
    <n v="5507"/>
    <n v="0"/>
    <x v="2"/>
    <n v="17"/>
    <s v=""/>
    <n v="0.80952380952380953"/>
    <n v="0.19047619047619047"/>
    <n v="0.62216229663815803"/>
    <n v="0.71584305308098384"/>
    <m/>
    <s v=""/>
  </r>
  <r>
    <x v="60"/>
    <d v="2018-01-11T00:00:00"/>
    <n v="1"/>
    <x v="60"/>
    <n v="2"/>
    <s v="employee 93"/>
    <x v="58"/>
    <x v="6"/>
    <x v="5"/>
    <x v="1"/>
    <x v="0"/>
    <d v="2018-02-23T00:00:00"/>
    <x v="6"/>
    <n v="5510"/>
    <n v="1"/>
    <x v="0"/>
    <n v="17"/>
    <n v="0.85"/>
    <n v="0.80952380952380953"/>
    <n v="0.19047619047619047"/>
    <n v="0.21635507185056813"/>
    <n v="0.62529296045812588"/>
    <m/>
    <s v=""/>
  </r>
  <r>
    <x v="61"/>
    <d v="2017-05-30T00:00:00"/>
    <n v="5"/>
    <x v="61"/>
    <n v="22"/>
    <s v="employee 251"/>
    <x v="59"/>
    <x v="3"/>
    <x v="0"/>
    <x v="1"/>
    <x v="1"/>
    <d v="2014-12-28T00:00:00"/>
    <x v="15"/>
    <n v="6824"/>
    <n v="0"/>
    <x v="2"/>
    <n v="17"/>
    <s v=""/>
    <n v="0.73913043478260865"/>
    <n v="0.26086956521739135"/>
    <n v="0.89334822441445128"/>
    <n v="0.81623932959852996"/>
    <n v="300"/>
    <n v="4.3962485345838215E-2"/>
  </r>
  <r>
    <x v="62"/>
    <d v="2019-11-12T00:00:00"/>
    <n v="11"/>
    <x v="62"/>
    <n v="46"/>
    <s v="employee 221"/>
    <x v="60"/>
    <x v="6"/>
    <x v="4"/>
    <x v="1"/>
    <x v="0"/>
    <d v="2016-06-16T00:00:00"/>
    <x v="0"/>
    <n v="4705"/>
    <n v="0"/>
    <x v="0"/>
    <n v="20"/>
    <s v=""/>
    <n v="0.86956521739130432"/>
    <n v="0.13043478260869568"/>
    <n v="0.20127025023456624"/>
    <n v="0.53541773381293534"/>
    <m/>
    <s v=""/>
  </r>
  <r>
    <x v="42"/>
    <d v="2018-03-16T00:00:00"/>
    <n v="3"/>
    <x v="42"/>
    <n v="11"/>
    <s v="employee 188"/>
    <x v="18"/>
    <x v="3"/>
    <x v="1"/>
    <x v="1"/>
    <x v="0"/>
    <d v="2015-12-25T00:00:00"/>
    <x v="7"/>
    <n v="9369"/>
    <n v="2"/>
    <x v="4"/>
    <n v="20"/>
    <n v="0.7"/>
    <n v="0.86956521739130432"/>
    <n v="0.13043478260869568"/>
    <n v="0.63841482233450864"/>
    <n v="0.73599334657527093"/>
    <n v="400"/>
    <n v="4.269399082079197E-2"/>
  </r>
  <r>
    <x v="63"/>
    <d v="2018-10-14T00:00:00"/>
    <n v="10"/>
    <x v="63"/>
    <n v="42"/>
    <s v="employee 77"/>
    <x v="61"/>
    <x v="3"/>
    <x v="0"/>
    <x v="1"/>
    <x v="0"/>
    <d v="2018-10-03T00:00:00"/>
    <x v="0"/>
    <n v="6156"/>
    <n v="0"/>
    <x v="0"/>
    <n v="17"/>
    <s v=""/>
    <n v="0.77272727272727271"/>
    <n v="0.22727272727272729"/>
    <n v="0.39609686064849281"/>
    <n v="0.5844120666878827"/>
    <m/>
    <s v=""/>
  </r>
  <r>
    <x v="64"/>
    <d v="2018-01-23T00:00:00"/>
    <n v="1"/>
    <x v="64"/>
    <n v="4"/>
    <s v="employee 238"/>
    <x v="29"/>
    <x v="5"/>
    <x v="5"/>
    <x v="1"/>
    <x v="0"/>
    <d v="2012-05-25T00:00:00"/>
    <x v="7"/>
    <n v="8993"/>
    <n v="3"/>
    <x v="0"/>
    <n v="19"/>
    <n v="0.55000000000000004"/>
    <n v="0.90476190476190477"/>
    <n v="9.5238095238095233E-2"/>
    <n v="0.12770255745546144"/>
    <n v="0.52748815407245542"/>
    <m/>
    <s v=""/>
  </r>
  <r>
    <x v="65"/>
    <d v="2017-08-11T00:00:00"/>
    <n v="8"/>
    <x v="65"/>
    <n v="32"/>
    <s v="employee 224"/>
    <x v="62"/>
    <x v="3"/>
    <x v="5"/>
    <x v="1"/>
    <x v="0"/>
    <d v="2010-08-30T00:00:00"/>
    <x v="15"/>
    <n v="6133"/>
    <n v="1"/>
    <x v="0"/>
    <n v="18"/>
    <n v="0.85"/>
    <n v="0.9"/>
    <n v="9.9999999999999978E-2"/>
    <n v="0.72311665031698003"/>
    <n v="0.82437221677232664"/>
    <m/>
    <s v=""/>
  </r>
  <r>
    <x v="66"/>
    <d v="2019-12-19T00:00:00"/>
    <n v="12"/>
    <x v="66"/>
    <n v="51"/>
    <s v="employee 136"/>
    <x v="63"/>
    <x v="2"/>
    <x v="0"/>
    <x v="0"/>
    <x v="0"/>
    <d v="2012-08-16T00:00:00"/>
    <x v="0"/>
    <n v="8536"/>
    <n v="1"/>
    <x v="3"/>
    <n v="18"/>
    <n v="0.85"/>
    <n v="0.75"/>
    <n v="0.25"/>
    <n v="0.70411135613528086"/>
    <n v="0.76803711871176039"/>
    <m/>
    <s v=""/>
  </r>
  <r>
    <x v="67"/>
    <d v="2017-05-19T00:00:00"/>
    <n v="5"/>
    <x v="67"/>
    <n v="20"/>
    <s v="employee 252"/>
    <x v="64"/>
    <x v="6"/>
    <x v="1"/>
    <x v="1"/>
    <x v="1"/>
    <d v="2019-06-25T00:00:00"/>
    <x v="6"/>
    <n v="5994"/>
    <n v="0"/>
    <x v="4"/>
    <n v="19"/>
    <s v=""/>
    <n v="0.82608695652173914"/>
    <n v="0.17391304347826086"/>
    <n v="0.37230002587160826"/>
    <n v="0.59919349119667364"/>
    <m/>
    <s v=""/>
  </r>
  <r>
    <x v="68"/>
    <d v="2016-02-14T00:00:00"/>
    <n v="2"/>
    <x v="68"/>
    <n v="8"/>
    <s v="employee 167"/>
    <x v="65"/>
    <x v="1"/>
    <x v="2"/>
    <x v="0"/>
    <x v="0"/>
    <d v="2010-03-14T00:00:00"/>
    <x v="7"/>
    <n v="8351"/>
    <n v="2"/>
    <x v="0"/>
    <n v="19"/>
    <n v="0.7"/>
    <n v="0.79166666666666663"/>
    <n v="0.20833333333333337"/>
    <n v="0.73361431791568554"/>
    <n v="0.74176032819411741"/>
    <n v="800"/>
    <n v="9.5796910549634781E-2"/>
  </r>
  <r>
    <x v="69"/>
    <d v="2017-10-27T00:00:00"/>
    <n v="10"/>
    <x v="69"/>
    <n v="43"/>
    <s v="employee 99"/>
    <x v="66"/>
    <x v="6"/>
    <x v="0"/>
    <x v="1"/>
    <x v="0"/>
    <d v="2016-03-20T00:00:00"/>
    <x v="16"/>
    <n v="6201"/>
    <n v="1"/>
    <x v="1"/>
    <n v="19"/>
    <n v="0.85"/>
    <n v="0.86363636363636365"/>
    <n v="0.13636363636363635"/>
    <n v="0.90600390876807702"/>
    <n v="0.87321342413481362"/>
    <m/>
    <s v=""/>
  </r>
  <r>
    <x v="58"/>
    <d v="2019-10-23T00:00:00"/>
    <n v="10"/>
    <x v="58"/>
    <n v="43"/>
    <s v="employee 125"/>
    <x v="67"/>
    <x v="3"/>
    <x v="4"/>
    <x v="0"/>
    <x v="0"/>
    <d v="2013-12-15T00:00:00"/>
    <x v="15"/>
    <n v="8650"/>
    <n v="3"/>
    <x v="0"/>
    <n v="18"/>
    <n v="0.55000000000000004"/>
    <n v="0.81818181818181823"/>
    <n v="0.18181818181818177"/>
    <n v="0.21839440402696542"/>
    <n v="0.52885874073626116"/>
    <m/>
    <s v=""/>
  </r>
  <r>
    <x v="70"/>
    <d v="2019-03-05T00:00:00"/>
    <n v="3"/>
    <x v="70"/>
    <n v="10"/>
    <s v="employee 148"/>
    <x v="26"/>
    <x v="7"/>
    <x v="1"/>
    <x v="0"/>
    <x v="0"/>
    <d v="2012-01-29T00:00:00"/>
    <x v="13"/>
    <n v="5440"/>
    <n v="2"/>
    <x v="1"/>
    <n v="20"/>
    <n v="0.7"/>
    <n v="0.86956521739130432"/>
    <n v="0.13043478260869568"/>
    <n v="0.25816009098118164"/>
    <n v="0.60924176945749531"/>
    <m/>
    <s v=""/>
  </r>
  <r>
    <x v="71"/>
    <d v="2019-08-30T00:00:00"/>
    <n v="8"/>
    <x v="71"/>
    <n v="35"/>
    <s v="employee 154"/>
    <x v="68"/>
    <x v="1"/>
    <x v="3"/>
    <x v="0"/>
    <x v="1"/>
    <d v="2019-03-02T00:00:00"/>
    <x v="15"/>
    <n v="6382"/>
    <n v="3"/>
    <x v="0"/>
    <n v="20"/>
    <n v="0.55000000000000004"/>
    <n v="1"/>
    <n v="0"/>
    <n v="0.71726438047687457"/>
    <n v="0.75575479349229158"/>
    <n v="1000"/>
    <n v="0.15669069257286117"/>
  </r>
  <r>
    <x v="72"/>
    <d v="2016-07-14T00:00:00"/>
    <n v="7"/>
    <x v="72"/>
    <n v="29"/>
    <s v="employee 54"/>
    <x v="6"/>
    <x v="0"/>
    <x v="1"/>
    <x v="0"/>
    <x v="1"/>
    <d v="2018-01-04T00:00:00"/>
    <x v="6"/>
    <n v="6701"/>
    <n v="0"/>
    <x v="3"/>
    <n v="20"/>
    <s v=""/>
    <n v="0.90909090909090906"/>
    <n v="9.0909090909090939E-2"/>
    <n v="0.94697056838311744"/>
    <n v="0.92803073873701325"/>
    <m/>
    <s v=""/>
  </r>
  <r>
    <x v="73"/>
    <d v="2016-11-18T00:00:00"/>
    <n v="11"/>
    <x v="73"/>
    <n v="47"/>
    <s v="employee 267"/>
    <x v="69"/>
    <x v="4"/>
    <x v="2"/>
    <x v="1"/>
    <x v="0"/>
    <d v="2017-12-01T00:00:00"/>
    <x v="14"/>
    <n v="4899"/>
    <n v="2"/>
    <x v="3"/>
    <n v="20"/>
    <n v="0.7"/>
    <n v="0.86956521739130432"/>
    <n v="0.13043478260869568"/>
    <n v="0.40133021301536975"/>
    <n v="0.65696514346889134"/>
    <n v="500"/>
    <n v="0.10206164523372117"/>
  </r>
  <r>
    <x v="74"/>
    <d v="2019-04-14T00:00:00"/>
    <n v="4"/>
    <x v="74"/>
    <n v="16"/>
    <s v="employee 128"/>
    <x v="70"/>
    <x v="2"/>
    <x v="1"/>
    <x v="0"/>
    <x v="1"/>
    <d v="2015-09-04T00:00:00"/>
    <x v="10"/>
    <n v="6197"/>
    <n v="2"/>
    <x v="2"/>
    <n v="19"/>
    <n v="0.7"/>
    <n v="0.79166666666666663"/>
    <n v="0.20833333333333337"/>
    <n v="9.3510120998221646E-2"/>
    <n v="0.52839226255496274"/>
    <n v="400"/>
    <n v="6.4547361626593511E-2"/>
  </r>
  <r>
    <x v="75"/>
    <d v="2018-03-12T00:00:00"/>
    <n v="3"/>
    <x v="75"/>
    <n v="11"/>
    <s v="employee 137"/>
    <x v="71"/>
    <x v="3"/>
    <x v="2"/>
    <x v="1"/>
    <x v="0"/>
    <d v="2016-06-25T00:00:00"/>
    <x v="9"/>
    <n v="7454"/>
    <n v="1"/>
    <x v="3"/>
    <n v="20"/>
    <n v="0.85"/>
    <n v="0.86956521739130432"/>
    <n v="0.13043478260869568"/>
    <n v="0.53540596821306152"/>
    <n v="0.75165706186812198"/>
    <m/>
    <s v=""/>
  </r>
  <r>
    <x v="76"/>
    <d v="2016-07-15T00:00:00"/>
    <n v="7"/>
    <x v="76"/>
    <n v="29"/>
    <s v="employee 226"/>
    <x v="72"/>
    <x v="6"/>
    <x v="4"/>
    <x v="0"/>
    <x v="0"/>
    <d v="2013-07-03T00:00:00"/>
    <x v="0"/>
    <n v="4907"/>
    <n v="0"/>
    <x v="4"/>
    <n v="19"/>
    <s v=""/>
    <n v="0.86363636363636365"/>
    <n v="0.13636363636363635"/>
    <n v="0.47292913752400967"/>
    <n v="0.66828275058018671"/>
    <m/>
    <s v=""/>
  </r>
  <r>
    <x v="6"/>
    <d v="2017-07-26T00:00:00"/>
    <n v="7"/>
    <x v="6"/>
    <n v="30"/>
    <s v="employee 196"/>
    <x v="73"/>
    <x v="0"/>
    <x v="2"/>
    <x v="1"/>
    <x v="0"/>
    <d v="2014-07-31T00:00:00"/>
    <x v="4"/>
    <n v="7684"/>
    <n v="2"/>
    <x v="0"/>
    <n v="20"/>
    <n v="0.7"/>
    <n v="0.90909090909090906"/>
    <n v="9.0909090909090939E-2"/>
    <n v="0.3771577271677633"/>
    <n v="0.66208287875289085"/>
    <m/>
    <s v=""/>
  </r>
  <r>
    <x v="77"/>
    <d v="2016-06-18T00:00:00"/>
    <n v="6"/>
    <x v="77"/>
    <n v="25"/>
    <s v="employee 216"/>
    <x v="74"/>
    <x v="2"/>
    <x v="2"/>
    <x v="1"/>
    <x v="0"/>
    <d v="2015-09-06T00:00:00"/>
    <x v="13"/>
    <n v="5103"/>
    <n v="2"/>
    <x v="2"/>
    <n v="19"/>
    <n v="0.7"/>
    <n v="0.95"/>
    <n v="5.0000000000000044E-2"/>
    <n v="6.1071493834870982E-2"/>
    <n v="0.57035716461162367"/>
    <m/>
    <s v=""/>
  </r>
  <r>
    <x v="78"/>
    <d v="2017-06-08T00:00:00"/>
    <n v="6"/>
    <x v="78"/>
    <n v="23"/>
    <s v="employee 54"/>
    <x v="6"/>
    <x v="0"/>
    <x v="1"/>
    <x v="0"/>
    <x v="1"/>
    <d v="2018-01-04T00:00:00"/>
    <x v="6"/>
    <n v="6701"/>
    <n v="3"/>
    <x v="2"/>
    <n v="19"/>
    <n v="0.55000000000000004"/>
    <n v="0.95"/>
    <n v="5.0000000000000044E-2"/>
    <n v="0.63666825600833077"/>
    <n v="0.71222275200277696"/>
    <m/>
    <s v=""/>
  </r>
  <r>
    <x v="79"/>
    <d v="2018-02-13T00:00:00"/>
    <n v="2"/>
    <x v="79"/>
    <n v="7"/>
    <s v="employee 244"/>
    <x v="75"/>
    <x v="6"/>
    <x v="2"/>
    <x v="1"/>
    <x v="1"/>
    <d v="2013-07-25T00:00:00"/>
    <x v="0"/>
    <n v="4879"/>
    <n v="1"/>
    <x v="3"/>
    <n v="17"/>
    <n v="0.85"/>
    <n v="0.70833333333333337"/>
    <n v="0.29166666666666663"/>
    <n v="0.7910749053118451"/>
    <n v="0.78313607954839293"/>
    <n v="400"/>
    <n v="8.1984013117442092E-2"/>
  </r>
  <r>
    <x v="80"/>
    <d v="2016-01-31T00:00:00"/>
    <n v="1"/>
    <x v="80"/>
    <n v="6"/>
    <s v="employee 29"/>
    <x v="76"/>
    <x v="0"/>
    <x v="0"/>
    <x v="1"/>
    <x v="0"/>
    <d v="2017-05-04T00:00:00"/>
    <x v="9"/>
    <n v="4625"/>
    <n v="1"/>
    <x v="0"/>
    <n v="17"/>
    <n v="0.85"/>
    <n v="0.80952380952380953"/>
    <n v="0.19047619047619047"/>
    <n v="2.2948838845909703E-2"/>
    <n v="0.56082421612323974"/>
    <m/>
    <s v=""/>
  </r>
  <r>
    <x v="81"/>
    <d v="2019-02-07T00:00:00"/>
    <n v="2"/>
    <x v="81"/>
    <n v="6"/>
    <s v="employee 97"/>
    <x v="77"/>
    <x v="5"/>
    <x v="1"/>
    <x v="1"/>
    <x v="0"/>
    <d v="2019-09-23T00:00:00"/>
    <x v="15"/>
    <n v="9767"/>
    <n v="3"/>
    <x v="4"/>
    <n v="18"/>
    <n v="0.55000000000000004"/>
    <n v="0.75"/>
    <n v="0.25"/>
    <n v="3.5911031860541343E-2"/>
    <n v="0.44530367728684711"/>
    <m/>
    <s v=""/>
  </r>
  <r>
    <x v="82"/>
    <d v="2018-12-30T00:00:00"/>
    <n v="12"/>
    <x v="82"/>
    <n v="53"/>
    <s v="employee 200"/>
    <x v="78"/>
    <x v="3"/>
    <x v="2"/>
    <x v="0"/>
    <x v="0"/>
    <d v="2016-05-30T00:00:00"/>
    <x v="0"/>
    <n v="6021"/>
    <n v="3"/>
    <x v="2"/>
    <n v="19"/>
    <n v="0.55000000000000004"/>
    <n v="0.79166666666666663"/>
    <n v="0.20833333333333337"/>
    <n v="0.12961978573530752"/>
    <n v="0.49042881746732475"/>
    <m/>
    <s v=""/>
  </r>
  <r>
    <x v="83"/>
    <d v="2016-06-26T00:00:00"/>
    <n v="6"/>
    <x v="83"/>
    <n v="27"/>
    <s v="employee 207"/>
    <x v="79"/>
    <x v="7"/>
    <x v="0"/>
    <x v="1"/>
    <x v="0"/>
    <d v="2014-03-30T00:00:00"/>
    <x v="14"/>
    <n v="8072"/>
    <n v="1"/>
    <x v="4"/>
    <n v="18"/>
    <n v="0.85"/>
    <n v="0.9"/>
    <n v="9.9999999999999978E-2"/>
    <n v="0.81135702620091099"/>
    <n v="0.85378567540030359"/>
    <m/>
    <s v=""/>
  </r>
  <r>
    <x v="84"/>
    <d v="2016-02-28T00:00:00"/>
    <n v="2"/>
    <x v="84"/>
    <n v="10"/>
    <s v="employee 2"/>
    <x v="8"/>
    <x v="2"/>
    <x v="0"/>
    <x v="1"/>
    <x v="1"/>
    <d v="2015-09-10T00:00:00"/>
    <x v="7"/>
    <n v="8587"/>
    <n v="0"/>
    <x v="0"/>
    <n v="20"/>
    <s v=""/>
    <n v="0.83333333333333337"/>
    <n v="0.16666666666666663"/>
    <n v="0.92904769875078486"/>
    <n v="0.88119051604205911"/>
    <m/>
    <s v=""/>
  </r>
  <r>
    <x v="85"/>
    <d v="2017-08-04T00:00:00"/>
    <n v="8"/>
    <x v="85"/>
    <n v="31"/>
    <s v="employee 50"/>
    <x v="45"/>
    <x v="7"/>
    <x v="4"/>
    <x v="1"/>
    <x v="0"/>
    <d v="2019-10-24T00:00:00"/>
    <x v="13"/>
    <n v="8858"/>
    <n v="3"/>
    <x v="1"/>
    <n v="20"/>
    <n v="0.55000000000000004"/>
    <n v="1"/>
    <n v="0"/>
    <n v="0.32206407772340495"/>
    <n v="0.624021359241135"/>
    <n v="500"/>
    <n v="5.6446150372544593E-2"/>
  </r>
  <r>
    <x v="86"/>
    <d v="2016-07-24T00:00:00"/>
    <n v="7"/>
    <x v="86"/>
    <n v="31"/>
    <s v="employee 83"/>
    <x v="80"/>
    <x v="7"/>
    <x v="2"/>
    <x v="1"/>
    <x v="1"/>
    <d v="2016-07-02T00:00:00"/>
    <x v="10"/>
    <n v="6978"/>
    <n v="1"/>
    <x v="4"/>
    <n v="20"/>
    <n v="0.85"/>
    <n v="0.90909090909090906"/>
    <n v="9.0909090909090939E-2"/>
    <n v="0.9107905057608956"/>
    <n v="0.88996047161726821"/>
    <m/>
    <s v=""/>
  </r>
  <r>
    <x v="87"/>
    <d v="2018-07-24T00:00:00"/>
    <n v="7"/>
    <x v="87"/>
    <n v="30"/>
    <s v="employee 135"/>
    <x v="81"/>
    <x v="2"/>
    <x v="0"/>
    <x v="1"/>
    <x v="0"/>
    <d v="2013-02-08T00:00:00"/>
    <x v="10"/>
    <n v="4804"/>
    <n v="2"/>
    <x v="0"/>
    <n v="20"/>
    <n v="0.7"/>
    <n v="0.90909090909090906"/>
    <n v="9.0909090909090939E-2"/>
    <n v="0.47498216951556538"/>
    <n v="0.69469102620215806"/>
    <m/>
    <s v=""/>
  </r>
  <r>
    <x v="88"/>
    <d v="2018-09-07T00:00:00"/>
    <n v="9"/>
    <x v="88"/>
    <n v="36"/>
    <s v="employee 107"/>
    <x v="82"/>
    <x v="6"/>
    <x v="4"/>
    <x v="0"/>
    <x v="0"/>
    <d v="2017-02-16T00:00:00"/>
    <x v="8"/>
    <n v="8730"/>
    <n v="0"/>
    <x v="2"/>
    <n v="19"/>
    <s v=""/>
    <n v="0.79166666666666663"/>
    <n v="0.20833333333333337"/>
    <n v="0.69599672104579624"/>
    <n v="0.74383169385623149"/>
    <m/>
    <s v=""/>
  </r>
  <r>
    <x v="89"/>
    <d v="2017-11-29T00:00:00"/>
    <n v="11"/>
    <x v="89"/>
    <n v="48"/>
    <s v="employee 52"/>
    <x v="83"/>
    <x v="4"/>
    <x v="2"/>
    <x v="0"/>
    <x v="1"/>
    <d v="2010-05-28T00:00:00"/>
    <x v="10"/>
    <n v="6049"/>
    <n v="1"/>
    <x v="0"/>
    <n v="19"/>
    <n v="0.85"/>
    <n v="0.82608695652173914"/>
    <n v="0.17391304347826086"/>
    <n v="0.98126622653953344"/>
    <n v="0.88578439435375744"/>
    <m/>
    <s v=""/>
  </r>
  <r>
    <x v="62"/>
    <d v="2019-11-12T00:00:00"/>
    <n v="11"/>
    <x v="62"/>
    <n v="46"/>
    <s v="employee 254"/>
    <x v="84"/>
    <x v="1"/>
    <x v="4"/>
    <x v="1"/>
    <x v="0"/>
    <d v="2017-12-15T00:00:00"/>
    <x v="14"/>
    <n v="5539"/>
    <n v="3"/>
    <x v="2"/>
    <n v="17"/>
    <n v="0.55000000000000004"/>
    <n v="0.73913043478260865"/>
    <n v="0.26086956521739135"/>
    <n v="0.67458469856744685"/>
    <n v="0.65457171111668522"/>
    <m/>
    <s v=""/>
  </r>
  <r>
    <x v="90"/>
    <d v="2018-01-03T00:00:00"/>
    <n v="1"/>
    <x v="90"/>
    <n v="1"/>
    <s v="employee 125"/>
    <x v="67"/>
    <x v="3"/>
    <x v="4"/>
    <x v="0"/>
    <x v="0"/>
    <d v="2013-12-15T00:00:00"/>
    <x v="15"/>
    <n v="8650"/>
    <n v="3"/>
    <x v="3"/>
    <n v="17"/>
    <n v="0.55000000000000004"/>
    <n v="0.80952380952380953"/>
    <n v="0.19047619047619047"/>
    <n v="0.68815723596981804"/>
    <n v="0.68256034849787584"/>
    <m/>
    <s v=""/>
  </r>
  <r>
    <x v="91"/>
    <d v="2018-05-05T00:00:00"/>
    <n v="5"/>
    <x v="91"/>
    <n v="18"/>
    <s v="employee 189"/>
    <x v="5"/>
    <x v="2"/>
    <x v="1"/>
    <x v="1"/>
    <x v="0"/>
    <d v="2012-05-28T00:00:00"/>
    <x v="5"/>
    <n v="4527"/>
    <n v="0"/>
    <x v="4"/>
    <n v="19"/>
    <s v=""/>
    <n v="0.82608695652173914"/>
    <n v="0.17391304347826086"/>
    <n v="0.89679937038449375"/>
    <n v="0.86144316345311645"/>
    <m/>
    <s v=""/>
  </r>
  <r>
    <x v="58"/>
    <d v="2019-10-23T00:00:00"/>
    <n v="10"/>
    <x v="58"/>
    <n v="43"/>
    <s v="employee 114"/>
    <x v="27"/>
    <x v="0"/>
    <x v="3"/>
    <x v="0"/>
    <x v="0"/>
    <d v="2011-06-20T00:00:00"/>
    <x v="3"/>
    <n v="4822"/>
    <n v="0"/>
    <x v="2"/>
    <n v="17"/>
    <s v=""/>
    <n v="0.77272727272727271"/>
    <n v="0.22727272727272729"/>
    <n v="0.76374171948771374"/>
    <n v="0.76823449610749317"/>
    <n v="300"/>
    <n v="6.2214848610535049E-2"/>
  </r>
  <r>
    <x v="92"/>
    <d v="2018-04-24T00:00:00"/>
    <n v="4"/>
    <x v="92"/>
    <n v="17"/>
    <s v="employee 4"/>
    <x v="85"/>
    <x v="3"/>
    <x v="1"/>
    <x v="0"/>
    <x v="1"/>
    <d v="2011-04-28T00:00:00"/>
    <x v="6"/>
    <n v="8895"/>
    <n v="0"/>
    <x v="3"/>
    <n v="20"/>
    <s v=""/>
    <n v="0.83333333333333337"/>
    <n v="0.16666666666666663"/>
    <n v="0.13211035329109055"/>
    <n v="0.48272184331221196"/>
    <m/>
    <s v=""/>
  </r>
  <r>
    <x v="24"/>
    <d v="2016-01-02T00:00:00"/>
    <n v="1"/>
    <x v="24"/>
    <n v="1"/>
    <s v="employee 288"/>
    <x v="86"/>
    <x v="2"/>
    <x v="2"/>
    <x v="0"/>
    <x v="1"/>
    <d v="2013-03-27T00:00:00"/>
    <x v="5"/>
    <n v="7169"/>
    <n v="2"/>
    <x v="4"/>
    <n v="17"/>
    <n v="0.7"/>
    <n v="0.80952380952380953"/>
    <n v="0.19047619047619047"/>
    <n v="0.62538870660496149"/>
    <n v="0.71163750537625692"/>
    <m/>
    <s v=""/>
  </r>
  <r>
    <x v="93"/>
    <d v="2017-03-22T00:00:00"/>
    <n v="3"/>
    <x v="93"/>
    <n v="12"/>
    <s v="employee 289"/>
    <x v="87"/>
    <x v="5"/>
    <x v="1"/>
    <x v="1"/>
    <x v="0"/>
    <d v="2015-07-03T00:00:00"/>
    <x v="4"/>
    <n v="7179"/>
    <n v="3"/>
    <x v="0"/>
    <n v="17"/>
    <n v="0.55000000000000004"/>
    <n v="0.73913043478260865"/>
    <n v="0.26086956521739135"/>
    <n v="0.9837609149060258"/>
    <n v="0.75763044989621153"/>
    <m/>
    <s v=""/>
  </r>
  <r>
    <x v="94"/>
    <d v="2016-02-06T00:00:00"/>
    <n v="2"/>
    <x v="94"/>
    <n v="6"/>
    <s v="employee 267"/>
    <x v="69"/>
    <x v="4"/>
    <x v="2"/>
    <x v="1"/>
    <x v="0"/>
    <d v="2017-12-01T00:00:00"/>
    <x v="14"/>
    <n v="4899"/>
    <n v="1"/>
    <x v="4"/>
    <n v="20"/>
    <n v="0.85"/>
    <n v="0.83333333333333337"/>
    <n v="0.16666666666666663"/>
    <n v="0.7818139476086462"/>
    <n v="0.82171576031399318"/>
    <m/>
    <s v=""/>
  </r>
  <r>
    <x v="95"/>
    <d v="2016-05-17T00:00:00"/>
    <n v="5"/>
    <x v="95"/>
    <n v="21"/>
    <s v="employee 271"/>
    <x v="88"/>
    <x v="3"/>
    <x v="2"/>
    <x v="1"/>
    <x v="1"/>
    <d v="2013-02-05T00:00:00"/>
    <x v="9"/>
    <n v="5398"/>
    <n v="1"/>
    <x v="3"/>
    <n v="17"/>
    <n v="0.85"/>
    <n v="0.73913043478260865"/>
    <n v="0.26086956521739135"/>
    <n v="0.56360861062454448"/>
    <n v="0.71757968180238441"/>
    <n v="200"/>
    <n v="3.7050759540570584E-2"/>
  </r>
  <r>
    <x v="96"/>
    <d v="2017-05-04T00:00:00"/>
    <n v="5"/>
    <x v="96"/>
    <n v="18"/>
    <s v="employee 272"/>
    <x v="89"/>
    <x v="6"/>
    <x v="5"/>
    <x v="1"/>
    <x v="1"/>
    <d v="2010-12-22T00:00:00"/>
    <x v="0"/>
    <n v="5392"/>
    <n v="3"/>
    <x v="2"/>
    <n v="20"/>
    <n v="0.55000000000000004"/>
    <n v="0.86956521739130432"/>
    <n v="0.13043478260869568"/>
    <n v="4.0426354917803442E-2"/>
    <n v="0.48666385743636925"/>
    <m/>
    <s v=""/>
  </r>
  <r>
    <x v="97"/>
    <d v="2017-06-30T00:00:00"/>
    <n v="6"/>
    <x v="97"/>
    <n v="26"/>
    <s v="employee 95"/>
    <x v="90"/>
    <x v="1"/>
    <x v="3"/>
    <x v="1"/>
    <x v="1"/>
    <d v="2013-03-08T00:00:00"/>
    <x v="3"/>
    <n v="8634"/>
    <n v="2"/>
    <x v="0"/>
    <n v="20"/>
    <n v="0.7"/>
    <n v="1"/>
    <n v="0"/>
    <n v="0.93239420641632353"/>
    <n v="0.8774647354721079"/>
    <m/>
    <s v=""/>
  </r>
  <r>
    <x v="98"/>
    <d v="2016-01-22T00:00:00"/>
    <n v="1"/>
    <x v="98"/>
    <n v="4"/>
    <s v="employee 209"/>
    <x v="43"/>
    <x v="0"/>
    <x v="5"/>
    <x v="1"/>
    <x v="0"/>
    <d v="2015-06-22T00:00:00"/>
    <x v="16"/>
    <n v="8565"/>
    <n v="0"/>
    <x v="3"/>
    <n v="17"/>
    <s v=""/>
    <n v="0.80952380952380953"/>
    <n v="0.19047619047619047"/>
    <n v="0.61813384719706965"/>
    <n v="0.71382882836043959"/>
    <m/>
    <s v=""/>
  </r>
  <r>
    <x v="99"/>
    <d v="2016-08-04T00:00:00"/>
    <n v="8"/>
    <x v="99"/>
    <n v="32"/>
    <s v="employee 151"/>
    <x v="91"/>
    <x v="3"/>
    <x v="5"/>
    <x v="0"/>
    <x v="0"/>
    <d v="2016-05-19T00:00:00"/>
    <x v="9"/>
    <n v="7188"/>
    <n v="2"/>
    <x v="0"/>
    <n v="20"/>
    <n v="0.7"/>
    <n v="1"/>
    <n v="0"/>
    <n v="0.35281190049596989"/>
    <n v="0.68427063349865647"/>
    <m/>
    <s v=""/>
  </r>
  <r>
    <x v="100"/>
    <d v="2016-12-06T00:00:00"/>
    <n v="12"/>
    <x v="100"/>
    <n v="50"/>
    <s v="employee 100"/>
    <x v="92"/>
    <x v="6"/>
    <x v="5"/>
    <x v="1"/>
    <x v="0"/>
    <d v="2019-04-18T00:00:00"/>
    <x v="13"/>
    <n v="6182"/>
    <n v="2"/>
    <x v="3"/>
    <n v="18"/>
    <n v="0.7"/>
    <n v="0.75"/>
    <n v="0.25"/>
    <n v="0.56089522925285429"/>
    <n v="0.67029840975095156"/>
    <m/>
    <s v=""/>
  </r>
  <r>
    <x v="101"/>
    <d v="2017-08-06T00:00:00"/>
    <n v="8"/>
    <x v="101"/>
    <n v="32"/>
    <s v="employee 36"/>
    <x v="33"/>
    <x v="3"/>
    <x v="0"/>
    <x v="0"/>
    <x v="1"/>
    <d v="2019-07-17T00:00:00"/>
    <x v="6"/>
    <n v="5416"/>
    <n v="1"/>
    <x v="1"/>
    <n v="20"/>
    <n v="0.85"/>
    <n v="1"/>
    <n v="0"/>
    <n v="0.17741603152938779"/>
    <n v="0.67580534384312918"/>
    <m/>
    <s v=""/>
  </r>
  <r>
    <x v="102"/>
    <d v="2019-02-12T00:00:00"/>
    <n v="2"/>
    <x v="102"/>
    <n v="7"/>
    <s v="employee 215"/>
    <x v="93"/>
    <x v="2"/>
    <x v="1"/>
    <x v="0"/>
    <x v="0"/>
    <d v="2018-09-02T00:00:00"/>
    <x v="3"/>
    <n v="8915"/>
    <n v="2"/>
    <x v="0"/>
    <n v="19"/>
    <n v="0.7"/>
    <n v="0.79166666666666663"/>
    <n v="0.20833333333333337"/>
    <n v="0.58039143337458821"/>
    <n v="0.69068603334708489"/>
    <m/>
    <s v=""/>
  </r>
  <r>
    <x v="103"/>
    <d v="2019-09-30T00:00:00"/>
    <n v="9"/>
    <x v="103"/>
    <n v="40"/>
    <s v="employee 52"/>
    <x v="83"/>
    <x v="4"/>
    <x v="2"/>
    <x v="0"/>
    <x v="1"/>
    <d v="2010-05-28T00:00:00"/>
    <x v="10"/>
    <n v="6049"/>
    <n v="3"/>
    <x v="2"/>
    <n v="19"/>
    <n v="0.55000000000000004"/>
    <n v="0.79166666666666663"/>
    <n v="0.20833333333333337"/>
    <n v="0.41362640741595513"/>
    <n v="0.58509769136087397"/>
    <m/>
    <s v=""/>
  </r>
  <r>
    <x v="104"/>
    <d v="2019-08-05T00:00:00"/>
    <n v="8"/>
    <x v="104"/>
    <n v="32"/>
    <s v="employee 214"/>
    <x v="94"/>
    <x v="5"/>
    <x v="2"/>
    <x v="0"/>
    <x v="0"/>
    <d v="2019-04-09T00:00:00"/>
    <x v="4"/>
    <n v="9291"/>
    <n v="2"/>
    <x v="1"/>
    <n v="17"/>
    <n v="0.7"/>
    <n v="0.85"/>
    <n v="0.15000000000000002"/>
    <n v="0.22252891970305921"/>
    <n v="0.59084297323435309"/>
    <n v="400"/>
    <n v="4.3052416316865787E-2"/>
  </r>
  <r>
    <x v="105"/>
    <d v="2019-11-14T00:00:00"/>
    <n v="11"/>
    <x v="105"/>
    <n v="46"/>
    <s v="employee 18"/>
    <x v="95"/>
    <x v="2"/>
    <x v="0"/>
    <x v="1"/>
    <x v="1"/>
    <d v="2019-07-25T00:00:00"/>
    <x v="16"/>
    <n v="9475"/>
    <n v="0"/>
    <x v="4"/>
    <n v="17"/>
    <s v=""/>
    <n v="0.73913043478260865"/>
    <n v="0.26086956521739135"/>
    <n v="0.72585271518524153"/>
    <n v="0.73249157498392514"/>
    <n v="500"/>
    <n v="5.2770448548812667E-2"/>
  </r>
  <r>
    <x v="46"/>
    <d v="2017-04-14T00:00:00"/>
    <n v="4"/>
    <x v="46"/>
    <n v="15"/>
    <s v="employee 124"/>
    <x v="96"/>
    <x v="7"/>
    <x v="3"/>
    <x v="1"/>
    <x v="1"/>
    <d v="2011-12-13T00:00:00"/>
    <x v="3"/>
    <n v="6546"/>
    <n v="2"/>
    <x v="4"/>
    <n v="18"/>
    <n v="0.7"/>
    <n v="0.75"/>
    <n v="0.25"/>
    <n v="0.86957834840048465"/>
    <n v="0.77319278280016146"/>
    <m/>
    <s v=""/>
  </r>
  <r>
    <x v="106"/>
    <d v="2016-07-11T00:00:00"/>
    <n v="7"/>
    <x v="106"/>
    <n v="29"/>
    <s v="employee 277"/>
    <x v="97"/>
    <x v="3"/>
    <x v="1"/>
    <x v="1"/>
    <x v="1"/>
    <d v="2015-08-30T00:00:00"/>
    <x v="9"/>
    <n v="8921"/>
    <n v="0"/>
    <x v="2"/>
    <n v="18"/>
    <s v=""/>
    <n v="0.81818181818181823"/>
    <n v="0.18181818181818177"/>
    <n v="0.79135962218211919"/>
    <n v="0.80477072018196871"/>
    <m/>
    <s v=""/>
  </r>
  <r>
    <x v="107"/>
    <d v="2017-04-25T00:00:00"/>
    <n v="4"/>
    <x v="107"/>
    <n v="17"/>
    <s v="employee 21"/>
    <x v="98"/>
    <x v="2"/>
    <x v="1"/>
    <x v="0"/>
    <x v="0"/>
    <d v="2013-01-09T00:00:00"/>
    <x v="7"/>
    <n v="8039"/>
    <n v="1"/>
    <x v="2"/>
    <n v="17"/>
    <n v="0.85"/>
    <n v="0.70833333333333337"/>
    <n v="0.29166666666666663"/>
    <n v="0.93371725617653356"/>
    <n v="0.8306835298366223"/>
    <m/>
    <s v=""/>
  </r>
  <r>
    <x v="108"/>
    <d v="2016-08-16T00:00:00"/>
    <n v="8"/>
    <x v="108"/>
    <n v="34"/>
    <s v="employee 79"/>
    <x v="99"/>
    <x v="2"/>
    <x v="5"/>
    <x v="1"/>
    <x v="0"/>
    <d v="2013-11-15T00:00:00"/>
    <x v="9"/>
    <n v="8238"/>
    <n v="3"/>
    <x v="2"/>
    <n v="19"/>
    <n v="0.55000000000000004"/>
    <n v="0.95"/>
    <n v="5.0000000000000044E-2"/>
    <n v="0.56437440544947182"/>
    <n v="0.68812480181649072"/>
    <m/>
    <s v=""/>
  </r>
  <r>
    <x v="109"/>
    <d v="2017-03-26T00:00:00"/>
    <n v="3"/>
    <x v="109"/>
    <n v="13"/>
    <s v="employee 183"/>
    <x v="100"/>
    <x v="0"/>
    <x v="1"/>
    <x v="1"/>
    <x v="0"/>
    <d v="2012-06-07T00:00:00"/>
    <x v="14"/>
    <n v="5805"/>
    <n v="1"/>
    <x v="2"/>
    <n v="19"/>
    <n v="0.85"/>
    <n v="0.82608695652173914"/>
    <n v="0.17391304347826086"/>
    <n v="0.54519975009538058"/>
    <n v="0.74042890220570656"/>
    <n v="700"/>
    <n v="0.12058570198105081"/>
  </r>
  <r>
    <x v="110"/>
    <d v="2019-06-27T00:00:00"/>
    <n v="6"/>
    <x v="110"/>
    <n v="26"/>
    <s v="employee 92"/>
    <x v="101"/>
    <x v="3"/>
    <x v="2"/>
    <x v="1"/>
    <x v="0"/>
    <d v="2018-01-03T00:00:00"/>
    <x v="4"/>
    <n v="7646"/>
    <n v="0"/>
    <x v="3"/>
    <n v="19"/>
    <s v=""/>
    <n v="0.95"/>
    <n v="5.0000000000000044E-2"/>
    <n v="0.9387112992896508"/>
    <n v="0.94435564964482532"/>
    <n v="1000"/>
    <n v="0.13078733978550877"/>
  </r>
  <r>
    <x v="111"/>
    <d v="2017-10-11T00:00:00"/>
    <n v="10"/>
    <x v="111"/>
    <n v="41"/>
    <s v="employee 35"/>
    <x v="102"/>
    <x v="5"/>
    <x v="3"/>
    <x v="1"/>
    <x v="1"/>
    <d v="2010-03-09T00:00:00"/>
    <x v="16"/>
    <n v="8752"/>
    <n v="1"/>
    <x v="1"/>
    <n v="19"/>
    <n v="0.85"/>
    <n v="0.86363636363636365"/>
    <n v="0.13636363636363635"/>
    <n v="0.42367205342225589"/>
    <n v="0.71243613901953984"/>
    <m/>
    <s v=""/>
  </r>
  <r>
    <x v="112"/>
    <d v="2018-02-26T00:00:00"/>
    <n v="2"/>
    <x v="112"/>
    <n v="9"/>
    <s v="employee 43"/>
    <x v="54"/>
    <x v="6"/>
    <x v="2"/>
    <x v="0"/>
    <x v="0"/>
    <d v="2014-09-02T00:00:00"/>
    <x v="16"/>
    <n v="6304"/>
    <n v="2"/>
    <x v="2"/>
    <n v="18"/>
    <n v="0.7"/>
    <n v="0.75"/>
    <n v="0.25"/>
    <n v="7.2918351001341031E-2"/>
    <n v="0.50763945033378033"/>
    <n v="200"/>
    <n v="3.1725888324873094E-2"/>
  </r>
  <r>
    <x v="113"/>
    <d v="2016-02-19T00:00:00"/>
    <n v="2"/>
    <x v="113"/>
    <n v="8"/>
    <s v="employee 5"/>
    <x v="103"/>
    <x v="7"/>
    <x v="5"/>
    <x v="1"/>
    <x v="0"/>
    <d v="2019-09-10T00:00:00"/>
    <x v="11"/>
    <n v="8121"/>
    <n v="1"/>
    <x v="4"/>
    <n v="20"/>
    <n v="0.85"/>
    <n v="0.83333333333333337"/>
    <n v="0.16666666666666663"/>
    <n v="0.19900932903771662"/>
    <n v="0.62744755412368336"/>
    <m/>
    <s v=""/>
  </r>
  <r>
    <x v="114"/>
    <d v="2016-06-05T00:00:00"/>
    <n v="6"/>
    <x v="114"/>
    <n v="24"/>
    <s v="employee 109"/>
    <x v="17"/>
    <x v="5"/>
    <x v="2"/>
    <x v="0"/>
    <x v="1"/>
    <d v="2013-01-02T00:00:00"/>
    <x v="10"/>
    <n v="5604"/>
    <n v="1"/>
    <x v="0"/>
    <n v="17"/>
    <n v="0.85"/>
    <n v="0.85"/>
    <n v="0.15000000000000002"/>
    <n v="0.47030228126366669"/>
    <n v="0.72343409375455547"/>
    <m/>
    <s v=""/>
  </r>
  <r>
    <x v="115"/>
    <d v="2016-07-19T00:00:00"/>
    <n v="7"/>
    <x v="115"/>
    <n v="30"/>
    <s v="employee 215"/>
    <x v="93"/>
    <x v="2"/>
    <x v="1"/>
    <x v="0"/>
    <x v="0"/>
    <d v="2018-09-02T00:00:00"/>
    <x v="3"/>
    <n v="8915"/>
    <n v="0"/>
    <x v="4"/>
    <n v="19"/>
    <s v=""/>
    <n v="0.86363636363636365"/>
    <n v="0.13636363636363635"/>
    <n v="0.39322751411018797"/>
    <n v="0.62843193887327575"/>
    <m/>
    <s v=""/>
  </r>
  <r>
    <x v="116"/>
    <d v="2019-03-03T00:00:00"/>
    <n v="3"/>
    <x v="116"/>
    <n v="10"/>
    <s v="employee 260"/>
    <x v="104"/>
    <x v="2"/>
    <x v="0"/>
    <x v="1"/>
    <x v="1"/>
    <d v="2010-10-12T00:00:00"/>
    <x v="0"/>
    <n v="8237"/>
    <n v="2"/>
    <x v="3"/>
    <n v="19"/>
    <n v="0.7"/>
    <n v="0.82608695652173914"/>
    <n v="0.17391304347826086"/>
    <n v="0.30224033203001277"/>
    <n v="0.60944242951725058"/>
    <m/>
    <s v=""/>
  </r>
  <r>
    <x v="117"/>
    <d v="2018-04-19T00:00:00"/>
    <n v="4"/>
    <x v="117"/>
    <n v="16"/>
    <s v="employee 136"/>
    <x v="63"/>
    <x v="2"/>
    <x v="0"/>
    <x v="0"/>
    <x v="0"/>
    <d v="2012-08-16T00:00:00"/>
    <x v="0"/>
    <n v="8536"/>
    <n v="0"/>
    <x v="3"/>
    <n v="18"/>
    <s v=""/>
    <n v="0.75"/>
    <n v="0.25"/>
    <n v="0.58915011502384884"/>
    <n v="0.66957505751192437"/>
    <n v="500"/>
    <n v="5.8575445173383318E-2"/>
  </r>
  <r>
    <x v="118"/>
    <d v="2017-10-15T00:00:00"/>
    <n v="10"/>
    <x v="118"/>
    <n v="42"/>
    <s v="employee 164"/>
    <x v="105"/>
    <x v="1"/>
    <x v="1"/>
    <x v="1"/>
    <x v="0"/>
    <d v="2019-10-12T00:00:00"/>
    <x v="2"/>
    <n v="9801"/>
    <n v="1"/>
    <x v="3"/>
    <n v="20"/>
    <n v="0.85"/>
    <n v="0.90909090909090906"/>
    <n v="9.0909090909090939E-2"/>
    <n v="0.29926295256236091"/>
    <n v="0.68611795388442332"/>
    <m/>
    <s v=""/>
  </r>
  <r>
    <x v="119"/>
    <d v="2016-09-12T00:00:00"/>
    <n v="9"/>
    <x v="119"/>
    <n v="38"/>
    <s v="employee 135"/>
    <x v="81"/>
    <x v="2"/>
    <x v="0"/>
    <x v="1"/>
    <x v="0"/>
    <d v="2013-02-08T00:00:00"/>
    <x v="10"/>
    <n v="4804"/>
    <n v="3"/>
    <x v="0"/>
    <n v="19"/>
    <n v="0.55000000000000004"/>
    <n v="0.79166666666666663"/>
    <n v="0.20833333333333337"/>
    <n v="0.79985226135545362"/>
    <n v="0.71383964267403999"/>
    <n v="400"/>
    <n v="8.3263946711074108E-2"/>
  </r>
  <r>
    <x v="120"/>
    <d v="2019-08-03T00:00:00"/>
    <n v="8"/>
    <x v="120"/>
    <n v="31"/>
    <s v="employee 243"/>
    <x v="106"/>
    <x v="2"/>
    <x v="0"/>
    <x v="0"/>
    <x v="1"/>
    <d v="2015-06-05T00:00:00"/>
    <x v="4"/>
    <n v="8756"/>
    <n v="3"/>
    <x v="2"/>
    <n v="17"/>
    <n v="0.55000000000000004"/>
    <n v="0.85"/>
    <n v="0.15000000000000002"/>
    <n v="0.89389576379836844"/>
    <n v="0.76463192126612289"/>
    <n v="700"/>
    <n v="7.9945180447693012E-2"/>
  </r>
  <r>
    <x v="121"/>
    <d v="2018-05-17T00:00:00"/>
    <n v="5"/>
    <x v="121"/>
    <n v="20"/>
    <s v="employee 29"/>
    <x v="76"/>
    <x v="0"/>
    <x v="0"/>
    <x v="1"/>
    <x v="0"/>
    <d v="2017-05-04T00:00:00"/>
    <x v="9"/>
    <n v="4625"/>
    <n v="2"/>
    <x v="1"/>
    <n v="17"/>
    <n v="0.7"/>
    <n v="0.73913043478260865"/>
    <n v="0.26086956521739135"/>
    <n v="0.21699466865393724"/>
    <n v="0.55204170114551532"/>
    <m/>
    <s v=""/>
  </r>
  <r>
    <x v="122"/>
    <d v="2019-04-20T00:00:00"/>
    <n v="4"/>
    <x v="122"/>
    <n v="16"/>
    <s v="employee 179"/>
    <x v="49"/>
    <x v="1"/>
    <x v="2"/>
    <x v="0"/>
    <x v="1"/>
    <d v="2019-08-31T00:00:00"/>
    <x v="7"/>
    <n v="9141"/>
    <n v="0"/>
    <x v="1"/>
    <n v="19"/>
    <s v=""/>
    <n v="0.79166666666666663"/>
    <n v="0.20833333333333337"/>
    <n v="0.77985369526477966"/>
    <n v="0.78576018096572309"/>
    <m/>
    <s v=""/>
  </r>
  <r>
    <x v="123"/>
    <d v="2016-09-16T00:00:00"/>
    <n v="9"/>
    <x v="123"/>
    <n v="38"/>
    <s v="employee 160"/>
    <x v="107"/>
    <x v="6"/>
    <x v="0"/>
    <x v="0"/>
    <x v="1"/>
    <d v="2013-10-19T00:00:00"/>
    <x v="6"/>
    <n v="9718"/>
    <n v="2"/>
    <x v="3"/>
    <n v="18"/>
    <n v="0.7"/>
    <n v="0.75"/>
    <n v="0.25"/>
    <n v="0.55548197815132883"/>
    <n v="0.66849399271710952"/>
    <m/>
    <s v=""/>
  </r>
  <r>
    <x v="124"/>
    <d v="2016-04-04T00:00:00"/>
    <n v="4"/>
    <x v="124"/>
    <n v="15"/>
    <s v="employee 143"/>
    <x v="108"/>
    <x v="3"/>
    <x v="3"/>
    <x v="0"/>
    <x v="0"/>
    <d v="2019-03-04T00:00:00"/>
    <x v="6"/>
    <n v="6513"/>
    <n v="0"/>
    <x v="0"/>
    <n v="18"/>
    <s v=""/>
    <n v="0.75"/>
    <n v="0.25"/>
    <n v="0.50288529683342376"/>
    <n v="0.62644264841671182"/>
    <m/>
    <s v=""/>
  </r>
  <r>
    <x v="125"/>
    <d v="2017-06-07T00:00:00"/>
    <n v="6"/>
    <x v="125"/>
    <n v="23"/>
    <s v="employee 12"/>
    <x v="109"/>
    <x v="0"/>
    <x v="4"/>
    <x v="1"/>
    <x v="0"/>
    <d v="2011-11-25T00:00:00"/>
    <x v="7"/>
    <n v="5351"/>
    <n v="2"/>
    <x v="4"/>
    <n v="19"/>
    <n v="0.7"/>
    <n v="0.95"/>
    <n v="5.0000000000000044E-2"/>
    <n v="0.30197720963936736"/>
    <n v="0.65065906987978905"/>
    <m/>
    <s v=""/>
  </r>
  <r>
    <x v="126"/>
    <d v="2019-01-01T00:00:00"/>
    <n v="1"/>
    <x v="126"/>
    <n v="1"/>
    <s v="employee 145"/>
    <x v="110"/>
    <x v="5"/>
    <x v="5"/>
    <x v="1"/>
    <x v="0"/>
    <d v="2019-01-19T00:00:00"/>
    <x v="13"/>
    <n v="7224"/>
    <n v="2"/>
    <x v="1"/>
    <n v="18"/>
    <n v="0.7"/>
    <n v="0.8571428571428571"/>
    <n v="0.1428571428571429"/>
    <n v="0.73899334888703294"/>
    <n v="0.76537873534329659"/>
    <m/>
    <s v=""/>
  </r>
  <r>
    <x v="127"/>
    <d v="2017-01-29T00:00:00"/>
    <n v="1"/>
    <x v="127"/>
    <n v="5"/>
    <s v="employee 260"/>
    <x v="104"/>
    <x v="2"/>
    <x v="0"/>
    <x v="1"/>
    <x v="1"/>
    <d v="2010-10-12T00:00:00"/>
    <x v="0"/>
    <n v="8237"/>
    <n v="1"/>
    <x v="1"/>
    <n v="18"/>
    <n v="0.85"/>
    <n v="0.8571428571428571"/>
    <n v="0.1428571428571429"/>
    <n v="0.39362491972349811"/>
    <n v="0.70025592562211836"/>
    <m/>
    <s v=""/>
  </r>
  <r>
    <x v="128"/>
    <d v="2019-09-11T00:00:00"/>
    <n v="9"/>
    <x v="128"/>
    <n v="37"/>
    <s v="employee 250"/>
    <x v="111"/>
    <x v="0"/>
    <x v="2"/>
    <x v="0"/>
    <x v="1"/>
    <d v="2010-01-19T00:00:00"/>
    <x v="13"/>
    <n v="7531"/>
    <n v="3"/>
    <x v="0"/>
    <n v="18"/>
    <n v="0.55000000000000004"/>
    <n v="0.75"/>
    <n v="0.25"/>
    <n v="0.58044439200295517"/>
    <n v="0.62681479733431844"/>
    <m/>
    <s v=""/>
  </r>
  <r>
    <x v="129"/>
    <d v="2019-11-23T00:00:00"/>
    <n v="11"/>
    <x v="129"/>
    <n v="47"/>
    <s v="employee 84"/>
    <x v="112"/>
    <x v="3"/>
    <x v="4"/>
    <x v="1"/>
    <x v="0"/>
    <d v="2015-12-08T00:00:00"/>
    <x v="11"/>
    <n v="8920"/>
    <n v="3"/>
    <x v="4"/>
    <n v="18"/>
    <n v="0.55000000000000004"/>
    <n v="0.78260869565217395"/>
    <n v="0.21739130434782605"/>
    <n v="0.47290124655431143"/>
    <n v="0.60183664740216181"/>
    <n v="1000"/>
    <n v="0.11210762331838565"/>
  </r>
  <r>
    <x v="130"/>
    <d v="2019-06-05T00:00:00"/>
    <n v="6"/>
    <x v="130"/>
    <n v="23"/>
    <s v="employee 289"/>
    <x v="87"/>
    <x v="5"/>
    <x v="1"/>
    <x v="1"/>
    <x v="0"/>
    <d v="2015-07-03T00:00:00"/>
    <x v="4"/>
    <n v="7179"/>
    <n v="3"/>
    <x v="4"/>
    <n v="17"/>
    <n v="0.55000000000000004"/>
    <n v="0.85"/>
    <n v="0.15000000000000002"/>
    <n v="0.93777003013310278"/>
    <n v="0.77925667671103438"/>
    <n v="500"/>
    <n v="6.9647583228861956E-2"/>
  </r>
  <r>
    <x v="131"/>
    <d v="2019-12-23T00:00:00"/>
    <n v="12"/>
    <x v="131"/>
    <n v="52"/>
    <s v="employee 106"/>
    <x v="113"/>
    <x v="4"/>
    <x v="3"/>
    <x v="1"/>
    <x v="0"/>
    <d v="2019-01-31T00:00:00"/>
    <x v="12"/>
    <n v="9740"/>
    <n v="3"/>
    <x v="3"/>
    <n v="18"/>
    <n v="0.55000000000000004"/>
    <n v="0.75"/>
    <n v="0.25"/>
    <n v="0.72365880364773705"/>
    <n v="0.6745529345492457"/>
    <m/>
    <s v=""/>
  </r>
  <r>
    <x v="132"/>
    <d v="2017-06-20T00:00:00"/>
    <n v="6"/>
    <x v="132"/>
    <n v="25"/>
    <s v="employee 132"/>
    <x v="20"/>
    <x v="2"/>
    <x v="1"/>
    <x v="0"/>
    <x v="0"/>
    <d v="2016-12-25T00:00:00"/>
    <x v="2"/>
    <n v="8305"/>
    <n v="3"/>
    <x v="4"/>
    <n v="18"/>
    <n v="0.55000000000000004"/>
    <n v="0.9"/>
    <n v="9.9999999999999978E-2"/>
    <n v="9.7261868774714433E-2"/>
    <n v="0.51575395625823817"/>
    <m/>
    <s v=""/>
  </r>
  <r>
    <x v="133"/>
    <d v="2018-11-30T00:00:00"/>
    <n v="11"/>
    <x v="133"/>
    <n v="48"/>
    <s v="employee 47"/>
    <x v="114"/>
    <x v="3"/>
    <x v="5"/>
    <x v="1"/>
    <x v="0"/>
    <d v="2014-02-27T00:00:00"/>
    <x v="16"/>
    <n v="7924"/>
    <n v="2"/>
    <x v="4"/>
    <n v="19"/>
    <n v="0.7"/>
    <n v="0.82608695652173914"/>
    <n v="0.17391304347826086"/>
    <n v="0.8856943372752869"/>
    <n v="0.80392709793234207"/>
    <m/>
    <s v=""/>
  </r>
  <r>
    <x v="28"/>
    <d v="2016-12-02T00:00:00"/>
    <n v="12"/>
    <x v="28"/>
    <n v="49"/>
    <s v="employee 97"/>
    <x v="77"/>
    <x v="5"/>
    <x v="1"/>
    <x v="1"/>
    <x v="0"/>
    <d v="2019-09-23T00:00:00"/>
    <x v="15"/>
    <n v="9767"/>
    <n v="0"/>
    <x v="4"/>
    <n v="20"/>
    <s v=""/>
    <n v="0.83333333333333337"/>
    <n v="0.16666666666666663"/>
    <n v="0.78037914351343518"/>
    <n v="0.80685623842338428"/>
    <m/>
    <s v=""/>
  </r>
  <r>
    <x v="134"/>
    <d v="2016-08-23T00:00:00"/>
    <n v="8"/>
    <x v="134"/>
    <n v="35"/>
    <s v="employee 272"/>
    <x v="89"/>
    <x v="6"/>
    <x v="5"/>
    <x v="1"/>
    <x v="1"/>
    <d v="2010-12-22T00:00:00"/>
    <x v="0"/>
    <n v="5392"/>
    <n v="3"/>
    <x v="4"/>
    <n v="17"/>
    <n v="0.55000000000000004"/>
    <n v="0.85"/>
    <n v="0.15000000000000002"/>
    <n v="0.94014216836117759"/>
    <n v="0.78004738945372587"/>
    <n v="700"/>
    <n v="0.12982195845697331"/>
  </r>
  <r>
    <x v="135"/>
    <d v="2016-04-06T00:00:00"/>
    <n v="4"/>
    <x v="135"/>
    <n v="15"/>
    <s v="employee 222"/>
    <x v="115"/>
    <x v="7"/>
    <x v="2"/>
    <x v="0"/>
    <x v="0"/>
    <d v="2011-05-31T00:00:00"/>
    <x v="6"/>
    <n v="9232"/>
    <n v="0"/>
    <x v="3"/>
    <n v="20"/>
    <s v=""/>
    <n v="0.83333333333333337"/>
    <n v="0.16666666666666663"/>
    <n v="0.96415176498758304"/>
    <n v="0.89874254916045815"/>
    <n v="500"/>
    <n v="5.415944540727903E-2"/>
  </r>
  <r>
    <x v="136"/>
    <d v="2017-11-01T00:00:00"/>
    <n v="11"/>
    <x v="136"/>
    <n v="44"/>
    <s v="employee 233"/>
    <x v="116"/>
    <x v="3"/>
    <x v="4"/>
    <x v="1"/>
    <x v="0"/>
    <d v="2015-11-05T00:00:00"/>
    <x v="14"/>
    <n v="6924"/>
    <n v="3"/>
    <x v="3"/>
    <n v="18"/>
    <n v="0.55000000000000004"/>
    <n v="0.78260869565217395"/>
    <n v="0.21739130434782605"/>
    <n v="0.85030854895563424"/>
    <n v="0.72763908153593615"/>
    <n v="400"/>
    <n v="5.7770075101097634E-2"/>
  </r>
  <r>
    <x v="137"/>
    <d v="2017-07-30T00:00:00"/>
    <n v="7"/>
    <x v="137"/>
    <n v="31"/>
    <s v="employee 198"/>
    <x v="24"/>
    <x v="1"/>
    <x v="3"/>
    <x v="1"/>
    <x v="0"/>
    <d v="2011-03-31T00:00:00"/>
    <x v="12"/>
    <n v="9065"/>
    <n v="1"/>
    <x v="2"/>
    <n v="17"/>
    <n v="0.85"/>
    <n v="0.77272727272727271"/>
    <n v="0.22727272727272729"/>
    <n v="1.137820257207045E-2"/>
    <n v="0.54470182509978105"/>
    <m/>
    <s v=""/>
  </r>
  <r>
    <x v="138"/>
    <d v="2018-02-04T00:00:00"/>
    <n v="2"/>
    <x v="138"/>
    <n v="6"/>
    <s v="employee 164"/>
    <x v="105"/>
    <x v="1"/>
    <x v="1"/>
    <x v="1"/>
    <x v="0"/>
    <d v="2019-10-12T00:00:00"/>
    <x v="2"/>
    <n v="9801"/>
    <n v="3"/>
    <x v="2"/>
    <n v="18"/>
    <n v="0.55000000000000004"/>
    <n v="0.75"/>
    <n v="0.25"/>
    <n v="0.41046391878077493"/>
    <n v="0.57015463959359169"/>
    <m/>
    <s v=""/>
  </r>
  <r>
    <x v="139"/>
    <d v="2018-07-05T00:00:00"/>
    <n v="7"/>
    <x v="139"/>
    <n v="27"/>
    <s v="employee 241"/>
    <x v="117"/>
    <x v="1"/>
    <x v="5"/>
    <x v="1"/>
    <x v="0"/>
    <d v="2016-04-10T00:00:00"/>
    <x v="9"/>
    <n v="4600"/>
    <n v="0"/>
    <x v="2"/>
    <n v="20"/>
    <s v=""/>
    <n v="0.90909090909090906"/>
    <n v="9.0909090909090939E-2"/>
    <n v="0.43314449518957687"/>
    <n v="0.67111770214024302"/>
    <m/>
    <s v=""/>
  </r>
  <r>
    <x v="140"/>
    <d v="2018-11-13T00:00:00"/>
    <n v="11"/>
    <x v="140"/>
    <n v="46"/>
    <s v="employee 30"/>
    <x v="118"/>
    <x v="1"/>
    <x v="5"/>
    <x v="0"/>
    <x v="1"/>
    <d v="2013-10-29T00:00:00"/>
    <x v="6"/>
    <n v="4844"/>
    <n v="2"/>
    <x v="0"/>
    <n v="17"/>
    <n v="0.7"/>
    <n v="0.73913043478260865"/>
    <n v="0.26086956521739135"/>
    <n v="0.44463525262662817"/>
    <n v="0.62792189580307889"/>
    <m/>
    <s v=""/>
  </r>
  <r>
    <x v="141"/>
    <d v="2018-07-15T00:00:00"/>
    <n v="7"/>
    <x v="141"/>
    <n v="29"/>
    <s v="employee 95"/>
    <x v="90"/>
    <x v="1"/>
    <x v="3"/>
    <x v="1"/>
    <x v="1"/>
    <d v="2013-03-08T00:00:00"/>
    <x v="3"/>
    <n v="8634"/>
    <n v="2"/>
    <x v="0"/>
    <n v="19"/>
    <n v="0.7"/>
    <n v="0.86363636363636365"/>
    <n v="0.13636363636363635"/>
    <n v="0.67981295786843887"/>
    <n v="0.74781644050160079"/>
    <m/>
    <s v=""/>
  </r>
  <r>
    <x v="97"/>
    <d v="2017-06-30T00:00:00"/>
    <n v="6"/>
    <x v="97"/>
    <n v="26"/>
    <s v="employee 97"/>
    <x v="77"/>
    <x v="5"/>
    <x v="1"/>
    <x v="1"/>
    <x v="0"/>
    <d v="2019-09-23T00:00:00"/>
    <x v="15"/>
    <n v="9767"/>
    <n v="2"/>
    <x v="0"/>
    <n v="18"/>
    <n v="0.7"/>
    <n v="0.9"/>
    <n v="9.9999999999999978E-2"/>
    <n v="0.18006377843437749"/>
    <n v="0.59335459281145908"/>
    <m/>
    <s v=""/>
  </r>
  <r>
    <x v="142"/>
    <d v="2017-08-10T00:00:00"/>
    <n v="8"/>
    <x v="142"/>
    <n v="32"/>
    <s v="employee 200"/>
    <x v="78"/>
    <x v="3"/>
    <x v="2"/>
    <x v="0"/>
    <x v="0"/>
    <d v="2016-05-30T00:00:00"/>
    <x v="0"/>
    <n v="6021"/>
    <n v="2"/>
    <x v="4"/>
    <n v="19"/>
    <n v="0.7"/>
    <n v="0.95"/>
    <n v="5.0000000000000044E-2"/>
    <n v="0.50148151039777611"/>
    <n v="0.7171605034659253"/>
    <n v="300"/>
    <n v="4.9825610363726958E-2"/>
  </r>
  <r>
    <x v="143"/>
    <d v="2016-07-22T00:00:00"/>
    <n v="7"/>
    <x v="143"/>
    <n v="30"/>
    <s v="employee 162"/>
    <x v="23"/>
    <x v="3"/>
    <x v="4"/>
    <x v="0"/>
    <x v="0"/>
    <d v="2019-01-03T00:00:00"/>
    <x v="8"/>
    <n v="9578"/>
    <n v="1"/>
    <x v="2"/>
    <n v="20"/>
    <n v="0.85"/>
    <n v="0.90909090909090906"/>
    <n v="9.0909090909090939E-2"/>
    <n v="0.83462654898935185"/>
    <n v="0.86457248602675374"/>
    <m/>
    <s v=""/>
  </r>
  <r>
    <x v="144"/>
    <d v="2018-10-04T00:00:00"/>
    <n v="10"/>
    <x v="144"/>
    <n v="40"/>
    <s v="employee 197"/>
    <x v="4"/>
    <x v="0"/>
    <x v="0"/>
    <x v="1"/>
    <x v="0"/>
    <d v="2017-03-24T00:00:00"/>
    <x v="4"/>
    <n v="5119"/>
    <n v="0"/>
    <x v="2"/>
    <n v="19"/>
    <s v=""/>
    <n v="0.86363636363636365"/>
    <n v="0.13636363636363635"/>
    <n v="0.64579035815418917"/>
    <n v="0.75471336089527641"/>
    <n v="200"/>
    <n v="3.9070130884938464E-2"/>
  </r>
  <r>
    <x v="145"/>
    <d v="2018-08-03T00:00:00"/>
    <n v="8"/>
    <x v="145"/>
    <n v="31"/>
    <s v="employee 190"/>
    <x v="119"/>
    <x v="6"/>
    <x v="2"/>
    <x v="1"/>
    <x v="0"/>
    <d v="2019-04-06T00:00:00"/>
    <x v="5"/>
    <n v="5418"/>
    <n v="2"/>
    <x v="1"/>
    <n v="20"/>
    <n v="0.7"/>
    <n v="1"/>
    <n v="0"/>
    <n v="0.28149516703479249"/>
    <n v="0.66049838901159752"/>
    <m/>
    <s v=""/>
  </r>
  <r>
    <x v="146"/>
    <d v="2018-04-03T00:00:00"/>
    <n v="4"/>
    <x v="146"/>
    <n v="14"/>
    <s v="employee 230"/>
    <x v="120"/>
    <x v="7"/>
    <x v="1"/>
    <x v="1"/>
    <x v="0"/>
    <d v="2010-12-08T00:00:00"/>
    <x v="9"/>
    <n v="8664"/>
    <n v="1"/>
    <x v="3"/>
    <n v="17"/>
    <n v="0.85"/>
    <n v="0.70833333333333337"/>
    <n v="0.29166666666666663"/>
    <n v="0.65894497813777031"/>
    <n v="0.73909277049036792"/>
    <m/>
    <s v=""/>
  </r>
  <r>
    <x v="147"/>
    <d v="2017-06-02T00:00:00"/>
    <n v="6"/>
    <x v="147"/>
    <n v="22"/>
    <s v="employee 242"/>
    <x v="121"/>
    <x v="0"/>
    <x v="5"/>
    <x v="1"/>
    <x v="0"/>
    <d v="2019-03-08T00:00:00"/>
    <x v="8"/>
    <n v="7026"/>
    <n v="2"/>
    <x v="4"/>
    <n v="18"/>
    <n v="0.7"/>
    <n v="0.9"/>
    <n v="9.9999999999999978E-2"/>
    <n v="0.459482950993231"/>
    <n v="0.68649431699774366"/>
    <m/>
    <s v=""/>
  </r>
  <r>
    <x v="148"/>
    <d v="2016-06-25T00:00:00"/>
    <n v="6"/>
    <x v="148"/>
    <n v="26"/>
    <s v="employee 245"/>
    <x v="122"/>
    <x v="0"/>
    <x v="3"/>
    <x v="1"/>
    <x v="1"/>
    <d v="2014-04-27T00:00:00"/>
    <x v="9"/>
    <n v="6709"/>
    <n v="1"/>
    <x v="4"/>
    <n v="20"/>
    <n v="0.85"/>
    <n v="1"/>
    <n v="0"/>
    <n v="0.22685207978994848"/>
    <n v="0.69228402659664956"/>
    <m/>
    <s v=""/>
  </r>
  <r>
    <x v="149"/>
    <d v="2017-04-08T00:00:00"/>
    <n v="4"/>
    <x v="149"/>
    <n v="14"/>
    <s v="employee 250"/>
    <x v="111"/>
    <x v="0"/>
    <x v="2"/>
    <x v="0"/>
    <x v="1"/>
    <d v="2010-01-19T00:00:00"/>
    <x v="13"/>
    <n v="7531"/>
    <n v="2"/>
    <x v="1"/>
    <n v="18"/>
    <n v="0.7"/>
    <n v="0.75"/>
    <n v="0.25"/>
    <n v="0.43774633349418524"/>
    <n v="0.6292487778313951"/>
    <n v="400"/>
    <n v="5.3113796308591157E-2"/>
  </r>
  <r>
    <x v="150"/>
    <d v="2016-10-27T00:00:00"/>
    <n v="10"/>
    <x v="150"/>
    <n v="44"/>
    <s v="employee 34"/>
    <x v="123"/>
    <x v="4"/>
    <x v="5"/>
    <x v="0"/>
    <x v="1"/>
    <d v="2011-01-07T00:00:00"/>
    <x v="7"/>
    <n v="4616"/>
    <n v="2"/>
    <x v="1"/>
    <n v="18"/>
    <n v="0.7"/>
    <n v="0.81818181818181823"/>
    <n v="0.18181818181818177"/>
    <n v="0.89674710604423546"/>
    <n v="0.80497630807535125"/>
    <m/>
    <s v=""/>
  </r>
  <r>
    <x v="151"/>
    <d v="2016-11-01T00:00:00"/>
    <n v="11"/>
    <x v="151"/>
    <n v="45"/>
    <s v="employee 90"/>
    <x v="124"/>
    <x v="3"/>
    <x v="2"/>
    <x v="1"/>
    <x v="1"/>
    <d v="2010-06-26T00:00:00"/>
    <x v="0"/>
    <n v="5898"/>
    <n v="1"/>
    <x v="4"/>
    <n v="20"/>
    <n v="0.85"/>
    <n v="0.86956521739130432"/>
    <n v="0.13043478260869568"/>
    <n v="0.44728815783178411"/>
    <n v="0.72228445840769606"/>
    <m/>
    <s v=""/>
  </r>
  <r>
    <x v="152"/>
    <d v="2018-03-26T00:00:00"/>
    <n v="3"/>
    <x v="152"/>
    <n v="13"/>
    <s v="employee 119"/>
    <x v="125"/>
    <x v="4"/>
    <x v="2"/>
    <x v="0"/>
    <x v="0"/>
    <d v="2016-09-15T00:00:00"/>
    <x v="12"/>
    <n v="9757"/>
    <n v="0"/>
    <x v="1"/>
    <n v="18"/>
    <s v=""/>
    <n v="0.78260869565217395"/>
    <n v="0.21739130434782605"/>
    <n v="0.29932485858173818"/>
    <n v="0.54096677711695607"/>
    <m/>
    <s v=""/>
  </r>
  <r>
    <x v="153"/>
    <d v="2018-03-22T00:00:00"/>
    <n v="3"/>
    <x v="153"/>
    <n v="12"/>
    <s v="employee 234"/>
    <x v="13"/>
    <x v="6"/>
    <x v="3"/>
    <x v="1"/>
    <x v="0"/>
    <d v="2017-07-19T00:00:00"/>
    <x v="7"/>
    <n v="9048"/>
    <n v="3"/>
    <x v="4"/>
    <n v="19"/>
    <n v="0.55000000000000004"/>
    <n v="0.82608695652173914"/>
    <n v="0.17391304347826086"/>
    <n v="0.64696981203208237"/>
    <n v="0.67435225618460726"/>
    <m/>
    <s v=""/>
  </r>
  <r>
    <x v="154"/>
    <d v="2018-12-20T00:00:00"/>
    <n v="12"/>
    <x v="154"/>
    <n v="51"/>
    <s v="employee 202"/>
    <x v="126"/>
    <x v="5"/>
    <x v="2"/>
    <x v="1"/>
    <x v="0"/>
    <d v="2019-08-23T00:00:00"/>
    <x v="9"/>
    <n v="8634"/>
    <n v="3"/>
    <x v="1"/>
    <n v="19"/>
    <n v="0.55000000000000004"/>
    <n v="0.79166666666666663"/>
    <n v="0.20833333333333337"/>
    <n v="0.3827367158386954"/>
    <n v="0.57480112750178736"/>
    <n v="500"/>
    <n v="5.7910586055130879E-2"/>
  </r>
  <r>
    <x v="155"/>
    <d v="2017-10-06T00:00:00"/>
    <n v="10"/>
    <x v="155"/>
    <n v="40"/>
    <s v="employee 117"/>
    <x v="9"/>
    <x v="1"/>
    <x v="2"/>
    <x v="0"/>
    <x v="0"/>
    <d v="2019-05-24T00:00:00"/>
    <x v="7"/>
    <n v="8956"/>
    <n v="0"/>
    <x v="4"/>
    <n v="19"/>
    <s v=""/>
    <n v="0.86363636363636365"/>
    <n v="0.13636363636363635"/>
    <n v="0.20831228605823793"/>
    <n v="0.53597432484730079"/>
    <m/>
    <s v=""/>
  </r>
  <r>
    <x v="156"/>
    <d v="2018-12-26T00:00:00"/>
    <n v="12"/>
    <x v="156"/>
    <n v="52"/>
    <s v="employee 57"/>
    <x v="40"/>
    <x v="6"/>
    <x v="1"/>
    <x v="0"/>
    <x v="0"/>
    <d v="2012-11-16T00:00:00"/>
    <x v="14"/>
    <n v="9587"/>
    <n v="3"/>
    <x v="3"/>
    <n v="19"/>
    <n v="0.55000000000000004"/>
    <n v="0.79166666666666663"/>
    <n v="0.20833333333333337"/>
    <n v="0.88357860073174654"/>
    <n v="0.74174842246613759"/>
    <m/>
    <s v=""/>
  </r>
  <r>
    <x v="157"/>
    <d v="2017-04-18T00:00:00"/>
    <n v="4"/>
    <x v="157"/>
    <n v="16"/>
    <s v="employee 245"/>
    <x v="122"/>
    <x v="0"/>
    <x v="3"/>
    <x v="1"/>
    <x v="1"/>
    <d v="2014-04-27T00:00:00"/>
    <x v="9"/>
    <n v="6709"/>
    <n v="2"/>
    <x v="4"/>
    <n v="20"/>
    <n v="0.7"/>
    <n v="0.83333333333333337"/>
    <n v="0.16666666666666663"/>
    <n v="0.15803738417106927"/>
    <n v="0.5637902391681342"/>
    <n v="300"/>
    <n v="4.4716053063049634E-2"/>
  </r>
  <r>
    <x v="158"/>
    <d v="2019-07-03T00:00:00"/>
    <n v="7"/>
    <x v="158"/>
    <n v="27"/>
    <s v="employee 21"/>
    <x v="98"/>
    <x v="2"/>
    <x v="1"/>
    <x v="0"/>
    <x v="0"/>
    <d v="2013-01-09T00:00:00"/>
    <x v="7"/>
    <n v="8039"/>
    <n v="0"/>
    <x v="2"/>
    <n v="17"/>
    <s v=""/>
    <n v="0.77272727272727271"/>
    <n v="0.22727272727272729"/>
    <n v="0.90245249056226029"/>
    <n v="0.83758988164476644"/>
    <m/>
    <s v=""/>
  </r>
  <r>
    <x v="159"/>
    <d v="2016-12-07T00:00:00"/>
    <n v="12"/>
    <x v="159"/>
    <n v="50"/>
    <s v="employee 255"/>
    <x v="127"/>
    <x v="0"/>
    <x v="4"/>
    <x v="0"/>
    <x v="1"/>
    <d v="2017-05-14T00:00:00"/>
    <x v="9"/>
    <n v="4784"/>
    <n v="1"/>
    <x v="2"/>
    <n v="19"/>
    <n v="0.85"/>
    <n v="0.79166666666666663"/>
    <n v="0.20833333333333337"/>
    <n v="0.5517457458029934"/>
    <n v="0.73113747082322"/>
    <m/>
    <s v=""/>
  </r>
  <r>
    <x v="160"/>
    <d v="2016-07-31T00:00:00"/>
    <n v="7"/>
    <x v="160"/>
    <n v="32"/>
    <s v="employee 22"/>
    <x v="36"/>
    <x v="0"/>
    <x v="0"/>
    <x v="1"/>
    <x v="0"/>
    <d v="2010-04-22T00:00:00"/>
    <x v="6"/>
    <n v="5167"/>
    <n v="1"/>
    <x v="1"/>
    <n v="18"/>
    <n v="0.85"/>
    <n v="0.81818181818181823"/>
    <n v="0.18181818181818177"/>
    <n v="0.4799209006012124"/>
    <n v="0.71603423959434354"/>
    <m/>
    <s v=""/>
  </r>
  <r>
    <x v="161"/>
    <d v="2016-11-11T00:00:00"/>
    <n v="11"/>
    <x v="161"/>
    <n v="46"/>
    <s v="employee 204"/>
    <x v="16"/>
    <x v="6"/>
    <x v="4"/>
    <x v="0"/>
    <x v="0"/>
    <d v="2015-10-07T00:00:00"/>
    <x v="2"/>
    <n v="8277"/>
    <n v="1"/>
    <x v="2"/>
    <n v="20"/>
    <n v="0.85"/>
    <n v="0.86956521739130432"/>
    <n v="0.13043478260869568"/>
    <n v="0.4735141599841638"/>
    <n v="0.73102645912515607"/>
    <m/>
    <s v=""/>
  </r>
  <r>
    <x v="109"/>
    <d v="2017-03-26T00:00:00"/>
    <n v="3"/>
    <x v="109"/>
    <n v="13"/>
    <s v="employee 164"/>
    <x v="105"/>
    <x v="1"/>
    <x v="1"/>
    <x v="1"/>
    <x v="0"/>
    <d v="2019-10-12T00:00:00"/>
    <x v="2"/>
    <n v="9801"/>
    <n v="0"/>
    <x v="3"/>
    <n v="20"/>
    <s v=""/>
    <n v="0.86956521739130432"/>
    <n v="0.13043478260869568"/>
    <n v="0.8762214188314511"/>
    <n v="0.87289331811137771"/>
    <n v="200"/>
    <n v="2.0406081012141617E-2"/>
  </r>
  <r>
    <x v="162"/>
    <d v="2019-02-25T00:00:00"/>
    <n v="2"/>
    <x v="162"/>
    <n v="9"/>
    <s v="employee 93"/>
    <x v="58"/>
    <x v="6"/>
    <x v="5"/>
    <x v="1"/>
    <x v="0"/>
    <d v="2018-02-23T00:00:00"/>
    <x v="6"/>
    <n v="5510"/>
    <n v="1"/>
    <x v="3"/>
    <n v="17"/>
    <n v="0.85"/>
    <n v="0.70833333333333337"/>
    <n v="0.29166666666666663"/>
    <n v="9.1615227436936286E-2"/>
    <n v="0.5499828535900898"/>
    <m/>
    <s v=""/>
  </r>
  <r>
    <x v="163"/>
    <d v="2017-11-13T00:00:00"/>
    <n v="11"/>
    <x v="163"/>
    <n v="46"/>
    <s v="employee 12"/>
    <x v="109"/>
    <x v="0"/>
    <x v="4"/>
    <x v="1"/>
    <x v="0"/>
    <d v="2011-11-25T00:00:00"/>
    <x v="7"/>
    <n v="5351"/>
    <n v="2"/>
    <x v="3"/>
    <n v="18"/>
    <n v="0.7"/>
    <n v="0.78260869565217395"/>
    <n v="0.21739130434782605"/>
    <n v="5.5926389008420507E-4"/>
    <n v="0.49438931984741935"/>
    <m/>
    <s v=""/>
  </r>
  <r>
    <x v="164"/>
    <d v="2016-01-16T00:00:00"/>
    <n v="1"/>
    <x v="164"/>
    <n v="3"/>
    <s v="employee 10"/>
    <x v="128"/>
    <x v="0"/>
    <x v="4"/>
    <x v="0"/>
    <x v="0"/>
    <d v="2015-09-29T00:00:00"/>
    <x v="5"/>
    <n v="7016"/>
    <n v="1"/>
    <x v="4"/>
    <n v="17"/>
    <n v="0.85"/>
    <n v="0.80952380952380953"/>
    <n v="0.19047619047619047"/>
    <n v="0.61013096969698066"/>
    <n v="0.75655159307359676"/>
    <m/>
    <s v=""/>
  </r>
  <r>
    <x v="165"/>
    <d v="2018-09-18T00:00:00"/>
    <n v="9"/>
    <x v="165"/>
    <n v="38"/>
    <s v="employee 222"/>
    <x v="115"/>
    <x v="7"/>
    <x v="2"/>
    <x v="0"/>
    <x v="0"/>
    <d v="2011-05-31T00:00:00"/>
    <x v="6"/>
    <n v="9232"/>
    <n v="3"/>
    <x v="3"/>
    <n v="17"/>
    <n v="0.55000000000000004"/>
    <n v="0.70833333333333337"/>
    <n v="0.29166666666666663"/>
    <n v="5.047474710933253E-2"/>
    <n v="0.4362693601475553"/>
    <m/>
    <s v=""/>
  </r>
  <r>
    <x v="166"/>
    <d v="2019-04-18T00:00:00"/>
    <n v="4"/>
    <x v="166"/>
    <n v="16"/>
    <s v="employee 89"/>
    <x v="129"/>
    <x v="4"/>
    <x v="4"/>
    <x v="1"/>
    <x v="0"/>
    <d v="2013-08-08T00:00:00"/>
    <x v="15"/>
    <n v="9238"/>
    <n v="1"/>
    <x v="2"/>
    <n v="18"/>
    <n v="0.85"/>
    <n v="0.75"/>
    <n v="0.25"/>
    <n v="0.57185679989978788"/>
    <n v="0.72395226663326262"/>
    <m/>
    <s v=""/>
  </r>
  <r>
    <x v="167"/>
    <d v="2019-06-06T00:00:00"/>
    <n v="6"/>
    <x v="167"/>
    <n v="23"/>
    <s v="employee 289"/>
    <x v="87"/>
    <x v="5"/>
    <x v="1"/>
    <x v="1"/>
    <x v="0"/>
    <d v="2015-07-03T00:00:00"/>
    <x v="4"/>
    <n v="7179"/>
    <n v="1"/>
    <x v="4"/>
    <n v="17"/>
    <n v="0.85"/>
    <n v="0.85"/>
    <n v="0.15000000000000002"/>
    <n v="0.35818430477744245"/>
    <n v="0.68606143492581417"/>
    <n v="700"/>
    <n v="9.7506616520406736E-2"/>
  </r>
  <r>
    <x v="168"/>
    <d v="2017-05-26T00:00:00"/>
    <n v="5"/>
    <x v="168"/>
    <n v="21"/>
    <s v="employee 182"/>
    <x v="52"/>
    <x v="3"/>
    <x v="3"/>
    <x v="0"/>
    <x v="0"/>
    <d v="2012-12-17T00:00:00"/>
    <x v="12"/>
    <n v="6274"/>
    <n v="3"/>
    <x v="0"/>
    <n v="18"/>
    <n v="0.55000000000000004"/>
    <n v="0.78260869565217395"/>
    <n v="0.21739130434782605"/>
    <n v="0.15155876329934304"/>
    <n v="0.49472248631717236"/>
    <m/>
    <s v=""/>
  </r>
  <r>
    <x v="169"/>
    <d v="2019-07-30T00:00:00"/>
    <n v="7"/>
    <x v="169"/>
    <n v="31"/>
    <s v="employee 39"/>
    <x v="130"/>
    <x v="1"/>
    <x v="1"/>
    <x v="0"/>
    <x v="0"/>
    <d v="2016-01-01T00:00:00"/>
    <x v="2"/>
    <n v="9791"/>
    <n v="3"/>
    <x v="1"/>
    <n v="19"/>
    <n v="0.55000000000000004"/>
    <n v="0.86363636363636365"/>
    <n v="0.13636363636363635"/>
    <n v="0.98294574480518859"/>
    <n v="0.79886070281385069"/>
    <m/>
    <s v=""/>
  </r>
  <r>
    <x v="170"/>
    <d v="2019-12-09T00:00:00"/>
    <n v="12"/>
    <x v="170"/>
    <n v="50"/>
    <s v="employee 47"/>
    <x v="114"/>
    <x v="3"/>
    <x v="5"/>
    <x v="1"/>
    <x v="0"/>
    <d v="2014-02-27T00:00:00"/>
    <x v="16"/>
    <n v="7924"/>
    <n v="1"/>
    <x v="1"/>
    <n v="19"/>
    <n v="0.85"/>
    <n v="0.79166666666666663"/>
    <n v="0.20833333333333337"/>
    <n v="0.75754481861979062"/>
    <n v="0.79973716176215248"/>
    <m/>
    <s v=""/>
  </r>
  <r>
    <x v="171"/>
    <d v="2018-02-01T00:00:00"/>
    <n v="2"/>
    <x v="171"/>
    <n v="5"/>
    <s v="employee 33"/>
    <x v="131"/>
    <x v="2"/>
    <x v="2"/>
    <x v="1"/>
    <x v="0"/>
    <d v="2014-04-30T00:00:00"/>
    <x v="9"/>
    <n v="6587"/>
    <n v="1"/>
    <x v="2"/>
    <n v="18"/>
    <n v="0.85"/>
    <n v="0.75"/>
    <n v="0.25"/>
    <n v="0.55861724513794875"/>
    <n v="0.71953908171264958"/>
    <m/>
    <s v=""/>
  </r>
  <r>
    <x v="172"/>
    <d v="2019-11-22T00:00:00"/>
    <n v="11"/>
    <x v="172"/>
    <n v="47"/>
    <s v="employee 21"/>
    <x v="98"/>
    <x v="2"/>
    <x v="1"/>
    <x v="0"/>
    <x v="0"/>
    <d v="2013-01-09T00:00:00"/>
    <x v="7"/>
    <n v="8039"/>
    <n v="1"/>
    <x v="0"/>
    <n v="18"/>
    <n v="0.85"/>
    <n v="0.78260869565217395"/>
    <n v="0.21739130434782605"/>
    <n v="0.76746113778802483"/>
    <n v="0.80002327781339966"/>
    <n v="1000"/>
    <n v="0.12439358129120537"/>
  </r>
  <r>
    <x v="173"/>
    <d v="2016-05-26T00:00:00"/>
    <n v="5"/>
    <x v="173"/>
    <n v="22"/>
    <s v="employee 240"/>
    <x v="132"/>
    <x v="2"/>
    <x v="5"/>
    <x v="1"/>
    <x v="0"/>
    <d v="2012-03-14T00:00:00"/>
    <x v="5"/>
    <n v="7834"/>
    <n v="1"/>
    <x v="3"/>
    <n v="20"/>
    <n v="0.85"/>
    <n v="0.86956521739130432"/>
    <n v="0.13043478260869568"/>
    <n v="0.55893384288328618"/>
    <n v="0.7594996867581969"/>
    <n v="200"/>
    <n v="2.5529742149604288E-2"/>
  </r>
  <r>
    <x v="174"/>
    <d v="2018-04-30T00:00:00"/>
    <n v="4"/>
    <x v="174"/>
    <n v="18"/>
    <s v="employee 6"/>
    <x v="56"/>
    <x v="0"/>
    <x v="2"/>
    <x v="1"/>
    <x v="1"/>
    <d v="2016-01-14T00:00:00"/>
    <x v="12"/>
    <n v="7033"/>
    <n v="2"/>
    <x v="2"/>
    <n v="17"/>
    <n v="0.7"/>
    <n v="0.70833333333333337"/>
    <n v="0.29166666666666663"/>
    <n v="0.29013506762497554"/>
    <n v="0.56615613365276962"/>
    <m/>
    <s v=""/>
  </r>
  <r>
    <x v="175"/>
    <d v="2019-02-23T00:00:00"/>
    <n v="2"/>
    <x v="175"/>
    <n v="8"/>
    <s v="employee 220"/>
    <x v="7"/>
    <x v="3"/>
    <x v="0"/>
    <x v="1"/>
    <x v="0"/>
    <d v="2017-08-18T00:00:00"/>
    <x v="5"/>
    <n v="5767"/>
    <n v="0"/>
    <x v="2"/>
    <n v="20"/>
    <s v=""/>
    <n v="0.83333333333333337"/>
    <n v="0.16666666666666663"/>
    <n v="0.12182983722293228"/>
    <n v="0.47758158527813283"/>
    <m/>
    <s v=""/>
  </r>
  <r>
    <x v="176"/>
    <d v="2018-10-16T00:00:00"/>
    <n v="10"/>
    <x v="176"/>
    <n v="42"/>
    <s v="employee 33"/>
    <x v="131"/>
    <x v="2"/>
    <x v="2"/>
    <x v="1"/>
    <x v="0"/>
    <d v="2014-04-30T00:00:00"/>
    <x v="9"/>
    <n v="6587"/>
    <n v="3"/>
    <x v="1"/>
    <n v="17"/>
    <n v="0.55000000000000004"/>
    <n v="0.77272727272727271"/>
    <n v="0.22727272727272729"/>
    <n v="8.2517749649015815E-2"/>
    <n v="0.46841500745876291"/>
    <m/>
    <s v=""/>
  </r>
  <r>
    <x v="177"/>
    <d v="2016-09-21T00:00:00"/>
    <n v="9"/>
    <x v="177"/>
    <n v="39"/>
    <s v="employee 63"/>
    <x v="133"/>
    <x v="2"/>
    <x v="0"/>
    <x v="1"/>
    <x v="1"/>
    <d v="2019-04-24T00:00:00"/>
    <x v="10"/>
    <n v="7401"/>
    <n v="0"/>
    <x v="0"/>
    <n v="20"/>
    <s v=""/>
    <n v="0.83333333333333337"/>
    <n v="0.16666666666666663"/>
    <n v="0.82479846107656618"/>
    <n v="0.82906589720494983"/>
    <m/>
    <s v=""/>
  </r>
  <r>
    <x v="178"/>
    <d v="2018-12-15T00:00:00"/>
    <n v="12"/>
    <x v="178"/>
    <n v="50"/>
    <s v="employee 260"/>
    <x v="104"/>
    <x v="2"/>
    <x v="0"/>
    <x v="1"/>
    <x v="1"/>
    <d v="2010-10-12T00:00:00"/>
    <x v="0"/>
    <n v="8237"/>
    <n v="0"/>
    <x v="2"/>
    <n v="20"/>
    <s v=""/>
    <n v="0.83333333333333337"/>
    <n v="0.16666666666666663"/>
    <n v="0.42197398905972117"/>
    <n v="0.62765366119652732"/>
    <m/>
    <s v=""/>
  </r>
  <r>
    <x v="179"/>
    <d v="2016-12-30T00:00:00"/>
    <n v="12"/>
    <x v="179"/>
    <n v="53"/>
    <s v="employee 58"/>
    <x v="134"/>
    <x v="5"/>
    <x v="2"/>
    <x v="1"/>
    <x v="1"/>
    <d v="2013-05-25T00:00:00"/>
    <x v="5"/>
    <n v="9050"/>
    <n v="1"/>
    <x v="4"/>
    <n v="20"/>
    <n v="0.85"/>
    <n v="0.83333333333333337"/>
    <n v="0.16666666666666663"/>
    <n v="0.47995110585788214"/>
    <n v="0.72109481306373846"/>
    <n v="500"/>
    <n v="5.5248618784530384E-2"/>
  </r>
  <r>
    <x v="180"/>
    <d v="2017-09-26T00:00:00"/>
    <n v="9"/>
    <x v="180"/>
    <n v="39"/>
    <s v="employee 69"/>
    <x v="135"/>
    <x v="6"/>
    <x v="5"/>
    <x v="1"/>
    <x v="1"/>
    <d v="2015-03-24T00:00:00"/>
    <x v="5"/>
    <n v="6988"/>
    <n v="0"/>
    <x v="0"/>
    <n v="20"/>
    <s v=""/>
    <n v="0.83333333333333337"/>
    <n v="0.16666666666666663"/>
    <n v="0.73504790812600762"/>
    <n v="0.7841906207296705"/>
    <m/>
    <s v=""/>
  </r>
  <r>
    <x v="181"/>
    <d v="2018-02-18T00:00:00"/>
    <n v="2"/>
    <x v="181"/>
    <n v="8"/>
    <s v="employee 148"/>
    <x v="26"/>
    <x v="7"/>
    <x v="1"/>
    <x v="0"/>
    <x v="0"/>
    <d v="2012-01-29T00:00:00"/>
    <x v="13"/>
    <n v="5440"/>
    <n v="3"/>
    <x v="4"/>
    <n v="19"/>
    <n v="0.55000000000000004"/>
    <n v="0.79166666666666663"/>
    <n v="0.20833333333333337"/>
    <n v="0.38107309840780434"/>
    <n v="0.57424658835815701"/>
    <m/>
    <s v=""/>
  </r>
  <r>
    <x v="182"/>
    <d v="2016-08-17T00:00:00"/>
    <n v="8"/>
    <x v="182"/>
    <n v="34"/>
    <s v="employee 49"/>
    <x v="11"/>
    <x v="4"/>
    <x v="0"/>
    <x v="1"/>
    <x v="0"/>
    <d v="2017-03-03T00:00:00"/>
    <x v="8"/>
    <n v="5755"/>
    <n v="2"/>
    <x v="1"/>
    <n v="20"/>
    <n v="0.7"/>
    <n v="1"/>
    <n v="0"/>
    <n v="1.4658864896941015E-2"/>
    <n v="0.57155295496564695"/>
    <m/>
    <s v=""/>
  </r>
  <r>
    <x v="183"/>
    <d v="2017-07-23T00:00:00"/>
    <n v="7"/>
    <x v="183"/>
    <n v="30"/>
    <s v="employee 197"/>
    <x v="4"/>
    <x v="0"/>
    <x v="0"/>
    <x v="1"/>
    <x v="0"/>
    <d v="2017-03-24T00:00:00"/>
    <x v="4"/>
    <n v="5119"/>
    <n v="0"/>
    <x v="3"/>
    <n v="18"/>
    <s v=""/>
    <n v="0.81818181818181823"/>
    <n v="0.18181818181818177"/>
    <n v="0.70466589833236093"/>
    <n v="0.76142385825708958"/>
    <m/>
    <s v=""/>
  </r>
  <r>
    <x v="184"/>
    <d v="2019-03-01T00:00:00"/>
    <n v="3"/>
    <x v="184"/>
    <n v="9"/>
    <s v="employee 110"/>
    <x v="136"/>
    <x v="4"/>
    <x v="5"/>
    <x v="0"/>
    <x v="1"/>
    <d v="2015-04-22T00:00:00"/>
    <x v="15"/>
    <n v="6885"/>
    <n v="1"/>
    <x v="0"/>
    <n v="19"/>
    <n v="0.85"/>
    <n v="0.82608695652173914"/>
    <n v="0.17391304347826086"/>
    <n v="0.77062264552913651"/>
    <n v="0.81556986735029191"/>
    <m/>
    <s v=""/>
  </r>
  <r>
    <x v="161"/>
    <d v="2016-11-11T00:00:00"/>
    <n v="11"/>
    <x v="161"/>
    <n v="46"/>
    <s v="employee 142"/>
    <x v="137"/>
    <x v="1"/>
    <x v="5"/>
    <x v="1"/>
    <x v="0"/>
    <d v="2019-10-04T00:00:00"/>
    <x v="16"/>
    <n v="5196"/>
    <n v="0"/>
    <x v="0"/>
    <n v="19"/>
    <s v=""/>
    <n v="0.82608695652173914"/>
    <n v="0.17391304347826086"/>
    <n v="0.63092557796827287"/>
    <n v="0.728506267245006"/>
    <n v="400"/>
    <n v="7.6982294072363358E-2"/>
  </r>
  <r>
    <x v="185"/>
    <d v="2019-08-21T00:00:00"/>
    <n v="8"/>
    <x v="185"/>
    <n v="34"/>
    <s v="employee 41"/>
    <x v="138"/>
    <x v="4"/>
    <x v="2"/>
    <x v="0"/>
    <x v="1"/>
    <d v="2014-03-14T00:00:00"/>
    <x v="13"/>
    <n v="7244"/>
    <n v="1"/>
    <x v="4"/>
    <n v="19"/>
    <n v="0.85"/>
    <n v="0.95"/>
    <n v="5.0000000000000044E-2"/>
    <n v="3.8547608568931357E-2"/>
    <n v="0.6128492028563105"/>
    <m/>
    <s v=""/>
  </r>
  <r>
    <x v="186"/>
    <d v="2019-11-11T00:00:00"/>
    <n v="11"/>
    <x v="186"/>
    <n v="46"/>
    <s v="employee 214"/>
    <x v="94"/>
    <x v="5"/>
    <x v="2"/>
    <x v="0"/>
    <x v="0"/>
    <d v="2019-04-09T00:00:00"/>
    <x v="4"/>
    <n v="9291"/>
    <n v="0"/>
    <x v="2"/>
    <n v="17"/>
    <s v=""/>
    <n v="0.73913043478260865"/>
    <n v="0.26086956521739135"/>
    <n v="0.88586676408889087"/>
    <n v="0.81249859943574976"/>
    <n v="200"/>
    <n v="2.1526208158432893E-2"/>
  </r>
  <r>
    <x v="187"/>
    <d v="2017-03-07T00:00:00"/>
    <n v="3"/>
    <x v="187"/>
    <n v="10"/>
    <s v="employee 142"/>
    <x v="137"/>
    <x v="1"/>
    <x v="5"/>
    <x v="1"/>
    <x v="0"/>
    <d v="2019-10-04T00:00:00"/>
    <x v="16"/>
    <n v="5196"/>
    <n v="1"/>
    <x v="0"/>
    <n v="19"/>
    <n v="0.85"/>
    <n v="0.82608695652173914"/>
    <n v="0.17391304347826086"/>
    <n v="0.2666989330052123"/>
    <n v="0.64759529650898384"/>
    <m/>
    <s v=""/>
  </r>
  <r>
    <x v="188"/>
    <d v="2019-08-25T00:00:00"/>
    <n v="8"/>
    <x v="188"/>
    <n v="35"/>
    <s v="employee 224"/>
    <x v="62"/>
    <x v="3"/>
    <x v="5"/>
    <x v="1"/>
    <x v="0"/>
    <d v="2010-08-30T00:00:00"/>
    <x v="15"/>
    <n v="6133"/>
    <n v="2"/>
    <x v="2"/>
    <n v="20"/>
    <n v="0.7"/>
    <n v="1"/>
    <n v="0"/>
    <n v="0.2393742923921609"/>
    <n v="0.64645809746405358"/>
    <m/>
    <s v=""/>
  </r>
  <r>
    <x v="189"/>
    <d v="2018-09-11T00:00:00"/>
    <n v="9"/>
    <x v="189"/>
    <n v="37"/>
    <s v="employee 268"/>
    <x v="139"/>
    <x v="7"/>
    <x v="4"/>
    <x v="0"/>
    <x v="1"/>
    <d v="2017-06-16T00:00:00"/>
    <x v="7"/>
    <n v="5589"/>
    <n v="1"/>
    <x v="3"/>
    <n v="18"/>
    <n v="0.85"/>
    <n v="0.75"/>
    <n v="0.25"/>
    <n v="8.7474003535220612E-2"/>
    <n v="0.56249133451174016"/>
    <m/>
    <s v=""/>
  </r>
  <r>
    <x v="190"/>
    <d v="2018-11-17T00:00:00"/>
    <n v="11"/>
    <x v="190"/>
    <n v="46"/>
    <s v="employee 78"/>
    <x v="140"/>
    <x v="5"/>
    <x v="1"/>
    <x v="1"/>
    <x v="0"/>
    <d v="2016-03-01T00:00:00"/>
    <x v="7"/>
    <n v="4541"/>
    <n v="2"/>
    <x v="2"/>
    <n v="20"/>
    <n v="0.7"/>
    <n v="0.86956521739130432"/>
    <n v="0.13043478260869568"/>
    <n v="0.37327817864334645"/>
    <n v="0.64761446534488354"/>
    <m/>
    <s v=""/>
  </r>
  <r>
    <x v="191"/>
    <d v="2017-07-17T00:00:00"/>
    <n v="7"/>
    <x v="191"/>
    <n v="29"/>
    <s v="employee 135"/>
    <x v="81"/>
    <x v="2"/>
    <x v="0"/>
    <x v="1"/>
    <x v="0"/>
    <d v="2013-02-08T00:00:00"/>
    <x v="10"/>
    <n v="4804"/>
    <n v="2"/>
    <x v="0"/>
    <n v="19"/>
    <n v="0.7"/>
    <n v="0.86363636363636365"/>
    <n v="0.13636363636363635"/>
    <n v="0.34430224409915944"/>
    <n v="0.63597953591184109"/>
    <m/>
    <s v=""/>
  </r>
  <r>
    <x v="192"/>
    <d v="2017-07-31T00:00:00"/>
    <n v="7"/>
    <x v="192"/>
    <n v="31"/>
    <s v="employee 32"/>
    <x v="53"/>
    <x v="5"/>
    <x v="0"/>
    <x v="0"/>
    <x v="1"/>
    <d v="2018-05-11T00:00:00"/>
    <x v="2"/>
    <n v="7916"/>
    <n v="3"/>
    <x v="2"/>
    <n v="19"/>
    <n v="0.55000000000000004"/>
    <n v="0.86363636363636365"/>
    <n v="0.13636363636363635"/>
    <n v="0.25391317175095984"/>
    <n v="0.55584984512910784"/>
    <m/>
    <s v=""/>
  </r>
  <r>
    <x v="193"/>
    <d v="2016-02-27T00:00:00"/>
    <n v="2"/>
    <x v="193"/>
    <n v="9"/>
    <s v="employee 154"/>
    <x v="68"/>
    <x v="1"/>
    <x v="3"/>
    <x v="0"/>
    <x v="1"/>
    <d v="2019-03-02T00:00:00"/>
    <x v="15"/>
    <n v="6382"/>
    <n v="3"/>
    <x v="2"/>
    <n v="17"/>
    <n v="0.55000000000000004"/>
    <n v="0.70833333333333337"/>
    <n v="0.29166666666666663"/>
    <n v="0.78695621420632278"/>
    <n v="0.68176318251321877"/>
    <n v="200"/>
    <n v="3.1338138514572234E-2"/>
  </r>
  <r>
    <x v="194"/>
    <d v="2017-12-21T00:00:00"/>
    <n v="12"/>
    <x v="194"/>
    <n v="51"/>
    <s v="employee 116"/>
    <x v="141"/>
    <x v="1"/>
    <x v="0"/>
    <x v="0"/>
    <x v="0"/>
    <d v="2014-12-03T00:00:00"/>
    <x v="11"/>
    <n v="4858"/>
    <n v="3"/>
    <x v="2"/>
    <n v="17"/>
    <n v="0.55000000000000004"/>
    <n v="0.70833333333333337"/>
    <n v="0.29166666666666663"/>
    <n v="0.13053873717958775"/>
    <n v="0.46295735683764039"/>
    <m/>
    <s v=""/>
  </r>
  <r>
    <x v="195"/>
    <d v="2017-09-03T00:00:00"/>
    <n v="9"/>
    <x v="195"/>
    <n v="36"/>
    <s v="employee 254"/>
    <x v="84"/>
    <x v="1"/>
    <x v="4"/>
    <x v="1"/>
    <x v="0"/>
    <d v="2017-12-15T00:00:00"/>
    <x v="14"/>
    <n v="5539"/>
    <n v="2"/>
    <x v="3"/>
    <n v="17"/>
    <n v="0.7"/>
    <n v="0.70833333333333337"/>
    <n v="0.29166666666666663"/>
    <n v="0.85136000382697119"/>
    <n v="0.75323111238676821"/>
    <n v="300"/>
    <n v="5.4161400974905217E-2"/>
  </r>
  <r>
    <x v="196"/>
    <d v="2019-01-25T00:00:00"/>
    <n v="1"/>
    <x v="196"/>
    <n v="4"/>
    <s v="employee 284"/>
    <x v="142"/>
    <x v="3"/>
    <x v="3"/>
    <x v="1"/>
    <x v="0"/>
    <d v="2015-02-15T00:00:00"/>
    <x v="4"/>
    <n v="6842"/>
    <n v="1"/>
    <x v="0"/>
    <n v="19"/>
    <n v="0.85"/>
    <n v="0.90476190476190477"/>
    <n v="9.5238095238095233E-2"/>
    <n v="0.56843056019746796"/>
    <n v="0.77439748831979094"/>
    <m/>
    <s v=""/>
  </r>
  <r>
    <x v="197"/>
    <d v="2018-01-19T00:00:00"/>
    <n v="1"/>
    <x v="197"/>
    <n v="3"/>
    <s v="employee 147"/>
    <x v="47"/>
    <x v="0"/>
    <x v="1"/>
    <x v="1"/>
    <x v="0"/>
    <d v="2013-01-28T00:00:00"/>
    <x v="2"/>
    <n v="7280"/>
    <n v="3"/>
    <x v="3"/>
    <n v="18"/>
    <n v="0.55000000000000004"/>
    <n v="0.8571428571428571"/>
    <n v="0.1428571428571429"/>
    <n v="0.48495317305059249"/>
    <n v="0.63069867673114988"/>
    <m/>
    <s v=""/>
  </r>
  <r>
    <x v="198"/>
    <d v="2017-08-30T00:00:00"/>
    <n v="8"/>
    <x v="198"/>
    <n v="35"/>
    <s v="employee 133"/>
    <x v="143"/>
    <x v="6"/>
    <x v="5"/>
    <x v="1"/>
    <x v="0"/>
    <d v="2018-08-05T00:00:00"/>
    <x v="13"/>
    <n v="8681"/>
    <n v="3"/>
    <x v="2"/>
    <n v="17"/>
    <n v="0.55000000000000004"/>
    <n v="0.85"/>
    <n v="0.15000000000000002"/>
    <n v="0.9232326930716187"/>
    <n v="0.77441089769053961"/>
    <m/>
    <s v=""/>
  </r>
  <r>
    <x v="199"/>
    <d v="2016-02-25T00:00:00"/>
    <n v="2"/>
    <x v="199"/>
    <n v="9"/>
    <s v="employee 201"/>
    <x v="144"/>
    <x v="7"/>
    <x v="5"/>
    <x v="1"/>
    <x v="0"/>
    <d v="2011-06-03T00:00:00"/>
    <x v="6"/>
    <n v="9345"/>
    <n v="2"/>
    <x v="0"/>
    <n v="20"/>
    <n v="0.7"/>
    <n v="0.83333333333333337"/>
    <n v="0.16666666666666663"/>
    <n v="0.33853516765628466"/>
    <n v="0.62395616699653933"/>
    <m/>
    <s v=""/>
  </r>
  <r>
    <x v="200"/>
    <d v="2017-02-11T00:00:00"/>
    <n v="2"/>
    <x v="200"/>
    <n v="6"/>
    <s v="employee 91"/>
    <x v="145"/>
    <x v="3"/>
    <x v="5"/>
    <x v="1"/>
    <x v="0"/>
    <d v="2012-10-16T00:00:00"/>
    <x v="11"/>
    <n v="7562"/>
    <n v="0"/>
    <x v="3"/>
    <n v="20"/>
    <s v=""/>
    <n v="0.83333333333333337"/>
    <n v="0.16666666666666663"/>
    <n v="0.35687908632956855"/>
    <n v="0.59510620983145102"/>
    <m/>
    <s v=""/>
  </r>
  <r>
    <x v="201"/>
    <d v="2017-11-18T00:00:00"/>
    <n v="11"/>
    <x v="201"/>
    <n v="46"/>
    <s v="employee 190"/>
    <x v="119"/>
    <x v="6"/>
    <x v="2"/>
    <x v="1"/>
    <x v="0"/>
    <d v="2019-04-06T00:00:00"/>
    <x v="5"/>
    <n v="5418"/>
    <n v="3"/>
    <x v="1"/>
    <n v="19"/>
    <n v="0.55000000000000004"/>
    <n v="0.82608695652173914"/>
    <n v="0.17391304347826086"/>
    <n v="0.4085361381080137"/>
    <n v="0.59487436487658429"/>
    <n v="400"/>
    <n v="7.3827980804724996E-2"/>
  </r>
  <r>
    <x v="202"/>
    <d v="2017-05-07T00:00:00"/>
    <n v="5"/>
    <x v="202"/>
    <n v="19"/>
    <s v="employee 15"/>
    <x v="146"/>
    <x v="5"/>
    <x v="4"/>
    <x v="0"/>
    <x v="0"/>
    <d v="2011-05-18T00:00:00"/>
    <x v="16"/>
    <n v="8776"/>
    <n v="2"/>
    <x v="0"/>
    <n v="18"/>
    <n v="0.7"/>
    <n v="0.78260869565217395"/>
    <n v="0.21739130434782605"/>
    <n v="0.26893341631217682"/>
    <n v="0.58384737065478354"/>
    <n v="500"/>
    <n v="5.6973564266180492E-2"/>
  </r>
  <r>
    <x v="80"/>
    <d v="2016-01-31T00:00:00"/>
    <n v="1"/>
    <x v="80"/>
    <n v="6"/>
    <s v="employee 115"/>
    <x v="147"/>
    <x v="6"/>
    <x v="3"/>
    <x v="0"/>
    <x v="1"/>
    <d v="2015-09-12T00:00:00"/>
    <x v="12"/>
    <n v="7671"/>
    <n v="2"/>
    <x v="1"/>
    <n v="18"/>
    <n v="0.7"/>
    <n v="0.8571428571428571"/>
    <n v="0.1428571428571429"/>
    <n v="0.54457745026666138"/>
    <n v="0.70057343580317288"/>
    <n v="1000"/>
    <n v="0.1303611002476861"/>
  </r>
  <r>
    <x v="203"/>
    <d v="2018-03-04T00:00:00"/>
    <n v="3"/>
    <x v="203"/>
    <n v="10"/>
    <s v="employee 194"/>
    <x v="148"/>
    <x v="2"/>
    <x v="0"/>
    <x v="0"/>
    <x v="0"/>
    <d v="2013-09-03T00:00:00"/>
    <x v="0"/>
    <n v="9545"/>
    <n v="3"/>
    <x v="2"/>
    <n v="19"/>
    <n v="0.55000000000000004"/>
    <n v="0.82608695652173914"/>
    <n v="0.17391304347826086"/>
    <n v="0.95776365012394482"/>
    <n v="0.77795020221522793"/>
    <m/>
    <s v=""/>
  </r>
  <r>
    <x v="204"/>
    <d v="2019-09-26T00:00:00"/>
    <n v="9"/>
    <x v="204"/>
    <n v="39"/>
    <s v="employee 137"/>
    <x v="71"/>
    <x v="3"/>
    <x v="2"/>
    <x v="1"/>
    <x v="0"/>
    <d v="2016-06-25T00:00:00"/>
    <x v="9"/>
    <n v="7454"/>
    <n v="1"/>
    <x v="4"/>
    <n v="19"/>
    <n v="0.85"/>
    <n v="0.79166666666666663"/>
    <n v="0.20833333333333337"/>
    <n v="0.23375257701325303"/>
    <n v="0.62513974789330662"/>
    <m/>
    <s v=""/>
  </r>
  <r>
    <x v="205"/>
    <d v="2016-08-05T00:00:00"/>
    <n v="8"/>
    <x v="205"/>
    <n v="32"/>
    <s v="employee 100"/>
    <x v="92"/>
    <x v="6"/>
    <x v="5"/>
    <x v="1"/>
    <x v="0"/>
    <d v="2019-04-18T00:00:00"/>
    <x v="13"/>
    <n v="6182"/>
    <n v="1"/>
    <x v="1"/>
    <n v="17"/>
    <n v="0.85"/>
    <n v="0.85"/>
    <n v="0.15000000000000002"/>
    <n v="0.24178748563180696"/>
    <n v="0.64726249521060231"/>
    <m/>
    <s v=""/>
  </r>
  <r>
    <x v="24"/>
    <d v="2016-01-02T00:00:00"/>
    <n v="1"/>
    <x v="24"/>
    <n v="1"/>
    <s v="employee 37"/>
    <x v="21"/>
    <x v="6"/>
    <x v="4"/>
    <x v="1"/>
    <x v="1"/>
    <d v="2016-10-09T00:00:00"/>
    <x v="11"/>
    <n v="8906"/>
    <n v="3"/>
    <x v="4"/>
    <n v="19"/>
    <n v="0.55000000000000004"/>
    <n v="0.90476190476190477"/>
    <n v="9.5238095238095233E-2"/>
    <n v="0.49659943063224965"/>
    <n v="0.65045377846471808"/>
    <m/>
    <s v=""/>
  </r>
  <r>
    <x v="206"/>
    <d v="2019-05-17T00:00:00"/>
    <n v="5"/>
    <x v="206"/>
    <n v="20"/>
    <s v="employee 93"/>
    <x v="58"/>
    <x v="6"/>
    <x v="5"/>
    <x v="1"/>
    <x v="0"/>
    <d v="2018-02-23T00:00:00"/>
    <x v="6"/>
    <n v="5510"/>
    <n v="2"/>
    <x v="0"/>
    <n v="18"/>
    <n v="0.7"/>
    <n v="0.78260869565217395"/>
    <n v="0.21739130434782605"/>
    <n v="0.70339403207755113"/>
    <n v="0.72866757590990827"/>
    <n v="700"/>
    <n v="0.12704174228675136"/>
  </r>
  <r>
    <x v="207"/>
    <d v="2019-01-20T00:00:00"/>
    <n v="1"/>
    <x v="207"/>
    <n v="4"/>
    <s v="employee 48"/>
    <x v="149"/>
    <x v="3"/>
    <x v="2"/>
    <x v="1"/>
    <x v="0"/>
    <d v="2019-08-19T00:00:00"/>
    <x v="7"/>
    <n v="7550"/>
    <n v="2"/>
    <x v="3"/>
    <n v="19"/>
    <n v="0.7"/>
    <n v="0.90476190476190477"/>
    <n v="9.5238095238095233E-2"/>
    <n v="0.76516410671209378"/>
    <n v="0.78997533715799939"/>
    <m/>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3E37CA-80A8-4EC1-905F-65043DC9F442}" name="KPI"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6">
  <location ref="AL3:AM11"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axis="axisRow" showAll="0">
      <items count="11">
        <item x="7"/>
        <item x="2"/>
        <item x="1"/>
        <item x="0"/>
        <item x="6"/>
        <item x="4"/>
        <item x="5"/>
        <item x="3"/>
        <item m="1" x="9"/>
        <item m="1" x="8"/>
        <item t="default"/>
      </items>
    </pivotField>
    <pivotField showAll="0">
      <items count="8">
        <item m="1" x="6"/>
        <item x="5"/>
        <item x="3"/>
        <item x="4"/>
        <item x="1"/>
        <item x="0"/>
        <item x="2"/>
        <item t="default"/>
      </items>
    </pivotField>
    <pivotField showAll="0">
      <items count="4">
        <item m="1" x="2"/>
        <item x="1"/>
        <item x="0"/>
        <item t="default"/>
      </items>
    </pivotField>
    <pivotField showAll="0"/>
    <pivotField showAll="0"/>
    <pivotField showAll="0"/>
    <pivotField numFmtId="165" showAll="0"/>
    <pivotField numFmtId="165" showAll="0"/>
    <pivotField numFmtId="165" showAll="0">
      <items count="6">
        <item x="4"/>
        <item x="2"/>
        <item x="1"/>
        <item x="0"/>
        <item x="3"/>
        <item t="default"/>
      </items>
    </pivotField>
    <pivotField showAll="0"/>
    <pivotField showAll="0"/>
    <pivotField numFmtId="9" showAll="0"/>
    <pivotField numFmtId="9" showAll="0"/>
    <pivotField dataField="1"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7"/>
  </rowFields>
  <rowItems count="8">
    <i>
      <x/>
    </i>
    <i>
      <x v="1"/>
    </i>
    <i>
      <x v="2"/>
    </i>
    <i>
      <x v="3"/>
    </i>
    <i>
      <x v="4"/>
    </i>
    <i>
      <x v="5"/>
    </i>
    <i>
      <x v="6"/>
    </i>
    <i>
      <x v="7"/>
    </i>
  </rowItems>
  <colItems count="1">
    <i/>
  </colItems>
  <dataFields count="1">
    <dataField name="Average of KPI achieve" fld="20" subtotal="average" baseField="0" baseItem="0" numFmtId="9"/>
  </dataFields>
  <formats count="1">
    <format dxfId="0">
      <pivotArea outline="0" collapsedLevelsAreSubtotals="1" fieldPosition="0"/>
    </format>
  </formats>
  <chartFormats count="2">
    <chartFormat chart="1" format="14"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831383-E889-419E-A50F-9A2B84510FD9}" name="Age"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P3:S8" firstHeaderRow="1" firstDataRow="2"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axis="axisCol" showAll="0">
      <items count="4">
        <item x="1"/>
        <item x="0"/>
        <item m="1" x="2"/>
        <item t="default"/>
      </items>
    </pivotField>
    <pivotField showAll="0">
      <items count="4">
        <item m="1" x="2"/>
        <item x="0"/>
        <item x="1"/>
        <item t="default"/>
      </items>
    </pivotField>
    <pivotField showAll="0"/>
    <pivotField axis="axisRow" dataField="1" showAll="0">
      <items count="11">
        <item x="0"/>
        <item x="1"/>
        <item x="2"/>
        <item x="3"/>
        <item x="4"/>
        <item x="5"/>
        <item x="6"/>
        <item x="7"/>
        <item x="8"/>
        <item x="9"/>
        <item t="default"/>
      </items>
    </pivotField>
    <pivotField numFmtId="165" showAll="0"/>
    <pivotField numFmtId="165" showAll="0"/>
    <pivotField numFmtId="165"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12"/>
  </rowFields>
  <rowItems count="4">
    <i>
      <x v="2"/>
    </i>
    <i>
      <x v="3"/>
    </i>
    <i>
      <x v="4"/>
    </i>
    <i>
      <x v="5"/>
    </i>
  </rowItems>
  <colFields count="1">
    <field x="9"/>
  </colFields>
  <colItems count="3">
    <i>
      <x/>
    </i>
    <i>
      <x v="1"/>
    </i>
    <i t="grand">
      <x/>
    </i>
  </colItems>
  <dataFields count="1">
    <dataField name="Count of Age" fld="12" subtotal="count" baseField="0" baseItem="0"/>
  </dataFields>
  <chartFormats count="4">
    <chartFormat chart="1" format="2" series="1">
      <pivotArea type="data" outline="0" fieldPosition="0">
        <references count="2">
          <reference field="4294967294" count="1" selected="0">
            <x v="0"/>
          </reference>
          <reference field="9" count="1" selected="0">
            <x v="0"/>
          </reference>
        </references>
      </pivotArea>
    </chartFormat>
    <chartFormat chart="1" format="3" series="1">
      <pivotArea type="data" outline="0" fieldPosition="0">
        <references count="2">
          <reference field="4294967294" count="1" selected="0">
            <x v="0"/>
          </reference>
          <reference field="9" count="1" selected="0">
            <x v="1"/>
          </reference>
        </references>
      </pivotArea>
    </chartFormat>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9AE58F-5C13-472C-A577-542AE1DE8327}" name="abscence"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AO3:AP15"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axis="axisRow" numFmtId="166"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showAll="0">
      <items count="4">
        <item m="1" x="2"/>
        <item x="1"/>
        <item x="0"/>
        <item t="default"/>
      </items>
    </pivotField>
    <pivotField showAll="0">
      <items count="4">
        <item m="1" x="2"/>
        <item x="0"/>
        <item x="1"/>
        <item t="default"/>
      </items>
    </pivotField>
    <pivotField showAll="0"/>
    <pivotField showAll="0"/>
    <pivotField numFmtId="165" showAll="0"/>
    <pivotField numFmtId="165" showAll="0"/>
    <pivotField numFmtId="165" showAll="0">
      <items count="6">
        <item x="4"/>
        <item x="2"/>
        <item x="1"/>
        <item x="0"/>
        <item x="3"/>
        <item t="default"/>
      </items>
    </pivotField>
    <pivotField showAll="0"/>
    <pivotField showAll="0"/>
    <pivotField numFmtId="9" showAll="0"/>
    <pivotField dataField="1" numFmtId="9" showAll="0"/>
    <pivotField numFmtId="9" showAll="0"/>
    <pivotField showAll="0"/>
    <pivotField showAll="0"/>
    <pivotField numFmtId="9" showAll="0"/>
    <pivotField showAll="0">
      <items count="7">
        <item sd="0" x="1"/>
        <item sd="0" x="2"/>
        <item sd="0" x="3"/>
        <item sd="0" x="4"/>
        <item x="5"/>
        <item x="0"/>
        <item t="default"/>
      </items>
    </pivotField>
    <pivotField showAll="0">
      <items count="8">
        <item sd="0" x="1"/>
        <item sd="0" x="2"/>
        <item sd="0" x="3"/>
        <item sd="0" x="4"/>
        <item sd="0" x="5"/>
        <item x="6"/>
        <item x="0"/>
        <item t="default"/>
      </items>
    </pivotField>
  </pivotFields>
  <rowFields count="1">
    <field x="3"/>
  </rowFields>
  <rowItems count="12">
    <i>
      <x v="1"/>
    </i>
    <i>
      <x v="2"/>
    </i>
    <i>
      <x v="3"/>
    </i>
    <i>
      <x v="4"/>
    </i>
    <i>
      <x v="5"/>
    </i>
    <i>
      <x v="6"/>
    </i>
    <i>
      <x v="7"/>
    </i>
    <i>
      <x v="8"/>
    </i>
    <i>
      <x v="9"/>
    </i>
    <i>
      <x v="10"/>
    </i>
    <i>
      <x v="11"/>
    </i>
    <i>
      <x v="12"/>
    </i>
  </rowItems>
  <colItems count="1">
    <i/>
  </colItems>
  <dataFields count="1">
    <dataField name="Average of Abscene rate" fld="19" subtotal="average" baseField="0" baseItem="0" numFmtId="9"/>
  </dataFields>
  <formats count="1">
    <format dxfId="1">
      <pivotArea outline="0" collapsedLevelsAreSubtotals="1"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418FD02-F4B7-4CF3-AC65-4433BC61DDF6}" name="members" cacheId="5"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4">
  <location ref="BC3:BD9" firstHeaderRow="1" firstDataRow="1" firstDataCol="1"/>
  <pivotFields count="26">
    <pivotField numFmtId="17" showAll="0"/>
    <pivotField numFmtId="169" showAll="0"/>
    <pivotField showAll="0"/>
    <pivotField numFmtId="166" showAll="0"/>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axis="axisRow" dataField="1" showAll="0">
      <items count="8">
        <item x="5"/>
        <item x="3"/>
        <item x="4"/>
        <item x="1"/>
        <item x="0"/>
        <item x="2"/>
        <item m="1" x="6"/>
        <item t="default"/>
      </items>
    </pivotField>
    <pivotField showAll="0">
      <items count="4">
        <item m="1" x="2"/>
        <item x="1"/>
        <item x="0"/>
        <item t="default"/>
      </items>
    </pivotField>
    <pivotField showAll="0">
      <items count="4">
        <item m="1" x="2"/>
        <item x="0"/>
        <item x="1"/>
        <item t="default"/>
      </items>
    </pivotField>
    <pivotField showAll="0"/>
    <pivotField showAll="0"/>
    <pivotField numFmtId="165" showAll="0"/>
    <pivotField numFmtId="165" showAll="0"/>
    <pivotField numFmtId="165"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defaultSubtotal="0"/>
    <pivotField showAll="0" defaultSubtotal="0"/>
  </pivotFields>
  <rowFields count="1">
    <field x="8"/>
  </rowFields>
  <rowItems count="6">
    <i>
      <x/>
    </i>
    <i>
      <x v="1"/>
    </i>
    <i>
      <x v="2"/>
    </i>
    <i>
      <x v="3"/>
    </i>
    <i>
      <x v="4"/>
    </i>
    <i>
      <x v="5"/>
    </i>
  </rowItems>
  <colItems count="1">
    <i/>
  </colItems>
  <dataFields count="1">
    <dataField name="Count of Title" fld="8" subtotal="count" baseField="0" baseItem="0"/>
  </dataFields>
  <chartFormats count="2">
    <chartFormat chart="1"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1EF645-CC44-4610-83FA-5224B0E76F94}" name="KPI achieve"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AR3:AS26"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axis="axisRow" numFmtId="166"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showAll="0">
      <items count="4">
        <item m="1" x="2"/>
        <item x="1"/>
        <item x="0"/>
        <item t="default"/>
      </items>
    </pivotField>
    <pivotField showAll="0">
      <items count="4">
        <item m="1" x="2"/>
        <item x="0"/>
        <item x="1"/>
        <item t="default"/>
      </items>
    </pivotField>
    <pivotField showAll="0"/>
    <pivotField showAll="0"/>
    <pivotField numFmtId="165" showAll="0"/>
    <pivotField numFmtId="165" showAll="0"/>
    <pivotField numFmtId="165" showAll="0">
      <items count="6">
        <item x="4"/>
        <item x="2"/>
        <item x="1"/>
        <item x="0"/>
        <item x="3"/>
        <item t="default"/>
      </items>
    </pivotField>
    <pivotField showAll="0"/>
    <pivotField showAll="0"/>
    <pivotField numFmtId="9" showAll="0"/>
    <pivotField numFmtId="9" showAll="0"/>
    <pivotField numFmtId="9" showAll="0"/>
    <pivotField dataField="1" showAll="0"/>
    <pivotField showAll="0"/>
    <pivotField numFmtId="9" showAll="0"/>
    <pivotField axis="axisRow" showAll="0" defaultSubtotal="0">
      <items count="6">
        <item sd="0" x="1"/>
        <item sd="0" x="2"/>
        <item sd="0" x="3"/>
        <item sd="0" x="4"/>
        <item sd="0" x="5"/>
        <item sd="0" x="0"/>
      </items>
    </pivotField>
    <pivotField axis="axisRow" showAll="0" defaultSubtotal="0">
      <items count="7">
        <item x="1"/>
        <item x="2"/>
        <item x="3"/>
        <item x="4"/>
        <item x="5"/>
        <item x="6"/>
        <item x="0"/>
      </items>
    </pivotField>
  </pivotFields>
  <rowFields count="3">
    <field x="25"/>
    <field x="24"/>
    <field x="3"/>
  </rowFields>
  <rowItems count="23">
    <i>
      <x/>
    </i>
    <i r="1">
      <x/>
    </i>
    <i r="1">
      <x v="1"/>
    </i>
    <i r="1">
      <x v="2"/>
    </i>
    <i r="1">
      <x v="3"/>
    </i>
    <i>
      <x v="1"/>
    </i>
    <i r="1">
      <x/>
    </i>
    <i r="1">
      <x v="1"/>
    </i>
    <i r="1">
      <x v="2"/>
    </i>
    <i r="1">
      <x v="3"/>
    </i>
    <i>
      <x v="2"/>
    </i>
    <i r="1">
      <x/>
    </i>
    <i r="1">
      <x v="1"/>
    </i>
    <i r="1">
      <x v="2"/>
    </i>
    <i r="1">
      <x v="3"/>
    </i>
    <i>
      <x v="3"/>
    </i>
    <i r="1">
      <x/>
    </i>
    <i r="1">
      <x v="1"/>
    </i>
    <i r="1">
      <x v="2"/>
    </i>
    <i r="1">
      <x v="3"/>
    </i>
    <i>
      <x v="4"/>
    </i>
    <i r="1">
      <x/>
    </i>
    <i r="1">
      <x v="2"/>
    </i>
  </rowItems>
  <colItems count="1">
    <i/>
  </colItems>
  <dataFields count="1">
    <dataField name="Average of Performance" fld="21" subtotal="average" baseField="0" baseItem="0"/>
  </dataFields>
  <formats count="1">
    <format dxfId="2">
      <pivotArea outline="0" collapsedLevelsAreSubtotals="1" fieldPosition="0"/>
    </format>
  </format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8BE1746-839F-489B-A0F5-6535084A6C93}" name="salary"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I3:K5"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axis="axisRow" showAll="0">
      <items count="4">
        <item x="1"/>
        <item x="0"/>
        <item m="1" x="2"/>
        <item t="default"/>
      </items>
    </pivotField>
    <pivotField showAll="0">
      <items count="4">
        <item m="1" x="2"/>
        <item x="0"/>
        <item x="1"/>
        <item t="default"/>
      </items>
    </pivotField>
    <pivotField showAll="0"/>
    <pivotField showAll="0"/>
    <pivotField dataField="1" numFmtId="165" showAll="0"/>
    <pivotField numFmtId="165" showAll="0"/>
    <pivotField numFmtId="165" showAll="0">
      <items count="6">
        <item x="4"/>
        <item x="2"/>
        <item x="1"/>
        <item x="0"/>
        <item x="3"/>
        <item t="default"/>
      </items>
    </pivotField>
    <pivotField showAll="0"/>
    <pivotField showAll="0"/>
    <pivotField dataField="1"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9"/>
  </rowFields>
  <rowItems count="2">
    <i>
      <x/>
    </i>
    <i>
      <x v="1"/>
    </i>
  </rowItems>
  <colFields count="1">
    <field x="-2"/>
  </colFields>
  <colItems count="2">
    <i>
      <x/>
    </i>
    <i i="1">
      <x v="1"/>
    </i>
  </colItems>
  <dataFields count="2">
    <dataField name="Average of Salary" fld="13" subtotal="average" baseField="0" baseItem="0"/>
    <dataField name="Average of Activity" fld="18" subtotal="average" baseField="0" baseItem="0"/>
  </dataFields>
  <formats count="3">
    <format dxfId="5">
      <pivotArea collapsedLevelsAreSubtotals="1" fieldPosition="0">
        <references count="1">
          <reference field="9" count="0"/>
        </references>
      </pivotArea>
    </format>
    <format dxfId="4">
      <pivotArea outline="0" fieldPosition="0">
        <references count="1">
          <reference field="4294967294" count="1">
            <x v="0"/>
          </reference>
        </references>
      </pivotArea>
    </format>
    <format dxfId="3">
      <pivotArea collapsedLevelsAreSubtotals="1" fieldPosition="0">
        <references count="2">
          <reference field="4294967294" count="1" selected="0">
            <x v="0"/>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4D40FB-CBF3-4126-A67C-F07D77F8767D}" name="comparison"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AB3:AJ153"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items count="15">
        <item x="0"/>
        <item x="1"/>
        <item x="2"/>
        <item x="3"/>
        <item x="4"/>
        <item x="5"/>
        <item x="6"/>
        <item x="7"/>
        <item x="8"/>
        <item x="9"/>
        <item x="10"/>
        <item x="11"/>
        <item x="12"/>
        <item x="13"/>
        <item t="default"/>
      </items>
    </pivotField>
    <pivotField showAll="0"/>
    <pivotField showAll="0"/>
    <pivotField axis="axisRow" showAll="0">
      <items count="276">
        <item m="1" x="188"/>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m="1" x="235"/>
        <item m="1" x="249"/>
        <item m="1" x="209"/>
        <item m="1" x="192"/>
        <item m="1" x="250"/>
        <item m="1" x="255"/>
        <item m="1" x="194"/>
        <item m="1" x="174"/>
        <item m="1" x="253"/>
        <item m="1" x="231"/>
        <item m="1" x="236"/>
        <item m="1" x="159"/>
        <item m="1" x="241"/>
        <item m="1" x="227"/>
        <item m="1" x="157"/>
        <item m="1" x="163"/>
        <item m="1" x="244"/>
        <item m="1" x="223"/>
        <item m="1" x="151"/>
        <item m="1" x="259"/>
        <item m="1" x="215"/>
        <item m="1" x="197"/>
        <item m="1" x="169"/>
        <item m="1" x="270"/>
        <item m="1" x="178"/>
        <item m="1" x="206"/>
        <item m="1" x="186"/>
        <item m="1" x="266"/>
        <item m="1" x="205"/>
        <item m="1" x="261"/>
        <item m="1" x="199"/>
        <item m="1" x="158"/>
        <item m="1" x="225"/>
        <item m="1" x="203"/>
        <item m="1" x="200"/>
        <item m="1" x="191"/>
        <item m="1" x="207"/>
        <item m="1" x="238"/>
        <item m="1" x="267"/>
        <item m="1" x="242"/>
        <item m="1" x="271"/>
        <item m="1" x="185"/>
        <item m="1" x="154"/>
        <item m="1" x="201"/>
        <item m="1" x="220"/>
        <item m="1" x="161"/>
        <item m="1" x="222"/>
        <item m="1" x="187"/>
        <item m="1" x="264"/>
        <item m="1" x="150"/>
        <item m="1" x="180"/>
        <item m="1" x="254"/>
        <item m="1" x="214"/>
        <item m="1" x="176"/>
        <item m="1" x="165"/>
        <item m="1" x="273"/>
        <item m="1" x="233"/>
        <item m="1" x="218"/>
        <item m="1" x="246"/>
        <item m="1" x="234"/>
        <item m="1" x="171"/>
        <item m="1" x="268"/>
        <item m="1" x="248"/>
        <item m="1" x="183"/>
        <item m="1" x="229"/>
        <item m="1" x="243"/>
        <item m="1" x="189"/>
        <item x="0"/>
        <item x="1"/>
        <item x="2"/>
        <item x="3"/>
        <item x="4"/>
        <item x="5"/>
        <item x="6"/>
        <item x="7"/>
        <item x="8"/>
        <item x="9"/>
        <item x="10"/>
        <item x="11"/>
        <item x="12"/>
        <item x="15"/>
        <item x="16"/>
        <item x="17"/>
        <item x="18"/>
        <item x="19"/>
        <item x="20"/>
        <item x="21"/>
        <item x="23"/>
        <item x="24"/>
        <item x="25"/>
        <item x="26"/>
        <item x="27"/>
        <item x="28"/>
        <item x="30"/>
        <item x="31"/>
        <item x="32"/>
        <item x="33"/>
        <item x="34"/>
        <item x="35"/>
        <item x="36"/>
        <item x="37"/>
        <item x="38"/>
        <item x="39"/>
        <item x="40"/>
        <item x="41"/>
        <item x="43"/>
        <item x="44"/>
        <item x="45"/>
        <item x="46"/>
        <item x="47"/>
        <item x="48"/>
        <item x="49"/>
        <item x="50"/>
        <item x="52"/>
        <item x="53"/>
        <item x="54"/>
        <item x="56"/>
        <item x="58"/>
        <item x="60"/>
        <item x="61"/>
        <item x="62"/>
        <item x="63"/>
        <item x="65"/>
        <item x="66"/>
        <item x="67"/>
        <item x="68"/>
        <item x="70"/>
        <item x="71"/>
        <item x="72"/>
        <item x="73"/>
        <item x="74"/>
        <item x="76"/>
        <item x="77"/>
        <item x="78"/>
        <item x="79"/>
        <item x="80"/>
        <item x="81"/>
        <item x="82"/>
        <item x="83"/>
        <item x="85"/>
        <item x="90"/>
        <item x="91"/>
        <item x="92"/>
        <item x="93"/>
        <item x="94"/>
        <item x="95"/>
        <item x="96"/>
        <item x="98"/>
        <item x="99"/>
        <item x="100"/>
        <item x="101"/>
        <item x="102"/>
        <item x="103"/>
        <item x="105"/>
        <item x="107"/>
        <item x="108"/>
        <item x="109"/>
        <item x="110"/>
        <item x="112"/>
        <item x="113"/>
        <item x="114"/>
        <item x="115"/>
        <item x="118"/>
        <item x="119"/>
        <item x="123"/>
        <item x="124"/>
        <item x="125"/>
        <item x="126"/>
        <item x="128"/>
        <item x="129"/>
        <item x="130"/>
        <item x="131"/>
        <item x="133"/>
        <item x="134"/>
        <item x="135"/>
        <item x="136"/>
        <item x="137"/>
        <item x="138"/>
        <item x="140"/>
        <item x="141"/>
        <item x="143"/>
        <item x="144"/>
        <item x="145"/>
        <item x="146"/>
        <item x="147"/>
        <item x="148"/>
        <item x="149"/>
        <item x="13"/>
        <item x="14"/>
        <item x="22"/>
        <item x="29"/>
        <item x="42"/>
        <item x="51"/>
        <item x="55"/>
        <item x="57"/>
        <item x="59"/>
        <item x="64"/>
        <item x="69"/>
        <item x="75"/>
        <item x="84"/>
        <item x="86"/>
        <item x="87"/>
        <item x="88"/>
        <item x="89"/>
        <item x="97"/>
        <item x="104"/>
        <item x="106"/>
        <item x="111"/>
        <item x="116"/>
        <item x="117"/>
        <item x="120"/>
        <item x="121"/>
        <item x="122"/>
        <item x="127"/>
        <item x="132"/>
        <item x="139"/>
        <item x="142"/>
        <item t="default"/>
      </items>
    </pivotField>
    <pivotField showAll="0"/>
    <pivotField showAll="0"/>
    <pivotField showAll="0"/>
    <pivotField showAll="0"/>
    <pivotField showAll="0"/>
    <pivotField showAll="0"/>
    <pivotField numFmtId="165" showAll="0"/>
    <pivotField dataField="1" numFmtId="165" showAll="0"/>
    <pivotField dataField="1" numFmtId="165" showAll="0"/>
    <pivotField showAll="0"/>
    <pivotField showAll="0"/>
    <pivotField dataField="1" numFmtId="9" showAll="0"/>
    <pivotField dataField="1" numFmtId="9" showAll="0"/>
    <pivotField dataField="1" numFmtId="9" showAll="0"/>
    <pivotField dataField="1" showAll="0"/>
    <pivotField dataField="1" showAll="0"/>
    <pivotField dataField="1"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6"/>
  </rowFields>
  <rowItems count="150">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rowItems>
  <colFields count="1">
    <field x="-2"/>
  </colFields>
  <colItems count="8">
    <i>
      <x/>
    </i>
    <i i="1">
      <x v="1"/>
    </i>
    <i i="2">
      <x v="2"/>
    </i>
    <i i="3">
      <x v="3"/>
    </i>
    <i i="4">
      <x v="4"/>
    </i>
    <i i="5">
      <x v="5"/>
    </i>
    <i i="6">
      <x v="6"/>
    </i>
    <i i="7">
      <x v="7"/>
    </i>
  </colItems>
  <dataFields count="8">
    <dataField name="Max of Skill level" fld="15" subtotal="max" baseField="0" baseItem="0"/>
    <dataField name="Average of KPI achieve" fld="20" subtotal="average" baseField="0" baseItem="0"/>
    <dataField name="Average of Abscene rate" fld="19" subtotal="average" baseField="0" baseItem="0"/>
    <dataField name="Average of Activity" fld="18" subtotal="average" baseField="0" baseItem="0"/>
    <dataField name="Sum of Increament" fld="22" baseField="0" baseItem="0"/>
    <dataField name="Sum of Penality" fld="14" baseField="0" baseItem="0"/>
    <dataField name="Average of Performance" fld="21" subtotal="average" baseField="0" baseItem="0"/>
    <dataField name="Average of increament %" fld="2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B92443E-08B8-4D83-8BD6-0AE17877B164}" name="statistics"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U3:Z5"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axis="axisRow" showAll="0">
      <items count="4">
        <item x="1"/>
        <item x="0"/>
        <item m="1" x="2"/>
        <item t="default"/>
      </items>
    </pivotField>
    <pivotField showAll="0">
      <items count="4">
        <item m="1" x="2"/>
        <item x="0"/>
        <item x="1"/>
        <item t="default"/>
      </items>
    </pivotField>
    <pivotField showAll="0"/>
    <pivotField showAll="0"/>
    <pivotField numFmtId="165" showAll="0"/>
    <pivotField dataField="1" numFmtId="165" showAll="0"/>
    <pivotField numFmtId="165" showAll="0">
      <items count="6">
        <item x="4"/>
        <item x="2"/>
        <item x="1"/>
        <item x="0"/>
        <item x="3"/>
        <item t="default"/>
      </items>
    </pivotField>
    <pivotField showAll="0"/>
    <pivotField showAll="0"/>
    <pivotField numFmtId="9" showAll="0"/>
    <pivotField dataField="1" numFmtId="9" showAll="0"/>
    <pivotField dataField="1" numFmtId="9" showAll="0"/>
    <pivotField dataField="1" showAll="0"/>
    <pivotField dataField="1"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9"/>
  </rowFields>
  <rowItems count="2">
    <i>
      <x/>
    </i>
    <i>
      <x v="1"/>
    </i>
  </rowItems>
  <colFields count="1">
    <field x="-2"/>
  </colFields>
  <colItems count="5">
    <i>
      <x/>
    </i>
    <i i="1">
      <x v="1"/>
    </i>
    <i i="2">
      <x v="2"/>
    </i>
    <i i="3">
      <x v="3"/>
    </i>
    <i i="4">
      <x v="4"/>
    </i>
  </colItems>
  <dataFields count="5">
    <dataField name="Sum of Penality" fld="14" baseField="0" baseItem="0"/>
    <dataField name="Average of Abscene rate" fld="19" subtotal="average" baseField="0" baseItem="0"/>
    <dataField name="Average of KPI achieve" fld="20" subtotal="average" baseField="0" baseItem="0"/>
    <dataField name="Sum of Increament" fld="22" baseField="0" baseItem="0"/>
    <dataField name="Average of Performance" fld="21"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929B1BC-2327-4A13-B91B-4254CE65551C}" name="increament rate"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AU3:AX9"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axis="axisRow" showAll="0">
      <items count="8">
        <item x="5"/>
        <item x="3"/>
        <item x="4"/>
        <item x="1"/>
        <item x="0"/>
        <item x="2"/>
        <item m="1" x="6"/>
        <item t="default"/>
      </items>
    </pivotField>
    <pivotField showAll="0">
      <items count="4">
        <item m="1" x="2"/>
        <item x="1"/>
        <item x="0"/>
        <item t="default"/>
      </items>
    </pivotField>
    <pivotField showAll="0">
      <items count="4">
        <item m="1" x="2"/>
        <item x="0"/>
        <item x="1"/>
        <item t="default"/>
      </items>
    </pivotField>
    <pivotField showAll="0"/>
    <pivotField showAll="0"/>
    <pivotField dataField="1" numFmtId="165" showAll="0"/>
    <pivotField numFmtId="165" showAll="0"/>
    <pivotField numFmtId="165" showAll="0">
      <items count="6">
        <item x="4"/>
        <item x="2"/>
        <item x="1"/>
        <item x="0"/>
        <item x="3"/>
        <item t="default"/>
      </items>
    </pivotField>
    <pivotField showAll="0"/>
    <pivotField showAll="0"/>
    <pivotField numFmtId="9" showAll="0"/>
    <pivotField numFmtId="9" showAll="0"/>
    <pivotField numFmtId="9" showAll="0"/>
    <pivotField showAll="0"/>
    <pivotField dataField="1" showAll="0"/>
    <pivotField dataField="1" numFmtId="9" showAll="0"/>
    <pivotField showAll="0" defaultSubtotal="0"/>
    <pivotField showAll="0" defaultSubtotal="0"/>
  </pivotFields>
  <rowFields count="1">
    <field x="8"/>
  </rowFields>
  <rowItems count="6">
    <i>
      <x/>
    </i>
    <i>
      <x v="1"/>
    </i>
    <i>
      <x v="2"/>
    </i>
    <i>
      <x v="3"/>
    </i>
    <i>
      <x v="4"/>
    </i>
    <i>
      <x v="5"/>
    </i>
  </rowItems>
  <colFields count="1">
    <field x="-2"/>
  </colFields>
  <colItems count="3">
    <i>
      <x/>
    </i>
    <i i="1">
      <x v="1"/>
    </i>
    <i i="2">
      <x v="2"/>
    </i>
  </colItems>
  <dataFields count="3">
    <dataField name="Average of Salary" fld="13" subtotal="average" baseField="0" baseItem="0" numFmtId="1"/>
    <dataField name="Average of Increament" fld="22" subtotal="average" baseField="0" baseItem="0"/>
    <dataField name="Average of increament %" fld="23" subtotal="average" baseField="0" baseItem="0" numFmtId="9"/>
  </dataFields>
  <formats count="2">
    <format dxfId="7">
      <pivotArea outline="0" collapsedLevelsAreSubtotals="1" fieldPosition="0"/>
    </format>
    <format dxfId="6">
      <pivotArea outline="0" collapsedLevelsAreSubtotals="1" fieldPosition="0">
        <references count="1">
          <reference field="4294967294" count="1" selected="0">
            <x v="2"/>
          </reference>
        </references>
      </pivotArea>
    </format>
  </formats>
  <chartFormats count="3">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1"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B58A263-5706-45E3-A1D8-2A9BB0A721EB}" name="Pie chart"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AZ3:BA9"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axis="axisRow" showAll="0">
      <items count="8">
        <item x="5"/>
        <item x="3"/>
        <item x="4"/>
        <item x="1"/>
        <item x="0"/>
        <item x="2"/>
        <item m="1" x="6"/>
        <item t="default"/>
      </items>
    </pivotField>
    <pivotField showAll="0">
      <items count="4">
        <item m="1" x="2"/>
        <item x="1"/>
        <item x="0"/>
        <item t="default"/>
      </items>
    </pivotField>
    <pivotField showAll="0">
      <items count="4">
        <item m="1" x="2"/>
        <item x="0"/>
        <item x="1"/>
        <item t="default"/>
      </items>
    </pivotField>
    <pivotField showAll="0"/>
    <pivotField showAll="0"/>
    <pivotField dataField="1" numFmtId="165" showAll="0"/>
    <pivotField numFmtId="165" showAll="0"/>
    <pivotField numFmtId="165"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defaultSubtotal="0"/>
    <pivotField showAll="0" defaultSubtotal="0"/>
  </pivotFields>
  <rowFields count="1">
    <field x="8"/>
  </rowFields>
  <rowItems count="6">
    <i>
      <x/>
    </i>
    <i>
      <x v="1"/>
    </i>
    <i>
      <x v="2"/>
    </i>
    <i>
      <x v="3"/>
    </i>
    <i>
      <x v="4"/>
    </i>
    <i>
      <x v="5"/>
    </i>
  </rowItems>
  <colItems count="1">
    <i/>
  </colItems>
  <dataFields count="1">
    <dataField name="Sum of Salary" fld="13" baseField="0" baseItem="0"/>
  </dataFields>
  <chartFormats count="7">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8" count="1" selected="0">
            <x v="0"/>
          </reference>
        </references>
      </pivotArea>
    </chartFormat>
    <chartFormat chart="1" format="3">
      <pivotArea type="data" outline="0" fieldPosition="0">
        <references count="2">
          <reference field="4294967294" count="1" selected="0">
            <x v="0"/>
          </reference>
          <reference field="8" count="1" selected="0">
            <x v="1"/>
          </reference>
        </references>
      </pivotArea>
    </chartFormat>
    <chartFormat chart="1" format="4">
      <pivotArea type="data" outline="0" fieldPosition="0">
        <references count="2">
          <reference field="4294967294" count="1" selected="0">
            <x v="0"/>
          </reference>
          <reference field="8" count="1" selected="0">
            <x v="2"/>
          </reference>
        </references>
      </pivotArea>
    </chartFormat>
    <chartFormat chart="1" format="5">
      <pivotArea type="data" outline="0" fieldPosition="0">
        <references count="2">
          <reference field="4294967294" count="1" selected="0">
            <x v="0"/>
          </reference>
          <reference field="8" count="1" selected="0">
            <x v="3"/>
          </reference>
        </references>
      </pivotArea>
    </chartFormat>
    <chartFormat chart="1" format="6">
      <pivotArea type="data" outline="0" fieldPosition="0">
        <references count="2">
          <reference field="4294967294" count="1" selected="0">
            <x v="0"/>
          </reference>
          <reference field="8" count="1" selected="0">
            <x v="4"/>
          </reference>
        </references>
      </pivotArea>
    </chartFormat>
    <chartFormat chart="1" format="7">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3229CAE-6D81-4497-A2A8-4FEA08DE272C}" name="Job type"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F3:G9"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pivotField axis="axisRow" showAll="0">
      <items count="4">
        <item x="1"/>
        <item x="0"/>
        <item m="1" x="2"/>
        <item t="default"/>
      </items>
    </pivotField>
    <pivotField axis="axisRow" dataField="1" showAll="0">
      <items count="4">
        <item x="0"/>
        <item x="1"/>
        <item m="1" x="2"/>
        <item t="default"/>
      </items>
    </pivotField>
    <pivotField showAll="0"/>
    <pivotField showAll="0"/>
    <pivotField numFmtId="165" showAll="0"/>
    <pivotField numFmtId="165" showAll="0"/>
    <pivotField numFmtId="165"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2">
    <field x="9"/>
    <field x="10"/>
  </rowFields>
  <rowItems count="6">
    <i>
      <x/>
    </i>
    <i r="1">
      <x/>
    </i>
    <i r="1">
      <x v="1"/>
    </i>
    <i>
      <x v="1"/>
    </i>
    <i r="1">
      <x/>
    </i>
    <i r="1">
      <x v="1"/>
    </i>
  </rowItems>
  <colItems count="1">
    <i/>
  </colItems>
  <dataFields count="1">
    <dataField name="Count of Job type" fld="10" subtotal="count" showDataAs="percentOfTotal" baseField="0" baseItem="0" numFmtId="10"/>
  </dataFields>
  <formats count="4">
    <format dxfId="11">
      <pivotArea collapsedLevelsAreSubtotals="1" fieldPosition="0">
        <references count="1">
          <reference field="9" count="1">
            <x v="0"/>
          </reference>
        </references>
      </pivotArea>
    </format>
    <format dxfId="10">
      <pivotArea collapsedLevelsAreSubtotals="1" fieldPosition="0">
        <references count="2">
          <reference field="9" count="1" selected="0">
            <x v="0"/>
          </reference>
          <reference field="10" count="0"/>
        </references>
      </pivotArea>
    </format>
    <format dxfId="9">
      <pivotArea collapsedLevelsAreSubtotals="1" fieldPosition="0">
        <references count="1">
          <reference field="9" count="1">
            <x v="1"/>
          </reference>
        </references>
      </pivotArea>
    </format>
    <format dxfId="8">
      <pivotArea collapsedLevelsAreSubtotals="1" fieldPosition="0">
        <references count="2">
          <reference field="9" count="1" selected="0">
            <x v="1"/>
          </reference>
          <reference field="1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5032F0E-7205-44CB-AB8F-5BCB43840D3C}" name="M_F"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B3:D5"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axis="axisRow" dataField="1" showAll="0">
      <items count="4">
        <item x="1"/>
        <item x="0"/>
        <item m="1" x="2"/>
        <item t="default"/>
      </items>
    </pivotField>
    <pivotField showAll="0">
      <items count="4">
        <item m="1" x="2"/>
        <item x="0"/>
        <item x="1"/>
        <item t="default"/>
      </items>
    </pivotField>
    <pivotField showAll="0"/>
    <pivotField showAll="0"/>
    <pivotField numFmtId="165" showAll="0"/>
    <pivotField numFmtId="165" showAll="0"/>
    <pivotField numFmtId="165"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9"/>
  </rowFields>
  <rowItems count="2">
    <i>
      <x/>
    </i>
    <i>
      <x v="1"/>
    </i>
  </rowItems>
  <colFields count="1">
    <field x="-2"/>
  </colFields>
  <colItems count="2">
    <i>
      <x/>
    </i>
    <i i="1">
      <x v="1"/>
    </i>
  </colItems>
  <dataFields count="2">
    <dataField name="Count of Gender" fld="9" subtotal="count" baseField="0" baseItem="0"/>
    <dataField name="Count of Gender2" fld="9" subtotal="count" showDataAs="percentOfTotal" baseField="0" baseItem="0" numFmtId="10"/>
  </dataFields>
  <formats count="1">
    <format dxfId="12">
      <pivotArea collapsedLevelsAreSubtotals="1" fieldPosition="0">
        <references count="2">
          <reference field="4294967294" count="1" selected="0">
            <x v="1"/>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9837DA1-38D1-4C5E-85E9-7CF2501ED5B7}" name="Skill level" cacheId="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M3:N8"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9" showAll="0"/>
    <pivotField showAll="0"/>
    <pivotField numFmtId="166"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showAll="0">
      <items count="4">
        <item m="1" x="2"/>
        <item x="1"/>
        <item x="0"/>
        <item t="default"/>
      </items>
    </pivotField>
    <pivotField showAll="0">
      <items count="4">
        <item m="1" x="2"/>
        <item x="0"/>
        <item x="1"/>
        <item t="default"/>
      </items>
    </pivotField>
    <pivotField showAll="0"/>
    <pivotField showAll="0"/>
    <pivotField numFmtId="165" showAll="0"/>
    <pivotField numFmtId="165" showAll="0"/>
    <pivotField axis="axisRow" dataField="1" numFmtId="165"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15"/>
  </rowFields>
  <rowItems count="5">
    <i>
      <x/>
    </i>
    <i>
      <x v="1"/>
    </i>
    <i>
      <x v="2"/>
    </i>
    <i>
      <x v="3"/>
    </i>
    <i>
      <x v="4"/>
    </i>
  </rowItems>
  <colItems count="1">
    <i/>
  </colItems>
  <dataFields count="1">
    <dataField name="Sum of Skill level" fld="15" showDataAs="percentOfTotal" baseField="0" baseItem="0" numFmtId="10"/>
  </dataFields>
  <formats count="1">
    <format dxfId="13">
      <pivotArea collapsedLevelsAreSubtotals="1" fieldPosition="0">
        <references count="1">
          <reference field="15" count="0"/>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03256C2-C1F2-4BD9-8149-3363AB2FDBB0}" sourceName="Gender">
  <pivotTables>
    <pivotTable tabId="14" name="M_F"/>
    <pivotTable tabId="14" name="Job type"/>
    <pivotTable tabId="14" name="Skill level"/>
    <pivotTable tabId="14" name="salary"/>
    <pivotTable tabId="14" name="Age"/>
    <pivotTable tabId="14" name="statistics"/>
    <pivotTable tabId="14" name="KPI"/>
    <pivotTable tabId="14" name="abscence"/>
    <pivotTable tabId="14" name="increament rate"/>
    <pivotTable tabId="14" name="KPI achieve"/>
    <pivotTable tabId="14" name="Pie chart"/>
    <pivotTable tabId="14" name="members"/>
  </pivotTables>
  <data>
    <tabular pivotCacheId="401588501" showMissing="0">
      <items count="3">
        <i x="1" s="1"/>
        <i x="0" s="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8A9A9E4-6E44-4F7E-92A7-5D998880330A}" sourceName="Department">
  <pivotTables>
    <pivotTable tabId="14" name="M_F"/>
    <pivotTable tabId="14" name="Job type"/>
    <pivotTable tabId="14" name="salary"/>
    <pivotTable tabId="14" name="Skill level"/>
    <pivotTable tabId="14" name="Age"/>
    <pivotTable tabId="14" name="statistics"/>
    <pivotTable tabId="14" name="abscence"/>
    <pivotTable tabId="14" name="increament rate"/>
    <pivotTable tabId="14" name="KPI"/>
    <pivotTable tabId="14" name="KPI achieve"/>
    <pivotTable tabId="14" name="Pie chart"/>
    <pivotTable tabId="14" name="members"/>
  </pivotTables>
  <data>
    <tabular pivotCacheId="401588501" showMissing="0">
      <items count="10">
        <i x="7" s="1"/>
        <i x="2" s="1"/>
        <i x="1" s="1"/>
        <i x="0" s="1"/>
        <i x="6" s="1"/>
        <i x="4" s="1"/>
        <i x="5" s="1"/>
        <i x="3" s="1"/>
        <i x="8" s="1" nd="1"/>
        <i x="9"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_Code" xr10:uid="{5820B37E-74E0-4EC9-9FBF-266BFC98AE18}" sourceName="Emp Code">
  <pivotTables>
    <pivotTable tabId="14" name="statistics"/>
    <pivotTable tabId="14" name="Job type"/>
    <pivotTable tabId="14" name="salary"/>
    <pivotTable tabId="14" name="M_F"/>
    <pivotTable tabId="14" name="Skill level"/>
    <pivotTable tabId="14" name="KPI"/>
    <pivotTable tabId="14" name="Age"/>
    <pivotTable tabId="14" name="abscence"/>
    <pivotTable tabId="14" name="increament rate"/>
    <pivotTable tabId="14" name="KPI achieve"/>
    <pivotTable tabId="14" name="Pie chart"/>
    <pivotTable tabId="14" name="members"/>
  </pivotTables>
  <data>
    <tabular pivotCacheId="401588501">
      <items count="275">
        <i x="32" s="1"/>
        <i x="8" s="1"/>
        <i x="85" s="1"/>
        <i x="103" s="1"/>
        <i x="56" s="1"/>
        <i x="128" s="1"/>
        <i x="109" s="1"/>
        <i x="37" s="1"/>
        <i x="146" s="1"/>
        <i x="1" s="1"/>
        <i x="95" s="1"/>
        <i x="98" s="1"/>
        <i x="36" s="1"/>
        <i x="76" s="1"/>
        <i x="118" s="1"/>
        <i x="53" s="1"/>
        <i x="131" s="1"/>
        <i x="123" s="1"/>
        <i x="102" s="1"/>
        <i x="33" s="1"/>
        <i x="21" s="1"/>
        <i x="130" s="1"/>
        <i x="46" s="1"/>
        <i x="138" s="1"/>
        <i x="12" s="1"/>
        <i x="54" s="1"/>
        <i x="114" s="1"/>
        <i x="149" s="1"/>
        <i x="11" s="1"/>
        <i x="45" s="1"/>
        <i x="83" s="1"/>
        <i x="6" s="1"/>
        <i x="40" s="1"/>
        <i x="134" s="1"/>
        <i x="30" s="1"/>
        <i x="133" s="1"/>
        <i x="19" s="1"/>
        <i x="135" s="1"/>
        <i x="3" s="1"/>
        <i x="15" s="1"/>
        <i x="10" s="1"/>
        <i x="39" s="1"/>
        <i x="61" s="1"/>
        <i x="140" s="1"/>
        <i x="99" s="1"/>
        <i x="38" s="1"/>
        <i x="80" s="1"/>
        <i x="112" s="1"/>
        <i x="34" s="1"/>
        <i x="129" s="1"/>
        <i x="124" s="1"/>
        <i x="145" s="1"/>
        <i x="101" s="1"/>
        <i x="58" s="1"/>
        <i x="90" s="1"/>
        <i x="77" s="1"/>
        <i x="66" s="1"/>
        <i x="92" s="1"/>
        <i x="113" s="1"/>
        <i x="82" s="1"/>
        <i x="17" s="1"/>
        <i x="136" s="1"/>
        <i x="27" s="1"/>
        <i x="147" s="1"/>
        <i x="141" s="1"/>
        <i x="9" s="1"/>
        <i x="125" s="1"/>
        <i x="96" s="1"/>
        <i x="67" s="1"/>
        <i x="70" s="1"/>
        <i x="20" s="1"/>
        <i x="143" s="1"/>
        <i x="28" s="1"/>
        <i x="81" s="1"/>
        <i x="63" s="1"/>
        <i x="71" s="1"/>
        <i x="41" s="1"/>
        <i x="137" s="1"/>
        <i x="108" s="1"/>
        <i x="110" s="1"/>
        <i x="47" s="1"/>
        <i x="26" s="1"/>
        <i x="91" s="1"/>
        <i x="68" s="1"/>
        <i x="50" s="1"/>
        <i x="107" s="1"/>
        <i x="23" s="1"/>
        <i x="105" s="1"/>
        <i x="65" s="1"/>
        <i x="2" s="1"/>
        <i x="44" s="1"/>
        <i x="48" s="1"/>
        <i x="49" s="1"/>
        <i x="52" s="1"/>
        <i x="100" s="1"/>
        <i x="25" s="1"/>
        <i x="18" s="1"/>
        <i x="5" s="1"/>
        <i x="119" s="1"/>
        <i x="35" s="1"/>
        <i x="148" s="1"/>
        <i x="73" s="1"/>
        <i x="4" s="1"/>
        <i x="24" s="1"/>
        <i x="78" s="1"/>
        <i x="144" s="1"/>
        <i x="126" s="1"/>
        <i x="16" s="1"/>
        <i x="79" s="1"/>
        <i x="43" s="1"/>
        <i x="0" s="1"/>
        <i x="31" s="1"/>
        <i x="94" s="1"/>
        <i x="93" s="1"/>
        <i x="74" s="1"/>
        <i x="7" s="1"/>
        <i x="60" s="1"/>
        <i x="115" s="1"/>
        <i x="62" s="1"/>
        <i x="72" s="1"/>
        <i x="120" s="1"/>
        <i x="116" s="1"/>
        <i x="13" s="1"/>
        <i x="55" s="1"/>
        <i x="14" s="1"/>
        <i x="29" s="1"/>
        <i x="132" s="1"/>
        <i x="117" s="1"/>
        <i x="121" s="1"/>
        <i x="106" s="1"/>
        <i x="75" s="1"/>
        <i x="122" s="1"/>
        <i x="111" s="1"/>
        <i x="59" s="1"/>
        <i x="64" s="1"/>
        <i x="84" s="1"/>
        <i x="127" s="1"/>
        <i x="51" s="1"/>
        <i x="42" s="1"/>
        <i x="104" s="1"/>
        <i x="69" s="1"/>
        <i x="139" s="1"/>
        <i x="88" s="1"/>
        <i x="89" s="1"/>
        <i x="97" s="1"/>
        <i x="57" s="1"/>
        <i x="22" s="1"/>
        <i x="142" s="1"/>
        <i x="86" s="1"/>
        <i x="87" s="1"/>
        <i x="188" s="1" nd="1"/>
        <i x="192" s="1" nd="1"/>
        <i x="200" s="1" nd="1"/>
        <i x="201" s="1" nd="1"/>
        <i x="206" s="1" nd="1"/>
        <i x="214" s="1" nd="1"/>
        <i x="220" s="1" nd="1"/>
        <i x="223" s="1" nd="1"/>
        <i x="229" s="1" nd="1"/>
        <i x="235" s="1" nd="1"/>
        <i x="238" s="1" nd="1"/>
        <i x="242" s="1" nd="1"/>
        <i x="244" s="1" nd="1"/>
        <i x="261" s="1" nd="1"/>
        <i x="264" s="1" nd="1"/>
        <i x="270" s="1" nd="1"/>
        <i x="273" s="1" nd="1"/>
        <i x="150" s="1" nd="1"/>
        <i x="154" s="1" nd="1"/>
        <i x="157" s="1" nd="1"/>
        <i x="159" s="1" nd="1"/>
        <i x="165" s="1" nd="1"/>
        <i x="169" s="1" nd="1"/>
        <i x="171" s="1" nd="1"/>
        <i x="174" s="1" nd="1"/>
        <i x="178" s="1" nd="1"/>
        <i x="187" s="1" nd="1"/>
        <i x="189" s="1" nd="1"/>
        <i x="194" s="1" nd="1"/>
        <i x="197" s="1" nd="1"/>
        <i x="203" s="1" nd="1"/>
        <i x="209" s="1" nd="1"/>
        <i x="215" s="1" nd="1"/>
        <i x="218" s="1" nd="1"/>
        <i x="227" s="1" nd="1"/>
        <i x="233" s="1" nd="1"/>
        <i x="236" s="1" nd="1"/>
        <i x="246" s="1" nd="1"/>
        <i x="249" s="1" nd="1"/>
        <i x="253" s="1" nd="1"/>
        <i x="255" s="1" nd="1"/>
        <i x="259" s="1" nd="1"/>
        <i x="266" s="1" nd="1"/>
        <i x="268" s="1" nd="1"/>
        <i x="271" s="1" nd="1"/>
        <i x="151" s="1" nd="1"/>
        <i x="158" s="1" nd="1"/>
        <i x="161" s="1" nd="1"/>
        <i x="163" s="1" nd="1"/>
        <i x="176" s="1" nd="1"/>
        <i x="180" s="1" nd="1"/>
        <i x="183" s="1" nd="1"/>
        <i x="185" s="1" nd="1"/>
        <i x="186" s="1" nd="1"/>
        <i x="191" s="1" nd="1"/>
        <i x="199" s="1" nd="1"/>
        <i x="205" s="1" nd="1"/>
        <i x="207" s="1" nd="1"/>
        <i x="222" s="1" nd="1"/>
        <i x="225" s="1" nd="1"/>
        <i x="231" s="1" nd="1"/>
        <i x="234" s="1" nd="1"/>
        <i x="241" s="1" nd="1"/>
        <i x="243" s="1" nd="1"/>
        <i x="248" s="1" nd="1"/>
        <i x="250" s="1" nd="1"/>
        <i x="254" s="1" nd="1"/>
        <i x="267" s="1" nd="1"/>
        <i x="269" s="1" nd="1"/>
        <i x="153" s="1" nd="1"/>
        <i x="156" s="1" nd="1"/>
        <i x="164" s="1" nd="1"/>
        <i x="168" s="1" nd="1"/>
        <i x="170" s="1" nd="1"/>
        <i x="173" s="1" nd="1"/>
        <i x="177" s="1" nd="1"/>
        <i x="181" s="1" nd="1"/>
        <i x="184" s="1" nd="1"/>
        <i x="193" s="1" nd="1"/>
        <i x="196" s="1" nd="1"/>
        <i x="202" s="1" nd="1"/>
        <i x="208" s="1" nd="1"/>
        <i x="211" s="1" nd="1"/>
        <i x="212" s="1" nd="1"/>
        <i x="217" s="1" nd="1"/>
        <i x="226" s="1" nd="1"/>
        <i x="232" s="1" nd="1"/>
        <i x="239" s="1" nd="1"/>
        <i x="245" s="1" nd="1"/>
        <i x="251" s="1" nd="1"/>
        <i x="257" s="1" nd="1"/>
        <i x="262" s="1" nd="1"/>
        <i x="265" s="1" nd="1"/>
        <i x="160" s="1" nd="1"/>
        <i x="166" s="1" nd="1"/>
        <i x="175" s="1" nd="1"/>
        <i x="179" s="1" nd="1"/>
        <i x="182" s="1" nd="1"/>
        <i x="190" s="1" nd="1"/>
        <i x="195" s="1" nd="1"/>
        <i x="198" s="1" nd="1"/>
        <i x="204" s="1" nd="1"/>
        <i x="210" s="1" nd="1"/>
        <i x="213" s="1" nd="1"/>
        <i x="216" s="1" nd="1"/>
        <i x="219" s="1" nd="1"/>
        <i x="221" s="1" nd="1"/>
        <i x="224" s="1" nd="1"/>
        <i x="228" s="1" nd="1"/>
        <i x="230" s="1" nd="1"/>
        <i x="237" s="1" nd="1"/>
        <i x="240" s="1" nd="1"/>
        <i x="247" s="1" nd="1"/>
        <i x="252" s="1" nd="1"/>
        <i x="256" s="1" nd="1"/>
        <i x="258" s="1" nd="1"/>
        <i x="260" s="1" nd="1"/>
        <i x="263" s="1" nd="1"/>
        <i x="272" s="1" nd="1"/>
        <i x="274" s="1" nd="1"/>
        <i x="152" s="1" nd="1"/>
        <i x="155" s="1" nd="1"/>
        <i x="162" s="1" nd="1"/>
        <i x="167" s="1" nd="1"/>
        <i x="17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ype" xr10:uid="{90F2A3B5-092F-45FA-A803-1135EB05491C}" sourceName="Job type">
  <pivotTables>
    <pivotTable tabId="14" name="statistics"/>
    <pivotTable tabId="14" name="Age"/>
    <pivotTable tabId="14" name="Job type"/>
    <pivotTable tabId="14" name="M_F"/>
    <pivotTable tabId="14" name="salary"/>
    <pivotTable tabId="14" name="Skill level"/>
    <pivotTable tabId="14" name="abscence"/>
    <pivotTable tabId="14" name="increament rate"/>
    <pivotTable tabId="14" name="KPI achieve"/>
    <pivotTable tabId="14" name="members"/>
    <pivotTable tabId="14" name="Pie chart"/>
  </pivotTables>
  <data>
    <tabular pivotCacheId="401588501" showMissing="0">
      <items count="3">
        <i x="0" s="1"/>
        <i x="1"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ill_level" xr10:uid="{66043BD0-616A-4F39-A5AE-EFE7BE969537}" sourceName="Skill level">
  <pivotTables>
    <pivotTable tabId="14" name="statistics"/>
    <pivotTable tabId="14" name="Age"/>
    <pivotTable tabId="14" name="Job type"/>
    <pivotTable tabId="14" name="M_F"/>
    <pivotTable tabId="14" name="salary"/>
    <pivotTable tabId="14" name="Skill level"/>
    <pivotTable tabId="14" name="KPI"/>
    <pivotTable tabId="14" name="abscence"/>
    <pivotTable tabId="14" name="increament rate"/>
    <pivotTable tabId="14" name="KPI achieve"/>
    <pivotTable tabId="14" name="Pie chart"/>
    <pivotTable tabId="14" name="members"/>
  </pivotTables>
  <data>
    <tabular pivotCacheId="401588501" showMissing="0">
      <items count="5">
        <i x="4" s="1"/>
        <i x="2" s="1"/>
        <i x="1" s="1"/>
        <i x="0" s="1"/>
        <i x="3"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 xr10:uid="{59B6F7E5-C372-40D4-BD34-B9B0D3B3BF77}" sourceName="Title">
  <pivotTables>
    <pivotTable tabId="14" name="abscence"/>
    <pivotTable tabId="14" name="Age"/>
    <pivotTable tabId="14" name="increament rate"/>
    <pivotTable tabId="14" name="KPI"/>
    <pivotTable tabId="14" name="KPI achieve"/>
    <pivotTable tabId="14" name="M_F"/>
    <pivotTable tabId="14" name="Pie chart"/>
    <pivotTable tabId="14" name="salary"/>
    <pivotTable tabId="14" name="Skill level"/>
    <pivotTable tabId="14" name="statistics"/>
  </pivotTables>
  <data>
    <tabular pivotCacheId="401588501" showMissing="0">
      <items count="7">
        <i x="5" s="1"/>
        <i x="3" s="1"/>
        <i x="4" s="1"/>
        <i x="1" s="1"/>
        <i x="0" s="1"/>
        <i x="2"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745C604F-E45F-4AB9-A52A-38D1AD582867}" cache="Slicer_Gender" caption="Gender" columnCount="2" style="Slicer Style 1" rowHeight="241300"/>
  <slicer name="Department" xr10:uid="{29161EDE-C719-4018-AF9C-5309D42EB202}" cache="Slicer_Department" caption="Department" style="Slicer Style 1" rowHeight="241300"/>
  <slicer name="Emp Code" xr10:uid="{AC12B775-54A5-4A37-9603-3E7A95EA5856}" cache="Slicer_Emp_Code" caption="Emp Code" startItem="39" style="Slicer Style 1" rowHeight="241300"/>
  <slicer name="Job type" xr10:uid="{2FA25048-EA51-4D61-9FA8-F1BD18871105}" cache="Slicer_Job_type" caption="Job type" columnCount="2" style="Slicer Style 1" rowHeight="241300"/>
  <slicer name="Skill level" xr10:uid="{818F1465-6881-4E8A-AAA7-1991FDF9BF86}" cache="Slicer_Skill_level" caption="Skill level" columnCount="3" style="Slicer Style 1" rowHeight="241300"/>
  <slicer name="Title" xr10:uid="{DBD0AA69-D003-4004-A361-CB61BC214B94}" cache="Slicer_Title" caption="Title"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DB2712-51C6-43B7-9312-734FEBB3F511}" name="Emp" displayName="Emp" ref="B2:Y224" headerRowDxfId="64" dataDxfId="63" totalsRowDxfId="62">
  <autoFilter ref="B2:Y224" xr:uid="{9EC063FB-5649-4A52-B4EB-05CC4BF448BB}"/>
  <tableColumns count="24">
    <tableColumn id="1" xr3:uid="{C3A4423B-D2AB-4474-899A-E413E1A6C643}" name="Date" dataDxfId="61" totalsRowDxfId="60"/>
    <tableColumn id="2" xr3:uid="{7514CDC6-36B8-4313-A154-7C0C03CA4FAA}" name="Year" dataDxfId="59" totalsRowDxfId="58">
      <calculatedColumnFormula>Emp[[#This Row],[Date]]</calculatedColumnFormula>
    </tableColumn>
    <tableColumn id="3" xr3:uid="{6F0F6FE7-D2F2-4187-8EDB-02A6870C5667}" name="Month No." dataDxfId="57" totalsRowDxfId="56">
      <calculatedColumnFormula>IF(Emp[[#This Row],[Date]]="","",MONTH(Emp[[#This Row],[Date]]))</calculatedColumnFormula>
    </tableColumn>
    <tableColumn id="21" xr3:uid="{4010C8A9-58D1-4384-A10B-E6B9D637BB26}" name="Month" dataDxfId="55" totalsRowDxfId="54">
      <calculatedColumnFormula>Emp[[#This Row],[Date]]</calculatedColumnFormula>
    </tableColumn>
    <tableColumn id="4" xr3:uid="{B47C26D1-BDE0-4444-A4C6-4696A2BC95CC}" name="Week" dataDxfId="53" totalsRowDxfId="52">
      <calculatedColumnFormula>IF(Emp[[#This Row],[Date]]="","",WEEKNUM(B3))</calculatedColumnFormula>
    </tableColumn>
    <tableColumn id="5" xr3:uid="{8C5D181F-1AA8-4F4F-A7C8-6370C335B79D}" name="Emp Name" dataDxfId="51" totalsRowDxfId="50"/>
    <tableColumn id="6" xr3:uid="{FA7EE3BA-8527-4DDE-BBD3-FA15C1E08A7E}" name="Emp Code" dataDxfId="49" totalsRowDxfId="48">
      <calculatedColumnFormula>IFERROR(VLOOKUP(Raw_data!$G3,Data_base!$B:$J,2,0),"")</calculatedColumnFormula>
    </tableColumn>
    <tableColumn id="7" xr3:uid="{58AF5C6B-3B98-4CDA-B945-331B67ECFCE3}" name="Department" dataDxfId="47" totalsRowDxfId="46">
      <calculatedColumnFormula>IFERROR(VLOOKUP(Raw_data!$G3,Data_base!$B:$J,3,0),"")</calculatedColumnFormula>
    </tableColumn>
    <tableColumn id="18" xr3:uid="{E3802411-5187-49E9-BD54-6577D55DB563}" name="Title" dataDxfId="45" totalsRowDxfId="44">
      <calculatedColumnFormula>IFERROR(VLOOKUP(Raw_data!$G3,Data_base!$B:$J,4,0),"")</calculatedColumnFormula>
    </tableColumn>
    <tableColumn id="8" xr3:uid="{2CB39C40-5634-4A73-B4C2-BD8F43597BD4}" name="Gender" dataDxfId="43" totalsRowDxfId="42" dataCellStyle="Comma">
      <calculatedColumnFormula>IFERROR(VLOOKUP(Raw_data!$G3,Data_base!$B:$J,5,0),"")</calculatedColumnFormula>
    </tableColumn>
    <tableColumn id="9" xr3:uid="{4D832BB6-CB21-4584-A28B-CFA5C41D96FC}" name="Job type" dataDxfId="41" totalsRowDxfId="40" dataCellStyle="Comma">
      <calculatedColumnFormula>IFERROR(VLOOKUP(Raw_data!$G3,Data_base!$B:$J,6,0),"")</calculatedColumnFormula>
    </tableColumn>
    <tableColumn id="10" xr3:uid="{06964AF4-03D1-4197-ABC1-11FA73104F88}" name="Hiring date" dataDxfId="39" totalsRowDxfId="38" dataCellStyle="Comma">
      <calculatedColumnFormula>IFERROR(VLOOKUP(Raw_data!$G3,Data_base!$B:$J,7,0),"")</calculatedColumnFormula>
    </tableColumn>
    <tableColumn id="11" xr3:uid="{0F4389DC-474D-41BD-BB46-F57044FDA02E}" name="Age" dataDxfId="37" totalsRowDxfId="36" dataCellStyle="Comma">
      <calculatedColumnFormula>IFERROR(VLOOKUP(Raw_data!$G3,Data_base!$B:$J,8,0),"")</calculatedColumnFormula>
    </tableColumn>
    <tableColumn id="12" xr3:uid="{8F6DE987-A53A-4472-8995-0356FF3357D3}" name="Salary" dataDxfId="35" totalsRowDxfId="34" dataCellStyle="Comma">
      <calculatedColumnFormula>IFERROR(VLOOKUP(Raw_data!$G3,Data_base!$B:$J,9,0),"")</calculatedColumnFormula>
    </tableColumn>
    <tableColumn id="20" xr3:uid="{06D38704-6D8A-4573-9DEC-07E15B1A2D56}" name="Penality" dataDxfId="33" totalsRowDxfId="32" dataCellStyle="Comma"/>
    <tableColumn id="13" xr3:uid="{3C1F2BFE-95A6-4E8E-ACCC-1D884D8C0497}" name="Skill level" dataDxfId="31" totalsRowDxfId="30" dataCellStyle="Comma"/>
    <tableColumn id="14" xr3:uid="{E13412F6-BCFB-469F-8141-B18A063F9D76}" name="Working days" dataDxfId="29" totalsRowDxfId="28"/>
    <tableColumn id="23" xr3:uid="{715F5138-05DD-4AB7-8F3F-69071ED709A1}" name="penality deduction" dataDxfId="27" totalsRowDxfId="26" dataCellStyle="Percent">
      <calculatedColumnFormula>IFERROR(1-VLOOKUP(Emp[[#This Row],[Penality]],Data_base!V:W,2,FALSE),"")</calculatedColumnFormula>
    </tableColumn>
    <tableColumn id="15" xr3:uid="{8CCAE019-A13D-4FD6-AFD7-83364BA704D4}" name="Activity" dataDxfId="25" totalsRowDxfId="24" dataCellStyle="Percent">
      <calculatedColumnFormula>IFERROR(R3/VLOOKUP(D3,Data_base!S:T,2,0),"")</calculatedColumnFormula>
    </tableColumn>
    <tableColumn id="19" xr3:uid="{D56187F5-D1D2-49FC-94D1-E15206A5E1D7}" name="Abscene rate" dataDxfId="23" totalsRowDxfId="22" dataCellStyle="Percent">
      <calculatedColumnFormula>IFERROR(1-Emp[[#This Row],[Activity]],"")</calculatedColumnFormula>
    </tableColumn>
    <tableColumn id="16" xr3:uid="{3CEC14D3-844E-4D1E-A6B3-26E51FAB4A57}" name="KPI achieve" dataDxfId="21" totalsRowDxfId="20" dataCellStyle="Percent"/>
    <tableColumn id="22" xr3:uid="{89DC5F1C-5C92-44F6-9D7A-61528981CF8A}" name="Performance" dataDxfId="19" totalsRowDxfId="18" dataCellStyle="Percent">
      <calculatedColumnFormula>AVERAGE(V3,T3,S3)</calculatedColumnFormula>
    </tableColumn>
    <tableColumn id="17" xr3:uid="{AE4843F0-1C83-4347-888D-13FECA404D22}" name="Increament" dataDxfId="17" totalsRowDxfId="16" dataCellStyle="Comma"/>
    <tableColumn id="24" xr3:uid="{8A6A1E8E-8F2A-4CF9-9729-96D56C98B5DA}" name="increament %" dataDxfId="15" totalsRowDxfId="14" dataCellStyle="Percent">
      <calculatedColumnFormula>IFERROR(IF(Emp[[#This Row],[Increament]]="","",(Emp[[#This Row],[Increament]]/Emp[[#This Row],[Salary]])),"")</calculatedColumnFormula>
    </tableColumn>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C34A08DD-37BE-4565-83FA-EE73BBDA36F2}" sourceName="Date">
  <pivotTables>
    <pivotTable tabId="14" name="statistics"/>
    <pivotTable tabId="14" name="Age"/>
    <pivotTable tabId="14" name="Job type"/>
    <pivotTable tabId="14" name="M_F"/>
    <pivotTable tabId="14" name="salary"/>
    <pivotTable tabId="14" name="Skill level"/>
    <pivotTable tabId="14" name="comparison"/>
    <pivotTable tabId="14" name="KPI"/>
    <pivotTable tabId="14" name="abscence"/>
    <pivotTable tabId="14" name="increament rate"/>
    <pivotTable tabId="14" name="KPI achieve"/>
    <pivotTable tabId="14" name="Pie chart"/>
  </pivotTables>
  <state minimalRefreshVersion="6" lastRefreshVersion="6" pivotCacheId="401588501" filterType="unknown">
    <bounds startDate="2016-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E70D74CA-505C-485D-B094-8811AB6FD5C1}" cache="NativeTimeline_Date" caption="Date" level="0" selectionLevel="0" scrollPosition="2016-01-01T00:00:00" style="Timeline Style 4"/>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U74"/>
  <sheetViews>
    <sheetView showGridLines="0" showRowColHeaders="0" tabSelected="1" topLeftCell="A39" zoomScale="80" zoomScaleNormal="80" workbookViewId="0">
      <pane xSplit="3" topLeftCell="D1" activePane="topRight" state="frozen"/>
      <selection pane="topRight" activeCell="D69" sqref="D69"/>
    </sheetView>
  </sheetViews>
  <sheetFormatPr defaultRowHeight="12.75" x14ac:dyDescent="0.2"/>
  <cols>
    <col min="1" max="1" width="17.7109375" style="2" customWidth="1"/>
    <col min="2" max="2" width="20.28515625" style="1" customWidth="1"/>
    <col min="3" max="3" width="24.42578125" style="1" customWidth="1"/>
    <col min="4" max="16384" width="9.140625" style="1"/>
  </cols>
  <sheetData>
    <row r="1" spans="1:4" x14ac:dyDescent="0.2">
      <c r="A1" s="1"/>
    </row>
    <row r="2" spans="1:4" x14ac:dyDescent="0.2">
      <c r="A2" s="1"/>
    </row>
    <row r="3" spans="1:4" x14ac:dyDescent="0.2">
      <c r="A3" s="1"/>
    </row>
    <row r="4" spans="1:4" x14ac:dyDescent="0.2">
      <c r="A4" s="1"/>
    </row>
    <row r="5" spans="1:4" x14ac:dyDescent="0.2">
      <c r="B5" s="3"/>
      <c r="D5" s="3"/>
    </row>
    <row r="6" spans="1:4" x14ac:dyDescent="0.2">
      <c r="A6" s="4" t="s">
        <v>1</v>
      </c>
      <c r="B6" s="3" t="s">
        <v>0</v>
      </c>
      <c r="D6" s="3" t="s">
        <v>741</v>
      </c>
    </row>
    <row r="8" spans="1:4" ht="15" x14ac:dyDescent="0.25">
      <c r="A8" s="9"/>
      <c r="B8" s="3" t="s">
        <v>2</v>
      </c>
      <c r="D8" s="1" t="s">
        <v>706</v>
      </c>
    </row>
    <row r="9" spans="1:4" ht="15" x14ac:dyDescent="0.25">
      <c r="A9" s="9"/>
      <c r="D9" s="1" t="s">
        <v>705</v>
      </c>
    </row>
    <row r="10" spans="1:4" ht="15" x14ac:dyDescent="0.25">
      <c r="A10" s="98" t="s">
        <v>707</v>
      </c>
      <c r="D10" s="1" t="s">
        <v>742</v>
      </c>
    </row>
    <row r="11" spans="1:4" ht="15" x14ac:dyDescent="0.25">
      <c r="A11" s="99" t="s">
        <v>708</v>
      </c>
    </row>
    <row r="12" spans="1:4" ht="15" x14ac:dyDescent="0.25">
      <c r="A12" s="99" t="s">
        <v>709</v>
      </c>
      <c r="C12" s="6" t="s">
        <v>371</v>
      </c>
      <c r="D12" s="1" t="s">
        <v>710</v>
      </c>
    </row>
    <row r="13" spans="1:4" x14ac:dyDescent="0.2">
      <c r="C13" s="6" t="s">
        <v>687</v>
      </c>
      <c r="D13" s="1" t="s">
        <v>711</v>
      </c>
    </row>
    <row r="14" spans="1:4" x14ac:dyDescent="0.2">
      <c r="C14" s="6"/>
      <c r="D14" s="1" t="s">
        <v>712</v>
      </c>
    </row>
    <row r="15" spans="1:4" x14ac:dyDescent="0.2">
      <c r="C15" s="6"/>
      <c r="D15" s="1" t="s">
        <v>713</v>
      </c>
    </row>
    <row r="16" spans="1:4" x14ac:dyDescent="0.2">
      <c r="C16" s="6"/>
    </row>
    <row r="19" spans="2:4" x14ac:dyDescent="0.2">
      <c r="B19" s="5" t="s">
        <v>3</v>
      </c>
      <c r="D19" s="5">
        <v>3</v>
      </c>
    </row>
    <row r="21" spans="2:4" x14ac:dyDescent="0.2">
      <c r="B21" s="5" t="s">
        <v>4</v>
      </c>
      <c r="C21" s="7" t="s">
        <v>707</v>
      </c>
      <c r="D21" s="1" t="s">
        <v>714</v>
      </c>
    </row>
    <row r="22" spans="2:4" x14ac:dyDescent="0.2">
      <c r="C22" s="7" t="s">
        <v>708</v>
      </c>
      <c r="D22" s="1" t="s">
        <v>715</v>
      </c>
    </row>
    <row r="23" spans="2:4" x14ac:dyDescent="0.2">
      <c r="C23" s="7" t="s">
        <v>709</v>
      </c>
      <c r="D23" s="1" t="s">
        <v>716</v>
      </c>
    </row>
    <row r="24" spans="2:4" x14ac:dyDescent="0.2">
      <c r="C24" s="7"/>
    </row>
    <row r="25" spans="2:4" x14ac:dyDescent="0.2">
      <c r="C25" s="7"/>
    </row>
    <row r="26" spans="2:4" x14ac:dyDescent="0.2">
      <c r="C26" s="6" t="s">
        <v>719</v>
      </c>
      <c r="D26" s="1" t="s">
        <v>720</v>
      </c>
    </row>
    <row r="27" spans="2:4" x14ac:dyDescent="0.2">
      <c r="D27" s="1" t="s">
        <v>721</v>
      </c>
    </row>
    <row r="29" spans="2:4" x14ac:dyDescent="0.2">
      <c r="C29" s="6" t="s">
        <v>64</v>
      </c>
      <c r="D29" s="1" t="s">
        <v>722</v>
      </c>
    </row>
    <row r="31" spans="2:4" x14ac:dyDescent="0.2">
      <c r="C31" s="6" t="s">
        <v>357</v>
      </c>
      <c r="D31" s="1" t="s">
        <v>717</v>
      </c>
    </row>
    <row r="32" spans="2:4" x14ac:dyDescent="0.2">
      <c r="D32" s="97" t="s">
        <v>718</v>
      </c>
    </row>
    <row r="34" spans="2:21" x14ac:dyDescent="0.2">
      <c r="C34" s="6" t="s">
        <v>690</v>
      </c>
      <c r="D34" s="1" t="s">
        <v>723</v>
      </c>
    </row>
    <row r="37" spans="2:21" x14ac:dyDescent="0.2">
      <c r="B37" s="5" t="s">
        <v>5</v>
      </c>
      <c r="C37" s="8" t="s">
        <v>6</v>
      </c>
      <c r="D37" s="1" t="s">
        <v>724</v>
      </c>
    </row>
    <row r="38" spans="2:21" x14ac:dyDescent="0.2">
      <c r="C38" s="8" t="s">
        <v>7</v>
      </c>
      <c r="D38" s="1" t="s">
        <v>725</v>
      </c>
    </row>
    <row r="39" spans="2:21" x14ac:dyDescent="0.2">
      <c r="C39" s="8" t="s">
        <v>8</v>
      </c>
      <c r="D39" s="1" t="s">
        <v>726</v>
      </c>
    </row>
    <row r="40" spans="2:21" x14ac:dyDescent="0.2">
      <c r="C40" s="8" t="s">
        <v>9</v>
      </c>
      <c r="D40" s="1" t="s">
        <v>727</v>
      </c>
    </row>
    <row r="41" spans="2:21" x14ac:dyDescent="0.2">
      <c r="C41" s="8" t="s">
        <v>10</v>
      </c>
      <c r="D41" s="1" t="s">
        <v>728</v>
      </c>
    </row>
    <row r="42" spans="2:21" x14ac:dyDescent="0.2">
      <c r="C42" s="8" t="s">
        <v>11</v>
      </c>
      <c r="D42" s="1" t="s">
        <v>729</v>
      </c>
    </row>
    <row r="43" spans="2:21" x14ac:dyDescent="0.2">
      <c r="C43" s="8"/>
    </row>
    <row r="44" spans="2:21" x14ac:dyDescent="0.2">
      <c r="C44" s="8"/>
    </row>
    <row r="45" spans="2:21" x14ac:dyDescent="0.2">
      <c r="B45" s="3" t="s">
        <v>730</v>
      </c>
      <c r="C45" s="8"/>
      <c r="D45" s="100" t="s">
        <v>731</v>
      </c>
      <c r="H45" s="101"/>
      <c r="I45" s="101"/>
      <c r="J45" s="101"/>
      <c r="K45" s="101"/>
      <c r="L45" s="101"/>
      <c r="M45" s="101"/>
      <c r="N45" s="101"/>
      <c r="P45" s="101"/>
      <c r="Q45" s="101"/>
      <c r="R45" s="101"/>
      <c r="S45" s="101"/>
      <c r="T45" s="101"/>
      <c r="U45" s="101"/>
    </row>
    <row r="46" spans="2:21" x14ac:dyDescent="0.2">
      <c r="D46" s="100" t="s">
        <v>732</v>
      </c>
      <c r="H46" s="101"/>
      <c r="I46" s="101"/>
      <c r="J46" s="101"/>
      <c r="K46" s="101"/>
      <c r="L46" s="101"/>
      <c r="M46" s="101"/>
      <c r="N46" s="101"/>
      <c r="P46" s="101"/>
      <c r="Q46" s="101"/>
      <c r="R46" s="101"/>
      <c r="S46" s="101"/>
      <c r="T46" s="101"/>
      <c r="U46" s="101"/>
    </row>
    <row r="47" spans="2:21" x14ac:dyDescent="0.2">
      <c r="H47" s="101"/>
      <c r="I47" s="101"/>
      <c r="J47" s="101"/>
      <c r="K47" s="101"/>
      <c r="L47" s="101"/>
      <c r="M47" s="101"/>
      <c r="N47" s="101"/>
      <c r="P47" s="101"/>
      <c r="Q47" s="101"/>
      <c r="R47" s="101"/>
      <c r="S47" s="101"/>
      <c r="T47" s="101"/>
      <c r="U47" s="101"/>
    </row>
    <row r="48" spans="2:21" x14ac:dyDescent="0.2">
      <c r="C48" s="102" t="s">
        <v>733</v>
      </c>
      <c r="D48" s="1" t="s">
        <v>735</v>
      </c>
      <c r="H48" s="101"/>
      <c r="I48" s="101"/>
      <c r="J48" s="101"/>
      <c r="K48" s="101"/>
      <c r="L48" s="101"/>
      <c r="M48" s="101"/>
      <c r="N48" s="101"/>
      <c r="P48" s="101"/>
      <c r="Q48" s="101"/>
      <c r="R48" s="101"/>
      <c r="S48" s="101"/>
      <c r="T48" s="101"/>
      <c r="U48" s="101"/>
    </row>
    <row r="49" spans="3:21" x14ac:dyDescent="0.2">
      <c r="D49" s="8"/>
      <c r="H49" s="101"/>
      <c r="I49" s="101"/>
      <c r="J49" s="101"/>
      <c r="K49" s="101"/>
      <c r="L49" s="101"/>
      <c r="M49" s="101"/>
      <c r="N49" s="101"/>
      <c r="P49" s="101"/>
      <c r="Q49" s="101"/>
      <c r="R49" s="101"/>
      <c r="S49" s="101"/>
      <c r="T49" s="101"/>
      <c r="U49" s="101"/>
    </row>
    <row r="50" spans="3:21" x14ac:dyDescent="0.2">
      <c r="D50" s="8"/>
      <c r="H50" s="101"/>
      <c r="I50" s="101"/>
      <c r="J50" s="101"/>
      <c r="K50" s="101"/>
      <c r="L50" s="101"/>
      <c r="M50" s="101"/>
      <c r="N50" s="101"/>
      <c r="P50" s="101"/>
      <c r="Q50" s="101"/>
      <c r="R50" s="101"/>
      <c r="S50" s="101"/>
      <c r="T50" s="101"/>
      <c r="U50" s="101"/>
    </row>
    <row r="51" spans="3:21" x14ac:dyDescent="0.2">
      <c r="D51" s="8"/>
      <c r="H51" s="101"/>
      <c r="I51" s="101"/>
      <c r="J51" s="101"/>
      <c r="K51" s="101"/>
      <c r="L51" s="101"/>
      <c r="M51" s="101"/>
      <c r="N51" s="101"/>
      <c r="P51" s="101"/>
      <c r="Q51" s="101"/>
      <c r="R51" s="101"/>
      <c r="S51" s="101"/>
      <c r="T51" s="101"/>
      <c r="U51" s="101"/>
    </row>
    <row r="52" spans="3:21" x14ac:dyDescent="0.2">
      <c r="D52" s="8"/>
      <c r="H52" s="101"/>
      <c r="I52" s="101"/>
      <c r="J52" s="101"/>
      <c r="K52" s="101"/>
      <c r="L52" s="101"/>
      <c r="M52" s="101"/>
      <c r="N52" s="101"/>
      <c r="P52" s="101"/>
      <c r="Q52" s="101"/>
      <c r="R52" s="101"/>
      <c r="S52" s="101"/>
      <c r="T52" s="101"/>
      <c r="U52" s="101"/>
    </row>
    <row r="53" spans="3:21" x14ac:dyDescent="0.2">
      <c r="D53" s="8"/>
      <c r="H53" s="101"/>
      <c r="I53" s="101"/>
      <c r="J53" s="101"/>
      <c r="K53" s="101"/>
      <c r="L53" s="101"/>
      <c r="M53" s="101"/>
      <c r="N53" s="101"/>
      <c r="P53" s="101"/>
      <c r="Q53" s="101"/>
      <c r="R53" s="101"/>
      <c r="S53" s="101"/>
      <c r="T53" s="101"/>
      <c r="U53" s="101"/>
    </row>
    <row r="54" spans="3:21" x14ac:dyDescent="0.2">
      <c r="C54" s="102" t="s">
        <v>734</v>
      </c>
      <c r="D54" s="1" t="s">
        <v>736</v>
      </c>
      <c r="H54" s="101"/>
      <c r="I54" s="101"/>
      <c r="J54" s="101"/>
      <c r="K54" s="101"/>
      <c r="L54" s="101"/>
      <c r="M54" s="101"/>
      <c r="N54" s="101"/>
      <c r="P54" s="101"/>
      <c r="Q54" s="101"/>
      <c r="R54" s="101"/>
      <c r="S54" s="101"/>
      <c r="T54" s="101"/>
      <c r="U54" s="101"/>
    </row>
    <row r="55" spans="3:21" x14ac:dyDescent="0.2">
      <c r="H55" s="101"/>
      <c r="I55" s="101"/>
      <c r="J55" s="101"/>
      <c r="K55" s="101"/>
      <c r="L55" s="101"/>
      <c r="M55" s="101"/>
      <c r="N55" s="101"/>
      <c r="P55" s="101"/>
      <c r="Q55" s="101"/>
      <c r="R55" s="101"/>
      <c r="S55" s="101"/>
      <c r="T55" s="101"/>
      <c r="U55" s="101"/>
    </row>
    <row r="56" spans="3:21" x14ac:dyDescent="0.2">
      <c r="C56" s="102" t="s">
        <v>737</v>
      </c>
      <c r="D56" s="1" t="s">
        <v>738</v>
      </c>
      <c r="H56" s="101"/>
      <c r="I56" s="101"/>
      <c r="J56" s="101"/>
      <c r="K56" s="101"/>
      <c r="L56" s="101"/>
      <c r="M56" s="101"/>
      <c r="N56" s="101"/>
      <c r="P56" s="101"/>
      <c r="Q56" s="101"/>
      <c r="R56" s="101"/>
      <c r="S56" s="101"/>
      <c r="T56" s="101"/>
      <c r="U56" s="101"/>
    </row>
    <row r="57" spans="3:21" x14ac:dyDescent="0.2">
      <c r="H57" s="101"/>
      <c r="I57" s="101"/>
      <c r="J57" s="101"/>
      <c r="K57" s="101"/>
      <c r="L57" s="101"/>
      <c r="M57" s="101"/>
      <c r="N57" s="101"/>
      <c r="P57" s="101"/>
      <c r="Q57" s="101"/>
      <c r="R57" s="101"/>
      <c r="S57" s="101"/>
      <c r="T57" s="101"/>
      <c r="U57" s="101"/>
    </row>
    <row r="58" spans="3:21" x14ac:dyDescent="0.2">
      <c r="H58" s="101"/>
      <c r="I58" s="101"/>
      <c r="J58" s="101"/>
      <c r="K58" s="101"/>
      <c r="L58" s="101"/>
      <c r="M58" s="101"/>
      <c r="N58" s="101"/>
      <c r="P58" s="101"/>
      <c r="Q58" s="101"/>
      <c r="R58" s="101"/>
      <c r="S58" s="101"/>
      <c r="T58" s="101"/>
      <c r="U58" s="101"/>
    </row>
    <row r="59" spans="3:21" x14ac:dyDescent="0.2">
      <c r="H59" s="101"/>
      <c r="I59" s="101"/>
      <c r="J59" s="101"/>
      <c r="K59" s="101"/>
      <c r="L59" s="101"/>
      <c r="M59" s="101"/>
      <c r="N59" s="101"/>
      <c r="P59" s="101"/>
      <c r="Q59" s="101"/>
      <c r="R59" s="101"/>
      <c r="S59" s="101"/>
      <c r="T59" s="101"/>
      <c r="U59" s="101"/>
    </row>
    <row r="60" spans="3:21" x14ac:dyDescent="0.2">
      <c r="H60" s="101"/>
      <c r="I60" s="101"/>
      <c r="J60" s="101"/>
      <c r="K60" s="101"/>
      <c r="L60" s="101"/>
      <c r="M60" s="101"/>
      <c r="N60" s="101"/>
      <c r="P60" s="101"/>
      <c r="Q60" s="101"/>
      <c r="R60" s="101"/>
      <c r="S60" s="101"/>
      <c r="T60" s="101"/>
      <c r="U60" s="101"/>
    </row>
    <row r="61" spans="3:21" x14ac:dyDescent="0.2">
      <c r="H61" s="101"/>
      <c r="I61" s="101"/>
      <c r="J61" s="101"/>
      <c r="K61" s="101"/>
      <c r="L61" s="101"/>
      <c r="M61" s="101"/>
      <c r="N61" s="101"/>
      <c r="P61" s="101"/>
      <c r="Q61" s="101"/>
      <c r="R61" s="101"/>
      <c r="S61" s="101"/>
      <c r="T61" s="101"/>
      <c r="U61" s="101"/>
    </row>
    <row r="62" spans="3:21" x14ac:dyDescent="0.2">
      <c r="C62" s="102" t="s">
        <v>739</v>
      </c>
      <c r="D62" s="1" t="s">
        <v>740</v>
      </c>
      <c r="H62" s="101"/>
      <c r="I62" s="101"/>
      <c r="J62" s="101"/>
      <c r="K62" s="101"/>
      <c r="L62" s="101"/>
      <c r="M62" s="101"/>
      <c r="N62" s="101"/>
      <c r="P62" s="101"/>
      <c r="Q62" s="101"/>
      <c r="R62" s="101"/>
      <c r="S62" s="101"/>
      <c r="T62" s="101"/>
      <c r="U62" s="101"/>
    </row>
    <row r="63" spans="3:21" x14ac:dyDescent="0.2">
      <c r="H63" s="101"/>
      <c r="I63" s="101"/>
      <c r="J63" s="101"/>
      <c r="K63" s="101"/>
      <c r="L63" s="101"/>
      <c r="M63" s="101"/>
      <c r="N63" s="101"/>
      <c r="P63" s="101"/>
      <c r="Q63" s="101"/>
      <c r="R63" s="101"/>
      <c r="S63" s="101"/>
      <c r="T63" s="101"/>
      <c r="U63" s="101"/>
    </row>
    <row r="64" spans="3:21" x14ac:dyDescent="0.2">
      <c r="H64" s="101"/>
      <c r="I64" s="101"/>
      <c r="J64" s="101"/>
      <c r="K64" s="101"/>
      <c r="L64" s="101"/>
      <c r="M64" s="101"/>
      <c r="N64" s="101"/>
      <c r="P64" s="101"/>
      <c r="Q64" s="101"/>
      <c r="R64" s="101"/>
      <c r="S64" s="101"/>
      <c r="T64" s="101"/>
      <c r="U64" s="101"/>
    </row>
    <row r="65" spans="2:21" x14ac:dyDescent="0.2">
      <c r="H65" s="101"/>
      <c r="I65" s="101"/>
      <c r="J65" s="101"/>
      <c r="K65" s="101"/>
      <c r="L65" s="101"/>
      <c r="M65" s="101"/>
      <c r="N65" s="101"/>
      <c r="P65" s="101"/>
      <c r="Q65" s="101"/>
      <c r="R65" s="101"/>
      <c r="S65" s="101"/>
      <c r="T65" s="101"/>
      <c r="U65" s="101"/>
    </row>
    <row r="66" spans="2:21" x14ac:dyDescent="0.2">
      <c r="H66" s="101"/>
      <c r="I66" s="101"/>
      <c r="J66" s="101"/>
      <c r="K66" s="101"/>
      <c r="L66" s="101"/>
      <c r="M66" s="101"/>
      <c r="N66" s="101"/>
      <c r="P66" s="101"/>
      <c r="Q66" s="101"/>
      <c r="R66" s="101"/>
      <c r="S66" s="101"/>
      <c r="T66" s="101"/>
      <c r="U66" s="101"/>
    </row>
    <row r="67" spans="2:21" x14ac:dyDescent="0.2">
      <c r="H67" s="101"/>
      <c r="I67" s="101"/>
      <c r="J67" s="101"/>
      <c r="K67" s="101"/>
      <c r="L67" s="101"/>
      <c r="M67" s="101"/>
      <c r="N67" s="101"/>
      <c r="P67" s="101"/>
      <c r="Q67" s="101"/>
      <c r="R67" s="101"/>
      <c r="S67" s="101"/>
      <c r="T67" s="101"/>
      <c r="U67" s="101"/>
    </row>
    <row r="68" spans="2:21" x14ac:dyDescent="0.2">
      <c r="D68" s="100"/>
      <c r="H68" s="101"/>
      <c r="I68" s="101"/>
      <c r="J68" s="101"/>
      <c r="K68" s="101"/>
      <c r="L68" s="101"/>
      <c r="M68" s="101"/>
      <c r="N68" s="101"/>
    </row>
    <row r="69" spans="2:21" x14ac:dyDescent="0.2">
      <c r="D69" s="101"/>
      <c r="H69" s="101"/>
      <c r="I69" s="101"/>
      <c r="J69" s="101"/>
      <c r="K69" s="101"/>
      <c r="L69" s="101"/>
      <c r="M69" s="101"/>
      <c r="N69" s="101"/>
    </row>
    <row r="70" spans="2:21" ht="15" x14ac:dyDescent="0.25">
      <c r="D70" s="103"/>
      <c r="H70" s="101"/>
      <c r="I70" s="101"/>
      <c r="J70" s="101"/>
      <c r="K70" s="101"/>
      <c r="L70" s="101"/>
      <c r="M70" s="101"/>
      <c r="N70" s="101"/>
    </row>
    <row r="71" spans="2:21" x14ac:dyDescent="0.2">
      <c r="D71" s="101"/>
      <c r="H71" s="101"/>
      <c r="I71" s="101"/>
      <c r="J71" s="101"/>
      <c r="K71" s="101"/>
      <c r="L71" s="101"/>
      <c r="M71" s="101"/>
      <c r="N71" s="101"/>
    </row>
    <row r="72" spans="2:21" x14ac:dyDescent="0.2">
      <c r="D72" s="101"/>
      <c r="H72" s="101"/>
      <c r="I72" s="101"/>
      <c r="J72" s="101"/>
      <c r="K72" s="101"/>
      <c r="L72" s="101"/>
      <c r="M72" s="101"/>
      <c r="N72" s="101"/>
    </row>
    <row r="73" spans="2:21" x14ac:dyDescent="0.2">
      <c r="D73" s="101"/>
      <c r="H73" s="101"/>
      <c r="I73" s="101"/>
      <c r="J73" s="101"/>
      <c r="K73" s="101"/>
      <c r="L73" s="101"/>
      <c r="M73" s="101"/>
      <c r="N73" s="101"/>
    </row>
    <row r="74" spans="2:21" x14ac:dyDescent="0.2">
      <c r="B74" s="101"/>
      <c r="C74" s="101"/>
      <c r="D74" s="101"/>
      <c r="E74" s="101"/>
      <c r="F74" s="101"/>
      <c r="G74" s="101"/>
      <c r="H74" s="101"/>
      <c r="I74" s="101"/>
      <c r="J74" s="101"/>
      <c r="K74" s="101"/>
      <c r="L74" s="101"/>
      <c r="M74" s="101"/>
      <c r="N74" s="101"/>
    </row>
  </sheetData>
  <conditionalFormatting sqref="D19">
    <cfRule type="iconSet" priority="1">
      <iconSet reverse="1">
        <cfvo type="percent" val="0"/>
        <cfvo type="num" val="1" gte="0"/>
        <cfvo type="num" val="2" gte="0"/>
      </iconSet>
    </cfRule>
  </conditionalFormatting>
  <hyperlinks>
    <hyperlink ref="A10" location="Dashboard!A1" display="Dashboard" xr:uid="{B702975A-9D2C-45C8-B843-678F0FF48F8D}"/>
    <hyperlink ref="A11" location="Raw_data!A1" display="Raw data" xr:uid="{785AC016-1C0E-4D67-92E0-C66AE34DB2A2}"/>
    <hyperlink ref="A12" location="Data_base!A1" display="Data base" xr:uid="{2B0C5738-EC8B-4BF2-8156-F72F1D285C46}"/>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F8CC3-52F5-464A-8666-6E285FF0938E}">
  <sheetPr codeName="Sheet2">
    <tabColor rgb="FF50B47F"/>
  </sheetPr>
  <dimension ref="A1:AA43"/>
  <sheetViews>
    <sheetView showGridLines="0" showRowColHeaders="0" zoomScale="75" zoomScaleNormal="75" workbookViewId="0">
      <selection activeCell="W3" sqref="W3:W4"/>
    </sheetView>
  </sheetViews>
  <sheetFormatPr defaultColWidth="0" defaultRowHeight="12.75" zeroHeight="1" x14ac:dyDescent="0.2"/>
  <cols>
    <col min="1" max="3" width="9.140625" style="26" customWidth="1"/>
    <col min="4" max="4" width="9.5703125" style="26" customWidth="1"/>
    <col min="5" max="9" width="9.140625" style="26" customWidth="1"/>
    <col min="10" max="10" width="10.28515625" style="26" customWidth="1"/>
    <col min="11" max="22" width="9.140625" style="26" customWidth="1"/>
    <col min="23" max="24" width="12.7109375" style="26" customWidth="1"/>
    <col min="25" max="25" width="14" style="26" customWidth="1"/>
    <col min="26" max="26" width="13.140625" style="26" customWidth="1"/>
    <col min="27" max="27" width="1.140625" style="26" customWidth="1"/>
    <col min="28" max="16384" width="9.140625" style="26" hidden="1"/>
  </cols>
  <sheetData>
    <row r="1" spans="1:26" ht="23.25" customHeight="1" x14ac:dyDescent="0.2">
      <c r="A1" s="106" t="s">
        <v>358</v>
      </c>
      <c r="B1" s="106"/>
      <c r="C1" s="107"/>
      <c r="E1" s="80" t="s">
        <v>700</v>
      </c>
      <c r="F1" s="27"/>
      <c r="H1" s="80" t="s">
        <v>29</v>
      </c>
      <c r="I1" s="27"/>
      <c r="K1" s="80" t="s">
        <v>699</v>
      </c>
      <c r="L1" s="27"/>
      <c r="M1" s="69"/>
      <c r="N1" s="80" t="s">
        <v>686</v>
      </c>
      <c r="O1" s="28"/>
      <c r="U1" s="31"/>
      <c r="W1" s="29"/>
      <c r="X1" s="81" t="s">
        <v>701</v>
      </c>
      <c r="Y1" s="29"/>
      <c r="Z1" s="29"/>
    </row>
    <row r="2" spans="1:26" ht="18.75" customHeight="1" x14ac:dyDescent="0.2">
      <c r="A2" s="106"/>
      <c r="B2" s="106"/>
      <c r="C2" s="107"/>
      <c r="D2" s="30" t="s">
        <v>359</v>
      </c>
      <c r="E2" s="44">
        <f>IFERROR(GETPIVOTDATA("Count of Gender2",Calculations!$B$3,"Gender","M"),"")</f>
        <v>0.40990990990990989</v>
      </c>
      <c r="F2" s="37">
        <f>IFERROR(GETPIVOTDATA("Count of Gender2",Calculations!$B$3,"Gender","F"),"")</f>
        <v>0.59009009009009006</v>
      </c>
      <c r="I2" s="27"/>
      <c r="L2" s="27"/>
      <c r="M2" s="31"/>
      <c r="O2" s="30"/>
      <c r="P2" s="66"/>
      <c r="U2" s="31"/>
      <c r="V2" s="67" t="s">
        <v>61</v>
      </c>
      <c r="W2" s="68" t="s">
        <v>372</v>
      </c>
      <c r="X2" s="68" t="s">
        <v>371</v>
      </c>
      <c r="Y2" s="68" t="s">
        <v>687</v>
      </c>
      <c r="Z2" s="67" t="s">
        <v>40</v>
      </c>
    </row>
    <row r="3" spans="1:26" ht="12.75" customHeight="1" x14ac:dyDescent="0.2">
      <c r="A3" s="106"/>
      <c r="B3" s="106"/>
      <c r="C3" s="107"/>
      <c r="F3" s="27"/>
      <c r="I3" s="27"/>
      <c r="L3" s="27"/>
      <c r="M3" s="31"/>
      <c r="O3" s="30"/>
      <c r="P3" s="66"/>
      <c r="U3" s="31"/>
      <c r="V3" s="114">
        <f>IFERROR(GETPIVOTDATA("Sum of Penality",Calculations!$U$3,"Gender","M"),"")</f>
        <v>139</v>
      </c>
      <c r="W3" s="115">
        <f>IFERROR(GETPIVOTDATA("average of Abscene rate",Calculations!$U$3,"Gender","M"),"")</f>
        <v>0.17604853738394113</v>
      </c>
      <c r="X3" s="115">
        <f>IFERROR(GETPIVOTDATA("average of KPI achieve",Calculations!$U$3,"Gender","M"),"")</f>
        <v>0.52986537554759283</v>
      </c>
      <c r="Y3" s="115">
        <f>IFERROR(GETPIVOTDATA("Average of Performance",Calculations!$U$3,"Gender","M"),"")</f>
        <v>0.6876470510491558</v>
      </c>
      <c r="Z3" s="114">
        <f>IFERROR(GETPIVOTDATA("Sum of Increament",Calculations!$U$3,"Gender","M"),"")</f>
        <v>12400</v>
      </c>
    </row>
    <row r="4" spans="1:26" ht="12.75" customHeight="1" x14ac:dyDescent="0.2">
      <c r="A4" s="106"/>
      <c r="B4" s="106"/>
      <c r="C4" s="107"/>
      <c r="F4" s="27"/>
      <c r="I4" s="27"/>
      <c r="L4" s="27"/>
      <c r="M4" s="31"/>
      <c r="O4" s="30"/>
      <c r="P4" s="66"/>
      <c r="U4" s="31"/>
      <c r="V4" s="114"/>
      <c r="W4" s="115"/>
      <c r="X4" s="115"/>
      <c r="Y4" s="115"/>
      <c r="Z4" s="114"/>
    </row>
    <row r="5" spans="1:26" ht="12.75" customHeight="1" x14ac:dyDescent="0.2">
      <c r="A5" s="106"/>
      <c r="B5" s="106"/>
      <c r="C5" s="107"/>
      <c r="F5" s="27"/>
      <c r="G5" s="30" t="s">
        <v>43</v>
      </c>
      <c r="H5" s="44">
        <f>IFERROR(GETPIVOTDATA("Job type",Calculations!$F$3,"Gender","M","Job type","Full time"),"")</f>
        <v>0.23873873873873874</v>
      </c>
      <c r="I5" s="37">
        <f>IFERROR(GETPIVOTDATA("Job type",Calculations!$F$3,"Gender","F","Job type","Full time"),"")</f>
        <v>0.44144144144144143</v>
      </c>
      <c r="J5" s="30" t="s">
        <v>367</v>
      </c>
      <c r="K5" s="45">
        <f>IFERROR(GETPIVOTDATA("Average of Salary",Calculations!$I$3,"Gender","M"),"")</f>
        <v>7458.2197802197807</v>
      </c>
      <c r="L5" s="41">
        <f>IFERROR(GETPIVOTDATA("Average of Salary",Calculations!$I$3,"Gender","F"),"")</f>
        <v>7070.3435114503818</v>
      </c>
      <c r="M5" s="31"/>
      <c r="O5" s="30"/>
      <c r="P5" s="66"/>
      <c r="U5" s="31"/>
      <c r="V5" s="110">
        <f>IFERROR(GETPIVOTDATA("Sum of Penality",Calculations!$U$3,"Gender","F"),"")</f>
        <v>192</v>
      </c>
      <c r="W5" s="113">
        <f>IFERROR(GETPIVOTDATA("average of Abscene rate",Calculations!$U$3,"Gender","F"),"")</f>
        <v>0.16655197606906871</v>
      </c>
      <c r="X5" s="113">
        <f>IFERROR(GETPIVOTDATA("average of KPI achieve",Calculations!$U$3,"Gender","F"),"")</f>
        <v>0.50003188782839991</v>
      </c>
      <c r="Y5" s="113">
        <f>IFERROR(GETPIVOTDATA("Average of Performance",Calculations!$U$3,"Gender","F"),"")</f>
        <v>0.68247028005047217</v>
      </c>
      <c r="Z5" s="110">
        <f>IFERROR(GETPIVOTDATA("Sum of Increament",Calculations!$U$3,"Gender","F"),"")</f>
        <v>13300</v>
      </c>
    </row>
    <row r="6" spans="1:26" ht="13.5" customHeight="1" x14ac:dyDescent="0.2">
      <c r="A6" s="106"/>
      <c r="B6" s="106"/>
      <c r="C6" s="107"/>
      <c r="D6" s="32">
        <f>IFERROR(E6+F6,"")</f>
        <v>222</v>
      </c>
      <c r="E6" s="40">
        <f>IFERROR(GETPIVOTDATA("Count of Gender",Calculations!$B$3,"Gender","M"),"")</f>
        <v>91</v>
      </c>
      <c r="F6" s="39">
        <f>IFERROR(GETPIVOTDATA("Count of Gender",Calculations!$B$3,"Gender","F"),"")</f>
        <v>131</v>
      </c>
      <c r="G6" s="30" t="s">
        <v>44</v>
      </c>
      <c r="H6" s="44">
        <f>IFERROR(GETPIVOTDATA("Job type",Calculations!$F$3,"Gender","M","Job type","Part time"),"")</f>
        <v>0.17117117117117117</v>
      </c>
      <c r="I6" s="37">
        <f>IFERROR(GETPIVOTDATA("Job type",Calculations!$F$3,"Gender","F","Job type","Part time"),"")</f>
        <v>0.14864864864864866</v>
      </c>
      <c r="J6" s="30" t="s">
        <v>52</v>
      </c>
      <c r="K6" s="44">
        <f>IFERROR(GETPIVOTDATA("Average of Activity",Calculations!$I$3,"Gender","M"),"")</f>
        <v>0.82395146261605889</v>
      </c>
      <c r="L6" s="37">
        <f>IFERROR(GETPIVOTDATA("Average of Activity",Calculations!$I$3,"Gender","F"),"")</f>
        <v>0.8334480239309302</v>
      </c>
      <c r="M6" s="31"/>
      <c r="O6" s="30"/>
      <c r="P6" s="66"/>
      <c r="U6" s="31"/>
      <c r="V6" s="110"/>
      <c r="W6" s="113"/>
      <c r="X6" s="113"/>
      <c r="Y6" s="113"/>
      <c r="Z6" s="110"/>
    </row>
    <row r="7" spans="1:26" ht="15" customHeight="1" thickBot="1" x14ac:dyDescent="0.25">
      <c r="A7" s="108"/>
      <c r="B7" s="108"/>
      <c r="C7" s="109"/>
      <c r="D7" s="33"/>
      <c r="E7" s="33"/>
      <c r="F7" s="34"/>
      <c r="G7" s="33"/>
      <c r="H7" s="33"/>
      <c r="I7" s="34"/>
      <c r="J7" s="33"/>
      <c r="K7" s="33"/>
      <c r="L7" s="34"/>
      <c r="M7" s="35"/>
      <c r="N7" s="33"/>
      <c r="O7" s="36"/>
      <c r="P7" s="33"/>
      <c r="Q7" s="33"/>
      <c r="R7" s="33"/>
      <c r="S7" s="33"/>
      <c r="T7" s="33"/>
      <c r="U7" s="35"/>
      <c r="V7" s="33"/>
      <c r="W7" s="33"/>
      <c r="X7" s="33"/>
      <c r="Y7" s="33"/>
      <c r="Z7" s="33"/>
    </row>
    <row r="8" spans="1:26" ht="15" customHeight="1" x14ac:dyDescent="0.2">
      <c r="C8" s="27"/>
    </row>
    <row r="9" spans="1:26" ht="15" customHeight="1" x14ac:dyDescent="0.2">
      <c r="C9" s="27"/>
    </row>
    <row r="10" spans="1:26" ht="15" customHeight="1" x14ac:dyDescent="0.2">
      <c r="C10" s="27"/>
    </row>
    <row r="11" spans="1:26" ht="15" customHeight="1" x14ac:dyDescent="0.2">
      <c r="C11" s="27"/>
    </row>
    <row r="12" spans="1:26" ht="15" customHeight="1" x14ac:dyDescent="0.2">
      <c r="C12" s="27"/>
    </row>
    <row r="13" spans="1:26" ht="15" customHeight="1" x14ac:dyDescent="0.2">
      <c r="C13" s="27"/>
    </row>
    <row r="14" spans="1:26" ht="15" customHeight="1" x14ac:dyDescent="0.2">
      <c r="C14" s="27"/>
    </row>
    <row r="15" spans="1:26" ht="15" customHeight="1" x14ac:dyDescent="0.2">
      <c r="C15" s="27"/>
    </row>
    <row r="16" spans="1:26" ht="15" customHeight="1" x14ac:dyDescent="0.25">
      <c r="C16" s="27"/>
      <c r="V16" s="111" t="s">
        <v>377</v>
      </c>
      <c r="W16" s="112"/>
      <c r="X16" s="112"/>
      <c r="Y16" s="112"/>
      <c r="Z16" s="112"/>
    </row>
    <row r="17" spans="3:26" ht="15" customHeight="1" x14ac:dyDescent="0.2">
      <c r="C17" s="27"/>
      <c r="V17" s="31"/>
    </row>
    <row r="18" spans="3:26" ht="15" customHeight="1" thickBot="1" x14ac:dyDescent="0.25">
      <c r="C18" s="27"/>
      <c r="V18" s="31"/>
    </row>
    <row r="19" spans="3:26" ht="15" customHeight="1" thickTop="1" thickBot="1" x14ac:dyDescent="0.25">
      <c r="C19" s="27"/>
      <c r="V19" s="47" t="s">
        <v>378</v>
      </c>
      <c r="X19" s="104" t="s">
        <v>571</v>
      </c>
      <c r="Y19" s="105"/>
    </row>
    <row r="20" spans="3:26" ht="15" customHeight="1" thickTop="1" thickBot="1" x14ac:dyDescent="0.25">
      <c r="C20" s="27"/>
      <c r="V20" s="31"/>
    </row>
    <row r="21" spans="3:26" ht="15" customHeight="1" thickTop="1" thickBot="1" x14ac:dyDescent="0.25">
      <c r="C21" s="27"/>
      <c r="V21" s="57" t="s">
        <v>379</v>
      </c>
      <c r="X21" s="104" t="s">
        <v>388</v>
      </c>
      <c r="Y21" s="105"/>
    </row>
    <row r="22" spans="3:26" ht="15" customHeight="1" thickTop="1" x14ac:dyDescent="0.2">
      <c r="C22" s="27"/>
      <c r="V22" s="31"/>
    </row>
    <row r="23" spans="3:26" ht="15" customHeight="1" x14ac:dyDescent="0.2">
      <c r="C23" s="27"/>
      <c r="V23" s="31"/>
    </row>
    <row r="24" spans="3:26" ht="15" customHeight="1" x14ac:dyDescent="0.2">
      <c r="C24" s="27"/>
      <c r="V24" s="31"/>
      <c r="X24" s="50" t="str">
        <f>IF(X19="","Member 1",X19)</f>
        <v>ID250188</v>
      </c>
      <c r="Z24" s="58" t="str">
        <f>IF(X21="","Member 2",X21)</f>
        <v>ID250005</v>
      </c>
    </row>
    <row r="25" spans="3:26" ht="15" customHeight="1" x14ac:dyDescent="0.2">
      <c r="C25" s="27"/>
      <c r="V25" s="31"/>
    </row>
    <row r="26" spans="3:26" ht="15" customHeight="1" x14ac:dyDescent="0.2">
      <c r="C26" s="27"/>
      <c r="V26" s="54" t="s">
        <v>689</v>
      </c>
      <c r="W26" s="43"/>
      <c r="X26" s="51" t="str">
        <f>IFERROR(VLOOKUP(X19,Data_base!C:AA,25,0),"")</f>
        <v>employee 188</v>
      </c>
      <c r="Y26" s="43"/>
      <c r="Z26" s="59" t="str">
        <f>IFERROR(VLOOKUP(X21,Data_base!C:AA,25,0),"")</f>
        <v>employee 5</v>
      </c>
    </row>
    <row r="27" spans="3:26" ht="15" customHeight="1" x14ac:dyDescent="0.2">
      <c r="C27" s="27"/>
      <c r="V27" s="54" t="s">
        <v>65</v>
      </c>
      <c r="W27" s="43"/>
      <c r="X27" s="70">
        <f>IFERROR(VLOOKUP(X19,Data_base!C:J,6,0),"")</f>
        <v>42363</v>
      </c>
      <c r="Y27" s="48"/>
      <c r="Z27" s="71">
        <f>IFERROR(VLOOKUP(X21,Data_base!C:J,6,0),"")</f>
        <v>43718</v>
      </c>
    </row>
    <row r="28" spans="3:26" ht="15" customHeight="1" x14ac:dyDescent="0.2">
      <c r="C28" s="27"/>
      <c r="V28" s="55" t="s">
        <v>27</v>
      </c>
      <c r="W28" s="48"/>
      <c r="X28" s="52" t="str">
        <f>IFERROR(VLOOKUP(X19,Data_base!C:J,2,0),"")</f>
        <v>Sales</v>
      </c>
      <c r="Y28" s="48"/>
      <c r="Z28" s="60" t="str">
        <f>IFERROR(VLOOKUP(X21,Data_base!C:J,2,0),"")</f>
        <v>Finance</v>
      </c>
    </row>
    <row r="29" spans="3:26" ht="15" customHeight="1" x14ac:dyDescent="0.2">
      <c r="C29" s="27"/>
      <c r="V29" s="55" t="s">
        <v>0</v>
      </c>
      <c r="W29" s="48"/>
      <c r="X29" s="52" t="str">
        <f>IFERROR(VLOOKUP(X19,Data_base!C:J,3,0),"")</f>
        <v>Staff</v>
      </c>
      <c r="Y29" s="48"/>
      <c r="Z29" s="60" t="str">
        <f>IFERROR(VLOOKUP(X21,Data_base!C:J,3,0),"")</f>
        <v>Junior</v>
      </c>
    </row>
    <row r="30" spans="3:26" ht="15" customHeight="1" x14ac:dyDescent="0.2">
      <c r="C30" s="27"/>
      <c r="V30" s="55" t="s">
        <v>29</v>
      </c>
      <c r="W30" s="48"/>
      <c r="X30" s="52" t="str">
        <f>IFERROR(VLOOKUP(X19,Data_base!C:J,5,0),"")</f>
        <v>Full time</v>
      </c>
      <c r="Y30" s="48"/>
      <c r="Z30" s="60" t="str">
        <f>IFERROR(VLOOKUP(X21,Data_base!C:J,5,0),"")</f>
        <v>Full time</v>
      </c>
    </row>
    <row r="31" spans="3:26" ht="15" customHeight="1" x14ac:dyDescent="0.2">
      <c r="C31" s="27"/>
      <c r="V31" s="55" t="s">
        <v>41</v>
      </c>
      <c r="W31" s="48"/>
      <c r="X31" s="52">
        <f>IFERROR(VLOOKUP(X19,Data_base!C:J,7,0),"")</f>
        <v>36</v>
      </c>
      <c r="Y31" s="48"/>
      <c r="Z31" s="60">
        <f>IFERROR(VLOOKUP(X21,Data_base!C:J,7,0),"")</f>
        <v>35</v>
      </c>
    </row>
    <row r="32" spans="3:26" ht="15" customHeight="1" x14ac:dyDescent="0.2">
      <c r="C32" s="27"/>
      <c r="V32" s="55" t="s">
        <v>30</v>
      </c>
      <c r="W32" s="48"/>
      <c r="X32" s="52">
        <f>IFERROR(VLOOKUP(X19,Data_base!C:J,8,0),"")</f>
        <v>9369</v>
      </c>
      <c r="Y32" s="48"/>
      <c r="Z32" s="60">
        <f>IFERROR(VLOOKUP(X21,Data_base!C:J,8,0),"")</f>
        <v>8121</v>
      </c>
    </row>
    <row r="33" spans="1:26" ht="15" customHeight="1" x14ac:dyDescent="0.2">
      <c r="C33" s="27"/>
      <c r="V33" s="49"/>
    </row>
    <row r="34" spans="1:26" ht="15" customHeight="1" x14ac:dyDescent="0.25">
      <c r="C34" s="27"/>
      <c r="V34" s="56" t="s">
        <v>612</v>
      </c>
    </row>
    <row r="35" spans="1:26" ht="15" customHeight="1" x14ac:dyDescent="0.2">
      <c r="C35" s="27"/>
      <c r="V35" s="46" t="s">
        <v>31</v>
      </c>
      <c r="X35" s="53">
        <f>IFERROR(GETPIVOTDATA("Max of Skill level",Calculations!$AB$3,"Emp Code",X19),"")</f>
        <v>2</v>
      </c>
      <c r="Z35" s="61">
        <f>IFERROR(GETPIVOTDATA("Max of Skill level",Calculations!$AB$3,"Emp Code",X21),"")</f>
        <v>1</v>
      </c>
    </row>
    <row r="36" spans="1:26" ht="15" customHeight="1" x14ac:dyDescent="0.2">
      <c r="C36" s="27"/>
      <c r="V36" s="46" t="s">
        <v>32</v>
      </c>
      <c r="X36" s="44">
        <f>IFERROR(GETPIVOTDATA("Average of KPI achieve",Calculations!$AB$3,"Emp Code",X19),"")</f>
        <v>0.48560372001090313</v>
      </c>
      <c r="Z36" s="62">
        <f>IFERROR(GETPIVOTDATA("Average of KPI achieve",Calculations!$AB$3,"Emp Code",X21),"")</f>
        <v>0.19900932903771662</v>
      </c>
    </row>
    <row r="37" spans="1:26" ht="15" customHeight="1" x14ac:dyDescent="0.2">
      <c r="C37" s="27"/>
      <c r="V37" s="46" t="s">
        <v>380</v>
      </c>
      <c r="X37" s="44">
        <f>IFERROR(GETPIVOTDATA("Average of Abscene rate",Calculations!$AB$3,"Emp Code",X19),"")</f>
        <v>0.19021739130434784</v>
      </c>
      <c r="Z37" s="62">
        <f>IFERROR(GETPIVOTDATA("Average of Abscene rate",Calculations!$AB$3,"Emp Code",X21),"")</f>
        <v>0.16666666666666663</v>
      </c>
    </row>
    <row r="38" spans="1:26" ht="15" customHeight="1" x14ac:dyDescent="0.2">
      <c r="C38" s="27"/>
      <c r="V38" s="46" t="s">
        <v>52</v>
      </c>
      <c r="X38" s="44">
        <f>IFERROR(GETPIVOTDATA("Average of Activity",Calculations!$AB$3,"Emp Code",X19),"")</f>
        <v>0.80978260869565211</v>
      </c>
      <c r="Z38" s="62">
        <f>IFERROR(GETPIVOTDATA("Average of Activity",Calculations!$AB$3,"Emp Code",X21),"")</f>
        <v>0.83333333333333337</v>
      </c>
    </row>
    <row r="39" spans="1:26" ht="15" customHeight="1" x14ac:dyDescent="0.2">
      <c r="C39" s="27"/>
      <c r="V39" s="46" t="s">
        <v>61</v>
      </c>
      <c r="X39" s="53">
        <f>IFERROR(GETPIVOTDATA("Sum of Penality",Calculations!$AB$3,"Emp Code",X19),"")</f>
        <v>3</v>
      </c>
      <c r="Z39" s="63">
        <f>IFERROR(GETPIVOTDATA("Sum of Penality",Calculations!$AB$3,"Emp Code",X21),"")</f>
        <v>1</v>
      </c>
    </row>
    <row r="40" spans="1:26" ht="15" customHeight="1" x14ac:dyDescent="0.2">
      <c r="C40" s="27"/>
      <c r="V40" s="46" t="s">
        <v>687</v>
      </c>
      <c r="X40" s="44">
        <f>IFERROR(GETPIVOTDATA("Average of Performance",Calculations!$AB$3,"Emp Code",X19),"")</f>
        <v>0.69012877623551838</v>
      </c>
      <c r="Z40" s="62">
        <f>IFERROR(GETPIVOTDATA("Average of Performance",Calculations!$AB$3,"Emp Code",X21),"")</f>
        <v>0.62744755412368336</v>
      </c>
    </row>
    <row r="41" spans="1:26" ht="15" customHeight="1" x14ac:dyDescent="0.2">
      <c r="C41" s="27"/>
      <c r="V41" s="46" t="s">
        <v>381</v>
      </c>
      <c r="X41" s="53">
        <f>IFERROR(GETPIVOTDATA("Sum of Increament",Calculations!$AB$3,"Emp Code",X19),"")</f>
        <v>900</v>
      </c>
      <c r="Z41" s="61">
        <f>IFERROR(GETPIVOTDATA("Sum of Increament",Calculations!$AB$3,"Emp Code",X21),"")</f>
        <v>0</v>
      </c>
    </row>
    <row r="42" spans="1:26" ht="15" customHeight="1" x14ac:dyDescent="0.2">
      <c r="C42" s="27"/>
      <c r="V42" s="46" t="s">
        <v>704</v>
      </c>
      <c r="X42" s="44">
        <f>IFERROR(GETPIVOTDATA("Average of increament %",Calculations!$AB$3,"Emp Code",X19),"")</f>
        <v>4.8030739673390971E-2</v>
      </c>
      <c r="Z42" s="62" t="str">
        <f>IFERROR(GETPIVOTDATA("Average of increament %",Calculations!$AB$3,"Emp Code",X21),"")</f>
        <v/>
      </c>
    </row>
    <row r="43" spans="1:26" s="43" customFormat="1" ht="15" customHeight="1" x14ac:dyDescent="0.2">
      <c r="A43" s="26"/>
      <c r="B43" s="26"/>
      <c r="C43" s="27"/>
      <c r="D43" s="26"/>
      <c r="E43" s="26"/>
      <c r="F43" s="26"/>
      <c r="G43" s="26"/>
      <c r="H43" s="26"/>
      <c r="I43" s="26"/>
      <c r="J43" s="26"/>
      <c r="K43" s="26"/>
      <c r="L43" s="26"/>
      <c r="M43" s="26"/>
      <c r="N43" s="26"/>
      <c r="O43" s="26"/>
      <c r="P43" s="26"/>
      <c r="Q43" s="26"/>
      <c r="R43" s="26"/>
      <c r="S43" s="26"/>
      <c r="T43" s="26"/>
      <c r="U43" s="26"/>
      <c r="V43" s="42"/>
    </row>
  </sheetData>
  <sheetProtection sheet="1" scenarios="1"/>
  <mergeCells count="14">
    <mergeCell ref="X19:Y19"/>
    <mergeCell ref="X21:Y21"/>
    <mergeCell ref="A1:C7"/>
    <mergeCell ref="V5:V6"/>
    <mergeCell ref="V16:Z16"/>
    <mergeCell ref="W5:W6"/>
    <mergeCell ref="X5:X6"/>
    <mergeCell ref="Z5:Z6"/>
    <mergeCell ref="V3:V4"/>
    <mergeCell ref="W3:W4"/>
    <mergeCell ref="X3:X4"/>
    <mergeCell ref="Z3:Z4"/>
    <mergeCell ref="Y3:Y4"/>
    <mergeCell ref="Y5:Y6"/>
  </mergeCells>
  <conditionalFormatting sqref="X35 Z35">
    <cfRule type="dataBar" priority="12">
      <dataBar>
        <cfvo type="num" val="1"/>
        <cfvo type="num" val="5"/>
        <color rgb="FF8FCFAD"/>
      </dataBar>
      <extLst>
        <ext xmlns:x14="http://schemas.microsoft.com/office/spreadsheetml/2009/9/main" uri="{B025F937-C7B1-47D3-B67F-A62EFF666E3E}">
          <x14:id>{F9288224-B8DF-4828-B7AA-59FE7136EECC}</x14:id>
        </ext>
      </extLst>
    </cfRule>
  </conditionalFormatting>
  <conditionalFormatting sqref="X36:X38 Z36:Z38">
    <cfRule type="dataBar" priority="11">
      <dataBar>
        <cfvo type="num" val="0"/>
        <cfvo type="num" val="1"/>
        <color rgb="FF8FCFAD"/>
      </dataBar>
      <extLst>
        <ext xmlns:x14="http://schemas.microsoft.com/office/spreadsheetml/2009/9/main" uri="{B025F937-C7B1-47D3-B67F-A62EFF666E3E}">
          <x14:id>{03F7258B-E71B-4E1C-B480-AB3CC744B3E9}</x14:id>
        </ext>
      </extLst>
    </cfRule>
  </conditionalFormatting>
  <conditionalFormatting sqref="X41 Z41">
    <cfRule type="dataBar" priority="21">
      <dataBar>
        <cfvo type="min"/>
        <cfvo type="max"/>
        <color rgb="FF8FCFAD"/>
      </dataBar>
      <extLst>
        <ext xmlns:x14="http://schemas.microsoft.com/office/spreadsheetml/2009/9/main" uri="{B025F937-C7B1-47D3-B67F-A62EFF666E3E}">
          <x14:id>{0E40E726-269E-4D7B-ADBE-77384CA135FF}</x14:id>
        </ext>
      </extLst>
    </cfRule>
  </conditionalFormatting>
  <conditionalFormatting sqref="X39 Z39">
    <cfRule type="iconSet" priority="23">
      <iconSet reverse="1">
        <cfvo type="percent" val="0"/>
        <cfvo type="percent" val="1"/>
        <cfvo type="num" val="2"/>
      </iconSet>
    </cfRule>
  </conditionalFormatting>
  <conditionalFormatting sqref="X40">
    <cfRule type="dataBar" priority="4">
      <dataBar>
        <cfvo type="num" val="0"/>
        <cfvo type="num" val="1"/>
        <color rgb="FF8FCFAD"/>
      </dataBar>
      <extLst>
        <ext xmlns:x14="http://schemas.microsoft.com/office/spreadsheetml/2009/9/main" uri="{B025F937-C7B1-47D3-B67F-A62EFF666E3E}">
          <x14:id>{658FC440-D5D2-44AA-AF47-54BF4DBA2EB7}</x14:id>
        </ext>
      </extLst>
    </cfRule>
  </conditionalFormatting>
  <conditionalFormatting sqref="Z40">
    <cfRule type="dataBar" priority="3">
      <dataBar>
        <cfvo type="num" val="0"/>
        <cfvo type="num" val="1"/>
        <color rgb="FF8FCFAD"/>
      </dataBar>
      <extLst>
        <ext xmlns:x14="http://schemas.microsoft.com/office/spreadsheetml/2009/9/main" uri="{B025F937-C7B1-47D3-B67F-A62EFF666E3E}">
          <x14:id>{4F393BEE-1CD8-4A77-A7D6-DE7157FEEACB}</x14:id>
        </ext>
      </extLst>
    </cfRule>
  </conditionalFormatting>
  <conditionalFormatting sqref="X42">
    <cfRule type="dataBar" priority="2">
      <dataBar>
        <cfvo type="num" val="0"/>
        <cfvo type="num" val="1"/>
        <color rgb="FF8FCFAD"/>
      </dataBar>
      <extLst>
        <ext xmlns:x14="http://schemas.microsoft.com/office/spreadsheetml/2009/9/main" uri="{B025F937-C7B1-47D3-B67F-A62EFF666E3E}">
          <x14:id>{E627403A-B32C-4C6C-8239-558B06A8CBFF}</x14:id>
        </ext>
      </extLst>
    </cfRule>
  </conditionalFormatting>
  <conditionalFormatting sqref="Z42">
    <cfRule type="dataBar" priority="1">
      <dataBar>
        <cfvo type="num" val="0"/>
        <cfvo type="num" val="1"/>
        <color rgb="FF8FCFAD"/>
      </dataBar>
      <extLst>
        <ext xmlns:x14="http://schemas.microsoft.com/office/spreadsheetml/2009/9/main" uri="{B025F937-C7B1-47D3-B67F-A62EFF666E3E}">
          <x14:id>{813B96E2-CF66-4975-BF41-332C9FD1BDBD}</x14:id>
        </ext>
      </extLst>
    </cfRule>
  </conditionalFormatting>
  <dataValidations disablePrompts="1" count="1">
    <dataValidation type="list" allowBlank="1" showInputMessage="1" showErrorMessage="1" sqref="X21:Y21 X19:Y19" xr:uid="{7E77E484-6A77-453D-A81D-1E2642832695}">
      <formula1>EMPID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efresh">
                <anchor moveWithCells="1" sizeWithCells="1">
                  <from>
                    <xdr:col>0</xdr:col>
                    <xdr:colOff>9525</xdr:colOff>
                    <xdr:row>5</xdr:row>
                    <xdr:rowOff>104775</xdr:rowOff>
                  </from>
                  <to>
                    <xdr:col>1</xdr:col>
                    <xdr:colOff>200025</xdr:colOff>
                    <xdr:row>6</xdr:row>
                    <xdr:rowOff>190500</xdr:rowOff>
                  </to>
                </anchor>
              </controlPr>
            </control>
          </mc:Choice>
        </mc:AlternateContent>
        <mc:AlternateContent xmlns:mc="http://schemas.openxmlformats.org/markup-compatibility/2006">
          <mc:Choice Requires="x14">
            <control shapeId="2052" r:id="rId5" name="Button 4">
              <controlPr defaultSize="0" print="0" autoFill="0" autoPict="0" macro="[0]!Full_screen">
                <anchor moveWithCells="1" sizeWithCells="1">
                  <from>
                    <xdr:col>1</xdr:col>
                    <xdr:colOff>209550</xdr:colOff>
                    <xdr:row>5</xdr:row>
                    <xdr:rowOff>95250</xdr:rowOff>
                  </from>
                  <to>
                    <xdr:col>2</xdr:col>
                    <xdr:colOff>590550</xdr:colOff>
                    <xdr:row>6</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9288224-B8DF-4828-B7AA-59FE7136EECC}">
            <x14:dataBar minLength="0" maxLength="100" gradient="0">
              <x14:cfvo type="num">
                <xm:f>1</xm:f>
              </x14:cfvo>
              <x14:cfvo type="num">
                <xm:f>5</xm:f>
              </x14:cfvo>
              <x14:negativeFillColor rgb="FFFF0000"/>
              <x14:axisColor rgb="FF000000"/>
            </x14:dataBar>
          </x14:cfRule>
          <xm:sqref>X35 Z35</xm:sqref>
        </x14:conditionalFormatting>
        <x14:conditionalFormatting xmlns:xm="http://schemas.microsoft.com/office/excel/2006/main">
          <x14:cfRule type="dataBar" id="{03F7258B-E71B-4E1C-B480-AB3CC744B3E9}">
            <x14:dataBar minLength="0" maxLength="100" gradient="0">
              <x14:cfvo type="num">
                <xm:f>0</xm:f>
              </x14:cfvo>
              <x14:cfvo type="num">
                <xm:f>1</xm:f>
              </x14:cfvo>
              <x14:negativeFillColor rgb="FFFF0000"/>
              <x14:axisColor rgb="FF000000"/>
            </x14:dataBar>
          </x14:cfRule>
          <xm:sqref>X36:X38 Z36:Z38</xm:sqref>
        </x14:conditionalFormatting>
        <x14:conditionalFormatting xmlns:xm="http://schemas.microsoft.com/office/excel/2006/main">
          <x14:cfRule type="dataBar" id="{0E40E726-269E-4D7B-ADBE-77384CA135FF}">
            <x14:dataBar minLength="0" maxLength="100" gradient="0">
              <x14:cfvo type="autoMin"/>
              <x14:cfvo type="autoMax"/>
              <x14:negativeFillColor rgb="FFFF0000"/>
              <x14:axisColor rgb="FF000000"/>
            </x14:dataBar>
          </x14:cfRule>
          <xm:sqref>X41 Z41</xm:sqref>
        </x14:conditionalFormatting>
        <x14:conditionalFormatting xmlns:xm="http://schemas.microsoft.com/office/excel/2006/main">
          <x14:cfRule type="dataBar" id="{658FC440-D5D2-44AA-AF47-54BF4DBA2EB7}">
            <x14:dataBar minLength="0" maxLength="100" gradient="0">
              <x14:cfvo type="num">
                <xm:f>0</xm:f>
              </x14:cfvo>
              <x14:cfvo type="num">
                <xm:f>1</xm:f>
              </x14:cfvo>
              <x14:negativeFillColor rgb="FFFF0000"/>
              <x14:axisColor rgb="FF000000"/>
            </x14:dataBar>
          </x14:cfRule>
          <xm:sqref>X40</xm:sqref>
        </x14:conditionalFormatting>
        <x14:conditionalFormatting xmlns:xm="http://schemas.microsoft.com/office/excel/2006/main">
          <x14:cfRule type="dataBar" id="{4F393BEE-1CD8-4A77-A7D6-DE7157FEEACB}">
            <x14:dataBar minLength="0" maxLength="100" gradient="0">
              <x14:cfvo type="num">
                <xm:f>0</xm:f>
              </x14:cfvo>
              <x14:cfvo type="num">
                <xm:f>1</xm:f>
              </x14:cfvo>
              <x14:negativeFillColor rgb="FFFF0000"/>
              <x14:axisColor rgb="FF000000"/>
            </x14:dataBar>
          </x14:cfRule>
          <xm:sqref>Z40</xm:sqref>
        </x14:conditionalFormatting>
        <x14:conditionalFormatting xmlns:xm="http://schemas.microsoft.com/office/excel/2006/main">
          <x14:cfRule type="dataBar" id="{E627403A-B32C-4C6C-8239-558B06A8CBFF}">
            <x14:dataBar minLength="0" maxLength="100" gradient="0">
              <x14:cfvo type="num">
                <xm:f>0</xm:f>
              </x14:cfvo>
              <x14:cfvo type="num">
                <xm:f>1</xm:f>
              </x14:cfvo>
              <x14:negativeFillColor rgb="FFFF0000"/>
              <x14:axisColor rgb="FF000000"/>
            </x14:dataBar>
          </x14:cfRule>
          <xm:sqref>X42</xm:sqref>
        </x14:conditionalFormatting>
        <x14:conditionalFormatting xmlns:xm="http://schemas.microsoft.com/office/excel/2006/main">
          <x14:cfRule type="dataBar" id="{813B96E2-CF66-4975-BF41-332C9FD1BDBD}">
            <x14:dataBar minLength="0" maxLength="100" gradient="0">
              <x14:cfvo type="num">
                <xm:f>0</xm:f>
              </x14:cfvo>
              <x14:cfvo type="num">
                <xm:f>1</xm:f>
              </x14:cfvo>
              <x14:negativeFillColor rgb="FFFF0000"/>
              <x14:axisColor rgb="FF000000"/>
            </x14:dataBar>
          </x14:cfRule>
          <xm:sqref>Z42</xm:sqref>
        </x14:conditionalFormatting>
      </x14:conditionalFormattings>
    </ex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2C28D-6B05-4ED2-8055-FED7886DD5A1}">
  <sheetPr codeName="Sheet3">
    <tabColor rgb="FF8FCFAD"/>
  </sheetPr>
  <dimension ref="B2:AA224"/>
  <sheetViews>
    <sheetView showGridLines="0" showRowColHeaders="0" zoomScale="75" zoomScaleNormal="75" workbookViewId="0">
      <selection activeCell="V18" sqref="V18"/>
    </sheetView>
  </sheetViews>
  <sheetFormatPr defaultRowHeight="12.75" x14ac:dyDescent="0.2"/>
  <cols>
    <col min="1" max="1" width="1" style="1" customWidth="1"/>
    <col min="2" max="2" width="9.85546875" style="76" customWidth="1"/>
    <col min="3" max="3" width="9.85546875" style="1" customWidth="1"/>
    <col min="4" max="6" width="14.7109375" style="1" customWidth="1"/>
    <col min="7" max="7" width="14.140625" style="76" customWidth="1"/>
    <col min="8" max="8" width="12.140625" style="1" customWidth="1"/>
    <col min="9" max="9" width="13.7109375" style="1" customWidth="1"/>
    <col min="10" max="10" width="10.42578125" style="1" customWidth="1"/>
    <col min="11" max="11" width="10.85546875" style="1" customWidth="1"/>
    <col min="12" max="12" width="11.85546875" style="1" customWidth="1"/>
    <col min="13" max="13" width="13.28515625" style="1" customWidth="1"/>
    <col min="14" max="14" width="7.7109375" style="1" customWidth="1"/>
    <col min="15" max="15" width="9" style="1" customWidth="1"/>
    <col min="16" max="16" width="10.7109375" style="76" customWidth="1"/>
    <col min="17" max="17" width="11.42578125" style="76" customWidth="1"/>
    <col min="18" max="18" width="15.28515625" style="76" customWidth="1"/>
    <col min="19" max="19" width="15.28515625" style="1" customWidth="1"/>
    <col min="20" max="20" width="9.5703125" style="1" customWidth="1"/>
    <col min="21" max="21" width="14.7109375" style="1" customWidth="1"/>
    <col min="22" max="22" width="13.5703125" style="76" customWidth="1"/>
    <col min="23" max="23" width="13.5703125" style="1" customWidth="1"/>
    <col min="24" max="24" width="13.7109375" style="76" customWidth="1"/>
    <col min="25" max="30" width="10.7109375" style="1" customWidth="1"/>
    <col min="31" max="16384" width="9.140625" style="1"/>
  </cols>
  <sheetData>
    <row r="2" spans="2:27" s="15" customFormat="1" x14ac:dyDescent="0.2">
      <c r="B2" s="74" t="s">
        <v>24</v>
      </c>
      <c r="C2" s="16" t="s">
        <v>376</v>
      </c>
      <c r="D2" s="16" t="s">
        <v>62</v>
      </c>
      <c r="E2" s="16" t="s">
        <v>33</v>
      </c>
      <c r="F2" s="16" t="s">
        <v>34</v>
      </c>
      <c r="G2" s="74" t="s">
        <v>25</v>
      </c>
      <c r="H2" s="16" t="s">
        <v>26</v>
      </c>
      <c r="I2" s="16" t="s">
        <v>27</v>
      </c>
      <c r="J2" s="16" t="s">
        <v>0</v>
      </c>
      <c r="K2" s="16" t="s">
        <v>28</v>
      </c>
      <c r="L2" s="16" t="s">
        <v>29</v>
      </c>
      <c r="M2" s="16" t="s">
        <v>65</v>
      </c>
      <c r="N2" s="16" t="s">
        <v>41</v>
      </c>
      <c r="O2" s="16" t="s">
        <v>30</v>
      </c>
      <c r="P2" s="74" t="s">
        <v>61</v>
      </c>
      <c r="Q2" s="74" t="s">
        <v>31</v>
      </c>
      <c r="R2" s="74" t="s">
        <v>51</v>
      </c>
      <c r="S2" s="72" t="s">
        <v>693</v>
      </c>
      <c r="T2" s="16" t="s">
        <v>52</v>
      </c>
      <c r="U2" s="16" t="s">
        <v>60</v>
      </c>
      <c r="V2" s="74" t="s">
        <v>32</v>
      </c>
      <c r="W2" s="16" t="s">
        <v>687</v>
      </c>
      <c r="X2" s="74" t="s">
        <v>40</v>
      </c>
      <c r="Y2" s="16" t="s">
        <v>702</v>
      </c>
    </row>
    <row r="3" spans="2:27" x14ac:dyDescent="0.2">
      <c r="B3" s="75">
        <v>43678</v>
      </c>
      <c r="C3" s="38">
        <f>Emp[[#This Row],[Date]]</f>
        <v>43678</v>
      </c>
      <c r="D3" s="10">
        <f>IF(Emp[[#This Row],[Date]]="","",MONTH(Emp[[#This Row],[Date]]))</f>
        <v>8</v>
      </c>
      <c r="E3" s="64">
        <f>Emp[[#This Row],[Date]]</f>
        <v>43678</v>
      </c>
      <c r="F3" s="10">
        <f>IF(Emp[[#This Row],[Date]]="","",WEEKNUM(B3))</f>
        <v>31</v>
      </c>
      <c r="G3" s="77" t="s">
        <v>278</v>
      </c>
      <c r="H3" s="10" t="str">
        <f>IFERROR(VLOOKUP(Raw_data!$G3,Data_base!$B:$J,2,0),"")</f>
        <v>ID250211</v>
      </c>
      <c r="I3" s="10" t="str">
        <f>IFERROR(VLOOKUP(Raw_data!$G3,Data_base!$B:$J,3,0),"")</f>
        <v>Planning</v>
      </c>
      <c r="J3" s="10" t="str">
        <f>IFERROR(VLOOKUP(Raw_data!$G3,Data_base!$B:$J,4,0),"")</f>
        <v>Technician</v>
      </c>
      <c r="K3" s="13" t="str">
        <f>IFERROR(VLOOKUP(Raw_data!$G3,Data_base!$B:$J,5,0),"")</f>
        <v>M</v>
      </c>
      <c r="L3" s="13" t="str">
        <f>IFERROR(VLOOKUP(Raw_data!$G3,Data_base!$B:$J,6,0),"")</f>
        <v>Full time</v>
      </c>
      <c r="M3" s="14">
        <f>IFERROR(VLOOKUP(Raw_data!$G3,Data_base!$B:$J,7,0),"")</f>
        <v>40236</v>
      </c>
      <c r="N3" s="13">
        <f>IFERROR(VLOOKUP(Raw_data!$G3,Data_base!$B:$J,8,0),"")</f>
        <v>39</v>
      </c>
      <c r="O3" s="11">
        <f>IFERROR(VLOOKUP(Raw_data!$G3,Data_base!$B:$J,9,0),"")</f>
        <v>6568</v>
      </c>
      <c r="P3" s="78">
        <v>1</v>
      </c>
      <c r="Q3" s="78">
        <v>4</v>
      </c>
      <c r="R3" s="77">
        <v>19</v>
      </c>
      <c r="S3" s="12">
        <f>IFERROR(1-VLOOKUP(Emp[[#This Row],[Penality]],Data_base!V:W,2,FALSE),"")</f>
        <v>0.85</v>
      </c>
      <c r="T3" s="12">
        <f>IFERROR(R3/VLOOKUP(D3,Data_base!S:T,2,0),"")</f>
        <v>0.95</v>
      </c>
      <c r="U3" s="12">
        <f>IFERROR(1-Emp[[#This Row],[Activity]],"")</f>
        <v>5.0000000000000044E-2</v>
      </c>
      <c r="V3" s="79">
        <v>0.28790183867905272</v>
      </c>
      <c r="W3" s="12">
        <f t="shared" ref="W3:W66" si="0">AVERAGE(V3,T3,S3)</f>
        <v>0.69596727955968429</v>
      </c>
      <c r="X3" s="78">
        <v>500</v>
      </c>
      <c r="Y3" s="12">
        <f>IFERROR(IF(Emp[[#This Row],[Increament]]="","",(Emp[[#This Row],[Increament]]/Emp[[#This Row],[Salary]])),"")</f>
        <v>7.6126674786845316E-2</v>
      </c>
      <c r="Z3" s="18"/>
    </row>
    <row r="4" spans="2:27" x14ac:dyDescent="0.2">
      <c r="B4" s="75">
        <v>44075</v>
      </c>
      <c r="C4" s="38">
        <f>Emp[[#This Row],[Date]]</f>
        <v>44075</v>
      </c>
      <c r="D4" s="10">
        <f>IF(Emp[[#This Row],[Date]]="","",MONTH(Emp[[#This Row],[Date]]))</f>
        <v>9</v>
      </c>
      <c r="E4" s="64">
        <f>Emp[[#This Row],[Date]]</f>
        <v>44075</v>
      </c>
      <c r="F4" s="10">
        <f>IF(Emp[[#This Row],[Date]]="","",WEEKNUM(B4))</f>
        <v>36</v>
      </c>
      <c r="G4" s="77" t="s">
        <v>84</v>
      </c>
      <c r="H4" s="10" t="str">
        <f>IFERROR(VLOOKUP(Raw_data!$G4,Data_base!$B:$J,2,0),"")</f>
        <v>ID250017</v>
      </c>
      <c r="I4" s="10" t="str">
        <f>IFERROR(VLOOKUP(Raw_data!$G4,Data_base!$B:$J,3,0),"")</f>
        <v>Material</v>
      </c>
      <c r="J4" s="10" t="str">
        <f>IFERROR(VLOOKUP(Raw_data!$G4,Data_base!$B:$J,4,0),"")</f>
        <v>Staff</v>
      </c>
      <c r="K4" s="13" t="str">
        <f>IFERROR(VLOOKUP(Raw_data!$G4,Data_base!$B:$J,5,0),"")</f>
        <v>F</v>
      </c>
      <c r="L4" s="13" t="str">
        <f>IFERROR(VLOOKUP(Raw_data!$G4,Data_base!$B:$J,6,0),"")</f>
        <v>Full time</v>
      </c>
      <c r="M4" s="14">
        <f>IFERROR(VLOOKUP(Raw_data!$G4,Data_base!$B:$J,7,0),"")</f>
        <v>42816</v>
      </c>
      <c r="N4" s="13">
        <f>IFERROR(VLOOKUP(Raw_data!$G4,Data_base!$B:$J,8,0),"")</f>
        <v>28</v>
      </c>
      <c r="O4" s="11">
        <f>IFERROR(VLOOKUP(Raw_data!$G4,Data_base!$B:$J,9,0),"")</f>
        <v>6045</v>
      </c>
      <c r="P4" s="78">
        <v>0</v>
      </c>
      <c r="Q4" s="78">
        <v>3</v>
      </c>
      <c r="R4" s="77">
        <v>20</v>
      </c>
      <c r="S4" s="12" t="str">
        <f>IFERROR(1-VLOOKUP(Emp[[#This Row],[Penality]],Data_base!V:W,2,FALSE),"")</f>
        <v/>
      </c>
      <c r="T4" s="12">
        <f>IFERROR(R4/VLOOKUP(D4,Data_base!S:T,2,0),"")</f>
        <v>0.83333333333333337</v>
      </c>
      <c r="U4" s="12">
        <f>IFERROR(1-Emp[[#This Row],[Activity]],"")</f>
        <v>0.16666666666666663</v>
      </c>
      <c r="V4" s="79">
        <v>0.93190689233323709</v>
      </c>
      <c r="W4" s="12">
        <f t="shared" si="0"/>
        <v>0.88262011283328523</v>
      </c>
      <c r="X4" s="78">
        <v>0</v>
      </c>
      <c r="Y4" s="12">
        <f>IFERROR(IF(Emp[[#This Row],[Increament]]="","",(Emp[[#This Row],[Increament]]/Emp[[#This Row],[Salary]])),"")</f>
        <v>0</v>
      </c>
      <c r="Z4" s="17"/>
    </row>
    <row r="5" spans="2:27" x14ac:dyDescent="0.2">
      <c r="B5" s="75">
        <v>43678</v>
      </c>
      <c r="C5" s="38">
        <f>Emp[[#This Row],[Date]]</f>
        <v>43678</v>
      </c>
      <c r="D5" s="10">
        <f>IF(Emp[[#This Row],[Date]]="","",MONTH(Emp[[#This Row],[Date]]))</f>
        <v>8</v>
      </c>
      <c r="E5" s="64">
        <f>Emp[[#This Row],[Date]]</f>
        <v>43678</v>
      </c>
      <c r="F5" s="10">
        <f>IF(Emp[[#This Row],[Date]]="","",WEEKNUM(B5))</f>
        <v>31</v>
      </c>
      <c r="G5" s="77" t="s">
        <v>236</v>
      </c>
      <c r="H5" s="10" t="str">
        <f>IFERROR(VLOOKUP(Raw_data!$G5,Data_base!$B:$J,2,0),"")</f>
        <v>ID250169</v>
      </c>
      <c r="I5" s="10" t="str">
        <f>IFERROR(VLOOKUP(Raw_data!$G5,Data_base!$B:$J,3,0),"")</f>
        <v>Material</v>
      </c>
      <c r="J5" s="10" t="str">
        <f>IFERROR(VLOOKUP(Raw_data!$G5,Data_base!$B:$J,4,0),"")</f>
        <v>Workrer</v>
      </c>
      <c r="K5" s="13" t="str">
        <f>IFERROR(VLOOKUP(Raw_data!$G5,Data_base!$B:$J,5,0),"")</f>
        <v>M</v>
      </c>
      <c r="L5" s="13" t="str">
        <f>IFERROR(VLOOKUP(Raw_data!$G5,Data_base!$B:$J,6,0),"")</f>
        <v>Part time</v>
      </c>
      <c r="M5" s="14">
        <f>IFERROR(VLOOKUP(Raw_data!$G5,Data_base!$B:$J,7,0),"")</f>
        <v>40877</v>
      </c>
      <c r="N5" s="13">
        <f>IFERROR(VLOOKUP(Raw_data!$G5,Data_base!$B:$J,8,0),"")</f>
        <v>40</v>
      </c>
      <c r="O5" s="11">
        <f>IFERROR(VLOOKUP(Raw_data!$G5,Data_base!$B:$J,9,0),"")</f>
        <v>5548</v>
      </c>
      <c r="P5" s="78">
        <v>0</v>
      </c>
      <c r="Q5" s="78">
        <v>3</v>
      </c>
      <c r="R5" s="77">
        <v>19</v>
      </c>
      <c r="S5" s="12" t="str">
        <f>IFERROR(1-VLOOKUP(Emp[[#This Row],[Penality]],Data_base!V:W,2,FALSE),"")</f>
        <v/>
      </c>
      <c r="T5" s="12">
        <f>IFERROR(R5/VLOOKUP(D5,Data_base!S:T,2,0),"")</f>
        <v>0.95</v>
      </c>
      <c r="U5" s="12">
        <f>IFERROR(1-Emp[[#This Row],[Activity]],"")</f>
        <v>5.0000000000000044E-2</v>
      </c>
      <c r="V5" s="79">
        <v>0.94288527890687235</v>
      </c>
      <c r="W5" s="12">
        <f t="shared" si="0"/>
        <v>0.94644263945343621</v>
      </c>
      <c r="X5" s="78"/>
      <c r="Y5" s="12" t="str">
        <f>IFERROR(IF(Emp[[#This Row],[Increament]]="","",(Emp[[#This Row],[Increament]]/Emp[[#This Row],[Salary]])),"")</f>
        <v/>
      </c>
      <c r="Z5" s="17"/>
    </row>
    <row r="6" spans="2:27" x14ac:dyDescent="0.2">
      <c r="B6" s="75">
        <v>43891</v>
      </c>
      <c r="C6" s="38">
        <f>Emp[[#This Row],[Date]]</f>
        <v>43891</v>
      </c>
      <c r="D6" s="10">
        <f>IF(Emp[[#This Row],[Date]]="","",MONTH(Emp[[#This Row],[Date]]))</f>
        <v>3</v>
      </c>
      <c r="E6" s="64">
        <f>Emp[[#This Row],[Date]]</f>
        <v>43891</v>
      </c>
      <c r="F6" s="10">
        <f>IF(Emp[[#This Row],[Date]]="","",WEEKNUM(B6))</f>
        <v>10</v>
      </c>
      <c r="G6" s="77" t="s">
        <v>137</v>
      </c>
      <c r="H6" s="10" t="str">
        <f>IFERROR(VLOOKUP(Raw_data!$G6,Data_base!$B:$J,2,0),"")</f>
        <v>ID250070</v>
      </c>
      <c r="I6" s="10" t="str">
        <f>IFERROR(VLOOKUP(Raw_data!$G6,Data_base!$B:$J,3,0),"")</f>
        <v>Planning</v>
      </c>
      <c r="J6" s="10" t="str">
        <f>IFERROR(VLOOKUP(Raw_data!$G6,Data_base!$B:$J,4,0),"")</f>
        <v>Manager</v>
      </c>
      <c r="K6" s="13" t="str">
        <f>IFERROR(VLOOKUP(Raw_data!$G6,Data_base!$B:$J,5,0),"")</f>
        <v>M</v>
      </c>
      <c r="L6" s="13" t="str">
        <f>IFERROR(VLOOKUP(Raw_data!$G6,Data_base!$B:$J,6,0),"")</f>
        <v>Part time</v>
      </c>
      <c r="M6" s="14">
        <f>IFERROR(VLOOKUP(Raw_data!$G6,Data_base!$B:$J,7,0),"")</f>
        <v>43776</v>
      </c>
      <c r="N6" s="13">
        <f>IFERROR(VLOOKUP(Raw_data!$G6,Data_base!$B:$J,8,0),"")</f>
        <v>34</v>
      </c>
      <c r="O6" s="11">
        <f>IFERROR(VLOOKUP(Raw_data!$G6,Data_base!$B:$J,9,0),"")</f>
        <v>7162</v>
      </c>
      <c r="P6" s="78">
        <v>2</v>
      </c>
      <c r="Q6" s="78">
        <v>2</v>
      </c>
      <c r="R6" s="77">
        <v>20</v>
      </c>
      <c r="S6" s="12">
        <f>IFERROR(1-VLOOKUP(Emp[[#This Row],[Penality]],Data_base!V:W,2,FALSE),"")</f>
        <v>0.7</v>
      </c>
      <c r="T6" s="12">
        <f>IFERROR(R6/VLOOKUP(D6,Data_base!S:T,2,0),"")</f>
        <v>0.86956521739130432</v>
      </c>
      <c r="U6" s="12">
        <f>IFERROR(1-Emp[[#This Row],[Activity]],"")</f>
        <v>0.13043478260869568</v>
      </c>
      <c r="V6" s="79">
        <v>0.23628368793567867</v>
      </c>
      <c r="W6" s="12">
        <f t="shared" si="0"/>
        <v>0.60194963510899435</v>
      </c>
      <c r="X6" s="78">
        <v>300</v>
      </c>
      <c r="Y6" s="12">
        <f>IFERROR(IF(Emp[[#This Row],[Increament]]="","",(Emp[[#This Row],[Increament]]/Emp[[#This Row],[Salary]])),"")</f>
        <v>4.1887740854509914E-2</v>
      </c>
      <c r="Z6" s="17"/>
    </row>
    <row r="7" spans="2:27" x14ac:dyDescent="0.2">
      <c r="B7" s="75">
        <v>43556</v>
      </c>
      <c r="C7" s="38">
        <f>Emp[[#This Row],[Date]]</f>
        <v>43556</v>
      </c>
      <c r="D7" s="10">
        <f>IF(Emp[[#This Row],[Date]]="","",MONTH(Emp[[#This Row],[Date]]))</f>
        <v>4</v>
      </c>
      <c r="E7" s="64">
        <f>Emp[[#This Row],[Date]]</f>
        <v>43556</v>
      </c>
      <c r="F7" s="10">
        <f>IF(Emp[[#This Row],[Date]]="","",WEEKNUM(B7))</f>
        <v>14</v>
      </c>
      <c r="G7" s="77" t="s">
        <v>264</v>
      </c>
      <c r="H7" s="10" t="str">
        <f>IFERROR(VLOOKUP(Raw_data!$G7,Data_base!$B:$J,2,0),"")</f>
        <v>ID250197</v>
      </c>
      <c r="I7" s="10" t="str">
        <f>IFERROR(VLOOKUP(Raw_data!$G7,Data_base!$B:$J,3,0),"")</f>
        <v>Planning</v>
      </c>
      <c r="J7" s="10" t="str">
        <f>IFERROR(VLOOKUP(Raw_data!$G7,Data_base!$B:$J,4,0),"")</f>
        <v>Technician</v>
      </c>
      <c r="K7" s="13" t="str">
        <f>IFERROR(VLOOKUP(Raw_data!$G7,Data_base!$B:$J,5,0),"")</f>
        <v>F</v>
      </c>
      <c r="L7" s="13" t="str">
        <f>IFERROR(VLOOKUP(Raw_data!$G7,Data_base!$B:$J,6,0),"")</f>
        <v>Full time</v>
      </c>
      <c r="M7" s="14">
        <f>IFERROR(VLOOKUP(Raw_data!$G7,Data_base!$B:$J,7,0),"")</f>
        <v>42818</v>
      </c>
      <c r="N7" s="13">
        <f>IFERROR(VLOOKUP(Raw_data!$G7,Data_base!$B:$J,8,0),"")</f>
        <v>37</v>
      </c>
      <c r="O7" s="11">
        <f>IFERROR(VLOOKUP(Raw_data!$G7,Data_base!$B:$J,9,0),"")</f>
        <v>5119</v>
      </c>
      <c r="P7" s="78">
        <v>3</v>
      </c>
      <c r="Q7" s="78">
        <v>4</v>
      </c>
      <c r="R7" s="77">
        <v>19</v>
      </c>
      <c r="S7" s="12">
        <f>IFERROR(1-VLOOKUP(Emp[[#This Row],[Penality]],Data_base!V:W,2,FALSE),"")</f>
        <v>0.55000000000000004</v>
      </c>
      <c r="T7" s="12">
        <f>IFERROR(R7/VLOOKUP(D7,Data_base!S:T,2,0),"")</f>
        <v>0.79166666666666663</v>
      </c>
      <c r="U7" s="12">
        <f>IFERROR(1-Emp[[#This Row],[Activity]],"")</f>
        <v>0.20833333333333337</v>
      </c>
      <c r="V7" s="79">
        <v>0.98930703040612467</v>
      </c>
      <c r="W7" s="12">
        <f t="shared" si="0"/>
        <v>0.77699123235759726</v>
      </c>
      <c r="X7" s="78"/>
      <c r="Y7" s="12" t="str">
        <f>IFERROR(IF(Emp[[#This Row],[Increament]]="","",(Emp[[#This Row],[Increament]]/Emp[[#This Row],[Salary]])),"")</f>
        <v/>
      </c>
      <c r="Z7" s="17"/>
    </row>
    <row r="8" spans="2:27" x14ac:dyDescent="0.2">
      <c r="B8" s="75">
        <v>43221</v>
      </c>
      <c r="C8" s="38">
        <f>Emp[[#This Row],[Date]]</f>
        <v>43221</v>
      </c>
      <c r="D8" s="10">
        <f>IF(Emp[[#This Row],[Date]]="","",MONTH(Emp[[#This Row],[Date]]))</f>
        <v>5</v>
      </c>
      <c r="E8" s="64">
        <f>Emp[[#This Row],[Date]]</f>
        <v>43221</v>
      </c>
      <c r="F8" s="10">
        <f>IF(Emp[[#This Row],[Date]]="","",WEEKNUM(B8))</f>
        <v>18</v>
      </c>
      <c r="G8" s="77" t="s">
        <v>256</v>
      </c>
      <c r="H8" s="10" t="str">
        <f>IFERROR(VLOOKUP(Raw_data!$G8,Data_base!$B:$J,2,0),"")</f>
        <v>ID250189</v>
      </c>
      <c r="I8" s="10" t="str">
        <f>IFERROR(VLOOKUP(Raw_data!$G8,Data_base!$B:$J,3,0),"")</f>
        <v>HR</v>
      </c>
      <c r="J8" s="10" t="str">
        <f>IFERROR(VLOOKUP(Raw_data!$G8,Data_base!$B:$J,4,0),"")</f>
        <v>Staff</v>
      </c>
      <c r="K8" s="13" t="str">
        <f>IFERROR(VLOOKUP(Raw_data!$G8,Data_base!$B:$J,5,0),"")</f>
        <v>F</v>
      </c>
      <c r="L8" s="13" t="str">
        <f>IFERROR(VLOOKUP(Raw_data!$G8,Data_base!$B:$J,6,0),"")</f>
        <v>Full time</v>
      </c>
      <c r="M8" s="14">
        <f>IFERROR(VLOOKUP(Raw_data!$G8,Data_base!$B:$J,7,0),"")</f>
        <v>41057</v>
      </c>
      <c r="N8" s="13">
        <f>IFERROR(VLOOKUP(Raw_data!$G8,Data_base!$B:$J,8,0),"")</f>
        <v>29</v>
      </c>
      <c r="O8" s="11">
        <f>IFERROR(VLOOKUP(Raw_data!$G8,Data_base!$B:$J,9,0),"")</f>
        <v>4527</v>
      </c>
      <c r="P8" s="78">
        <v>0</v>
      </c>
      <c r="Q8" s="78">
        <v>5</v>
      </c>
      <c r="R8" s="77">
        <v>20</v>
      </c>
      <c r="S8" s="12" t="str">
        <f>IFERROR(1-VLOOKUP(Emp[[#This Row],[Penality]],Data_base!V:W,2,FALSE),"")</f>
        <v/>
      </c>
      <c r="T8" s="12">
        <f>IFERROR(R8/VLOOKUP(D8,Data_base!S:T,2,0),"")</f>
        <v>0.86956521739130432</v>
      </c>
      <c r="U8" s="12">
        <f>IFERROR(1-Emp[[#This Row],[Activity]],"")</f>
        <v>0.13043478260869568</v>
      </c>
      <c r="V8" s="79">
        <v>0.33021871398113589</v>
      </c>
      <c r="W8" s="12">
        <f t="shared" si="0"/>
        <v>0.59989196568622005</v>
      </c>
      <c r="X8" s="78">
        <v>400</v>
      </c>
      <c r="Y8" s="12">
        <f>IFERROR(IF(Emp[[#This Row],[Increament]]="","",(Emp[[#This Row],[Increament]]/Emp[[#This Row],[Salary]])),"")</f>
        <v>8.8358736470068477E-2</v>
      </c>
      <c r="Z8" s="17"/>
    </row>
    <row r="9" spans="2:27" x14ac:dyDescent="0.2">
      <c r="B9" s="75">
        <v>42627</v>
      </c>
      <c r="C9" s="38">
        <f>Emp[[#This Row],[Date]]</f>
        <v>42627</v>
      </c>
      <c r="D9" s="10">
        <f>IF(Emp[[#This Row],[Date]]="","",MONTH(Emp[[#This Row],[Date]]))</f>
        <v>9</v>
      </c>
      <c r="E9" s="64">
        <f>Emp[[#This Row],[Date]]</f>
        <v>42627</v>
      </c>
      <c r="F9" s="10">
        <f>IF(Emp[[#This Row],[Date]]="","",WEEKNUM(B9))</f>
        <v>38</v>
      </c>
      <c r="G9" s="77" t="s">
        <v>121</v>
      </c>
      <c r="H9" s="10" t="str">
        <f>IFERROR(VLOOKUP(Raw_data!$G9,Data_base!$B:$J,2,0),"")</f>
        <v>ID250054</v>
      </c>
      <c r="I9" s="10" t="str">
        <f>IFERROR(VLOOKUP(Raw_data!$G9,Data_base!$B:$J,3,0),"")</f>
        <v>Planning</v>
      </c>
      <c r="J9" s="10" t="str">
        <f>IFERROR(VLOOKUP(Raw_data!$G9,Data_base!$B:$J,4,0),"")</f>
        <v>Staff</v>
      </c>
      <c r="K9" s="13" t="str">
        <f>IFERROR(VLOOKUP(Raw_data!$G9,Data_base!$B:$J,5,0),"")</f>
        <v>M</v>
      </c>
      <c r="L9" s="13" t="str">
        <f>IFERROR(VLOOKUP(Raw_data!$G9,Data_base!$B:$J,6,0),"")</f>
        <v>Part time</v>
      </c>
      <c r="M9" s="14">
        <f>IFERROR(VLOOKUP(Raw_data!$G9,Data_base!$B:$J,7,0),"")</f>
        <v>43104</v>
      </c>
      <c r="N9" s="13">
        <f>IFERROR(VLOOKUP(Raw_data!$G9,Data_base!$B:$J,8,0),"")</f>
        <v>42</v>
      </c>
      <c r="O9" s="11">
        <f>IFERROR(VLOOKUP(Raw_data!$G9,Data_base!$B:$J,9,0),"")</f>
        <v>6701</v>
      </c>
      <c r="P9" s="78">
        <v>0</v>
      </c>
      <c r="Q9" s="78">
        <v>3</v>
      </c>
      <c r="R9" s="77">
        <v>19</v>
      </c>
      <c r="S9" s="12" t="str">
        <f>IFERROR(1-VLOOKUP(Emp[[#This Row],[Penality]],Data_base!V:W,2,FALSE),"")</f>
        <v/>
      </c>
      <c r="T9" s="12">
        <f>IFERROR(R9/VLOOKUP(D9,Data_base!S:T,2,0),"")</f>
        <v>0.79166666666666663</v>
      </c>
      <c r="U9" s="12">
        <f>IFERROR(1-Emp[[#This Row],[Activity]],"")</f>
        <v>0.20833333333333337</v>
      </c>
      <c r="V9" s="79">
        <v>0.81819083350544786</v>
      </c>
      <c r="W9" s="12">
        <f t="shared" si="0"/>
        <v>0.80492875008605724</v>
      </c>
      <c r="X9" s="78"/>
      <c r="Y9" s="12" t="str">
        <f>IFERROR(IF(Emp[[#This Row],[Increament]]="","",(Emp[[#This Row],[Increament]]/Emp[[#This Row],[Salary]])),"")</f>
        <v/>
      </c>
      <c r="Z9" s="17"/>
      <c r="AA9" s="73"/>
    </row>
    <row r="10" spans="2:27" x14ac:dyDescent="0.2">
      <c r="B10" s="75">
        <v>42942</v>
      </c>
      <c r="C10" s="38">
        <f>Emp[[#This Row],[Date]]</f>
        <v>42942</v>
      </c>
      <c r="D10" s="10">
        <f>IF(Emp[[#This Row],[Date]]="","",MONTH(Emp[[#This Row],[Date]]))</f>
        <v>7</v>
      </c>
      <c r="E10" s="64">
        <f>Emp[[#This Row],[Date]]</f>
        <v>42942</v>
      </c>
      <c r="F10" s="10">
        <f>IF(Emp[[#This Row],[Date]]="","",WEEKNUM(B10))</f>
        <v>30</v>
      </c>
      <c r="G10" s="77" t="s">
        <v>287</v>
      </c>
      <c r="H10" s="10" t="str">
        <f>IFERROR(VLOOKUP(Raw_data!$G10,Data_base!$B:$J,2,0),"")</f>
        <v>ID250220</v>
      </c>
      <c r="I10" s="10" t="str">
        <f>IFERROR(VLOOKUP(Raw_data!$G10,Data_base!$B:$J,3,0),"")</f>
        <v>Sales</v>
      </c>
      <c r="J10" s="10" t="str">
        <f>IFERROR(VLOOKUP(Raw_data!$G10,Data_base!$B:$J,4,0),"")</f>
        <v>Technician</v>
      </c>
      <c r="K10" s="13" t="str">
        <f>IFERROR(VLOOKUP(Raw_data!$G10,Data_base!$B:$J,5,0),"")</f>
        <v>F</v>
      </c>
      <c r="L10" s="13" t="str">
        <f>IFERROR(VLOOKUP(Raw_data!$G10,Data_base!$B:$J,6,0),"")</f>
        <v>Full time</v>
      </c>
      <c r="M10" s="14">
        <f>IFERROR(VLOOKUP(Raw_data!$G10,Data_base!$B:$J,7,0),"")</f>
        <v>42965</v>
      </c>
      <c r="N10" s="13">
        <f>IFERROR(VLOOKUP(Raw_data!$G10,Data_base!$B:$J,8,0),"")</f>
        <v>29</v>
      </c>
      <c r="O10" s="11">
        <f>IFERROR(VLOOKUP(Raw_data!$G10,Data_base!$B:$J,9,0),"")</f>
        <v>5767</v>
      </c>
      <c r="P10" s="78">
        <v>0</v>
      </c>
      <c r="Q10" s="78">
        <v>2</v>
      </c>
      <c r="R10" s="77">
        <v>18</v>
      </c>
      <c r="S10" s="12" t="str">
        <f>IFERROR(1-VLOOKUP(Emp[[#This Row],[Penality]],Data_base!V:W,2,FALSE),"")</f>
        <v/>
      </c>
      <c r="T10" s="12">
        <f>IFERROR(R10/VLOOKUP(D10,Data_base!S:T,2,0),"")</f>
        <v>0.81818181818181823</v>
      </c>
      <c r="U10" s="12">
        <f>IFERROR(1-Emp[[#This Row],[Activity]],"")</f>
        <v>0.18181818181818177</v>
      </c>
      <c r="V10" s="79">
        <v>0.21768578456299248</v>
      </c>
      <c r="W10" s="12">
        <f t="shared" si="0"/>
        <v>0.5179338013724053</v>
      </c>
      <c r="X10" s="78"/>
      <c r="Y10" s="12" t="str">
        <f>IFERROR(IF(Emp[[#This Row],[Increament]]="","",(Emp[[#This Row],[Increament]]/Emp[[#This Row],[Salary]])),"")</f>
        <v/>
      </c>
      <c r="Z10" s="17"/>
    </row>
    <row r="11" spans="2:27" x14ac:dyDescent="0.2">
      <c r="B11" s="75">
        <v>42891</v>
      </c>
      <c r="C11" s="38">
        <f>Emp[[#This Row],[Date]]</f>
        <v>42891</v>
      </c>
      <c r="D11" s="10">
        <f>IF(Emp[[#This Row],[Date]]="","",MONTH(Emp[[#This Row],[Date]]))</f>
        <v>6</v>
      </c>
      <c r="E11" s="64">
        <f>Emp[[#This Row],[Date]]</f>
        <v>42891</v>
      </c>
      <c r="F11" s="10">
        <f>IF(Emp[[#This Row],[Date]]="","",WEEKNUM(B11))</f>
        <v>23</v>
      </c>
      <c r="G11" s="77" t="s">
        <v>69</v>
      </c>
      <c r="H11" s="10" t="str">
        <f>IFERROR(VLOOKUP(Raw_data!$G11,Data_base!$B:$J,2,0),"")</f>
        <v>ID250002</v>
      </c>
      <c r="I11" s="10" t="str">
        <f>IFERROR(VLOOKUP(Raw_data!$G11,Data_base!$B:$J,3,0),"")</f>
        <v>HR</v>
      </c>
      <c r="J11" s="10" t="str">
        <f>IFERROR(VLOOKUP(Raw_data!$G11,Data_base!$B:$J,4,0),"")</f>
        <v>Technician</v>
      </c>
      <c r="K11" s="13" t="str">
        <f>IFERROR(VLOOKUP(Raw_data!$G11,Data_base!$B:$J,5,0),"")</f>
        <v>F</v>
      </c>
      <c r="L11" s="13" t="str">
        <f>IFERROR(VLOOKUP(Raw_data!$G11,Data_base!$B:$J,6,0),"")</f>
        <v>Part time</v>
      </c>
      <c r="M11" s="14">
        <f>IFERROR(VLOOKUP(Raw_data!$G11,Data_base!$B:$J,7,0),"")</f>
        <v>42257</v>
      </c>
      <c r="N11" s="13">
        <f>IFERROR(VLOOKUP(Raw_data!$G11,Data_base!$B:$J,8,0),"")</f>
        <v>36</v>
      </c>
      <c r="O11" s="11">
        <f>IFERROR(VLOOKUP(Raw_data!$G11,Data_base!$B:$J,9,0),"")</f>
        <v>8587</v>
      </c>
      <c r="P11" s="78">
        <v>3</v>
      </c>
      <c r="Q11" s="78">
        <v>4</v>
      </c>
      <c r="R11" s="77">
        <v>20</v>
      </c>
      <c r="S11" s="12">
        <f>IFERROR(1-VLOOKUP(Emp[[#This Row],[Penality]],Data_base!V:W,2,FALSE),"")</f>
        <v>0.55000000000000004</v>
      </c>
      <c r="T11" s="12">
        <f>IFERROR(R11/VLOOKUP(D11,Data_base!S:T,2,0),"")</f>
        <v>1</v>
      </c>
      <c r="U11" s="12">
        <f>IFERROR(1-Emp[[#This Row],[Activity]],"")</f>
        <v>0</v>
      </c>
      <c r="V11" s="79">
        <v>3.3769475464332177E-2</v>
      </c>
      <c r="W11" s="12">
        <f t="shared" si="0"/>
        <v>0.52792315848811078</v>
      </c>
      <c r="X11" s="78"/>
      <c r="Y11" s="12" t="str">
        <f>IFERROR(IF(Emp[[#This Row],[Increament]]="","",(Emp[[#This Row],[Increament]]/Emp[[#This Row],[Salary]])),"")</f>
        <v/>
      </c>
      <c r="Z11" s="17"/>
    </row>
    <row r="12" spans="2:27" x14ac:dyDescent="0.2">
      <c r="B12" s="75">
        <v>43097</v>
      </c>
      <c r="C12" s="38">
        <f>Emp[[#This Row],[Date]]</f>
        <v>43097</v>
      </c>
      <c r="D12" s="10">
        <f>IF(Emp[[#This Row],[Date]]="","",MONTH(Emp[[#This Row],[Date]]))</f>
        <v>12</v>
      </c>
      <c r="E12" s="64">
        <f>Emp[[#This Row],[Date]]</f>
        <v>43097</v>
      </c>
      <c r="F12" s="10">
        <f>IF(Emp[[#This Row],[Date]]="","",WEEKNUM(B12))</f>
        <v>52</v>
      </c>
      <c r="G12" s="77" t="s">
        <v>184</v>
      </c>
      <c r="H12" s="10" t="str">
        <f>IFERROR(VLOOKUP(Raw_data!$G12,Data_base!$B:$J,2,0),"")</f>
        <v>ID250117</v>
      </c>
      <c r="I12" s="10" t="str">
        <f>IFERROR(VLOOKUP(Raw_data!$G12,Data_base!$B:$J,3,0),"")</f>
        <v>Material</v>
      </c>
      <c r="J12" s="10" t="str">
        <f>IFERROR(VLOOKUP(Raw_data!$G12,Data_base!$B:$J,4,0),"")</f>
        <v>Workrer</v>
      </c>
      <c r="K12" s="13" t="str">
        <f>IFERROR(VLOOKUP(Raw_data!$G12,Data_base!$B:$J,5,0),"")</f>
        <v>M</v>
      </c>
      <c r="L12" s="13" t="str">
        <f>IFERROR(VLOOKUP(Raw_data!$G12,Data_base!$B:$J,6,0),"")</f>
        <v>Full time</v>
      </c>
      <c r="M12" s="14">
        <f>IFERROR(VLOOKUP(Raw_data!$G12,Data_base!$B:$J,7,0),"")</f>
        <v>43609</v>
      </c>
      <c r="N12" s="13">
        <f>IFERROR(VLOOKUP(Raw_data!$G12,Data_base!$B:$J,8,0),"")</f>
        <v>36</v>
      </c>
      <c r="O12" s="11">
        <f>IFERROR(VLOOKUP(Raw_data!$G12,Data_base!$B:$J,9,0),"")</f>
        <v>8956</v>
      </c>
      <c r="P12" s="78">
        <v>1</v>
      </c>
      <c r="Q12" s="78">
        <v>1</v>
      </c>
      <c r="R12" s="77">
        <v>17</v>
      </c>
      <c r="S12" s="12">
        <f>IFERROR(1-VLOOKUP(Emp[[#This Row],[Penality]],Data_base!V:W,2,FALSE),"")</f>
        <v>0.85</v>
      </c>
      <c r="T12" s="12">
        <f>IFERROR(R12/VLOOKUP(D12,Data_base!S:T,2,0),"")</f>
        <v>0.70833333333333337</v>
      </c>
      <c r="U12" s="12">
        <f>IFERROR(1-Emp[[#This Row],[Activity]],"")</f>
        <v>0.29166666666666663</v>
      </c>
      <c r="V12" s="79">
        <v>0.12707603834186587</v>
      </c>
      <c r="W12" s="12">
        <f t="shared" si="0"/>
        <v>0.56180312389173304</v>
      </c>
      <c r="X12" s="78"/>
      <c r="Y12" s="12" t="str">
        <f>IFERROR(IF(Emp[[#This Row],[Increament]]="","",(Emp[[#This Row],[Increament]]/Emp[[#This Row],[Salary]])),"")</f>
        <v/>
      </c>
      <c r="Z12" s="17"/>
    </row>
    <row r="13" spans="2:27" x14ac:dyDescent="0.2">
      <c r="B13" s="75">
        <v>42936</v>
      </c>
      <c r="C13" s="38">
        <f>Emp[[#This Row],[Date]]</f>
        <v>42936</v>
      </c>
      <c r="D13" s="10">
        <f>IF(Emp[[#This Row],[Date]]="","",MONTH(Emp[[#This Row],[Date]]))</f>
        <v>7</v>
      </c>
      <c r="E13" s="64">
        <f>Emp[[#This Row],[Date]]</f>
        <v>42936</v>
      </c>
      <c r="F13" s="10">
        <f>IF(Emp[[#This Row],[Date]]="","",WEEKNUM(B13))</f>
        <v>29</v>
      </c>
      <c r="G13" s="77" t="s">
        <v>140</v>
      </c>
      <c r="H13" s="10" t="str">
        <f>IFERROR(VLOOKUP(Raw_data!$G13,Data_base!$B:$J,2,0),"")</f>
        <v>ID250073</v>
      </c>
      <c r="I13" s="10" t="str">
        <f>IFERROR(VLOOKUP(Raw_data!$G13,Data_base!$B:$J,3,0),"")</f>
        <v>Planning</v>
      </c>
      <c r="J13" s="10" t="str">
        <f>IFERROR(VLOOKUP(Raw_data!$G13,Data_base!$B:$J,4,0),"")</f>
        <v>Manager</v>
      </c>
      <c r="K13" s="13" t="str">
        <f>IFERROR(VLOOKUP(Raw_data!$G13,Data_base!$B:$J,5,0),"")</f>
        <v>F</v>
      </c>
      <c r="L13" s="13" t="str">
        <f>IFERROR(VLOOKUP(Raw_data!$G13,Data_base!$B:$J,6,0),"")</f>
        <v>Part time</v>
      </c>
      <c r="M13" s="14">
        <f>IFERROR(VLOOKUP(Raw_data!$G13,Data_base!$B:$J,7,0),"")</f>
        <v>43418</v>
      </c>
      <c r="N13" s="13">
        <f>IFERROR(VLOOKUP(Raw_data!$G13,Data_base!$B:$J,8,0),"")</f>
        <v>42</v>
      </c>
      <c r="O13" s="11">
        <f>IFERROR(VLOOKUP(Raw_data!$G13,Data_base!$B:$J,9,0),"")</f>
        <v>5663</v>
      </c>
      <c r="P13" s="78">
        <v>2</v>
      </c>
      <c r="Q13" s="78">
        <v>5</v>
      </c>
      <c r="R13" s="77">
        <v>17</v>
      </c>
      <c r="S13" s="12">
        <f>IFERROR(1-VLOOKUP(Emp[[#This Row],[Penality]],Data_base!V:W,2,FALSE),"")</f>
        <v>0.7</v>
      </c>
      <c r="T13" s="12">
        <f>IFERROR(R13/VLOOKUP(D13,Data_base!S:T,2,0),"")</f>
        <v>0.77272727272727271</v>
      </c>
      <c r="U13" s="12">
        <f>IFERROR(1-Emp[[#This Row],[Activity]],"")</f>
        <v>0.22727272727272729</v>
      </c>
      <c r="V13" s="79">
        <v>0.7560205712468625</v>
      </c>
      <c r="W13" s="12">
        <f t="shared" si="0"/>
        <v>0.74291594799137839</v>
      </c>
      <c r="X13" s="78"/>
      <c r="Y13" s="12" t="str">
        <f>IFERROR(IF(Emp[[#This Row],[Increament]]="","",(Emp[[#This Row],[Increament]]/Emp[[#This Row],[Salary]])),"")</f>
        <v/>
      </c>
      <c r="Z13" s="17"/>
    </row>
    <row r="14" spans="2:27" x14ac:dyDescent="0.2">
      <c r="B14" s="75">
        <v>43749</v>
      </c>
      <c r="C14" s="38">
        <f>Emp[[#This Row],[Date]]</f>
        <v>43749</v>
      </c>
      <c r="D14" s="10">
        <f>IF(Emp[[#This Row],[Date]]="","",MONTH(Emp[[#This Row],[Date]]))</f>
        <v>10</v>
      </c>
      <c r="E14" s="64">
        <f>Emp[[#This Row],[Date]]</f>
        <v>43749</v>
      </c>
      <c r="F14" s="10">
        <f>IF(Emp[[#This Row],[Date]]="","",WEEKNUM(B14))</f>
        <v>41</v>
      </c>
      <c r="G14" s="77" t="s">
        <v>116</v>
      </c>
      <c r="H14" s="10" t="str">
        <f>IFERROR(VLOOKUP(Raw_data!$G14,Data_base!$B:$J,2,0),"")</f>
        <v>ID250049</v>
      </c>
      <c r="I14" s="10" t="str">
        <f>IFERROR(VLOOKUP(Raw_data!$G14,Data_base!$B:$J,3,0),"")</f>
        <v>Production</v>
      </c>
      <c r="J14" s="10" t="str">
        <f>IFERROR(VLOOKUP(Raw_data!$G14,Data_base!$B:$J,4,0),"")</f>
        <v>Technician</v>
      </c>
      <c r="K14" s="13" t="str">
        <f>IFERROR(VLOOKUP(Raw_data!$G14,Data_base!$B:$J,5,0),"")</f>
        <v>F</v>
      </c>
      <c r="L14" s="13" t="str">
        <f>IFERROR(VLOOKUP(Raw_data!$G14,Data_base!$B:$J,6,0),"")</f>
        <v>Full time</v>
      </c>
      <c r="M14" s="14">
        <f>IFERROR(VLOOKUP(Raw_data!$G14,Data_base!$B:$J,7,0),"")</f>
        <v>42797</v>
      </c>
      <c r="N14" s="13">
        <f>IFERROR(VLOOKUP(Raw_data!$G14,Data_base!$B:$J,8,0),"")</f>
        <v>30</v>
      </c>
      <c r="O14" s="11">
        <f>IFERROR(VLOOKUP(Raw_data!$G14,Data_base!$B:$J,9,0),"")</f>
        <v>5755</v>
      </c>
      <c r="P14" s="78">
        <v>3</v>
      </c>
      <c r="Q14" s="78">
        <v>1</v>
      </c>
      <c r="R14" s="77">
        <v>19</v>
      </c>
      <c r="S14" s="12">
        <f>IFERROR(1-VLOOKUP(Emp[[#This Row],[Penality]],Data_base!V:W,2,FALSE),"")</f>
        <v>0.55000000000000004</v>
      </c>
      <c r="T14" s="12">
        <f>IFERROR(R14/VLOOKUP(D14,Data_base!S:T,2,0),"")</f>
        <v>0.86363636363636365</v>
      </c>
      <c r="U14" s="12">
        <f>IFERROR(1-Emp[[#This Row],[Activity]],"")</f>
        <v>0.13636363636363635</v>
      </c>
      <c r="V14" s="79">
        <v>0.4595536934261929</v>
      </c>
      <c r="W14" s="12">
        <f t="shared" si="0"/>
        <v>0.62439668568751883</v>
      </c>
      <c r="X14" s="78"/>
      <c r="Y14" s="12" t="str">
        <f>IFERROR(IF(Emp[[#This Row],[Increament]]="","",(Emp[[#This Row],[Increament]]/Emp[[#This Row],[Salary]])),"")</f>
        <v/>
      </c>
      <c r="Z14" s="17"/>
    </row>
    <row r="15" spans="2:27" x14ac:dyDescent="0.2">
      <c r="B15" s="75">
        <v>43100</v>
      </c>
      <c r="C15" s="38">
        <f>Emp[[#This Row],[Date]]</f>
        <v>43100</v>
      </c>
      <c r="D15" s="10">
        <f>IF(Emp[[#This Row],[Date]]="","",MONTH(Emp[[#This Row],[Date]]))</f>
        <v>12</v>
      </c>
      <c r="E15" s="64">
        <f>Emp[[#This Row],[Date]]</f>
        <v>43100</v>
      </c>
      <c r="F15" s="10">
        <f>IF(Emp[[#This Row],[Date]]="","",WEEKNUM(B15))</f>
        <v>53</v>
      </c>
      <c r="G15" s="77" t="s">
        <v>109</v>
      </c>
      <c r="H15" s="10" t="str">
        <f>IFERROR(VLOOKUP(Raw_data!$G15,Data_base!$B:$J,2,0),"")</f>
        <v>ID250042</v>
      </c>
      <c r="I15" s="10" t="str">
        <f>IFERROR(VLOOKUP(Raw_data!$G15,Data_base!$B:$J,3,0),"")</f>
        <v>Quality</v>
      </c>
      <c r="J15" s="10" t="str">
        <f>IFERROR(VLOOKUP(Raw_data!$G15,Data_base!$B:$J,4,0),"")</f>
        <v>Staff</v>
      </c>
      <c r="K15" s="13" t="str">
        <f>IFERROR(VLOOKUP(Raw_data!$G15,Data_base!$B:$J,5,0),"")</f>
        <v>M</v>
      </c>
      <c r="L15" s="13" t="str">
        <f>IFERROR(VLOOKUP(Raw_data!$G15,Data_base!$B:$J,6,0),"")</f>
        <v>Full time</v>
      </c>
      <c r="M15" s="14">
        <f>IFERROR(VLOOKUP(Raw_data!$G15,Data_base!$B:$J,7,0),"")</f>
        <v>41758</v>
      </c>
      <c r="N15" s="13">
        <f>IFERROR(VLOOKUP(Raw_data!$G15,Data_base!$B:$J,8,0),"")</f>
        <v>29</v>
      </c>
      <c r="O15" s="11">
        <f>IFERROR(VLOOKUP(Raw_data!$G15,Data_base!$B:$J,9,0),"")</f>
        <v>9789</v>
      </c>
      <c r="P15" s="78">
        <v>2</v>
      </c>
      <c r="Q15" s="78">
        <v>5</v>
      </c>
      <c r="R15" s="77">
        <v>20</v>
      </c>
      <c r="S15" s="12">
        <f>IFERROR(1-VLOOKUP(Emp[[#This Row],[Penality]],Data_base!V:W,2,FALSE),"")</f>
        <v>0.7</v>
      </c>
      <c r="T15" s="12">
        <f>IFERROR(R15/VLOOKUP(D15,Data_base!S:T,2,0),"")</f>
        <v>0.83333333333333337</v>
      </c>
      <c r="U15" s="12">
        <f>IFERROR(1-Emp[[#This Row],[Activity]],"")</f>
        <v>0.16666666666666663</v>
      </c>
      <c r="V15" s="79">
        <v>0.58237134055870909</v>
      </c>
      <c r="W15" s="12">
        <f t="shared" si="0"/>
        <v>0.70523489129734751</v>
      </c>
      <c r="X15" s="78"/>
      <c r="Y15" s="12" t="str">
        <f>IFERROR(IF(Emp[[#This Row],[Increament]]="","",(Emp[[#This Row],[Increament]]/Emp[[#This Row],[Salary]])),"")</f>
        <v/>
      </c>
      <c r="Z15" s="17"/>
    </row>
    <row r="16" spans="2:27" x14ac:dyDescent="0.2">
      <c r="B16" s="75">
        <v>43482</v>
      </c>
      <c r="C16" s="38">
        <f>Emp[[#This Row],[Date]]</f>
        <v>43482</v>
      </c>
      <c r="D16" s="10">
        <f>IF(Emp[[#This Row],[Date]]="","",MONTH(Emp[[#This Row],[Date]]))</f>
        <v>1</v>
      </c>
      <c r="E16" s="64">
        <f>Emp[[#This Row],[Date]]</f>
        <v>43482</v>
      </c>
      <c r="F16" s="10">
        <f>IF(Emp[[#This Row],[Date]]="","",WEEKNUM(B16))</f>
        <v>3</v>
      </c>
      <c r="G16" s="77" t="s">
        <v>301</v>
      </c>
      <c r="H16" s="10" t="str">
        <f>IFERROR(VLOOKUP(Raw_data!$G16,Data_base!$B:$J,2,0),"")</f>
        <v>ID250234</v>
      </c>
      <c r="I16" s="10" t="str">
        <f>IFERROR(VLOOKUP(Raw_data!$G16,Data_base!$B:$J,3,0),"")</f>
        <v>Procurement</v>
      </c>
      <c r="J16" s="10" t="str">
        <f>IFERROR(VLOOKUP(Raw_data!$G16,Data_base!$B:$J,4,0),"")</f>
        <v>Manager</v>
      </c>
      <c r="K16" s="13" t="str">
        <f>IFERROR(VLOOKUP(Raw_data!$G16,Data_base!$B:$J,5,0),"")</f>
        <v>F</v>
      </c>
      <c r="L16" s="13" t="str">
        <f>IFERROR(VLOOKUP(Raw_data!$G16,Data_base!$B:$J,6,0),"")</f>
        <v>Full time</v>
      </c>
      <c r="M16" s="14">
        <f>IFERROR(VLOOKUP(Raw_data!$G16,Data_base!$B:$J,7,0),"")</f>
        <v>42935</v>
      </c>
      <c r="N16" s="13">
        <f>IFERROR(VLOOKUP(Raw_data!$G16,Data_base!$B:$J,8,0),"")</f>
        <v>36</v>
      </c>
      <c r="O16" s="11">
        <f>IFERROR(VLOOKUP(Raw_data!$G16,Data_base!$B:$J,9,0),"")</f>
        <v>9048</v>
      </c>
      <c r="P16" s="78">
        <v>1</v>
      </c>
      <c r="Q16" s="78">
        <v>4</v>
      </c>
      <c r="R16" s="77">
        <v>18</v>
      </c>
      <c r="S16" s="12">
        <f>IFERROR(1-VLOOKUP(Emp[[#This Row],[Penality]],Data_base!V:W,2,FALSE),"")</f>
        <v>0.85</v>
      </c>
      <c r="T16" s="12">
        <f>IFERROR(R16/VLOOKUP(D16,Data_base!S:T,2,0),"")</f>
        <v>0.8571428571428571</v>
      </c>
      <c r="U16" s="12">
        <f>IFERROR(1-Emp[[#This Row],[Activity]],"")</f>
        <v>0.1428571428571429</v>
      </c>
      <c r="V16" s="79">
        <v>0.65329749423033212</v>
      </c>
      <c r="W16" s="12">
        <f t="shared" si="0"/>
        <v>0.78681345045772977</v>
      </c>
      <c r="X16" s="78"/>
      <c r="Y16" s="12" t="str">
        <f>IFERROR(IF(Emp[[#This Row],[Increament]]="","",(Emp[[#This Row],[Increament]]/Emp[[#This Row],[Salary]])),"")</f>
        <v/>
      </c>
      <c r="Z16" s="17"/>
    </row>
    <row r="17" spans="2:26" x14ac:dyDescent="0.2">
      <c r="B17" s="75">
        <v>42476</v>
      </c>
      <c r="C17" s="38">
        <f>Emp[[#This Row],[Date]]</f>
        <v>42476</v>
      </c>
      <c r="D17" s="10">
        <f>IF(Emp[[#This Row],[Date]]="","",MONTH(Emp[[#This Row],[Date]]))</f>
        <v>4</v>
      </c>
      <c r="E17" s="64">
        <f>Emp[[#This Row],[Date]]</f>
        <v>42476</v>
      </c>
      <c r="F17" s="10">
        <f>IF(Emp[[#This Row],[Date]]="","",WEEKNUM(B17))</f>
        <v>16</v>
      </c>
      <c r="G17" s="77" t="s">
        <v>304</v>
      </c>
      <c r="H17" s="10" t="str">
        <f>IFERROR(VLOOKUP(Raw_data!$G17,Data_base!$B:$J,2,0),"")</f>
        <v>ID250237</v>
      </c>
      <c r="I17" s="10" t="str">
        <f>IFERROR(VLOOKUP(Raw_data!$G17,Data_base!$B:$J,3,0),"")</f>
        <v>Planning</v>
      </c>
      <c r="J17" s="10" t="str">
        <f>IFERROR(VLOOKUP(Raw_data!$G17,Data_base!$B:$J,4,0),"")</f>
        <v>Staff</v>
      </c>
      <c r="K17" s="13" t="str">
        <f>IFERROR(VLOOKUP(Raw_data!$G17,Data_base!$B:$J,5,0),"")</f>
        <v>F</v>
      </c>
      <c r="L17" s="13" t="str">
        <f>IFERROR(VLOOKUP(Raw_data!$G17,Data_base!$B:$J,6,0),"")</f>
        <v>Part time</v>
      </c>
      <c r="M17" s="14">
        <f>IFERROR(VLOOKUP(Raw_data!$G17,Data_base!$B:$J,7,0),"")</f>
        <v>43724</v>
      </c>
      <c r="N17" s="13">
        <f>IFERROR(VLOOKUP(Raw_data!$G17,Data_base!$B:$J,8,0),"")</f>
        <v>34</v>
      </c>
      <c r="O17" s="11">
        <f>IFERROR(VLOOKUP(Raw_data!$G17,Data_base!$B:$J,9,0),"")</f>
        <v>4699</v>
      </c>
      <c r="P17" s="78">
        <v>0</v>
      </c>
      <c r="Q17" s="78">
        <v>1</v>
      </c>
      <c r="R17" s="77">
        <v>17</v>
      </c>
      <c r="S17" s="12" t="str">
        <f>IFERROR(1-VLOOKUP(Emp[[#This Row],[Penality]],Data_base!V:W,2,FALSE),"")</f>
        <v/>
      </c>
      <c r="T17" s="12">
        <f>IFERROR(R17/VLOOKUP(D17,Data_base!S:T,2,0),"")</f>
        <v>0.70833333333333337</v>
      </c>
      <c r="U17" s="12">
        <f>IFERROR(1-Emp[[#This Row],[Activity]],"")</f>
        <v>0.29166666666666663</v>
      </c>
      <c r="V17" s="79">
        <v>0.73336366777415152</v>
      </c>
      <c r="W17" s="12">
        <f t="shared" si="0"/>
        <v>0.72084850055374239</v>
      </c>
      <c r="X17" s="78"/>
      <c r="Y17" s="12" t="str">
        <f>IFERROR(IF(Emp[[#This Row],[Increament]]="","",(Emp[[#This Row],[Increament]]/Emp[[#This Row],[Salary]])),"")</f>
        <v/>
      </c>
      <c r="Z17" s="17"/>
    </row>
    <row r="18" spans="2:26" x14ac:dyDescent="0.2">
      <c r="B18" s="75">
        <v>42752</v>
      </c>
      <c r="C18" s="38">
        <f>Emp[[#This Row],[Date]]</f>
        <v>42752</v>
      </c>
      <c r="D18" s="10">
        <f>IF(Emp[[#This Row],[Date]]="","",MONTH(Emp[[#This Row],[Date]]))</f>
        <v>1</v>
      </c>
      <c r="E18" s="64">
        <f>Emp[[#This Row],[Date]]</f>
        <v>42752</v>
      </c>
      <c r="F18" s="10">
        <f>IF(Emp[[#This Row],[Date]]="","",WEEKNUM(B18))</f>
        <v>3</v>
      </c>
      <c r="G18" s="77" t="s">
        <v>139</v>
      </c>
      <c r="H18" s="10" t="str">
        <f>IFERROR(VLOOKUP(Raw_data!$G18,Data_base!$B:$J,2,0),"")</f>
        <v>ID250072</v>
      </c>
      <c r="I18" s="10" t="str">
        <f>IFERROR(VLOOKUP(Raw_data!$G18,Data_base!$B:$J,3,0),"")</f>
        <v>Planning</v>
      </c>
      <c r="J18" s="10" t="str">
        <f>IFERROR(VLOOKUP(Raw_data!$G18,Data_base!$B:$J,4,0),"")</f>
        <v>Senior</v>
      </c>
      <c r="K18" s="13" t="str">
        <f>IFERROR(VLOOKUP(Raw_data!$G18,Data_base!$B:$J,5,0),"")</f>
        <v>F</v>
      </c>
      <c r="L18" s="13" t="str">
        <f>IFERROR(VLOOKUP(Raw_data!$G18,Data_base!$B:$J,6,0),"")</f>
        <v>Full time</v>
      </c>
      <c r="M18" s="14">
        <f>IFERROR(VLOOKUP(Raw_data!$G18,Data_base!$B:$J,7,0),"")</f>
        <v>42957</v>
      </c>
      <c r="N18" s="13">
        <f>IFERROR(VLOOKUP(Raw_data!$G18,Data_base!$B:$J,8,0),"")</f>
        <v>31</v>
      </c>
      <c r="O18" s="11">
        <f>IFERROR(VLOOKUP(Raw_data!$G18,Data_base!$B:$J,9,0),"")</f>
        <v>8856</v>
      </c>
      <c r="P18" s="78">
        <v>3</v>
      </c>
      <c r="Q18" s="78">
        <v>2</v>
      </c>
      <c r="R18" s="77">
        <v>19</v>
      </c>
      <c r="S18" s="12">
        <f>IFERROR(1-VLOOKUP(Emp[[#This Row],[Penality]],Data_base!V:W,2,FALSE),"")</f>
        <v>0.55000000000000004</v>
      </c>
      <c r="T18" s="12">
        <f>IFERROR(R18/VLOOKUP(D18,Data_base!S:T,2,0),"")</f>
        <v>0.90476190476190477</v>
      </c>
      <c r="U18" s="12">
        <f>IFERROR(1-Emp[[#This Row],[Activity]],"")</f>
        <v>9.5238095238095233E-2</v>
      </c>
      <c r="V18" s="79">
        <v>0.67068399217952612</v>
      </c>
      <c r="W18" s="12">
        <f t="shared" si="0"/>
        <v>0.70848196564714361</v>
      </c>
      <c r="X18" s="78"/>
      <c r="Y18" s="12" t="str">
        <f>IFERROR(IF(Emp[[#This Row],[Increament]]="","",(Emp[[#This Row],[Increament]]/Emp[[#This Row],[Salary]])),"")</f>
        <v/>
      </c>
      <c r="Z18" s="17"/>
    </row>
    <row r="19" spans="2:26" x14ac:dyDescent="0.2">
      <c r="B19" s="75">
        <v>43544</v>
      </c>
      <c r="C19" s="38">
        <f>Emp[[#This Row],[Date]]</f>
        <v>43544</v>
      </c>
      <c r="D19" s="10">
        <f>IF(Emp[[#This Row],[Date]]="","",MONTH(Emp[[#This Row],[Date]]))</f>
        <v>3</v>
      </c>
      <c r="E19" s="64">
        <f>Emp[[#This Row],[Date]]</f>
        <v>43544</v>
      </c>
      <c r="F19" s="10">
        <f>IF(Emp[[#This Row],[Date]]="","",WEEKNUM(B19))</f>
        <v>12</v>
      </c>
      <c r="G19" s="77" t="s">
        <v>271</v>
      </c>
      <c r="H19" s="10" t="str">
        <f>IFERROR(VLOOKUP(Raw_data!$G19,Data_base!$B:$J,2,0),"")</f>
        <v>ID250204</v>
      </c>
      <c r="I19" s="10" t="str">
        <f>IFERROR(VLOOKUP(Raw_data!$G19,Data_base!$B:$J,3,0),"")</f>
        <v>Procurement</v>
      </c>
      <c r="J19" s="10" t="str">
        <f>IFERROR(VLOOKUP(Raw_data!$G19,Data_base!$B:$J,4,0),"")</f>
        <v>Senior</v>
      </c>
      <c r="K19" s="13" t="str">
        <f>IFERROR(VLOOKUP(Raw_data!$G19,Data_base!$B:$J,5,0),"")</f>
        <v>M</v>
      </c>
      <c r="L19" s="13" t="str">
        <f>IFERROR(VLOOKUP(Raw_data!$G19,Data_base!$B:$J,6,0),"")</f>
        <v>Full time</v>
      </c>
      <c r="M19" s="14">
        <f>IFERROR(VLOOKUP(Raw_data!$G19,Data_base!$B:$J,7,0),"")</f>
        <v>42284</v>
      </c>
      <c r="N19" s="13">
        <f>IFERROR(VLOOKUP(Raw_data!$G19,Data_base!$B:$J,8,0),"")</f>
        <v>40</v>
      </c>
      <c r="O19" s="11">
        <f>IFERROR(VLOOKUP(Raw_data!$G19,Data_base!$B:$J,9,0),"")</f>
        <v>8277</v>
      </c>
      <c r="P19" s="78">
        <v>2</v>
      </c>
      <c r="Q19" s="78">
        <v>3</v>
      </c>
      <c r="R19" s="77">
        <v>19</v>
      </c>
      <c r="S19" s="12">
        <f>IFERROR(1-VLOOKUP(Emp[[#This Row],[Penality]],Data_base!V:W,2,FALSE),"")</f>
        <v>0.7</v>
      </c>
      <c r="T19" s="12">
        <f>IFERROR(R19/VLOOKUP(D19,Data_base!S:T,2,0),"")</f>
        <v>0.82608695652173914</v>
      </c>
      <c r="U19" s="12">
        <f>IFERROR(1-Emp[[#This Row],[Activity]],"")</f>
        <v>0.17391304347826086</v>
      </c>
      <c r="V19" s="79">
        <v>0.44978123549858839</v>
      </c>
      <c r="W19" s="12">
        <f t="shared" si="0"/>
        <v>0.65862273067344257</v>
      </c>
      <c r="X19" s="78"/>
      <c r="Y19" s="12" t="str">
        <f>IFERROR(IF(Emp[[#This Row],[Increament]]="","",(Emp[[#This Row],[Increament]]/Emp[[#This Row],[Salary]])),"")</f>
        <v/>
      </c>
      <c r="Z19" s="17"/>
    </row>
    <row r="20" spans="2:26" x14ac:dyDescent="0.2">
      <c r="B20" s="75">
        <v>43161</v>
      </c>
      <c r="C20" s="38">
        <f>Emp[[#This Row],[Date]]</f>
        <v>43161</v>
      </c>
      <c r="D20" s="10">
        <f>IF(Emp[[#This Row],[Date]]="","",MONTH(Emp[[#This Row],[Date]]))</f>
        <v>3</v>
      </c>
      <c r="E20" s="64">
        <f>Emp[[#This Row],[Date]]</f>
        <v>43161</v>
      </c>
      <c r="F20" s="10">
        <f>IF(Emp[[#This Row],[Date]]="","",WEEKNUM(B20))</f>
        <v>9</v>
      </c>
      <c r="G20" s="77" t="s">
        <v>176</v>
      </c>
      <c r="H20" s="10" t="str">
        <f>IFERROR(VLOOKUP(Raw_data!$G20,Data_base!$B:$J,2,0),"")</f>
        <v>ID250109</v>
      </c>
      <c r="I20" s="10" t="str">
        <f>IFERROR(VLOOKUP(Raw_data!$G20,Data_base!$B:$J,3,0),"")</f>
        <v>Quality</v>
      </c>
      <c r="J20" s="10" t="str">
        <f>IFERROR(VLOOKUP(Raw_data!$G20,Data_base!$B:$J,4,0),"")</f>
        <v>Workrer</v>
      </c>
      <c r="K20" s="13" t="str">
        <f>IFERROR(VLOOKUP(Raw_data!$G20,Data_base!$B:$J,5,0),"")</f>
        <v>M</v>
      </c>
      <c r="L20" s="13" t="str">
        <f>IFERROR(VLOOKUP(Raw_data!$G20,Data_base!$B:$J,6,0),"")</f>
        <v>Part time</v>
      </c>
      <c r="M20" s="14">
        <f>IFERROR(VLOOKUP(Raw_data!$G20,Data_base!$B:$J,7,0),"")</f>
        <v>41276</v>
      </c>
      <c r="N20" s="13">
        <f>IFERROR(VLOOKUP(Raw_data!$G20,Data_base!$B:$J,8,0),"")</f>
        <v>41</v>
      </c>
      <c r="O20" s="11">
        <f>IFERROR(VLOOKUP(Raw_data!$G20,Data_base!$B:$J,9,0),"")</f>
        <v>5604</v>
      </c>
      <c r="P20" s="78">
        <v>3</v>
      </c>
      <c r="Q20" s="78">
        <v>3</v>
      </c>
      <c r="R20" s="77">
        <v>20</v>
      </c>
      <c r="S20" s="12">
        <f>IFERROR(1-VLOOKUP(Emp[[#This Row],[Penality]],Data_base!V:W,2,FALSE),"")</f>
        <v>0.55000000000000004</v>
      </c>
      <c r="T20" s="12">
        <f>IFERROR(R20/VLOOKUP(D20,Data_base!S:T,2,0),"")</f>
        <v>0.86956521739130432</v>
      </c>
      <c r="U20" s="12">
        <f>IFERROR(1-Emp[[#This Row],[Activity]],"")</f>
        <v>0.13043478260869568</v>
      </c>
      <c r="V20" s="79">
        <v>0.66334507160864642</v>
      </c>
      <c r="W20" s="12">
        <f t="shared" si="0"/>
        <v>0.69430342966665037</v>
      </c>
      <c r="X20" s="78"/>
      <c r="Y20" s="12" t="str">
        <f>IFERROR(IF(Emp[[#This Row],[Increament]]="","",(Emp[[#This Row],[Increament]]/Emp[[#This Row],[Salary]])),"")</f>
        <v/>
      </c>
      <c r="Z20" s="17"/>
    </row>
    <row r="21" spans="2:26" x14ac:dyDescent="0.2">
      <c r="B21" s="75">
        <v>43373</v>
      </c>
      <c r="C21" s="38">
        <f>Emp[[#This Row],[Date]]</f>
        <v>43373</v>
      </c>
      <c r="D21" s="10">
        <f>IF(Emp[[#This Row],[Date]]="","",MONTH(Emp[[#This Row],[Date]]))</f>
        <v>9</v>
      </c>
      <c r="E21" s="64">
        <f>Emp[[#This Row],[Date]]</f>
        <v>43373</v>
      </c>
      <c r="F21" s="10">
        <f>IF(Emp[[#This Row],[Date]]="","",WEEKNUM(B21))</f>
        <v>40</v>
      </c>
      <c r="G21" s="77" t="s">
        <v>255</v>
      </c>
      <c r="H21" s="10" t="str">
        <f>IFERROR(VLOOKUP(Raw_data!$G21,Data_base!$B:$J,2,0),"")</f>
        <v>ID250188</v>
      </c>
      <c r="I21" s="10" t="str">
        <f>IFERROR(VLOOKUP(Raw_data!$G21,Data_base!$B:$J,3,0),"")</f>
        <v>Sales</v>
      </c>
      <c r="J21" s="10" t="str">
        <f>IFERROR(VLOOKUP(Raw_data!$G21,Data_base!$B:$J,4,0),"")</f>
        <v>Staff</v>
      </c>
      <c r="K21" s="13" t="str">
        <f>IFERROR(VLOOKUP(Raw_data!$G21,Data_base!$B:$J,5,0),"")</f>
        <v>F</v>
      </c>
      <c r="L21" s="13" t="str">
        <f>IFERROR(VLOOKUP(Raw_data!$G21,Data_base!$B:$J,6,0),"")</f>
        <v>Full time</v>
      </c>
      <c r="M21" s="14">
        <f>IFERROR(VLOOKUP(Raw_data!$G21,Data_base!$B:$J,7,0),"")</f>
        <v>42363</v>
      </c>
      <c r="N21" s="13">
        <f>IFERROR(VLOOKUP(Raw_data!$G21,Data_base!$B:$J,8,0),"")</f>
        <v>36</v>
      </c>
      <c r="O21" s="11">
        <f>IFERROR(VLOOKUP(Raw_data!$G21,Data_base!$B:$J,9,0),"")</f>
        <v>9369</v>
      </c>
      <c r="P21" s="78">
        <v>1</v>
      </c>
      <c r="Q21" s="78">
        <v>2</v>
      </c>
      <c r="R21" s="77">
        <v>18</v>
      </c>
      <c r="S21" s="12">
        <f>IFERROR(1-VLOOKUP(Emp[[#This Row],[Penality]],Data_base!V:W,2,FALSE),"")</f>
        <v>0.85</v>
      </c>
      <c r="T21" s="12">
        <f>IFERROR(R21/VLOOKUP(D21,Data_base!S:T,2,0),"")</f>
        <v>0.75</v>
      </c>
      <c r="U21" s="12">
        <f>IFERROR(1-Emp[[#This Row],[Activity]],"")</f>
        <v>0.25</v>
      </c>
      <c r="V21" s="79">
        <v>0.33279261768729762</v>
      </c>
      <c r="W21" s="12">
        <f t="shared" si="0"/>
        <v>0.64426420589576594</v>
      </c>
      <c r="X21" s="78">
        <v>500</v>
      </c>
      <c r="Y21" s="12">
        <f>IFERROR(IF(Emp[[#This Row],[Increament]]="","",(Emp[[#This Row],[Increament]]/Emp[[#This Row],[Salary]])),"")</f>
        <v>5.3367488525989965E-2</v>
      </c>
      <c r="Z21" s="17"/>
    </row>
    <row r="22" spans="2:26" x14ac:dyDescent="0.2">
      <c r="B22" s="75">
        <v>43153</v>
      </c>
      <c r="C22" s="38">
        <f>Emp[[#This Row],[Date]]</f>
        <v>43153</v>
      </c>
      <c r="D22" s="10">
        <f>IF(Emp[[#This Row],[Date]]="","",MONTH(Emp[[#This Row],[Date]]))</f>
        <v>2</v>
      </c>
      <c r="E22" s="64">
        <f>Emp[[#This Row],[Date]]</f>
        <v>43153</v>
      </c>
      <c r="F22" s="10">
        <f>IF(Emp[[#This Row],[Date]]="","",WEEKNUM(B22))</f>
        <v>8</v>
      </c>
      <c r="G22" s="77" t="s">
        <v>131</v>
      </c>
      <c r="H22" s="10" t="str">
        <f>IFERROR(VLOOKUP(Raw_data!$G22,Data_base!$B:$J,2,0),"")</f>
        <v>ID250064</v>
      </c>
      <c r="I22" s="10" t="str">
        <f>IFERROR(VLOOKUP(Raw_data!$G22,Data_base!$B:$J,3,0),"")</f>
        <v>Quality</v>
      </c>
      <c r="J22" s="10" t="str">
        <f>IFERROR(VLOOKUP(Raw_data!$G22,Data_base!$B:$J,4,0),"")</f>
        <v>Staff</v>
      </c>
      <c r="K22" s="13" t="str">
        <f>IFERROR(VLOOKUP(Raw_data!$G22,Data_base!$B:$J,5,0),"")</f>
        <v>M</v>
      </c>
      <c r="L22" s="13" t="str">
        <f>IFERROR(VLOOKUP(Raw_data!$G22,Data_base!$B:$J,6,0),"")</f>
        <v>Part time</v>
      </c>
      <c r="M22" s="14">
        <f>IFERROR(VLOOKUP(Raw_data!$G22,Data_base!$B:$J,7,0),"")</f>
        <v>40673</v>
      </c>
      <c r="N22" s="13">
        <f>IFERROR(VLOOKUP(Raw_data!$G22,Data_base!$B:$J,8,0),"")</f>
        <v>42</v>
      </c>
      <c r="O22" s="11">
        <f>IFERROR(VLOOKUP(Raw_data!$G22,Data_base!$B:$J,9,0),"")</f>
        <v>7261</v>
      </c>
      <c r="P22" s="78">
        <v>0</v>
      </c>
      <c r="Q22" s="78">
        <v>1</v>
      </c>
      <c r="R22" s="77">
        <v>17</v>
      </c>
      <c r="S22" s="12" t="str">
        <f>IFERROR(1-VLOOKUP(Emp[[#This Row],[Penality]],Data_base!V:W,2,FALSE),"")</f>
        <v/>
      </c>
      <c r="T22" s="12">
        <f>IFERROR(R22/VLOOKUP(D22,Data_base!S:T,2,0),"")</f>
        <v>0.70833333333333337</v>
      </c>
      <c r="U22" s="12">
        <f>IFERROR(1-Emp[[#This Row],[Activity]],"")</f>
        <v>0.29166666666666663</v>
      </c>
      <c r="V22" s="79">
        <v>0.19929790079574228</v>
      </c>
      <c r="W22" s="12">
        <f t="shared" si="0"/>
        <v>0.45381561706453782</v>
      </c>
      <c r="X22" s="78"/>
      <c r="Y22" s="12" t="str">
        <f>IFERROR(IF(Emp[[#This Row],[Increament]]="","",(Emp[[#This Row],[Increament]]/Emp[[#This Row],[Salary]])),"")</f>
        <v/>
      </c>
      <c r="Z22" s="17"/>
    </row>
    <row r="23" spans="2:26" x14ac:dyDescent="0.2">
      <c r="B23" s="75">
        <v>43055</v>
      </c>
      <c r="C23" s="38">
        <f>Emp[[#This Row],[Date]]</f>
        <v>43055</v>
      </c>
      <c r="D23" s="10">
        <f>IF(Emp[[#This Row],[Date]]="","",MONTH(Emp[[#This Row],[Date]]))</f>
        <v>11</v>
      </c>
      <c r="E23" s="64">
        <f>Emp[[#This Row],[Date]]</f>
        <v>43055</v>
      </c>
      <c r="F23" s="10">
        <f>IF(Emp[[#This Row],[Date]]="","",WEEKNUM(B23))</f>
        <v>46</v>
      </c>
      <c r="G23" s="77" t="s">
        <v>199</v>
      </c>
      <c r="H23" s="10" t="str">
        <f>IFERROR(VLOOKUP(Raw_data!$G23,Data_base!$B:$J,2,0),"")</f>
        <v>ID250132</v>
      </c>
      <c r="I23" s="10" t="str">
        <f>IFERROR(VLOOKUP(Raw_data!$G23,Data_base!$B:$J,3,0),"")</f>
        <v>HR</v>
      </c>
      <c r="J23" s="10" t="str">
        <f>IFERROR(VLOOKUP(Raw_data!$G23,Data_base!$B:$J,4,0),"")</f>
        <v>Staff</v>
      </c>
      <c r="K23" s="13" t="str">
        <f>IFERROR(VLOOKUP(Raw_data!$G23,Data_base!$B:$J,5,0),"")</f>
        <v>M</v>
      </c>
      <c r="L23" s="13" t="str">
        <f>IFERROR(VLOOKUP(Raw_data!$G23,Data_base!$B:$J,6,0),"")</f>
        <v>Full time</v>
      </c>
      <c r="M23" s="14">
        <f>IFERROR(VLOOKUP(Raw_data!$G23,Data_base!$B:$J,7,0),"")</f>
        <v>42729</v>
      </c>
      <c r="N23" s="13">
        <f>IFERROR(VLOOKUP(Raw_data!$G23,Data_base!$B:$J,8,0),"")</f>
        <v>40</v>
      </c>
      <c r="O23" s="11">
        <f>IFERROR(VLOOKUP(Raw_data!$G23,Data_base!$B:$J,9,0),"")</f>
        <v>8305</v>
      </c>
      <c r="P23" s="78">
        <v>2</v>
      </c>
      <c r="Q23" s="78">
        <v>1</v>
      </c>
      <c r="R23" s="77">
        <v>20</v>
      </c>
      <c r="S23" s="12">
        <f>IFERROR(1-VLOOKUP(Emp[[#This Row],[Penality]],Data_base!V:W,2,FALSE),"")</f>
        <v>0.7</v>
      </c>
      <c r="T23" s="12">
        <f>IFERROR(R23/VLOOKUP(D23,Data_base!S:T,2,0),"")</f>
        <v>0.86956521739130432</v>
      </c>
      <c r="U23" s="12">
        <f>IFERROR(1-Emp[[#This Row],[Activity]],"")</f>
        <v>0.13043478260869568</v>
      </c>
      <c r="V23" s="79">
        <v>0.49368616942129273</v>
      </c>
      <c r="W23" s="12">
        <f t="shared" si="0"/>
        <v>0.68775046227086578</v>
      </c>
      <c r="X23" s="78"/>
      <c r="Y23" s="12" t="str">
        <f>IFERROR(IF(Emp[[#This Row],[Increament]]="","",(Emp[[#This Row],[Increament]]/Emp[[#This Row],[Salary]])),"")</f>
        <v/>
      </c>
      <c r="Z23" s="17"/>
    </row>
    <row r="24" spans="2:26" x14ac:dyDescent="0.2">
      <c r="B24" s="75">
        <v>42948</v>
      </c>
      <c r="C24" s="38">
        <f>Emp[[#This Row],[Date]]</f>
        <v>42948</v>
      </c>
      <c r="D24" s="10">
        <f>IF(Emp[[#This Row],[Date]]="","",MONTH(Emp[[#This Row],[Date]]))</f>
        <v>8</v>
      </c>
      <c r="E24" s="64">
        <f>Emp[[#This Row],[Date]]</f>
        <v>42948</v>
      </c>
      <c r="F24" s="10">
        <f>IF(Emp[[#This Row],[Date]]="","",WEEKNUM(B24))</f>
        <v>31</v>
      </c>
      <c r="G24" s="77" t="s">
        <v>104</v>
      </c>
      <c r="H24" s="10" t="str">
        <f>IFERROR(VLOOKUP(Raw_data!$G24,Data_base!$B:$J,2,0),"")</f>
        <v>ID250037</v>
      </c>
      <c r="I24" s="10" t="str">
        <f>IFERROR(VLOOKUP(Raw_data!$G24,Data_base!$B:$J,3,0),"")</f>
        <v>Procurement</v>
      </c>
      <c r="J24" s="10" t="str">
        <f>IFERROR(VLOOKUP(Raw_data!$G24,Data_base!$B:$J,4,0),"")</f>
        <v>Senior</v>
      </c>
      <c r="K24" s="13" t="str">
        <f>IFERROR(VLOOKUP(Raw_data!$G24,Data_base!$B:$J,5,0),"")</f>
        <v>F</v>
      </c>
      <c r="L24" s="13" t="str">
        <f>IFERROR(VLOOKUP(Raw_data!$G24,Data_base!$B:$J,6,0),"")</f>
        <v>Part time</v>
      </c>
      <c r="M24" s="14">
        <f>IFERROR(VLOOKUP(Raw_data!$G24,Data_base!$B:$J,7,0),"")</f>
        <v>42652</v>
      </c>
      <c r="N24" s="13">
        <f>IFERROR(VLOOKUP(Raw_data!$G24,Data_base!$B:$J,8,0),"")</f>
        <v>35</v>
      </c>
      <c r="O24" s="11">
        <f>IFERROR(VLOOKUP(Raw_data!$G24,Data_base!$B:$J,9,0),"")</f>
        <v>8906</v>
      </c>
      <c r="P24" s="78">
        <v>2</v>
      </c>
      <c r="Q24" s="78">
        <v>5</v>
      </c>
      <c r="R24" s="77">
        <v>17</v>
      </c>
      <c r="S24" s="12">
        <f>IFERROR(1-VLOOKUP(Emp[[#This Row],[Penality]],Data_base!V:W,2,FALSE),"")</f>
        <v>0.7</v>
      </c>
      <c r="T24" s="12">
        <f>IFERROR(R24/VLOOKUP(D24,Data_base!S:T,2,0),"")</f>
        <v>0.85</v>
      </c>
      <c r="U24" s="12">
        <f>IFERROR(1-Emp[[#This Row],[Activity]],"")</f>
        <v>0.15000000000000002</v>
      </c>
      <c r="V24" s="79">
        <v>0.14663621722414777</v>
      </c>
      <c r="W24" s="12">
        <f t="shared" si="0"/>
        <v>0.56554540574138257</v>
      </c>
      <c r="X24" s="78"/>
      <c r="Y24" s="12" t="str">
        <f>IFERROR(IF(Emp[[#This Row],[Increament]]="","",(Emp[[#This Row],[Increament]]/Emp[[#This Row],[Salary]])),"")</f>
        <v/>
      </c>
      <c r="Z24" s="17"/>
    </row>
    <row r="25" spans="2:26" x14ac:dyDescent="0.2">
      <c r="B25" s="75">
        <v>43509</v>
      </c>
      <c r="C25" s="38">
        <f>Emp[[#This Row],[Date]]</f>
        <v>43509</v>
      </c>
      <c r="D25" s="10">
        <f>IF(Emp[[#This Row],[Date]]="","",MONTH(Emp[[#This Row],[Date]]))</f>
        <v>2</v>
      </c>
      <c r="E25" s="64">
        <f>Emp[[#This Row],[Date]]</f>
        <v>43509</v>
      </c>
      <c r="F25" s="10">
        <f>IF(Emp[[#This Row],[Date]]="","",WEEKNUM(B25))</f>
        <v>7</v>
      </c>
      <c r="G25" s="77" t="s">
        <v>346</v>
      </c>
      <c r="H25" s="10" t="str">
        <f>IFERROR(VLOOKUP(Raw_data!$G25,Data_base!$B:$J,2,0),"")</f>
        <v>ID250279</v>
      </c>
      <c r="I25" s="10" t="str">
        <f>IFERROR(VLOOKUP(Raw_data!$G25,Data_base!$B:$J,3,0),"")</f>
        <v>Material</v>
      </c>
      <c r="J25" s="10" t="str">
        <f>IFERROR(VLOOKUP(Raw_data!$G25,Data_base!$B:$J,4,0),"")</f>
        <v>Manager</v>
      </c>
      <c r="K25" s="13" t="str">
        <f>IFERROR(VLOOKUP(Raw_data!$G25,Data_base!$B:$J,5,0),"")</f>
        <v>F</v>
      </c>
      <c r="L25" s="13" t="str">
        <f>IFERROR(VLOOKUP(Raw_data!$G25,Data_base!$B:$J,6,0),"")</f>
        <v>Part time</v>
      </c>
      <c r="M25" s="14">
        <f>IFERROR(VLOOKUP(Raw_data!$G25,Data_base!$B:$J,7,0),"")</f>
        <v>41603</v>
      </c>
      <c r="N25" s="13">
        <f>IFERROR(VLOOKUP(Raw_data!$G25,Data_base!$B:$J,8,0),"")</f>
        <v>36</v>
      </c>
      <c r="O25" s="11">
        <f>IFERROR(VLOOKUP(Raw_data!$G25,Data_base!$B:$J,9,0),"")</f>
        <v>8765</v>
      </c>
      <c r="P25" s="78">
        <v>3</v>
      </c>
      <c r="Q25" s="78">
        <v>2</v>
      </c>
      <c r="R25" s="77">
        <v>18</v>
      </c>
      <c r="S25" s="12">
        <f>IFERROR(1-VLOOKUP(Emp[[#This Row],[Penality]],Data_base!V:W,2,FALSE),"")</f>
        <v>0.55000000000000004</v>
      </c>
      <c r="T25" s="12">
        <f>IFERROR(R25/VLOOKUP(D25,Data_base!S:T,2,0),"")</f>
        <v>0.75</v>
      </c>
      <c r="U25" s="12">
        <f>IFERROR(1-Emp[[#This Row],[Activity]],"")</f>
        <v>0.25</v>
      </c>
      <c r="V25" s="79">
        <v>0.31947764716934268</v>
      </c>
      <c r="W25" s="12">
        <f t="shared" si="0"/>
        <v>0.53982588238978091</v>
      </c>
      <c r="X25" s="78"/>
      <c r="Y25" s="12" t="str">
        <f>IFERROR(IF(Emp[[#This Row],[Increament]]="","",(Emp[[#This Row],[Increament]]/Emp[[#This Row],[Salary]])),"")</f>
        <v/>
      </c>
      <c r="Z25" s="17"/>
    </row>
    <row r="26" spans="2:26" x14ac:dyDescent="0.2">
      <c r="B26" s="75">
        <v>43207</v>
      </c>
      <c r="C26" s="38">
        <f>Emp[[#This Row],[Date]]</f>
        <v>43207</v>
      </c>
      <c r="D26" s="10">
        <f>IF(Emp[[#This Row],[Date]]="","",MONTH(Emp[[#This Row],[Date]]))</f>
        <v>4</v>
      </c>
      <c r="E26" s="64">
        <f>Emp[[#This Row],[Date]]</f>
        <v>43207</v>
      </c>
      <c r="F26" s="10">
        <f>IF(Emp[[#This Row],[Date]]="","",WEEKNUM(B26))</f>
        <v>16</v>
      </c>
      <c r="G26" s="77" t="s">
        <v>229</v>
      </c>
      <c r="H26" s="10" t="str">
        <f>IFERROR(VLOOKUP(Raw_data!$G26,Data_base!$B:$J,2,0),"")</f>
        <v>ID250162</v>
      </c>
      <c r="I26" s="10" t="str">
        <f>IFERROR(VLOOKUP(Raw_data!$G26,Data_base!$B:$J,3,0),"")</f>
        <v>Sales</v>
      </c>
      <c r="J26" s="10" t="str">
        <f>IFERROR(VLOOKUP(Raw_data!$G26,Data_base!$B:$J,4,0),"")</f>
        <v>Senior</v>
      </c>
      <c r="K26" s="13" t="str">
        <f>IFERROR(VLOOKUP(Raw_data!$G26,Data_base!$B:$J,5,0),"")</f>
        <v>M</v>
      </c>
      <c r="L26" s="13" t="str">
        <f>IFERROR(VLOOKUP(Raw_data!$G26,Data_base!$B:$J,6,0),"")</f>
        <v>Full time</v>
      </c>
      <c r="M26" s="14">
        <f>IFERROR(VLOOKUP(Raw_data!$G26,Data_base!$B:$J,7,0),"")</f>
        <v>43468</v>
      </c>
      <c r="N26" s="13">
        <f>IFERROR(VLOOKUP(Raw_data!$G26,Data_base!$B:$J,8,0),"")</f>
        <v>30</v>
      </c>
      <c r="O26" s="11">
        <f>IFERROR(VLOOKUP(Raw_data!$G26,Data_base!$B:$J,9,0),"")</f>
        <v>9578</v>
      </c>
      <c r="P26" s="78">
        <v>3</v>
      </c>
      <c r="Q26" s="78">
        <v>5</v>
      </c>
      <c r="R26" s="77">
        <v>18</v>
      </c>
      <c r="S26" s="12">
        <f>IFERROR(1-VLOOKUP(Emp[[#This Row],[Penality]],Data_base!V:W,2,FALSE),"")</f>
        <v>0.55000000000000004</v>
      </c>
      <c r="T26" s="12">
        <f>IFERROR(R26/VLOOKUP(D26,Data_base!S:T,2,0),"")</f>
        <v>0.75</v>
      </c>
      <c r="U26" s="12">
        <f>IFERROR(1-Emp[[#This Row],[Activity]],"")</f>
        <v>0.25</v>
      </c>
      <c r="V26" s="79">
        <v>0.42311348930915904</v>
      </c>
      <c r="W26" s="12">
        <f t="shared" si="0"/>
        <v>0.57437116310305303</v>
      </c>
      <c r="X26" s="78"/>
      <c r="Y26" s="12" t="str">
        <f>IFERROR(IF(Emp[[#This Row],[Increament]]="","",(Emp[[#This Row],[Increament]]/Emp[[#This Row],[Salary]])),"")</f>
        <v/>
      </c>
      <c r="Z26" s="17"/>
    </row>
    <row r="27" spans="2:26" x14ac:dyDescent="0.2">
      <c r="B27" s="75">
        <v>43439</v>
      </c>
      <c r="C27" s="38">
        <f>Emp[[#This Row],[Date]]</f>
        <v>43439</v>
      </c>
      <c r="D27" s="10">
        <f>IF(Emp[[#This Row],[Date]]="","",MONTH(Emp[[#This Row],[Date]]))</f>
        <v>12</v>
      </c>
      <c r="E27" s="64">
        <f>Emp[[#This Row],[Date]]</f>
        <v>43439</v>
      </c>
      <c r="F27" s="10">
        <f>IF(Emp[[#This Row],[Date]]="","",WEEKNUM(B27))</f>
        <v>49</v>
      </c>
      <c r="G27" s="77" t="s">
        <v>265</v>
      </c>
      <c r="H27" s="10" t="str">
        <f>IFERROR(VLOOKUP(Raw_data!$G27,Data_base!$B:$J,2,0),"")</f>
        <v>ID250198</v>
      </c>
      <c r="I27" s="10" t="str">
        <f>IFERROR(VLOOKUP(Raw_data!$G27,Data_base!$B:$J,3,0),"")</f>
        <v>Material</v>
      </c>
      <c r="J27" s="10" t="str">
        <f>IFERROR(VLOOKUP(Raw_data!$G27,Data_base!$B:$J,4,0),"")</f>
        <v>Manager</v>
      </c>
      <c r="K27" s="13" t="str">
        <f>IFERROR(VLOOKUP(Raw_data!$G27,Data_base!$B:$J,5,0),"")</f>
        <v>F</v>
      </c>
      <c r="L27" s="13" t="str">
        <f>IFERROR(VLOOKUP(Raw_data!$G27,Data_base!$B:$J,6,0),"")</f>
        <v>Full time</v>
      </c>
      <c r="M27" s="14">
        <f>IFERROR(VLOOKUP(Raw_data!$G27,Data_base!$B:$J,7,0),"")</f>
        <v>40633</v>
      </c>
      <c r="N27" s="13">
        <f>IFERROR(VLOOKUP(Raw_data!$G27,Data_base!$B:$J,8,0),"")</f>
        <v>38</v>
      </c>
      <c r="O27" s="11">
        <f>IFERROR(VLOOKUP(Raw_data!$G27,Data_base!$B:$J,9,0),"")</f>
        <v>9065</v>
      </c>
      <c r="P27" s="78">
        <v>1</v>
      </c>
      <c r="Q27" s="78">
        <v>4</v>
      </c>
      <c r="R27" s="77">
        <v>19</v>
      </c>
      <c r="S27" s="12">
        <f>IFERROR(1-VLOOKUP(Emp[[#This Row],[Penality]],Data_base!V:W,2,FALSE),"")</f>
        <v>0.85</v>
      </c>
      <c r="T27" s="12">
        <f>IFERROR(R27/VLOOKUP(D27,Data_base!S:T,2,0),"")</f>
        <v>0.79166666666666663</v>
      </c>
      <c r="U27" s="12">
        <f>IFERROR(1-Emp[[#This Row],[Activity]],"")</f>
        <v>0.20833333333333337</v>
      </c>
      <c r="V27" s="79">
        <v>0.46204976817080956</v>
      </c>
      <c r="W27" s="12">
        <f t="shared" si="0"/>
        <v>0.70123881161249202</v>
      </c>
      <c r="X27" s="78"/>
      <c r="Y27" s="12" t="str">
        <f>IFERROR(IF(Emp[[#This Row],[Increament]]="","",(Emp[[#This Row],[Increament]]/Emp[[#This Row],[Salary]])),"")</f>
        <v/>
      </c>
      <c r="Z27" s="17"/>
    </row>
    <row r="28" spans="2:26" x14ac:dyDescent="0.2">
      <c r="B28" s="75">
        <v>42371</v>
      </c>
      <c r="C28" s="38">
        <f>Emp[[#This Row],[Date]]</f>
        <v>42371</v>
      </c>
      <c r="D28" s="10">
        <f>IF(Emp[[#This Row],[Date]]="","",MONTH(Emp[[#This Row],[Date]]))</f>
        <v>1</v>
      </c>
      <c r="E28" s="64">
        <f>Emp[[#This Row],[Date]]</f>
        <v>42371</v>
      </c>
      <c r="F28" s="10">
        <f>IF(Emp[[#This Row],[Date]]="","",WEEKNUM(B28))</f>
        <v>1</v>
      </c>
      <c r="G28" s="77" t="s">
        <v>251</v>
      </c>
      <c r="H28" s="10" t="str">
        <f>IFERROR(VLOOKUP(Raw_data!$G28,Data_base!$B:$J,2,0),"")</f>
        <v>ID250184</v>
      </c>
      <c r="I28" s="10" t="str">
        <f>IFERROR(VLOOKUP(Raw_data!$G28,Data_base!$B:$J,3,0),"")</f>
        <v>HR</v>
      </c>
      <c r="J28" s="10" t="str">
        <f>IFERROR(VLOOKUP(Raw_data!$G28,Data_base!$B:$J,4,0),"")</f>
        <v>Junior</v>
      </c>
      <c r="K28" s="13" t="str">
        <f>IFERROR(VLOOKUP(Raw_data!$G28,Data_base!$B:$J,5,0),"")</f>
        <v>M</v>
      </c>
      <c r="L28" s="13" t="str">
        <f>IFERROR(VLOOKUP(Raw_data!$G28,Data_base!$B:$J,6,0),"")</f>
        <v>Full time</v>
      </c>
      <c r="M28" s="14">
        <f>IFERROR(VLOOKUP(Raw_data!$G28,Data_base!$B:$J,7,0),"")</f>
        <v>41062</v>
      </c>
      <c r="N28" s="13">
        <f>IFERROR(VLOOKUP(Raw_data!$G28,Data_base!$B:$J,8,0),"")</f>
        <v>41</v>
      </c>
      <c r="O28" s="11">
        <f>IFERROR(VLOOKUP(Raw_data!$G28,Data_base!$B:$J,9,0),"")</f>
        <v>9676</v>
      </c>
      <c r="P28" s="78">
        <v>3</v>
      </c>
      <c r="Q28" s="78">
        <v>1</v>
      </c>
      <c r="R28" s="77">
        <v>19</v>
      </c>
      <c r="S28" s="12">
        <f>IFERROR(1-VLOOKUP(Emp[[#This Row],[Penality]],Data_base!V:W,2,FALSE),"")</f>
        <v>0.55000000000000004</v>
      </c>
      <c r="T28" s="12">
        <f>IFERROR(R28/VLOOKUP(D28,Data_base!S:T,2,0),"")</f>
        <v>0.90476190476190477</v>
      </c>
      <c r="U28" s="12">
        <f>IFERROR(1-Emp[[#This Row],[Activity]],"")</f>
        <v>9.5238095238095233E-2</v>
      </c>
      <c r="V28" s="79">
        <v>0.38916963350232769</v>
      </c>
      <c r="W28" s="12">
        <f t="shared" si="0"/>
        <v>0.61464384608807754</v>
      </c>
      <c r="X28" s="78"/>
      <c r="Y28" s="12" t="str">
        <f>IFERROR(IF(Emp[[#This Row],[Increament]]="","",(Emp[[#This Row],[Increament]]/Emp[[#This Row],[Salary]])),"")</f>
        <v/>
      </c>
      <c r="Z28" s="17"/>
    </row>
    <row r="29" spans="2:26" x14ac:dyDescent="0.2">
      <c r="B29" s="75">
        <v>43675</v>
      </c>
      <c r="C29" s="38">
        <f>Emp[[#This Row],[Date]]</f>
        <v>43675</v>
      </c>
      <c r="D29" s="10">
        <f>IF(Emp[[#This Row],[Date]]="","",MONTH(Emp[[#This Row],[Date]]))</f>
        <v>7</v>
      </c>
      <c r="E29" s="64">
        <f>Emp[[#This Row],[Date]]</f>
        <v>43675</v>
      </c>
      <c r="F29" s="10">
        <f>IF(Emp[[#This Row],[Date]]="","",WEEKNUM(B29))</f>
        <v>31</v>
      </c>
      <c r="G29" s="77" t="s">
        <v>215</v>
      </c>
      <c r="H29" s="10" t="str">
        <f>IFERROR(VLOOKUP(Raw_data!$G29,Data_base!$B:$J,2,0),"")</f>
        <v>ID250148</v>
      </c>
      <c r="I29" s="10" t="str">
        <f>IFERROR(VLOOKUP(Raw_data!$G29,Data_base!$B:$J,3,0),"")</f>
        <v>Finance</v>
      </c>
      <c r="J29" s="10" t="str">
        <f>IFERROR(VLOOKUP(Raw_data!$G29,Data_base!$B:$J,4,0),"")</f>
        <v>Staff</v>
      </c>
      <c r="K29" s="13" t="str">
        <f>IFERROR(VLOOKUP(Raw_data!$G29,Data_base!$B:$J,5,0),"")</f>
        <v>M</v>
      </c>
      <c r="L29" s="13" t="str">
        <f>IFERROR(VLOOKUP(Raw_data!$G29,Data_base!$B:$J,6,0),"")</f>
        <v>Full time</v>
      </c>
      <c r="M29" s="14">
        <f>IFERROR(VLOOKUP(Raw_data!$G29,Data_base!$B:$J,7,0),"")</f>
        <v>40937</v>
      </c>
      <c r="N29" s="13">
        <f>IFERROR(VLOOKUP(Raw_data!$G29,Data_base!$B:$J,8,0),"")</f>
        <v>43</v>
      </c>
      <c r="O29" s="11">
        <f>IFERROR(VLOOKUP(Raw_data!$G29,Data_base!$B:$J,9,0),"")</f>
        <v>5440</v>
      </c>
      <c r="P29" s="78">
        <v>0</v>
      </c>
      <c r="Q29" s="78">
        <v>2</v>
      </c>
      <c r="R29" s="77">
        <v>20</v>
      </c>
      <c r="S29" s="12" t="str">
        <f>IFERROR(1-VLOOKUP(Emp[[#This Row],[Penality]],Data_base!V:W,2,FALSE),"")</f>
        <v/>
      </c>
      <c r="T29" s="12">
        <f>IFERROR(R29/VLOOKUP(D29,Data_base!S:T,2,0),"")</f>
        <v>0.90909090909090906</v>
      </c>
      <c r="U29" s="12">
        <f>IFERROR(1-Emp[[#This Row],[Activity]],"")</f>
        <v>9.0909090909090939E-2</v>
      </c>
      <c r="V29" s="79">
        <v>0.79173688633241679</v>
      </c>
      <c r="W29" s="12">
        <f t="shared" si="0"/>
        <v>0.85041389771166287</v>
      </c>
      <c r="X29" s="78"/>
      <c r="Y29" s="12" t="str">
        <f>IFERROR(IF(Emp[[#This Row],[Increament]]="","",(Emp[[#This Row],[Increament]]/Emp[[#This Row],[Salary]])),"")</f>
        <v/>
      </c>
      <c r="Z29" s="17"/>
    </row>
    <row r="30" spans="2:26" x14ac:dyDescent="0.2">
      <c r="B30" s="75">
        <v>42778</v>
      </c>
      <c r="C30" s="38">
        <f>Emp[[#This Row],[Date]]</f>
        <v>42778</v>
      </c>
      <c r="D30" s="10">
        <f>IF(Emp[[#This Row],[Date]]="","",MONTH(Emp[[#This Row],[Date]]))</f>
        <v>2</v>
      </c>
      <c r="E30" s="64">
        <f>Emp[[#This Row],[Date]]</f>
        <v>42778</v>
      </c>
      <c r="F30" s="10">
        <f>IF(Emp[[#This Row],[Date]]="","",WEEKNUM(B30))</f>
        <v>7</v>
      </c>
      <c r="G30" s="77" t="s">
        <v>181</v>
      </c>
      <c r="H30" s="10" t="str">
        <f>IFERROR(VLOOKUP(Raw_data!$G30,Data_base!$B:$J,2,0),"")</f>
        <v>ID250114</v>
      </c>
      <c r="I30" s="10" t="str">
        <f>IFERROR(VLOOKUP(Raw_data!$G30,Data_base!$B:$J,3,0),"")</f>
        <v>Planning</v>
      </c>
      <c r="J30" s="10" t="str">
        <f>IFERROR(VLOOKUP(Raw_data!$G30,Data_base!$B:$J,4,0),"")</f>
        <v>Manager</v>
      </c>
      <c r="K30" s="13" t="str">
        <f>IFERROR(VLOOKUP(Raw_data!$G30,Data_base!$B:$J,5,0),"")</f>
        <v>M</v>
      </c>
      <c r="L30" s="13" t="str">
        <f>IFERROR(VLOOKUP(Raw_data!$G30,Data_base!$B:$J,6,0),"")</f>
        <v>Full time</v>
      </c>
      <c r="M30" s="14">
        <f>IFERROR(VLOOKUP(Raw_data!$G30,Data_base!$B:$J,7,0),"")</f>
        <v>40714</v>
      </c>
      <c r="N30" s="13">
        <f>IFERROR(VLOOKUP(Raw_data!$G30,Data_base!$B:$J,8,0),"")</f>
        <v>34</v>
      </c>
      <c r="O30" s="11">
        <f>IFERROR(VLOOKUP(Raw_data!$G30,Data_base!$B:$J,9,0),"")</f>
        <v>4822</v>
      </c>
      <c r="P30" s="78">
        <v>3</v>
      </c>
      <c r="Q30" s="78">
        <v>4</v>
      </c>
      <c r="R30" s="77">
        <v>17</v>
      </c>
      <c r="S30" s="12">
        <f>IFERROR(1-VLOOKUP(Emp[[#This Row],[Penality]],Data_base!V:W,2,FALSE),"")</f>
        <v>0.55000000000000004</v>
      </c>
      <c r="T30" s="12">
        <f>IFERROR(R30/VLOOKUP(D30,Data_base!S:T,2,0),"")</f>
        <v>0.70833333333333337</v>
      </c>
      <c r="U30" s="12">
        <f>IFERROR(1-Emp[[#This Row],[Activity]],"")</f>
        <v>0.29166666666666663</v>
      </c>
      <c r="V30" s="79">
        <v>0.142334482240558</v>
      </c>
      <c r="W30" s="12">
        <f t="shared" si="0"/>
        <v>0.46688927185796381</v>
      </c>
      <c r="X30" s="78"/>
      <c r="Y30" s="12" t="str">
        <f>IFERROR(IF(Emp[[#This Row],[Increament]]="","",(Emp[[#This Row],[Increament]]/Emp[[#This Row],[Salary]])),"")</f>
        <v/>
      </c>
      <c r="Z30" s="17"/>
    </row>
    <row r="31" spans="2:26" x14ac:dyDescent="0.2">
      <c r="B31" s="75">
        <v>43626</v>
      </c>
      <c r="C31" s="38">
        <f>Emp[[#This Row],[Date]]</f>
        <v>43626</v>
      </c>
      <c r="D31" s="10">
        <f>IF(Emp[[#This Row],[Date]]="","",MONTH(Emp[[#This Row],[Date]]))</f>
        <v>6</v>
      </c>
      <c r="E31" s="64">
        <f>Emp[[#This Row],[Date]]</f>
        <v>43626</v>
      </c>
      <c r="F31" s="10">
        <f>IF(Emp[[#This Row],[Date]]="","",WEEKNUM(B31))</f>
        <v>24</v>
      </c>
      <c r="G31" s="77" t="s">
        <v>201</v>
      </c>
      <c r="H31" s="10" t="str">
        <f>IFERROR(VLOOKUP(Raw_data!$G31,Data_base!$B:$J,2,0),"")</f>
        <v>ID250134</v>
      </c>
      <c r="I31" s="10" t="str">
        <f>IFERROR(VLOOKUP(Raw_data!$G31,Data_base!$B:$J,3,0),"")</f>
        <v>Procurement</v>
      </c>
      <c r="J31" s="10" t="str">
        <f>IFERROR(VLOOKUP(Raw_data!$G31,Data_base!$B:$J,4,0),"")</f>
        <v>Staff</v>
      </c>
      <c r="K31" s="13" t="str">
        <f>IFERROR(VLOOKUP(Raw_data!$G31,Data_base!$B:$J,5,0),"")</f>
        <v>M</v>
      </c>
      <c r="L31" s="13" t="str">
        <f>IFERROR(VLOOKUP(Raw_data!$G31,Data_base!$B:$J,6,0),"")</f>
        <v>Part time</v>
      </c>
      <c r="M31" s="14">
        <f>IFERROR(VLOOKUP(Raw_data!$G31,Data_base!$B:$J,7,0),"")</f>
        <v>43439</v>
      </c>
      <c r="N31" s="13">
        <f>IFERROR(VLOOKUP(Raw_data!$G31,Data_base!$B:$J,8,0),"")</f>
        <v>42</v>
      </c>
      <c r="O31" s="11">
        <f>IFERROR(VLOOKUP(Raw_data!$G31,Data_base!$B:$J,9,0),"")</f>
        <v>9140</v>
      </c>
      <c r="P31" s="78">
        <v>2</v>
      </c>
      <c r="Q31" s="78">
        <v>2</v>
      </c>
      <c r="R31" s="77">
        <v>19</v>
      </c>
      <c r="S31" s="12">
        <f>IFERROR(1-VLOOKUP(Emp[[#This Row],[Penality]],Data_base!V:W,2,FALSE),"")</f>
        <v>0.7</v>
      </c>
      <c r="T31" s="12">
        <f>IFERROR(R31/VLOOKUP(D31,Data_base!S:T,2,0),"")</f>
        <v>0.95</v>
      </c>
      <c r="U31" s="12">
        <f>IFERROR(1-Emp[[#This Row],[Activity]],"")</f>
        <v>5.0000000000000044E-2</v>
      </c>
      <c r="V31" s="79">
        <v>0.96951094050573761</v>
      </c>
      <c r="W31" s="12">
        <f t="shared" si="0"/>
        <v>0.87317031350191243</v>
      </c>
      <c r="X31" s="78">
        <v>700</v>
      </c>
      <c r="Y31" s="12">
        <f>IFERROR(IF(Emp[[#This Row],[Increament]]="","",(Emp[[#This Row],[Increament]]/Emp[[#This Row],[Salary]])),"")</f>
        <v>7.6586433260393869E-2</v>
      </c>
      <c r="Z31" s="17"/>
    </row>
    <row r="32" spans="2:26" x14ac:dyDescent="0.2">
      <c r="B32" s="75">
        <v>42706</v>
      </c>
      <c r="C32" s="38">
        <f>Emp[[#This Row],[Date]]</f>
        <v>42706</v>
      </c>
      <c r="D32" s="10">
        <f>IF(Emp[[#This Row],[Date]]="","",MONTH(Emp[[#This Row],[Date]]))</f>
        <v>12</v>
      </c>
      <c r="E32" s="64">
        <f>Emp[[#This Row],[Date]]</f>
        <v>42706</v>
      </c>
      <c r="F32" s="10">
        <f>IF(Emp[[#This Row],[Date]]="","",WEEKNUM(B32))</f>
        <v>49</v>
      </c>
      <c r="G32" s="77" t="s">
        <v>305</v>
      </c>
      <c r="H32" s="10" t="str">
        <f>IFERROR(VLOOKUP(Raw_data!$G32,Data_base!$B:$J,2,0),"")</f>
        <v>ID250238</v>
      </c>
      <c r="I32" s="10" t="str">
        <f>IFERROR(VLOOKUP(Raw_data!$G32,Data_base!$B:$J,3,0),"")</f>
        <v>Quality</v>
      </c>
      <c r="J32" s="10" t="str">
        <f>IFERROR(VLOOKUP(Raw_data!$G32,Data_base!$B:$J,4,0),"")</f>
        <v>Junior</v>
      </c>
      <c r="K32" s="13" t="str">
        <f>IFERROR(VLOOKUP(Raw_data!$G32,Data_base!$B:$J,5,0),"")</f>
        <v>F</v>
      </c>
      <c r="L32" s="13" t="str">
        <f>IFERROR(VLOOKUP(Raw_data!$G32,Data_base!$B:$J,6,0),"")</f>
        <v>Full time</v>
      </c>
      <c r="M32" s="14">
        <f>IFERROR(VLOOKUP(Raw_data!$G32,Data_base!$B:$J,7,0),"")</f>
        <v>41054</v>
      </c>
      <c r="N32" s="13">
        <f>IFERROR(VLOOKUP(Raw_data!$G32,Data_base!$B:$J,8,0),"")</f>
        <v>36</v>
      </c>
      <c r="O32" s="11">
        <f>IFERROR(VLOOKUP(Raw_data!$G32,Data_base!$B:$J,9,0),"")</f>
        <v>8993</v>
      </c>
      <c r="P32" s="78">
        <v>1</v>
      </c>
      <c r="Q32" s="78">
        <v>4</v>
      </c>
      <c r="R32" s="77">
        <v>18</v>
      </c>
      <c r="S32" s="12">
        <f>IFERROR(1-VLOOKUP(Emp[[#This Row],[Penality]],Data_base!V:W,2,FALSE),"")</f>
        <v>0.85</v>
      </c>
      <c r="T32" s="12">
        <f>IFERROR(R32/VLOOKUP(D32,Data_base!S:T,2,0),"")</f>
        <v>0.75</v>
      </c>
      <c r="U32" s="12">
        <f>IFERROR(1-Emp[[#This Row],[Activity]],"")</f>
        <v>0.25</v>
      </c>
      <c r="V32" s="79">
        <v>3.0346178271898339E-2</v>
      </c>
      <c r="W32" s="12">
        <f t="shared" si="0"/>
        <v>0.54344872609063277</v>
      </c>
      <c r="X32" s="78"/>
      <c r="Y32" s="12" t="str">
        <f>IFERROR(IF(Emp[[#This Row],[Increament]]="","",(Emp[[#This Row],[Increament]]/Emp[[#This Row],[Salary]])),"")</f>
        <v/>
      </c>
      <c r="Z32" s="17"/>
    </row>
    <row r="33" spans="2:26" x14ac:dyDescent="0.2">
      <c r="B33" s="75">
        <v>42533</v>
      </c>
      <c r="C33" s="38">
        <f>Emp[[#This Row],[Date]]</f>
        <v>42533</v>
      </c>
      <c r="D33" s="10">
        <f>IF(Emp[[#This Row],[Date]]="","",MONTH(Emp[[#This Row],[Date]]))</f>
        <v>6</v>
      </c>
      <c r="E33" s="64">
        <f>Emp[[#This Row],[Date]]</f>
        <v>42533</v>
      </c>
      <c r="F33" s="10">
        <f>IF(Emp[[#This Row],[Date]]="","",WEEKNUM(B33))</f>
        <v>25</v>
      </c>
      <c r="G33" s="77" t="s">
        <v>128</v>
      </c>
      <c r="H33" s="10" t="str">
        <f>IFERROR(VLOOKUP(Raw_data!$G33,Data_base!$B:$J,2,0),"")</f>
        <v>ID250061</v>
      </c>
      <c r="I33" s="10" t="str">
        <f>IFERROR(VLOOKUP(Raw_data!$G33,Data_base!$B:$J,3,0),"")</f>
        <v>Production</v>
      </c>
      <c r="J33" s="10" t="str">
        <f>IFERROR(VLOOKUP(Raw_data!$G33,Data_base!$B:$J,4,0),"")</f>
        <v>Workrer</v>
      </c>
      <c r="K33" s="13" t="str">
        <f>IFERROR(VLOOKUP(Raw_data!$G33,Data_base!$B:$J,5,0),"")</f>
        <v>F</v>
      </c>
      <c r="L33" s="13" t="str">
        <f>IFERROR(VLOOKUP(Raw_data!$G33,Data_base!$B:$J,6,0),"")</f>
        <v>Full time</v>
      </c>
      <c r="M33" s="14">
        <f>IFERROR(VLOOKUP(Raw_data!$G33,Data_base!$B:$J,7,0),"")</f>
        <v>42334</v>
      </c>
      <c r="N33" s="13">
        <f>IFERROR(VLOOKUP(Raw_data!$G33,Data_base!$B:$J,8,0),"")</f>
        <v>43</v>
      </c>
      <c r="O33" s="11">
        <f>IFERROR(VLOOKUP(Raw_data!$G33,Data_base!$B:$J,9,0),"")</f>
        <v>8695</v>
      </c>
      <c r="P33" s="78">
        <v>1</v>
      </c>
      <c r="Q33" s="78">
        <v>1</v>
      </c>
      <c r="R33" s="77">
        <v>18</v>
      </c>
      <c r="S33" s="12">
        <f>IFERROR(1-VLOOKUP(Emp[[#This Row],[Penality]],Data_base!V:W,2,FALSE),"")</f>
        <v>0.85</v>
      </c>
      <c r="T33" s="12">
        <f>IFERROR(R33/VLOOKUP(D33,Data_base!S:T,2,0),"")</f>
        <v>0.9</v>
      </c>
      <c r="U33" s="12">
        <f>IFERROR(1-Emp[[#This Row],[Activity]],"")</f>
        <v>9.9999999999999978E-2</v>
      </c>
      <c r="V33" s="79">
        <v>0.7437418294985696</v>
      </c>
      <c r="W33" s="12">
        <f t="shared" si="0"/>
        <v>0.83124727649952324</v>
      </c>
      <c r="X33" s="78"/>
      <c r="Y33" s="12" t="str">
        <f>IFERROR(IF(Emp[[#This Row],[Increament]]="","",(Emp[[#This Row],[Increament]]/Emp[[#This Row],[Salary]])),"")</f>
        <v/>
      </c>
      <c r="Z33" s="17"/>
    </row>
    <row r="34" spans="2:26" x14ac:dyDescent="0.2">
      <c r="B34" s="75">
        <v>43160</v>
      </c>
      <c r="C34" s="38">
        <f>Emp[[#This Row],[Date]]</f>
        <v>43160</v>
      </c>
      <c r="D34" s="10">
        <f>IF(Emp[[#This Row],[Date]]="","",MONTH(Emp[[#This Row],[Date]]))</f>
        <v>3</v>
      </c>
      <c r="E34" s="64">
        <f>Emp[[#This Row],[Date]]</f>
        <v>43160</v>
      </c>
      <c r="F34" s="10">
        <f>IF(Emp[[#This Row],[Date]]="","",WEEKNUM(B34))</f>
        <v>9</v>
      </c>
      <c r="G34" s="77" t="s">
        <v>280</v>
      </c>
      <c r="H34" s="10" t="str">
        <f>IFERROR(VLOOKUP(Raw_data!$G34,Data_base!$B:$J,2,0),"")</f>
        <v>ID250213</v>
      </c>
      <c r="I34" s="10" t="str">
        <f>IFERROR(VLOOKUP(Raw_data!$G34,Data_base!$B:$J,3,0),"")</f>
        <v>Sales</v>
      </c>
      <c r="J34" s="10" t="str">
        <f>IFERROR(VLOOKUP(Raw_data!$G34,Data_base!$B:$J,4,0),"")</f>
        <v>Manager</v>
      </c>
      <c r="K34" s="13" t="str">
        <f>IFERROR(VLOOKUP(Raw_data!$G34,Data_base!$B:$J,5,0),"")</f>
        <v>F</v>
      </c>
      <c r="L34" s="13" t="str">
        <f>IFERROR(VLOOKUP(Raw_data!$G34,Data_base!$B:$J,6,0),"")</f>
        <v>Full time</v>
      </c>
      <c r="M34" s="14">
        <f>IFERROR(VLOOKUP(Raw_data!$G34,Data_base!$B:$J,7,0),"")</f>
        <v>41669</v>
      </c>
      <c r="N34" s="13">
        <f>IFERROR(VLOOKUP(Raw_data!$G34,Data_base!$B:$J,8,0),"")</f>
        <v>38</v>
      </c>
      <c r="O34" s="11">
        <f>IFERROR(VLOOKUP(Raw_data!$G34,Data_base!$B:$J,9,0),"")</f>
        <v>5032</v>
      </c>
      <c r="P34" s="78">
        <v>2</v>
      </c>
      <c r="Q34" s="78">
        <v>1</v>
      </c>
      <c r="R34" s="77">
        <v>19</v>
      </c>
      <c r="S34" s="12">
        <f>IFERROR(1-VLOOKUP(Emp[[#This Row],[Penality]],Data_base!V:W,2,FALSE),"")</f>
        <v>0.7</v>
      </c>
      <c r="T34" s="12">
        <f>IFERROR(R34/VLOOKUP(D34,Data_base!S:T,2,0),"")</f>
        <v>0.82608695652173914</v>
      </c>
      <c r="U34" s="12">
        <f>IFERROR(1-Emp[[#This Row],[Activity]],"")</f>
        <v>0.17391304347826086</v>
      </c>
      <c r="V34" s="79">
        <v>0.17924260939764325</v>
      </c>
      <c r="W34" s="12">
        <f t="shared" si="0"/>
        <v>0.56844318863979415</v>
      </c>
      <c r="X34" s="78"/>
      <c r="Y34" s="12" t="str">
        <f>IFERROR(IF(Emp[[#This Row],[Increament]]="","",(Emp[[#This Row],[Increament]]/Emp[[#This Row],[Salary]])),"")</f>
        <v/>
      </c>
      <c r="Z34" s="17"/>
    </row>
    <row r="35" spans="2:26" x14ac:dyDescent="0.2">
      <c r="B35" s="75">
        <v>43304</v>
      </c>
      <c r="C35" s="38">
        <f>Emp[[#This Row],[Date]]</f>
        <v>43304</v>
      </c>
      <c r="D35" s="10">
        <f>IF(Emp[[#This Row],[Date]]="","",MONTH(Emp[[#This Row],[Date]]))</f>
        <v>7</v>
      </c>
      <c r="E35" s="64">
        <f>Emp[[#This Row],[Date]]</f>
        <v>43304</v>
      </c>
      <c r="F35" s="10">
        <f>IF(Emp[[#This Row],[Date]]="","",WEEKNUM(B35))</f>
        <v>30</v>
      </c>
      <c r="G35" s="77" t="s">
        <v>68</v>
      </c>
      <c r="H35" s="10" t="str">
        <f>IFERROR(VLOOKUP(Raw_data!$G35,Data_base!$B:$J,2,0),"")</f>
        <v>ID250001</v>
      </c>
      <c r="I35" s="10" t="str">
        <f>IFERROR(VLOOKUP(Raw_data!$G35,Data_base!$B:$J,3,0),"")</f>
        <v>Material</v>
      </c>
      <c r="J35" s="10" t="str">
        <f>IFERROR(VLOOKUP(Raw_data!$G35,Data_base!$B:$J,4,0),"")</f>
        <v>Junior</v>
      </c>
      <c r="K35" s="13" t="str">
        <f>IFERROR(VLOOKUP(Raw_data!$G35,Data_base!$B:$J,5,0),"")</f>
        <v>M</v>
      </c>
      <c r="L35" s="13" t="str">
        <f>IFERROR(VLOOKUP(Raw_data!$G35,Data_base!$B:$J,6,0),"")</f>
        <v>Part time</v>
      </c>
      <c r="M35" s="14">
        <f>IFERROR(VLOOKUP(Raw_data!$G35,Data_base!$B:$J,7,0),"")</f>
        <v>41076</v>
      </c>
      <c r="N35" s="13">
        <f>IFERROR(VLOOKUP(Raw_data!$G35,Data_base!$B:$J,8,0),"")</f>
        <v>31</v>
      </c>
      <c r="O35" s="11">
        <f>IFERROR(VLOOKUP(Raw_data!$G35,Data_base!$B:$J,9,0),"")</f>
        <v>4729</v>
      </c>
      <c r="P35" s="78">
        <v>1</v>
      </c>
      <c r="Q35" s="78">
        <v>2</v>
      </c>
      <c r="R35" s="77">
        <v>17</v>
      </c>
      <c r="S35" s="12">
        <f>IFERROR(1-VLOOKUP(Emp[[#This Row],[Penality]],Data_base!V:W,2,FALSE),"")</f>
        <v>0.85</v>
      </c>
      <c r="T35" s="12">
        <f>IFERROR(R35/VLOOKUP(D35,Data_base!S:T,2,0),"")</f>
        <v>0.77272727272727271</v>
      </c>
      <c r="U35" s="12">
        <f>IFERROR(1-Emp[[#This Row],[Activity]],"")</f>
        <v>0.22727272727272729</v>
      </c>
      <c r="V35" s="79">
        <v>0.58758510360750693</v>
      </c>
      <c r="W35" s="12">
        <f t="shared" si="0"/>
        <v>0.73677079211159324</v>
      </c>
      <c r="X35" s="78"/>
      <c r="Y35" s="12" t="str">
        <f>IFERROR(IF(Emp[[#This Row],[Increament]]="","",(Emp[[#This Row],[Increament]]/Emp[[#This Row],[Salary]])),"")</f>
        <v/>
      </c>
      <c r="Z35" s="17"/>
    </row>
    <row r="36" spans="2:26" x14ac:dyDescent="0.2">
      <c r="B36" s="75">
        <v>43051</v>
      </c>
      <c r="C36" s="38">
        <f>Emp[[#This Row],[Date]]</f>
        <v>43051</v>
      </c>
      <c r="D36" s="10">
        <f>IF(Emp[[#This Row],[Date]]="","",MONTH(Emp[[#This Row],[Date]]))</f>
        <v>11</v>
      </c>
      <c r="E36" s="64">
        <f>Emp[[#This Row],[Date]]</f>
        <v>43051</v>
      </c>
      <c r="F36" s="10">
        <f>IF(Emp[[#This Row],[Date]]="","",WEEKNUM(B36))</f>
        <v>46</v>
      </c>
      <c r="G36" s="77" t="s">
        <v>103</v>
      </c>
      <c r="H36" s="10" t="str">
        <f>IFERROR(VLOOKUP(Raw_data!$G36,Data_base!$B:$J,2,0),"")</f>
        <v>ID250036</v>
      </c>
      <c r="I36" s="10" t="str">
        <f>IFERROR(VLOOKUP(Raw_data!$G36,Data_base!$B:$J,3,0),"")</f>
        <v>Sales</v>
      </c>
      <c r="J36" s="10" t="str">
        <f>IFERROR(VLOOKUP(Raw_data!$G36,Data_base!$B:$J,4,0),"")</f>
        <v>Technician</v>
      </c>
      <c r="K36" s="13" t="str">
        <f>IFERROR(VLOOKUP(Raw_data!$G36,Data_base!$B:$J,5,0),"")</f>
        <v>M</v>
      </c>
      <c r="L36" s="13" t="str">
        <f>IFERROR(VLOOKUP(Raw_data!$G36,Data_base!$B:$J,6,0),"")</f>
        <v>Part time</v>
      </c>
      <c r="M36" s="14">
        <f>IFERROR(VLOOKUP(Raw_data!$G36,Data_base!$B:$J,7,0),"")</f>
        <v>43663</v>
      </c>
      <c r="N36" s="13">
        <f>IFERROR(VLOOKUP(Raw_data!$G36,Data_base!$B:$J,8,0),"")</f>
        <v>42</v>
      </c>
      <c r="O36" s="11">
        <f>IFERROR(VLOOKUP(Raw_data!$G36,Data_base!$B:$J,9,0),"")</f>
        <v>5416</v>
      </c>
      <c r="P36" s="78">
        <v>1</v>
      </c>
      <c r="Q36" s="78">
        <v>3</v>
      </c>
      <c r="R36" s="77">
        <v>18</v>
      </c>
      <c r="S36" s="12">
        <f>IFERROR(1-VLOOKUP(Emp[[#This Row],[Penality]],Data_base!V:W,2,FALSE),"")</f>
        <v>0.85</v>
      </c>
      <c r="T36" s="12">
        <f>IFERROR(R36/VLOOKUP(D36,Data_base!S:T,2,0),"")</f>
        <v>0.78260869565217395</v>
      </c>
      <c r="U36" s="12">
        <f>IFERROR(1-Emp[[#This Row],[Activity]],"")</f>
        <v>0.21739130434782605</v>
      </c>
      <c r="V36" s="79">
        <v>0.74328876604835259</v>
      </c>
      <c r="W36" s="12">
        <f t="shared" si="0"/>
        <v>0.79196582056684217</v>
      </c>
      <c r="X36" s="78"/>
      <c r="Y36" s="12" t="str">
        <f>IFERROR(IF(Emp[[#This Row],[Increament]]="","",(Emp[[#This Row],[Increament]]/Emp[[#This Row],[Salary]])),"")</f>
        <v/>
      </c>
      <c r="Z36" s="17"/>
    </row>
    <row r="37" spans="2:26" x14ac:dyDescent="0.2">
      <c r="B37" s="75">
        <v>42934</v>
      </c>
      <c r="C37" s="38">
        <f>Emp[[#This Row],[Date]]</f>
        <v>42934</v>
      </c>
      <c r="D37" s="10">
        <f>IF(Emp[[#This Row],[Date]]="","",MONTH(Emp[[#This Row],[Date]]))</f>
        <v>7</v>
      </c>
      <c r="E37" s="64">
        <f>Emp[[#This Row],[Date]]</f>
        <v>42934</v>
      </c>
      <c r="F37" s="10">
        <f>IF(Emp[[#This Row],[Date]]="","",WEEKNUM(B37))</f>
        <v>29</v>
      </c>
      <c r="G37" s="77" t="s">
        <v>152</v>
      </c>
      <c r="H37" s="10" t="str">
        <f>IFERROR(VLOOKUP(Raw_data!$G37,Data_base!$B:$J,2,0),"")</f>
        <v>ID250085</v>
      </c>
      <c r="I37" s="10" t="str">
        <f>IFERROR(VLOOKUP(Raw_data!$G37,Data_base!$B:$J,3,0),"")</f>
        <v>Finance</v>
      </c>
      <c r="J37" s="10" t="str">
        <f>IFERROR(VLOOKUP(Raw_data!$G37,Data_base!$B:$J,4,0),"")</f>
        <v>Junior</v>
      </c>
      <c r="K37" s="13" t="str">
        <f>IFERROR(VLOOKUP(Raw_data!$G37,Data_base!$B:$J,5,0),"")</f>
        <v>F</v>
      </c>
      <c r="L37" s="13" t="str">
        <f>IFERROR(VLOOKUP(Raw_data!$G37,Data_base!$B:$J,6,0),"")</f>
        <v>Full time</v>
      </c>
      <c r="M37" s="14">
        <f>IFERROR(VLOOKUP(Raw_data!$G37,Data_base!$B:$J,7,0),"")</f>
        <v>43432</v>
      </c>
      <c r="N37" s="13">
        <f>IFERROR(VLOOKUP(Raw_data!$G37,Data_base!$B:$J,8,0),"")</f>
        <v>30</v>
      </c>
      <c r="O37" s="11">
        <f>IFERROR(VLOOKUP(Raw_data!$G37,Data_base!$B:$J,9,0),"")</f>
        <v>5218</v>
      </c>
      <c r="P37" s="78">
        <v>3</v>
      </c>
      <c r="Q37" s="78">
        <v>5</v>
      </c>
      <c r="R37" s="77">
        <v>18</v>
      </c>
      <c r="S37" s="12">
        <f>IFERROR(1-VLOOKUP(Emp[[#This Row],[Penality]],Data_base!V:W,2,FALSE),"")</f>
        <v>0.55000000000000004</v>
      </c>
      <c r="T37" s="12">
        <f>IFERROR(R37/VLOOKUP(D37,Data_base!S:T,2,0),"")</f>
        <v>0.81818181818181823</v>
      </c>
      <c r="U37" s="12">
        <f>IFERROR(1-Emp[[#This Row],[Activity]],"")</f>
        <v>0.18181818181818177</v>
      </c>
      <c r="V37" s="79">
        <v>0.13472873919518935</v>
      </c>
      <c r="W37" s="12">
        <f t="shared" si="0"/>
        <v>0.50097018579233588</v>
      </c>
      <c r="X37" s="78"/>
      <c r="Y37" s="12" t="str">
        <f>IFERROR(IF(Emp[[#This Row],[Increament]]="","",(Emp[[#This Row],[Increament]]/Emp[[#This Row],[Salary]])),"")</f>
        <v/>
      </c>
      <c r="Z37" s="17"/>
    </row>
    <row r="38" spans="2:26" x14ac:dyDescent="0.2">
      <c r="B38" s="75">
        <v>42795</v>
      </c>
      <c r="C38" s="38">
        <f>Emp[[#This Row],[Date]]</f>
        <v>42795</v>
      </c>
      <c r="D38" s="10">
        <f>IF(Emp[[#This Row],[Date]]="","",MONTH(Emp[[#This Row],[Date]]))</f>
        <v>3</v>
      </c>
      <c r="E38" s="64">
        <f>Emp[[#This Row],[Date]]</f>
        <v>42795</v>
      </c>
      <c r="F38" s="10">
        <f>IF(Emp[[#This Row],[Date]]="","",WEEKNUM(B38))</f>
        <v>9</v>
      </c>
      <c r="G38" s="77" t="s">
        <v>259</v>
      </c>
      <c r="H38" s="10" t="str">
        <f>IFERROR(VLOOKUP(Raw_data!$G38,Data_base!$B:$J,2,0),"")</f>
        <v>ID250192</v>
      </c>
      <c r="I38" s="10" t="str">
        <f>IFERROR(VLOOKUP(Raw_data!$G38,Data_base!$B:$J,3,0),"")</f>
        <v>HR</v>
      </c>
      <c r="J38" s="10" t="str">
        <f>IFERROR(VLOOKUP(Raw_data!$G38,Data_base!$B:$J,4,0),"")</f>
        <v>Technician</v>
      </c>
      <c r="K38" s="13" t="str">
        <f>IFERROR(VLOOKUP(Raw_data!$G38,Data_base!$B:$J,5,0),"")</f>
        <v>M</v>
      </c>
      <c r="L38" s="13" t="str">
        <f>IFERROR(VLOOKUP(Raw_data!$G38,Data_base!$B:$J,6,0),"")</f>
        <v>Part time</v>
      </c>
      <c r="M38" s="14">
        <f>IFERROR(VLOOKUP(Raw_data!$G38,Data_base!$B:$J,7,0),"")</f>
        <v>42418</v>
      </c>
      <c r="N38" s="13">
        <f>IFERROR(VLOOKUP(Raw_data!$G38,Data_base!$B:$J,8,0),"")</f>
        <v>42</v>
      </c>
      <c r="O38" s="11">
        <f>IFERROR(VLOOKUP(Raw_data!$G38,Data_base!$B:$J,9,0),"")</f>
        <v>9035</v>
      </c>
      <c r="P38" s="78">
        <v>2</v>
      </c>
      <c r="Q38" s="78">
        <v>4</v>
      </c>
      <c r="R38" s="77">
        <v>18</v>
      </c>
      <c r="S38" s="12">
        <f>IFERROR(1-VLOOKUP(Emp[[#This Row],[Penality]],Data_base!V:W,2,FALSE),"")</f>
        <v>0.7</v>
      </c>
      <c r="T38" s="12">
        <f>IFERROR(R38/VLOOKUP(D38,Data_base!S:T,2,0),"")</f>
        <v>0.78260869565217395</v>
      </c>
      <c r="U38" s="12">
        <f>IFERROR(1-Emp[[#This Row],[Activity]],"")</f>
        <v>0.21739130434782605</v>
      </c>
      <c r="V38" s="79">
        <v>0.38508152292389386</v>
      </c>
      <c r="W38" s="12">
        <f t="shared" si="0"/>
        <v>0.62256340619202255</v>
      </c>
      <c r="X38" s="78"/>
      <c r="Y38" s="12" t="str">
        <f>IFERROR(IF(Emp[[#This Row],[Increament]]="","",(Emp[[#This Row],[Increament]]/Emp[[#This Row],[Salary]])),"")</f>
        <v/>
      </c>
      <c r="Z38" s="17"/>
    </row>
    <row r="39" spans="2:26" x14ac:dyDescent="0.2">
      <c r="B39" s="75">
        <v>43474</v>
      </c>
      <c r="C39" s="38">
        <f>Emp[[#This Row],[Date]]</f>
        <v>43474</v>
      </c>
      <c r="D39" s="10">
        <f>IF(Emp[[#This Row],[Date]]="","",MONTH(Emp[[#This Row],[Date]]))</f>
        <v>1</v>
      </c>
      <c r="E39" s="64">
        <f>Emp[[#This Row],[Date]]</f>
        <v>43474</v>
      </c>
      <c r="F39" s="10">
        <f>IF(Emp[[#This Row],[Date]]="","",WEEKNUM(B39))</f>
        <v>2</v>
      </c>
      <c r="G39" s="77" t="s">
        <v>89</v>
      </c>
      <c r="H39" s="10" t="str">
        <f>IFERROR(VLOOKUP(Raw_data!$G39,Data_base!$B:$J,2,0),"")</f>
        <v>ID250022</v>
      </c>
      <c r="I39" s="10" t="str">
        <f>IFERROR(VLOOKUP(Raw_data!$G39,Data_base!$B:$J,3,0),"")</f>
        <v>Planning</v>
      </c>
      <c r="J39" s="10" t="str">
        <f>IFERROR(VLOOKUP(Raw_data!$G39,Data_base!$B:$J,4,0),"")</f>
        <v>Technician</v>
      </c>
      <c r="K39" s="13" t="str">
        <f>IFERROR(VLOOKUP(Raw_data!$G39,Data_base!$B:$J,5,0),"")</f>
        <v>F</v>
      </c>
      <c r="L39" s="13" t="str">
        <f>IFERROR(VLOOKUP(Raw_data!$G39,Data_base!$B:$J,6,0),"")</f>
        <v>Full time</v>
      </c>
      <c r="M39" s="14">
        <f>IFERROR(VLOOKUP(Raw_data!$G39,Data_base!$B:$J,7,0),"")</f>
        <v>40290</v>
      </c>
      <c r="N39" s="13">
        <f>IFERROR(VLOOKUP(Raw_data!$G39,Data_base!$B:$J,8,0),"")</f>
        <v>42</v>
      </c>
      <c r="O39" s="11">
        <f>IFERROR(VLOOKUP(Raw_data!$G39,Data_base!$B:$J,9,0),"")</f>
        <v>5167</v>
      </c>
      <c r="P39" s="78">
        <v>2</v>
      </c>
      <c r="Q39" s="78">
        <v>1</v>
      </c>
      <c r="R39" s="77">
        <v>20</v>
      </c>
      <c r="S39" s="12">
        <f>IFERROR(1-VLOOKUP(Emp[[#This Row],[Penality]],Data_base!V:W,2,FALSE),"")</f>
        <v>0.7</v>
      </c>
      <c r="T39" s="12">
        <f>IFERROR(R39/VLOOKUP(D39,Data_base!S:T,2,0),"")</f>
        <v>0.95238095238095233</v>
      </c>
      <c r="U39" s="12">
        <f>IFERROR(1-Emp[[#This Row],[Activity]],"")</f>
        <v>4.7619047619047672E-2</v>
      </c>
      <c r="V39" s="79">
        <v>0.25181190578131696</v>
      </c>
      <c r="W39" s="12">
        <f t="shared" si="0"/>
        <v>0.63473095272075641</v>
      </c>
      <c r="X39" s="78"/>
      <c r="Y39" s="12" t="str">
        <f>IFERROR(IF(Emp[[#This Row],[Increament]]="","",(Emp[[#This Row],[Increament]]/Emp[[#This Row],[Salary]])),"")</f>
        <v/>
      </c>
      <c r="Z39" s="17"/>
    </row>
    <row r="40" spans="2:26" x14ac:dyDescent="0.2">
      <c r="B40" s="75">
        <v>42500</v>
      </c>
      <c r="C40" s="38">
        <f>Emp[[#This Row],[Date]]</f>
        <v>42500</v>
      </c>
      <c r="D40" s="10">
        <f>IF(Emp[[#This Row],[Date]]="","",MONTH(Emp[[#This Row],[Date]]))</f>
        <v>5</v>
      </c>
      <c r="E40" s="64">
        <f>Emp[[#This Row],[Date]]</f>
        <v>42500</v>
      </c>
      <c r="F40" s="10">
        <f>IF(Emp[[#This Row],[Date]]="","",WEEKNUM(B40))</f>
        <v>20</v>
      </c>
      <c r="G40" s="77" t="s">
        <v>80</v>
      </c>
      <c r="H40" s="10" t="str">
        <f>IFERROR(VLOOKUP(Raw_data!$G40,Data_base!$B:$J,2,0),"")</f>
        <v>ID250013</v>
      </c>
      <c r="I40" s="10" t="str">
        <f>IFERROR(VLOOKUP(Raw_data!$G40,Data_base!$B:$J,3,0),"")</f>
        <v>Finance</v>
      </c>
      <c r="J40" s="10" t="str">
        <f>IFERROR(VLOOKUP(Raw_data!$G40,Data_base!$B:$J,4,0),"")</f>
        <v>Workrer</v>
      </c>
      <c r="K40" s="13" t="str">
        <f>IFERROR(VLOOKUP(Raw_data!$G40,Data_base!$B:$J,5,0),"")</f>
        <v>M</v>
      </c>
      <c r="L40" s="13" t="str">
        <f>IFERROR(VLOOKUP(Raw_data!$G40,Data_base!$B:$J,6,0),"")</f>
        <v>Part time</v>
      </c>
      <c r="M40" s="14">
        <f>IFERROR(VLOOKUP(Raw_data!$G40,Data_base!$B:$J,7,0),"")</f>
        <v>41526</v>
      </c>
      <c r="N40" s="13">
        <f>IFERROR(VLOOKUP(Raw_data!$G40,Data_base!$B:$J,8,0),"")</f>
        <v>41</v>
      </c>
      <c r="O40" s="11">
        <f>IFERROR(VLOOKUP(Raw_data!$G40,Data_base!$B:$J,9,0),"")</f>
        <v>7185</v>
      </c>
      <c r="P40" s="78">
        <v>3</v>
      </c>
      <c r="Q40" s="78">
        <v>1</v>
      </c>
      <c r="R40" s="77">
        <v>18</v>
      </c>
      <c r="S40" s="12">
        <f>IFERROR(1-VLOOKUP(Emp[[#This Row],[Penality]],Data_base!V:W,2,FALSE),"")</f>
        <v>0.55000000000000004</v>
      </c>
      <c r="T40" s="12">
        <f>IFERROR(R40/VLOOKUP(D40,Data_base!S:T,2,0),"")</f>
        <v>0.78260869565217395</v>
      </c>
      <c r="U40" s="12">
        <f>IFERROR(1-Emp[[#This Row],[Activity]],"")</f>
        <v>0.21739130434782605</v>
      </c>
      <c r="V40" s="79">
        <v>0.3406378393531313</v>
      </c>
      <c r="W40" s="12">
        <f t="shared" si="0"/>
        <v>0.55774884500176847</v>
      </c>
      <c r="X40" s="78"/>
      <c r="Y40" s="12" t="str">
        <f>IFERROR(IF(Emp[[#This Row],[Increament]]="","",(Emp[[#This Row],[Increament]]/Emp[[#This Row],[Salary]])),"")</f>
        <v/>
      </c>
      <c r="Z40" s="17"/>
    </row>
    <row r="41" spans="2:26" x14ac:dyDescent="0.2">
      <c r="B41" s="75">
        <v>43401</v>
      </c>
      <c r="C41" s="38">
        <f>Emp[[#This Row],[Date]]</f>
        <v>43401</v>
      </c>
      <c r="D41" s="10">
        <f>IF(Emp[[#This Row],[Date]]="","",MONTH(Emp[[#This Row],[Date]]))</f>
        <v>10</v>
      </c>
      <c r="E41" s="64">
        <f>Emp[[#This Row],[Date]]</f>
        <v>43401</v>
      </c>
      <c r="F41" s="10">
        <f>IF(Emp[[#This Row],[Date]]="","",WEEKNUM(B41))</f>
        <v>44</v>
      </c>
      <c r="G41" s="77" t="s">
        <v>148</v>
      </c>
      <c r="H41" s="10" t="str">
        <f>IFERROR(VLOOKUP(Raw_data!$G41,Data_base!$B:$J,2,0),"")</f>
        <v>ID250081</v>
      </c>
      <c r="I41" s="10" t="str">
        <f>IFERROR(VLOOKUP(Raw_data!$G41,Data_base!$B:$J,3,0),"")</f>
        <v>Sales</v>
      </c>
      <c r="J41" s="10" t="str">
        <f>IFERROR(VLOOKUP(Raw_data!$G41,Data_base!$B:$J,4,0),"")</f>
        <v>Workrer</v>
      </c>
      <c r="K41" s="13" t="str">
        <f>IFERROR(VLOOKUP(Raw_data!$G41,Data_base!$B:$J,5,0),"")</f>
        <v>F</v>
      </c>
      <c r="L41" s="13" t="str">
        <f>IFERROR(VLOOKUP(Raw_data!$G41,Data_base!$B:$J,6,0),"")</f>
        <v>Part time</v>
      </c>
      <c r="M41" s="14">
        <f>IFERROR(VLOOKUP(Raw_data!$G41,Data_base!$B:$J,7,0),"")</f>
        <v>41763</v>
      </c>
      <c r="N41" s="13">
        <f>IFERROR(VLOOKUP(Raw_data!$G41,Data_base!$B:$J,8,0),"")</f>
        <v>35</v>
      </c>
      <c r="O41" s="11">
        <f>IFERROR(VLOOKUP(Raw_data!$G41,Data_base!$B:$J,9,0),"")</f>
        <v>6714</v>
      </c>
      <c r="P41" s="78">
        <v>2</v>
      </c>
      <c r="Q41" s="78">
        <v>3</v>
      </c>
      <c r="R41" s="77">
        <v>17</v>
      </c>
      <c r="S41" s="12">
        <f>IFERROR(1-VLOOKUP(Emp[[#This Row],[Penality]],Data_base!V:W,2,FALSE),"")</f>
        <v>0.7</v>
      </c>
      <c r="T41" s="12">
        <f>IFERROR(R41/VLOOKUP(D41,Data_base!S:T,2,0),"")</f>
        <v>0.77272727272727271</v>
      </c>
      <c r="U41" s="12">
        <f>IFERROR(1-Emp[[#This Row],[Activity]],"")</f>
        <v>0.22727272727272729</v>
      </c>
      <c r="V41" s="79">
        <v>0.94728435105597109</v>
      </c>
      <c r="W41" s="12">
        <f t="shared" si="0"/>
        <v>0.80667054126108118</v>
      </c>
      <c r="X41" s="78"/>
      <c r="Y41" s="12" t="str">
        <f>IFERROR(IF(Emp[[#This Row],[Increament]]="","",(Emp[[#This Row],[Increament]]/Emp[[#This Row],[Salary]])),"")</f>
        <v/>
      </c>
      <c r="Z41" s="17"/>
    </row>
    <row r="42" spans="2:26" x14ac:dyDescent="0.2">
      <c r="B42" s="75">
        <v>42440</v>
      </c>
      <c r="C42" s="38">
        <f>Emp[[#This Row],[Date]]</f>
        <v>42440</v>
      </c>
      <c r="D42" s="10">
        <f>IF(Emp[[#This Row],[Date]]="","",MONTH(Emp[[#This Row],[Date]]))</f>
        <v>3</v>
      </c>
      <c r="E42" s="64">
        <f>Emp[[#This Row],[Date]]</f>
        <v>42440</v>
      </c>
      <c r="F42" s="10">
        <f>IF(Emp[[#This Row],[Date]]="","",WEEKNUM(B42))</f>
        <v>11</v>
      </c>
      <c r="G42" s="77" t="s">
        <v>142</v>
      </c>
      <c r="H42" s="10" t="str">
        <f>IFERROR(VLOOKUP(Raw_data!$G42,Data_base!$B:$J,2,0),"")</f>
        <v>ID250075</v>
      </c>
      <c r="I42" s="10" t="str">
        <f>IFERROR(VLOOKUP(Raw_data!$G42,Data_base!$B:$J,3,0),"")</f>
        <v>Sales</v>
      </c>
      <c r="J42" s="10" t="str">
        <f>IFERROR(VLOOKUP(Raw_data!$G42,Data_base!$B:$J,4,0),"")</f>
        <v>Senior</v>
      </c>
      <c r="K42" s="13" t="str">
        <f>IFERROR(VLOOKUP(Raw_data!$G42,Data_base!$B:$J,5,0),"")</f>
        <v>F</v>
      </c>
      <c r="L42" s="13" t="str">
        <f>IFERROR(VLOOKUP(Raw_data!$G42,Data_base!$B:$J,6,0),"")</f>
        <v>Full time</v>
      </c>
      <c r="M42" s="14">
        <f>IFERROR(VLOOKUP(Raw_data!$G42,Data_base!$B:$J,7,0),"")</f>
        <v>40349</v>
      </c>
      <c r="N42" s="13">
        <f>IFERROR(VLOOKUP(Raw_data!$G42,Data_base!$B:$J,8,0),"")</f>
        <v>34</v>
      </c>
      <c r="O42" s="11">
        <f>IFERROR(VLOOKUP(Raw_data!$G42,Data_base!$B:$J,9,0),"")</f>
        <v>6780</v>
      </c>
      <c r="P42" s="78">
        <v>1</v>
      </c>
      <c r="Q42" s="78">
        <v>2</v>
      </c>
      <c r="R42" s="77">
        <v>18</v>
      </c>
      <c r="S42" s="12">
        <f>IFERROR(1-VLOOKUP(Emp[[#This Row],[Penality]],Data_base!V:W,2,FALSE),"")</f>
        <v>0.85</v>
      </c>
      <c r="T42" s="12">
        <f>IFERROR(R42/VLOOKUP(D42,Data_base!S:T,2,0),"")</f>
        <v>0.78260869565217395</v>
      </c>
      <c r="U42" s="12">
        <f>IFERROR(1-Emp[[#This Row],[Activity]],"")</f>
        <v>0.21739130434782605</v>
      </c>
      <c r="V42" s="79">
        <v>0.35955326475371785</v>
      </c>
      <c r="W42" s="12">
        <f t="shared" si="0"/>
        <v>0.66405398680196404</v>
      </c>
      <c r="X42" s="78"/>
      <c r="Y42" s="12" t="str">
        <f>IFERROR(IF(Emp[[#This Row],[Increament]]="","",(Emp[[#This Row],[Increament]]/Emp[[#This Row],[Salary]])),"")</f>
        <v/>
      </c>
      <c r="Z42" s="17"/>
    </row>
    <row r="43" spans="2:26" x14ac:dyDescent="0.2">
      <c r="B43" s="75">
        <v>42664</v>
      </c>
      <c r="C43" s="38">
        <f>Emp[[#This Row],[Date]]</f>
        <v>42664</v>
      </c>
      <c r="D43" s="10">
        <f>IF(Emp[[#This Row],[Date]]="","",MONTH(Emp[[#This Row],[Date]]))</f>
        <v>10</v>
      </c>
      <c r="E43" s="64">
        <f>Emp[[#This Row],[Date]]</f>
        <v>42664</v>
      </c>
      <c r="F43" s="10">
        <f>IF(Emp[[#This Row],[Date]]="","",WEEKNUM(B43))</f>
        <v>43</v>
      </c>
      <c r="G43" s="77" t="s">
        <v>124</v>
      </c>
      <c r="H43" s="10" t="str">
        <f>IFERROR(VLOOKUP(Raw_data!$G43,Data_base!$B:$J,2,0),"")</f>
        <v>ID250057</v>
      </c>
      <c r="I43" s="10" t="str">
        <f>IFERROR(VLOOKUP(Raw_data!$G43,Data_base!$B:$J,3,0),"")</f>
        <v>Procurement</v>
      </c>
      <c r="J43" s="10" t="str">
        <f>IFERROR(VLOOKUP(Raw_data!$G43,Data_base!$B:$J,4,0),"")</f>
        <v>Staff</v>
      </c>
      <c r="K43" s="13" t="str">
        <f>IFERROR(VLOOKUP(Raw_data!$G43,Data_base!$B:$J,5,0),"")</f>
        <v>M</v>
      </c>
      <c r="L43" s="13" t="str">
        <f>IFERROR(VLOOKUP(Raw_data!$G43,Data_base!$B:$J,6,0),"")</f>
        <v>Full time</v>
      </c>
      <c r="M43" s="14">
        <f>IFERROR(VLOOKUP(Raw_data!$G43,Data_base!$B:$J,7,0),"")</f>
        <v>41229</v>
      </c>
      <c r="N43" s="13">
        <f>IFERROR(VLOOKUP(Raw_data!$G43,Data_base!$B:$J,8,0),"")</f>
        <v>32</v>
      </c>
      <c r="O43" s="11">
        <f>IFERROR(VLOOKUP(Raw_data!$G43,Data_base!$B:$J,9,0),"")</f>
        <v>9587</v>
      </c>
      <c r="P43" s="78">
        <v>1</v>
      </c>
      <c r="Q43" s="78">
        <v>5</v>
      </c>
      <c r="R43" s="77">
        <v>18</v>
      </c>
      <c r="S43" s="12">
        <f>IFERROR(1-VLOOKUP(Emp[[#This Row],[Penality]],Data_base!V:W,2,FALSE),"")</f>
        <v>0.85</v>
      </c>
      <c r="T43" s="12">
        <f>IFERROR(R43/VLOOKUP(D43,Data_base!S:T,2,0),"")</f>
        <v>0.81818181818181823</v>
      </c>
      <c r="U43" s="12">
        <f>IFERROR(1-Emp[[#This Row],[Activity]],"")</f>
        <v>0.18181818181818177</v>
      </c>
      <c r="V43" s="79">
        <v>0.40343724519225777</v>
      </c>
      <c r="W43" s="12">
        <f t="shared" si="0"/>
        <v>0.69053968779135866</v>
      </c>
      <c r="X43" s="78"/>
      <c r="Y43" s="12" t="str">
        <f>IFERROR(IF(Emp[[#This Row],[Increament]]="","",(Emp[[#This Row],[Increament]]/Emp[[#This Row],[Salary]])),"")</f>
        <v/>
      </c>
      <c r="Z43" s="17"/>
    </row>
    <row r="44" spans="2:26" x14ac:dyDescent="0.2">
      <c r="B44" s="75">
        <v>43691</v>
      </c>
      <c r="C44" s="38">
        <f>Emp[[#This Row],[Date]]</f>
        <v>43691</v>
      </c>
      <c r="D44" s="10">
        <f>IF(Emp[[#This Row],[Date]]="","",MONTH(Emp[[#This Row],[Date]]))</f>
        <v>8</v>
      </c>
      <c r="E44" s="64">
        <f>Emp[[#This Row],[Date]]</f>
        <v>43691</v>
      </c>
      <c r="F44" s="10">
        <f>IF(Emp[[#This Row],[Date]]="","",WEEKNUM(B44))</f>
        <v>33</v>
      </c>
      <c r="G44" s="77" t="s">
        <v>205</v>
      </c>
      <c r="H44" s="10" t="str">
        <f>IFERROR(VLOOKUP(Raw_data!$G44,Data_base!$B:$J,2,0),"")</f>
        <v>ID250138</v>
      </c>
      <c r="I44" s="10" t="str">
        <f>IFERROR(VLOOKUP(Raw_data!$G44,Data_base!$B:$J,3,0),"")</f>
        <v>Production</v>
      </c>
      <c r="J44" s="10" t="str">
        <f>IFERROR(VLOOKUP(Raw_data!$G44,Data_base!$B:$J,4,0),"")</f>
        <v>Technician</v>
      </c>
      <c r="K44" s="13" t="str">
        <f>IFERROR(VLOOKUP(Raw_data!$G44,Data_base!$B:$J,5,0),"")</f>
        <v>M</v>
      </c>
      <c r="L44" s="13" t="str">
        <f>IFERROR(VLOOKUP(Raw_data!$G44,Data_base!$B:$J,6,0),"")</f>
        <v>Full time</v>
      </c>
      <c r="M44" s="14">
        <f>IFERROR(VLOOKUP(Raw_data!$G44,Data_base!$B:$J,7,0),"")</f>
        <v>42689</v>
      </c>
      <c r="N44" s="13">
        <f>IFERROR(VLOOKUP(Raw_data!$G44,Data_base!$B:$J,8,0),"")</f>
        <v>40</v>
      </c>
      <c r="O44" s="11">
        <f>IFERROR(VLOOKUP(Raw_data!$G44,Data_base!$B:$J,9,0),"")</f>
        <v>9706</v>
      </c>
      <c r="P44" s="78">
        <v>1</v>
      </c>
      <c r="Q44" s="78">
        <v>5</v>
      </c>
      <c r="R44" s="77">
        <v>19</v>
      </c>
      <c r="S44" s="12">
        <f>IFERROR(1-VLOOKUP(Emp[[#This Row],[Penality]],Data_base!V:W,2,FALSE),"")</f>
        <v>0.85</v>
      </c>
      <c r="T44" s="12">
        <f>IFERROR(R44/VLOOKUP(D44,Data_base!S:T,2,0),"")</f>
        <v>0.95</v>
      </c>
      <c r="U44" s="12">
        <f>IFERROR(1-Emp[[#This Row],[Activity]],"")</f>
        <v>5.0000000000000044E-2</v>
      </c>
      <c r="V44" s="79">
        <v>0.93141233491829556</v>
      </c>
      <c r="W44" s="12">
        <f t="shared" si="0"/>
        <v>0.91047077830609846</v>
      </c>
      <c r="X44" s="78">
        <v>1000</v>
      </c>
      <c r="Y44" s="12">
        <f>IFERROR(IF(Emp[[#This Row],[Increament]]="","",(Emp[[#This Row],[Increament]]/Emp[[#This Row],[Salary]])),"")</f>
        <v>0.10302905419328251</v>
      </c>
      <c r="Z44" s="17"/>
    </row>
    <row r="45" spans="2:26" x14ac:dyDescent="0.2">
      <c r="B45" s="75">
        <v>43293</v>
      </c>
      <c r="C45" s="38">
        <f>Emp[[#This Row],[Date]]</f>
        <v>43293</v>
      </c>
      <c r="D45" s="10">
        <f>IF(Emp[[#This Row],[Date]]="","",MONTH(Emp[[#This Row],[Date]]))</f>
        <v>7</v>
      </c>
      <c r="E45" s="64">
        <f>Emp[[#This Row],[Date]]</f>
        <v>43293</v>
      </c>
      <c r="F45" s="10">
        <f>IF(Emp[[#This Row],[Date]]="","",WEEKNUM(B45))</f>
        <v>28</v>
      </c>
      <c r="G45" s="77" t="s">
        <v>324</v>
      </c>
      <c r="H45" s="10" t="str">
        <f>IFERROR(VLOOKUP(Raw_data!$G45,Data_base!$B:$J,2,0),"")</f>
        <v>ID250257</v>
      </c>
      <c r="I45" s="10" t="str">
        <f>IFERROR(VLOOKUP(Raw_data!$G45,Data_base!$B:$J,3,0),"")</f>
        <v>Production</v>
      </c>
      <c r="J45" s="10" t="str">
        <f>IFERROR(VLOOKUP(Raw_data!$G45,Data_base!$B:$J,4,0),"")</f>
        <v>Technician</v>
      </c>
      <c r="K45" s="13" t="str">
        <f>IFERROR(VLOOKUP(Raw_data!$G45,Data_base!$B:$J,5,0),"")</f>
        <v>F</v>
      </c>
      <c r="L45" s="13" t="str">
        <f>IFERROR(VLOOKUP(Raw_data!$G45,Data_base!$B:$J,6,0),"")</f>
        <v>Part time</v>
      </c>
      <c r="M45" s="14">
        <f>IFERROR(VLOOKUP(Raw_data!$G45,Data_base!$B:$J,7,0),"")</f>
        <v>42569</v>
      </c>
      <c r="N45" s="13">
        <f>IFERROR(VLOOKUP(Raw_data!$G45,Data_base!$B:$J,8,0),"")</f>
        <v>33</v>
      </c>
      <c r="O45" s="11">
        <f>IFERROR(VLOOKUP(Raw_data!$G45,Data_base!$B:$J,9,0),"")</f>
        <v>9232</v>
      </c>
      <c r="P45" s="78">
        <v>1</v>
      </c>
      <c r="Q45" s="78">
        <v>4</v>
      </c>
      <c r="R45" s="77">
        <v>17</v>
      </c>
      <c r="S45" s="12">
        <f>IFERROR(1-VLOOKUP(Emp[[#This Row],[Penality]],Data_base!V:W,2,FALSE),"")</f>
        <v>0.85</v>
      </c>
      <c r="T45" s="12">
        <f>IFERROR(R45/VLOOKUP(D45,Data_base!S:T,2,0),"")</f>
        <v>0.77272727272727271</v>
      </c>
      <c r="U45" s="12">
        <f>IFERROR(1-Emp[[#This Row],[Activity]],"")</f>
        <v>0.22727272727272729</v>
      </c>
      <c r="V45" s="79">
        <v>6.2228228961265786E-2</v>
      </c>
      <c r="W45" s="12">
        <f t="shared" si="0"/>
        <v>0.56165183389617945</v>
      </c>
      <c r="X45" s="78"/>
      <c r="Y45" s="12" t="str">
        <f>IFERROR(IF(Emp[[#This Row],[Increament]]="","",(Emp[[#This Row],[Increament]]/Emp[[#This Row],[Salary]])),"")</f>
        <v/>
      </c>
      <c r="Z45" s="17"/>
    </row>
    <row r="46" spans="2:26" x14ac:dyDescent="0.2">
      <c r="B46" s="75">
        <v>43175</v>
      </c>
      <c r="C46" s="38">
        <f>Emp[[#This Row],[Date]]</f>
        <v>43175</v>
      </c>
      <c r="D46" s="10">
        <f>IF(Emp[[#This Row],[Date]]="","",MONTH(Emp[[#This Row],[Date]]))</f>
        <v>3</v>
      </c>
      <c r="E46" s="64">
        <f>Emp[[#This Row],[Date]]</f>
        <v>43175</v>
      </c>
      <c r="F46" s="10">
        <f>IF(Emp[[#This Row],[Date]]="","",WEEKNUM(B46))</f>
        <v>11</v>
      </c>
      <c r="G46" s="77" t="s">
        <v>276</v>
      </c>
      <c r="H46" s="10" t="str">
        <f>IFERROR(VLOOKUP(Raw_data!$G46,Data_base!$B:$J,2,0),"")</f>
        <v>ID250209</v>
      </c>
      <c r="I46" s="10" t="str">
        <f>IFERROR(VLOOKUP(Raw_data!$G46,Data_base!$B:$J,3,0),"")</f>
        <v>Planning</v>
      </c>
      <c r="J46" s="10" t="str">
        <f>IFERROR(VLOOKUP(Raw_data!$G46,Data_base!$B:$J,4,0),"")</f>
        <v>Junior</v>
      </c>
      <c r="K46" s="13" t="str">
        <f>IFERROR(VLOOKUP(Raw_data!$G46,Data_base!$B:$J,5,0),"")</f>
        <v>F</v>
      </c>
      <c r="L46" s="13" t="str">
        <f>IFERROR(VLOOKUP(Raw_data!$G46,Data_base!$B:$J,6,0),"")</f>
        <v>Full time</v>
      </c>
      <c r="M46" s="14">
        <f>IFERROR(VLOOKUP(Raw_data!$G46,Data_base!$B:$J,7,0),"")</f>
        <v>42177</v>
      </c>
      <c r="N46" s="13">
        <f>IFERROR(VLOOKUP(Raw_data!$G46,Data_base!$B:$J,8,0),"")</f>
        <v>44</v>
      </c>
      <c r="O46" s="11">
        <f>IFERROR(VLOOKUP(Raw_data!$G46,Data_base!$B:$J,9,0),"")</f>
        <v>8565</v>
      </c>
      <c r="P46" s="78">
        <v>2</v>
      </c>
      <c r="Q46" s="78">
        <v>2</v>
      </c>
      <c r="R46" s="77">
        <v>18</v>
      </c>
      <c r="S46" s="12">
        <f>IFERROR(1-VLOOKUP(Emp[[#This Row],[Penality]],Data_base!V:W,2,FALSE),"")</f>
        <v>0.7</v>
      </c>
      <c r="T46" s="12">
        <f>IFERROR(R46/VLOOKUP(D46,Data_base!S:T,2,0),"")</f>
        <v>0.78260869565217395</v>
      </c>
      <c r="U46" s="12">
        <f>IFERROR(1-Emp[[#This Row],[Activity]],"")</f>
        <v>0.21739130434782605</v>
      </c>
      <c r="V46" s="79">
        <v>0.80841972910345472</v>
      </c>
      <c r="W46" s="12">
        <f t="shared" si="0"/>
        <v>0.76367614158520958</v>
      </c>
      <c r="X46" s="78"/>
      <c r="Y46" s="12" t="str">
        <f>IFERROR(IF(Emp[[#This Row],[Increament]]="","",(Emp[[#This Row],[Increament]]/Emp[[#This Row],[Salary]])),"")</f>
        <v/>
      </c>
      <c r="Z46" s="17"/>
    </row>
    <row r="47" spans="2:26" x14ac:dyDescent="0.2">
      <c r="B47" s="75">
        <v>43737</v>
      </c>
      <c r="C47" s="38">
        <f>Emp[[#This Row],[Date]]</f>
        <v>43737</v>
      </c>
      <c r="D47" s="10">
        <f>IF(Emp[[#This Row],[Date]]="","",MONTH(Emp[[#This Row],[Date]]))</f>
        <v>9</v>
      </c>
      <c r="E47" s="64">
        <f>Emp[[#This Row],[Date]]</f>
        <v>43737</v>
      </c>
      <c r="F47" s="10">
        <f>IF(Emp[[#This Row],[Date]]="","",WEEKNUM(B47))</f>
        <v>40</v>
      </c>
      <c r="G47" s="77" t="s">
        <v>237</v>
      </c>
      <c r="H47" s="10" t="str">
        <f>IFERROR(VLOOKUP(Raw_data!$G47,Data_base!$B:$J,2,0),"")</f>
        <v>ID250170</v>
      </c>
      <c r="I47" s="10" t="str">
        <f>IFERROR(VLOOKUP(Raw_data!$G47,Data_base!$B:$J,3,0),"")</f>
        <v>Quality</v>
      </c>
      <c r="J47" s="10" t="str">
        <f>IFERROR(VLOOKUP(Raw_data!$G47,Data_base!$B:$J,4,0),"")</f>
        <v>Manager</v>
      </c>
      <c r="K47" s="13" t="str">
        <f>IFERROR(VLOOKUP(Raw_data!$G47,Data_base!$B:$J,5,0),"")</f>
        <v>M</v>
      </c>
      <c r="L47" s="13" t="str">
        <f>IFERROR(VLOOKUP(Raw_data!$G47,Data_base!$B:$J,6,0),"")</f>
        <v>Full time</v>
      </c>
      <c r="M47" s="14">
        <f>IFERROR(VLOOKUP(Raw_data!$G47,Data_base!$B:$J,7,0),"")</f>
        <v>41923</v>
      </c>
      <c r="N47" s="13">
        <f>IFERROR(VLOOKUP(Raw_data!$G47,Data_base!$B:$J,8,0),"")</f>
        <v>34</v>
      </c>
      <c r="O47" s="11">
        <f>IFERROR(VLOOKUP(Raw_data!$G47,Data_base!$B:$J,9,0),"")</f>
        <v>5206</v>
      </c>
      <c r="P47" s="78">
        <v>3</v>
      </c>
      <c r="Q47" s="78">
        <v>3</v>
      </c>
      <c r="R47" s="77">
        <v>18</v>
      </c>
      <c r="S47" s="12">
        <f>IFERROR(1-VLOOKUP(Emp[[#This Row],[Penality]],Data_base!V:W,2,FALSE),"")</f>
        <v>0.55000000000000004</v>
      </c>
      <c r="T47" s="12">
        <f>IFERROR(R47/VLOOKUP(D47,Data_base!S:T,2,0),"")</f>
        <v>0.75</v>
      </c>
      <c r="U47" s="12">
        <f>IFERROR(1-Emp[[#This Row],[Activity]],"")</f>
        <v>0.25</v>
      </c>
      <c r="V47" s="79">
        <v>4.7573864024049839E-2</v>
      </c>
      <c r="W47" s="12">
        <f t="shared" si="0"/>
        <v>0.44919128800801661</v>
      </c>
      <c r="X47" s="78"/>
      <c r="Y47" s="12" t="str">
        <f>IFERROR(IF(Emp[[#This Row],[Increament]]="","",(Emp[[#This Row],[Increament]]/Emp[[#This Row],[Salary]])),"")</f>
        <v/>
      </c>
      <c r="Z47" s="17"/>
    </row>
    <row r="48" spans="2:26" x14ac:dyDescent="0.2">
      <c r="B48" s="75">
        <v>42836</v>
      </c>
      <c r="C48" s="38">
        <f>Emp[[#This Row],[Date]]</f>
        <v>42836</v>
      </c>
      <c r="D48" s="10">
        <f>IF(Emp[[#This Row],[Date]]="","",MONTH(Emp[[#This Row],[Date]]))</f>
        <v>4</v>
      </c>
      <c r="E48" s="64">
        <f>Emp[[#This Row],[Date]]</f>
        <v>42836</v>
      </c>
      <c r="F48" s="10">
        <f>IF(Emp[[#This Row],[Date]]="","",WEEKNUM(B48))</f>
        <v>15</v>
      </c>
      <c r="G48" s="77" t="s">
        <v>117</v>
      </c>
      <c r="H48" s="10" t="str">
        <f>IFERROR(VLOOKUP(Raw_data!$G48,Data_base!$B:$J,2,0),"")</f>
        <v>ID250050</v>
      </c>
      <c r="I48" s="10" t="str">
        <f>IFERROR(VLOOKUP(Raw_data!$G48,Data_base!$B:$J,3,0),"")</f>
        <v>Finance</v>
      </c>
      <c r="J48" s="10" t="str">
        <f>IFERROR(VLOOKUP(Raw_data!$G48,Data_base!$B:$J,4,0),"")</f>
        <v>Senior</v>
      </c>
      <c r="K48" s="13" t="str">
        <f>IFERROR(VLOOKUP(Raw_data!$G48,Data_base!$B:$J,5,0),"")</f>
        <v>F</v>
      </c>
      <c r="L48" s="13" t="str">
        <f>IFERROR(VLOOKUP(Raw_data!$G48,Data_base!$B:$J,6,0),"")</f>
        <v>Full time</v>
      </c>
      <c r="M48" s="14">
        <f>IFERROR(VLOOKUP(Raw_data!$G48,Data_base!$B:$J,7,0),"")</f>
        <v>43762</v>
      </c>
      <c r="N48" s="13">
        <f>IFERROR(VLOOKUP(Raw_data!$G48,Data_base!$B:$J,8,0),"")</f>
        <v>43</v>
      </c>
      <c r="O48" s="11">
        <f>IFERROR(VLOOKUP(Raw_data!$G48,Data_base!$B:$J,9,0),"")</f>
        <v>8858</v>
      </c>
      <c r="P48" s="78">
        <v>0</v>
      </c>
      <c r="Q48" s="78">
        <v>5</v>
      </c>
      <c r="R48" s="77">
        <v>17</v>
      </c>
      <c r="S48" s="12" t="str">
        <f>IFERROR(1-VLOOKUP(Emp[[#This Row],[Penality]],Data_base!V:W,2,FALSE),"")</f>
        <v/>
      </c>
      <c r="T48" s="12">
        <f>IFERROR(R48/VLOOKUP(D48,Data_base!S:T,2,0),"")</f>
        <v>0.70833333333333337</v>
      </c>
      <c r="U48" s="12">
        <f>IFERROR(1-Emp[[#This Row],[Activity]],"")</f>
        <v>0.29166666666666663</v>
      </c>
      <c r="V48" s="79">
        <v>0.84649979074583437</v>
      </c>
      <c r="W48" s="12">
        <f t="shared" si="0"/>
        <v>0.77741656203958387</v>
      </c>
      <c r="X48" s="78"/>
      <c r="Y48" s="12" t="str">
        <f>IFERROR(IF(Emp[[#This Row],[Increament]]="","",(Emp[[#This Row],[Increament]]/Emp[[#This Row],[Salary]])),"")</f>
        <v/>
      </c>
      <c r="Z48" s="17"/>
    </row>
    <row r="49" spans="2:26" x14ac:dyDescent="0.2">
      <c r="B49" s="75">
        <v>42954</v>
      </c>
      <c r="C49" s="38">
        <f>Emp[[#This Row],[Date]]</f>
        <v>42954</v>
      </c>
      <c r="D49" s="10">
        <f>IF(Emp[[#This Row],[Date]]="","",MONTH(Emp[[#This Row],[Date]]))</f>
        <v>8</v>
      </c>
      <c r="E49" s="64">
        <f>Emp[[#This Row],[Date]]</f>
        <v>42954</v>
      </c>
      <c r="F49" s="10">
        <f>IF(Emp[[#This Row],[Date]]="","",WEEKNUM(B49))</f>
        <v>32</v>
      </c>
      <c r="G49" s="77" t="s">
        <v>107</v>
      </c>
      <c r="H49" s="10" t="str">
        <f>IFERROR(VLOOKUP(Raw_data!$G49,Data_base!$B:$J,2,0),"")</f>
        <v>ID250040</v>
      </c>
      <c r="I49" s="10" t="str">
        <f>IFERROR(VLOOKUP(Raw_data!$G49,Data_base!$B:$J,3,0),"")</f>
        <v>Planning</v>
      </c>
      <c r="J49" s="10" t="str">
        <f>IFERROR(VLOOKUP(Raw_data!$G49,Data_base!$B:$J,4,0),"")</f>
        <v>Workrer</v>
      </c>
      <c r="K49" s="13" t="str">
        <f>IFERROR(VLOOKUP(Raw_data!$G49,Data_base!$B:$J,5,0),"")</f>
        <v>M</v>
      </c>
      <c r="L49" s="13" t="str">
        <f>IFERROR(VLOOKUP(Raw_data!$G49,Data_base!$B:$J,6,0),"")</f>
        <v>Part time</v>
      </c>
      <c r="M49" s="14">
        <f>IFERROR(VLOOKUP(Raw_data!$G49,Data_base!$B:$J,7,0),"")</f>
        <v>41943</v>
      </c>
      <c r="N49" s="13">
        <f>IFERROR(VLOOKUP(Raw_data!$G49,Data_base!$B:$J,8,0),"")</f>
        <v>44</v>
      </c>
      <c r="O49" s="11">
        <f>IFERROR(VLOOKUP(Raw_data!$G49,Data_base!$B:$J,9,0),"")</f>
        <v>6811</v>
      </c>
      <c r="P49" s="78">
        <v>0</v>
      </c>
      <c r="Q49" s="78">
        <v>4</v>
      </c>
      <c r="R49" s="77">
        <v>17</v>
      </c>
      <c r="S49" s="12" t="str">
        <f>IFERROR(1-VLOOKUP(Emp[[#This Row],[Penality]],Data_base!V:W,2,FALSE),"")</f>
        <v/>
      </c>
      <c r="T49" s="12">
        <f>IFERROR(R49/VLOOKUP(D49,Data_base!S:T,2,0),"")</f>
        <v>0.85</v>
      </c>
      <c r="U49" s="12">
        <f>IFERROR(1-Emp[[#This Row],[Activity]],"")</f>
        <v>0.15000000000000002</v>
      </c>
      <c r="V49" s="79">
        <v>0.35589784458468054</v>
      </c>
      <c r="W49" s="12">
        <f t="shared" si="0"/>
        <v>0.60294892229234032</v>
      </c>
      <c r="X49" s="78">
        <v>500</v>
      </c>
      <c r="Y49" s="12">
        <f>IFERROR(IF(Emp[[#This Row],[Increament]]="","",(Emp[[#This Row],[Increament]]/Emp[[#This Row],[Salary]])),"")</f>
        <v>7.341065922771986E-2</v>
      </c>
      <c r="Z49" s="17"/>
    </row>
    <row r="50" spans="2:26" x14ac:dyDescent="0.2">
      <c r="B50" s="75">
        <v>42839</v>
      </c>
      <c r="C50" s="38">
        <f>Emp[[#This Row],[Date]]</f>
        <v>42839</v>
      </c>
      <c r="D50" s="10">
        <f>IF(Emp[[#This Row],[Date]]="","",MONTH(Emp[[#This Row],[Date]]))</f>
        <v>4</v>
      </c>
      <c r="E50" s="64">
        <f>Emp[[#This Row],[Date]]</f>
        <v>42839</v>
      </c>
      <c r="F50" s="10">
        <f>IF(Emp[[#This Row],[Date]]="","",WEEKNUM(B50))</f>
        <v>15</v>
      </c>
      <c r="G50" s="77" t="s">
        <v>214</v>
      </c>
      <c r="H50" s="10" t="str">
        <f>IFERROR(VLOOKUP(Raw_data!$G50,Data_base!$B:$J,2,0),"")</f>
        <v>ID250147</v>
      </c>
      <c r="I50" s="10" t="str">
        <f>IFERROR(VLOOKUP(Raw_data!$G50,Data_base!$B:$J,3,0),"")</f>
        <v>Planning</v>
      </c>
      <c r="J50" s="10" t="str">
        <f>IFERROR(VLOOKUP(Raw_data!$G50,Data_base!$B:$J,4,0),"")</f>
        <v>Staff</v>
      </c>
      <c r="K50" s="13" t="str">
        <f>IFERROR(VLOOKUP(Raw_data!$G50,Data_base!$B:$J,5,0),"")</f>
        <v>F</v>
      </c>
      <c r="L50" s="13" t="str">
        <f>IFERROR(VLOOKUP(Raw_data!$G50,Data_base!$B:$J,6,0),"")</f>
        <v>Full time</v>
      </c>
      <c r="M50" s="14">
        <f>IFERROR(VLOOKUP(Raw_data!$G50,Data_base!$B:$J,7,0),"")</f>
        <v>41302</v>
      </c>
      <c r="N50" s="13">
        <f>IFERROR(VLOOKUP(Raw_data!$G50,Data_base!$B:$J,8,0),"")</f>
        <v>40</v>
      </c>
      <c r="O50" s="11">
        <f>IFERROR(VLOOKUP(Raw_data!$G50,Data_base!$B:$J,9,0),"")</f>
        <v>7280</v>
      </c>
      <c r="P50" s="78">
        <v>0</v>
      </c>
      <c r="Q50" s="78">
        <v>1</v>
      </c>
      <c r="R50" s="77">
        <v>20</v>
      </c>
      <c r="S50" s="12" t="str">
        <f>IFERROR(1-VLOOKUP(Emp[[#This Row],[Penality]],Data_base!V:W,2,FALSE),"")</f>
        <v/>
      </c>
      <c r="T50" s="12">
        <f>IFERROR(R50/VLOOKUP(D50,Data_base!S:T,2,0),"")</f>
        <v>0.83333333333333337</v>
      </c>
      <c r="U50" s="12">
        <f>IFERROR(1-Emp[[#This Row],[Activity]],"")</f>
        <v>0.16666666666666663</v>
      </c>
      <c r="V50" s="79">
        <v>2.6984467462062289E-3</v>
      </c>
      <c r="W50" s="12">
        <f t="shared" si="0"/>
        <v>0.4180158900397698</v>
      </c>
      <c r="X50" s="78"/>
      <c r="Y50" s="12" t="str">
        <f>IFERROR(IF(Emp[[#This Row],[Increament]]="","",(Emp[[#This Row],[Increament]]/Emp[[#This Row],[Salary]])),"")</f>
        <v/>
      </c>
      <c r="Z50" s="17"/>
    </row>
    <row r="51" spans="2:26" x14ac:dyDescent="0.2">
      <c r="B51" s="75">
        <v>42915</v>
      </c>
      <c r="C51" s="38">
        <f>Emp[[#This Row],[Date]]</f>
        <v>42915</v>
      </c>
      <c r="D51" s="10">
        <f>IF(Emp[[#This Row],[Date]]="","",MONTH(Emp[[#This Row],[Date]]))</f>
        <v>6</v>
      </c>
      <c r="E51" s="64">
        <f>Emp[[#This Row],[Date]]</f>
        <v>42915</v>
      </c>
      <c r="F51" s="10">
        <f>IF(Emp[[#This Row],[Date]]="","",WEEKNUM(B51))</f>
        <v>26</v>
      </c>
      <c r="G51" s="77" t="s">
        <v>244</v>
      </c>
      <c r="H51" s="10" t="str">
        <f>IFERROR(VLOOKUP(Raw_data!$G51,Data_base!$B:$J,2,0),"")</f>
        <v>ID250177</v>
      </c>
      <c r="I51" s="10" t="str">
        <f>IFERROR(VLOOKUP(Raw_data!$G51,Data_base!$B:$J,3,0),"")</f>
        <v>Sales</v>
      </c>
      <c r="J51" s="10" t="str">
        <f>IFERROR(VLOOKUP(Raw_data!$G51,Data_base!$B:$J,4,0),"")</f>
        <v>Manager</v>
      </c>
      <c r="K51" s="13" t="str">
        <f>IFERROR(VLOOKUP(Raw_data!$G51,Data_base!$B:$J,5,0),"")</f>
        <v>M</v>
      </c>
      <c r="L51" s="13" t="str">
        <f>IFERROR(VLOOKUP(Raw_data!$G51,Data_base!$B:$J,6,0),"")</f>
        <v>Full time</v>
      </c>
      <c r="M51" s="14">
        <f>IFERROR(VLOOKUP(Raw_data!$G51,Data_base!$B:$J,7,0),"")</f>
        <v>43174</v>
      </c>
      <c r="N51" s="13">
        <f>IFERROR(VLOOKUP(Raw_data!$G51,Data_base!$B:$J,8,0),"")</f>
        <v>39</v>
      </c>
      <c r="O51" s="11">
        <f>IFERROR(VLOOKUP(Raw_data!$G51,Data_base!$B:$J,9,0),"")</f>
        <v>7713</v>
      </c>
      <c r="P51" s="78">
        <v>1</v>
      </c>
      <c r="Q51" s="78">
        <v>2</v>
      </c>
      <c r="R51" s="77">
        <v>17</v>
      </c>
      <c r="S51" s="12">
        <f>IFERROR(1-VLOOKUP(Emp[[#This Row],[Penality]],Data_base!V:W,2,FALSE),"")</f>
        <v>0.85</v>
      </c>
      <c r="T51" s="12">
        <f>IFERROR(R51/VLOOKUP(D51,Data_base!S:T,2,0),"")</f>
        <v>0.85</v>
      </c>
      <c r="U51" s="12">
        <f>IFERROR(1-Emp[[#This Row],[Activity]],"")</f>
        <v>0.15000000000000002</v>
      </c>
      <c r="V51" s="79">
        <v>0.43475696149940524</v>
      </c>
      <c r="W51" s="12">
        <f t="shared" si="0"/>
        <v>0.7115856538331351</v>
      </c>
      <c r="X51" s="78"/>
      <c r="Y51" s="12" t="str">
        <f>IFERROR(IF(Emp[[#This Row],[Increament]]="","",(Emp[[#This Row],[Increament]]/Emp[[#This Row],[Salary]])),"")</f>
        <v/>
      </c>
      <c r="Z51" s="17"/>
    </row>
    <row r="52" spans="2:26" x14ac:dyDescent="0.2">
      <c r="B52" s="75">
        <v>43757</v>
      </c>
      <c r="C52" s="38">
        <f>Emp[[#This Row],[Date]]</f>
        <v>43757</v>
      </c>
      <c r="D52" s="10">
        <f>IF(Emp[[#This Row],[Date]]="","",MONTH(Emp[[#This Row],[Date]]))</f>
        <v>10</v>
      </c>
      <c r="E52" s="64">
        <f>Emp[[#This Row],[Date]]</f>
        <v>43757</v>
      </c>
      <c r="F52" s="10">
        <f>IF(Emp[[#This Row],[Date]]="","",WEEKNUM(B52))</f>
        <v>42</v>
      </c>
      <c r="G52" s="77" t="s">
        <v>246</v>
      </c>
      <c r="H52" s="10" t="str">
        <f>IFERROR(VLOOKUP(Raw_data!$G52,Data_base!$B:$J,2,0),"")</f>
        <v>ID250179</v>
      </c>
      <c r="I52" s="10" t="str">
        <f>IFERROR(VLOOKUP(Raw_data!$G52,Data_base!$B:$J,3,0),"")</f>
        <v>Material</v>
      </c>
      <c r="J52" s="10" t="str">
        <f>IFERROR(VLOOKUP(Raw_data!$G52,Data_base!$B:$J,4,0),"")</f>
        <v>Workrer</v>
      </c>
      <c r="K52" s="13" t="str">
        <f>IFERROR(VLOOKUP(Raw_data!$G52,Data_base!$B:$J,5,0),"")</f>
        <v>M</v>
      </c>
      <c r="L52" s="13" t="str">
        <f>IFERROR(VLOOKUP(Raw_data!$G52,Data_base!$B:$J,6,0),"")</f>
        <v>Part time</v>
      </c>
      <c r="M52" s="14">
        <f>IFERROR(VLOOKUP(Raw_data!$G52,Data_base!$B:$J,7,0),"")</f>
        <v>43708</v>
      </c>
      <c r="N52" s="13">
        <f>IFERROR(VLOOKUP(Raw_data!$G52,Data_base!$B:$J,8,0),"")</f>
        <v>36</v>
      </c>
      <c r="O52" s="11">
        <f>IFERROR(VLOOKUP(Raw_data!$G52,Data_base!$B:$J,9,0),"")</f>
        <v>9141</v>
      </c>
      <c r="P52" s="78">
        <v>1</v>
      </c>
      <c r="Q52" s="78">
        <v>3</v>
      </c>
      <c r="R52" s="77">
        <v>18</v>
      </c>
      <c r="S52" s="12">
        <f>IFERROR(1-VLOOKUP(Emp[[#This Row],[Penality]],Data_base!V:W,2,FALSE),"")</f>
        <v>0.85</v>
      </c>
      <c r="T52" s="12">
        <f>IFERROR(R52/VLOOKUP(D52,Data_base!S:T,2,0),"")</f>
        <v>0.81818181818181823</v>
      </c>
      <c r="U52" s="12">
        <f>IFERROR(1-Emp[[#This Row],[Activity]],"")</f>
        <v>0.18181818181818177</v>
      </c>
      <c r="V52" s="79">
        <v>0.79250286692523675</v>
      </c>
      <c r="W52" s="12">
        <f t="shared" si="0"/>
        <v>0.82022822836901843</v>
      </c>
      <c r="X52" s="78">
        <v>300</v>
      </c>
      <c r="Y52" s="12">
        <f>IFERROR(IF(Emp[[#This Row],[Increament]]="","",(Emp[[#This Row],[Increament]]/Emp[[#This Row],[Salary]])),"")</f>
        <v>3.2819166393173616E-2</v>
      </c>
      <c r="Z52" s="17"/>
    </row>
    <row r="53" spans="2:26" x14ac:dyDescent="0.2">
      <c r="B53" s="75">
        <v>42870</v>
      </c>
      <c r="C53" s="38">
        <f>Emp[[#This Row],[Date]]</f>
        <v>42870</v>
      </c>
      <c r="D53" s="10">
        <f>IF(Emp[[#This Row],[Date]]="","",MONTH(Emp[[#This Row],[Date]]))</f>
        <v>5</v>
      </c>
      <c r="E53" s="64">
        <f>Emp[[#This Row],[Date]]</f>
        <v>42870</v>
      </c>
      <c r="F53" s="10">
        <f>IF(Emp[[#This Row],[Date]]="","",WEEKNUM(B53))</f>
        <v>20</v>
      </c>
      <c r="G53" s="77" t="s">
        <v>223</v>
      </c>
      <c r="H53" s="10" t="str">
        <f>IFERROR(VLOOKUP(Raw_data!$G53,Data_base!$B:$J,2,0),"")</f>
        <v>ID250156</v>
      </c>
      <c r="I53" s="10" t="str">
        <f>IFERROR(VLOOKUP(Raw_data!$G53,Data_base!$B:$J,3,0),"")</f>
        <v>Planning</v>
      </c>
      <c r="J53" s="10" t="str">
        <f>IFERROR(VLOOKUP(Raw_data!$G53,Data_base!$B:$J,4,0),"")</f>
        <v>Manager</v>
      </c>
      <c r="K53" s="13" t="str">
        <f>IFERROR(VLOOKUP(Raw_data!$G53,Data_base!$B:$J,5,0),"")</f>
        <v>F</v>
      </c>
      <c r="L53" s="13" t="str">
        <f>IFERROR(VLOOKUP(Raw_data!$G53,Data_base!$B:$J,6,0),"")</f>
        <v>Full time</v>
      </c>
      <c r="M53" s="14">
        <f>IFERROR(VLOOKUP(Raw_data!$G53,Data_base!$B:$J,7,0),"")</f>
        <v>41405</v>
      </c>
      <c r="N53" s="13">
        <f>IFERROR(VLOOKUP(Raw_data!$G53,Data_base!$B:$J,8,0),"")</f>
        <v>31</v>
      </c>
      <c r="O53" s="11">
        <f>IFERROR(VLOOKUP(Raw_data!$G53,Data_base!$B:$J,9,0),"")</f>
        <v>9109</v>
      </c>
      <c r="P53" s="78">
        <v>0</v>
      </c>
      <c r="Q53" s="78">
        <v>5</v>
      </c>
      <c r="R53" s="77">
        <v>19</v>
      </c>
      <c r="S53" s="12" t="str">
        <f>IFERROR(1-VLOOKUP(Emp[[#This Row],[Penality]],Data_base!V:W,2,FALSE),"")</f>
        <v/>
      </c>
      <c r="T53" s="12">
        <f>IFERROR(R53/VLOOKUP(D53,Data_base!S:T,2,0),"")</f>
        <v>0.82608695652173914</v>
      </c>
      <c r="U53" s="12">
        <f>IFERROR(1-Emp[[#This Row],[Activity]],"")</f>
        <v>0.17391304347826086</v>
      </c>
      <c r="V53" s="79">
        <v>0.37790863517248408</v>
      </c>
      <c r="W53" s="12">
        <f t="shared" si="0"/>
        <v>0.60199779584711166</v>
      </c>
      <c r="X53" s="78"/>
      <c r="Y53" s="12" t="str">
        <f>IFERROR(IF(Emp[[#This Row],[Increament]]="","",(Emp[[#This Row],[Increament]]/Emp[[#This Row],[Salary]])),"")</f>
        <v/>
      </c>
      <c r="Z53" s="17"/>
    </row>
    <row r="54" spans="2:26" x14ac:dyDescent="0.2">
      <c r="B54" s="75">
        <v>42830</v>
      </c>
      <c r="C54" s="38">
        <f>Emp[[#This Row],[Date]]</f>
        <v>42830</v>
      </c>
      <c r="D54" s="10">
        <f>IF(Emp[[#This Row],[Date]]="","",MONTH(Emp[[#This Row],[Date]]))</f>
        <v>4</v>
      </c>
      <c r="E54" s="64">
        <f>Emp[[#This Row],[Date]]</f>
        <v>42830</v>
      </c>
      <c r="F54" s="10">
        <f>IF(Emp[[#This Row],[Date]]="","",WEEKNUM(B54))</f>
        <v>14</v>
      </c>
      <c r="G54" s="77" t="s">
        <v>323</v>
      </c>
      <c r="H54" s="10" t="str">
        <f>IFERROR(VLOOKUP(Raw_data!$G54,Data_base!$B:$J,2,0),"")</f>
        <v>ID250256</v>
      </c>
      <c r="I54" s="10" t="str">
        <f>IFERROR(VLOOKUP(Raw_data!$G54,Data_base!$B:$J,3,0),"")</f>
        <v>Procurement</v>
      </c>
      <c r="J54" s="10" t="str">
        <f>IFERROR(VLOOKUP(Raw_data!$G54,Data_base!$B:$J,4,0),"")</f>
        <v>Senior</v>
      </c>
      <c r="K54" s="13" t="str">
        <f>IFERROR(VLOOKUP(Raw_data!$G54,Data_base!$B:$J,5,0),"")</f>
        <v>F</v>
      </c>
      <c r="L54" s="13" t="str">
        <f>IFERROR(VLOOKUP(Raw_data!$G54,Data_base!$B:$J,6,0),"")</f>
        <v>Full time</v>
      </c>
      <c r="M54" s="14">
        <f>IFERROR(VLOOKUP(Raw_data!$G54,Data_base!$B:$J,7,0),"")</f>
        <v>41797</v>
      </c>
      <c r="N54" s="13">
        <f>IFERROR(VLOOKUP(Raw_data!$G54,Data_base!$B:$J,8,0),"")</f>
        <v>41</v>
      </c>
      <c r="O54" s="11">
        <f>IFERROR(VLOOKUP(Raw_data!$G54,Data_base!$B:$J,9,0),"")</f>
        <v>4911</v>
      </c>
      <c r="P54" s="78">
        <v>0</v>
      </c>
      <c r="Q54" s="78">
        <v>3</v>
      </c>
      <c r="R54" s="77">
        <v>18</v>
      </c>
      <c r="S54" s="12" t="str">
        <f>IFERROR(1-VLOOKUP(Emp[[#This Row],[Penality]],Data_base!V:W,2,FALSE),"")</f>
        <v/>
      </c>
      <c r="T54" s="12">
        <f>IFERROR(R54/VLOOKUP(D54,Data_base!S:T,2,0),"")</f>
        <v>0.75</v>
      </c>
      <c r="U54" s="12">
        <f>IFERROR(1-Emp[[#This Row],[Activity]],"")</f>
        <v>0.25</v>
      </c>
      <c r="V54" s="79">
        <v>0.66586428926900587</v>
      </c>
      <c r="W54" s="12">
        <f t="shared" si="0"/>
        <v>0.70793214463450294</v>
      </c>
      <c r="X54" s="78"/>
      <c r="Y54" s="12" t="str">
        <f>IFERROR(IF(Emp[[#This Row],[Increament]]="","",(Emp[[#This Row],[Increament]]/Emp[[#This Row],[Salary]])),"")</f>
        <v/>
      </c>
      <c r="Z54" s="17"/>
    </row>
    <row r="55" spans="2:26" x14ac:dyDescent="0.2">
      <c r="B55" s="75">
        <v>42760</v>
      </c>
      <c r="C55" s="38">
        <f>Emp[[#This Row],[Date]]</f>
        <v>42760</v>
      </c>
      <c r="D55" s="10">
        <f>IF(Emp[[#This Row],[Date]]="","",MONTH(Emp[[#This Row],[Date]]))</f>
        <v>1</v>
      </c>
      <c r="E55" s="64">
        <f>Emp[[#This Row],[Date]]</f>
        <v>42760</v>
      </c>
      <c r="F55" s="10">
        <f>IF(Emp[[#This Row],[Date]]="","",WEEKNUM(B55))</f>
        <v>4</v>
      </c>
      <c r="G55" s="77" t="s">
        <v>109</v>
      </c>
      <c r="H55" s="10" t="str">
        <f>IFERROR(VLOOKUP(Raw_data!$G55,Data_base!$B:$J,2,0),"")</f>
        <v>ID250042</v>
      </c>
      <c r="I55" s="10" t="str">
        <f>IFERROR(VLOOKUP(Raw_data!$G55,Data_base!$B:$J,3,0),"")</f>
        <v>Quality</v>
      </c>
      <c r="J55" s="10" t="str">
        <f>IFERROR(VLOOKUP(Raw_data!$G55,Data_base!$B:$J,4,0),"")</f>
        <v>Staff</v>
      </c>
      <c r="K55" s="13" t="str">
        <f>IFERROR(VLOOKUP(Raw_data!$G55,Data_base!$B:$J,5,0),"")</f>
        <v>M</v>
      </c>
      <c r="L55" s="13" t="str">
        <f>IFERROR(VLOOKUP(Raw_data!$G55,Data_base!$B:$J,6,0),"")</f>
        <v>Full time</v>
      </c>
      <c r="M55" s="14">
        <f>IFERROR(VLOOKUP(Raw_data!$G55,Data_base!$B:$J,7,0),"")</f>
        <v>41758</v>
      </c>
      <c r="N55" s="13">
        <f>IFERROR(VLOOKUP(Raw_data!$G55,Data_base!$B:$J,8,0),"")</f>
        <v>29</v>
      </c>
      <c r="O55" s="11">
        <f>IFERROR(VLOOKUP(Raw_data!$G55,Data_base!$B:$J,9,0),"")</f>
        <v>9789</v>
      </c>
      <c r="P55" s="78">
        <v>1</v>
      </c>
      <c r="Q55" s="78">
        <v>5</v>
      </c>
      <c r="R55" s="77">
        <v>20</v>
      </c>
      <c r="S55" s="12">
        <f>IFERROR(1-VLOOKUP(Emp[[#This Row],[Penality]],Data_base!V:W,2,FALSE),"")</f>
        <v>0.85</v>
      </c>
      <c r="T55" s="12">
        <f>IFERROR(R55/VLOOKUP(D55,Data_base!S:T,2,0),"")</f>
        <v>0.95238095238095233</v>
      </c>
      <c r="U55" s="12">
        <f>IFERROR(1-Emp[[#This Row],[Activity]],"")</f>
        <v>4.7619047619047672E-2</v>
      </c>
      <c r="V55" s="79">
        <v>0.48300329825527522</v>
      </c>
      <c r="W55" s="12">
        <f t="shared" si="0"/>
        <v>0.76179475021207577</v>
      </c>
      <c r="X55" s="78"/>
      <c r="Y55" s="12" t="str">
        <f>IFERROR(IF(Emp[[#This Row],[Increament]]="","",(Emp[[#This Row],[Increament]]/Emp[[#This Row],[Salary]])),"")</f>
        <v/>
      </c>
      <c r="Z55" s="17"/>
    </row>
    <row r="56" spans="2:26" x14ac:dyDescent="0.2">
      <c r="B56" s="75">
        <v>42472</v>
      </c>
      <c r="C56" s="38">
        <f>Emp[[#This Row],[Date]]</f>
        <v>42472</v>
      </c>
      <c r="D56" s="10">
        <f>IF(Emp[[#This Row],[Date]]="","",MONTH(Emp[[#This Row],[Date]]))</f>
        <v>4</v>
      </c>
      <c r="E56" s="64">
        <f>Emp[[#This Row],[Date]]</f>
        <v>42472</v>
      </c>
      <c r="F56" s="10">
        <f>IF(Emp[[#This Row],[Date]]="","",WEEKNUM(B56))</f>
        <v>16</v>
      </c>
      <c r="G56" s="77" t="s">
        <v>249</v>
      </c>
      <c r="H56" s="10" t="str">
        <f>IFERROR(VLOOKUP(Raw_data!$G56,Data_base!$B:$J,2,0),"")</f>
        <v>ID250182</v>
      </c>
      <c r="I56" s="10" t="str">
        <f>IFERROR(VLOOKUP(Raw_data!$G56,Data_base!$B:$J,3,0),"")</f>
        <v>Sales</v>
      </c>
      <c r="J56" s="10" t="str">
        <f>IFERROR(VLOOKUP(Raw_data!$G56,Data_base!$B:$J,4,0),"")</f>
        <v>Manager</v>
      </c>
      <c r="K56" s="13" t="str">
        <f>IFERROR(VLOOKUP(Raw_data!$G56,Data_base!$B:$J,5,0),"")</f>
        <v>M</v>
      </c>
      <c r="L56" s="13" t="str">
        <f>IFERROR(VLOOKUP(Raw_data!$G56,Data_base!$B:$J,6,0),"")</f>
        <v>Full time</v>
      </c>
      <c r="M56" s="14">
        <f>IFERROR(VLOOKUP(Raw_data!$G56,Data_base!$B:$J,7,0),"")</f>
        <v>41260</v>
      </c>
      <c r="N56" s="13">
        <f>IFERROR(VLOOKUP(Raw_data!$G56,Data_base!$B:$J,8,0),"")</f>
        <v>38</v>
      </c>
      <c r="O56" s="11">
        <f>IFERROR(VLOOKUP(Raw_data!$G56,Data_base!$B:$J,9,0),"")</f>
        <v>6274</v>
      </c>
      <c r="P56" s="78">
        <v>1</v>
      </c>
      <c r="Q56" s="78">
        <v>3</v>
      </c>
      <c r="R56" s="77">
        <v>20</v>
      </c>
      <c r="S56" s="12">
        <f>IFERROR(1-VLOOKUP(Emp[[#This Row],[Penality]],Data_base!V:W,2,FALSE),"")</f>
        <v>0.85</v>
      </c>
      <c r="T56" s="12">
        <f>IFERROR(R56/VLOOKUP(D56,Data_base!S:T,2,0),"")</f>
        <v>0.83333333333333337</v>
      </c>
      <c r="U56" s="12">
        <f>IFERROR(1-Emp[[#This Row],[Activity]],"")</f>
        <v>0.16666666666666663</v>
      </c>
      <c r="V56" s="79">
        <v>0.53839335418270784</v>
      </c>
      <c r="W56" s="12">
        <f t="shared" si="0"/>
        <v>0.74057556250534706</v>
      </c>
      <c r="X56" s="78"/>
      <c r="Y56" s="12" t="str">
        <f>IFERROR(IF(Emp[[#This Row],[Increament]]="","",(Emp[[#This Row],[Increament]]/Emp[[#This Row],[Salary]])),"")</f>
        <v/>
      </c>
      <c r="Z56" s="17"/>
    </row>
    <row r="57" spans="2:26" x14ac:dyDescent="0.2">
      <c r="B57" s="75">
        <v>43681</v>
      </c>
      <c r="C57" s="38">
        <f>Emp[[#This Row],[Date]]</f>
        <v>43681</v>
      </c>
      <c r="D57" s="10">
        <f>IF(Emp[[#This Row],[Date]]="","",MONTH(Emp[[#This Row],[Date]]))</f>
        <v>8</v>
      </c>
      <c r="E57" s="64">
        <f>Emp[[#This Row],[Date]]</f>
        <v>43681</v>
      </c>
      <c r="F57" s="10">
        <f>IF(Emp[[#This Row],[Date]]="","",WEEKNUM(B57))</f>
        <v>32</v>
      </c>
      <c r="G57" s="77" t="s">
        <v>99</v>
      </c>
      <c r="H57" s="10" t="str">
        <f>IFERROR(VLOOKUP(Raw_data!$G57,Data_base!$B:$J,2,0),"")</f>
        <v>ID250032</v>
      </c>
      <c r="I57" s="10" t="str">
        <f>IFERROR(VLOOKUP(Raw_data!$G57,Data_base!$B:$J,3,0),"")</f>
        <v>Quality</v>
      </c>
      <c r="J57" s="10" t="str">
        <f>IFERROR(VLOOKUP(Raw_data!$G57,Data_base!$B:$J,4,0),"")</f>
        <v>Technician</v>
      </c>
      <c r="K57" s="13" t="str">
        <f>IFERROR(VLOOKUP(Raw_data!$G57,Data_base!$B:$J,5,0),"")</f>
        <v>M</v>
      </c>
      <c r="L57" s="13" t="str">
        <f>IFERROR(VLOOKUP(Raw_data!$G57,Data_base!$B:$J,6,0),"")</f>
        <v>Part time</v>
      </c>
      <c r="M57" s="14">
        <f>IFERROR(VLOOKUP(Raw_data!$G57,Data_base!$B:$J,7,0),"")</f>
        <v>43231</v>
      </c>
      <c r="N57" s="13">
        <f>IFERROR(VLOOKUP(Raw_data!$G57,Data_base!$B:$J,8,0),"")</f>
        <v>40</v>
      </c>
      <c r="O57" s="11">
        <f>IFERROR(VLOOKUP(Raw_data!$G57,Data_base!$B:$J,9,0),"")</f>
        <v>7916</v>
      </c>
      <c r="P57" s="78">
        <v>1</v>
      </c>
      <c r="Q57" s="78">
        <v>1</v>
      </c>
      <c r="R57" s="77">
        <v>17</v>
      </c>
      <c r="S57" s="12">
        <f>IFERROR(1-VLOOKUP(Emp[[#This Row],[Penality]],Data_base!V:W,2,FALSE),"")</f>
        <v>0.85</v>
      </c>
      <c r="T57" s="12">
        <f>IFERROR(R57/VLOOKUP(D57,Data_base!S:T,2,0),"")</f>
        <v>0.85</v>
      </c>
      <c r="U57" s="12">
        <f>IFERROR(1-Emp[[#This Row],[Activity]],"")</f>
        <v>0.15000000000000002</v>
      </c>
      <c r="V57" s="79">
        <v>0.42769080226078549</v>
      </c>
      <c r="W57" s="12">
        <f t="shared" si="0"/>
        <v>0.70923026742026185</v>
      </c>
      <c r="X57" s="78"/>
      <c r="Y57" s="12" t="str">
        <f>IFERROR(IF(Emp[[#This Row],[Increament]]="","",(Emp[[#This Row],[Increament]]/Emp[[#This Row],[Salary]])),"")</f>
        <v/>
      </c>
      <c r="Z57" s="17"/>
    </row>
    <row r="58" spans="2:26" x14ac:dyDescent="0.2">
      <c r="B58" s="75">
        <v>42989</v>
      </c>
      <c r="C58" s="38">
        <f>Emp[[#This Row],[Date]]</f>
        <v>42989</v>
      </c>
      <c r="D58" s="10">
        <f>IF(Emp[[#This Row],[Date]]="","",MONTH(Emp[[#This Row],[Date]]))</f>
        <v>9</v>
      </c>
      <c r="E58" s="64">
        <f>Emp[[#This Row],[Date]]</f>
        <v>42989</v>
      </c>
      <c r="F58" s="10">
        <f>IF(Emp[[#This Row],[Date]]="","",WEEKNUM(B58))</f>
        <v>37</v>
      </c>
      <c r="G58" s="77" t="s">
        <v>110</v>
      </c>
      <c r="H58" s="10" t="str">
        <f>IFERROR(VLOOKUP(Raw_data!$G58,Data_base!$B:$J,2,0),"")</f>
        <v>ID250043</v>
      </c>
      <c r="I58" s="10" t="str">
        <f>IFERROR(VLOOKUP(Raw_data!$G58,Data_base!$B:$J,3,0),"")</f>
        <v>Procurement</v>
      </c>
      <c r="J58" s="10" t="str">
        <f>IFERROR(VLOOKUP(Raw_data!$G58,Data_base!$B:$J,4,0),"")</f>
        <v>Workrer</v>
      </c>
      <c r="K58" s="13" t="str">
        <f>IFERROR(VLOOKUP(Raw_data!$G58,Data_base!$B:$J,5,0),"")</f>
        <v>M</v>
      </c>
      <c r="L58" s="13" t="str">
        <f>IFERROR(VLOOKUP(Raw_data!$G58,Data_base!$B:$J,6,0),"")</f>
        <v>Full time</v>
      </c>
      <c r="M58" s="14">
        <f>IFERROR(VLOOKUP(Raw_data!$G58,Data_base!$B:$J,7,0),"")</f>
        <v>41884</v>
      </c>
      <c r="N58" s="13">
        <f>IFERROR(VLOOKUP(Raw_data!$G58,Data_base!$B:$J,8,0),"")</f>
        <v>44</v>
      </c>
      <c r="O58" s="11">
        <f>IFERROR(VLOOKUP(Raw_data!$G58,Data_base!$B:$J,9,0),"")</f>
        <v>6304</v>
      </c>
      <c r="P58" s="78">
        <v>0</v>
      </c>
      <c r="Q58" s="78">
        <v>1</v>
      </c>
      <c r="R58" s="77">
        <v>20</v>
      </c>
      <c r="S58" s="12" t="str">
        <f>IFERROR(1-VLOOKUP(Emp[[#This Row],[Penality]],Data_base!V:W,2,FALSE),"")</f>
        <v/>
      </c>
      <c r="T58" s="12">
        <f>IFERROR(R58/VLOOKUP(D58,Data_base!S:T,2,0),"")</f>
        <v>0.83333333333333337</v>
      </c>
      <c r="U58" s="12">
        <f>IFERROR(1-Emp[[#This Row],[Activity]],"")</f>
        <v>0.16666666666666663</v>
      </c>
      <c r="V58" s="79">
        <v>0.94173343831630074</v>
      </c>
      <c r="W58" s="12">
        <f t="shared" si="0"/>
        <v>0.88753338582481711</v>
      </c>
      <c r="X58" s="78"/>
      <c r="Y58" s="12" t="str">
        <f>IFERROR(IF(Emp[[#This Row],[Increament]]="","",(Emp[[#This Row],[Increament]]/Emp[[#This Row],[Salary]])),"")</f>
        <v/>
      </c>
      <c r="Z58" s="17"/>
    </row>
    <row r="59" spans="2:26" x14ac:dyDescent="0.2">
      <c r="B59" s="75">
        <v>42731</v>
      </c>
      <c r="C59" s="38">
        <f>Emp[[#This Row],[Date]]</f>
        <v>42731</v>
      </c>
      <c r="D59" s="10">
        <f>IF(Emp[[#This Row],[Date]]="","",MONTH(Emp[[#This Row],[Date]]))</f>
        <v>12</v>
      </c>
      <c r="E59" s="64">
        <f>Emp[[#This Row],[Date]]</f>
        <v>42731</v>
      </c>
      <c r="F59" s="10">
        <f>IF(Emp[[#This Row],[Date]]="","",WEEKNUM(B59))</f>
        <v>53</v>
      </c>
      <c r="G59" s="77" t="s">
        <v>110</v>
      </c>
      <c r="H59" s="10" t="str">
        <f>IFERROR(VLOOKUP(Raw_data!$G59,Data_base!$B:$J,2,0),"")</f>
        <v>ID250043</v>
      </c>
      <c r="I59" s="10" t="str">
        <f>IFERROR(VLOOKUP(Raw_data!$G59,Data_base!$B:$J,3,0),"")</f>
        <v>Procurement</v>
      </c>
      <c r="J59" s="10" t="str">
        <f>IFERROR(VLOOKUP(Raw_data!$G59,Data_base!$B:$J,4,0),"")</f>
        <v>Workrer</v>
      </c>
      <c r="K59" s="13" t="str">
        <f>IFERROR(VLOOKUP(Raw_data!$G59,Data_base!$B:$J,5,0),"")</f>
        <v>M</v>
      </c>
      <c r="L59" s="13" t="str">
        <f>IFERROR(VLOOKUP(Raw_data!$G59,Data_base!$B:$J,6,0),"")</f>
        <v>Full time</v>
      </c>
      <c r="M59" s="14">
        <f>IFERROR(VLOOKUP(Raw_data!$G59,Data_base!$B:$J,7,0),"")</f>
        <v>41884</v>
      </c>
      <c r="N59" s="13">
        <f>IFERROR(VLOOKUP(Raw_data!$G59,Data_base!$B:$J,8,0),"")</f>
        <v>44</v>
      </c>
      <c r="O59" s="11">
        <f>IFERROR(VLOOKUP(Raw_data!$G59,Data_base!$B:$J,9,0),"")</f>
        <v>6304</v>
      </c>
      <c r="P59" s="78">
        <v>1</v>
      </c>
      <c r="Q59" s="78">
        <v>4</v>
      </c>
      <c r="R59" s="77">
        <v>17</v>
      </c>
      <c r="S59" s="12">
        <f>IFERROR(1-VLOOKUP(Emp[[#This Row],[Penality]],Data_base!V:W,2,FALSE),"")</f>
        <v>0.85</v>
      </c>
      <c r="T59" s="12">
        <f>IFERROR(R59/VLOOKUP(D59,Data_base!S:T,2,0),"")</f>
        <v>0.70833333333333337</v>
      </c>
      <c r="U59" s="12">
        <f>IFERROR(1-Emp[[#This Row],[Activity]],"")</f>
        <v>0.29166666666666663</v>
      </c>
      <c r="V59" s="79">
        <v>0.89280579756686318</v>
      </c>
      <c r="W59" s="12">
        <f t="shared" si="0"/>
        <v>0.8170463769667321</v>
      </c>
      <c r="X59" s="78"/>
      <c r="Y59" s="12" t="str">
        <f>IFERROR(IF(Emp[[#This Row],[Increament]]="","",(Emp[[#This Row],[Increament]]/Emp[[#This Row],[Salary]])),"")</f>
        <v/>
      </c>
      <c r="Z59" s="17"/>
    </row>
    <row r="60" spans="2:26" x14ac:dyDescent="0.2">
      <c r="B60" s="75">
        <v>42975</v>
      </c>
      <c r="C60" s="38">
        <f>Emp[[#This Row],[Date]]</f>
        <v>42975</v>
      </c>
      <c r="D60" s="10">
        <f>IF(Emp[[#This Row],[Date]]="","",MONTH(Emp[[#This Row],[Date]]))</f>
        <v>8</v>
      </c>
      <c r="E60" s="64">
        <f>Emp[[#This Row],[Date]]</f>
        <v>42975</v>
      </c>
      <c r="F60" s="10">
        <f>IF(Emp[[#This Row],[Date]]="","",WEEKNUM(B60))</f>
        <v>35</v>
      </c>
      <c r="G60" s="77" t="s">
        <v>137</v>
      </c>
      <c r="H60" s="10" t="str">
        <f>IFERROR(VLOOKUP(Raw_data!$G60,Data_base!$B:$J,2,0),"")</f>
        <v>ID250070</v>
      </c>
      <c r="I60" s="10" t="str">
        <f>IFERROR(VLOOKUP(Raw_data!$G60,Data_base!$B:$J,3,0),"")</f>
        <v>Planning</v>
      </c>
      <c r="J60" s="10" t="str">
        <f>IFERROR(VLOOKUP(Raw_data!$G60,Data_base!$B:$J,4,0),"")</f>
        <v>Manager</v>
      </c>
      <c r="K60" s="13" t="str">
        <f>IFERROR(VLOOKUP(Raw_data!$G60,Data_base!$B:$J,5,0),"")</f>
        <v>M</v>
      </c>
      <c r="L60" s="13" t="str">
        <f>IFERROR(VLOOKUP(Raw_data!$G60,Data_base!$B:$J,6,0),"")</f>
        <v>Part time</v>
      </c>
      <c r="M60" s="14">
        <f>IFERROR(VLOOKUP(Raw_data!$G60,Data_base!$B:$J,7,0),"")</f>
        <v>43776</v>
      </c>
      <c r="N60" s="13">
        <f>IFERROR(VLOOKUP(Raw_data!$G60,Data_base!$B:$J,8,0),"")</f>
        <v>34</v>
      </c>
      <c r="O60" s="11">
        <f>IFERROR(VLOOKUP(Raw_data!$G60,Data_base!$B:$J,9,0),"")</f>
        <v>7162</v>
      </c>
      <c r="P60" s="78">
        <v>0</v>
      </c>
      <c r="Q60" s="78">
        <v>5</v>
      </c>
      <c r="R60" s="77">
        <v>18</v>
      </c>
      <c r="S60" s="12" t="str">
        <f>IFERROR(1-VLOOKUP(Emp[[#This Row],[Penality]],Data_base!V:W,2,FALSE),"")</f>
        <v/>
      </c>
      <c r="T60" s="12">
        <f>IFERROR(R60/VLOOKUP(D60,Data_base!S:T,2,0),"")</f>
        <v>0.9</v>
      </c>
      <c r="U60" s="12">
        <f>IFERROR(1-Emp[[#This Row],[Activity]],"")</f>
        <v>9.9999999999999978E-2</v>
      </c>
      <c r="V60" s="79">
        <v>0.91429194105672495</v>
      </c>
      <c r="W60" s="12">
        <f t="shared" si="0"/>
        <v>0.90714597052836243</v>
      </c>
      <c r="X60" s="78">
        <v>700</v>
      </c>
      <c r="Y60" s="12">
        <f>IFERROR(IF(Emp[[#This Row],[Increament]]="","",(Emp[[#This Row],[Increament]]/Emp[[#This Row],[Salary]])),"")</f>
        <v>9.773806199385647E-2</v>
      </c>
      <c r="Z60" s="17"/>
    </row>
    <row r="61" spans="2:26" x14ac:dyDescent="0.2">
      <c r="B61" s="75">
        <v>42697</v>
      </c>
      <c r="C61" s="38">
        <f>Emp[[#This Row],[Date]]</f>
        <v>42697</v>
      </c>
      <c r="D61" s="10">
        <f>IF(Emp[[#This Row],[Date]]="","",MONTH(Emp[[#This Row],[Date]]))</f>
        <v>11</v>
      </c>
      <c r="E61" s="64">
        <f>Emp[[#This Row],[Date]]</f>
        <v>42697</v>
      </c>
      <c r="F61" s="10">
        <f>IF(Emp[[#This Row],[Date]]="","",WEEKNUM(B61))</f>
        <v>48</v>
      </c>
      <c r="G61" s="77" t="s">
        <v>302</v>
      </c>
      <c r="H61" s="10" t="str">
        <f>IFERROR(VLOOKUP(Raw_data!$G61,Data_base!$B:$J,2,0),"")</f>
        <v>ID250235</v>
      </c>
      <c r="I61" s="10" t="str">
        <f>IFERROR(VLOOKUP(Raw_data!$G61,Data_base!$B:$J,3,0),"")</f>
        <v>HR</v>
      </c>
      <c r="J61" s="10" t="str">
        <f>IFERROR(VLOOKUP(Raw_data!$G61,Data_base!$B:$J,4,0),"")</f>
        <v>Manager</v>
      </c>
      <c r="K61" s="13" t="str">
        <f>IFERROR(VLOOKUP(Raw_data!$G61,Data_base!$B:$J,5,0),"")</f>
        <v>F</v>
      </c>
      <c r="L61" s="13" t="str">
        <f>IFERROR(VLOOKUP(Raw_data!$G61,Data_base!$B:$J,6,0),"")</f>
        <v>Full time</v>
      </c>
      <c r="M61" s="14">
        <f>IFERROR(VLOOKUP(Raw_data!$G61,Data_base!$B:$J,7,0),"")</f>
        <v>42951</v>
      </c>
      <c r="N61" s="13">
        <f>IFERROR(VLOOKUP(Raw_data!$G61,Data_base!$B:$J,8,0),"")</f>
        <v>39</v>
      </c>
      <c r="O61" s="11">
        <f>IFERROR(VLOOKUP(Raw_data!$G61,Data_base!$B:$J,9,0),"")</f>
        <v>9652</v>
      </c>
      <c r="P61" s="78">
        <v>3</v>
      </c>
      <c r="Q61" s="78">
        <v>3</v>
      </c>
      <c r="R61" s="77">
        <v>18</v>
      </c>
      <c r="S61" s="12">
        <f>IFERROR(1-VLOOKUP(Emp[[#This Row],[Penality]],Data_base!V:W,2,FALSE),"")</f>
        <v>0.55000000000000004</v>
      </c>
      <c r="T61" s="12">
        <f>IFERROR(R61/VLOOKUP(D61,Data_base!S:T,2,0),"")</f>
        <v>0.78260869565217395</v>
      </c>
      <c r="U61" s="12">
        <f>IFERROR(1-Emp[[#This Row],[Activity]],"")</f>
        <v>0.21739130434782605</v>
      </c>
      <c r="V61" s="79">
        <v>0.69393304577617276</v>
      </c>
      <c r="W61" s="12">
        <f t="shared" si="0"/>
        <v>0.67551391380944903</v>
      </c>
      <c r="X61" s="78">
        <v>500</v>
      </c>
      <c r="Y61" s="12">
        <f>IFERROR(IF(Emp[[#This Row],[Increament]]="","",(Emp[[#This Row],[Increament]]/Emp[[#This Row],[Salary]])),"")</f>
        <v>5.1802735184417741E-2</v>
      </c>
      <c r="Z61" s="17"/>
    </row>
    <row r="62" spans="2:26" x14ac:dyDescent="0.2">
      <c r="B62" s="75">
        <v>43761</v>
      </c>
      <c r="C62" s="38">
        <f>Emp[[#This Row],[Date]]</f>
        <v>43761</v>
      </c>
      <c r="D62" s="10">
        <f>IF(Emp[[#This Row],[Date]]="","",MONTH(Emp[[#This Row],[Date]]))</f>
        <v>10</v>
      </c>
      <c r="E62" s="64">
        <f>Emp[[#This Row],[Date]]</f>
        <v>43761</v>
      </c>
      <c r="F62" s="10">
        <f>IF(Emp[[#This Row],[Date]]="","",WEEKNUM(B62))</f>
        <v>43</v>
      </c>
      <c r="G62" s="77" t="s">
        <v>73</v>
      </c>
      <c r="H62" s="10" t="str">
        <f>IFERROR(VLOOKUP(Raw_data!$G62,Data_base!$B:$J,2,0),"")</f>
        <v>ID250006</v>
      </c>
      <c r="I62" s="10" t="str">
        <f>IFERROR(VLOOKUP(Raw_data!$G62,Data_base!$B:$J,3,0),"")</f>
        <v>Planning</v>
      </c>
      <c r="J62" s="10" t="str">
        <f>IFERROR(VLOOKUP(Raw_data!$G62,Data_base!$B:$J,4,0),"")</f>
        <v>Workrer</v>
      </c>
      <c r="K62" s="13" t="str">
        <f>IFERROR(VLOOKUP(Raw_data!$G62,Data_base!$B:$J,5,0),"")</f>
        <v>F</v>
      </c>
      <c r="L62" s="13" t="str">
        <f>IFERROR(VLOOKUP(Raw_data!$G62,Data_base!$B:$J,6,0),"")</f>
        <v>Part time</v>
      </c>
      <c r="M62" s="14">
        <f>IFERROR(VLOOKUP(Raw_data!$G62,Data_base!$B:$J,7,0),"")</f>
        <v>42383</v>
      </c>
      <c r="N62" s="13">
        <f>IFERROR(VLOOKUP(Raw_data!$G62,Data_base!$B:$J,8,0),"")</f>
        <v>38</v>
      </c>
      <c r="O62" s="11">
        <f>IFERROR(VLOOKUP(Raw_data!$G62,Data_base!$B:$J,9,0),"")</f>
        <v>7033</v>
      </c>
      <c r="P62" s="78">
        <v>2</v>
      </c>
      <c r="Q62" s="78">
        <v>1</v>
      </c>
      <c r="R62" s="77">
        <v>19</v>
      </c>
      <c r="S62" s="12">
        <f>IFERROR(1-VLOOKUP(Emp[[#This Row],[Penality]],Data_base!V:W,2,FALSE),"")</f>
        <v>0.7</v>
      </c>
      <c r="T62" s="12">
        <f>IFERROR(R62/VLOOKUP(D62,Data_base!S:T,2,0),"")</f>
        <v>0.86363636363636365</v>
      </c>
      <c r="U62" s="12">
        <f>IFERROR(1-Emp[[#This Row],[Activity]],"")</f>
        <v>0.13636363636363635</v>
      </c>
      <c r="V62" s="79">
        <v>6.0568355802752771E-2</v>
      </c>
      <c r="W62" s="12">
        <f t="shared" si="0"/>
        <v>0.54140157314637216</v>
      </c>
      <c r="X62" s="78"/>
      <c r="Y62" s="12" t="str">
        <f>IFERROR(IF(Emp[[#This Row],[Increament]]="","",(Emp[[#This Row],[Increament]]/Emp[[#This Row],[Salary]])),"")</f>
        <v/>
      </c>
      <c r="Z62" s="17"/>
    </row>
    <row r="63" spans="2:26" x14ac:dyDescent="0.2">
      <c r="B63" s="75">
        <v>42743</v>
      </c>
      <c r="C63" s="38">
        <f>Emp[[#This Row],[Date]]</f>
        <v>42743</v>
      </c>
      <c r="D63" s="10">
        <f>IF(Emp[[#This Row],[Date]]="","",MONTH(Emp[[#This Row],[Date]]))</f>
        <v>1</v>
      </c>
      <c r="E63" s="64">
        <f>Emp[[#This Row],[Date]]</f>
        <v>42743</v>
      </c>
      <c r="F63" s="10">
        <f>IF(Emp[[#This Row],[Date]]="","",WEEKNUM(B63))</f>
        <v>2</v>
      </c>
      <c r="G63" s="77" t="s">
        <v>345</v>
      </c>
      <c r="H63" s="10" t="str">
        <f>IFERROR(VLOOKUP(Raw_data!$G63,Data_base!$B:$J,2,0),"")</f>
        <v>ID250278</v>
      </c>
      <c r="I63" s="10" t="str">
        <f>IFERROR(VLOOKUP(Raw_data!$G63,Data_base!$B:$J,3,0),"")</f>
        <v>HR</v>
      </c>
      <c r="J63" s="10" t="str">
        <f>IFERROR(VLOOKUP(Raw_data!$G63,Data_base!$B:$J,4,0),"")</f>
        <v>Senior</v>
      </c>
      <c r="K63" s="13" t="str">
        <f>IFERROR(VLOOKUP(Raw_data!$G63,Data_base!$B:$J,5,0),"")</f>
        <v>F</v>
      </c>
      <c r="L63" s="13" t="str">
        <f>IFERROR(VLOOKUP(Raw_data!$G63,Data_base!$B:$J,6,0),"")</f>
        <v>Full time</v>
      </c>
      <c r="M63" s="14">
        <f>IFERROR(VLOOKUP(Raw_data!$G63,Data_base!$B:$J,7,0),"")</f>
        <v>43689</v>
      </c>
      <c r="N63" s="13">
        <f>IFERROR(VLOOKUP(Raw_data!$G63,Data_base!$B:$J,8,0),"")</f>
        <v>42</v>
      </c>
      <c r="O63" s="11">
        <f>IFERROR(VLOOKUP(Raw_data!$G63,Data_base!$B:$J,9,0),"")</f>
        <v>5507</v>
      </c>
      <c r="P63" s="78">
        <v>0</v>
      </c>
      <c r="Q63" s="78">
        <v>2</v>
      </c>
      <c r="R63" s="77">
        <v>17</v>
      </c>
      <c r="S63" s="12" t="str">
        <f>IFERROR(1-VLOOKUP(Emp[[#This Row],[Penality]],Data_base!V:W,2,FALSE),"")</f>
        <v/>
      </c>
      <c r="T63" s="12">
        <f>IFERROR(R63/VLOOKUP(D63,Data_base!S:T,2,0),"")</f>
        <v>0.80952380952380953</v>
      </c>
      <c r="U63" s="12">
        <f>IFERROR(1-Emp[[#This Row],[Activity]],"")</f>
        <v>0.19047619047619047</v>
      </c>
      <c r="V63" s="79">
        <v>0.62216229663815803</v>
      </c>
      <c r="W63" s="12">
        <f t="shared" si="0"/>
        <v>0.71584305308098384</v>
      </c>
      <c r="X63" s="78"/>
      <c r="Y63" s="12" t="str">
        <f>IFERROR(IF(Emp[[#This Row],[Increament]]="","",(Emp[[#This Row],[Increament]]/Emp[[#This Row],[Salary]])),"")</f>
        <v/>
      </c>
      <c r="Z63" s="17"/>
    </row>
    <row r="64" spans="2:26" x14ac:dyDescent="0.2">
      <c r="B64" s="75">
        <v>43111</v>
      </c>
      <c r="C64" s="38">
        <f>Emp[[#This Row],[Date]]</f>
        <v>43111</v>
      </c>
      <c r="D64" s="10">
        <f>IF(Emp[[#This Row],[Date]]="","",MONTH(Emp[[#This Row],[Date]]))</f>
        <v>1</v>
      </c>
      <c r="E64" s="64">
        <f>Emp[[#This Row],[Date]]</f>
        <v>43111</v>
      </c>
      <c r="F64" s="10">
        <f>IF(Emp[[#This Row],[Date]]="","",WEEKNUM(B64))</f>
        <v>2</v>
      </c>
      <c r="G64" s="77" t="s">
        <v>160</v>
      </c>
      <c r="H64" s="10" t="str">
        <f>IFERROR(VLOOKUP(Raw_data!$G64,Data_base!$B:$J,2,0),"")</f>
        <v>ID250093</v>
      </c>
      <c r="I64" s="10" t="str">
        <f>IFERROR(VLOOKUP(Raw_data!$G64,Data_base!$B:$J,3,0),"")</f>
        <v>Procurement</v>
      </c>
      <c r="J64" s="10" t="str">
        <f>IFERROR(VLOOKUP(Raw_data!$G64,Data_base!$B:$J,4,0),"")</f>
        <v>Junior</v>
      </c>
      <c r="K64" s="13" t="str">
        <f>IFERROR(VLOOKUP(Raw_data!$G64,Data_base!$B:$J,5,0),"")</f>
        <v>F</v>
      </c>
      <c r="L64" s="13" t="str">
        <f>IFERROR(VLOOKUP(Raw_data!$G64,Data_base!$B:$J,6,0),"")</f>
        <v>Full time</v>
      </c>
      <c r="M64" s="14">
        <f>IFERROR(VLOOKUP(Raw_data!$G64,Data_base!$B:$J,7,0),"")</f>
        <v>43154</v>
      </c>
      <c r="N64" s="13">
        <f>IFERROR(VLOOKUP(Raw_data!$G64,Data_base!$B:$J,8,0),"")</f>
        <v>42</v>
      </c>
      <c r="O64" s="11">
        <f>IFERROR(VLOOKUP(Raw_data!$G64,Data_base!$B:$J,9,0),"")</f>
        <v>5510</v>
      </c>
      <c r="P64" s="78">
        <v>1</v>
      </c>
      <c r="Q64" s="78">
        <v>4</v>
      </c>
      <c r="R64" s="77">
        <v>17</v>
      </c>
      <c r="S64" s="12">
        <f>IFERROR(1-VLOOKUP(Emp[[#This Row],[Penality]],Data_base!V:W,2,FALSE),"")</f>
        <v>0.85</v>
      </c>
      <c r="T64" s="12">
        <f>IFERROR(R64/VLOOKUP(D64,Data_base!S:T,2,0),"")</f>
        <v>0.80952380952380953</v>
      </c>
      <c r="U64" s="12">
        <f>IFERROR(1-Emp[[#This Row],[Activity]],"")</f>
        <v>0.19047619047619047</v>
      </c>
      <c r="V64" s="79">
        <v>0.21635507185056813</v>
      </c>
      <c r="W64" s="12">
        <f t="shared" si="0"/>
        <v>0.62529296045812588</v>
      </c>
      <c r="X64" s="78"/>
      <c r="Y64" s="12" t="str">
        <f>IFERROR(IF(Emp[[#This Row],[Increament]]="","",(Emp[[#This Row],[Increament]]/Emp[[#This Row],[Salary]])),"")</f>
        <v/>
      </c>
      <c r="Z64" s="17"/>
    </row>
    <row r="65" spans="2:26" x14ac:dyDescent="0.2">
      <c r="B65" s="75">
        <v>42885</v>
      </c>
      <c r="C65" s="38">
        <f>Emp[[#This Row],[Date]]</f>
        <v>42885</v>
      </c>
      <c r="D65" s="10">
        <f>IF(Emp[[#This Row],[Date]]="","",MONTH(Emp[[#This Row],[Date]]))</f>
        <v>5</v>
      </c>
      <c r="E65" s="64">
        <f>Emp[[#This Row],[Date]]</f>
        <v>42885</v>
      </c>
      <c r="F65" s="10">
        <f>IF(Emp[[#This Row],[Date]]="","",WEEKNUM(B65))</f>
        <v>22</v>
      </c>
      <c r="G65" s="77" t="s">
        <v>318</v>
      </c>
      <c r="H65" s="10" t="str">
        <f>IFERROR(VLOOKUP(Raw_data!$G65,Data_base!$B:$J,2,0),"")</f>
        <v>ID250251</v>
      </c>
      <c r="I65" s="10" t="str">
        <f>IFERROR(VLOOKUP(Raw_data!$G65,Data_base!$B:$J,3,0),"")</f>
        <v>Sales</v>
      </c>
      <c r="J65" s="10" t="str">
        <f>IFERROR(VLOOKUP(Raw_data!$G65,Data_base!$B:$J,4,0),"")</f>
        <v>Technician</v>
      </c>
      <c r="K65" s="13" t="str">
        <f>IFERROR(VLOOKUP(Raw_data!$G65,Data_base!$B:$J,5,0),"")</f>
        <v>F</v>
      </c>
      <c r="L65" s="13" t="str">
        <f>IFERROR(VLOOKUP(Raw_data!$G65,Data_base!$B:$J,6,0),"")</f>
        <v>Part time</v>
      </c>
      <c r="M65" s="14">
        <f>IFERROR(VLOOKUP(Raw_data!$G65,Data_base!$B:$J,7,0),"")</f>
        <v>42001</v>
      </c>
      <c r="N65" s="13">
        <f>IFERROR(VLOOKUP(Raw_data!$G65,Data_base!$B:$J,8,0),"")</f>
        <v>33</v>
      </c>
      <c r="O65" s="11">
        <f>IFERROR(VLOOKUP(Raw_data!$G65,Data_base!$B:$J,9,0),"")</f>
        <v>6824</v>
      </c>
      <c r="P65" s="78">
        <v>0</v>
      </c>
      <c r="Q65" s="78">
        <v>2</v>
      </c>
      <c r="R65" s="77">
        <v>17</v>
      </c>
      <c r="S65" s="12" t="str">
        <f>IFERROR(1-VLOOKUP(Emp[[#This Row],[Penality]],Data_base!V:W,2,FALSE),"")</f>
        <v/>
      </c>
      <c r="T65" s="12">
        <f>IFERROR(R65/VLOOKUP(D65,Data_base!S:T,2,0),"")</f>
        <v>0.73913043478260865</v>
      </c>
      <c r="U65" s="12">
        <f>IFERROR(1-Emp[[#This Row],[Activity]],"")</f>
        <v>0.26086956521739135</v>
      </c>
      <c r="V65" s="79">
        <v>0.89334822441445128</v>
      </c>
      <c r="W65" s="12">
        <f t="shared" si="0"/>
        <v>0.81623932959852996</v>
      </c>
      <c r="X65" s="78">
        <v>300</v>
      </c>
      <c r="Y65" s="12">
        <f>IFERROR(IF(Emp[[#This Row],[Increament]]="","",(Emp[[#This Row],[Increament]]/Emp[[#This Row],[Salary]])),"")</f>
        <v>4.3962485345838215E-2</v>
      </c>
      <c r="Z65" s="17"/>
    </row>
    <row r="66" spans="2:26" x14ac:dyDescent="0.2">
      <c r="B66" s="75">
        <v>43781</v>
      </c>
      <c r="C66" s="38">
        <f>Emp[[#This Row],[Date]]</f>
        <v>43781</v>
      </c>
      <c r="D66" s="10">
        <f>IF(Emp[[#This Row],[Date]]="","",MONTH(Emp[[#This Row],[Date]]))</f>
        <v>11</v>
      </c>
      <c r="E66" s="64">
        <f>Emp[[#This Row],[Date]]</f>
        <v>43781</v>
      </c>
      <c r="F66" s="10">
        <f>IF(Emp[[#This Row],[Date]]="","",WEEKNUM(B66))</f>
        <v>46</v>
      </c>
      <c r="G66" s="77" t="s">
        <v>288</v>
      </c>
      <c r="H66" s="10" t="str">
        <f>IFERROR(VLOOKUP(Raw_data!$G66,Data_base!$B:$J,2,0),"")</f>
        <v>ID250221</v>
      </c>
      <c r="I66" s="10" t="str">
        <f>IFERROR(VLOOKUP(Raw_data!$G66,Data_base!$B:$J,3,0),"")</f>
        <v>Procurement</v>
      </c>
      <c r="J66" s="10" t="str">
        <f>IFERROR(VLOOKUP(Raw_data!$G66,Data_base!$B:$J,4,0),"")</f>
        <v>Senior</v>
      </c>
      <c r="K66" s="13" t="str">
        <f>IFERROR(VLOOKUP(Raw_data!$G66,Data_base!$B:$J,5,0),"")</f>
        <v>F</v>
      </c>
      <c r="L66" s="13" t="str">
        <f>IFERROR(VLOOKUP(Raw_data!$G66,Data_base!$B:$J,6,0),"")</f>
        <v>Full time</v>
      </c>
      <c r="M66" s="14">
        <f>IFERROR(VLOOKUP(Raw_data!$G66,Data_base!$B:$J,7,0),"")</f>
        <v>42537</v>
      </c>
      <c r="N66" s="13">
        <f>IFERROR(VLOOKUP(Raw_data!$G66,Data_base!$B:$J,8,0),"")</f>
        <v>39</v>
      </c>
      <c r="O66" s="11">
        <f>IFERROR(VLOOKUP(Raw_data!$G66,Data_base!$B:$J,9,0),"")</f>
        <v>4705</v>
      </c>
      <c r="P66" s="78">
        <v>0</v>
      </c>
      <c r="Q66" s="78">
        <v>4</v>
      </c>
      <c r="R66" s="77">
        <v>20</v>
      </c>
      <c r="S66" s="12" t="str">
        <f>IFERROR(1-VLOOKUP(Emp[[#This Row],[Penality]],Data_base!V:W,2,FALSE),"")</f>
        <v/>
      </c>
      <c r="T66" s="12">
        <f>IFERROR(R66/VLOOKUP(D66,Data_base!S:T,2,0),"")</f>
        <v>0.86956521739130432</v>
      </c>
      <c r="U66" s="12">
        <f>IFERROR(1-Emp[[#This Row],[Activity]],"")</f>
        <v>0.13043478260869568</v>
      </c>
      <c r="V66" s="79">
        <v>0.20127025023456624</v>
      </c>
      <c r="W66" s="12">
        <f t="shared" si="0"/>
        <v>0.53541773381293534</v>
      </c>
      <c r="X66" s="78"/>
      <c r="Y66" s="12" t="str">
        <f>IFERROR(IF(Emp[[#This Row],[Increament]]="","",(Emp[[#This Row],[Increament]]/Emp[[#This Row],[Salary]])),"")</f>
        <v/>
      </c>
      <c r="Z66" s="17"/>
    </row>
    <row r="67" spans="2:26" x14ac:dyDescent="0.2">
      <c r="B67" s="75">
        <v>43175</v>
      </c>
      <c r="C67" s="38">
        <f>Emp[[#This Row],[Date]]</f>
        <v>43175</v>
      </c>
      <c r="D67" s="10">
        <f>IF(Emp[[#This Row],[Date]]="","",MONTH(Emp[[#This Row],[Date]]))</f>
        <v>3</v>
      </c>
      <c r="E67" s="64">
        <f>Emp[[#This Row],[Date]]</f>
        <v>43175</v>
      </c>
      <c r="F67" s="10">
        <f>IF(Emp[[#This Row],[Date]]="","",WEEKNUM(B67))</f>
        <v>11</v>
      </c>
      <c r="G67" s="77" t="s">
        <v>255</v>
      </c>
      <c r="H67" s="10" t="str">
        <f>IFERROR(VLOOKUP(Raw_data!$G67,Data_base!$B:$J,2,0),"")</f>
        <v>ID250188</v>
      </c>
      <c r="I67" s="10" t="str">
        <f>IFERROR(VLOOKUP(Raw_data!$G67,Data_base!$B:$J,3,0),"")</f>
        <v>Sales</v>
      </c>
      <c r="J67" s="10" t="str">
        <f>IFERROR(VLOOKUP(Raw_data!$G67,Data_base!$B:$J,4,0),"")</f>
        <v>Staff</v>
      </c>
      <c r="K67" s="13" t="str">
        <f>IFERROR(VLOOKUP(Raw_data!$G67,Data_base!$B:$J,5,0),"")</f>
        <v>F</v>
      </c>
      <c r="L67" s="13" t="str">
        <f>IFERROR(VLOOKUP(Raw_data!$G67,Data_base!$B:$J,6,0),"")</f>
        <v>Full time</v>
      </c>
      <c r="M67" s="14">
        <f>IFERROR(VLOOKUP(Raw_data!$G67,Data_base!$B:$J,7,0),"")</f>
        <v>42363</v>
      </c>
      <c r="N67" s="13">
        <f>IFERROR(VLOOKUP(Raw_data!$G67,Data_base!$B:$J,8,0),"")</f>
        <v>36</v>
      </c>
      <c r="O67" s="11">
        <f>IFERROR(VLOOKUP(Raw_data!$G67,Data_base!$B:$J,9,0),"")</f>
        <v>9369</v>
      </c>
      <c r="P67" s="78">
        <v>2</v>
      </c>
      <c r="Q67" s="78">
        <v>1</v>
      </c>
      <c r="R67" s="77">
        <v>20</v>
      </c>
      <c r="S67" s="12">
        <f>IFERROR(1-VLOOKUP(Emp[[#This Row],[Penality]],Data_base!V:W,2,FALSE),"")</f>
        <v>0.7</v>
      </c>
      <c r="T67" s="12">
        <f>IFERROR(R67/VLOOKUP(D67,Data_base!S:T,2,0),"")</f>
        <v>0.86956521739130432</v>
      </c>
      <c r="U67" s="12">
        <f>IFERROR(1-Emp[[#This Row],[Activity]],"")</f>
        <v>0.13043478260869568</v>
      </c>
      <c r="V67" s="79">
        <v>0.63841482233450864</v>
      </c>
      <c r="W67" s="12">
        <f t="shared" ref="W67:W130" si="1">AVERAGE(V67,T67,S67)</f>
        <v>0.73599334657527093</v>
      </c>
      <c r="X67" s="78">
        <v>400</v>
      </c>
      <c r="Y67" s="12">
        <f>IFERROR(IF(Emp[[#This Row],[Increament]]="","",(Emp[[#This Row],[Increament]]/Emp[[#This Row],[Salary]])),"")</f>
        <v>4.269399082079197E-2</v>
      </c>
      <c r="Z67" s="17"/>
    </row>
    <row r="68" spans="2:26" x14ac:dyDescent="0.2">
      <c r="B68" s="75">
        <v>43387</v>
      </c>
      <c r="C68" s="38">
        <f>Emp[[#This Row],[Date]]</f>
        <v>43387</v>
      </c>
      <c r="D68" s="10">
        <f>IF(Emp[[#This Row],[Date]]="","",MONTH(Emp[[#This Row],[Date]]))</f>
        <v>10</v>
      </c>
      <c r="E68" s="64">
        <f>Emp[[#This Row],[Date]]</f>
        <v>43387</v>
      </c>
      <c r="F68" s="10">
        <f>IF(Emp[[#This Row],[Date]]="","",WEEKNUM(B68))</f>
        <v>42</v>
      </c>
      <c r="G68" s="77" t="s">
        <v>144</v>
      </c>
      <c r="H68" s="10" t="str">
        <f>IFERROR(VLOOKUP(Raw_data!$G68,Data_base!$B:$J,2,0),"")</f>
        <v>ID250077</v>
      </c>
      <c r="I68" s="10" t="str">
        <f>IFERROR(VLOOKUP(Raw_data!$G68,Data_base!$B:$J,3,0),"")</f>
        <v>Sales</v>
      </c>
      <c r="J68" s="10" t="str">
        <f>IFERROR(VLOOKUP(Raw_data!$G68,Data_base!$B:$J,4,0),"")</f>
        <v>Technician</v>
      </c>
      <c r="K68" s="13" t="str">
        <f>IFERROR(VLOOKUP(Raw_data!$G68,Data_base!$B:$J,5,0),"")</f>
        <v>F</v>
      </c>
      <c r="L68" s="13" t="str">
        <f>IFERROR(VLOOKUP(Raw_data!$G68,Data_base!$B:$J,6,0),"")</f>
        <v>Full time</v>
      </c>
      <c r="M68" s="14">
        <f>IFERROR(VLOOKUP(Raw_data!$G68,Data_base!$B:$J,7,0),"")</f>
        <v>43376</v>
      </c>
      <c r="N68" s="13">
        <f>IFERROR(VLOOKUP(Raw_data!$G68,Data_base!$B:$J,8,0),"")</f>
        <v>39</v>
      </c>
      <c r="O68" s="11">
        <f>IFERROR(VLOOKUP(Raw_data!$G68,Data_base!$B:$J,9,0),"")</f>
        <v>6156</v>
      </c>
      <c r="P68" s="78">
        <v>0</v>
      </c>
      <c r="Q68" s="78">
        <v>4</v>
      </c>
      <c r="R68" s="77">
        <v>17</v>
      </c>
      <c r="S68" s="12" t="str">
        <f>IFERROR(1-VLOOKUP(Emp[[#This Row],[Penality]],Data_base!V:W,2,FALSE),"")</f>
        <v/>
      </c>
      <c r="T68" s="12">
        <f>IFERROR(R68/VLOOKUP(D68,Data_base!S:T,2,0),"")</f>
        <v>0.77272727272727271</v>
      </c>
      <c r="U68" s="12">
        <f>IFERROR(1-Emp[[#This Row],[Activity]],"")</f>
        <v>0.22727272727272729</v>
      </c>
      <c r="V68" s="79">
        <v>0.39609686064849281</v>
      </c>
      <c r="W68" s="12">
        <f t="shared" si="1"/>
        <v>0.5844120666878827</v>
      </c>
      <c r="X68" s="78"/>
      <c r="Y68" s="12" t="str">
        <f>IFERROR(IF(Emp[[#This Row],[Increament]]="","",(Emp[[#This Row],[Increament]]/Emp[[#This Row],[Salary]])),"")</f>
        <v/>
      </c>
      <c r="Z68" s="17"/>
    </row>
    <row r="69" spans="2:26" x14ac:dyDescent="0.2">
      <c r="B69" s="75">
        <v>43123</v>
      </c>
      <c r="C69" s="38">
        <f>Emp[[#This Row],[Date]]</f>
        <v>43123</v>
      </c>
      <c r="D69" s="10">
        <f>IF(Emp[[#This Row],[Date]]="","",MONTH(Emp[[#This Row],[Date]]))</f>
        <v>1</v>
      </c>
      <c r="E69" s="64">
        <f>Emp[[#This Row],[Date]]</f>
        <v>43123</v>
      </c>
      <c r="F69" s="10">
        <f>IF(Emp[[#This Row],[Date]]="","",WEEKNUM(B69))</f>
        <v>4</v>
      </c>
      <c r="G69" s="77" t="s">
        <v>305</v>
      </c>
      <c r="H69" s="10" t="str">
        <f>IFERROR(VLOOKUP(Raw_data!$G69,Data_base!$B:$J,2,0),"")</f>
        <v>ID250238</v>
      </c>
      <c r="I69" s="10" t="str">
        <f>IFERROR(VLOOKUP(Raw_data!$G69,Data_base!$B:$J,3,0),"")</f>
        <v>Quality</v>
      </c>
      <c r="J69" s="10" t="str">
        <f>IFERROR(VLOOKUP(Raw_data!$G69,Data_base!$B:$J,4,0),"")</f>
        <v>Junior</v>
      </c>
      <c r="K69" s="13" t="str">
        <f>IFERROR(VLOOKUP(Raw_data!$G69,Data_base!$B:$J,5,0),"")</f>
        <v>F</v>
      </c>
      <c r="L69" s="13" t="str">
        <f>IFERROR(VLOOKUP(Raw_data!$G69,Data_base!$B:$J,6,0),"")</f>
        <v>Full time</v>
      </c>
      <c r="M69" s="14">
        <f>IFERROR(VLOOKUP(Raw_data!$G69,Data_base!$B:$J,7,0),"")</f>
        <v>41054</v>
      </c>
      <c r="N69" s="13">
        <f>IFERROR(VLOOKUP(Raw_data!$G69,Data_base!$B:$J,8,0),"")</f>
        <v>36</v>
      </c>
      <c r="O69" s="11">
        <f>IFERROR(VLOOKUP(Raw_data!$G69,Data_base!$B:$J,9,0),"")</f>
        <v>8993</v>
      </c>
      <c r="P69" s="78">
        <v>3</v>
      </c>
      <c r="Q69" s="78">
        <v>4</v>
      </c>
      <c r="R69" s="77">
        <v>19</v>
      </c>
      <c r="S69" s="12">
        <f>IFERROR(1-VLOOKUP(Emp[[#This Row],[Penality]],Data_base!V:W,2,FALSE),"")</f>
        <v>0.55000000000000004</v>
      </c>
      <c r="T69" s="12">
        <f>IFERROR(R69/VLOOKUP(D69,Data_base!S:T,2,0),"")</f>
        <v>0.90476190476190477</v>
      </c>
      <c r="U69" s="12">
        <f>IFERROR(1-Emp[[#This Row],[Activity]],"")</f>
        <v>9.5238095238095233E-2</v>
      </c>
      <c r="V69" s="79">
        <v>0.12770255745546144</v>
      </c>
      <c r="W69" s="12">
        <f t="shared" si="1"/>
        <v>0.52748815407245542</v>
      </c>
      <c r="X69" s="78"/>
      <c r="Y69" s="12" t="str">
        <f>IFERROR(IF(Emp[[#This Row],[Increament]]="","",(Emp[[#This Row],[Increament]]/Emp[[#This Row],[Salary]])),"")</f>
        <v/>
      </c>
      <c r="Z69" s="17"/>
    </row>
    <row r="70" spans="2:26" x14ac:dyDescent="0.2">
      <c r="B70" s="75">
        <v>42958</v>
      </c>
      <c r="C70" s="38">
        <f>Emp[[#This Row],[Date]]</f>
        <v>42958</v>
      </c>
      <c r="D70" s="10">
        <f>IF(Emp[[#This Row],[Date]]="","",MONTH(Emp[[#This Row],[Date]]))</f>
        <v>8</v>
      </c>
      <c r="E70" s="64">
        <f>Emp[[#This Row],[Date]]</f>
        <v>42958</v>
      </c>
      <c r="F70" s="10">
        <f>IF(Emp[[#This Row],[Date]]="","",WEEKNUM(B70))</f>
        <v>32</v>
      </c>
      <c r="G70" s="77" t="s">
        <v>291</v>
      </c>
      <c r="H70" s="10" t="str">
        <f>IFERROR(VLOOKUP(Raw_data!$G70,Data_base!$B:$J,2,0),"")</f>
        <v>ID250224</v>
      </c>
      <c r="I70" s="10" t="str">
        <f>IFERROR(VLOOKUP(Raw_data!$G70,Data_base!$B:$J,3,0),"")</f>
        <v>Sales</v>
      </c>
      <c r="J70" s="10" t="str">
        <f>IFERROR(VLOOKUP(Raw_data!$G70,Data_base!$B:$J,4,0),"")</f>
        <v>Junior</v>
      </c>
      <c r="K70" s="13" t="str">
        <f>IFERROR(VLOOKUP(Raw_data!$G70,Data_base!$B:$J,5,0),"")</f>
        <v>F</v>
      </c>
      <c r="L70" s="13" t="str">
        <f>IFERROR(VLOOKUP(Raw_data!$G70,Data_base!$B:$J,6,0),"")</f>
        <v>Full time</v>
      </c>
      <c r="M70" s="14">
        <f>IFERROR(VLOOKUP(Raw_data!$G70,Data_base!$B:$J,7,0),"")</f>
        <v>40420</v>
      </c>
      <c r="N70" s="13">
        <f>IFERROR(VLOOKUP(Raw_data!$G70,Data_base!$B:$J,8,0),"")</f>
        <v>33</v>
      </c>
      <c r="O70" s="11">
        <f>IFERROR(VLOOKUP(Raw_data!$G70,Data_base!$B:$J,9,0),"")</f>
        <v>6133</v>
      </c>
      <c r="P70" s="78">
        <v>1</v>
      </c>
      <c r="Q70" s="78">
        <v>4</v>
      </c>
      <c r="R70" s="77">
        <v>18</v>
      </c>
      <c r="S70" s="12">
        <f>IFERROR(1-VLOOKUP(Emp[[#This Row],[Penality]],Data_base!V:W,2,FALSE),"")</f>
        <v>0.85</v>
      </c>
      <c r="T70" s="12">
        <f>IFERROR(R70/VLOOKUP(D70,Data_base!S:T,2,0),"")</f>
        <v>0.9</v>
      </c>
      <c r="U70" s="12">
        <f>IFERROR(1-Emp[[#This Row],[Activity]],"")</f>
        <v>9.9999999999999978E-2</v>
      </c>
      <c r="V70" s="79">
        <v>0.72311665031698003</v>
      </c>
      <c r="W70" s="12">
        <f t="shared" si="1"/>
        <v>0.82437221677232664</v>
      </c>
      <c r="X70" s="78"/>
      <c r="Y70" s="12" t="str">
        <f>IFERROR(IF(Emp[[#This Row],[Increament]]="","",(Emp[[#This Row],[Increament]]/Emp[[#This Row],[Salary]])),"")</f>
        <v/>
      </c>
      <c r="Z70" s="17"/>
    </row>
    <row r="71" spans="2:26" x14ac:dyDescent="0.2">
      <c r="B71" s="75">
        <v>43818</v>
      </c>
      <c r="C71" s="38">
        <f>Emp[[#This Row],[Date]]</f>
        <v>43818</v>
      </c>
      <c r="D71" s="10">
        <f>IF(Emp[[#This Row],[Date]]="","",MONTH(Emp[[#This Row],[Date]]))</f>
        <v>12</v>
      </c>
      <c r="E71" s="64">
        <f>Emp[[#This Row],[Date]]</f>
        <v>43818</v>
      </c>
      <c r="F71" s="10">
        <f>IF(Emp[[#This Row],[Date]]="","",WEEKNUM(B71))</f>
        <v>51</v>
      </c>
      <c r="G71" s="77" t="s">
        <v>203</v>
      </c>
      <c r="H71" s="10" t="str">
        <f>IFERROR(VLOOKUP(Raw_data!$G71,Data_base!$B:$J,2,0),"")</f>
        <v>ID250136</v>
      </c>
      <c r="I71" s="10" t="str">
        <f>IFERROR(VLOOKUP(Raw_data!$G71,Data_base!$B:$J,3,0),"")</f>
        <v>HR</v>
      </c>
      <c r="J71" s="10" t="str">
        <f>IFERROR(VLOOKUP(Raw_data!$G71,Data_base!$B:$J,4,0),"")</f>
        <v>Technician</v>
      </c>
      <c r="K71" s="13" t="str">
        <f>IFERROR(VLOOKUP(Raw_data!$G71,Data_base!$B:$J,5,0),"")</f>
        <v>M</v>
      </c>
      <c r="L71" s="13" t="str">
        <f>IFERROR(VLOOKUP(Raw_data!$G71,Data_base!$B:$J,6,0),"")</f>
        <v>Full time</v>
      </c>
      <c r="M71" s="14">
        <f>IFERROR(VLOOKUP(Raw_data!$G71,Data_base!$B:$J,7,0),"")</f>
        <v>41137</v>
      </c>
      <c r="N71" s="13">
        <f>IFERROR(VLOOKUP(Raw_data!$G71,Data_base!$B:$J,8,0),"")</f>
        <v>39</v>
      </c>
      <c r="O71" s="11">
        <f>IFERROR(VLOOKUP(Raw_data!$G71,Data_base!$B:$J,9,0),"")</f>
        <v>8536</v>
      </c>
      <c r="P71" s="78">
        <v>1</v>
      </c>
      <c r="Q71" s="78">
        <v>5</v>
      </c>
      <c r="R71" s="77">
        <v>18</v>
      </c>
      <c r="S71" s="12">
        <f>IFERROR(1-VLOOKUP(Emp[[#This Row],[Penality]],Data_base!V:W,2,FALSE),"")</f>
        <v>0.85</v>
      </c>
      <c r="T71" s="12">
        <f>IFERROR(R71/VLOOKUP(D71,Data_base!S:T,2,0),"")</f>
        <v>0.75</v>
      </c>
      <c r="U71" s="12">
        <f>IFERROR(1-Emp[[#This Row],[Activity]],"")</f>
        <v>0.25</v>
      </c>
      <c r="V71" s="79">
        <v>0.70411135613528086</v>
      </c>
      <c r="W71" s="12">
        <f t="shared" si="1"/>
        <v>0.76803711871176039</v>
      </c>
      <c r="X71" s="78"/>
      <c r="Y71" s="12" t="str">
        <f>IFERROR(IF(Emp[[#This Row],[Increament]]="","",(Emp[[#This Row],[Increament]]/Emp[[#This Row],[Salary]])),"")</f>
        <v/>
      </c>
      <c r="Z71" s="17"/>
    </row>
    <row r="72" spans="2:26" x14ac:dyDescent="0.2">
      <c r="B72" s="75">
        <v>42874</v>
      </c>
      <c r="C72" s="38">
        <f>Emp[[#This Row],[Date]]</f>
        <v>42874</v>
      </c>
      <c r="D72" s="10">
        <f>IF(Emp[[#This Row],[Date]]="","",MONTH(Emp[[#This Row],[Date]]))</f>
        <v>5</v>
      </c>
      <c r="E72" s="64">
        <f>Emp[[#This Row],[Date]]</f>
        <v>42874</v>
      </c>
      <c r="F72" s="10">
        <f>IF(Emp[[#This Row],[Date]]="","",WEEKNUM(B72))</f>
        <v>20</v>
      </c>
      <c r="G72" s="77" t="s">
        <v>319</v>
      </c>
      <c r="H72" s="10" t="str">
        <f>IFERROR(VLOOKUP(Raw_data!$G72,Data_base!$B:$J,2,0),"")</f>
        <v>ID250252</v>
      </c>
      <c r="I72" s="10" t="str">
        <f>IFERROR(VLOOKUP(Raw_data!$G72,Data_base!$B:$J,3,0),"")</f>
        <v>Procurement</v>
      </c>
      <c r="J72" s="10" t="str">
        <f>IFERROR(VLOOKUP(Raw_data!$G72,Data_base!$B:$J,4,0),"")</f>
        <v>Staff</v>
      </c>
      <c r="K72" s="13" t="str">
        <f>IFERROR(VLOOKUP(Raw_data!$G72,Data_base!$B:$J,5,0),"")</f>
        <v>F</v>
      </c>
      <c r="L72" s="13" t="str">
        <f>IFERROR(VLOOKUP(Raw_data!$G72,Data_base!$B:$J,6,0),"")</f>
        <v>Part time</v>
      </c>
      <c r="M72" s="14">
        <f>IFERROR(VLOOKUP(Raw_data!$G72,Data_base!$B:$J,7,0),"")</f>
        <v>43641</v>
      </c>
      <c r="N72" s="13">
        <f>IFERROR(VLOOKUP(Raw_data!$G72,Data_base!$B:$J,8,0),"")</f>
        <v>42</v>
      </c>
      <c r="O72" s="11">
        <f>IFERROR(VLOOKUP(Raw_data!$G72,Data_base!$B:$J,9,0),"")</f>
        <v>5994</v>
      </c>
      <c r="P72" s="78">
        <v>0</v>
      </c>
      <c r="Q72" s="78">
        <v>1</v>
      </c>
      <c r="R72" s="77">
        <v>19</v>
      </c>
      <c r="S72" s="12" t="str">
        <f>IFERROR(1-VLOOKUP(Emp[[#This Row],[Penality]],Data_base!V:W,2,FALSE),"")</f>
        <v/>
      </c>
      <c r="T72" s="12">
        <f>IFERROR(R72/VLOOKUP(D72,Data_base!S:T,2,0),"")</f>
        <v>0.82608695652173914</v>
      </c>
      <c r="U72" s="12">
        <f>IFERROR(1-Emp[[#This Row],[Activity]],"")</f>
        <v>0.17391304347826086</v>
      </c>
      <c r="V72" s="79">
        <v>0.37230002587160826</v>
      </c>
      <c r="W72" s="12">
        <f t="shared" si="1"/>
        <v>0.59919349119667364</v>
      </c>
      <c r="X72" s="78"/>
      <c r="Y72" s="12" t="str">
        <f>IFERROR(IF(Emp[[#This Row],[Increament]]="","",(Emp[[#This Row],[Increament]]/Emp[[#This Row],[Salary]])),"")</f>
        <v/>
      </c>
      <c r="Z72" s="17"/>
    </row>
    <row r="73" spans="2:26" x14ac:dyDescent="0.2">
      <c r="B73" s="75">
        <v>42414</v>
      </c>
      <c r="C73" s="38">
        <f>Emp[[#This Row],[Date]]</f>
        <v>42414</v>
      </c>
      <c r="D73" s="10">
        <f>IF(Emp[[#This Row],[Date]]="","",MONTH(Emp[[#This Row],[Date]]))</f>
        <v>2</v>
      </c>
      <c r="E73" s="64">
        <f>Emp[[#This Row],[Date]]</f>
        <v>42414</v>
      </c>
      <c r="F73" s="10">
        <f>IF(Emp[[#This Row],[Date]]="","",WEEKNUM(B73))</f>
        <v>8</v>
      </c>
      <c r="G73" s="77" t="s">
        <v>234</v>
      </c>
      <c r="H73" s="10" t="str">
        <f>IFERROR(VLOOKUP(Raw_data!$G73,Data_base!$B:$J,2,0),"")</f>
        <v>ID250167</v>
      </c>
      <c r="I73" s="10" t="str">
        <f>IFERROR(VLOOKUP(Raw_data!$G73,Data_base!$B:$J,3,0),"")</f>
        <v>Material</v>
      </c>
      <c r="J73" s="10" t="str">
        <f>IFERROR(VLOOKUP(Raw_data!$G73,Data_base!$B:$J,4,0),"")</f>
        <v>Workrer</v>
      </c>
      <c r="K73" s="13" t="str">
        <f>IFERROR(VLOOKUP(Raw_data!$G73,Data_base!$B:$J,5,0),"")</f>
        <v>M</v>
      </c>
      <c r="L73" s="13" t="str">
        <f>IFERROR(VLOOKUP(Raw_data!$G73,Data_base!$B:$J,6,0),"")</f>
        <v>Full time</v>
      </c>
      <c r="M73" s="14">
        <f>IFERROR(VLOOKUP(Raw_data!$G73,Data_base!$B:$J,7,0),"")</f>
        <v>40251</v>
      </c>
      <c r="N73" s="13">
        <f>IFERROR(VLOOKUP(Raw_data!$G73,Data_base!$B:$J,8,0),"")</f>
        <v>36</v>
      </c>
      <c r="O73" s="11">
        <f>IFERROR(VLOOKUP(Raw_data!$G73,Data_base!$B:$J,9,0),"")</f>
        <v>8351</v>
      </c>
      <c r="P73" s="78">
        <v>2</v>
      </c>
      <c r="Q73" s="78">
        <v>4</v>
      </c>
      <c r="R73" s="77">
        <v>19</v>
      </c>
      <c r="S73" s="12">
        <f>IFERROR(1-VLOOKUP(Emp[[#This Row],[Penality]],Data_base!V:W,2,FALSE),"")</f>
        <v>0.7</v>
      </c>
      <c r="T73" s="12">
        <f>IFERROR(R73/VLOOKUP(D73,Data_base!S:T,2,0),"")</f>
        <v>0.79166666666666663</v>
      </c>
      <c r="U73" s="12">
        <f>IFERROR(1-Emp[[#This Row],[Activity]],"")</f>
        <v>0.20833333333333337</v>
      </c>
      <c r="V73" s="79">
        <v>0.73361431791568554</v>
      </c>
      <c r="W73" s="12">
        <f t="shared" si="1"/>
        <v>0.74176032819411741</v>
      </c>
      <c r="X73" s="78">
        <v>800</v>
      </c>
      <c r="Y73" s="12">
        <f>IFERROR(IF(Emp[[#This Row],[Increament]]="","",(Emp[[#This Row],[Increament]]/Emp[[#This Row],[Salary]])),"")</f>
        <v>9.5796910549634781E-2</v>
      </c>
      <c r="Z73" s="17"/>
    </row>
    <row r="74" spans="2:26" x14ac:dyDescent="0.2">
      <c r="B74" s="75">
        <v>43035</v>
      </c>
      <c r="C74" s="38">
        <f>Emp[[#This Row],[Date]]</f>
        <v>43035</v>
      </c>
      <c r="D74" s="10">
        <f>IF(Emp[[#This Row],[Date]]="","",MONTH(Emp[[#This Row],[Date]]))</f>
        <v>10</v>
      </c>
      <c r="E74" s="64">
        <f>Emp[[#This Row],[Date]]</f>
        <v>43035</v>
      </c>
      <c r="F74" s="10">
        <f>IF(Emp[[#This Row],[Date]]="","",WEEKNUM(B74))</f>
        <v>43</v>
      </c>
      <c r="G74" s="77" t="s">
        <v>166</v>
      </c>
      <c r="H74" s="10" t="str">
        <f>IFERROR(VLOOKUP(Raw_data!$G74,Data_base!$B:$J,2,0),"")</f>
        <v>ID250099</v>
      </c>
      <c r="I74" s="10" t="str">
        <f>IFERROR(VLOOKUP(Raw_data!$G74,Data_base!$B:$J,3,0),"")</f>
        <v>Procurement</v>
      </c>
      <c r="J74" s="10" t="str">
        <f>IFERROR(VLOOKUP(Raw_data!$G74,Data_base!$B:$J,4,0),"")</f>
        <v>Technician</v>
      </c>
      <c r="K74" s="13" t="str">
        <f>IFERROR(VLOOKUP(Raw_data!$G74,Data_base!$B:$J,5,0),"")</f>
        <v>F</v>
      </c>
      <c r="L74" s="13" t="str">
        <f>IFERROR(VLOOKUP(Raw_data!$G74,Data_base!$B:$J,6,0),"")</f>
        <v>Full time</v>
      </c>
      <c r="M74" s="14">
        <f>IFERROR(VLOOKUP(Raw_data!$G74,Data_base!$B:$J,7,0),"")</f>
        <v>42449</v>
      </c>
      <c r="N74" s="13">
        <f>IFERROR(VLOOKUP(Raw_data!$G74,Data_base!$B:$J,8,0),"")</f>
        <v>44</v>
      </c>
      <c r="O74" s="11">
        <f>IFERROR(VLOOKUP(Raw_data!$G74,Data_base!$B:$J,9,0),"")</f>
        <v>6201</v>
      </c>
      <c r="P74" s="78">
        <v>1</v>
      </c>
      <c r="Q74" s="78">
        <v>3</v>
      </c>
      <c r="R74" s="77">
        <v>19</v>
      </c>
      <c r="S74" s="12">
        <f>IFERROR(1-VLOOKUP(Emp[[#This Row],[Penality]],Data_base!V:W,2,FALSE),"")</f>
        <v>0.85</v>
      </c>
      <c r="T74" s="12">
        <f>IFERROR(R74/VLOOKUP(D74,Data_base!S:T,2,0),"")</f>
        <v>0.86363636363636365</v>
      </c>
      <c r="U74" s="12">
        <f>IFERROR(1-Emp[[#This Row],[Activity]],"")</f>
        <v>0.13636363636363635</v>
      </c>
      <c r="V74" s="79">
        <v>0.90600390876807702</v>
      </c>
      <c r="W74" s="12">
        <f t="shared" si="1"/>
        <v>0.87321342413481362</v>
      </c>
      <c r="X74" s="78"/>
      <c r="Y74" s="12" t="str">
        <f>IFERROR(IF(Emp[[#This Row],[Increament]]="","",(Emp[[#This Row],[Increament]]/Emp[[#This Row],[Salary]])),"")</f>
        <v/>
      </c>
      <c r="Z74" s="17"/>
    </row>
    <row r="75" spans="2:26" x14ac:dyDescent="0.2">
      <c r="B75" s="75">
        <v>43761</v>
      </c>
      <c r="C75" s="38">
        <f>Emp[[#This Row],[Date]]</f>
        <v>43761</v>
      </c>
      <c r="D75" s="10">
        <f>IF(Emp[[#This Row],[Date]]="","",MONTH(Emp[[#This Row],[Date]]))</f>
        <v>10</v>
      </c>
      <c r="E75" s="64">
        <f>Emp[[#This Row],[Date]]</f>
        <v>43761</v>
      </c>
      <c r="F75" s="10">
        <f>IF(Emp[[#This Row],[Date]]="","",WEEKNUM(B75))</f>
        <v>43</v>
      </c>
      <c r="G75" s="77" t="s">
        <v>192</v>
      </c>
      <c r="H75" s="10" t="str">
        <f>IFERROR(VLOOKUP(Raw_data!$G75,Data_base!$B:$J,2,0),"")</f>
        <v>ID250125</v>
      </c>
      <c r="I75" s="10" t="str">
        <f>IFERROR(VLOOKUP(Raw_data!$G75,Data_base!$B:$J,3,0),"")</f>
        <v>Sales</v>
      </c>
      <c r="J75" s="10" t="str">
        <f>IFERROR(VLOOKUP(Raw_data!$G75,Data_base!$B:$J,4,0),"")</f>
        <v>Senior</v>
      </c>
      <c r="K75" s="13" t="str">
        <f>IFERROR(VLOOKUP(Raw_data!$G75,Data_base!$B:$J,5,0),"")</f>
        <v>M</v>
      </c>
      <c r="L75" s="13" t="str">
        <f>IFERROR(VLOOKUP(Raw_data!$G75,Data_base!$B:$J,6,0),"")</f>
        <v>Full time</v>
      </c>
      <c r="M75" s="14">
        <f>IFERROR(VLOOKUP(Raw_data!$G75,Data_base!$B:$J,7,0),"")</f>
        <v>41623</v>
      </c>
      <c r="N75" s="13">
        <f>IFERROR(VLOOKUP(Raw_data!$G75,Data_base!$B:$J,8,0),"")</f>
        <v>33</v>
      </c>
      <c r="O75" s="11">
        <f>IFERROR(VLOOKUP(Raw_data!$G75,Data_base!$B:$J,9,0),"")</f>
        <v>8650</v>
      </c>
      <c r="P75" s="78">
        <v>3</v>
      </c>
      <c r="Q75" s="78">
        <v>4</v>
      </c>
      <c r="R75" s="77">
        <v>18</v>
      </c>
      <c r="S75" s="12">
        <f>IFERROR(1-VLOOKUP(Emp[[#This Row],[Penality]],Data_base!V:W,2,FALSE),"")</f>
        <v>0.55000000000000004</v>
      </c>
      <c r="T75" s="12">
        <f>IFERROR(R75/VLOOKUP(D75,Data_base!S:T,2,0),"")</f>
        <v>0.81818181818181823</v>
      </c>
      <c r="U75" s="12">
        <f>IFERROR(1-Emp[[#This Row],[Activity]],"")</f>
        <v>0.18181818181818177</v>
      </c>
      <c r="V75" s="79">
        <v>0.21839440402696542</v>
      </c>
      <c r="W75" s="12">
        <f t="shared" si="1"/>
        <v>0.52885874073626116</v>
      </c>
      <c r="X75" s="78"/>
      <c r="Y75" s="12" t="str">
        <f>IFERROR(IF(Emp[[#This Row],[Increament]]="","",(Emp[[#This Row],[Increament]]/Emp[[#This Row],[Salary]])),"")</f>
        <v/>
      </c>
      <c r="Z75" s="17"/>
    </row>
    <row r="76" spans="2:26" x14ac:dyDescent="0.2">
      <c r="B76" s="75">
        <v>43529</v>
      </c>
      <c r="C76" s="38">
        <f>Emp[[#This Row],[Date]]</f>
        <v>43529</v>
      </c>
      <c r="D76" s="10">
        <f>IF(Emp[[#This Row],[Date]]="","",MONTH(Emp[[#This Row],[Date]]))</f>
        <v>3</v>
      </c>
      <c r="E76" s="64">
        <f>Emp[[#This Row],[Date]]</f>
        <v>43529</v>
      </c>
      <c r="F76" s="10">
        <f>IF(Emp[[#This Row],[Date]]="","",WEEKNUM(B76))</f>
        <v>10</v>
      </c>
      <c r="G76" s="77" t="s">
        <v>215</v>
      </c>
      <c r="H76" s="10" t="str">
        <f>IFERROR(VLOOKUP(Raw_data!$G76,Data_base!$B:$J,2,0),"")</f>
        <v>ID250148</v>
      </c>
      <c r="I76" s="10" t="str">
        <f>IFERROR(VLOOKUP(Raw_data!$G76,Data_base!$B:$J,3,0),"")</f>
        <v>Finance</v>
      </c>
      <c r="J76" s="10" t="str">
        <f>IFERROR(VLOOKUP(Raw_data!$G76,Data_base!$B:$J,4,0),"")</f>
        <v>Staff</v>
      </c>
      <c r="K76" s="13" t="str">
        <f>IFERROR(VLOOKUP(Raw_data!$G76,Data_base!$B:$J,5,0),"")</f>
        <v>M</v>
      </c>
      <c r="L76" s="13" t="str">
        <f>IFERROR(VLOOKUP(Raw_data!$G76,Data_base!$B:$J,6,0),"")</f>
        <v>Full time</v>
      </c>
      <c r="M76" s="14">
        <f>IFERROR(VLOOKUP(Raw_data!$G76,Data_base!$B:$J,7,0),"")</f>
        <v>40937</v>
      </c>
      <c r="N76" s="13">
        <f>IFERROR(VLOOKUP(Raw_data!$G76,Data_base!$B:$J,8,0),"")</f>
        <v>43</v>
      </c>
      <c r="O76" s="11">
        <f>IFERROR(VLOOKUP(Raw_data!$G76,Data_base!$B:$J,9,0),"")</f>
        <v>5440</v>
      </c>
      <c r="P76" s="78">
        <v>2</v>
      </c>
      <c r="Q76" s="78">
        <v>3</v>
      </c>
      <c r="R76" s="77">
        <v>20</v>
      </c>
      <c r="S76" s="12">
        <f>IFERROR(1-VLOOKUP(Emp[[#This Row],[Penality]],Data_base!V:W,2,FALSE),"")</f>
        <v>0.7</v>
      </c>
      <c r="T76" s="12">
        <f>IFERROR(R76/VLOOKUP(D76,Data_base!S:T,2,0),"")</f>
        <v>0.86956521739130432</v>
      </c>
      <c r="U76" s="12">
        <f>IFERROR(1-Emp[[#This Row],[Activity]],"")</f>
        <v>0.13043478260869568</v>
      </c>
      <c r="V76" s="79">
        <v>0.25816009098118164</v>
      </c>
      <c r="W76" s="12">
        <f t="shared" si="1"/>
        <v>0.60924176945749531</v>
      </c>
      <c r="X76" s="78"/>
      <c r="Y76" s="12" t="str">
        <f>IFERROR(IF(Emp[[#This Row],[Increament]]="","",(Emp[[#This Row],[Increament]]/Emp[[#This Row],[Salary]])),"")</f>
        <v/>
      </c>
      <c r="Z76" s="17"/>
    </row>
    <row r="77" spans="2:26" x14ac:dyDescent="0.2">
      <c r="B77" s="75">
        <v>43707</v>
      </c>
      <c r="C77" s="38">
        <f>Emp[[#This Row],[Date]]</f>
        <v>43707</v>
      </c>
      <c r="D77" s="10">
        <f>IF(Emp[[#This Row],[Date]]="","",MONTH(Emp[[#This Row],[Date]]))</f>
        <v>8</v>
      </c>
      <c r="E77" s="64">
        <f>Emp[[#This Row],[Date]]</f>
        <v>43707</v>
      </c>
      <c r="F77" s="10">
        <f>IF(Emp[[#This Row],[Date]]="","",WEEKNUM(B77))</f>
        <v>35</v>
      </c>
      <c r="G77" s="77" t="s">
        <v>221</v>
      </c>
      <c r="H77" s="10" t="str">
        <f>IFERROR(VLOOKUP(Raw_data!$G77,Data_base!$B:$J,2,0),"")</f>
        <v>ID250154</v>
      </c>
      <c r="I77" s="10" t="str">
        <f>IFERROR(VLOOKUP(Raw_data!$G77,Data_base!$B:$J,3,0),"")</f>
        <v>Material</v>
      </c>
      <c r="J77" s="10" t="str">
        <f>IFERROR(VLOOKUP(Raw_data!$G77,Data_base!$B:$J,4,0),"")</f>
        <v>Manager</v>
      </c>
      <c r="K77" s="13" t="str">
        <f>IFERROR(VLOOKUP(Raw_data!$G77,Data_base!$B:$J,5,0),"")</f>
        <v>M</v>
      </c>
      <c r="L77" s="13" t="str">
        <f>IFERROR(VLOOKUP(Raw_data!$G77,Data_base!$B:$J,6,0),"")</f>
        <v>Part time</v>
      </c>
      <c r="M77" s="14">
        <f>IFERROR(VLOOKUP(Raw_data!$G77,Data_base!$B:$J,7,0),"")</f>
        <v>43526</v>
      </c>
      <c r="N77" s="13">
        <f>IFERROR(VLOOKUP(Raw_data!$G77,Data_base!$B:$J,8,0),"")</f>
        <v>33</v>
      </c>
      <c r="O77" s="11">
        <f>IFERROR(VLOOKUP(Raw_data!$G77,Data_base!$B:$J,9,0),"")</f>
        <v>6382</v>
      </c>
      <c r="P77" s="78">
        <v>3</v>
      </c>
      <c r="Q77" s="78">
        <v>4</v>
      </c>
      <c r="R77" s="77">
        <v>20</v>
      </c>
      <c r="S77" s="12">
        <f>IFERROR(1-VLOOKUP(Emp[[#This Row],[Penality]],Data_base!V:W,2,FALSE),"")</f>
        <v>0.55000000000000004</v>
      </c>
      <c r="T77" s="12">
        <f>IFERROR(R77/VLOOKUP(D77,Data_base!S:T,2,0),"")</f>
        <v>1</v>
      </c>
      <c r="U77" s="12">
        <f>IFERROR(1-Emp[[#This Row],[Activity]],"")</f>
        <v>0</v>
      </c>
      <c r="V77" s="79">
        <v>0.71726438047687457</v>
      </c>
      <c r="W77" s="12">
        <f t="shared" si="1"/>
        <v>0.75575479349229158</v>
      </c>
      <c r="X77" s="78">
        <v>1000</v>
      </c>
      <c r="Y77" s="12">
        <f>IFERROR(IF(Emp[[#This Row],[Increament]]="","",(Emp[[#This Row],[Increament]]/Emp[[#This Row],[Salary]])),"")</f>
        <v>0.15669069257286117</v>
      </c>
      <c r="Z77" s="17"/>
    </row>
    <row r="78" spans="2:26" x14ac:dyDescent="0.2">
      <c r="B78" s="75">
        <v>42565</v>
      </c>
      <c r="C78" s="38">
        <f>Emp[[#This Row],[Date]]</f>
        <v>42565</v>
      </c>
      <c r="D78" s="10">
        <f>IF(Emp[[#This Row],[Date]]="","",MONTH(Emp[[#This Row],[Date]]))</f>
        <v>7</v>
      </c>
      <c r="E78" s="64">
        <f>Emp[[#This Row],[Date]]</f>
        <v>42565</v>
      </c>
      <c r="F78" s="10">
        <f>IF(Emp[[#This Row],[Date]]="","",WEEKNUM(B78))</f>
        <v>29</v>
      </c>
      <c r="G78" s="77" t="s">
        <v>121</v>
      </c>
      <c r="H78" s="10" t="str">
        <f>IFERROR(VLOOKUP(Raw_data!$G78,Data_base!$B:$J,2,0),"")</f>
        <v>ID250054</v>
      </c>
      <c r="I78" s="10" t="str">
        <f>IFERROR(VLOOKUP(Raw_data!$G78,Data_base!$B:$J,3,0),"")</f>
        <v>Planning</v>
      </c>
      <c r="J78" s="10" t="str">
        <f>IFERROR(VLOOKUP(Raw_data!$G78,Data_base!$B:$J,4,0),"")</f>
        <v>Staff</v>
      </c>
      <c r="K78" s="13" t="str">
        <f>IFERROR(VLOOKUP(Raw_data!$G78,Data_base!$B:$J,5,0),"")</f>
        <v>M</v>
      </c>
      <c r="L78" s="13" t="str">
        <f>IFERROR(VLOOKUP(Raw_data!$G78,Data_base!$B:$J,6,0),"")</f>
        <v>Part time</v>
      </c>
      <c r="M78" s="14">
        <f>IFERROR(VLOOKUP(Raw_data!$G78,Data_base!$B:$J,7,0),"")</f>
        <v>43104</v>
      </c>
      <c r="N78" s="13">
        <f>IFERROR(VLOOKUP(Raw_data!$G78,Data_base!$B:$J,8,0),"")</f>
        <v>42</v>
      </c>
      <c r="O78" s="11">
        <f>IFERROR(VLOOKUP(Raw_data!$G78,Data_base!$B:$J,9,0),"")</f>
        <v>6701</v>
      </c>
      <c r="P78" s="78">
        <v>0</v>
      </c>
      <c r="Q78" s="78">
        <v>5</v>
      </c>
      <c r="R78" s="77">
        <v>20</v>
      </c>
      <c r="S78" s="12" t="str">
        <f>IFERROR(1-VLOOKUP(Emp[[#This Row],[Penality]],Data_base!V:W,2,FALSE),"")</f>
        <v/>
      </c>
      <c r="T78" s="12">
        <f>IFERROR(R78/VLOOKUP(D78,Data_base!S:T,2,0),"")</f>
        <v>0.90909090909090906</v>
      </c>
      <c r="U78" s="12">
        <f>IFERROR(1-Emp[[#This Row],[Activity]],"")</f>
        <v>9.0909090909090939E-2</v>
      </c>
      <c r="V78" s="79">
        <v>0.94697056838311744</v>
      </c>
      <c r="W78" s="12">
        <f t="shared" si="1"/>
        <v>0.92803073873701325</v>
      </c>
      <c r="X78" s="78"/>
      <c r="Y78" s="12" t="str">
        <f>IFERROR(IF(Emp[[#This Row],[Increament]]="","",(Emp[[#This Row],[Increament]]/Emp[[#This Row],[Salary]])),"")</f>
        <v/>
      </c>
      <c r="Z78" s="17"/>
    </row>
    <row r="79" spans="2:26" x14ac:dyDescent="0.2">
      <c r="B79" s="75">
        <v>42692</v>
      </c>
      <c r="C79" s="38">
        <f>Emp[[#This Row],[Date]]</f>
        <v>42692</v>
      </c>
      <c r="D79" s="10">
        <f>IF(Emp[[#This Row],[Date]]="","",MONTH(Emp[[#This Row],[Date]]))</f>
        <v>11</v>
      </c>
      <c r="E79" s="64">
        <f>Emp[[#This Row],[Date]]</f>
        <v>42692</v>
      </c>
      <c r="F79" s="10">
        <f>IF(Emp[[#This Row],[Date]]="","",WEEKNUM(B79))</f>
        <v>47</v>
      </c>
      <c r="G79" s="77" t="s">
        <v>334</v>
      </c>
      <c r="H79" s="10" t="str">
        <f>IFERROR(VLOOKUP(Raw_data!$G79,Data_base!$B:$J,2,0),"")</f>
        <v>ID250267</v>
      </c>
      <c r="I79" s="10" t="str">
        <f>IFERROR(VLOOKUP(Raw_data!$G79,Data_base!$B:$J,3,0),"")</f>
        <v>Production</v>
      </c>
      <c r="J79" s="10" t="str">
        <f>IFERROR(VLOOKUP(Raw_data!$G79,Data_base!$B:$J,4,0),"")</f>
        <v>Workrer</v>
      </c>
      <c r="K79" s="13" t="str">
        <f>IFERROR(VLOOKUP(Raw_data!$G79,Data_base!$B:$J,5,0),"")</f>
        <v>F</v>
      </c>
      <c r="L79" s="13" t="str">
        <f>IFERROR(VLOOKUP(Raw_data!$G79,Data_base!$B:$J,6,0),"")</f>
        <v>Full time</v>
      </c>
      <c r="M79" s="14">
        <f>IFERROR(VLOOKUP(Raw_data!$G79,Data_base!$B:$J,7,0),"")</f>
        <v>43070</v>
      </c>
      <c r="N79" s="13">
        <f>IFERROR(VLOOKUP(Raw_data!$G79,Data_base!$B:$J,8,0),"")</f>
        <v>32</v>
      </c>
      <c r="O79" s="11">
        <f>IFERROR(VLOOKUP(Raw_data!$G79,Data_base!$B:$J,9,0),"")</f>
        <v>4899</v>
      </c>
      <c r="P79" s="78">
        <v>2</v>
      </c>
      <c r="Q79" s="78">
        <v>5</v>
      </c>
      <c r="R79" s="77">
        <v>20</v>
      </c>
      <c r="S79" s="12">
        <f>IFERROR(1-VLOOKUP(Emp[[#This Row],[Penality]],Data_base!V:W,2,FALSE),"")</f>
        <v>0.7</v>
      </c>
      <c r="T79" s="12">
        <f>IFERROR(R79/VLOOKUP(D79,Data_base!S:T,2,0),"")</f>
        <v>0.86956521739130432</v>
      </c>
      <c r="U79" s="12">
        <f>IFERROR(1-Emp[[#This Row],[Activity]],"")</f>
        <v>0.13043478260869568</v>
      </c>
      <c r="V79" s="79">
        <v>0.40133021301536975</v>
      </c>
      <c r="W79" s="12">
        <f t="shared" si="1"/>
        <v>0.65696514346889134</v>
      </c>
      <c r="X79" s="78">
        <v>500</v>
      </c>
      <c r="Y79" s="12">
        <f>IFERROR(IF(Emp[[#This Row],[Increament]]="","",(Emp[[#This Row],[Increament]]/Emp[[#This Row],[Salary]])),"")</f>
        <v>0.10206164523372117</v>
      </c>
      <c r="Z79" s="17"/>
    </row>
    <row r="80" spans="2:26" x14ac:dyDescent="0.2">
      <c r="B80" s="75">
        <v>43569</v>
      </c>
      <c r="C80" s="38">
        <f>Emp[[#This Row],[Date]]</f>
        <v>43569</v>
      </c>
      <c r="D80" s="10">
        <f>IF(Emp[[#This Row],[Date]]="","",MONTH(Emp[[#This Row],[Date]]))</f>
        <v>4</v>
      </c>
      <c r="E80" s="64">
        <f>Emp[[#This Row],[Date]]</f>
        <v>43569</v>
      </c>
      <c r="F80" s="10">
        <f>IF(Emp[[#This Row],[Date]]="","",WEEKNUM(B80))</f>
        <v>16</v>
      </c>
      <c r="G80" s="77" t="s">
        <v>195</v>
      </c>
      <c r="H80" s="10" t="str">
        <f>IFERROR(VLOOKUP(Raw_data!$G80,Data_base!$B:$J,2,0),"")</f>
        <v>ID250128</v>
      </c>
      <c r="I80" s="10" t="str">
        <f>IFERROR(VLOOKUP(Raw_data!$G80,Data_base!$B:$J,3,0),"")</f>
        <v>HR</v>
      </c>
      <c r="J80" s="10" t="str">
        <f>IFERROR(VLOOKUP(Raw_data!$G80,Data_base!$B:$J,4,0),"")</f>
        <v>Staff</v>
      </c>
      <c r="K80" s="13" t="str">
        <f>IFERROR(VLOOKUP(Raw_data!$G80,Data_base!$B:$J,5,0),"")</f>
        <v>M</v>
      </c>
      <c r="L80" s="13" t="str">
        <f>IFERROR(VLOOKUP(Raw_data!$G80,Data_base!$B:$J,6,0),"")</f>
        <v>Part time</v>
      </c>
      <c r="M80" s="14">
        <f>IFERROR(VLOOKUP(Raw_data!$G80,Data_base!$B:$J,7,0),"")</f>
        <v>42251</v>
      </c>
      <c r="N80" s="13">
        <f>IFERROR(VLOOKUP(Raw_data!$G80,Data_base!$B:$J,8,0),"")</f>
        <v>41</v>
      </c>
      <c r="O80" s="11">
        <f>IFERROR(VLOOKUP(Raw_data!$G80,Data_base!$B:$J,9,0),"")</f>
        <v>6197</v>
      </c>
      <c r="P80" s="78">
        <v>2</v>
      </c>
      <c r="Q80" s="78">
        <v>2</v>
      </c>
      <c r="R80" s="77">
        <v>19</v>
      </c>
      <c r="S80" s="12">
        <f>IFERROR(1-VLOOKUP(Emp[[#This Row],[Penality]],Data_base!V:W,2,FALSE),"")</f>
        <v>0.7</v>
      </c>
      <c r="T80" s="12">
        <f>IFERROR(R80/VLOOKUP(D80,Data_base!S:T,2,0),"")</f>
        <v>0.79166666666666663</v>
      </c>
      <c r="U80" s="12">
        <f>IFERROR(1-Emp[[#This Row],[Activity]],"")</f>
        <v>0.20833333333333337</v>
      </c>
      <c r="V80" s="79">
        <v>9.3510120998221646E-2</v>
      </c>
      <c r="W80" s="12">
        <f t="shared" si="1"/>
        <v>0.52839226255496274</v>
      </c>
      <c r="X80" s="78">
        <v>400</v>
      </c>
      <c r="Y80" s="12">
        <f>IFERROR(IF(Emp[[#This Row],[Increament]]="","",(Emp[[#This Row],[Increament]]/Emp[[#This Row],[Salary]])),"")</f>
        <v>6.4547361626593511E-2</v>
      </c>
      <c r="Z80" s="17"/>
    </row>
    <row r="81" spans="2:26" x14ac:dyDescent="0.2">
      <c r="B81" s="75">
        <v>43171</v>
      </c>
      <c r="C81" s="38">
        <f>Emp[[#This Row],[Date]]</f>
        <v>43171</v>
      </c>
      <c r="D81" s="10">
        <f>IF(Emp[[#This Row],[Date]]="","",MONTH(Emp[[#This Row],[Date]]))</f>
        <v>3</v>
      </c>
      <c r="E81" s="64">
        <f>Emp[[#This Row],[Date]]</f>
        <v>43171</v>
      </c>
      <c r="F81" s="10">
        <f>IF(Emp[[#This Row],[Date]]="","",WEEKNUM(B81))</f>
        <v>11</v>
      </c>
      <c r="G81" s="77" t="s">
        <v>204</v>
      </c>
      <c r="H81" s="10" t="str">
        <f>IFERROR(VLOOKUP(Raw_data!$G81,Data_base!$B:$J,2,0),"")</f>
        <v>ID250137</v>
      </c>
      <c r="I81" s="10" t="str">
        <f>IFERROR(VLOOKUP(Raw_data!$G81,Data_base!$B:$J,3,0),"")</f>
        <v>Sales</v>
      </c>
      <c r="J81" s="10" t="str">
        <f>IFERROR(VLOOKUP(Raw_data!$G81,Data_base!$B:$J,4,0),"")</f>
        <v>Workrer</v>
      </c>
      <c r="K81" s="13" t="str">
        <f>IFERROR(VLOOKUP(Raw_data!$G81,Data_base!$B:$J,5,0),"")</f>
        <v>F</v>
      </c>
      <c r="L81" s="13" t="str">
        <f>IFERROR(VLOOKUP(Raw_data!$G81,Data_base!$B:$J,6,0),"")</f>
        <v>Full time</v>
      </c>
      <c r="M81" s="14">
        <f>IFERROR(VLOOKUP(Raw_data!$G81,Data_base!$B:$J,7,0),"")</f>
        <v>42546</v>
      </c>
      <c r="N81" s="13">
        <f>IFERROR(VLOOKUP(Raw_data!$G81,Data_base!$B:$J,8,0),"")</f>
        <v>31</v>
      </c>
      <c r="O81" s="11">
        <f>IFERROR(VLOOKUP(Raw_data!$G81,Data_base!$B:$J,9,0),"")</f>
        <v>7454</v>
      </c>
      <c r="P81" s="78">
        <v>1</v>
      </c>
      <c r="Q81" s="78">
        <v>5</v>
      </c>
      <c r="R81" s="77">
        <v>20</v>
      </c>
      <c r="S81" s="12">
        <f>IFERROR(1-VLOOKUP(Emp[[#This Row],[Penality]],Data_base!V:W,2,FALSE),"")</f>
        <v>0.85</v>
      </c>
      <c r="T81" s="12">
        <f>IFERROR(R81/VLOOKUP(D81,Data_base!S:T,2,0),"")</f>
        <v>0.86956521739130432</v>
      </c>
      <c r="U81" s="12">
        <f>IFERROR(1-Emp[[#This Row],[Activity]],"")</f>
        <v>0.13043478260869568</v>
      </c>
      <c r="V81" s="79">
        <v>0.53540596821306152</v>
      </c>
      <c r="W81" s="12">
        <f t="shared" si="1"/>
        <v>0.75165706186812198</v>
      </c>
      <c r="X81" s="78"/>
      <c r="Y81" s="12" t="str">
        <f>IFERROR(IF(Emp[[#This Row],[Increament]]="","",(Emp[[#This Row],[Increament]]/Emp[[#This Row],[Salary]])),"")</f>
        <v/>
      </c>
      <c r="Z81" s="17"/>
    </row>
    <row r="82" spans="2:26" x14ac:dyDescent="0.2">
      <c r="B82" s="75">
        <v>42566</v>
      </c>
      <c r="C82" s="38">
        <f>Emp[[#This Row],[Date]]</f>
        <v>42566</v>
      </c>
      <c r="D82" s="10">
        <f>IF(Emp[[#This Row],[Date]]="","",MONTH(Emp[[#This Row],[Date]]))</f>
        <v>7</v>
      </c>
      <c r="E82" s="64">
        <f>Emp[[#This Row],[Date]]</f>
        <v>42566</v>
      </c>
      <c r="F82" s="10">
        <f>IF(Emp[[#This Row],[Date]]="","",WEEKNUM(B82))</f>
        <v>29</v>
      </c>
      <c r="G82" s="77" t="s">
        <v>293</v>
      </c>
      <c r="H82" s="10" t="str">
        <f>IFERROR(VLOOKUP(Raw_data!$G82,Data_base!$B:$J,2,0),"")</f>
        <v>ID250226</v>
      </c>
      <c r="I82" s="10" t="str">
        <f>IFERROR(VLOOKUP(Raw_data!$G82,Data_base!$B:$J,3,0),"")</f>
        <v>Procurement</v>
      </c>
      <c r="J82" s="10" t="str">
        <f>IFERROR(VLOOKUP(Raw_data!$G82,Data_base!$B:$J,4,0),"")</f>
        <v>Senior</v>
      </c>
      <c r="K82" s="13" t="str">
        <f>IFERROR(VLOOKUP(Raw_data!$G82,Data_base!$B:$J,5,0),"")</f>
        <v>M</v>
      </c>
      <c r="L82" s="13" t="str">
        <f>IFERROR(VLOOKUP(Raw_data!$G82,Data_base!$B:$J,6,0),"")</f>
        <v>Full time</v>
      </c>
      <c r="M82" s="14">
        <f>IFERROR(VLOOKUP(Raw_data!$G82,Data_base!$B:$J,7,0),"")</f>
        <v>41458</v>
      </c>
      <c r="N82" s="13">
        <f>IFERROR(VLOOKUP(Raw_data!$G82,Data_base!$B:$J,8,0),"")</f>
        <v>39</v>
      </c>
      <c r="O82" s="11">
        <f>IFERROR(VLOOKUP(Raw_data!$G82,Data_base!$B:$J,9,0),"")</f>
        <v>4907</v>
      </c>
      <c r="P82" s="78">
        <v>0</v>
      </c>
      <c r="Q82" s="78">
        <v>1</v>
      </c>
      <c r="R82" s="77">
        <v>19</v>
      </c>
      <c r="S82" s="12" t="str">
        <f>IFERROR(1-VLOOKUP(Emp[[#This Row],[Penality]],Data_base!V:W,2,FALSE),"")</f>
        <v/>
      </c>
      <c r="T82" s="12">
        <f>IFERROR(R82/VLOOKUP(D82,Data_base!S:T,2,0),"")</f>
        <v>0.86363636363636365</v>
      </c>
      <c r="U82" s="12">
        <f>IFERROR(1-Emp[[#This Row],[Activity]],"")</f>
        <v>0.13636363636363635</v>
      </c>
      <c r="V82" s="79">
        <v>0.47292913752400967</v>
      </c>
      <c r="W82" s="12">
        <f t="shared" si="1"/>
        <v>0.66828275058018671</v>
      </c>
      <c r="X82" s="78"/>
      <c r="Y82" s="12" t="str">
        <f>IFERROR(IF(Emp[[#This Row],[Increament]]="","",(Emp[[#This Row],[Increament]]/Emp[[#This Row],[Salary]])),"")</f>
        <v/>
      </c>
      <c r="Z82" s="17"/>
    </row>
    <row r="83" spans="2:26" x14ac:dyDescent="0.2">
      <c r="B83" s="75">
        <v>42942</v>
      </c>
      <c r="C83" s="38">
        <f>Emp[[#This Row],[Date]]</f>
        <v>42942</v>
      </c>
      <c r="D83" s="10">
        <f>IF(Emp[[#This Row],[Date]]="","",MONTH(Emp[[#This Row],[Date]]))</f>
        <v>7</v>
      </c>
      <c r="E83" s="64">
        <f>Emp[[#This Row],[Date]]</f>
        <v>42942</v>
      </c>
      <c r="F83" s="10">
        <f>IF(Emp[[#This Row],[Date]]="","",WEEKNUM(B83))</f>
        <v>30</v>
      </c>
      <c r="G83" s="77" t="s">
        <v>263</v>
      </c>
      <c r="H83" s="10" t="str">
        <f>IFERROR(VLOOKUP(Raw_data!$G83,Data_base!$B:$J,2,0),"")</f>
        <v>ID250196</v>
      </c>
      <c r="I83" s="10" t="str">
        <f>IFERROR(VLOOKUP(Raw_data!$G83,Data_base!$B:$J,3,0),"")</f>
        <v>Planning</v>
      </c>
      <c r="J83" s="10" t="str">
        <f>IFERROR(VLOOKUP(Raw_data!$G83,Data_base!$B:$J,4,0),"")</f>
        <v>Workrer</v>
      </c>
      <c r="K83" s="13" t="str">
        <f>IFERROR(VLOOKUP(Raw_data!$G83,Data_base!$B:$J,5,0),"")</f>
        <v>F</v>
      </c>
      <c r="L83" s="13" t="str">
        <f>IFERROR(VLOOKUP(Raw_data!$G83,Data_base!$B:$J,6,0),"")</f>
        <v>Full time</v>
      </c>
      <c r="M83" s="14">
        <f>IFERROR(VLOOKUP(Raw_data!$G83,Data_base!$B:$J,7,0),"")</f>
        <v>41851</v>
      </c>
      <c r="N83" s="13">
        <f>IFERROR(VLOOKUP(Raw_data!$G83,Data_base!$B:$J,8,0),"")</f>
        <v>37</v>
      </c>
      <c r="O83" s="11">
        <f>IFERROR(VLOOKUP(Raw_data!$G83,Data_base!$B:$J,9,0),"")</f>
        <v>7684</v>
      </c>
      <c r="P83" s="78">
        <v>2</v>
      </c>
      <c r="Q83" s="78">
        <v>4</v>
      </c>
      <c r="R83" s="77">
        <v>20</v>
      </c>
      <c r="S83" s="12">
        <f>IFERROR(1-VLOOKUP(Emp[[#This Row],[Penality]],Data_base!V:W,2,FALSE),"")</f>
        <v>0.7</v>
      </c>
      <c r="T83" s="12">
        <f>IFERROR(R83/VLOOKUP(D83,Data_base!S:T,2,0),"")</f>
        <v>0.90909090909090906</v>
      </c>
      <c r="U83" s="12">
        <f>IFERROR(1-Emp[[#This Row],[Activity]],"")</f>
        <v>9.0909090909090939E-2</v>
      </c>
      <c r="V83" s="79">
        <v>0.3771577271677633</v>
      </c>
      <c r="W83" s="12">
        <f t="shared" si="1"/>
        <v>0.66208287875289085</v>
      </c>
      <c r="X83" s="78"/>
      <c r="Y83" s="12" t="str">
        <f>IFERROR(IF(Emp[[#This Row],[Increament]]="","",(Emp[[#This Row],[Increament]]/Emp[[#This Row],[Salary]])),"")</f>
        <v/>
      </c>
      <c r="Z83" s="17"/>
    </row>
    <row r="84" spans="2:26" x14ac:dyDescent="0.2">
      <c r="B84" s="75">
        <v>42539</v>
      </c>
      <c r="C84" s="38">
        <f>Emp[[#This Row],[Date]]</f>
        <v>42539</v>
      </c>
      <c r="D84" s="10">
        <f>IF(Emp[[#This Row],[Date]]="","",MONTH(Emp[[#This Row],[Date]]))</f>
        <v>6</v>
      </c>
      <c r="E84" s="64">
        <f>Emp[[#This Row],[Date]]</f>
        <v>42539</v>
      </c>
      <c r="F84" s="10">
        <f>IF(Emp[[#This Row],[Date]]="","",WEEKNUM(B84))</f>
        <v>25</v>
      </c>
      <c r="G84" s="77" t="s">
        <v>283</v>
      </c>
      <c r="H84" s="10" t="str">
        <f>IFERROR(VLOOKUP(Raw_data!$G84,Data_base!$B:$J,2,0),"")</f>
        <v>ID250216</v>
      </c>
      <c r="I84" s="10" t="str">
        <f>IFERROR(VLOOKUP(Raw_data!$G84,Data_base!$B:$J,3,0),"")</f>
        <v>HR</v>
      </c>
      <c r="J84" s="10" t="str">
        <f>IFERROR(VLOOKUP(Raw_data!$G84,Data_base!$B:$J,4,0),"")</f>
        <v>Workrer</v>
      </c>
      <c r="K84" s="13" t="str">
        <f>IFERROR(VLOOKUP(Raw_data!$G84,Data_base!$B:$J,5,0),"")</f>
        <v>F</v>
      </c>
      <c r="L84" s="13" t="str">
        <f>IFERROR(VLOOKUP(Raw_data!$G84,Data_base!$B:$J,6,0),"")</f>
        <v>Full time</v>
      </c>
      <c r="M84" s="14">
        <f>IFERROR(VLOOKUP(Raw_data!$G84,Data_base!$B:$J,7,0),"")</f>
        <v>42253</v>
      </c>
      <c r="N84" s="13">
        <f>IFERROR(VLOOKUP(Raw_data!$G84,Data_base!$B:$J,8,0),"")</f>
        <v>43</v>
      </c>
      <c r="O84" s="11">
        <f>IFERROR(VLOOKUP(Raw_data!$G84,Data_base!$B:$J,9,0),"")</f>
        <v>5103</v>
      </c>
      <c r="P84" s="78">
        <v>2</v>
      </c>
      <c r="Q84" s="78">
        <v>2</v>
      </c>
      <c r="R84" s="77">
        <v>19</v>
      </c>
      <c r="S84" s="12">
        <f>IFERROR(1-VLOOKUP(Emp[[#This Row],[Penality]],Data_base!V:W,2,FALSE),"")</f>
        <v>0.7</v>
      </c>
      <c r="T84" s="12">
        <f>IFERROR(R84/VLOOKUP(D84,Data_base!S:T,2,0),"")</f>
        <v>0.95</v>
      </c>
      <c r="U84" s="12">
        <f>IFERROR(1-Emp[[#This Row],[Activity]],"")</f>
        <v>5.0000000000000044E-2</v>
      </c>
      <c r="V84" s="79">
        <v>6.1071493834870982E-2</v>
      </c>
      <c r="W84" s="12">
        <f t="shared" si="1"/>
        <v>0.57035716461162367</v>
      </c>
      <c r="X84" s="78"/>
      <c r="Y84" s="12" t="str">
        <f>IFERROR(IF(Emp[[#This Row],[Increament]]="","",(Emp[[#This Row],[Increament]]/Emp[[#This Row],[Salary]])),"")</f>
        <v/>
      </c>
      <c r="Z84" s="17"/>
    </row>
    <row r="85" spans="2:26" x14ac:dyDescent="0.2">
      <c r="B85" s="75">
        <v>42894</v>
      </c>
      <c r="C85" s="38">
        <f>Emp[[#This Row],[Date]]</f>
        <v>42894</v>
      </c>
      <c r="D85" s="10">
        <f>IF(Emp[[#This Row],[Date]]="","",MONTH(Emp[[#This Row],[Date]]))</f>
        <v>6</v>
      </c>
      <c r="E85" s="64">
        <f>Emp[[#This Row],[Date]]</f>
        <v>42894</v>
      </c>
      <c r="F85" s="10">
        <f>IF(Emp[[#This Row],[Date]]="","",WEEKNUM(B85))</f>
        <v>23</v>
      </c>
      <c r="G85" s="77" t="s">
        <v>121</v>
      </c>
      <c r="H85" s="10" t="str">
        <f>IFERROR(VLOOKUP(Raw_data!$G85,Data_base!$B:$J,2,0),"")</f>
        <v>ID250054</v>
      </c>
      <c r="I85" s="10" t="str">
        <f>IFERROR(VLOOKUP(Raw_data!$G85,Data_base!$B:$J,3,0),"")</f>
        <v>Planning</v>
      </c>
      <c r="J85" s="10" t="str">
        <f>IFERROR(VLOOKUP(Raw_data!$G85,Data_base!$B:$J,4,0),"")</f>
        <v>Staff</v>
      </c>
      <c r="K85" s="13" t="str">
        <f>IFERROR(VLOOKUP(Raw_data!$G85,Data_base!$B:$J,5,0),"")</f>
        <v>M</v>
      </c>
      <c r="L85" s="13" t="str">
        <f>IFERROR(VLOOKUP(Raw_data!$G85,Data_base!$B:$J,6,0),"")</f>
        <v>Part time</v>
      </c>
      <c r="M85" s="14">
        <f>IFERROR(VLOOKUP(Raw_data!$G85,Data_base!$B:$J,7,0),"")</f>
        <v>43104</v>
      </c>
      <c r="N85" s="13">
        <f>IFERROR(VLOOKUP(Raw_data!$G85,Data_base!$B:$J,8,0),"")</f>
        <v>42</v>
      </c>
      <c r="O85" s="11">
        <f>IFERROR(VLOOKUP(Raw_data!$G85,Data_base!$B:$J,9,0),"")</f>
        <v>6701</v>
      </c>
      <c r="P85" s="78">
        <v>3</v>
      </c>
      <c r="Q85" s="78">
        <v>2</v>
      </c>
      <c r="R85" s="77">
        <v>19</v>
      </c>
      <c r="S85" s="12">
        <f>IFERROR(1-VLOOKUP(Emp[[#This Row],[Penality]],Data_base!V:W,2,FALSE),"")</f>
        <v>0.55000000000000004</v>
      </c>
      <c r="T85" s="12">
        <f>IFERROR(R85/VLOOKUP(D85,Data_base!S:T,2,0),"")</f>
        <v>0.95</v>
      </c>
      <c r="U85" s="12">
        <f>IFERROR(1-Emp[[#This Row],[Activity]],"")</f>
        <v>5.0000000000000044E-2</v>
      </c>
      <c r="V85" s="79">
        <v>0.63666825600833077</v>
      </c>
      <c r="W85" s="12">
        <f t="shared" si="1"/>
        <v>0.71222275200277696</v>
      </c>
      <c r="X85" s="78"/>
      <c r="Y85" s="12" t="str">
        <f>IFERROR(IF(Emp[[#This Row],[Increament]]="","",(Emp[[#This Row],[Increament]]/Emp[[#This Row],[Salary]])),"")</f>
        <v/>
      </c>
      <c r="Z85" s="17"/>
    </row>
    <row r="86" spans="2:26" x14ac:dyDescent="0.2">
      <c r="B86" s="75">
        <v>43144</v>
      </c>
      <c r="C86" s="38">
        <f>Emp[[#This Row],[Date]]</f>
        <v>43144</v>
      </c>
      <c r="D86" s="10">
        <f>IF(Emp[[#This Row],[Date]]="","",MONTH(Emp[[#This Row],[Date]]))</f>
        <v>2</v>
      </c>
      <c r="E86" s="64">
        <f>Emp[[#This Row],[Date]]</f>
        <v>43144</v>
      </c>
      <c r="F86" s="10">
        <f>IF(Emp[[#This Row],[Date]]="","",WEEKNUM(B86))</f>
        <v>7</v>
      </c>
      <c r="G86" s="77" t="s">
        <v>311</v>
      </c>
      <c r="H86" s="10" t="str">
        <f>IFERROR(VLOOKUP(Raw_data!$G86,Data_base!$B:$J,2,0),"")</f>
        <v>ID250244</v>
      </c>
      <c r="I86" s="10" t="str">
        <f>IFERROR(VLOOKUP(Raw_data!$G86,Data_base!$B:$J,3,0),"")</f>
        <v>Procurement</v>
      </c>
      <c r="J86" s="10" t="str">
        <f>IFERROR(VLOOKUP(Raw_data!$G86,Data_base!$B:$J,4,0),"")</f>
        <v>Workrer</v>
      </c>
      <c r="K86" s="13" t="str">
        <f>IFERROR(VLOOKUP(Raw_data!$G86,Data_base!$B:$J,5,0),"")</f>
        <v>F</v>
      </c>
      <c r="L86" s="13" t="str">
        <f>IFERROR(VLOOKUP(Raw_data!$G86,Data_base!$B:$J,6,0),"")</f>
        <v>Part time</v>
      </c>
      <c r="M86" s="14">
        <f>IFERROR(VLOOKUP(Raw_data!$G86,Data_base!$B:$J,7,0),"")</f>
        <v>41480</v>
      </c>
      <c r="N86" s="13">
        <f>IFERROR(VLOOKUP(Raw_data!$G86,Data_base!$B:$J,8,0),"")</f>
        <v>39</v>
      </c>
      <c r="O86" s="11">
        <f>IFERROR(VLOOKUP(Raw_data!$G86,Data_base!$B:$J,9,0),"")</f>
        <v>4879</v>
      </c>
      <c r="P86" s="78">
        <v>1</v>
      </c>
      <c r="Q86" s="78">
        <v>5</v>
      </c>
      <c r="R86" s="77">
        <v>17</v>
      </c>
      <c r="S86" s="12">
        <f>IFERROR(1-VLOOKUP(Emp[[#This Row],[Penality]],Data_base!V:W,2,FALSE),"")</f>
        <v>0.85</v>
      </c>
      <c r="T86" s="12">
        <f>IFERROR(R86/VLOOKUP(D86,Data_base!S:T,2,0),"")</f>
        <v>0.70833333333333337</v>
      </c>
      <c r="U86" s="12">
        <f>IFERROR(1-Emp[[#This Row],[Activity]],"")</f>
        <v>0.29166666666666663</v>
      </c>
      <c r="V86" s="79">
        <v>0.7910749053118451</v>
      </c>
      <c r="W86" s="12">
        <f t="shared" si="1"/>
        <v>0.78313607954839293</v>
      </c>
      <c r="X86" s="78">
        <v>400</v>
      </c>
      <c r="Y86" s="12">
        <f>IFERROR(IF(Emp[[#This Row],[Increament]]="","",(Emp[[#This Row],[Increament]]/Emp[[#This Row],[Salary]])),"")</f>
        <v>8.1984013117442092E-2</v>
      </c>
      <c r="Z86" s="17"/>
    </row>
    <row r="87" spans="2:26" x14ac:dyDescent="0.2">
      <c r="B87" s="75">
        <v>42400</v>
      </c>
      <c r="C87" s="38">
        <f>Emp[[#This Row],[Date]]</f>
        <v>42400</v>
      </c>
      <c r="D87" s="10">
        <f>IF(Emp[[#This Row],[Date]]="","",MONTH(Emp[[#This Row],[Date]]))</f>
        <v>1</v>
      </c>
      <c r="E87" s="64">
        <f>Emp[[#This Row],[Date]]</f>
        <v>42400</v>
      </c>
      <c r="F87" s="10">
        <f>IF(Emp[[#This Row],[Date]]="","",WEEKNUM(B87))</f>
        <v>6</v>
      </c>
      <c r="G87" s="77" t="s">
        <v>96</v>
      </c>
      <c r="H87" s="10" t="str">
        <f>IFERROR(VLOOKUP(Raw_data!$G87,Data_base!$B:$J,2,0),"")</f>
        <v>ID250029</v>
      </c>
      <c r="I87" s="10" t="str">
        <f>IFERROR(VLOOKUP(Raw_data!$G87,Data_base!$B:$J,3,0),"")</f>
        <v>Planning</v>
      </c>
      <c r="J87" s="10" t="str">
        <f>IFERROR(VLOOKUP(Raw_data!$G87,Data_base!$B:$J,4,0),"")</f>
        <v>Technician</v>
      </c>
      <c r="K87" s="13" t="str">
        <f>IFERROR(VLOOKUP(Raw_data!$G87,Data_base!$B:$J,5,0),"")</f>
        <v>F</v>
      </c>
      <c r="L87" s="13" t="str">
        <f>IFERROR(VLOOKUP(Raw_data!$G87,Data_base!$B:$J,6,0),"")</f>
        <v>Full time</v>
      </c>
      <c r="M87" s="14">
        <f>IFERROR(VLOOKUP(Raw_data!$G87,Data_base!$B:$J,7,0),"")</f>
        <v>42859</v>
      </c>
      <c r="N87" s="13">
        <f>IFERROR(VLOOKUP(Raw_data!$G87,Data_base!$B:$J,8,0),"")</f>
        <v>31</v>
      </c>
      <c r="O87" s="11">
        <f>IFERROR(VLOOKUP(Raw_data!$G87,Data_base!$B:$J,9,0),"")</f>
        <v>4625</v>
      </c>
      <c r="P87" s="78">
        <v>1</v>
      </c>
      <c r="Q87" s="78">
        <v>4</v>
      </c>
      <c r="R87" s="77">
        <v>17</v>
      </c>
      <c r="S87" s="12">
        <f>IFERROR(1-VLOOKUP(Emp[[#This Row],[Penality]],Data_base!V:W,2,FALSE),"")</f>
        <v>0.85</v>
      </c>
      <c r="T87" s="12">
        <f>IFERROR(R87/VLOOKUP(D87,Data_base!S:T,2,0),"")</f>
        <v>0.80952380952380953</v>
      </c>
      <c r="U87" s="12">
        <f>IFERROR(1-Emp[[#This Row],[Activity]],"")</f>
        <v>0.19047619047619047</v>
      </c>
      <c r="V87" s="79">
        <v>2.2948838845909703E-2</v>
      </c>
      <c r="W87" s="12">
        <f t="shared" si="1"/>
        <v>0.56082421612323974</v>
      </c>
      <c r="X87" s="78"/>
      <c r="Y87" s="12" t="str">
        <f>IFERROR(IF(Emp[[#This Row],[Increament]]="","",(Emp[[#This Row],[Increament]]/Emp[[#This Row],[Salary]])),"")</f>
        <v/>
      </c>
      <c r="Z87" s="17"/>
    </row>
    <row r="88" spans="2:26" x14ac:dyDescent="0.2">
      <c r="B88" s="75">
        <v>43503</v>
      </c>
      <c r="C88" s="38">
        <f>Emp[[#This Row],[Date]]</f>
        <v>43503</v>
      </c>
      <c r="D88" s="10">
        <f>IF(Emp[[#This Row],[Date]]="","",MONTH(Emp[[#This Row],[Date]]))</f>
        <v>2</v>
      </c>
      <c r="E88" s="64">
        <f>Emp[[#This Row],[Date]]</f>
        <v>43503</v>
      </c>
      <c r="F88" s="10">
        <f>IF(Emp[[#This Row],[Date]]="","",WEEKNUM(B88))</f>
        <v>6</v>
      </c>
      <c r="G88" s="77" t="s">
        <v>164</v>
      </c>
      <c r="H88" s="10" t="str">
        <f>IFERROR(VLOOKUP(Raw_data!$G88,Data_base!$B:$J,2,0),"")</f>
        <v>ID250097</v>
      </c>
      <c r="I88" s="10" t="str">
        <f>IFERROR(VLOOKUP(Raw_data!$G88,Data_base!$B:$J,3,0),"")</f>
        <v>Quality</v>
      </c>
      <c r="J88" s="10" t="str">
        <f>IFERROR(VLOOKUP(Raw_data!$G88,Data_base!$B:$J,4,0),"")</f>
        <v>Staff</v>
      </c>
      <c r="K88" s="13" t="str">
        <f>IFERROR(VLOOKUP(Raw_data!$G88,Data_base!$B:$J,5,0),"")</f>
        <v>F</v>
      </c>
      <c r="L88" s="13" t="str">
        <f>IFERROR(VLOOKUP(Raw_data!$G88,Data_base!$B:$J,6,0),"")</f>
        <v>Full time</v>
      </c>
      <c r="M88" s="14">
        <f>IFERROR(VLOOKUP(Raw_data!$G88,Data_base!$B:$J,7,0),"")</f>
        <v>43731</v>
      </c>
      <c r="N88" s="13">
        <f>IFERROR(VLOOKUP(Raw_data!$G88,Data_base!$B:$J,8,0),"")</f>
        <v>33</v>
      </c>
      <c r="O88" s="11">
        <f>IFERROR(VLOOKUP(Raw_data!$G88,Data_base!$B:$J,9,0),"")</f>
        <v>9767</v>
      </c>
      <c r="P88" s="78">
        <v>3</v>
      </c>
      <c r="Q88" s="78">
        <v>1</v>
      </c>
      <c r="R88" s="77">
        <v>18</v>
      </c>
      <c r="S88" s="12">
        <f>IFERROR(1-VLOOKUP(Emp[[#This Row],[Penality]],Data_base!V:W,2,FALSE),"")</f>
        <v>0.55000000000000004</v>
      </c>
      <c r="T88" s="12">
        <f>IFERROR(R88/VLOOKUP(D88,Data_base!S:T,2,0),"")</f>
        <v>0.75</v>
      </c>
      <c r="U88" s="12">
        <f>IFERROR(1-Emp[[#This Row],[Activity]],"")</f>
        <v>0.25</v>
      </c>
      <c r="V88" s="79">
        <v>3.5911031860541343E-2</v>
      </c>
      <c r="W88" s="12">
        <f t="shared" si="1"/>
        <v>0.44530367728684711</v>
      </c>
      <c r="X88" s="78"/>
      <c r="Y88" s="12" t="str">
        <f>IFERROR(IF(Emp[[#This Row],[Increament]]="","",(Emp[[#This Row],[Increament]]/Emp[[#This Row],[Salary]])),"")</f>
        <v/>
      </c>
      <c r="Z88" s="17"/>
    </row>
    <row r="89" spans="2:26" x14ac:dyDescent="0.2">
      <c r="B89" s="75">
        <v>43464</v>
      </c>
      <c r="C89" s="38">
        <f>Emp[[#This Row],[Date]]</f>
        <v>43464</v>
      </c>
      <c r="D89" s="10">
        <f>IF(Emp[[#This Row],[Date]]="","",MONTH(Emp[[#This Row],[Date]]))</f>
        <v>12</v>
      </c>
      <c r="E89" s="64">
        <f>Emp[[#This Row],[Date]]</f>
        <v>43464</v>
      </c>
      <c r="F89" s="10">
        <f>IF(Emp[[#This Row],[Date]]="","",WEEKNUM(B89))</f>
        <v>53</v>
      </c>
      <c r="G89" s="77" t="s">
        <v>267</v>
      </c>
      <c r="H89" s="10" t="str">
        <f>IFERROR(VLOOKUP(Raw_data!$G89,Data_base!$B:$J,2,0),"")</f>
        <v>ID250200</v>
      </c>
      <c r="I89" s="10" t="str">
        <f>IFERROR(VLOOKUP(Raw_data!$G89,Data_base!$B:$J,3,0),"")</f>
        <v>Sales</v>
      </c>
      <c r="J89" s="10" t="str">
        <f>IFERROR(VLOOKUP(Raw_data!$G89,Data_base!$B:$J,4,0),"")</f>
        <v>Workrer</v>
      </c>
      <c r="K89" s="13" t="str">
        <f>IFERROR(VLOOKUP(Raw_data!$G89,Data_base!$B:$J,5,0),"")</f>
        <v>M</v>
      </c>
      <c r="L89" s="13" t="str">
        <f>IFERROR(VLOOKUP(Raw_data!$G89,Data_base!$B:$J,6,0),"")</f>
        <v>Full time</v>
      </c>
      <c r="M89" s="14">
        <f>IFERROR(VLOOKUP(Raw_data!$G89,Data_base!$B:$J,7,0),"")</f>
        <v>42520</v>
      </c>
      <c r="N89" s="13">
        <f>IFERROR(VLOOKUP(Raw_data!$G89,Data_base!$B:$J,8,0),"")</f>
        <v>39</v>
      </c>
      <c r="O89" s="11">
        <f>IFERROR(VLOOKUP(Raw_data!$G89,Data_base!$B:$J,9,0),"")</f>
        <v>6021</v>
      </c>
      <c r="P89" s="78">
        <v>3</v>
      </c>
      <c r="Q89" s="78">
        <v>2</v>
      </c>
      <c r="R89" s="77">
        <v>19</v>
      </c>
      <c r="S89" s="12">
        <f>IFERROR(1-VLOOKUP(Emp[[#This Row],[Penality]],Data_base!V:W,2,FALSE),"")</f>
        <v>0.55000000000000004</v>
      </c>
      <c r="T89" s="12">
        <f>IFERROR(R89/VLOOKUP(D89,Data_base!S:T,2,0),"")</f>
        <v>0.79166666666666663</v>
      </c>
      <c r="U89" s="12">
        <f>IFERROR(1-Emp[[#This Row],[Activity]],"")</f>
        <v>0.20833333333333337</v>
      </c>
      <c r="V89" s="79">
        <v>0.12961978573530752</v>
      </c>
      <c r="W89" s="12">
        <f t="shared" si="1"/>
        <v>0.49042881746732475</v>
      </c>
      <c r="X89" s="78"/>
      <c r="Y89" s="12" t="str">
        <f>IFERROR(IF(Emp[[#This Row],[Increament]]="","",(Emp[[#This Row],[Increament]]/Emp[[#This Row],[Salary]])),"")</f>
        <v/>
      </c>
      <c r="Z89" s="17"/>
    </row>
    <row r="90" spans="2:26" x14ac:dyDescent="0.2">
      <c r="B90" s="75">
        <v>42547</v>
      </c>
      <c r="C90" s="38">
        <f>Emp[[#This Row],[Date]]</f>
        <v>42547</v>
      </c>
      <c r="D90" s="10">
        <f>IF(Emp[[#This Row],[Date]]="","",MONTH(Emp[[#This Row],[Date]]))</f>
        <v>6</v>
      </c>
      <c r="E90" s="64">
        <f>Emp[[#This Row],[Date]]</f>
        <v>42547</v>
      </c>
      <c r="F90" s="10">
        <f>IF(Emp[[#This Row],[Date]]="","",WEEKNUM(B90))</f>
        <v>27</v>
      </c>
      <c r="G90" s="77" t="s">
        <v>274</v>
      </c>
      <c r="H90" s="10" t="str">
        <f>IFERROR(VLOOKUP(Raw_data!$G90,Data_base!$B:$J,2,0),"")</f>
        <v>ID250207</v>
      </c>
      <c r="I90" s="10" t="str">
        <f>IFERROR(VLOOKUP(Raw_data!$G90,Data_base!$B:$J,3,0),"")</f>
        <v>Finance</v>
      </c>
      <c r="J90" s="10" t="str">
        <f>IFERROR(VLOOKUP(Raw_data!$G90,Data_base!$B:$J,4,0),"")</f>
        <v>Technician</v>
      </c>
      <c r="K90" s="13" t="str">
        <f>IFERROR(VLOOKUP(Raw_data!$G90,Data_base!$B:$J,5,0),"")</f>
        <v>F</v>
      </c>
      <c r="L90" s="13" t="str">
        <f>IFERROR(VLOOKUP(Raw_data!$G90,Data_base!$B:$J,6,0),"")</f>
        <v>Full time</v>
      </c>
      <c r="M90" s="14">
        <f>IFERROR(VLOOKUP(Raw_data!$G90,Data_base!$B:$J,7,0),"")</f>
        <v>41728</v>
      </c>
      <c r="N90" s="13">
        <f>IFERROR(VLOOKUP(Raw_data!$G90,Data_base!$B:$J,8,0),"")</f>
        <v>32</v>
      </c>
      <c r="O90" s="11">
        <f>IFERROR(VLOOKUP(Raw_data!$G90,Data_base!$B:$J,9,0),"")</f>
        <v>8072</v>
      </c>
      <c r="P90" s="78">
        <v>1</v>
      </c>
      <c r="Q90" s="78">
        <v>1</v>
      </c>
      <c r="R90" s="77">
        <v>18</v>
      </c>
      <c r="S90" s="12">
        <f>IFERROR(1-VLOOKUP(Emp[[#This Row],[Penality]],Data_base!V:W,2,FALSE),"")</f>
        <v>0.85</v>
      </c>
      <c r="T90" s="12">
        <f>IFERROR(R90/VLOOKUP(D90,Data_base!S:T,2,0),"")</f>
        <v>0.9</v>
      </c>
      <c r="U90" s="12">
        <f>IFERROR(1-Emp[[#This Row],[Activity]],"")</f>
        <v>9.9999999999999978E-2</v>
      </c>
      <c r="V90" s="79">
        <v>0.81135702620091099</v>
      </c>
      <c r="W90" s="12">
        <f t="shared" si="1"/>
        <v>0.85378567540030359</v>
      </c>
      <c r="X90" s="78"/>
      <c r="Y90" s="12" t="str">
        <f>IFERROR(IF(Emp[[#This Row],[Increament]]="","",(Emp[[#This Row],[Increament]]/Emp[[#This Row],[Salary]])),"")</f>
        <v/>
      </c>
      <c r="Z90" s="17"/>
    </row>
    <row r="91" spans="2:26" x14ac:dyDescent="0.2">
      <c r="B91" s="75">
        <v>42428</v>
      </c>
      <c r="C91" s="38">
        <f>Emp[[#This Row],[Date]]</f>
        <v>42428</v>
      </c>
      <c r="D91" s="10">
        <f>IF(Emp[[#This Row],[Date]]="","",MONTH(Emp[[#This Row],[Date]]))</f>
        <v>2</v>
      </c>
      <c r="E91" s="64">
        <f>Emp[[#This Row],[Date]]</f>
        <v>42428</v>
      </c>
      <c r="F91" s="10">
        <f>IF(Emp[[#This Row],[Date]]="","",WEEKNUM(B91))</f>
        <v>10</v>
      </c>
      <c r="G91" s="77" t="s">
        <v>69</v>
      </c>
      <c r="H91" s="10" t="str">
        <f>IFERROR(VLOOKUP(Raw_data!$G91,Data_base!$B:$J,2,0),"")</f>
        <v>ID250002</v>
      </c>
      <c r="I91" s="10" t="str">
        <f>IFERROR(VLOOKUP(Raw_data!$G91,Data_base!$B:$J,3,0),"")</f>
        <v>HR</v>
      </c>
      <c r="J91" s="10" t="str">
        <f>IFERROR(VLOOKUP(Raw_data!$G91,Data_base!$B:$J,4,0),"")</f>
        <v>Technician</v>
      </c>
      <c r="K91" s="13" t="str">
        <f>IFERROR(VLOOKUP(Raw_data!$G91,Data_base!$B:$J,5,0),"")</f>
        <v>F</v>
      </c>
      <c r="L91" s="13" t="str">
        <f>IFERROR(VLOOKUP(Raw_data!$G91,Data_base!$B:$J,6,0),"")</f>
        <v>Part time</v>
      </c>
      <c r="M91" s="14">
        <f>IFERROR(VLOOKUP(Raw_data!$G91,Data_base!$B:$J,7,0),"")</f>
        <v>42257</v>
      </c>
      <c r="N91" s="13">
        <f>IFERROR(VLOOKUP(Raw_data!$G91,Data_base!$B:$J,8,0),"")</f>
        <v>36</v>
      </c>
      <c r="O91" s="11">
        <f>IFERROR(VLOOKUP(Raw_data!$G91,Data_base!$B:$J,9,0),"")</f>
        <v>8587</v>
      </c>
      <c r="P91" s="78">
        <v>0</v>
      </c>
      <c r="Q91" s="78">
        <v>4</v>
      </c>
      <c r="R91" s="77">
        <v>20</v>
      </c>
      <c r="S91" s="12" t="str">
        <f>IFERROR(1-VLOOKUP(Emp[[#This Row],[Penality]],Data_base!V:W,2,FALSE),"")</f>
        <v/>
      </c>
      <c r="T91" s="12">
        <f>IFERROR(R91/VLOOKUP(D91,Data_base!S:T,2,0),"")</f>
        <v>0.83333333333333337</v>
      </c>
      <c r="U91" s="12">
        <f>IFERROR(1-Emp[[#This Row],[Activity]],"")</f>
        <v>0.16666666666666663</v>
      </c>
      <c r="V91" s="79">
        <v>0.92904769875078486</v>
      </c>
      <c r="W91" s="12">
        <f t="shared" si="1"/>
        <v>0.88119051604205911</v>
      </c>
      <c r="X91" s="78"/>
      <c r="Y91" s="12" t="str">
        <f>IFERROR(IF(Emp[[#This Row],[Increament]]="","",(Emp[[#This Row],[Increament]]/Emp[[#This Row],[Salary]])),"")</f>
        <v/>
      </c>
      <c r="Z91" s="17"/>
    </row>
    <row r="92" spans="2:26" x14ac:dyDescent="0.2">
      <c r="B92" s="75">
        <v>42951</v>
      </c>
      <c r="C92" s="38">
        <f>Emp[[#This Row],[Date]]</f>
        <v>42951</v>
      </c>
      <c r="D92" s="10">
        <f>IF(Emp[[#This Row],[Date]]="","",MONTH(Emp[[#This Row],[Date]]))</f>
        <v>8</v>
      </c>
      <c r="E92" s="64">
        <f>Emp[[#This Row],[Date]]</f>
        <v>42951</v>
      </c>
      <c r="F92" s="10">
        <f>IF(Emp[[#This Row],[Date]]="","",WEEKNUM(B92))</f>
        <v>31</v>
      </c>
      <c r="G92" s="77" t="s">
        <v>117</v>
      </c>
      <c r="H92" s="10" t="str">
        <f>IFERROR(VLOOKUP(Raw_data!$G92,Data_base!$B:$J,2,0),"")</f>
        <v>ID250050</v>
      </c>
      <c r="I92" s="10" t="str">
        <f>IFERROR(VLOOKUP(Raw_data!$G92,Data_base!$B:$J,3,0),"")</f>
        <v>Finance</v>
      </c>
      <c r="J92" s="10" t="str">
        <f>IFERROR(VLOOKUP(Raw_data!$G92,Data_base!$B:$J,4,0),"")</f>
        <v>Senior</v>
      </c>
      <c r="K92" s="13" t="str">
        <f>IFERROR(VLOOKUP(Raw_data!$G92,Data_base!$B:$J,5,0),"")</f>
        <v>F</v>
      </c>
      <c r="L92" s="13" t="str">
        <f>IFERROR(VLOOKUP(Raw_data!$G92,Data_base!$B:$J,6,0),"")</f>
        <v>Full time</v>
      </c>
      <c r="M92" s="14">
        <f>IFERROR(VLOOKUP(Raw_data!$G92,Data_base!$B:$J,7,0),"")</f>
        <v>43762</v>
      </c>
      <c r="N92" s="13">
        <f>IFERROR(VLOOKUP(Raw_data!$G92,Data_base!$B:$J,8,0),"")</f>
        <v>43</v>
      </c>
      <c r="O92" s="11">
        <f>IFERROR(VLOOKUP(Raw_data!$G92,Data_base!$B:$J,9,0),"")</f>
        <v>8858</v>
      </c>
      <c r="P92" s="78">
        <v>3</v>
      </c>
      <c r="Q92" s="78">
        <v>3</v>
      </c>
      <c r="R92" s="77">
        <v>20</v>
      </c>
      <c r="S92" s="12">
        <f>IFERROR(1-VLOOKUP(Emp[[#This Row],[Penality]],Data_base!V:W,2,FALSE),"")</f>
        <v>0.55000000000000004</v>
      </c>
      <c r="T92" s="12">
        <f>IFERROR(R92/VLOOKUP(D92,Data_base!S:T,2,0),"")</f>
        <v>1</v>
      </c>
      <c r="U92" s="12">
        <f>IFERROR(1-Emp[[#This Row],[Activity]],"")</f>
        <v>0</v>
      </c>
      <c r="V92" s="79">
        <v>0.32206407772340495</v>
      </c>
      <c r="W92" s="12">
        <f t="shared" si="1"/>
        <v>0.624021359241135</v>
      </c>
      <c r="X92" s="78">
        <v>500</v>
      </c>
      <c r="Y92" s="12">
        <f>IFERROR(IF(Emp[[#This Row],[Increament]]="","",(Emp[[#This Row],[Increament]]/Emp[[#This Row],[Salary]])),"")</f>
        <v>5.6446150372544593E-2</v>
      </c>
      <c r="Z92" s="17"/>
    </row>
    <row r="93" spans="2:26" x14ac:dyDescent="0.2">
      <c r="B93" s="75">
        <v>42575</v>
      </c>
      <c r="C93" s="38">
        <f>Emp[[#This Row],[Date]]</f>
        <v>42575</v>
      </c>
      <c r="D93" s="10">
        <f>IF(Emp[[#This Row],[Date]]="","",MONTH(Emp[[#This Row],[Date]]))</f>
        <v>7</v>
      </c>
      <c r="E93" s="64">
        <f>Emp[[#This Row],[Date]]</f>
        <v>42575</v>
      </c>
      <c r="F93" s="10">
        <f>IF(Emp[[#This Row],[Date]]="","",WEEKNUM(B93))</f>
        <v>31</v>
      </c>
      <c r="G93" s="77" t="s">
        <v>150</v>
      </c>
      <c r="H93" s="10" t="str">
        <f>IFERROR(VLOOKUP(Raw_data!$G93,Data_base!$B:$J,2,0),"")</f>
        <v>ID250083</v>
      </c>
      <c r="I93" s="10" t="str">
        <f>IFERROR(VLOOKUP(Raw_data!$G93,Data_base!$B:$J,3,0),"")</f>
        <v>Finance</v>
      </c>
      <c r="J93" s="10" t="str">
        <f>IFERROR(VLOOKUP(Raw_data!$G93,Data_base!$B:$J,4,0),"")</f>
        <v>Workrer</v>
      </c>
      <c r="K93" s="13" t="str">
        <f>IFERROR(VLOOKUP(Raw_data!$G93,Data_base!$B:$J,5,0),"")</f>
        <v>F</v>
      </c>
      <c r="L93" s="13" t="str">
        <f>IFERROR(VLOOKUP(Raw_data!$G93,Data_base!$B:$J,6,0),"")</f>
        <v>Part time</v>
      </c>
      <c r="M93" s="14">
        <f>IFERROR(VLOOKUP(Raw_data!$G93,Data_base!$B:$J,7,0),"")</f>
        <v>42553</v>
      </c>
      <c r="N93" s="13">
        <f>IFERROR(VLOOKUP(Raw_data!$G93,Data_base!$B:$J,8,0),"")</f>
        <v>41</v>
      </c>
      <c r="O93" s="11">
        <f>IFERROR(VLOOKUP(Raw_data!$G93,Data_base!$B:$J,9,0),"")</f>
        <v>6978</v>
      </c>
      <c r="P93" s="78">
        <v>1</v>
      </c>
      <c r="Q93" s="78">
        <v>1</v>
      </c>
      <c r="R93" s="77">
        <v>20</v>
      </c>
      <c r="S93" s="12">
        <f>IFERROR(1-VLOOKUP(Emp[[#This Row],[Penality]],Data_base!V:W,2,FALSE),"")</f>
        <v>0.85</v>
      </c>
      <c r="T93" s="12">
        <f>IFERROR(R93/VLOOKUP(D93,Data_base!S:T,2,0),"")</f>
        <v>0.90909090909090906</v>
      </c>
      <c r="U93" s="12">
        <f>IFERROR(1-Emp[[#This Row],[Activity]],"")</f>
        <v>9.0909090909090939E-2</v>
      </c>
      <c r="V93" s="79">
        <v>0.9107905057608956</v>
      </c>
      <c r="W93" s="12">
        <f t="shared" si="1"/>
        <v>0.88996047161726821</v>
      </c>
      <c r="X93" s="78"/>
      <c r="Y93" s="12" t="str">
        <f>IFERROR(IF(Emp[[#This Row],[Increament]]="","",(Emp[[#This Row],[Increament]]/Emp[[#This Row],[Salary]])),"")</f>
        <v/>
      </c>
      <c r="Z93" s="17"/>
    </row>
    <row r="94" spans="2:26" x14ac:dyDescent="0.2">
      <c r="B94" s="75">
        <v>43305</v>
      </c>
      <c r="C94" s="38">
        <f>Emp[[#This Row],[Date]]</f>
        <v>43305</v>
      </c>
      <c r="D94" s="10">
        <f>IF(Emp[[#This Row],[Date]]="","",MONTH(Emp[[#This Row],[Date]]))</f>
        <v>7</v>
      </c>
      <c r="E94" s="64">
        <f>Emp[[#This Row],[Date]]</f>
        <v>43305</v>
      </c>
      <c r="F94" s="10">
        <f>IF(Emp[[#This Row],[Date]]="","",WEEKNUM(B94))</f>
        <v>30</v>
      </c>
      <c r="G94" s="77" t="s">
        <v>202</v>
      </c>
      <c r="H94" s="10" t="str">
        <f>IFERROR(VLOOKUP(Raw_data!$G94,Data_base!$B:$J,2,0),"")</f>
        <v>ID250135</v>
      </c>
      <c r="I94" s="10" t="str">
        <f>IFERROR(VLOOKUP(Raw_data!$G94,Data_base!$B:$J,3,0),"")</f>
        <v>HR</v>
      </c>
      <c r="J94" s="10" t="str">
        <f>IFERROR(VLOOKUP(Raw_data!$G94,Data_base!$B:$J,4,0),"")</f>
        <v>Technician</v>
      </c>
      <c r="K94" s="13" t="str">
        <f>IFERROR(VLOOKUP(Raw_data!$G94,Data_base!$B:$J,5,0),"")</f>
        <v>F</v>
      </c>
      <c r="L94" s="13" t="str">
        <f>IFERROR(VLOOKUP(Raw_data!$G94,Data_base!$B:$J,6,0),"")</f>
        <v>Full time</v>
      </c>
      <c r="M94" s="14">
        <f>IFERROR(VLOOKUP(Raw_data!$G94,Data_base!$B:$J,7,0),"")</f>
        <v>41313</v>
      </c>
      <c r="N94" s="13">
        <f>IFERROR(VLOOKUP(Raw_data!$G94,Data_base!$B:$J,8,0),"")</f>
        <v>41</v>
      </c>
      <c r="O94" s="11">
        <f>IFERROR(VLOOKUP(Raw_data!$G94,Data_base!$B:$J,9,0),"")</f>
        <v>4804</v>
      </c>
      <c r="P94" s="78">
        <v>2</v>
      </c>
      <c r="Q94" s="78">
        <v>4</v>
      </c>
      <c r="R94" s="77">
        <v>20</v>
      </c>
      <c r="S94" s="12">
        <f>IFERROR(1-VLOOKUP(Emp[[#This Row],[Penality]],Data_base!V:W,2,FALSE),"")</f>
        <v>0.7</v>
      </c>
      <c r="T94" s="12">
        <f>IFERROR(R94/VLOOKUP(D94,Data_base!S:T,2,0),"")</f>
        <v>0.90909090909090906</v>
      </c>
      <c r="U94" s="12">
        <f>IFERROR(1-Emp[[#This Row],[Activity]],"")</f>
        <v>9.0909090909090939E-2</v>
      </c>
      <c r="V94" s="79">
        <v>0.47498216951556538</v>
      </c>
      <c r="W94" s="12">
        <f t="shared" si="1"/>
        <v>0.69469102620215806</v>
      </c>
      <c r="X94" s="78"/>
      <c r="Y94" s="12" t="str">
        <f>IFERROR(IF(Emp[[#This Row],[Increament]]="","",(Emp[[#This Row],[Increament]]/Emp[[#This Row],[Salary]])),"")</f>
        <v/>
      </c>
      <c r="Z94" s="17"/>
    </row>
    <row r="95" spans="2:26" x14ac:dyDescent="0.2">
      <c r="B95" s="75">
        <v>43350</v>
      </c>
      <c r="C95" s="38">
        <f>Emp[[#This Row],[Date]]</f>
        <v>43350</v>
      </c>
      <c r="D95" s="10">
        <f>IF(Emp[[#This Row],[Date]]="","",MONTH(Emp[[#This Row],[Date]]))</f>
        <v>9</v>
      </c>
      <c r="E95" s="64">
        <f>Emp[[#This Row],[Date]]</f>
        <v>43350</v>
      </c>
      <c r="F95" s="10">
        <f>IF(Emp[[#This Row],[Date]]="","",WEEKNUM(B95))</f>
        <v>36</v>
      </c>
      <c r="G95" s="77" t="s">
        <v>174</v>
      </c>
      <c r="H95" s="10" t="str">
        <f>IFERROR(VLOOKUP(Raw_data!$G95,Data_base!$B:$J,2,0),"")</f>
        <v>ID250107</v>
      </c>
      <c r="I95" s="10" t="str">
        <f>IFERROR(VLOOKUP(Raw_data!$G95,Data_base!$B:$J,3,0),"")</f>
        <v>Procurement</v>
      </c>
      <c r="J95" s="10" t="str">
        <f>IFERROR(VLOOKUP(Raw_data!$G95,Data_base!$B:$J,4,0),"")</f>
        <v>Senior</v>
      </c>
      <c r="K95" s="13" t="str">
        <f>IFERROR(VLOOKUP(Raw_data!$G95,Data_base!$B:$J,5,0),"")</f>
        <v>M</v>
      </c>
      <c r="L95" s="13" t="str">
        <f>IFERROR(VLOOKUP(Raw_data!$G95,Data_base!$B:$J,6,0),"")</f>
        <v>Full time</v>
      </c>
      <c r="M95" s="14">
        <f>IFERROR(VLOOKUP(Raw_data!$G95,Data_base!$B:$J,7,0),"")</f>
        <v>42782</v>
      </c>
      <c r="N95" s="13">
        <f>IFERROR(VLOOKUP(Raw_data!$G95,Data_base!$B:$J,8,0),"")</f>
        <v>30</v>
      </c>
      <c r="O95" s="11">
        <f>IFERROR(VLOOKUP(Raw_data!$G95,Data_base!$B:$J,9,0),"")</f>
        <v>8730</v>
      </c>
      <c r="P95" s="78">
        <v>0</v>
      </c>
      <c r="Q95" s="78">
        <v>2</v>
      </c>
      <c r="R95" s="77">
        <v>19</v>
      </c>
      <c r="S95" s="12" t="str">
        <f>IFERROR(1-VLOOKUP(Emp[[#This Row],[Penality]],Data_base!V:W,2,FALSE),"")</f>
        <v/>
      </c>
      <c r="T95" s="12">
        <f>IFERROR(R95/VLOOKUP(D95,Data_base!S:T,2,0),"")</f>
        <v>0.79166666666666663</v>
      </c>
      <c r="U95" s="12">
        <f>IFERROR(1-Emp[[#This Row],[Activity]],"")</f>
        <v>0.20833333333333337</v>
      </c>
      <c r="V95" s="79">
        <v>0.69599672104579624</v>
      </c>
      <c r="W95" s="12">
        <f t="shared" si="1"/>
        <v>0.74383169385623149</v>
      </c>
      <c r="X95" s="78"/>
      <c r="Y95" s="12" t="str">
        <f>IFERROR(IF(Emp[[#This Row],[Increament]]="","",(Emp[[#This Row],[Increament]]/Emp[[#This Row],[Salary]])),"")</f>
        <v/>
      </c>
      <c r="Z95" s="17"/>
    </row>
    <row r="96" spans="2:26" x14ac:dyDescent="0.2">
      <c r="B96" s="75">
        <v>43068</v>
      </c>
      <c r="C96" s="38">
        <f>Emp[[#This Row],[Date]]</f>
        <v>43068</v>
      </c>
      <c r="D96" s="10">
        <f>IF(Emp[[#This Row],[Date]]="","",MONTH(Emp[[#This Row],[Date]]))</f>
        <v>11</v>
      </c>
      <c r="E96" s="64">
        <f>Emp[[#This Row],[Date]]</f>
        <v>43068</v>
      </c>
      <c r="F96" s="10">
        <f>IF(Emp[[#This Row],[Date]]="","",WEEKNUM(B96))</f>
        <v>48</v>
      </c>
      <c r="G96" s="77" t="s">
        <v>119</v>
      </c>
      <c r="H96" s="10" t="str">
        <f>IFERROR(VLOOKUP(Raw_data!$G96,Data_base!$B:$J,2,0),"")</f>
        <v>ID250052</v>
      </c>
      <c r="I96" s="10" t="str">
        <f>IFERROR(VLOOKUP(Raw_data!$G96,Data_base!$B:$J,3,0),"")</f>
        <v>Production</v>
      </c>
      <c r="J96" s="10" t="str">
        <f>IFERROR(VLOOKUP(Raw_data!$G96,Data_base!$B:$J,4,0),"")</f>
        <v>Workrer</v>
      </c>
      <c r="K96" s="13" t="str">
        <f>IFERROR(VLOOKUP(Raw_data!$G96,Data_base!$B:$J,5,0),"")</f>
        <v>M</v>
      </c>
      <c r="L96" s="13" t="str">
        <f>IFERROR(VLOOKUP(Raw_data!$G96,Data_base!$B:$J,6,0),"")</f>
        <v>Part time</v>
      </c>
      <c r="M96" s="14">
        <f>IFERROR(VLOOKUP(Raw_data!$G96,Data_base!$B:$J,7,0),"")</f>
        <v>40326</v>
      </c>
      <c r="N96" s="13">
        <f>IFERROR(VLOOKUP(Raw_data!$G96,Data_base!$B:$J,8,0),"")</f>
        <v>41</v>
      </c>
      <c r="O96" s="11">
        <f>IFERROR(VLOOKUP(Raw_data!$G96,Data_base!$B:$J,9,0),"")</f>
        <v>6049</v>
      </c>
      <c r="P96" s="78">
        <v>1</v>
      </c>
      <c r="Q96" s="78">
        <v>4</v>
      </c>
      <c r="R96" s="77">
        <v>19</v>
      </c>
      <c r="S96" s="12">
        <f>IFERROR(1-VLOOKUP(Emp[[#This Row],[Penality]],Data_base!V:W,2,FALSE),"")</f>
        <v>0.85</v>
      </c>
      <c r="T96" s="12">
        <f>IFERROR(R96/VLOOKUP(D96,Data_base!S:T,2,0),"")</f>
        <v>0.82608695652173914</v>
      </c>
      <c r="U96" s="12">
        <f>IFERROR(1-Emp[[#This Row],[Activity]],"")</f>
        <v>0.17391304347826086</v>
      </c>
      <c r="V96" s="79">
        <v>0.98126622653953344</v>
      </c>
      <c r="W96" s="12">
        <f t="shared" si="1"/>
        <v>0.88578439435375744</v>
      </c>
      <c r="X96" s="78"/>
      <c r="Y96" s="12" t="str">
        <f>IFERROR(IF(Emp[[#This Row],[Increament]]="","",(Emp[[#This Row],[Increament]]/Emp[[#This Row],[Salary]])),"")</f>
        <v/>
      </c>
      <c r="Z96" s="17"/>
    </row>
    <row r="97" spans="2:26" x14ac:dyDescent="0.2">
      <c r="B97" s="75">
        <v>43781</v>
      </c>
      <c r="C97" s="38">
        <f>Emp[[#This Row],[Date]]</f>
        <v>43781</v>
      </c>
      <c r="D97" s="10">
        <f>IF(Emp[[#This Row],[Date]]="","",MONTH(Emp[[#This Row],[Date]]))</f>
        <v>11</v>
      </c>
      <c r="E97" s="64">
        <f>Emp[[#This Row],[Date]]</f>
        <v>43781</v>
      </c>
      <c r="F97" s="10">
        <f>IF(Emp[[#This Row],[Date]]="","",WEEKNUM(B97))</f>
        <v>46</v>
      </c>
      <c r="G97" s="77" t="s">
        <v>321</v>
      </c>
      <c r="H97" s="10" t="str">
        <f>IFERROR(VLOOKUP(Raw_data!$G97,Data_base!$B:$J,2,0),"")</f>
        <v>ID250254</v>
      </c>
      <c r="I97" s="10" t="str">
        <f>IFERROR(VLOOKUP(Raw_data!$G97,Data_base!$B:$J,3,0),"")</f>
        <v>Material</v>
      </c>
      <c r="J97" s="10" t="str">
        <f>IFERROR(VLOOKUP(Raw_data!$G97,Data_base!$B:$J,4,0),"")</f>
        <v>Senior</v>
      </c>
      <c r="K97" s="13" t="str">
        <f>IFERROR(VLOOKUP(Raw_data!$G97,Data_base!$B:$J,5,0),"")</f>
        <v>F</v>
      </c>
      <c r="L97" s="13" t="str">
        <f>IFERROR(VLOOKUP(Raw_data!$G97,Data_base!$B:$J,6,0),"")</f>
        <v>Full time</v>
      </c>
      <c r="M97" s="14">
        <f>IFERROR(VLOOKUP(Raw_data!$G97,Data_base!$B:$J,7,0),"")</f>
        <v>43084</v>
      </c>
      <c r="N97" s="13">
        <f>IFERROR(VLOOKUP(Raw_data!$G97,Data_base!$B:$J,8,0),"")</f>
        <v>32</v>
      </c>
      <c r="O97" s="11">
        <f>IFERROR(VLOOKUP(Raw_data!$G97,Data_base!$B:$J,9,0),"")</f>
        <v>5539</v>
      </c>
      <c r="P97" s="78">
        <v>3</v>
      </c>
      <c r="Q97" s="78">
        <v>2</v>
      </c>
      <c r="R97" s="77">
        <v>17</v>
      </c>
      <c r="S97" s="12">
        <f>IFERROR(1-VLOOKUP(Emp[[#This Row],[Penality]],Data_base!V:W,2,FALSE),"")</f>
        <v>0.55000000000000004</v>
      </c>
      <c r="T97" s="12">
        <f>IFERROR(R97/VLOOKUP(D97,Data_base!S:T,2,0),"")</f>
        <v>0.73913043478260865</v>
      </c>
      <c r="U97" s="12">
        <f>IFERROR(1-Emp[[#This Row],[Activity]],"")</f>
        <v>0.26086956521739135</v>
      </c>
      <c r="V97" s="79">
        <v>0.67458469856744685</v>
      </c>
      <c r="W97" s="12">
        <f t="shared" si="1"/>
        <v>0.65457171111668522</v>
      </c>
      <c r="X97" s="78"/>
      <c r="Y97" s="12" t="str">
        <f>IFERROR(IF(Emp[[#This Row],[Increament]]="","",(Emp[[#This Row],[Increament]]/Emp[[#This Row],[Salary]])),"")</f>
        <v/>
      </c>
      <c r="Z97" s="17"/>
    </row>
    <row r="98" spans="2:26" x14ac:dyDescent="0.2">
      <c r="B98" s="75">
        <v>43103</v>
      </c>
      <c r="C98" s="38">
        <f>Emp[[#This Row],[Date]]</f>
        <v>43103</v>
      </c>
      <c r="D98" s="10">
        <f>IF(Emp[[#This Row],[Date]]="","",MONTH(Emp[[#This Row],[Date]]))</f>
        <v>1</v>
      </c>
      <c r="E98" s="64">
        <f>Emp[[#This Row],[Date]]</f>
        <v>43103</v>
      </c>
      <c r="F98" s="10">
        <f>IF(Emp[[#This Row],[Date]]="","",WEEKNUM(B98))</f>
        <v>1</v>
      </c>
      <c r="G98" s="77" t="s">
        <v>192</v>
      </c>
      <c r="H98" s="10" t="str">
        <f>IFERROR(VLOOKUP(Raw_data!$G98,Data_base!$B:$J,2,0),"")</f>
        <v>ID250125</v>
      </c>
      <c r="I98" s="10" t="str">
        <f>IFERROR(VLOOKUP(Raw_data!$G98,Data_base!$B:$J,3,0),"")</f>
        <v>Sales</v>
      </c>
      <c r="J98" s="10" t="str">
        <f>IFERROR(VLOOKUP(Raw_data!$G98,Data_base!$B:$J,4,0),"")</f>
        <v>Senior</v>
      </c>
      <c r="K98" s="13" t="str">
        <f>IFERROR(VLOOKUP(Raw_data!$G98,Data_base!$B:$J,5,0),"")</f>
        <v>M</v>
      </c>
      <c r="L98" s="13" t="str">
        <f>IFERROR(VLOOKUP(Raw_data!$G98,Data_base!$B:$J,6,0),"")</f>
        <v>Full time</v>
      </c>
      <c r="M98" s="14">
        <f>IFERROR(VLOOKUP(Raw_data!$G98,Data_base!$B:$J,7,0),"")</f>
        <v>41623</v>
      </c>
      <c r="N98" s="13">
        <f>IFERROR(VLOOKUP(Raw_data!$G98,Data_base!$B:$J,8,0),"")</f>
        <v>33</v>
      </c>
      <c r="O98" s="11">
        <f>IFERROR(VLOOKUP(Raw_data!$G98,Data_base!$B:$J,9,0),"")</f>
        <v>8650</v>
      </c>
      <c r="P98" s="78">
        <v>3</v>
      </c>
      <c r="Q98" s="78">
        <v>5</v>
      </c>
      <c r="R98" s="77">
        <v>17</v>
      </c>
      <c r="S98" s="12">
        <f>IFERROR(1-VLOOKUP(Emp[[#This Row],[Penality]],Data_base!V:W,2,FALSE),"")</f>
        <v>0.55000000000000004</v>
      </c>
      <c r="T98" s="12">
        <f>IFERROR(R98/VLOOKUP(D98,Data_base!S:T,2,0),"")</f>
        <v>0.80952380952380953</v>
      </c>
      <c r="U98" s="12">
        <f>IFERROR(1-Emp[[#This Row],[Activity]],"")</f>
        <v>0.19047619047619047</v>
      </c>
      <c r="V98" s="79">
        <v>0.68815723596981804</v>
      </c>
      <c r="W98" s="12">
        <f t="shared" si="1"/>
        <v>0.68256034849787584</v>
      </c>
      <c r="X98" s="78"/>
      <c r="Y98" s="12" t="str">
        <f>IFERROR(IF(Emp[[#This Row],[Increament]]="","",(Emp[[#This Row],[Increament]]/Emp[[#This Row],[Salary]])),"")</f>
        <v/>
      </c>
      <c r="Z98" s="17"/>
    </row>
    <row r="99" spans="2:26" x14ac:dyDescent="0.2">
      <c r="B99" s="75">
        <v>43225</v>
      </c>
      <c r="C99" s="38">
        <f>Emp[[#This Row],[Date]]</f>
        <v>43225</v>
      </c>
      <c r="D99" s="10">
        <f>IF(Emp[[#This Row],[Date]]="","",MONTH(Emp[[#This Row],[Date]]))</f>
        <v>5</v>
      </c>
      <c r="E99" s="64">
        <f>Emp[[#This Row],[Date]]</f>
        <v>43225</v>
      </c>
      <c r="F99" s="10">
        <f>IF(Emp[[#This Row],[Date]]="","",WEEKNUM(B99))</f>
        <v>18</v>
      </c>
      <c r="G99" s="77" t="s">
        <v>256</v>
      </c>
      <c r="H99" s="10" t="str">
        <f>IFERROR(VLOOKUP(Raw_data!$G99,Data_base!$B:$J,2,0),"")</f>
        <v>ID250189</v>
      </c>
      <c r="I99" s="10" t="str">
        <f>IFERROR(VLOOKUP(Raw_data!$G99,Data_base!$B:$J,3,0),"")</f>
        <v>HR</v>
      </c>
      <c r="J99" s="10" t="str">
        <f>IFERROR(VLOOKUP(Raw_data!$G99,Data_base!$B:$J,4,0),"")</f>
        <v>Staff</v>
      </c>
      <c r="K99" s="13" t="str">
        <f>IFERROR(VLOOKUP(Raw_data!$G99,Data_base!$B:$J,5,0),"")</f>
        <v>F</v>
      </c>
      <c r="L99" s="13" t="str">
        <f>IFERROR(VLOOKUP(Raw_data!$G99,Data_base!$B:$J,6,0),"")</f>
        <v>Full time</v>
      </c>
      <c r="M99" s="14">
        <f>IFERROR(VLOOKUP(Raw_data!$G99,Data_base!$B:$J,7,0),"")</f>
        <v>41057</v>
      </c>
      <c r="N99" s="13">
        <f>IFERROR(VLOOKUP(Raw_data!$G99,Data_base!$B:$J,8,0),"")</f>
        <v>29</v>
      </c>
      <c r="O99" s="11">
        <f>IFERROR(VLOOKUP(Raw_data!$G99,Data_base!$B:$J,9,0),"")</f>
        <v>4527</v>
      </c>
      <c r="P99" s="78">
        <v>0</v>
      </c>
      <c r="Q99" s="78">
        <v>1</v>
      </c>
      <c r="R99" s="77">
        <v>19</v>
      </c>
      <c r="S99" s="12" t="str">
        <f>IFERROR(1-VLOOKUP(Emp[[#This Row],[Penality]],Data_base!V:W,2,FALSE),"")</f>
        <v/>
      </c>
      <c r="T99" s="12">
        <f>IFERROR(R99/VLOOKUP(D99,Data_base!S:T,2,0),"")</f>
        <v>0.82608695652173914</v>
      </c>
      <c r="U99" s="12">
        <f>IFERROR(1-Emp[[#This Row],[Activity]],"")</f>
        <v>0.17391304347826086</v>
      </c>
      <c r="V99" s="79">
        <v>0.89679937038449375</v>
      </c>
      <c r="W99" s="12">
        <f t="shared" si="1"/>
        <v>0.86144316345311645</v>
      </c>
      <c r="X99" s="78"/>
      <c r="Y99" s="12" t="str">
        <f>IFERROR(IF(Emp[[#This Row],[Increament]]="","",(Emp[[#This Row],[Increament]]/Emp[[#This Row],[Salary]])),"")</f>
        <v/>
      </c>
      <c r="Z99" s="17"/>
    </row>
    <row r="100" spans="2:26" x14ac:dyDescent="0.2">
      <c r="B100" s="75">
        <v>43761</v>
      </c>
      <c r="C100" s="38">
        <f>Emp[[#This Row],[Date]]</f>
        <v>43761</v>
      </c>
      <c r="D100" s="10">
        <f>IF(Emp[[#This Row],[Date]]="","",MONTH(Emp[[#This Row],[Date]]))</f>
        <v>10</v>
      </c>
      <c r="E100" s="64">
        <f>Emp[[#This Row],[Date]]</f>
        <v>43761</v>
      </c>
      <c r="F100" s="10">
        <f>IF(Emp[[#This Row],[Date]]="","",WEEKNUM(B100))</f>
        <v>43</v>
      </c>
      <c r="G100" s="77" t="s">
        <v>181</v>
      </c>
      <c r="H100" s="10" t="str">
        <f>IFERROR(VLOOKUP(Raw_data!$G100,Data_base!$B:$J,2,0),"")</f>
        <v>ID250114</v>
      </c>
      <c r="I100" s="10" t="str">
        <f>IFERROR(VLOOKUP(Raw_data!$G100,Data_base!$B:$J,3,0),"")</f>
        <v>Planning</v>
      </c>
      <c r="J100" s="10" t="str">
        <f>IFERROR(VLOOKUP(Raw_data!$G100,Data_base!$B:$J,4,0),"")</f>
        <v>Manager</v>
      </c>
      <c r="K100" s="13" t="str">
        <f>IFERROR(VLOOKUP(Raw_data!$G100,Data_base!$B:$J,5,0),"")</f>
        <v>M</v>
      </c>
      <c r="L100" s="13" t="str">
        <f>IFERROR(VLOOKUP(Raw_data!$G100,Data_base!$B:$J,6,0),"")</f>
        <v>Full time</v>
      </c>
      <c r="M100" s="14">
        <f>IFERROR(VLOOKUP(Raw_data!$G100,Data_base!$B:$J,7,0),"")</f>
        <v>40714</v>
      </c>
      <c r="N100" s="13">
        <f>IFERROR(VLOOKUP(Raw_data!$G100,Data_base!$B:$J,8,0),"")</f>
        <v>34</v>
      </c>
      <c r="O100" s="11">
        <f>IFERROR(VLOOKUP(Raw_data!$G100,Data_base!$B:$J,9,0),"")</f>
        <v>4822</v>
      </c>
      <c r="P100" s="78">
        <v>0</v>
      </c>
      <c r="Q100" s="78">
        <v>2</v>
      </c>
      <c r="R100" s="77">
        <v>17</v>
      </c>
      <c r="S100" s="12" t="str">
        <f>IFERROR(1-VLOOKUP(Emp[[#This Row],[Penality]],Data_base!V:W,2,FALSE),"")</f>
        <v/>
      </c>
      <c r="T100" s="12">
        <f>IFERROR(R100/VLOOKUP(D100,Data_base!S:T,2,0),"")</f>
        <v>0.77272727272727271</v>
      </c>
      <c r="U100" s="12">
        <f>IFERROR(1-Emp[[#This Row],[Activity]],"")</f>
        <v>0.22727272727272729</v>
      </c>
      <c r="V100" s="79">
        <v>0.76374171948771374</v>
      </c>
      <c r="W100" s="12">
        <f t="shared" si="1"/>
        <v>0.76823449610749317</v>
      </c>
      <c r="X100" s="78">
        <v>300</v>
      </c>
      <c r="Y100" s="12">
        <f>IFERROR(IF(Emp[[#This Row],[Increament]]="","",(Emp[[#This Row],[Increament]]/Emp[[#This Row],[Salary]])),"")</f>
        <v>6.2214848610535049E-2</v>
      </c>
      <c r="Z100" s="17"/>
    </row>
    <row r="101" spans="2:26" x14ac:dyDescent="0.2">
      <c r="B101" s="75">
        <v>43214</v>
      </c>
      <c r="C101" s="38">
        <f>Emp[[#This Row],[Date]]</f>
        <v>43214</v>
      </c>
      <c r="D101" s="10">
        <f>IF(Emp[[#This Row],[Date]]="","",MONTH(Emp[[#This Row],[Date]]))</f>
        <v>4</v>
      </c>
      <c r="E101" s="64">
        <f>Emp[[#This Row],[Date]]</f>
        <v>43214</v>
      </c>
      <c r="F101" s="10">
        <f>IF(Emp[[#This Row],[Date]]="","",WEEKNUM(B101))</f>
        <v>17</v>
      </c>
      <c r="G101" s="77" t="s">
        <v>71</v>
      </c>
      <c r="H101" s="10" t="str">
        <f>IFERROR(VLOOKUP(Raw_data!$G101,Data_base!$B:$J,2,0),"")</f>
        <v>ID250004</v>
      </c>
      <c r="I101" s="10" t="str">
        <f>IFERROR(VLOOKUP(Raw_data!$G101,Data_base!$B:$J,3,0),"")</f>
        <v>Sales</v>
      </c>
      <c r="J101" s="10" t="str">
        <f>IFERROR(VLOOKUP(Raw_data!$G101,Data_base!$B:$J,4,0),"")</f>
        <v>Staff</v>
      </c>
      <c r="K101" s="13" t="str">
        <f>IFERROR(VLOOKUP(Raw_data!$G101,Data_base!$B:$J,5,0),"")</f>
        <v>M</v>
      </c>
      <c r="L101" s="13" t="str">
        <f>IFERROR(VLOOKUP(Raw_data!$G101,Data_base!$B:$J,6,0),"")</f>
        <v>Part time</v>
      </c>
      <c r="M101" s="14">
        <f>IFERROR(VLOOKUP(Raw_data!$G101,Data_base!$B:$J,7,0),"")</f>
        <v>40661</v>
      </c>
      <c r="N101" s="13">
        <f>IFERROR(VLOOKUP(Raw_data!$G101,Data_base!$B:$J,8,0),"")</f>
        <v>42</v>
      </c>
      <c r="O101" s="11">
        <f>IFERROR(VLOOKUP(Raw_data!$G101,Data_base!$B:$J,9,0),"")</f>
        <v>8895</v>
      </c>
      <c r="P101" s="78">
        <v>0</v>
      </c>
      <c r="Q101" s="78">
        <v>5</v>
      </c>
      <c r="R101" s="77">
        <v>20</v>
      </c>
      <c r="S101" s="12" t="str">
        <f>IFERROR(1-VLOOKUP(Emp[[#This Row],[Penality]],Data_base!V:W,2,FALSE),"")</f>
        <v/>
      </c>
      <c r="T101" s="12">
        <f>IFERROR(R101/VLOOKUP(D101,Data_base!S:T,2,0),"")</f>
        <v>0.83333333333333337</v>
      </c>
      <c r="U101" s="12">
        <f>IFERROR(1-Emp[[#This Row],[Activity]],"")</f>
        <v>0.16666666666666663</v>
      </c>
      <c r="V101" s="79">
        <v>0.13211035329109055</v>
      </c>
      <c r="W101" s="12">
        <f t="shared" si="1"/>
        <v>0.48272184331221196</v>
      </c>
      <c r="X101" s="78"/>
      <c r="Y101" s="12" t="str">
        <f>IFERROR(IF(Emp[[#This Row],[Increament]]="","",(Emp[[#This Row],[Increament]]/Emp[[#This Row],[Salary]])),"")</f>
        <v/>
      </c>
      <c r="Z101" s="17"/>
    </row>
    <row r="102" spans="2:26" x14ac:dyDescent="0.2">
      <c r="B102" s="75">
        <v>42371</v>
      </c>
      <c r="C102" s="38">
        <f>Emp[[#This Row],[Date]]</f>
        <v>42371</v>
      </c>
      <c r="D102" s="10">
        <f>IF(Emp[[#This Row],[Date]]="","",MONTH(Emp[[#This Row],[Date]]))</f>
        <v>1</v>
      </c>
      <c r="E102" s="64">
        <f>Emp[[#This Row],[Date]]</f>
        <v>42371</v>
      </c>
      <c r="F102" s="10">
        <f>IF(Emp[[#This Row],[Date]]="","",WEEKNUM(B102))</f>
        <v>1</v>
      </c>
      <c r="G102" s="77" t="s">
        <v>355</v>
      </c>
      <c r="H102" s="10" t="str">
        <f>IFERROR(VLOOKUP(Raw_data!$G102,Data_base!$B:$J,2,0),"")</f>
        <v>ID250288</v>
      </c>
      <c r="I102" s="10" t="str">
        <f>IFERROR(VLOOKUP(Raw_data!$G102,Data_base!$B:$J,3,0),"")</f>
        <v>HR</v>
      </c>
      <c r="J102" s="10" t="str">
        <f>IFERROR(VLOOKUP(Raw_data!$G102,Data_base!$B:$J,4,0),"")</f>
        <v>Workrer</v>
      </c>
      <c r="K102" s="13" t="str">
        <f>IFERROR(VLOOKUP(Raw_data!$G102,Data_base!$B:$J,5,0),"")</f>
        <v>M</v>
      </c>
      <c r="L102" s="13" t="str">
        <f>IFERROR(VLOOKUP(Raw_data!$G102,Data_base!$B:$J,6,0),"")</f>
        <v>Part time</v>
      </c>
      <c r="M102" s="14">
        <f>IFERROR(VLOOKUP(Raw_data!$G102,Data_base!$B:$J,7,0),"")</f>
        <v>41360</v>
      </c>
      <c r="N102" s="13">
        <f>IFERROR(VLOOKUP(Raw_data!$G102,Data_base!$B:$J,8,0),"")</f>
        <v>29</v>
      </c>
      <c r="O102" s="11">
        <f>IFERROR(VLOOKUP(Raw_data!$G102,Data_base!$B:$J,9,0),"")</f>
        <v>7169</v>
      </c>
      <c r="P102" s="78">
        <v>2</v>
      </c>
      <c r="Q102" s="78">
        <v>1</v>
      </c>
      <c r="R102" s="77">
        <v>17</v>
      </c>
      <c r="S102" s="12">
        <f>IFERROR(1-VLOOKUP(Emp[[#This Row],[Penality]],Data_base!V:W,2,FALSE),"")</f>
        <v>0.7</v>
      </c>
      <c r="T102" s="12">
        <f>IFERROR(R102/VLOOKUP(D102,Data_base!S:T,2,0),"")</f>
        <v>0.80952380952380953</v>
      </c>
      <c r="U102" s="12">
        <f>IFERROR(1-Emp[[#This Row],[Activity]],"")</f>
        <v>0.19047619047619047</v>
      </c>
      <c r="V102" s="79">
        <v>0.62538870660496149</v>
      </c>
      <c r="W102" s="12">
        <f t="shared" si="1"/>
        <v>0.71163750537625692</v>
      </c>
      <c r="X102" s="78"/>
      <c r="Y102" s="12" t="str">
        <f>IFERROR(IF(Emp[[#This Row],[Increament]]="","",(Emp[[#This Row],[Increament]]/Emp[[#This Row],[Salary]])),"")</f>
        <v/>
      </c>
      <c r="Z102" s="17"/>
    </row>
    <row r="103" spans="2:26" x14ac:dyDescent="0.2">
      <c r="B103" s="75">
        <v>42816</v>
      </c>
      <c r="C103" s="38">
        <f>Emp[[#This Row],[Date]]</f>
        <v>42816</v>
      </c>
      <c r="D103" s="10">
        <f>IF(Emp[[#This Row],[Date]]="","",MONTH(Emp[[#This Row],[Date]]))</f>
        <v>3</v>
      </c>
      <c r="E103" s="64">
        <f>Emp[[#This Row],[Date]]</f>
        <v>42816</v>
      </c>
      <c r="F103" s="10">
        <f>IF(Emp[[#This Row],[Date]]="","",WEEKNUM(B103))</f>
        <v>12</v>
      </c>
      <c r="G103" s="77" t="s">
        <v>356</v>
      </c>
      <c r="H103" s="10" t="str">
        <f>IFERROR(VLOOKUP(Raw_data!$G103,Data_base!$B:$J,2,0),"")</f>
        <v>ID250289</v>
      </c>
      <c r="I103" s="10" t="str">
        <f>IFERROR(VLOOKUP(Raw_data!$G103,Data_base!$B:$J,3,0),"")</f>
        <v>Quality</v>
      </c>
      <c r="J103" s="10" t="str">
        <f>IFERROR(VLOOKUP(Raw_data!$G103,Data_base!$B:$J,4,0),"")</f>
        <v>Staff</v>
      </c>
      <c r="K103" s="13" t="str">
        <f>IFERROR(VLOOKUP(Raw_data!$G103,Data_base!$B:$J,5,0),"")</f>
        <v>F</v>
      </c>
      <c r="L103" s="13" t="str">
        <f>IFERROR(VLOOKUP(Raw_data!$G103,Data_base!$B:$J,6,0),"")</f>
        <v>Full time</v>
      </c>
      <c r="M103" s="14">
        <f>IFERROR(VLOOKUP(Raw_data!$G103,Data_base!$B:$J,7,0),"")</f>
        <v>42188</v>
      </c>
      <c r="N103" s="13">
        <f>IFERROR(VLOOKUP(Raw_data!$G103,Data_base!$B:$J,8,0),"")</f>
        <v>37</v>
      </c>
      <c r="O103" s="11">
        <f>IFERROR(VLOOKUP(Raw_data!$G103,Data_base!$B:$J,9,0),"")</f>
        <v>7179</v>
      </c>
      <c r="P103" s="78">
        <v>3</v>
      </c>
      <c r="Q103" s="78">
        <v>4</v>
      </c>
      <c r="R103" s="77">
        <v>17</v>
      </c>
      <c r="S103" s="12">
        <f>IFERROR(1-VLOOKUP(Emp[[#This Row],[Penality]],Data_base!V:W,2,FALSE),"")</f>
        <v>0.55000000000000004</v>
      </c>
      <c r="T103" s="12">
        <f>IFERROR(R103/VLOOKUP(D103,Data_base!S:T,2,0),"")</f>
        <v>0.73913043478260865</v>
      </c>
      <c r="U103" s="12">
        <f>IFERROR(1-Emp[[#This Row],[Activity]],"")</f>
        <v>0.26086956521739135</v>
      </c>
      <c r="V103" s="79">
        <v>0.9837609149060258</v>
      </c>
      <c r="W103" s="12">
        <f t="shared" si="1"/>
        <v>0.75763044989621153</v>
      </c>
      <c r="X103" s="78"/>
      <c r="Y103" s="12" t="str">
        <f>IFERROR(IF(Emp[[#This Row],[Increament]]="","",(Emp[[#This Row],[Increament]]/Emp[[#This Row],[Salary]])),"")</f>
        <v/>
      </c>
      <c r="Z103" s="17"/>
    </row>
    <row r="104" spans="2:26" x14ac:dyDescent="0.2">
      <c r="B104" s="75">
        <v>42406</v>
      </c>
      <c r="C104" s="38">
        <f>Emp[[#This Row],[Date]]</f>
        <v>42406</v>
      </c>
      <c r="D104" s="10">
        <f>IF(Emp[[#This Row],[Date]]="","",MONTH(Emp[[#This Row],[Date]]))</f>
        <v>2</v>
      </c>
      <c r="E104" s="64">
        <f>Emp[[#This Row],[Date]]</f>
        <v>42406</v>
      </c>
      <c r="F104" s="10">
        <f>IF(Emp[[#This Row],[Date]]="","",WEEKNUM(B104))</f>
        <v>6</v>
      </c>
      <c r="G104" s="77" t="s">
        <v>334</v>
      </c>
      <c r="H104" s="10" t="str">
        <f>IFERROR(VLOOKUP(Raw_data!$G104,Data_base!$B:$J,2,0),"")</f>
        <v>ID250267</v>
      </c>
      <c r="I104" s="10" t="str">
        <f>IFERROR(VLOOKUP(Raw_data!$G104,Data_base!$B:$J,3,0),"")</f>
        <v>Production</v>
      </c>
      <c r="J104" s="10" t="str">
        <f>IFERROR(VLOOKUP(Raw_data!$G104,Data_base!$B:$J,4,0),"")</f>
        <v>Workrer</v>
      </c>
      <c r="K104" s="13" t="str">
        <f>IFERROR(VLOOKUP(Raw_data!$G104,Data_base!$B:$J,5,0),"")</f>
        <v>F</v>
      </c>
      <c r="L104" s="13" t="str">
        <f>IFERROR(VLOOKUP(Raw_data!$G104,Data_base!$B:$J,6,0),"")</f>
        <v>Full time</v>
      </c>
      <c r="M104" s="14">
        <f>IFERROR(VLOOKUP(Raw_data!$G104,Data_base!$B:$J,7,0),"")</f>
        <v>43070</v>
      </c>
      <c r="N104" s="13">
        <f>IFERROR(VLOOKUP(Raw_data!$G104,Data_base!$B:$J,8,0),"")</f>
        <v>32</v>
      </c>
      <c r="O104" s="11">
        <f>IFERROR(VLOOKUP(Raw_data!$G104,Data_base!$B:$J,9,0),"")</f>
        <v>4899</v>
      </c>
      <c r="P104" s="78">
        <v>1</v>
      </c>
      <c r="Q104" s="78">
        <v>1</v>
      </c>
      <c r="R104" s="77">
        <v>20</v>
      </c>
      <c r="S104" s="12">
        <f>IFERROR(1-VLOOKUP(Emp[[#This Row],[Penality]],Data_base!V:W,2,FALSE),"")</f>
        <v>0.85</v>
      </c>
      <c r="T104" s="12">
        <f>IFERROR(R104/VLOOKUP(D104,Data_base!S:T,2,0),"")</f>
        <v>0.83333333333333337</v>
      </c>
      <c r="U104" s="12">
        <f>IFERROR(1-Emp[[#This Row],[Activity]],"")</f>
        <v>0.16666666666666663</v>
      </c>
      <c r="V104" s="79">
        <v>0.7818139476086462</v>
      </c>
      <c r="W104" s="12">
        <f t="shared" si="1"/>
        <v>0.82171576031399318</v>
      </c>
      <c r="X104" s="78"/>
      <c r="Y104" s="12" t="str">
        <f>IFERROR(IF(Emp[[#This Row],[Increament]]="","",(Emp[[#This Row],[Increament]]/Emp[[#This Row],[Salary]])),"")</f>
        <v/>
      </c>
      <c r="Z104" s="17"/>
    </row>
    <row r="105" spans="2:26" x14ac:dyDescent="0.2">
      <c r="B105" s="75">
        <v>42507</v>
      </c>
      <c r="C105" s="38">
        <f>Emp[[#This Row],[Date]]</f>
        <v>42507</v>
      </c>
      <c r="D105" s="10">
        <f>IF(Emp[[#This Row],[Date]]="","",MONTH(Emp[[#This Row],[Date]]))</f>
        <v>5</v>
      </c>
      <c r="E105" s="64">
        <f>Emp[[#This Row],[Date]]</f>
        <v>42507</v>
      </c>
      <c r="F105" s="10">
        <f>IF(Emp[[#This Row],[Date]]="","",WEEKNUM(B105))</f>
        <v>21</v>
      </c>
      <c r="G105" s="77" t="s">
        <v>338</v>
      </c>
      <c r="H105" s="10" t="str">
        <f>IFERROR(VLOOKUP(Raw_data!$G105,Data_base!$B:$J,2,0),"")</f>
        <v>ID250271</v>
      </c>
      <c r="I105" s="10" t="str">
        <f>IFERROR(VLOOKUP(Raw_data!$G105,Data_base!$B:$J,3,0),"")</f>
        <v>Sales</v>
      </c>
      <c r="J105" s="10" t="str">
        <f>IFERROR(VLOOKUP(Raw_data!$G105,Data_base!$B:$J,4,0),"")</f>
        <v>Workrer</v>
      </c>
      <c r="K105" s="13" t="str">
        <f>IFERROR(VLOOKUP(Raw_data!$G105,Data_base!$B:$J,5,0),"")</f>
        <v>F</v>
      </c>
      <c r="L105" s="13" t="str">
        <f>IFERROR(VLOOKUP(Raw_data!$G105,Data_base!$B:$J,6,0),"")</f>
        <v>Part time</v>
      </c>
      <c r="M105" s="14">
        <f>IFERROR(VLOOKUP(Raw_data!$G105,Data_base!$B:$J,7,0),"")</f>
        <v>41310</v>
      </c>
      <c r="N105" s="13">
        <f>IFERROR(VLOOKUP(Raw_data!$G105,Data_base!$B:$J,8,0),"")</f>
        <v>31</v>
      </c>
      <c r="O105" s="11">
        <f>IFERROR(VLOOKUP(Raw_data!$G105,Data_base!$B:$J,9,0),"")</f>
        <v>5398</v>
      </c>
      <c r="P105" s="78">
        <v>1</v>
      </c>
      <c r="Q105" s="78">
        <v>5</v>
      </c>
      <c r="R105" s="77">
        <v>17</v>
      </c>
      <c r="S105" s="12">
        <f>IFERROR(1-VLOOKUP(Emp[[#This Row],[Penality]],Data_base!V:W,2,FALSE),"")</f>
        <v>0.85</v>
      </c>
      <c r="T105" s="12">
        <f>IFERROR(R105/VLOOKUP(D105,Data_base!S:T,2,0),"")</f>
        <v>0.73913043478260865</v>
      </c>
      <c r="U105" s="12">
        <f>IFERROR(1-Emp[[#This Row],[Activity]],"")</f>
        <v>0.26086956521739135</v>
      </c>
      <c r="V105" s="79">
        <v>0.56360861062454448</v>
      </c>
      <c r="W105" s="12">
        <f t="shared" si="1"/>
        <v>0.71757968180238441</v>
      </c>
      <c r="X105" s="78">
        <v>200</v>
      </c>
      <c r="Y105" s="12">
        <f>IFERROR(IF(Emp[[#This Row],[Increament]]="","",(Emp[[#This Row],[Increament]]/Emp[[#This Row],[Salary]])),"")</f>
        <v>3.7050759540570584E-2</v>
      </c>
      <c r="Z105" s="17"/>
    </row>
    <row r="106" spans="2:26" x14ac:dyDescent="0.2">
      <c r="B106" s="75">
        <v>42859</v>
      </c>
      <c r="C106" s="38">
        <f>Emp[[#This Row],[Date]]</f>
        <v>42859</v>
      </c>
      <c r="D106" s="10">
        <f>IF(Emp[[#This Row],[Date]]="","",MONTH(Emp[[#This Row],[Date]]))</f>
        <v>5</v>
      </c>
      <c r="E106" s="64">
        <f>Emp[[#This Row],[Date]]</f>
        <v>42859</v>
      </c>
      <c r="F106" s="10">
        <f>IF(Emp[[#This Row],[Date]]="","",WEEKNUM(B106))</f>
        <v>18</v>
      </c>
      <c r="G106" s="77" t="s">
        <v>339</v>
      </c>
      <c r="H106" s="10" t="str">
        <f>IFERROR(VLOOKUP(Raw_data!$G106,Data_base!$B:$J,2,0),"")</f>
        <v>ID250272</v>
      </c>
      <c r="I106" s="10" t="str">
        <f>IFERROR(VLOOKUP(Raw_data!$G106,Data_base!$B:$J,3,0),"")</f>
        <v>Procurement</v>
      </c>
      <c r="J106" s="10" t="str">
        <f>IFERROR(VLOOKUP(Raw_data!$G106,Data_base!$B:$J,4,0),"")</f>
        <v>Junior</v>
      </c>
      <c r="K106" s="13" t="str">
        <f>IFERROR(VLOOKUP(Raw_data!$G106,Data_base!$B:$J,5,0),"")</f>
        <v>F</v>
      </c>
      <c r="L106" s="13" t="str">
        <f>IFERROR(VLOOKUP(Raw_data!$G106,Data_base!$B:$J,6,0),"")</f>
        <v>Part time</v>
      </c>
      <c r="M106" s="14">
        <f>IFERROR(VLOOKUP(Raw_data!$G106,Data_base!$B:$J,7,0),"")</f>
        <v>40534</v>
      </c>
      <c r="N106" s="13">
        <f>IFERROR(VLOOKUP(Raw_data!$G106,Data_base!$B:$J,8,0),"")</f>
        <v>39</v>
      </c>
      <c r="O106" s="11">
        <f>IFERROR(VLOOKUP(Raw_data!$G106,Data_base!$B:$J,9,0),"")</f>
        <v>5392</v>
      </c>
      <c r="P106" s="78">
        <v>3</v>
      </c>
      <c r="Q106" s="78">
        <v>2</v>
      </c>
      <c r="R106" s="77">
        <v>20</v>
      </c>
      <c r="S106" s="12">
        <f>IFERROR(1-VLOOKUP(Emp[[#This Row],[Penality]],Data_base!V:W,2,FALSE),"")</f>
        <v>0.55000000000000004</v>
      </c>
      <c r="T106" s="12">
        <f>IFERROR(R106/VLOOKUP(D106,Data_base!S:T,2,0),"")</f>
        <v>0.86956521739130432</v>
      </c>
      <c r="U106" s="12">
        <f>IFERROR(1-Emp[[#This Row],[Activity]],"")</f>
        <v>0.13043478260869568</v>
      </c>
      <c r="V106" s="79">
        <v>4.0426354917803442E-2</v>
      </c>
      <c r="W106" s="12">
        <f t="shared" si="1"/>
        <v>0.48666385743636925</v>
      </c>
      <c r="X106" s="78"/>
      <c r="Y106" s="12" t="str">
        <f>IFERROR(IF(Emp[[#This Row],[Increament]]="","",(Emp[[#This Row],[Increament]]/Emp[[#This Row],[Salary]])),"")</f>
        <v/>
      </c>
      <c r="Z106" s="17"/>
    </row>
    <row r="107" spans="2:26" x14ac:dyDescent="0.2">
      <c r="B107" s="75">
        <v>42916</v>
      </c>
      <c r="C107" s="38">
        <f>Emp[[#This Row],[Date]]</f>
        <v>42916</v>
      </c>
      <c r="D107" s="10">
        <f>IF(Emp[[#This Row],[Date]]="","",MONTH(Emp[[#This Row],[Date]]))</f>
        <v>6</v>
      </c>
      <c r="E107" s="64">
        <f>Emp[[#This Row],[Date]]</f>
        <v>42916</v>
      </c>
      <c r="F107" s="10">
        <f>IF(Emp[[#This Row],[Date]]="","",WEEKNUM(B107))</f>
        <v>26</v>
      </c>
      <c r="G107" s="77" t="s">
        <v>162</v>
      </c>
      <c r="H107" s="10" t="str">
        <f>IFERROR(VLOOKUP(Raw_data!$G107,Data_base!$B:$J,2,0),"")</f>
        <v>ID250095</v>
      </c>
      <c r="I107" s="10" t="str">
        <f>IFERROR(VLOOKUP(Raw_data!$G107,Data_base!$B:$J,3,0),"")</f>
        <v>Material</v>
      </c>
      <c r="J107" s="10" t="str">
        <f>IFERROR(VLOOKUP(Raw_data!$G107,Data_base!$B:$J,4,0),"")</f>
        <v>Manager</v>
      </c>
      <c r="K107" s="13" t="str">
        <f>IFERROR(VLOOKUP(Raw_data!$G107,Data_base!$B:$J,5,0),"")</f>
        <v>F</v>
      </c>
      <c r="L107" s="13" t="str">
        <f>IFERROR(VLOOKUP(Raw_data!$G107,Data_base!$B:$J,6,0),"")</f>
        <v>Part time</v>
      </c>
      <c r="M107" s="14">
        <f>IFERROR(VLOOKUP(Raw_data!$G107,Data_base!$B:$J,7,0),"")</f>
        <v>41341</v>
      </c>
      <c r="N107" s="13">
        <f>IFERROR(VLOOKUP(Raw_data!$G107,Data_base!$B:$J,8,0),"")</f>
        <v>34</v>
      </c>
      <c r="O107" s="11">
        <f>IFERROR(VLOOKUP(Raw_data!$G107,Data_base!$B:$J,9,0),"")</f>
        <v>8634</v>
      </c>
      <c r="P107" s="78">
        <v>2</v>
      </c>
      <c r="Q107" s="78">
        <v>4</v>
      </c>
      <c r="R107" s="77">
        <v>20</v>
      </c>
      <c r="S107" s="12">
        <f>IFERROR(1-VLOOKUP(Emp[[#This Row],[Penality]],Data_base!V:W,2,FALSE),"")</f>
        <v>0.7</v>
      </c>
      <c r="T107" s="12">
        <f>IFERROR(R107/VLOOKUP(D107,Data_base!S:T,2,0),"")</f>
        <v>1</v>
      </c>
      <c r="U107" s="12">
        <f>IFERROR(1-Emp[[#This Row],[Activity]],"")</f>
        <v>0</v>
      </c>
      <c r="V107" s="79">
        <v>0.93239420641632353</v>
      </c>
      <c r="W107" s="12">
        <f t="shared" si="1"/>
        <v>0.8774647354721079</v>
      </c>
      <c r="X107" s="78"/>
      <c r="Y107" s="12" t="str">
        <f>IFERROR(IF(Emp[[#This Row],[Increament]]="","",(Emp[[#This Row],[Increament]]/Emp[[#This Row],[Salary]])),"")</f>
        <v/>
      </c>
      <c r="Z107" s="17"/>
    </row>
    <row r="108" spans="2:26" x14ac:dyDescent="0.2">
      <c r="B108" s="75">
        <v>42391</v>
      </c>
      <c r="C108" s="38">
        <f>Emp[[#This Row],[Date]]</f>
        <v>42391</v>
      </c>
      <c r="D108" s="10">
        <f>IF(Emp[[#This Row],[Date]]="","",MONTH(Emp[[#This Row],[Date]]))</f>
        <v>1</v>
      </c>
      <c r="E108" s="64">
        <f>Emp[[#This Row],[Date]]</f>
        <v>42391</v>
      </c>
      <c r="F108" s="10">
        <f>IF(Emp[[#This Row],[Date]]="","",WEEKNUM(B108))</f>
        <v>4</v>
      </c>
      <c r="G108" s="77" t="s">
        <v>276</v>
      </c>
      <c r="H108" s="10" t="str">
        <f>IFERROR(VLOOKUP(Raw_data!$G108,Data_base!$B:$J,2,0),"")</f>
        <v>ID250209</v>
      </c>
      <c r="I108" s="10" t="str">
        <f>IFERROR(VLOOKUP(Raw_data!$G108,Data_base!$B:$J,3,0),"")</f>
        <v>Planning</v>
      </c>
      <c r="J108" s="10" t="str">
        <f>IFERROR(VLOOKUP(Raw_data!$G108,Data_base!$B:$J,4,0),"")</f>
        <v>Junior</v>
      </c>
      <c r="K108" s="13" t="str">
        <f>IFERROR(VLOOKUP(Raw_data!$G108,Data_base!$B:$J,5,0),"")</f>
        <v>F</v>
      </c>
      <c r="L108" s="13" t="str">
        <f>IFERROR(VLOOKUP(Raw_data!$G108,Data_base!$B:$J,6,0),"")</f>
        <v>Full time</v>
      </c>
      <c r="M108" s="14">
        <f>IFERROR(VLOOKUP(Raw_data!$G108,Data_base!$B:$J,7,0),"")</f>
        <v>42177</v>
      </c>
      <c r="N108" s="13">
        <f>IFERROR(VLOOKUP(Raw_data!$G108,Data_base!$B:$J,8,0),"")</f>
        <v>44</v>
      </c>
      <c r="O108" s="11">
        <f>IFERROR(VLOOKUP(Raw_data!$G108,Data_base!$B:$J,9,0),"")</f>
        <v>8565</v>
      </c>
      <c r="P108" s="78">
        <v>0</v>
      </c>
      <c r="Q108" s="78">
        <v>5</v>
      </c>
      <c r="R108" s="77">
        <v>17</v>
      </c>
      <c r="S108" s="12" t="str">
        <f>IFERROR(1-VLOOKUP(Emp[[#This Row],[Penality]],Data_base!V:W,2,FALSE),"")</f>
        <v/>
      </c>
      <c r="T108" s="12">
        <f>IFERROR(R108/VLOOKUP(D108,Data_base!S:T,2,0),"")</f>
        <v>0.80952380952380953</v>
      </c>
      <c r="U108" s="12">
        <f>IFERROR(1-Emp[[#This Row],[Activity]],"")</f>
        <v>0.19047619047619047</v>
      </c>
      <c r="V108" s="79">
        <v>0.61813384719706965</v>
      </c>
      <c r="W108" s="12">
        <f t="shared" si="1"/>
        <v>0.71382882836043959</v>
      </c>
      <c r="X108" s="78"/>
      <c r="Y108" s="12" t="str">
        <f>IFERROR(IF(Emp[[#This Row],[Increament]]="","",(Emp[[#This Row],[Increament]]/Emp[[#This Row],[Salary]])),"")</f>
        <v/>
      </c>
      <c r="Z108" s="17"/>
    </row>
    <row r="109" spans="2:26" x14ac:dyDescent="0.2">
      <c r="B109" s="75">
        <v>42586</v>
      </c>
      <c r="C109" s="38">
        <f>Emp[[#This Row],[Date]]</f>
        <v>42586</v>
      </c>
      <c r="D109" s="10">
        <f>IF(Emp[[#This Row],[Date]]="","",MONTH(Emp[[#This Row],[Date]]))</f>
        <v>8</v>
      </c>
      <c r="E109" s="64">
        <f>Emp[[#This Row],[Date]]</f>
        <v>42586</v>
      </c>
      <c r="F109" s="10">
        <f>IF(Emp[[#This Row],[Date]]="","",WEEKNUM(B109))</f>
        <v>32</v>
      </c>
      <c r="G109" s="77" t="s">
        <v>218</v>
      </c>
      <c r="H109" s="10" t="str">
        <f>IFERROR(VLOOKUP(Raw_data!$G109,Data_base!$B:$J,2,0),"")</f>
        <v>ID250151</v>
      </c>
      <c r="I109" s="10" t="str">
        <f>IFERROR(VLOOKUP(Raw_data!$G109,Data_base!$B:$J,3,0),"")</f>
        <v>Sales</v>
      </c>
      <c r="J109" s="10" t="str">
        <f>IFERROR(VLOOKUP(Raw_data!$G109,Data_base!$B:$J,4,0),"")</f>
        <v>Junior</v>
      </c>
      <c r="K109" s="13" t="str">
        <f>IFERROR(VLOOKUP(Raw_data!$G109,Data_base!$B:$J,5,0),"")</f>
        <v>M</v>
      </c>
      <c r="L109" s="13" t="str">
        <f>IFERROR(VLOOKUP(Raw_data!$G109,Data_base!$B:$J,6,0),"")</f>
        <v>Full time</v>
      </c>
      <c r="M109" s="14">
        <f>IFERROR(VLOOKUP(Raw_data!$G109,Data_base!$B:$J,7,0),"")</f>
        <v>42509</v>
      </c>
      <c r="N109" s="13">
        <f>IFERROR(VLOOKUP(Raw_data!$G109,Data_base!$B:$J,8,0),"")</f>
        <v>31</v>
      </c>
      <c r="O109" s="11">
        <f>IFERROR(VLOOKUP(Raw_data!$G109,Data_base!$B:$J,9,0),"")</f>
        <v>7188</v>
      </c>
      <c r="P109" s="78">
        <v>2</v>
      </c>
      <c r="Q109" s="78">
        <v>4</v>
      </c>
      <c r="R109" s="77">
        <v>20</v>
      </c>
      <c r="S109" s="12">
        <f>IFERROR(1-VLOOKUP(Emp[[#This Row],[Penality]],Data_base!V:W,2,FALSE),"")</f>
        <v>0.7</v>
      </c>
      <c r="T109" s="12">
        <f>IFERROR(R109/VLOOKUP(D109,Data_base!S:T,2,0),"")</f>
        <v>1</v>
      </c>
      <c r="U109" s="12">
        <f>IFERROR(1-Emp[[#This Row],[Activity]],"")</f>
        <v>0</v>
      </c>
      <c r="V109" s="79">
        <v>0.35281190049596989</v>
      </c>
      <c r="W109" s="12">
        <f t="shared" si="1"/>
        <v>0.68427063349865647</v>
      </c>
      <c r="X109" s="78"/>
      <c r="Y109" s="12" t="str">
        <f>IFERROR(IF(Emp[[#This Row],[Increament]]="","",(Emp[[#This Row],[Increament]]/Emp[[#This Row],[Salary]])),"")</f>
        <v/>
      </c>
      <c r="Z109" s="17"/>
    </row>
    <row r="110" spans="2:26" x14ac:dyDescent="0.2">
      <c r="B110" s="75">
        <v>42710</v>
      </c>
      <c r="C110" s="38">
        <f>Emp[[#This Row],[Date]]</f>
        <v>42710</v>
      </c>
      <c r="D110" s="10">
        <f>IF(Emp[[#This Row],[Date]]="","",MONTH(Emp[[#This Row],[Date]]))</f>
        <v>12</v>
      </c>
      <c r="E110" s="64">
        <f>Emp[[#This Row],[Date]]</f>
        <v>42710</v>
      </c>
      <c r="F110" s="10">
        <f>IF(Emp[[#This Row],[Date]]="","",WEEKNUM(B110))</f>
        <v>50</v>
      </c>
      <c r="G110" s="77" t="s">
        <v>167</v>
      </c>
      <c r="H110" s="10" t="str">
        <f>IFERROR(VLOOKUP(Raw_data!$G110,Data_base!$B:$J,2,0),"")</f>
        <v>ID250100</v>
      </c>
      <c r="I110" s="10" t="str">
        <f>IFERROR(VLOOKUP(Raw_data!$G110,Data_base!$B:$J,3,0),"")</f>
        <v>Procurement</v>
      </c>
      <c r="J110" s="10" t="str">
        <f>IFERROR(VLOOKUP(Raw_data!$G110,Data_base!$B:$J,4,0),"")</f>
        <v>Junior</v>
      </c>
      <c r="K110" s="13" t="str">
        <f>IFERROR(VLOOKUP(Raw_data!$G110,Data_base!$B:$J,5,0),"")</f>
        <v>F</v>
      </c>
      <c r="L110" s="13" t="str">
        <f>IFERROR(VLOOKUP(Raw_data!$G110,Data_base!$B:$J,6,0),"")</f>
        <v>Full time</v>
      </c>
      <c r="M110" s="14">
        <f>IFERROR(VLOOKUP(Raw_data!$G110,Data_base!$B:$J,7,0),"")</f>
        <v>43573</v>
      </c>
      <c r="N110" s="13">
        <f>IFERROR(VLOOKUP(Raw_data!$G110,Data_base!$B:$J,8,0),"")</f>
        <v>43</v>
      </c>
      <c r="O110" s="11">
        <f>IFERROR(VLOOKUP(Raw_data!$G110,Data_base!$B:$J,9,0),"")</f>
        <v>6182</v>
      </c>
      <c r="P110" s="78">
        <v>2</v>
      </c>
      <c r="Q110" s="78">
        <v>5</v>
      </c>
      <c r="R110" s="77">
        <v>18</v>
      </c>
      <c r="S110" s="12">
        <f>IFERROR(1-VLOOKUP(Emp[[#This Row],[Penality]],Data_base!V:W,2,FALSE),"")</f>
        <v>0.7</v>
      </c>
      <c r="T110" s="12">
        <f>IFERROR(R110/VLOOKUP(D110,Data_base!S:T,2,0),"")</f>
        <v>0.75</v>
      </c>
      <c r="U110" s="12">
        <f>IFERROR(1-Emp[[#This Row],[Activity]],"")</f>
        <v>0.25</v>
      </c>
      <c r="V110" s="79">
        <v>0.56089522925285429</v>
      </c>
      <c r="W110" s="12">
        <f t="shared" si="1"/>
        <v>0.67029840975095156</v>
      </c>
      <c r="X110" s="78"/>
      <c r="Y110" s="12" t="str">
        <f>IFERROR(IF(Emp[[#This Row],[Increament]]="","",(Emp[[#This Row],[Increament]]/Emp[[#This Row],[Salary]])),"")</f>
        <v/>
      </c>
      <c r="Z110" s="17"/>
    </row>
    <row r="111" spans="2:26" x14ac:dyDescent="0.2">
      <c r="B111" s="75">
        <v>42953</v>
      </c>
      <c r="C111" s="38">
        <f>Emp[[#This Row],[Date]]</f>
        <v>42953</v>
      </c>
      <c r="D111" s="10">
        <f>IF(Emp[[#This Row],[Date]]="","",MONTH(Emp[[#This Row],[Date]]))</f>
        <v>8</v>
      </c>
      <c r="E111" s="64">
        <f>Emp[[#This Row],[Date]]</f>
        <v>42953</v>
      </c>
      <c r="F111" s="10">
        <f>IF(Emp[[#This Row],[Date]]="","",WEEKNUM(B111))</f>
        <v>32</v>
      </c>
      <c r="G111" s="77" t="s">
        <v>103</v>
      </c>
      <c r="H111" s="10" t="str">
        <f>IFERROR(VLOOKUP(Raw_data!$G111,Data_base!$B:$J,2,0),"")</f>
        <v>ID250036</v>
      </c>
      <c r="I111" s="10" t="str">
        <f>IFERROR(VLOOKUP(Raw_data!$G111,Data_base!$B:$J,3,0),"")</f>
        <v>Sales</v>
      </c>
      <c r="J111" s="10" t="str">
        <f>IFERROR(VLOOKUP(Raw_data!$G111,Data_base!$B:$J,4,0),"")</f>
        <v>Technician</v>
      </c>
      <c r="K111" s="13" t="str">
        <f>IFERROR(VLOOKUP(Raw_data!$G111,Data_base!$B:$J,5,0),"")</f>
        <v>M</v>
      </c>
      <c r="L111" s="13" t="str">
        <f>IFERROR(VLOOKUP(Raw_data!$G111,Data_base!$B:$J,6,0),"")</f>
        <v>Part time</v>
      </c>
      <c r="M111" s="14">
        <f>IFERROR(VLOOKUP(Raw_data!$G111,Data_base!$B:$J,7,0),"")</f>
        <v>43663</v>
      </c>
      <c r="N111" s="13">
        <f>IFERROR(VLOOKUP(Raw_data!$G111,Data_base!$B:$J,8,0),"")</f>
        <v>42</v>
      </c>
      <c r="O111" s="11">
        <f>IFERROR(VLOOKUP(Raw_data!$G111,Data_base!$B:$J,9,0),"")</f>
        <v>5416</v>
      </c>
      <c r="P111" s="78">
        <v>1</v>
      </c>
      <c r="Q111" s="78">
        <v>3</v>
      </c>
      <c r="R111" s="77">
        <v>20</v>
      </c>
      <c r="S111" s="12">
        <f>IFERROR(1-VLOOKUP(Emp[[#This Row],[Penality]],Data_base!V:W,2,FALSE),"")</f>
        <v>0.85</v>
      </c>
      <c r="T111" s="12">
        <f>IFERROR(R111/VLOOKUP(D111,Data_base!S:T,2,0),"")</f>
        <v>1</v>
      </c>
      <c r="U111" s="12">
        <f>IFERROR(1-Emp[[#This Row],[Activity]],"")</f>
        <v>0</v>
      </c>
      <c r="V111" s="79">
        <v>0.17741603152938779</v>
      </c>
      <c r="W111" s="12">
        <f t="shared" si="1"/>
        <v>0.67580534384312918</v>
      </c>
      <c r="X111" s="78"/>
      <c r="Y111" s="12" t="str">
        <f>IFERROR(IF(Emp[[#This Row],[Increament]]="","",(Emp[[#This Row],[Increament]]/Emp[[#This Row],[Salary]])),"")</f>
        <v/>
      </c>
      <c r="Z111" s="17"/>
    </row>
    <row r="112" spans="2:26" x14ac:dyDescent="0.2">
      <c r="B112" s="75">
        <v>43508</v>
      </c>
      <c r="C112" s="38">
        <f>Emp[[#This Row],[Date]]</f>
        <v>43508</v>
      </c>
      <c r="D112" s="10">
        <f>IF(Emp[[#This Row],[Date]]="","",MONTH(Emp[[#This Row],[Date]]))</f>
        <v>2</v>
      </c>
      <c r="E112" s="64">
        <f>Emp[[#This Row],[Date]]</f>
        <v>43508</v>
      </c>
      <c r="F112" s="10">
        <f>IF(Emp[[#This Row],[Date]]="","",WEEKNUM(B112))</f>
        <v>7</v>
      </c>
      <c r="G112" s="77" t="s">
        <v>282</v>
      </c>
      <c r="H112" s="10" t="str">
        <f>IFERROR(VLOOKUP(Raw_data!$G112,Data_base!$B:$J,2,0),"")</f>
        <v>ID250215</v>
      </c>
      <c r="I112" s="10" t="str">
        <f>IFERROR(VLOOKUP(Raw_data!$G112,Data_base!$B:$J,3,0),"")</f>
        <v>HR</v>
      </c>
      <c r="J112" s="10" t="str">
        <f>IFERROR(VLOOKUP(Raw_data!$G112,Data_base!$B:$J,4,0),"")</f>
        <v>Staff</v>
      </c>
      <c r="K112" s="13" t="str">
        <f>IFERROR(VLOOKUP(Raw_data!$G112,Data_base!$B:$J,5,0),"")</f>
        <v>M</v>
      </c>
      <c r="L112" s="13" t="str">
        <f>IFERROR(VLOOKUP(Raw_data!$G112,Data_base!$B:$J,6,0),"")</f>
        <v>Full time</v>
      </c>
      <c r="M112" s="14">
        <f>IFERROR(VLOOKUP(Raw_data!$G112,Data_base!$B:$J,7,0),"")</f>
        <v>43345</v>
      </c>
      <c r="N112" s="13">
        <f>IFERROR(VLOOKUP(Raw_data!$G112,Data_base!$B:$J,8,0),"")</f>
        <v>34</v>
      </c>
      <c r="O112" s="11">
        <f>IFERROR(VLOOKUP(Raw_data!$G112,Data_base!$B:$J,9,0),"")</f>
        <v>8915</v>
      </c>
      <c r="P112" s="78">
        <v>2</v>
      </c>
      <c r="Q112" s="78">
        <v>4</v>
      </c>
      <c r="R112" s="77">
        <v>19</v>
      </c>
      <c r="S112" s="12">
        <f>IFERROR(1-VLOOKUP(Emp[[#This Row],[Penality]],Data_base!V:W,2,FALSE),"")</f>
        <v>0.7</v>
      </c>
      <c r="T112" s="12">
        <f>IFERROR(R112/VLOOKUP(D112,Data_base!S:T,2,0),"")</f>
        <v>0.79166666666666663</v>
      </c>
      <c r="U112" s="12">
        <f>IFERROR(1-Emp[[#This Row],[Activity]],"")</f>
        <v>0.20833333333333337</v>
      </c>
      <c r="V112" s="79">
        <v>0.58039143337458821</v>
      </c>
      <c r="W112" s="12">
        <f t="shared" si="1"/>
        <v>0.69068603334708489</v>
      </c>
      <c r="X112" s="78"/>
      <c r="Y112" s="12" t="str">
        <f>IFERROR(IF(Emp[[#This Row],[Increament]]="","",(Emp[[#This Row],[Increament]]/Emp[[#This Row],[Salary]])),"")</f>
        <v/>
      </c>
      <c r="Z112" s="17"/>
    </row>
    <row r="113" spans="2:26" x14ac:dyDescent="0.2">
      <c r="B113" s="75">
        <v>43738</v>
      </c>
      <c r="C113" s="38">
        <f>Emp[[#This Row],[Date]]</f>
        <v>43738</v>
      </c>
      <c r="D113" s="10">
        <f>IF(Emp[[#This Row],[Date]]="","",MONTH(Emp[[#This Row],[Date]]))</f>
        <v>9</v>
      </c>
      <c r="E113" s="64">
        <f>Emp[[#This Row],[Date]]</f>
        <v>43738</v>
      </c>
      <c r="F113" s="10">
        <f>IF(Emp[[#This Row],[Date]]="","",WEEKNUM(B113))</f>
        <v>40</v>
      </c>
      <c r="G113" s="77" t="s">
        <v>119</v>
      </c>
      <c r="H113" s="10" t="str">
        <f>IFERROR(VLOOKUP(Raw_data!$G113,Data_base!$B:$J,2,0),"")</f>
        <v>ID250052</v>
      </c>
      <c r="I113" s="10" t="str">
        <f>IFERROR(VLOOKUP(Raw_data!$G113,Data_base!$B:$J,3,0),"")</f>
        <v>Production</v>
      </c>
      <c r="J113" s="10" t="str">
        <f>IFERROR(VLOOKUP(Raw_data!$G113,Data_base!$B:$J,4,0),"")</f>
        <v>Workrer</v>
      </c>
      <c r="K113" s="13" t="str">
        <f>IFERROR(VLOOKUP(Raw_data!$G113,Data_base!$B:$J,5,0),"")</f>
        <v>M</v>
      </c>
      <c r="L113" s="13" t="str">
        <f>IFERROR(VLOOKUP(Raw_data!$G113,Data_base!$B:$J,6,0),"")</f>
        <v>Part time</v>
      </c>
      <c r="M113" s="14">
        <f>IFERROR(VLOOKUP(Raw_data!$G113,Data_base!$B:$J,7,0),"")</f>
        <v>40326</v>
      </c>
      <c r="N113" s="13">
        <f>IFERROR(VLOOKUP(Raw_data!$G113,Data_base!$B:$J,8,0),"")</f>
        <v>41</v>
      </c>
      <c r="O113" s="11">
        <f>IFERROR(VLOOKUP(Raw_data!$G113,Data_base!$B:$J,9,0),"")</f>
        <v>6049</v>
      </c>
      <c r="P113" s="78">
        <v>3</v>
      </c>
      <c r="Q113" s="78">
        <v>2</v>
      </c>
      <c r="R113" s="77">
        <v>19</v>
      </c>
      <c r="S113" s="12">
        <f>IFERROR(1-VLOOKUP(Emp[[#This Row],[Penality]],Data_base!V:W,2,FALSE),"")</f>
        <v>0.55000000000000004</v>
      </c>
      <c r="T113" s="12">
        <f>IFERROR(R113/VLOOKUP(D113,Data_base!S:T,2,0),"")</f>
        <v>0.79166666666666663</v>
      </c>
      <c r="U113" s="12">
        <f>IFERROR(1-Emp[[#This Row],[Activity]],"")</f>
        <v>0.20833333333333337</v>
      </c>
      <c r="V113" s="79">
        <v>0.41362640741595513</v>
      </c>
      <c r="W113" s="12">
        <f t="shared" si="1"/>
        <v>0.58509769136087397</v>
      </c>
      <c r="X113" s="78"/>
      <c r="Y113" s="12" t="str">
        <f>IFERROR(IF(Emp[[#This Row],[Increament]]="","",(Emp[[#This Row],[Increament]]/Emp[[#This Row],[Salary]])),"")</f>
        <v/>
      </c>
      <c r="Z113" s="17"/>
    </row>
    <row r="114" spans="2:26" x14ac:dyDescent="0.2">
      <c r="B114" s="75">
        <v>43682</v>
      </c>
      <c r="C114" s="38">
        <f>Emp[[#This Row],[Date]]</f>
        <v>43682</v>
      </c>
      <c r="D114" s="10">
        <f>IF(Emp[[#This Row],[Date]]="","",MONTH(Emp[[#This Row],[Date]]))</f>
        <v>8</v>
      </c>
      <c r="E114" s="64">
        <f>Emp[[#This Row],[Date]]</f>
        <v>43682</v>
      </c>
      <c r="F114" s="10">
        <f>IF(Emp[[#This Row],[Date]]="","",WEEKNUM(B114))</f>
        <v>32</v>
      </c>
      <c r="G114" s="77" t="s">
        <v>281</v>
      </c>
      <c r="H114" s="10" t="str">
        <f>IFERROR(VLOOKUP(Raw_data!$G114,Data_base!$B:$J,2,0),"")</f>
        <v>ID250214</v>
      </c>
      <c r="I114" s="10" t="str">
        <f>IFERROR(VLOOKUP(Raw_data!$G114,Data_base!$B:$J,3,0),"")</f>
        <v>Quality</v>
      </c>
      <c r="J114" s="10" t="str">
        <f>IFERROR(VLOOKUP(Raw_data!$G114,Data_base!$B:$J,4,0),"")</f>
        <v>Workrer</v>
      </c>
      <c r="K114" s="13" t="str">
        <f>IFERROR(VLOOKUP(Raw_data!$G114,Data_base!$B:$J,5,0),"")</f>
        <v>M</v>
      </c>
      <c r="L114" s="13" t="str">
        <f>IFERROR(VLOOKUP(Raw_data!$G114,Data_base!$B:$J,6,0),"")</f>
        <v>Full time</v>
      </c>
      <c r="M114" s="14">
        <f>IFERROR(VLOOKUP(Raw_data!$G114,Data_base!$B:$J,7,0),"")</f>
        <v>43564</v>
      </c>
      <c r="N114" s="13">
        <f>IFERROR(VLOOKUP(Raw_data!$G114,Data_base!$B:$J,8,0),"")</f>
        <v>37</v>
      </c>
      <c r="O114" s="11">
        <f>IFERROR(VLOOKUP(Raw_data!$G114,Data_base!$B:$J,9,0),"")</f>
        <v>9291</v>
      </c>
      <c r="P114" s="78">
        <v>2</v>
      </c>
      <c r="Q114" s="78">
        <v>3</v>
      </c>
      <c r="R114" s="77">
        <v>17</v>
      </c>
      <c r="S114" s="12">
        <f>IFERROR(1-VLOOKUP(Emp[[#This Row],[Penality]],Data_base!V:W,2,FALSE),"")</f>
        <v>0.7</v>
      </c>
      <c r="T114" s="12">
        <f>IFERROR(R114/VLOOKUP(D114,Data_base!S:T,2,0),"")</f>
        <v>0.85</v>
      </c>
      <c r="U114" s="12">
        <f>IFERROR(1-Emp[[#This Row],[Activity]],"")</f>
        <v>0.15000000000000002</v>
      </c>
      <c r="V114" s="79">
        <v>0.22252891970305921</v>
      </c>
      <c r="W114" s="12">
        <f t="shared" si="1"/>
        <v>0.59084297323435309</v>
      </c>
      <c r="X114" s="78">
        <v>400</v>
      </c>
      <c r="Y114" s="12">
        <f>IFERROR(IF(Emp[[#This Row],[Increament]]="","",(Emp[[#This Row],[Increament]]/Emp[[#This Row],[Salary]])),"")</f>
        <v>4.3052416316865787E-2</v>
      </c>
      <c r="Z114" s="17"/>
    </row>
    <row r="115" spans="2:26" x14ac:dyDescent="0.2">
      <c r="B115" s="75">
        <v>43783</v>
      </c>
      <c r="C115" s="38">
        <f>Emp[[#This Row],[Date]]</f>
        <v>43783</v>
      </c>
      <c r="D115" s="10">
        <f>IF(Emp[[#This Row],[Date]]="","",MONTH(Emp[[#This Row],[Date]]))</f>
        <v>11</v>
      </c>
      <c r="E115" s="64">
        <f>Emp[[#This Row],[Date]]</f>
        <v>43783</v>
      </c>
      <c r="F115" s="10">
        <f>IF(Emp[[#This Row],[Date]]="","",WEEKNUM(B115))</f>
        <v>46</v>
      </c>
      <c r="G115" s="77" t="s">
        <v>85</v>
      </c>
      <c r="H115" s="10" t="str">
        <f>IFERROR(VLOOKUP(Raw_data!$G115,Data_base!$B:$J,2,0),"")</f>
        <v>ID250018</v>
      </c>
      <c r="I115" s="10" t="str">
        <f>IFERROR(VLOOKUP(Raw_data!$G115,Data_base!$B:$J,3,0),"")</f>
        <v>HR</v>
      </c>
      <c r="J115" s="10" t="str">
        <f>IFERROR(VLOOKUP(Raw_data!$G115,Data_base!$B:$J,4,0),"")</f>
        <v>Technician</v>
      </c>
      <c r="K115" s="13" t="str">
        <f>IFERROR(VLOOKUP(Raw_data!$G115,Data_base!$B:$J,5,0),"")</f>
        <v>F</v>
      </c>
      <c r="L115" s="13" t="str">
        <f>IFERROR(VLOOKUP(Raw_data!$G115,Data_base!$B:$J,6,0),"")</f>
        <v>Part time</v>
      </c>
      <c r="M115" s="14">
        <f>IFERROR(VLOOKUP(Raw_data!$G115,Data_base!$B:$J,7,0),"")</f>
        <v>43671</v>
      </c>
      <c r="N115" s="13">
        <f>IFERROR(VLOOKUP(Raw_data!$G115,Data_base!$B:$J,8,0),"")</f>
        <v>44</v>
      </c>
      <c r="O115" s="11">
        <f>IFERROR(VLOOKUP(Raw_data!$G115,Data_base!$B:$J,9,0),"")</f>
        <v>9475</v>
      </c>
      <c r="P115" s="78">
        <v>0</v>
      </c>
      <c r="Q115" s="78">
        <v>1</v>
      </c>
      <c r="R115" s="77">
        <v>17</v>
      </c>
      <c r="S115" s="12" t="str">
        <f>IFERROR(1-VLOOKUP(Emp[[#This Row],[Penality]],Data_base!V:W,2,FALSE),"")</f>
        <v/>
      </c>
      <c r="T115" s="12">
        <f>IFERROR(R115/VLOOKUP(D115,Data_base!S:T,2,0),"")</f>
        <v>0.73913043478260865</v>
      </c>
      <c r="U115" s="12">
        <f>IFERROR(1-Emp[[#This Row],[Activity]],"")</f>
        <v>0.26086956521739135</v>
      </c>
      <c r="V115" s="79">
        <v>0.72585271518524153</v>
      </c>
      <c r="W115" s="12">
        <f t="shared" si="1"/>
        <v>0.73249157498392514</v>
      </c>
      <c r="X115" s="78">
        <v>500</v>
      </c>
      <c r="Y115" s="12">
        <f>IFERROR(IF(Emp[[#This Row],[Increament]]="","",(Emp[[#This Row],[Increament]]/Emp[[#This Row],[Salary]])),"")</f>
        <v>5.2770448548812667E-2</v>
      </c>
      <c r="Z115" s="17"/>
    </row>
    <row r="116" spans="2:26" x14ac:dyDescent="0.2">
      <c r="B116" s="75">
        <v>42839</v>
      </c>
      <c r="C116" s="38">
        <f>Emp[[#This Row],[Date]]</f>
        <v>42839</v>
      </c>
      <c r="D116" s="10">
        <f>IF(Emp[[#This Row],[Date]]="","",MONTH(Emp[[#This Row],[Date]]))</f>
        <v>4</v>
      </c>
      <c r="E116" s="64">
        <f>Emp[[#This Row],[Date]]</f>
        <v>42839</v>
      </c>
      <c r="F116" s="10">
        <f>IF(Emp[[#This Row],[Date]]="","",WEEKNUM(B116))</f>
        <v>15</v>
      </c>
      <c r="G116" s="77" t="s">
        <v>191</v>
      </c>
      <c r="H116" s="10" t="str">
        <f>IFERROR(VLOOKUP(Raw_data!$G116,Data_base!$B:$J,2,0),"")</f>
        <v>ID250124</v>
      </c>
      <c r="I116" s="10" t="str">
        <f>IFERROR(VLOOKUP(Raw_data!$G116,Data_base!$B:$J,3,0),"")</f>
        <v>Finance</v>
      </c>
      <c r="J116" s="10" t="str">
        <f>IFERROR(VLOOKUP(Raw_data!$G116,Data_base!$B:$J,4,0),"")</f>
        <v>Manager</v>
      </c>
      <c r="K116" s="13" t="str">
        <f>IFERROR(VLOOKUP(Raw_data!$G116,Data_base!$B:$J,5,0),"")</f>
        <v>F</v>
      </c>
      <c r="L116" s="13" t="str">
        <f>IFERROR(VLOOKUP(Raw_data!$G116,Data_base!$B:$J,6,0),"")</f>
        <v>Part time</v>
      </c>
      <c r="M116" s="14">
        <f>IFERROR(VLOOKUP(Raw_data!$G116,Data_base!$B:$J,7,0),"")</f>
        <v>40890</v>
      </c>
      <c r="N116" s="13">
        <f>IFERROR(VLOOKUP(Raw_data!$G116,Data_base!$B:$J,8,0),"")</f>
        <v>34</v>
      </c>
      <c r="O116" s="11">
        <f>IFERROR(VLOOKUP(Raw_data!$G116,Data_base!$B:$J,9,0),"")</f>
        <v>6546</v>
      </c>
      <c r="P116" s="78">
        <v>2</v>
      </c>
      <c r="Q116" s="78">
        <v>1</v>
      </c>
      <c r="R116" s="77">
        <v>18</v>
      </c>
      <c r="S116" s="12">
        <f>IFERROR(1-VLOOKUP(Emp[[#This Row],[Penality]],Data_base!V:W,2,FALSE),"")</f>
        <v>0.7</v>
      </c>
      <c r="T116" s="12">
        <f>IFERROR(R116/VLOOKUP(D116,Data_base!S:T,2,0),"")</f>
        <v>0.75</v>
      </c>
      <c r="U116" s="12">
        <f>IFERROR(1-Emp[[#This Row],[Activity]],"")</f>
        <v>0.25</v>
      </c>
      <c r="V116" s="79">
        <v>0.86957834840048465</v>
      </c>
      <c r="W116" s="12">
        <f t="shared" si="1"/>
        <v>0.77319278280016146</v>
      </c>
      <c r="X116" s="78"/>
      <c r="Y116" s="12" t="str">
        <f>IFERROR(IF(Emp[[#This Row],[Increament]]="","",(Emp[[#This Row],[Increament]]/Emp[[#This Row],[Salary]])),"")</f>
        <v/>
      </c>
      <c r="Z116" s="17"/>
    </row>
    <row r="117" spans="2:26" x14ac:dyDescent="0.2">
      <c r="B117" s="75">
        <v>42562</v>
      </c>
      <c r="C117" s="38">
        <f>Emp[[#This Row],[Date]]</f>
        <v>42562</v>
      </c>
      <c r="D117" s="10">
        <f>IF(Emp[[#This Row],[Date]]="","",MONTH(Emp[[#This Row],[Date]]))</f>
        <v>7</v>
      </c>
      <c r="E117" s="64">
        <f>Emp[[#This Row],[Date]]</f>
        <v>42562</v>
      </c>
      <c r="F117" s="10">
        <f>IF(Emp[[#This Row],[Date]]="","",WEEKNUM(B117))</f>
        <v>29</v>
      </c>
      <c r="G117" s="77" t="s">
        <v>344</v>
      </c>
      <c r="H117" s="10" t="str">
        <f>IFERROR(VLOOKUP(Raw_data!$G117,Data_base!$B:$J,2,0),"")</f>
        <v>ID250277</v>
      </c>
      <c r="I117" s="10" t="str">
        <f>IFERROR(VLOOKUP(Raw_data!$G117,Data_base!$B:$J,3,0),"")</f>
        <v>Sales</v>
      </c>
      <c r="J117" s="10" t="str">
        <f>IFERROR(VLOOKUP(Raw_data!$G117,Data_base!$B:$J,4,0),"")</f>
        <v>Staff</v>
      </c>
      <c r="K117" s="13" t="str">
        <f>IFERROR(VLOOKUP(Raw_data!$G117,Data_base!$B:$J,5,0),"")</f>
        <v>F</v>
      </c>
      <c r="L117" s="13" t="str">
        <f>IFERROR(VLOOKUP(Raw_data!$G117,Data_base!$B:$J,6,0),"")</f>
        <v>Part time</v>
      </c>
      <c r="M117" s="14">
        <f>IFERROR(VLOOKUP(Raw_data!$G117,Data_base!$B:$J,7,0),"")</f>
        <v>42246</v>
      </c>
      <c r="N117" s="13">
        <f>IFERROR(VLOOKUP(Raw_data!$G117,Data_base!$B:$J,8,0),"")</f>
        <v>31</v>
      </c>
      <c r="O117" s="11">
        <f>IFERROR(VLOOKUP(Raw_data!$G117,Data_base!$B:$J,9,0),"")</f>
        <v>8921</v>
      </c>
      <c r="P117" s="78">
        <v>0</v>
      </c>
      <c r="Q117" s="78">
        <v>2</v>
      </c>
      <c r="R117" s="77">
        <v>18</v>
      </c>
      <c r="S117" s="12" t="str">
        <f>IFERROR(1-VLOOKUP(Emp[[#This Row],[Penality]],Data_base!V:W,2,FALSE),"")</f>
        <v/>
      </c>
      <c r="T117" s="12">
        <f>IFERROR(R117/VLOOKUP(D117,Data_base!S:T,2,0),"")</f>
        <v>0.81818181818181823</v>
      </c>
      <c r="U117" s="12">
        <f>IFERROR(1-Emp[[#This Row],[Activity]],"")</f>
        <v>0.18181818181818177</v>
      </c>
      <c r="V117" s="79">
        <v>0.79135962218211919</v>
      </c>
      <c r="W117" s="12">
        <f t="shared" si="1"/>
        <v>0.80477072018196871</v>
      </c>
      <c r="X117" s="78"/>
      <c r="Y117" s="12" t="str">
        <f>IFERROR(IF(Emp[[#This Row],[Increament]]="","",(Emp[[#This Row],[Increament]]/Emp[[#This Row],[Salary]])),"")</f>
        <v/>
      </c>
      <c r="Z117" s="17"/>
    </row>
    <row r="118" spans="2:26" x14ac:dyDescent="0.2">
      <c r="B118" s="75">
        <v>42850</v>
      </c>
      <c r="C118" s="38">
        <f>Emp[[#This Row],[Date]]</f>
        <v>42850</v>
      </c>
      <c r="D118" s="10">
        <f>IF(Emp[[#This Row],[Date]]="","",MONTH(Emp[[#This Row],[Date]]))</f>
        <v>4</v>
      </c>
      <c r="E118" s="64">
        <f>Emp[[#This Row],[Date]]</f>
        <v>42850</v>
      </c>
      <c r="F118" s="10">
        <f>IF(Emp[[#This Row],[Date]]="","",WEEKNUM(B118))</f>
        <v>17</v>
      </c>
      <c r="G118" s="77" t="s">
        <v>88</v>
      </c>
      <c r="H118" s="10" t="str">
        <f>IFERROR(VLOOKUP(Raw_data!$G118,Data_base!$B:$J,2,0),"")</f>
        <v>ID250021</v>
      </c>
      <c r="I118" s="10" t="str">
        <f>IFERROR(VLOOKUP(Raw_data!$G118,Data_base!$B:$J,3,0),"")</f>
        <v>HR</v>
      </c>
      <c r="J118" s="10" t="str">
        <f>IFERROR(VLOOKUP(Raw_data!$G118,Data_base!$B:$J,4,0),"")</f>
        <v>Staff</v>
      </c>
      <c r="K118" s="13" t="str">
        <f>IFERROR(VLOOKUP(Raw_data!$G118,Data_base!$B:$J,5,0),"")</f>
        <v>M</v>
      </c>
      <c r="L118" s="13" t="str">
        <f>IFERROR(VLOOKUP(Raw_data!$G118,Data_base!$B:$J,6,0),"")</f>
        <v>Full time</v>
      </c>
      <c r="M118" s="14">
        <f>IFERROR(VLOOKUP(Raw_data!$G118,Data_base!$B:$J,7,0),"")</f>
        <v>41283</v>
      </c>
      <c r="N118" s="13">
        <f>IFERROR(VLOOKUP(Raw_data!$G118,Data_base!$B:$J,8,0),"")</f>
        <v>36</v>
      </c>
      <c r="O118" s="11">
        <f>IFERROR(VLOOKUP(Raw_data!$G118,Data_base!$B:$J,9,0),"")</f>
        <v>8039</v>
      </c>
      <c r="P118" s="78">
        <v>1</v>
      </c>
      <c r="Q118" s="78">
        <v>2</v>
      </c>
      <c r="R118" s="77">
        <v>17</v>
      </c>
      <c r="S118" s="12">
        <f>IFERROR(1-VLOOKUP(Emp[[#This Row],[Penality]],Data_base!V:W,2,FALSE),"")</f>
        <v>0.85</v>
      </c>
      <c r="T118" s="12">
        <f>IFERROR(R118/VLOOKUP(D118,Data_base!S:T,2,0),"")</f>
        <v>0.70833333333333337</v>
      </c>
      <c r="U118" s="12">
        <f>IFERROR(1-Emp[[#This Row],[Activity]],"")</f>
        <v>0.29166666666666663</v>
      </c>
      <c r="V118" s="79">
        <v>0.93371725617653356</v>
      </c>
      <c r="W118" s="12">
        <f t="shared" si="1"/>
        <v>0.8306835298366223</v>
      </c>
      <c r="X118" s="78"/>
      <c r="Y118" s="12" t="str">
        <f>IFERROR(IF(Emp[[#This Row],[Increament]]="","",(Emp[[#This Row],[Increament]]/Emp[[#This Row],[Salary]])),"")</f>
        <v/>
      </c>
      <c r="Z118" s="17"/>
    </row>
    <row r="119" spans="2:26" x14ac:dyDescent="0.2">
      <c r="B119" s="75">
        <v>42598</v>
      </c>
      <c r="C119" s="38">
        <f>Emp[[#This Row],[Date]]</f>
        <v>42598</v>
      </c>
      <c r="D119" s="10">
        <f>IF(Emp[[#This Row],[Date]]="","",MONTH(Emp[[#This Row],[Date]]))</f>
        <v>8</v>
      </c>
      <c r="E119" s="64">
        <f>Emp[[#This Row],[Date]]</f>
        <v>42598</v>
      </c>
      <c r="F119" s="10">
        <f>IF(Emp[[#This Row],[Date]]="","",WEEKNUM(B119))</f>
        <v>34</v>
      </c>
      <c r="G119" s="77" t="s">
        <v>146</v>
      </c>
      <c r="H119" s="10" t="str">
        <f>IFERROR(VLOOKUP(Raw_data!$G119,Data_base!$B:$J,2,0),"")</f>
        <v>ID250079</v>
      </c>
      <c r="I119" s="10" t="str">
        <f>IFERROR(VLOOKUP(Raw_data!$G119,Data_base!$B:$J,3,0),"")</f>
        <v>HR</v>
      </c>
      <c r="J119" s="10" t="str">
        <f>IFERROR(VLOOKUP(Raw_data!$G119,Data_base!$B:$J,4,0),"")</f>
        <v>Junior</v>
      </c>
      <c r="K119" s="13" t="str">
        <f>IFERROR(VLOOKUP(Raw_data!$G119,Data_base!$B:$J,5,0),"")</f>
        <v>F</v>
      </c>
      <c r="L119" s="13" t="str">
        <f>IFERROR(VLOOKUP(Raw_data!$G119,Data_base!$B:$J,6,0),"")</f>
        <v>Full time</v>
      </c>
      <c r="M119" s="14">
        <f>IFERROR(VLOOKUP(Raw_data!$G119,Data_base!$B:$J,7,0),"")</f>
        <v>41593</v>
      </c>
      <c r="N119" s="13">
        <f>IFERROR(VLOOKUP(Raw_data!$G119,Data_base!$B:$J,8,0),"")</f>
        <v>31</v>
      </c>
      <c r="O119" s="11">
        <f>IFERROR(VLOOKUP(Raw_data!$G119,Data_base!$B:$J,9,0),"")</f>
        <v>8238</v>
      </c>
      <c r="P119" s="78">
        <v>3</v>
      </c>
      <c r="Q119" s="78">
        <v>2</v>
      </c>
      <c r="R119" s="77">
        <v>19</v>
      </c>
      <c r="S119" s="12">
        <f>IFERROR(1-VLOOKUP(Emp[[#This Row],[Penality]],Data_base!V:W,2,FALSE),"")</f>
        <v>0.55000000000000004</v>
      </c>
      <c r="T119" s="12">
        <f>IFERROR(R119/VLOOKUP(D119,Data_base!S:T,2,0),"")</f>
        <v>0.95</v>
      </c>
      <c r="U119" s="12">
        <f>IFERROR(1-Emp[[#This Row],[Activity]],"")</f>
        <v>5.0000000000000044E-2</v>
      </c>
      <c r="V119" s="79">
        <v>0.56437440544947182</v>
      </c>
      <c r="W119" s="12">
        <f t="shared" si="1"/>
        <v>0.68812480181649072</v>
      </c>
      <c r="X119" s="78"/>
      <c r="Y119" s="12" t="str">
        <f>IFERROR(IF(Emp[[#This Row],[Increament]]="","",(Emp[[#This Row],[Increament]]/Emp[[#This Row],[Salary]])),"")</f>
        <v/>
      </c>
      <c r="Z119" s="17"/>
    </row>
    <row r="120" spans="2:26" x14ac:dyDescent="0.2">
      <c r="B120" s="75">
        <v>42820</v>
      </c>
      <c r="C120" s="38">
        <f>Emp[[#This Row],[Date]]</f>
        <v>42820</v>
      </c>
      <c r="D120" s="10">
        <f>IF(Emp[[#This Row],[Date]]="","",MONTH(Emp[[#This Row],[Date]]))</f>
        <v>3</v>
      </c>
      <c r="E120" s="64">
        <f>Emp[[#This Row],[Date]]</f>
        <v>42820</v>
      </c>
      <c r="F120" s="10">
        <f>IF(Emp[[#This Row],[Date]]="","",WEEKNUM(B120))</f>
        <v>13</v>
      </c>
      <c r="G120" s="77" t="s">
        <v>250</v>
      </c>
      <c r="H120" s="10" t="str">
        <f>IFERROR(VLOOKUP(Raw_data!$G120,Data_base!$B:$J,2,0),"")</f>
        <v>ID250183</v>
      </c>
      <c r="I120" s="10" t="str">
        <f>IFERROR(VLOOKUP(Raw_data!$G120,Data_base!$B:$J,3,0),"")</f>
        <v>Planning</v>
      </c>
      <c r="J120" s="10" t="str">
        <f>IFERROR(VLOOKUP(Raw_data!$G120,Data_base!$B:$J,4,0),"")</f>
        <v>Staff</v>
      </c>
      <c r="K120" s="13" t="str">
        <f>IFERROR(VLOOKUP(Raw_data!$G120,Data_base!$B:$J,5,0),"")</f>
        <v>F</v>
      </c>
      <c r="L120" s="13" t="str">
        <f>IFERROR(VLOOKUP(Raw_data!$G120,Data_base!$B:$J,6,0),"")</f>
        <v>Full time</v>
      </c>
      <c r="M120" s="14">
        <f>IFERROR(VLOOKUP(Raw_data!$G120,Data_base!$B:$J,7,0),"")</f>
        <v>41067</v>
      </c>
      <c r="N120" s="13">
        <f>IFERROR(VLOOKUP(Raw_data!$G120,Data_base!$B:$J,8,0),"")</f>
        <v>32</v>
      </c>
      <c r="O120" s="11">
        <f>IFERROR(VLOOKUP(Raw_data!$G120,Data_base!$B:$J,9,0),"")</f>
        <v>5805</v>
      </c>
      <c r="P120" s="78">
        <v>1</v>
      </c>
      <c r="Q120" s="78">
        <v>2</v>
      </c>
      <c r="R120" s="77">
        <v>19</v>
      </c>
      <c r="S120" s="12">
        <f>IFERROR(1-VLOOKUP(Emp[[#This Row],[Penality]],Data_base!V:W,2,FALSE),"")</f>
        <v>0.85</v>
      </c>
      <c r="T120" s="12">
        <f>IFERROR(R120/VLOOKUP(D120,Data_base!S:T,2,0),"")</f>
        <v>0.82608695652173914</v>
      </c>
      <c r="U120" s="12">
        <f>IFERROR(1-Emp[[#This Row],[Activity]],"")</f>
        <v>0.17391304347826086</v>
      </c>
      <c r="V120" s="79">
        <v>0.54519975009538058</v>
      </c>
      <c r="W120" s="12">
        <f t="shared" si="1"/>
        <v>0.74042890220570656</v>
      </c>
      <c r="X120" s="78">
        <v>700</v>
      </c>
      <c r="Y120" s="12">
        <f>IFERROR(IF(Emp[[#This Row],[Increament]]="","",(Emp[[#This Row],[Increament]]/Emp[[#This Row],[Salary]])),"")</f>
        <v>0.12058570198105081</v>
      </c>
      <c r="Z120" s="17"/>
    </row>
    <row r="121" spans="2:26" x14ac:dyDescent="0.2">
      <c r="B121" s="75">
        <v>43643</v>
      </c>
      <c r="C121" s="38">
        <f>Emp[[#This Row],[Date]]</f>
        <v>43643</v>
      </c>
      <c r="D121" s="10">
        <f>IF(Emp[[#This Row],[Date]]="","",MONTH(Emp[[#This Row],[Date]]))</f>
        <v>6</v>
      </c>
      <c r="E121" s="64">
        <f>Emp[[#This Row],[Date]]</f>
        <v>43643</v>
      </c>
      <c r="F121" s="10">
        <f>IF(Emp[[#This Row],[Date]]="","",WEEKNUM(B121))</f>
        <v>26</v>
      </c>
      <c r="G121" s="77" t="s">
        <v>159</v>
      </c>
      <c r="H121" s="10" t="str">
        <f>IFERROR(VLOOKUP(Raw_data!$G121,Data_base!$B:$J,2,0),"")</f>
        <v>ID250092</v>
      </c>
      <c r="I121" s="10" t="str">
        <f>IFERROR(VLOOKUP(Raw_data!$G121,Data_base!$B:$J,3,0),"")</f>
        <v>Sales</v>
      </c>
      <c r="J121" s="10" t="str">
        <f>IFERROR(VLOOKUP(Raw_data!$G121,Data_base!$B:$J,4,0),"")</f>
        <v>Workrer</v>
      </c>
      <c r="K121" s="13" t="str">
        <f>IFERROR(VLOOKUP(Raw_data!$G121,Data_base!$B:$J,5,0),"")</f>
        <v>F</v>
      </c>
      <c r="L121" s="13" t="str">
        <f>IFERROR(VLOOKUP(Raw_data!$G121,Data_base!$B:$J,6,0),"")</f>
        <v>Full time</v>
      </c>
      <c r="M121" s="14">
        <f>IFERROR(VLOOKUP(Raw_data!$G121,Data_base!$B:$J,7,0),"")</f>
        <v>43103</v>
      </c>
      <c r="N121" s="13">
        <f>IFERROR(VLOOKUP(Raw_data!$G121,Data_base!$B:$J,8,0),"")</f>
        <v>37</v>
      </c>
      <c r="O121" s="11">
        <f>IFERROR(VLOOKUP(Raw_data!$G121,Data_base!$B:$J,9,0),"")</f>
        <v>7646</v>
      </c>
      <c r="P121" s="78">
        <v>0</v>
      </c>
      <c r="Q121" s="78">
        <v>5</v>
      </c>
      <c r="R121" s="77">
        <v>19</v>
      </c>
      <c r="S121" s="12" t="str">
        <f>IFERROR(1-VLOOKUP(Emp[[#This Row],[Penality]],Data_base!V:W,2,FALSE),"")</f>
        <v/>
      </c>
      <c r="T121" s="12">
        <f>IFERROR(R121/VLOOKUP(D121,Data_base!S:T,2,0),"")</f>
        <v>0.95</v>
      </c>
      <c r="U121" s="12">
        <f>IFERROR(1-Emp[[#This Row],[Activity]],"")</f>
        <v>5.0000000000000044E-2</v>
      </c>
      <c r="V121" s="79">
        <v>0.9387112992896508</v>
      </c>
      <c r="W121" s="12">
        <f t="shared" si="1"/>
        <v>0.94435564964482532</v>
      </c>
      <c r="X121" s="78">
        <v>1000</v>
      </c>
      <c r="Y121" s="12">
        <f>IFERROR(IF(Emp[[#This Row],[Increament]]="","",(Emp[[#This Row],[Increament]]/Emp[[#This Row],[Salary]])),"")</f>
        <v>0.13078733978550877</v>
      </c>
      <c r="Z121" s="17"/>
    </row>
    <row r="122" spans="2:26" x14ac:dyDescent="0.2">
      <c r="B122" s="75">
        <v>43019</v>
      </c>
      <c r="C122" s="38">
        <f>Emp[[#This Row],[Date]]</f>
        <v>43019</v>
      </c>
      <c r="D122" s="10">
        <f>IF(Emp[[#This Row],[Date]]="","",MONTH(Emp[[#This Row],[Date]]))</f>
        <v>10</v>
      </c>
      <c r="E122" s="64">
        <f>Emp[[#This Row],[Date]]</f>
        <v>43019</v>
      </c>
      <c r="F122" s="10">
        <f>IF(Emp[[#This Row],[Date]]="","",WEEKNUM(B122))</f>
        <v>41</v>
      </c>
      <c r="G122" s="77" t="s">
        <v>102</v>
      </c>
      <c r="H122" s="10" t="str">
        <f>IFERROR(VLOOKUP(Raw_data!$G122,Data_base!$B:$J,2,0),"")</f>
        <v>ID250035</v>
      </c>
      <c r="I122" s="10" t="str">
        <f>IFERROR(VLOOKUP(Raw_data!$G122,Data_base!$B:$J,3,0),"")</f>
        <v>Quality</v>
      </c>
      <c r="J122" s="10" t="str">
        <f>IFERROR(VLOOKUP(Raw_data!$G122,Data_base!$B:$J,4,0),"")</f>
        <v>Manager</v>
      </c>
      <c r="K122" s="13" t="str">
        <f>IFERROR(VLOOKUP(Raw_data!$G122,Data_base!$B:$J,5,0),"")</f>
        <v>F</v>
      </c>
      <c r="L122" s="13" t="str">
        <f>IFERROR(VLOOKUP(Raw_data!$G122,Data_base!$B:$J,6,0),"")</f>
        <v>Part time</v>
      </c>
      <c r="M122" s="14">
        <f>IFERROR(VLOOKUP(Raw_data!$G122,Data_base!$B:$J,7,0),"")</f>
        <v>40246</v>
      </c>
      <c r="N122" s="13">
        <f>IFERROR(VLOOKUP(Raw_data!$G122,Data_base!$B:$J,8,0),"")</f>
        <v>44</v>
      </c>
      <c r="O122" s="11">
        <f>IFERROR(VLOOKUP(Raw_data!$G122,Data_base!$B:$J,9,0),"")</f>
        <v>8752</v>
      </c>
      <c r="P122" s="78">
        <v>1</v>
      </c>
      <c r="Q122" s="78">
        <v>3</v>
      </c>
      <c r="R122" s="77">
        <v>19</v>
      </c>
      <c r="S122" s="12">
        <f>IFERROR(1-VLOOKUP(Emp[[#This Row],[Penality]],Data_base!V:W,2,FALSE),"")</f>
        <v>0.85</v>
      </c>
      <c r="T122" s="12">
        <f>IFERROR(R122/VLOOKUP(D122,Data_base!S:T,2,0),"")</f>
        <v>0.86363636363636365</v>
      </c>
      <c r="U122" s="12">
        <f>IFERROR(1-Emp[[#This Row],[Activity]],"")</f>
        <v>0.13636363636363635</v>
      </c>
      <c r="V122" s="79">
        <v>0.42367205342225589</v>
      </c>
      <c r="W122" s="12">
        <f t="shared" si="1"/>
        <v>0.71243613901953984</v>
      </c>
      <c r="X122" s="78"/>
      <c r="Y122" s="12" t="str">
        <f>IFERROR(IF(Emp[[#This Row],[Increament]]="","",(Emp[[#This Row],[Increament]]/Emp[[#This Row],[Salary]])),"")</f>
        <v/>
      </c>
      <c r="Z122" s="17"/>
    </row>
    <row r="123" spans="2:26" x14ac:dyDescent="0.2">
      <c r="B123" s="75">
        <v>43157</v>
      </c>
      <c r="C123" s="38">
        <f>Emp[[#This Row],[Date]]</f>
        <v>43157</v>
      </c>
      <c r="D123" s="10">
        <f>IF(Emp[[#This Row],[Date]]="","",MONTH(Emp[[#This Row],[Date]]))</f>
        <v>2</v>
      </c>
      <c r="E123" s="64">
        <f>Emp[[#This Row],[Date]]</f>
        <v>43157</v>
      </c>
      <c r="F123" s="10">
        <f>IF(Emp[[#This Row],[Date]]="","",WEEKNUM(B123))</f>
        <v>9</v>
      </c>
      <c r="G123" s="77" t="s">
        <v>110</v>
      </c>
      <c r="H123" s="10" t="str">
        <f>IFERROR(VLOOKUP(Raw_data!$G123,Data_base!$B:$J,2,0),"")</f>
        <v>ID250043</v>
      </c>
      <c r="I123" s="10" t="str">
        <f>IFERROR(VLOOKUP(Raw_data!$G123,Data_base!$B:$J,3,0),"")</f>
        <v>Procurement</v>
      </c>
      <c r="J123" s="10" t="str">
        <f>IFERROR(VLOOKUP(Raw_data!$G123,Data_base!$B:$J,4,0),"")</f>
        <v>Workrer</v>
      </c>
      <c r="K123" s="13" t="str">
        <f>IFERROR(VLOOKUP(Raw_data!$G123,Data_base!$B:$J,5,0),"")</f>
        <v>M</v>
      </c>
      <c r="L123" s="13" t="str">
        <f>IFERROR(VLOOKUP(Raw_data!$G123,Data_base!$B:$J,6,0),"")</f>
        <v>Full time</v>
      </c>
      <c r="M123" s="14">
        <f>IFERROR(VLOOKUP(Raw_data!$G123,Data_base!$B:$J,7,0),"")</f>
        <v>41884</v>
      </c>
      <c r="N123" s="13">
        <f>IFERROR(VLOOKUP(Raw_data!$G123,Data_base!$B:$J,8,0),"")</f>
        <v>44</v>
      </c>
      <c r="O123" s="11">
        <f>IFERROR(VLOOKUP(Raw_data!$G123,Data_base!$B:$J,9,0),"")</f>
        <v>6304</v>
      </c>
      <c r="P123" s="78">
        <v>2</v>
      </c>
      <c r="Q123" s="78">
        <v>2</v>
      </c>
      <c r="R123" s="77">
        <v>18</v>
      </c>
      <c r="S123" s="12">
        <f>IFERROR(1-VLOOKUP(Emp[[#This Row],[Penality]],Data_base!V:W,2,FALSE),"")</f>
        <v>0.7</v>
      </c>
      <c r="T123" s="12">
        <f>IFERROR(R123/VLOOKUP(D123,Data_base!S:T,2,0),"")</f>
        <v>0.75</v>
      </c>
      <c r="U123" s="12">
        <f>IFERROR(1-Emp[[#This Row],[Activity]],"")</f>
        <v>0.25</v>
      </c>
      <c r="V123" s="79">
        <v>7.2918351001341031E-2</v>
      </c>
      <c r="W123" s="12">
        <f t="shared" si="1"/>
        <v>0.50763945033378033</v>
      </c>
      <c r="X123" s="78">
        <v>200</v>
      </c>
      <c r="Y123" s="12">
        <f>IFERROR(IF(Emp[[#This Row],[Increament]]="","",(Emp[[#This Row],[Increament]]/Emp[[#This Row],[Salary]])),"")</f>
        <v>3.1725888324873094E-2</v>
      </c>
      <c r="Z123" s="17"/>
    </row>
    <row r="124" spans="2:26" x14ac:dyDescent="0.2">
      <c r="B124" s="75">
        <v>42419</v>
      </c>
      <c r="C124" s="38">
        <f>Emp[[#This Row],[Date]]</f>
        <v>42419</v>
      </c>
      <c r="D124" s="10">
        <f>IF(Emp[[#This Row],[Date]]="","",MONTH(Emp[[#This Row],[Date]]))</f>
        <v>2</v>
      </c>
      <c r="E124" s="64">
        <f>Emp[[#This Row],[Date]]</f>
        <v>42419</v>
      </c>
      <c r="F124" s="10">
        <f>IF(Emp[[#This Row],[Date]]="","",WEEKNUM(B124))</f>
        <v>8</v>
      </c>
      <c r="G124" s="77" t="s">
        <v>72</v>
      </c>
      <c r="H124" s="10" t="str">
        <f>IFERROR(VLOOKUP(Raw_data!$G124,Data_base!$B:$J,2,0),"")</f>
        <v>ID250005</v>
      </c>
      <c r="I124" s="10" t="str">
        <f>IFERROR(VLOOKUP(Raw_data!$G124,Data_base!$B:$J,3,0),"")</f>
        <v>Finance</v>
      </c>
      <c r="J124" s="10" t="str">
        <f>IFERROR(VLOOKUP(Raw_data!$G124,Data_base!$B:$J,4,0),"")</f>
        <v>Junior</v>
      </c>
      <c r="K124" s="13" t="str">
        <f>IFERROR(VLOOKUP(Raw_data!$G124,Data_base!$B:$J,5,0),"")</f>
        <v>F</v>
      </c>
      <c r="L124" s="13" t="str">
        <f>IFERROR(VLOOKUP(Raw_data!$G124,Data_base!$B:$J,6,0),"")</f>
        <v>Full time</v>
      </c>
      <c r="M124" s="14">
        <f>IFERROR(VLOOKUP(Raw_data!$G124,Data_base!$B:$J,7,0),"")</f>
        <v>43718</v>
      </c>
      <c r="N124" s="13">
        <f>IFERROR(VLOOKUP(Raw_data!$G124,Data_base!$B:$J,8,0),"")</f>
        <v>35</v>
      </c>
      <c r="O124" s="11">
        <f>IFERROR(VLOOKUP(Raw_data!$G124,Data_base!$B:$J,9,0),"")</f>
        <v>8121</v>
      </c>
      <c r="P124" s="78">
        <v>1</v>
      </c>
      <c r="Q124" s="78">
        <v>1</v>
      </c>
      <c r="R124" s="77">
        <v>20</v>
      </c>
      <c r="S124" s="12">
        <f>IFERROR(1-VLOOKUP(Emp[[#This Row],[Penality]],Data_base!V:W,2,FALSE),"")</f>
        <v>0.85</v>
      </c>
      <c r="T124" s="12">
        <f>IFERROR(R124/VLOOKUP(D124,Data_base!S:T,2,0),"")</f>
        <v>0.83333333333333337</v>
      </c>
      <c r="U124" s="12">
        <f>IFERROR(1-Emp[[#This Row],[Activity]],"")</f>
        <v>0.16666666666666663</v>
      </c>
      <c r="V124" s="79">
        <v>0.19900932903771662</v>
      </c>
      <c r="W124" s="12">
        <f t="shared" si="1"/>
        <v>0.62744755412368336</v>
      </c>
      <c r="X124" s="78"/>
      <c r="Y124" s="12" t="str">
        <f>IFERROR(IF(Emp[[#This Row],[Increament]]="","",(Emp[[#This Row],[Increament]]/Emp[[#This Row],[Salary]])),"")</f>
        <v/>
      </c>
      <c r="Z124" s="17"/>
    </row>
    <row r="125" spans="2:26" x14ac:dyDescent="0.2">
      <c r="B125" s="75">
        <v>42526</v>
      </c>
      <c r="C125" s="38">
        <f>Emp[[#This Row],[Date]]</f>
        <v>42526</v>
      </c>
      <c r="D125" s="10">
        <f>IF(Emp[[#This Row],[Date]]="","",MONTH(Emp[[#This Row],[Date]]))</f>
        <v>6</v>
      </c>
      <c r="E125" s="64">
        <f>Emp[[#This Row],[Date]]</f>
        <v>42526</v>
      </c>
      <c r="F125" s="10">
        <f>IF(Emp[[#This Row],[Date]]="","",WEEKNUM(B125))</f>
        <v>24</v>
      </c>
      <c r="G125" s="77" t="s">
        <v>176</v>
      </c>
      <c r="H125" s="10" t="str">
        <f>IFERROR(VLOOKUP(Raw_data!$G125,Data_base!$B:$J,2,0),"")</f>
        <v>ID250109</v>
      </c>
      <c r="I125" s="10" t="str">
        <f>IFERROR(VLOOKUP(Raw_data!$G125,Data_base!$B:$J,3,0),"")</f>
        <v>Quality</v>
      </c>
      <c r="J125" s="10" t="str">
        <f>IFERROR(VLOOKUP(Raw_data!$G125,Data_base!$B:$J,4,0),"")</f>
        <v>Workrer</v>
      </c>
      <c r="K125" s="13" t="str">
        <f>IFERROR(VLOOKUP(Raw_data!$G125,Data_base!$B:$J,5,0),"")</f>
        <v>M</v>
      </c>
      <c r="L125" s="13" t="str">
        <f>IFERROR(VLOOKUP(Raw_data!$G125,Data_base!$B:$J,6,0),"")</f>
        <v>Part time</v>
      </c>
      <c r="M125" s="14">
        <f>IFERROR(VLOOKUP(Raw_data!$G125,Data_base!$B:$J,7,0),"")</f>
        <v>41276</v>
      </c>
      <c r="N125" s="13">
        <f>IFERROR(VLOOKUP(Raw_data!$G125,Data_base!$B:$J,8,0),"")</f>
        <v>41</v>
      </c>
      <c r="O125" s="11">
        <f>IFERROR(VLOOKUP(Raw_data!$G125,Data_base!$B:$J,9,0),"")</f>
        <v>5604</v>
      </c>
      <c r="P125" s="78">
        <v>1</v>
      </c>
      <c r="Q125" s="78">
        <v>4</v>
      </c>
      <c r="R125" s="77">
        <v>17</v>
      </c>
      <c r="S125" s="12">
        <f>IFERROR(1-VLOOKUP(Emp[[#This Row],[Penality]],Data_base!V:W,2,FALSE),"")</f>
        <v>0.85</v>
      </c>
      <c r="T125" s="12">
        <f>IFERROR(R125/VLOOKUP(D125,Data_base!S:T,2,0),"")</f>
        <v>0.85</v>
      </c>
      <c r="U125" s="12">
        <f>IFERROR(1-Emp[[#This Row],[Activity]],"")</f>
        <v>0.15000000000000002</v>
      </c>
      <c r="V125" s="79">
        <v>0.47030228126366669</v>
      </c>
      <c r="W125" s="12">
        <f t="shared" si="1"/>
        <v>0.72343409375455547</v>
      </c>
      <c r="X125" s="78"/>
      <c r="Y125" s="12" t="str">
        <f>IFERROR(IF(Emp[[#This Row],[Increament]]="","",(Emp[[#This Row],[Increament]]/Emp[[#This Row],[Salary]])),"")</f>
        <v/>
      </c>
      <c r="Z125" s="17"/>
    </row>
    <row r="126" spans="2:26" x14ac:dyDescent="0.2">
      <c r="B126" s="75">
        <v>42570</v>
      </c>
      <c r="C126" s="38">
        <f>Emp[[#This Row],[Date]]</f>
        <v>42570</v>
      </c>
      <c r="D126" s="10">
        <f>IF(Emp[[#This Row],[Date]]="","",MONTH(Emp[[#This Row],[Date]]))</f>
        <v>7</v>
      </c>
      <c r="E126" s="64">
        <f>Emp[[#This Row],[Date]]</f>
        <v>42570</v>
      </c>
      <c r="F126" s="10">
        <f>IF(Emp[[#This Row],[Date]]="","",WEEKNUM(B126))</f>
        <v>30</v>
      </c>
      <c r="G126" s="77" t="s">
        <v>282</v>
      </c>
      <c r="H126" s="10" t="str">
        <f>IFERROR(VLOOKUP(Raw_data!$G126,Data_base!$B:$J,2,0),"")</f>
        <v>ID250215</v>
      </c>
      <c r="I126" s="10" t="str">
        <f>IFERROR(VLOOKUP(Raw_data!$G126,Data_base!$B:$J,3,0),"")</f>
        <v>HR</v>
      </c>
      <c r="J126" s="10" t="str">
        <f>IFERROR(VLOOKUP(Raw_data!$G126,Data_base!$B:$J,4,0),"")</f>
        <v>Staff</v>
      </c>
      <c r="K126" s="13" t="str">
        <f>IFERROR(VLOOKUP(Raw_data!$G126,Data_base!$B:$J,5,0),"")</f>
        <v>M</v>
      </c>
      <c r="L126" s="13" t="str">
        <f>IFERROR(VLOOKUP(Raw_data!$G126,Data_base!$B:$J,6,0),"")</f>
        <v>Full time</v>
      </c>
      <c r="M126" s="14">
        <f>IFERROR(VLOOKUP(Raw_data!$G126,Data_base!$B:$J,7,0),"")</f>
        <v>43345</v>
      </c>
      <c r="N126" s="13">
        <f>IFERROR(VLOOKUP(Raw_data!$G126,Data_base!$B:$J,8,0),"")</f>
        <v>34</v>
      </c>
      <c r="O126" s="11">
        <f>IFERROR(VLOOKUP(Raw_data!$G126,Data_base!$B:$J,9,0),"")</f>
        <v>8915</v>
      </c>
      <c r="P126" s="78">
        <v>0</v>
      </c>
      <c r="Q126" s="78">
        <v>1</v>
      </c>
      <c r="R126" s="77">
        <v>19</v>
      </c>
      <c r="S126" s="12" t="str">
        <f>IFERROR(1-VLOOKUP(Emp[[#This Row],[Penality]],Data_base!V:W,2,FALSE),"")</f>
        <v/>
      </c>
      <c r="T126" s="12">
        <f>IFERROR(R126/VLOOKUP(D126,Data_base!S:T,2,0),"")</f>
        <v>0.86363636363636365</v>
      </c>
      <c r="U126" s="12">
        <f>IFERROR(1-Emp[[#This Row],[Activity]],"")</f>
        <v>0.13636363636363635</v>
      </c>
      <c r="V126" s="79">
        <v>0.39322751411018797</v>
      </c>
      <c r="W126" s="12">
        <f t="shared" si="1"/>
        <v>0.62843193887327575</v>
      </c>
      <c r="X126" s="78"/>
      <c r="Y126" s="12" t="str">
        <f>IFERROR(IF(Emp[[#This Row],[Increament]]="","",(Emp[[#This Row],[Increament]]/Emp[[#This Row],[Salary]])),"")</f>
        <v/>
      </c>
      <c r="Z126" s="17"/>
    </row>
    <row r="127" spans="2:26" x14ac:dyDescent="0.2">
      <c r="B127" s="75">
        <v>43527</v>
      </c>
      <c r="C127" s="38">
        <f>Emp[[#This Row],[Date]]</f>
        <v>43527</v>
      </c>
      <c r="D127" s="10">
        <f>IF(Emp[[#This Row],[Date]]="","",MONTH(Emp[[#This Row],[Date]]))</f>
        <v>3</v>
      </c>
      <c r="E127" s="64">
        <f>Emp[[#This Row],[Date]]</f>
        <v>43527</v>
      </c>
      <c r="F127" s="10">
        <f>IF(Emp[[#This Row],[Date]]="","",WEEKNUM(B127))</f>
        <v>10</v>
      </c>
      <c r="G127" s="77" t="s">
        <v>327</v>
      </c>
      <c r="H127" s="10" t="str">
        <f>IFERROR(VLOOKUP(Raw_data!$G127,Data_base!$B:$J,2,0),"")</f>
        <v>ID250260</v>
      </c>
      <c r="I127" s="10" t="str">
        <f>IFERROR(VLOOKUP(Raw_data!$G127,Data_base!$B:$J,3,0),"")</f>
        <v>HR</v>
      </c>
      <c r="J127" s="10" t="str">
        <f>IFERROR(VLOOKUP(Raw_data!$G127,Data_base!$B:$J,4,0),"")</f>
        <v>Technician</v>
      </c>
      <c r="K127" s="13" t="str">
        <f>IFERROR(VLOOKUP(Raw_data!$G127,Data_base!$B:$J,5,0),"")</f>
        <v>F</v>
      </c>
      <c r="L127" s="13" t="str">
        <f>IFERROR(VLOOKUP(Raw_data!$G127,Data_base!$B:$J,6,0),"")</f>
        <v>Part time</v>
      </c>
      <c r="M127" s="14">
        <f>IFERROR(VLOOKUP(Raw_data!$G127,Data_base!$B:$J,7,0),"")</f>
        <v>40463</v>
      </c>
      <c r="N127" s="13">
        <f>IFERROR(VLOOKUP(Raw_data!$G127,Data_base!$B:$J,8,0),"")</f>
        <v>39</v>
      </c>
      <c r="O127" s="11">
        <f>IFERROR(VLOOKUP(Raw_data!$G127,Data_base!$B:$J,9,0),"")</f>
        <v>8237</v>
      </c>
      <c r="P127" s="78">
        <v>2</v>
      </c>
      <c r="Q127" s="78">
        <v>5</v>
      </c>
      <c r="R127" s="77">
        <v>19</v>
      </c>
      <c r="S127" s="12">
        <f>IFERROR(1-VLOOKUP(Emp[[#This Row],[Penality]],Data_base!V:W,2,FALSE),"")</f>
        <v>0.7</v>
      </c>
      <c r="T127" s="12">
        <f>IFERROR(R127/VLOOKUP(D127,Data_base!S:T,2,0),"")</f>
        <v>0.82608695652173914</v>
      </c>
      <c r="U127" s="12">
        <f>IFERROR(1-Emp[[#This Row],[Activity]],"")</f>
        <v>0.17391304347826086</v>
      </c>
      <c r="V127" s="79">
        <v>0.30224033203001277</v>
      </c>
      <c r="W127" s="12">
        <f t="shared" si="1"/>
        <v>0.60944242951725058</v>
      </c>
      <c r="X127" s="78"/>
      <c r="Y127" s="12" t="str">
        <f>IFERROR(IF(Emp[[#This Row],[Increament]]="","",(Emp[[#This Row],[Increament]]/Emp[[#This Row],[Salary]])),"")</f>
        <v/>
      </c>
      <c r="Z127" s="17"/>
    </row>
    <row r="128" spans="2:26" x14ac:dyDescent="0.2">
      <c r="B128" s="75">
        <v>43209</v>
      </c>
      <c r="C128" s="38">
        <f>Emp[[#This Row],[Date]]</f>
        <v>43209</v>
      </c>
      <c r="D128" s="10">
        <f>IF(Emp[[#This Row],[Date]]="","",MONTH(Emp[[#This Row],[Date]]))</f>
        <v>4</v>
      </c>
      <c r="E128" s="64">
        <f>Emp[[#This Row],[Date]]</f>
        <v>43209</v>
      </c>
      <c r="F128" s="10">
        <f>IF(Emp[[#This Row],[Date]]="","",WEEKNUM(B128))</f>
        <v>16</v>
      </c>
      <c r="G128" s="77" t="s">
        <v>203</v>
      </c>
      <c r="H128" s="10" t="str">
        <f>IFERROR(VLOOKUP(Raw_data!$G128,Data_base!$B:$J,2,0),"")</f>
        <v>ID250136</v>
      </c>
      <c r="I128" s="10" t="str">
        <f>IFERROR(VLOOKUP(Raw_data!$G128,Data_base!$B:$J,3,0),"")</f>
        <v>HR</v>
      </c>
      <c r="J128" s="10" t="str">
        <f>IFERROR(VLOOKUP(Raw_data!$G128,Data_base!$B:$J,4,0),"")</f>
        <v>Technician</v>
      </c>
      <c r="K128" s="13" t="str">
        <f>IFERROR(VLOOKUP(Raw_data!$G128,Data_base!$B:$J,5,0),"")</f>
        <v>M</v>
      </c>
      <c r="L128" s="13" t="str">
        <f>IFERROR(VLOOKUP(Raw_data!$G128,Data_base!$B:$J,6,0),"")</f>
        <v>Full time</v>
      </c>
      <c r="M128" s="14">
        <f>IFERROR(VLOOKUP(Raw_data!$G128,Data_base!$B:$J,7,0),"")</f>
        <v>41137</v>
      </c>
      <c r="N128" s="13">
        <f>IFERROR(VLOOKUP(Raw_data!$G128,Data_base!$B:$J,8,0),"")</f>
        <v>39</v>
      </c>
      <c r="O128" s="11">
        <f>IFERROR(VLOOKUP(Raw_data!$G128,Data_base!$B:$J,9,0),"")</f>
        <v>8536</v>
      </c>
      <c r="P128" s="78">
        <v>0</v>
      </c>
      <c r="Q128" s="78">
        <v>5</v>
      </c>
      <c r="R128" s="77">
        <v>18</v>
      </c>
      <c r="S128" s="12" t="str">
        <f>IFERROR(1-VLOOKUP(Emp[[#This Row],[Penality]],Data_base!V:W,2,FALSE),"")</f>
        <v/>
      </c>
      <c r="T128" s="12">
        <f>IFERROR(R128/VLOOKUP(D128,Data_base!S:T,2,0),"")</f>
        <v>0.75</v>
      </c>
      <c r="U128" s="12">
        <f>IFERROR(1-Emp[[#This Row],[Activity]],"")</f>
        <v>0.25</v>
      </c>
      <c r="V128" s="79">
        <v>0.58915011502384884</v>
      </c>
      <c r="W128" s="12">
        <f t="shared" si="1"/>
        <v>0.66957505751192437</v>
      </c>
      <c r="X128" s="78">
        <v>500</v>
      </c>
      <c r="Y128" s="12">
        <f>IFERROR(IF(Emp[[#This Row],[Increament]]="","",(Emp[[#This Row],[Increament]]/Emp[[#This Row],[Salary]])),"")</f>
        <v>5.8575445173383318E-2</v>
      </c>
      <c r="Z128" s="17"/>
    </row>
    <row r="129" spans="2:26" x14ac:dyDescent="0.2">
      <c r="B129" s="75">
        <v>43023</v>
      </c>
      <c r="C129" s="38">
        <f>Emp[[#This Row],[Date]]</f>
        <v>43023</v>
      </c>
      <c r="D129" s="10">
        <f>IF(Emp[[#This Row],[Date]]="","",MONTH(Emp[[#This Row],[Date]]))</f>
        <v>10</v>
      </c>
      <c r="E129" s="64">
        <f>Emp[[#This Row],[Date]]</f>
        <v>43023</v>
      </c>
      <c r="F129" s="10">
        <f>IF(Emp[[#This Row],[Date]]="","",WEEKNUM(B129))</f>
        <v>42</v>
      </c>
      <c r="G129" s="77" t="s">
        <v>231</v>
      </c>
      <c r="H129" s="10" t="str">
        <f>IFERROR(VLOOKUP(Raw_data!$G129,Data_base!$B:$J,2,0),"")</f>
        <v>ID250164</v>
      </c>
      <c r="I129" s="10" t="str">
        <f>IFERROR(VLOOKUP(Raw_data!$G129,Data_base!$B:$J,3,0),"")</f>
        <v>Material</v>
      </c>
      <c r="J129" s="10" t="str">
        <f>IFERROR(VLOOKUP(Raw_data!$G129,Data_base!$B:$J,4,0),"")</f>
        <v>Staff</v>
      </c>
      <c r="K129" s="13" t="str">
        <f>IFERROR(VLOOKUP(Raw_data!$G129,Data_base!$B:$J,5,0),"")</f>
        <v>F</v>
      </c>
      <c r="L129" s="13" t="str">
        <f>IFERROR(VLOOKUP(Raw_data!$G129,Data_base!$B:$J,6,0),"")</f>
        <v>Full time</v>
      </c>
      <c r="M129" s="14">
        <f>IFERROR(VLOOKUP(Raw_data!$G129,Data_base!$B:$J,7,0),"")</f>
        <v>43750</v>
      </c>
      <c r="N129" s="13">
        <f>IFERROR(VLOOKUP(Raw_data!$G129,Data_base!$B:$J,8,0),"")</f>
        <v>40</v>
      </c>
      <c r="O129" s="11">
        <f>IFERROR(VLOOKUP(Raw_data!$G129,Data_base!$B:$J,9,0),"")</f>
        <v>9801</v>
      </c>
      <c r="P129" s="78">
        <v>1</v>
      </c>
      <c r="Q129" s="78">
        <v>5</v>
      </c>
      <c r="R129" s="77">
        <v>20</v>
      </c>
      <c r="S129" s="12">
        <f>IFERROR(1-VLOOKUP(Emp[[#This Row],[Penality]],Data_base!V:W,2,FALSE),"")</f>
        <v>0.85</v>
      </c>
      <c r="T129" s="12">
        <f>IFERROR(R129/VLOOKUP(D129,Data_base!S:T,2,0),"")</f>
        <v>0.90909090909090906</v>
      </c>
      <c r="U129" s="12">
        <f>IFERROR(1-Emp[[#This Row],[Activity]],"")</f>
        <v>9.0909090909090939E-2</v>
      </c>
      <c r="V129" s="79">
        <v>0.29926295256236091</v>
      </c>
      <c r="W129" s="12">
        <f t="shared" si="1"/>
        <v>0.68611795388442332</v>
      </c>
      <c r="X129" s="78"/>
      <c r="Y129" s="12" t="str">
        <f>IFERROR(IF(Emp[[#This Row],[Increament]]="","",(Emp[[#This Row],[Increament]]/Emp[[#This Row],[Salary]])),"")</f>
        <v/>
      </c>
      <c r="Z129" s="17"/>
    </row>
    <row r="130" spans="2:26" x14ac:dyDescent="0.2">
      <c r="B130" s="75">
        <v>42625</v>
      </c>
      <c r="C130" s="38">
        <f>Emp[[#This Row],[Date]]</f>
        <v>42625</v>
      </c>
      <c r="D130" s="10">
        <f>IF(Emp[[#This Row],[Date]]="","",MONTH(Emp[[#This Row],[Date]]))</f>
        <v>9</v>
      </c>
      <c r="E130" s="64">
        <f>Emp[[#This Row],[Date]]</f>
        <v>42625</v>
      </c>
      <c r="F130" s="10">
        <f>IF(Emp[[#This Row],[Date]]="","",WEEKNUM(B130))</f>
        <v>38</v>
      </c>
      <c r="G130" s="77" t="s">
        <v>202</v>
      </c>
      <c r="H130" s="10" t="str">
        <f>IFERROR(VLOOKUP(Raw_data!$G130,Data_base!$B:$J,2,0),"")</f>
        <v>ID250135</v>
      </c>
      <c r="I130" s="10" t="str">
        <f>IFERROR(VLOOKUP(Raw_data!$G130,Data_base!$B:$J,3,0),"")</f>
        <v>HR</v>
      </c>
      <c r="J130" s="10" t="str">
        <f>IFERROR(VLOOKUP(Raw_data!$G130,Data_base!$B:$J,4,0),"")</f>
        <v>Technician</v>
      </c>
      <c r="K130" s="13" t="str">
        <f>IFERROR(VLOOKUP(Raw_data!$G130,Data_base!$B:$J,5,0),"")</f>
        <v>F</v>
      </c>
      <c r="L130" s="13" t="str">
        <f>IFERROR(VLOOKUP(Raw_data!$G130,Data_base!$B:$J,6,0),"")</f>
        <v>Full time</v>
      </c>
      <c r="M130" s="14">
        <f>IFERROR(VLOOKUP(Raw_data!$G130,Data_base!$B:$J,7,0),"")</f>
        <v>41313</v>
      </c>
      <c r="N130" s="13">
        <f>IFERROR(VLOOKUP(Raw_data!$G130,Data_base!$B:$J,8,0),"")</f>
        <v>41</v>
      </c>
      <c r="O130" s="11">
        <f>IFERROR(VLOOKUP(Raw_data!$G130,Data_base!$B:$J,9,0),"")</f>
        <v>4804</v>
      </c>
      <c r="P130" s="78">
        <v>3</v>
      </c>
      <c r="Q130" s="78">
        <v>4</v>
      </c>
      <c r="R130" s="77">
        <v>19</v>
      </c>
      <c r="S130" s="12">
        <f>IFERROR(1-VLOOKUP(Emp[[#This Row],[Penality]],Data_base!V:W,2,FALSE),"")</f>
        <v>0.55000000000000004</v>
      </c>
      <c r="T130" s="12">
        <f>IFERROR(R130/VLOOKUP(D130,Data_base!S:T,2,0),"")</f>
        <v>0.79166666666666663</v>
      </c>
      <c r="U130" s="12">
        <f>IFERROR(1-Emp[[#This Row],[Activity]],"")</f>
        <v>0.20833333333333337</v>
      </c>
      <c r="V130" s="79">
        <v>0.79985226135545362</v>
      </c>
      <c r="W130" s="12">
        <f t="shared" si="1"/>
        <v>0.71383964267403999</v>
      </c>
      <c r="X130" s="78">
        <v>400</v>
      </c>
      <c r="Y130" s="12">
        <f>IFERROR(IF(Emp[[#This Row],[Increament]]="","",(Emp[[#This Row],[Increament]]/Emp[[#This Row],[Salary]])),"")</f>
        <v>8.3263946711074108E-2</v>
      </c>
      <c r="Z130" s="17"/>
    </row>
    <row r="131" spans="2:26" x14ac:dyDescent="0.2">
      <c r="B131" s="75">
        <v>43680</v>
      </c>
      <c r="C131" s="38">
        <f>Emp[[#This Row],[Date]]</f>
        <v>43680</v>
      </c>
      <c r="D131" s="10">
        <f>IF(Emp[[#This Row],[Date]]="","",MONTH(Emp[[#This Row],[Date]]))</f>
        <v>8</v>
      </c>
      <c r="E131" s="64">
        <f>Emp[[#This Row],[Date]]</f>
        <v>43680</v>
      </c>
      <c r="F131" s="10">
        <f>IF(Emp[[#This Row],[Date]]="","",WEEKNUM(B131))</f>
        <v>31</v>
      </c>
      <c r="G131" s="77" t="s">
        <v>310</v>
      </c>
      <c r="H131" s="10" t="str">
        <f>IFERROR(VLOOKUP(Raw_data!$G131,Data_base!$B:$J,2,0),"")</f>
        <v>ID250243</v>
      </c>
      <c r="I131" s="10" t="str">
        <f>IFERROR(VLOOKUP(Raw_data!$G131,Data_base!$B:$J,3,0),"")</f>
        <v>HR</v>
      </c>
      <c r="J131" s="10" t="str">
        <f>IFERROR(VLOOKUP(Raw_data!$G131,Data_base!$B:$J,4,0),"")</f>
        <v>Technician</v>
      </c>
      <c r="K131" s="13" t="str">
        <f>IFERROR(VLOOKUP(Raw_data!$G131,Data_base!$B:$J,5,0),"")</f>
        <v>M</v>
      </c>
      <c r="L131" s="13" t="str">
        <f>IFERROR(VLOOKUP(Raw_data!$G131,Data_base!$B:$J,6,0),"")</f>
        <v>Part time</v>
      </c>
      <c r="M131" s="14">
        <f>IFERROR(VLOOKUP(Raw_data!$G131,Data_base!$B:$J,7,0),"")</f>
        <v>42160</v>
      </c>
      <c r="N131" s="13">
        <f>IFERROR(VLOOKUP(Raw_data!$G131,Data_base!$B:$J,8,0),"")</f>
        <v>37</v>
      </c>
      <c r="O131" s="11">
        <f>IFERROR(VLOOKUP(Raw_data!$G131,Data_base!$B:$J,9,0),"")</f>
        <v>8756</v>
      </c>
      <c r="P131" s="78">
        <v>3</v>
      </c>
      <c r="Q131" s="78">
        <v>2</v>
      </c>
      <c r="R131" s="77">
        <v>17</v>
      </c>
      <c r="S131" s="12">
        <f>IFERROR(1-VLOOKUP(Emp[[#This Row],[Penality]],Data_base!V:W,2,FALSE),"")</f>
        <v>0.55000000000000004</v>
      </c>
      <c r="T131" s="12">
        <f>IFERROR(R131/VLOOKUP(D131,Data_base!S:T,2,0),"")</f>
        <v>0.85</v>
      </c>
      <c r="U131" s="12">
        <f>IFERROR(1-Emp[[#This Row],[Activity]],"")</f>
        <v>0.15000000000000002</v>
      </c>
      <c r="V131" s="79">
        <v>0.89389576379836844</v>
      </c>
      <c r="W131" s="12">
        <f t="shared" ref="W131:W194" si="2">AVERAGE(V131,T131,S131)</f>
        <v>0.76463192126612289</v>
      </c>
      <c r="X131" s="78">
        <v>700</v>
      </c>
      <c r="Y131" s="12">
        <f>IFERROR(IF(Emp[[#This Row],[Increament]]="","",(Emp[[#This Row],[Increament]]/Emp[[#This Row],[Salary]])),"")</f>
        <v>7.9945180447693012E-2</v>
      </c>
      <c r="Z131" s="17"/>
    </row>
    <row r="132" spans="2:26" x14ac:dyDescent="0.2">
      <c r="B132" s="75">
        <v>43237</v>
      </c>
      <c r="C132" s="38">
        <f>Emp[[#This Row],[Date]]</f>
        <v>43237</v>
      </c>
      <c r="D132" s="10">
        <f>IF(Emp[[#This Row],[Date]]="","",MONTH(Emp[[#This Row],[Date]]))</f>
        <v>5</v>
      </c>
      <c r="E132" s="64">
        <f>Emp[[#This Row],[Date]]</f>
        <v>43237</v>
      </c>
      <c r="F132" s="10">
        <f>IF(Emp[[#This Row],[Date]]="","",WEEKNUM(B132))</f>
        <v>20</v>
      </c>
      <c r="G132" s="77" t="s">
        <v>96</v>
      </c>
      <c r="H132" s="10" t="str">
        <f>IFERROR(VLOOKUP(Raw_data!$G132,Data_base!$B:$J,2,0),"")</f>
        <v>ID250029</v>
      </c>
      <c r="I132" s="10" t="str">
        <f>IFERROR(VLOOKUP(Raw_data!$G132,Data_base!$B:$J,3,0),"")</f>
        <v>Planning</v>
      </c>
      <c r="J132" s="10" t="str">
        <f>IFERROR(VLOOKUP(Raw_data!$G132,Data_base!$B:$J,4,0),"")</f>
        <v>Technician</v>
      </c>
      <c r="K132" s="13" t="str">
        <f>IFERROR(VLOOKUP(Raw_data!$G132,Data_base!$B:$J,5,0),"")</f>
        <v>F</v>
      </c>
      <c r="L132" s="13" t="str">
        <f>IFERROR(VLOOKUP(Raw_data!$G132,Data_base!$B:$J,6,0),"")</f>
        <v>Full time</v>
      </c>
      <c r="M132" s="14">
        <f>IFERROR(VLOOKUP(Raw_data!$G132,Data_base!$B:$J,7,0),"")</f>
        <v>42859</v>
      </c>
      <c r="N132" s="13">
        <f>IFERROR(VLOOKUP(Raw_data!$G132,Data_base!$B:$J,8,0),"")</f>
        <v>31</v>
      </c>
      <c r="O132" s="11">
        <f>IFERROR(VLOOKUP(Raw_data!$G132,Data_base!$B:$J,9,0),"")</f>
        <v>4625</v>
      </c>
      <c r="P132" s="78">
        <v>2</v>
      </c>
      <c r="Q132" s="78">
        <v>3</v>
      </c>
      <c r="R132" s="77">
        <v>17</v>
      </c>
      <c r="S132" s="12">
        <f>IFERROR(1-VLOOKUP(Emp[[#This Row],[Penality]],Data_base!V:W,2,FALSE),"")</f>
        <v>0.7</v>
      </c>
      <c r="T132" s="12">
        <f>IFERROR(R132/VLOOKUP(D132,Data_base!S:T,2,0),"")</f>
        <v>0.73913043478260865</v>
      </c>
      <c r="U132" s="12">
        <f>IFERROR(1-Emp[[#This Row],[Activity]],"")</f>
        <v>0.26086956521739135</v>
      </c>
      <c r="V132" s="79">
        <v>0.21699466865393724</v>
      </c>
      <c r="W132" s="12">
        <f t="shared" si="2"/>
        <v>0.55204170114551532</v>
      </c>
      <c r="X132" s="78"/>
      <c r="Y132" s="12" t="str">
        <f>IFERROR(IF(Emp[[#This Row],[Increament]]="","",(Emp[[#This Row],[Increament]]/Emp[[#This Row],[Salary]])),"")</f>
        <v/>
      </c>
      <c r="Z132" s="17"/>
    </row>
    <row r="133" spans="2:26" x14ac:dyDescent="0.2">
      <c r="B133" s="75">
        <v>43575</v>
      </c>
      <c r="C133" s="38">
        <f>Emp[[#This Row],[Date]]</f>
        <v>43575</v>
      </c>
      <c r="D133" s="10">
        <f>IF(Emp[[#This Row],[Date]]="","",MONTH(Emp[[#This Row],[Date]]))</f>
        <v>4</v>
      </c>
      <c r="E133" s="64">
        <f>Emp[[#This Row],[Date]]</f>
        <v>43575</v>
      </c>
      <c r="F133" s="10">
        <f>IF(Emp[[#This Row],[Date]]="","",WEEKNUM(B133))</f>
        <v>16</v>
      </c>
      <c r="G133" s="77" t="s">
        <v>246</v>
      </c>
      <c r="H133" s="10" t="str">
        <f>IFERROR(VLOOKUP(Raw_data!$G133,Data_base!$B:$J,2,0),"")</f>
        <v>ID250179</v>
      </c>
      <c r="I133" s="10" t="str">
        <f>IFERROR(VLOOKUP(Raw_data!$G133,Data_base!$B:$J,3,0),"")</f>
        <v>Material</v>
      </c>
      <c r="J133" s="10" t="str">
        <f>IFERROR(VLOOKUP(Raw_data!$G133,Data_base!$B:$J,4,0),"")</f>
        <v>Workrer</v>
      </c>
      <c r="K133" s="13" t="str">
        <f>IFERROR(VLOOKUP(Raw_data!$G133,Data_base!$B:$J,5,0),"")</f>
        <v>M</v>
      </c>
      <c r="L133" s="13" t="str">
        <f>IFERROR(VLOOKUP(Raw_data!$G133,Data_base!$B:$J,6,0),"")</f>
        <v>Part time</v>
      </c>
      <c r="M133" s="14">
        <f>IFERROR(VLOOKUP(Raw_data!$G133,Data_base!$B:$J,7,0),"")</f>
        <v>43708</v>
      </c>
      <c r="N133" s="13">
        <f>IFERROR(VLOOKUP(Raw_data!$G133,Data_base!$B:$J,8,0),"")</f>
        <v>36</v>
      </c>
      <c r="O133" s="11">
        <f>IFERROR(VLOOKUP(Raw_data!$G133,Data_base!$B:$J,9,0),"")</f>
        <v>9141</v>
      </c>
      <c r="P133" s="78">
        <v>0</v>
      </c>
      <c r="Q133" s="78">
        <v>3</v>
      </c>
      <c r="R133" s="77">
        <v>19</v>
      </c>
      <c r="S133" s="12" t="str">
        <f>IFERROR(1-VLOOKUP(Emp[[#This Row],[Penality]],Data_base!V:W,2,FALSE),"")</f>
        <v/>
      </c>
      <c r="T133" s="12">
        <f>IFERROR(R133/VLOOKUP(D133,Data_base!S:T,2,0),"")</f>
        <v>0.79166666666666663</v>
      </c>
      <c r="U133" s="12">
        <f>IFERROR(1-Emp[[#This Row],[Activity]],"")</f>
        <v>0.20833333333333337</v>
      </c>
      <c r="V133" s="79">
        <v>0.77985369526477966</v>
      </c>
      <c r="W133" s="12">
        <f t="shared" si="2"/>
        <v>0.78576018096572309</v>
      </c>
      <c r="X133" s="78"/>
      <c r="Y133" s="12" t="str">
        <f>IFERROR(IF(Emp[[#This Row],[Increament]]="","",(Emp[[#This Row],[Increament]]/Emp[[#This Row],[Salary]])),"")</f>
        <v/>
      </c>
      <c r="Z133" s="17"/>
    </row>
    <row r="134" spans="2:26" x14ac:dyDescent="0.2">
      <c r="B134" s="75">
        <v>42629</v>
      </c>
      <c r="C134" s="38">
        <f>Emp[[#This Row],[Date]]</f>
        <v>42629</v>
      </c>
      <c r="D134" s="10">
        <f>IF(Emp[[#This Row],[Date]]="","",MONTH(Emp[[#This Row],[Date]]))</f>
        <v>9</v>
      </c>
      <c r="E134" s="64">
        <f>Emp[[#This Row],[Date]]</f>
        <v>42629</v>
      </c>
      <c r="F134" s="10">
        <f>IF(Emp[[#This Row],[Date]]="","",WEEKNUM(B134))</f>
        <v>38</v>
      </c>
      <c r="G134" s="77" t="s">
        <v>227</v>
      </c>
      <c r="H134" s="10" t="str">
        <f>IFERROR(VLOOKUP(Raw_data!$G134,Data_base!$B:$J,2,0),"")</f>
        <v>ID250160</v>
      </c>
      <c r="I134" s="10" t="str">
        <f>IFERROR(VLOOKUP(Raw_data!$G134,Data_base!$B:$J,3,0),"")</f>
        <v>Procurement</v>
      </c>
      <c r="J134" s="10" t="str">
        <f>IFERROR(VLOOKUP(Raw_data!$G134,Data_base!$B:$J,4,0),"")</f>
        <v>Technician</v>
      </c>
      <c r="K134" s="13" t="str">
        <f>IFERROR(VLOOKUP(Raw_data!$G134,Data_base!$B:$J,5,0),"")</f>
        <v>M</v>
      </c>
      <c r="L134" s="13" t="str">
        <f>IFERROR(VLOOKUP(Raw_data!$G134,Data_base!$B:$J,6,0),"")</f>
        <v>Part time</v>
      </c>
      <c r="M134" s="14">
        <f>IFERROR(VLOOKUP(Raw_data!$G134,Data_base!$B:$J,7,0),"")</f>
        <v>41566</v>
      </c>
      <c r="N134" s="13">
        <f>IFERROR(VLOOKUP(Raw_data!$G134,Data_base!$B:$J,8,0),"")</f>
        <v>42</v>
      </c>
      <c r="O134" s="11">
        <f>IFERROR(VLOOKUP(Raw_data!$G134,Data_base!$B:$J,9,0),"")</f>
        <v>9718</v>
      </c>
      <c r="P134" s="78">
        <v>2</v>
      </c>
      <c r="Q134" s="78">
        <v>5</v>
      </c>
      <c r="R134" s="77">
        <v>18</v>
      </c>
      <c r="S134" s="12">
        <f>IFERROR(1-VLOOKUP(Emp[[#This Row],[Penality]],Data_base!V:W,2,FALSE),"")</f>
        <v>0.7</v>
      </c>
      <c r="T134" s="12">
        <f>IFERROR(R134/VLOOKUP(D134,Data_base!S:T,2,0),"")</f>
        <v>0.75</v>
      </c>
      <c r="U134" s="12">
        <f>IFERROR(1-Emp[[#This Row],[Activity]],"")</f>
        <v>0.25</v>
      </c>
      <c r="V134" s="79">
        <v>0.55548197815132883</v>
      </c>
      <c r="W134" s="12">
        <f t="shared" si="2"/>
        <v>0.66849399271710952</v>
      </c>
      <c r="X134" s="78"/>
      <c r="Y134" s="12" t="str">
        <f>IFERROR(IF(Emp[[#This Row],[Increament]]="","",(Emp[[#This Row],[Increament]]/Emp[[#This Row],[Salary]])),"")</f>
        <v/>
      </c>
      <c r="Z134" s="17"/>
    </row>
    <row r="135" spans="2:26" x14ac:dyDescent="0.2">
      <c r="B135" s="75">
        <v>42464</v>
      </c>
      <c r="C135" s="38">
        <f>Emp[[#This Row],[Date]]</f>
        <v>42464</v>
      </c>
      <c r="D135" s="10">
        <f>IF(Emp[[#This Row],[Date]]="","",MONTH(Emp[[#This Row],[Date]]))</f>
        <v>4</v>
      </c>
      <c r="E135" s="64">
        <f>Emp[[#This Row],[Date]]</f>
        <v>42464</v>
      </c>
      <c r="F135" s="10">
        <f>IF(Emp[[#This Row],[Date]]="","",WEEKNUM(B135))</f>
        <v>15</v>
      </c>
      <c r="G135" s="77" t="s">
        <v>210</v>
      </c>
      <c r="H135" s="10" t="str">
        <f>IFERROR(VLOOKUP(Raw_data!$G135,Data_base!$B:$J,2,0),"")</f>
        <v>ID250143</v>
      </c>
      <c r="I135" s="10" t="str">
        <f>IFERROR(VLOOKUP(Raw_data!$G135,Data_base!$B:$J,3,0),"")</f>
        <v>Sales</v>
      </c>
      <c r="J135" s="10" t="str">
        <f>IFERROR(VLOOKUP(Raw_data!$G135,Data_base!$B:$J,4,0),"")</f>
        <v>Manager</v>
      </c>
      <c r="K135" s="13" t="str">
        <f>IFERROR(VLOOKUP(Raw_data!$G135,Data_base!$B:$J,5,0),"")</f>
        <v>M</v>
      </c>
      <c r="L135" s="13" t="str">
        <f>IFERROR(VLOOKUP(Raw_data!$G135,Data_base!$B:$J,6,0),"")</f>
        <v>Full time</v>
      </c>
      <c r="M135" s="14">
        <f>IFERROR(VLOOKUP(Raw_data!$G135,Data_base!$B:$J,7,0),"")</f>
        <v>43528</v>
      </c>
      <c r="N135" s="13">
        <f>IFERROR(VLOOKUP(Raw_data!$G135,Data_base!$B:$J,8,0),"")</f>
        <v>42</v>
      </c>
      <c r="O135" s="11">
        <f>IFERROR(VLOOKUP(Raw_data!$G135,Data_base!$B:$J,9,0),"")</f>
        <v>6513</v>
      </c>
      <c r="P135" s="78">
        <v>0</v>
      </c>
      <c r="Q135" s="78">
        <v>4</v>
      </c>
      <c r="R135" s="77">
        <v>18</v>
      </c>
      <c r="S135" s="12" t="str">
        <f>IFERROR(1-VLOOKUP(Emp[[#This Row],[Penality]],Data_base!V:W,2,FALSE),"")</f>
        <v/>
      </c>
      <c r="T135" s="12">
        <f>IFERROR(R135/VLOOKUP(D135,Data_base!S:T,2,0),"")</f>
        <v>0.75</v>
      </c>
      <c r="U135" s="12">
        <f>IFERROR(1-Emp[[#This Row],[Activity]],"")</f>
        <v>0.25</v>
      </c>
      <c r="V135" s="79">
        <v>0.50288529683342376</v>
      </c>
      <c r="W135" s="12">
        <f t="shared" si="2"/>
        <v>0.62644264841671182</v>
      </c>
      <c r="X135" s="78"/>
      <c r="Y135" s="12" t="str">
        <f>IFERROR(IF(Emp[[#This Row],[Increament]]="","",(Emp[[#This Row],[Increament]]/Emp[[#This Row],[Salary]])),"")</f>
        <v/>
      </c>
      <c r="Z135" s="17"/>
    </row>
    <row r="136" spans="2:26" x14ac:dyDescent="0.2">
      <c r="B136" s="75">
        <v>42893</v>
      </c>
      <c r="C136" s="38">
        <f>Emp[[#This Row],[Date]]</f>
        <v>42893</v>
      </c>
      <c r="D136" s="10">
        <f>IF(Emp[[#This Row],[Date]]="","",MONTH(Emp[[#This Row],[Date]]))</f>
        <v>6</v>
      </c>
      <c r="E136" s="64">
        <f>Emp[[#This Row],[Date]]</f>
        <v>42893</v>
      </c>
      <c r="F136" s="10">
        <f>IF(Emp[[#This Row],[Date]]="","",WEEKNUM(B136))</f>
        <v>23</v>
      </c>
      <c r="G136" s="77" t="s">
        <v>79</v>
      </c>
      <c r="H136" s="10" t="str">
        <f>IFERROR(VLOOKUP(Raw_data!$G136,Data_base!$B:$J,2,0),"")</f>
        <v>ID250012</v>
      </c>
      <c r="I136" s="10" t="str">
        <f>IFERROR(VLOOKUP(Raw_data!$G136,Data_base!$B:$J,3,0),"")</f>
        <v>Planning</v>
      </c>
      <c r="J136" s="10" t="str">
        <f>IFERROR(VLOOKUP(Raw_data!$G136,Data_base!$B:$J,4,0),"")</f>
        <v>Senior</v>
      </c>
      <c r="K136" s="13" t="str">
        <f>IFERROR(VLOOKUP(Raw_data!$G136,Data_base!$B:$J,5,0),"")</f>
        <v>F</v>
      </c>
      <c r="L136" s="13" t="str">
        <f>IFERROR(VLOOKUP(Raw_data!$G136,Data_base!$B:$J,6,0),"")</f>
        <v>Full time</v>
      </c>
      <c r="M136" s="14">
        <f>IFERROR(VLOOKUP(Raw_data!$G136,Data_base!$B:$J,7,0),"")</f>
        <v>40872</v>
      </c>
      <c r="N136" s="13">
        <f>IFERROR(VLOOKUP(Raw_data!$G136,Data_base!$B:$J,8,0),"")</f>
        <v>36</v>
      </c>
      <c r="O136" s="11">
        <f>IFERROR(VLOOKUP(Raw_data!$G136,Data_base!$B:$J,9,0),"")</f>
        <v>5351</v>
      </c>
      <c r="P136" s="78">
        <v>2</v>
      </c>
      <c r="Q136" s="78">
        <v>1</v>
      </c>
      <c r="R136" s="77">
        <v>19</v>
      </c>
      <c r="S136" s="12">
        <f>IFERROR(1-VLOOKUP(Emp[[#This Row],[Penality]],Data_base!V:W,2,FALSE),"")</f>
        <v>0.7</v>
      </c>
      <c r="T136" s="12">
        <f>IFERROR(R136/VLOOKUP(D136,Data_base!S:T,2,0),"")</f>
        <v>0.95</v>
      </c>
      <c r="U136" s="12">
        <f>IFERROR(1-Emp[[#This Row],[Activity]],"")</f>
        <v>5.0000000000000044E-2</v>
      </c>
      <c r="V136" s="79">
        <v>0.30197720963936736</v>
      </c>
      <c r="W136" s="12">
        <f t="shared" si="2"/>
        <v>0.65065906987978905</v>
      </c>
      <c r="X136" s="78"/>
      <c r="Y136" s="12" t="str">
        <f>IFERROR(IF(Emp[[#This Row],[Increament]]="","",(Emp[[#This Row],[Increament]]/Emp[[#This Row],[Salary]])),"")</f>
        <v/>
      </c>
      <c r="Z136" s="17"/>
    </row>
    <row r="137" spans="2:26" x14ac:dyDescent="0.2">
      <c r="B137" s="75">
        <v>43466</v>
      </c>
      <c r="C137" s="38">
        <f>Emp[[#This Row],[Date]]</f>
        <v>43466</v>
      </c>
      <c r="D137" s="10">
        <f>IF(Emp[[#This Row],[Date]]="","",MONTH(Emp[[#This Row],[Date]]))</f>
        <v>1</v>
      </c>
      <c r="E137" s="64">
        <f>Emp[[#This Row],[Date]]</f>
        <v>43466</v>
      </c>
      <c r="F137" s="10">
        <f>IF(Emp[[#This Row],[Date]]="","",WEEKNUM(B137))</f>
        <v>1</v>
      </c>
      <c r="G137" s="77" t="s">
        <v>212</v>
      </c>
      <c r="H137" s="10" t="str">
        <f>IFERROR(VLOOKUP(Raw_data!$G137,Data_base!$B:$J,2,0),"")</f>
        <v>ID250145</v>
      </c>
      <c r="I137" s="10" t="str">
        <f>IFERROR(VLOOKUP(Raw_data!$G137,Data_base!$B:$J,3,0),"")</f>
        <v>Quality</v>
      </c>
      <c r="J137" s="10" t="str">
        <f>IFERROR(VLOOKUP(Raw_data!$G137,Data_base!$B:$J,4,0),"")</f>
        <v>Junior</v>
      </c>
      <c r="K137" s="13" t="str">
        <f>IFERROR(VLOOKUP(Raw_data!$G137,Data_base!$B:$J,5,0),"")</f>
        <v>F</v>
      </c>
      <c r="L137" s="13" t="str">
        <f>IFERROR(VLOOKUP(Raw_data!$G137,Data_base!$B:$J,6,0),"")</f>
        <v>Full time</v>
      </c>
      <c r="M137" s="14">
        <f>IFERROR(VLOOKUP(Raw_data!$G137,Data_base!$B:$J,7,0),"")</f>
        <v>43484</v>
      </c>
      <c r="N137" s="13">
        <f>IFERROR(VLOOKUP(Raw_data!$G137,Data_base!$B:$J,8,0),"")</f>
        <v>43</v>
      </c>
      <c r="O137" s="11">
        <f>IFERROR(VLOOKUP(Raw_data!$G137,Data_base!$B:$J,9,0),"")</f>
        <v>7224</v>
      </c>
      <c r="P137" s="78">
        <v>2</v>
      </c>
      <c r="Q137" s="78">
        <v>3</v>
      </c>
      <c r="R137" s="77">
        <v>18</v>
      </c>
      <c r="S137" s="12">
        <f>IFERROR(1-VLOOKUP(Emp[[#This Row],[Penality]],Data_base!V:W,2,FALSE),"")</f>
        <v>0.7</v>
      </c>
      <c r="T137" s="12">
        <f>IFERROR(R137/VLOOKUP(D137,Data_base!S:T,2,0),"")</f>
        <v>0.8571428571428571</v>
      </c>
      <c r="U137" s="12">
        <f>IFERROR(1-Emp[[#This Row],[Activity]],"")</f>
        <v>0.1428571428571429</v>
      </c>
      <c r="V137" s="79">
        <v>0.73899334888703294</v>
      </c>
      <c r="W137" s="12">
        <f t="shared" si="2"/>
        <v>0.76537873534329659</v>
      </c>
      <c r="X137" s="78"/>
      <c r="Y137" s="12" t="str">
        <f>IFERROR(IF(Emp[[#This Row],[Increament]]="","",(Emp[[#This Row],[Increament]]/Emp[[#This Row],[Salary]])),"")</f>
        <v/>
      </c>
      <c r="Z137" s="17"/>
    </row>
    <row r="138" spans="2:26" x14ac:dyDescent="0.2">
      <c r="B138" s="75">
        <v>42764</v>
      </c>
      <c r="C138" s="38">
        <f>Emp[[#This Row],[Date]]</f>
        <v>42764</v>
      </c>
      <c r="D138" s="10">
        <f>IF(Emp[[#This Row],[Date]]="","",MONTH(Emp[[#This Row],[Date]]))</f>
        <v>1</v>
      </c>
      <c r="E138" s="64">
        <f>Emp[[#This Row],[Date]]</f>
        <v>42764</v>
      </c>
      <c r="F138" s="10">
        <f>IF(Emp[[#This Row],[Date]]="","",WEEKNUM(B138))</f>
        <v>5</v>
      </c>
      <c r="G138" s="77" t="s">
        <v>327</v>
      </c>
      <c r="H138" s="10" t="str">
        <f>IFERROR(VLOOKUP(Raw_data!$G138,Data_base!$B:$J,2,0),"")</f>
        <v>ID250260</v>
      </c>
      <c r="I138" s="10" t="str">
        <f>IFERROR(VLOOKUP(Raw_data!$G138,Data_base!$B:$J,3,0),"")</f>
        <v>HR</v>
      </c>
      <c r="J138" s="10" t="str">
        <f>IFERROR(VLOOKUP(Raw_data!$G138,Data_base!$B:$J,4,0),"")</f>
        <v>Technician</v>
      </c>
      <c r="K138" s="13" t="str">
        <f>IFERROR(VLOOKUP(Raw_data!$G138,Data_base!$B:$J,5,0),"")</f>
        <v>F</v>
      </c>
      <c r="L138" s="13" t="str">
        <f>IFERROR(VLOOKUP(Raw_data!$G138,Data_base!$B:$J,6,0),"")</f>
        <v>Part time</v>
      </c>
      <c r="M138" s="14">
        <f>IFERROR(VLOOKUP(Raw_data!$G138,Data_base!$B:$J,7,0),"")</f>
        <v>40463</v>
      </c>
      <c r="N138" s="13">
        <f>IFERROR(VLOOKUP(Raw_data!$G138,Data_base!$B:$J,8,0),"")</f>
        <v>39</v>
      </c>
      <c r="O138" s="11">
        <f>IFERROR(VLOOKUP(Raw_data!$G138,Data_base!$B:$J,9,0),"")</f>
        <v>8237</v>
      </c>
      <c r="P138" s="78">
        <v>1</v>
      </c>
      <c r="Q138" s="78">
        <v>3</v>
      </c>
      <c r="R138" s="77">
        <v>18</v>
      </c>
      <c r="S138" s="12">
        <f>IFERROR(1-VLOOKUP(Emp[[#This Row],[Penality]],Data_base!V:W,2,FALSE),"")</f>
        <v>0.85</v>
      </c>
      <c r="T138" s="12">
        <f>IFERROR(R138/VLOOKUP(D138,Data_base!S:T,2,0),"")</f>
        <v>0.8571428571428571</v>
      </c>
      <c r="U138" s="12">
        <f>IFERROR(1-Emp[[#This Row],[Activity]],"")</f>
        <v>0.1428571428571429</v>
      </c>
      <c r="V138" s="79">
        <v>0.39362491972349811</v>
      </c>
      <c r="W138" s="12">
        <f t="shared" si="2"/>
        <v>0.70025592562211836</v>
      </c>
      <c r="X138" s="78"/>
      <c r="Y138" s="12" t="str">
        <f>IFERROR(IF(Emp[[#This Row],[Increament]]="","",(Emp[[#This Row],[Increament]]/Emp[[#This Row],[Salary]])),"")</f>
        <v/>
      </c>
      <c r="Z138" s="17"/>
    </row>
    <row r="139" spans="2:26" x14ac:dyDescent="0.2">
      <c r="B139" s="75">
        <v>43719</v>
      </c>
      <c r="C139" s="38">
        <f>Emp[[#This Row],[Date]]</f>
        <v>43719</v>
      </c>
      <c r="D139" s="10">
        <f>IF(Emp[[#This Row],[Date]]="","",MONTH(Emp[[#This Row],[Date]]))</f>
        <v>9</v>
      </c>
      <c r="E139" s="64">
        <f>Emp[[#This Row],[Date]]</f>
        <v>43719</v>
      </c>
      <c r="F139" s="10">
        <f>IF(Emp[[#This Row],[Date]]="","",WEEKNUM(B139))</f>
        <v>37</v>
      </c>
      <c r="G139" s="77" t="s">
        <v>317</v>
      </c>
      <c r="H139" s="10" t="str">
        <f>IFERROR(VLOOKUP(Raw_data!$G139,Data_base!$B:$J,2,0),"")</f>
        <v>ID250250</v>
      </c>
      <c r="I139" s="10" t="str">
        <f>IFERROR(VLOOKUP(Raw_data!$G139,Data_base!$B:$J,3,0),"")</f>
        <v>Planning</v>
      </c>
      <c r="J139" s="10" t="str">
        <f>IFERROR(VLOOKUP(Raw_data!$G139,Data_base!$B:$J,4,0),"")</f>
        <v>Workrer</v>
      </c>
      <c r="K139" s="13" t="str">
        <f>IFERROR(VLOOKUP(Raw_data!$G139,Data_base!$B:$J,5,0),"")</f>
        <v>M</v>
      </c>
      <c r="L139" s="13" t="str">
        <f>IFERROR(VLOOKUP(Raw_data!$G139,Data_base!$B:$J,6,0),"")</f>
        <v>Part time</v>
      </c>
      <c r="M139" s="14">
        <f>IFERROR(VLOOKUP(Raw_data!$G139,Data_base!$B:$J,7,0),"")</f>
        <v>40197</v>
      </c>
      <c r="N139" s="13">
        <f>IFERROR(VLOOKUP(Raw_data!$G139,Data_base!$B:$J,8,0),"")</f>
        <v>43</v>
      </c>
      <c r="O139" s="11">
        <f>IFERROR(VLOOKUP(Raw_data!$G139,Data_base!$B:$J,9,0),"")</f>
        <v>7531</v>
      </c>
      <c r="P139" s="78">
        <v>3</v>
      </c>
      <c r="Q139" s="78">
        <v>4</v>
      </c>
      <c r="R139" s="77">
        <v>18</v>
      </c>
      <c r="S139" s="12">
        <f>IFERROR(1-VLOOKUP(Emp[[#This Row],[Penality]],Data_base!V:W,2,FALSE),"")</f>
        <v>0.55000000000000004</v>
      </c>
      <c r="T139" s="12">
        <f>IFERROR(R139/VLOOKUP(D139,Data_base!S:T,2,0),"")</f>
        <v>0.75</v>
      </c>
      <c r="U139" s="12">
        <f>IFERROR(1-Emp[[#This Row],[Activity]],"")</f>
        <v>0.25</v>
      </c>
      <c r="V139" s="79">
        <v>0.58044439200295517</v>
      </c>
      <c r="W139" s="12">
        <f t="shared" si="2"/>
        <v>0.62681479733431844</v>
      </c>
      <c r="X139" s="78"/>
      <c r="Y139" s="12" t="str">
        <f>IFERROR(IF(Emp[[#This Row],[Increament]]="","",(Emp[[#This Row],[Increament]]/Emp[[#This Row],[Salary]])),"")</f>
        <v/>
      </c>
      <c r="Z139" s="17"/>
    </row>
    <row r="140" spans="2:26" x14ac:dyDescent="0.2">
      <c r="B140" s="75">
        <v>43792</v>
      </c>
      <c r="C140" s="38">
        <f>Emp[[#This Row],[Date]]</f>
        <v>43792</v>
      </c>
      <c r="D140" s="10">
        <f>IF(Emp[[#This Row],[Date]]="","",MONTH(Emp[[#This Row],[Date]]))</f>
        <v>11</v>
      </c>
      <c r="E140" s="64">
        <f>Emp[[#This Row],[Date]]</f>
        <v>43792</v>
      </c>
      <c r="F140" s="10">
        <f>IF(Emp[[#This Row],[Date]]="","",WEEKNUM(B140))</f>
        <v>47</v>
      </c>
      <c r="G140" s="77" t="s">
        <v>151</v>
      </c>
      <c r="H140" s="10" t="str">
        <f>IFERROR(VLOOKUP(Raw_data!$G140,Data_base!$B:$J,2,0),"")</f>
        <v>ID250084</v>
      </c>
      <c r="I140" s="10" t="str">
        <f>IFERROR(VLOOKUP(Raw_data!$G140,Data_base!$B:$J,3,0),"")</f>
        <v>Sales</v>
      </c>
      <c r="J140" s="10" t="str">
        <f>IFERROR(VLOOKUP(Raw_data!$G140,Data_base!$B:$J,4,0),"")</f>
        <v>Senior</v>
      </c>
      <c r="K140" s="13" t="str">
        <f>IFERROR(VLOOKUP(Raw_data!$G140,Data_base!$B:$J,5,0),"")</f>
        <v>F</v>
      </c>
      <c r="L140" s="13" t="str">
        <f>IFERROR(VLOOKUP(Raw_data!$G140,Data_base!$B:$J,6,0),"")</f>
        <v>Full time</v>
      </c>
      <c r="M140" s="14">
        <f>IFERROR(VLOOKUP(Raw_data!$G140,Data_base!$B:$J,7,0),"")</f>
        <v>42346</v>
      </c>
      <c r="N140" s="13">
        <f>IFERROR(VLOOKUP(Raw_data!$G140,Data_base!$B:$J,8,0),"")</f>
        <v>35</v>
      </c>
      <c r="O140" s="11">
        <f>IFERROR(VLOOKUP(Raw_data!$G140,Data_base!$B:$J,9,0),"")</f>
        <v>8920</v>
      </c>
      <c r="P140" s="78">
        <v>3</v>
      </c>
      <c r="Q140" s="78">
        <v>1</v>
      </c>
      <c r="R140" s="77">
        <v>18</v>
      </c>
      <c r="S140" s="12">
        <f>IFERROR(1-VLOOKUP(Emp[[#This Row],[Penality]],Data_base!V:W,2,FALSE),"")</f>
        <v>0.55000000000000004</v>
      </c>
      <c r="T140" s="12">
        <f>IFERROR(R140/VLOOKUP(D140,Data_base!S:T,2,0),"")</f>
        <v>0.78260869565217395</v>
      </c>
      <c r="U140" s="12">
        <f>IFERROR(1-Emp[[#This Row],[Activity]],"")</f>
        <v>0.21739130434782605</v>
      </c>
      <c r="V140" s="79">
        <v>0.47290124655431143</v>
      </c>
      <c r="W140" s="12">
        <f t="shared" si="2"/>
        <v>0.60183664740216181</v>
      </c>
      <c r="X140" s="78">
        <v>1000</v>
      </c>
      <c r="Y140" s="12">
        <f>IFERROR(IF(Emp[[#This Row],[Increament]]="","",(Emp[[#This Row],[Increament]]/Emp[[#This Row],[Salary]])),"")</f>
        <v>0.11210762331838565</v>
      </c>
      <c r="Z140" s="17"/>
    </row>
    <row r="141" spans="2:26" x14ac:dyDescent="0.2">
      <c r="B141" s="75">
        <v>43621</v>
      </c>
      <c r="C141" s="38">
        <f>Emp[[#This Row],[Date]]</f>
        <v>43621</v>
      </c>
      <c r="D141" s="10">
        <f>IF(Emp[[#This Row],[Date]]="","",MONTH(Emp[[#This Row],[Date]]))</f>
        <v>6</v>
      </c>
      <c r="E141" s="64">
        <f>Emp[[#This Row],[Date]]</f>
        <v>43621</v>
      </c>
      <c r="F141" s="10">
        <f>IF(Emp[[#This Row],[Date]]="","",WEEKNUM(B141))</f>
        <v>23</v>
      </c>
      <c r="G141" s="77" t="s">
        <v>356</v>
      </c>
      <c r="H141" s="10" t="str">
        <f>IFERROR(VLOOKUP(Raw_data!$G141,Data_base!$B:$J,2,0),"")</f>
        <v>ID250289</v>
      </c>
      <c r="I141" s="10" t="str">
        <f>IFERROR(VLOOKUP(Raw_data!$G141,Data_base!$B:$J,3,0),"")</f>
        <v>Quality</v>
      </c>
      <c r="J141" s="10" t="str">
        <f>IFERROR(VLOOKUP(Raw_data!$G141,Data_base!$B:$J,4,0),"")</f>
        <v>Staff</v>
      </c>
      <c r="K141" s="13" t="str">
        <f>IFERROR(VLOOKUP(Raw_data!$G141,Data_base!$B:$J,5,0),"")</f>
        <v>F</v>
      </c>
      <c r="L141" s="13" t="str">
        <f>IFERROR(VLOOKUP(Raw_data!$G141,Data_base!$B:$J,6,0),"")</f>
        <v>Full time</v>
      </c>
      <c r="M141" s="14">
        <f>IFERROR(VLOOKUP(Raw_data!$G141,Data_base!$B:$J,7,0),"")</f>
        <v>42188</v>
      </c>
      <c r="N141" s="13">
        <f>IFERROR(VLOOKUP(Raw_data!$G141,Data_base!$B:$J,8,0),"")</f>
        <v>37</v>
      </c>
      <c r="O141" s="11">
        <f>IFERROR(VLOOKUP(Raw_data!$G141,Data_base!$B:$J,9,0),"")</f>
        <v>7179</v>
      </c>
      <c r="P141" s="78">
        <v>3</v>
      </c>
      <c r="Q141" s="78">
        <v>1</v>
      </c>
      <c r="R141" s="77">
        <v>17</v>
      </c>
      <c r="S141" s="12">
        <f>IFERROR(1-VLOOKUP(Emp[[#This Row],[Penality]],Data_base!V:W,2,FALSE),"")</f>
        <v>0.55000000000000004</v>
      </c>
      <c r="T141" s="12">
        <f>IFERROR(R141/VLOOKUP(D141,Data_base!S:T,2,0),"")</f>
        <v>0.85</v>
      </c>
      <c r="U141" s="12">
        <f>IFERROR(1-Emp[[#This Row],[Activity]],"")</f>
        <v>0.15000000000000002</v>
      </c>
      <c r="V141" s="79">
        <v>0.93777003013310278</v>
      </c>
      <c r="W141" s="12">
        <f t="shared" si="2"/>
        <v>0.77925667671103438</v>
      </c>
      <c r="X141" s="78">
        <v>500</v>
      </c>
      <c r="Y141" s="12">
        <f>IFERROR(IF(Emp[[#This Row],[Increament]]="","",(Emp[[#This Row],[Increament]]/Emp[[#This Row],[Salary]])),"")</f>
        <v>6.9647583228861956E-2</v>
      </c>
      <c r="Z141" s="17"/>
    </row>
    <row r="142" spans="2:26" x14ac:dyDescent="0.2">
      <c r="B142" s="75">
        <v>43822</v>
      </c>
      <c r="C142" s="38">
        <f>Emp[[#This Row],[Date]]</f>
        <v>43822</v>
      </c>
      <c r="D142" s="10">
        <f>IF(Emp[[#This Row],[Date]]="","",MONTH(Emp[[#This Row],[Date]]))</f>
        <v>12</v>
      </c>
      <c r="E142" s="64">
        <f>Emp[[#This Row],[Date]]</f>
        <v>43822</v>
      </c>
      <c r="F142" s="10">
        <f>IF(Emp[[#This Row],[Date]]="","",WEEKNUM(B142))</f>
        <v>52</v>
      </c>
      <c r="G142" s="77" t="s">
        <v>173</v>
      </c>
      <c r="H142" s="10" t="str">
        <f>IFERROR(VLOOKUP(Raw_data!$G142,Data_base!$B:$J,2,0),"")</f>
        <v>ID250106</v>
      </c>
      <c r="I142" s="10" t="str">
        <f>IFERROR(VLOOKUP(Raw_data!$G142,Data_base!$B:$J,3,0),"")</f>
        <v>Production</v>
      </c>
      <c r="J142" s="10" t="str">
        <f>IFERROR(VLOOKUP(Raw_data!$G142,Data_base!$B:$J,4,0),"")</f>
        <v>Manager</v>
      </c>
      <c r="K142" s="13" t="str">
        <f>IFERROR(VLOOKUP(Raw_data!$G142,Data_base!$B:$J,5,0),"")</f>
        <v>F</v>
      </c>
      <c r="L142" s="13" t="str">
        <f>IFERROR(VLOOKUP(Raw_data!$G142,Data_base!$B:$J,6,0),"")</f>
        <v>Full time</v>
      </c>
      <c r="M142" s="14">
        <f>IFERROR(VLOOKUP(Raw_data!$G142,Data_base!$B:$J,7,0),"")</f>
        <v>43496</v>
      </c>
      <c r="N142" s="13">
        <f>IFERROR(VLOOKUP(Raw_data!$G142,Data_base!$B:$J,8,0),"")</f>
        <v>38</v>
      </c>
      <c r="O142" s="11">
        <f>IFERROR(VLOOKUP(Raw_data!$G142,Data_base!$B:$J,9,0),"")</f>
        <v>9740</v>
      </c>
      <c r="P142" s="78">
        <v>3</v>
      </c>
      <c r="Q142" s="78">
        <v>5</v>
      </c>
      <c r="R142" s="77">
        <v>18</v>
      </c>
      <c r="S142" s="12">
        <f>IFERROR(1-VLOOKUP(Emp[[#This Row],[Penality]],Data_base!V:W,2,FALSE),"")</f>
        <v>0.55000000000000004</v>
      </c>
      <c r="T142" s="12">
        <f>IFERROR(R142/VLOOKUP(D142,Data_base!S:T,2,0),"")</f>
        <v>0.75</v>
      </c>
      <c r="U142" s="12">
        <f>IFERROR(1-Emp[[#This Row],[Activity]],"")</f>
        <v>0.25</v>
      </c>
      <c r="V142" s="79">
        <v>0.72365880364773705</v>
      </c>
      <c r="W142" s="12">
        <f t="shared" si="2"/>
        <v>0.6745529345492457</v>
      </c>
      <c r="X142" s="78"/>
      <c r="Y142" s="12" t="str">
        <f>IFERROR(IF(Emp[[#This Row],[Increament]]="","",(Emp[[#This Row],[Increament]]/Emp[[#This Row],[Salary]])),"")</f>
        <v/>
      </c>
      <c r="Z142" s="17"/>
    </row>
    <row r="143" spans="2:26" x14ac:dyDescent="0.2">
      <c r="B143" s="75">
        <v>42906</v>
      </c>
      <c r="C143" s="38">
        <f>Emp[[#This Row],[Date]]</f>
        <v>42906</v>
      </c>
      <c r="D143" s="10">
        <f>IF(Emp[[#This Row],[Date]]="","",MONTH(Emp[[#This Row],[Date]]))</f>
        <v>6</v>
      </c>
      <c r="E143" s="64">
        <f>Emp[[#This Row],[Date]]</f>
        <v>42906</v>
      </c>
      <c r="F143" s="10">
        <f>IF(Emp[[#This Row],[Date]]="","",WEEKNUM(B143))</f>
        <v>25</v>
      </c>
      <c r="G143" s="77" t="s">
        <v>199</v>
      </c>
      <c r="H143" s="10" t="str">
        <f>IFERROR(VLOOKUP(Raw_data!$G143,Data_base!$B:$J,2,0),"")</f>
        <v>ID250132</v>
      </c>
      <c r="I143" s="10" t="str">
        <f>IFERROR(VLOOKUP(Raw_data!$G143,Data_base!$B:$J,3,0),"")</f>
        <v>HR</v>
      </c>
      <c r="J143" s="10" t="str">
        <f>IFERROR(VLOOKUP(Raw_data!$G143,Data_base!$B:$J,4,0),"")</f>
        <v>Staff</v>
      </c>
      <c r="K143" s="13" t="str">
        <f>IFERROR(VLOOKUP(Raw_data!$G143,Data_base!$B:$J,5,0),"")</f>
        <v>M</v>
      </c>
      <c r="L143" s="13" t="str">
        <f>IFERROR(VLOOKUP(Raw_data!$G143,Data_base!$B:$J,6,0),"")</f>
        <v>Full time</v>
      </c>
      <c r="M143" s="14">
        <f>IFERROR(VLOOKUP(Raw_data!$G143,Data_base!$B:$J,7,0),"")</f>
        <v>42729</v>
      </c>
      <c r="N143" s="13">
        <f>IFERROR(VLOOKUP(Raw_data!$G143,Data_base!$B:$J,8,0),"")</f>
        <v>40</v>
      </c>
      <c r="O143" s="11">
        <f>IFERROR(VLOOKUP(Raw_data!$G143,Data_base!$B:$J,9,0),"")</f>
        <v>8305</v>
      </c>
      <c r="P143" s="78">
        <v>3</v>
      </c>
      <c r="Q143" s="78">
        <v>1</v>
      </c>
      <c r="R143" s="77">
        <v>18</v>
      </c>
      <c r="S143" s="12">
        <f>IFERROR(1-VLOOKUP(Emp[[#This Row],[Penality]],Data_base!V:W,2,FALSE),"")</f>
        <v>0.55000000000000004</v>
      </c>
      <c r="T143" s="12">
        <f>IFERROR(R143/VLOOKUP(D143,Data_base!S:T,2,0),"")</f>
        <v>0.9</v>
      </c>
      <c r="U143" s="12">
        <f>IFERROR(1-Emp[[#This Row],[Activity]],"")</f>
        <v>9.9999999999999978E-2</v>
      </c>
      <c r="V143" s="79">
        <v>9.7261868774714433E-2</v>
      </c>
      <c r="W143" s="12">
        <f t="shared" si="2"/>
        <v>0.51575395625823817</v>
      </c>
      <c r="X143" s="78"/>
      <c r="Y143" s="12" t="str">
        <f>IFERROR(IF(Emp[[#This Row],[Increament]]="","",(Emp[[#This Row],[Increament]]/Emp[[#This Row],[Salary]])),"")</f>
        <v/>
      </c>
      <c r="Z143" s="17"/>
    </row>
    <row r="144" spans="2:26" x14ac:dyDescent="0.2">
      <c r="B144" s="75">
        <v>43434</v>
      </c>
      <c r="C144" s="38">
        <f>Emp[[#This Row],[Date]]</f>
        <v>43434</v>
      </c>
      <c r="D144" s="10">
        <f>IF(Emp[[#This Row],[Date]]="","",MONTH(Emp[[#This Row],[Date]]))</f>
        <v>11</v>
      </c>
      <c r="E144" s="64">
        <f>Emp[[#This Row],[Date]]</f>
        <v>43434</v>
      </c>
      <c r="F144" s="10">
        <f>IF(Emp[[#This Row],[Date]]="","",WEEKNUM(B144))</f>
        <v>48</v>
      </c>
      <c r="G144" s="77" t="s">
        <v>114</v>
      </c>
      <c r="H144" s="10" t="str">
        <f>IFERROR(VLOOKUP(Raw_data!$G144,Data_base!$B:$J,2,0),"")</f>
        <v>ID250047</v>
      </c>
      <c r="I144" s="10" t="str">
        <f>IFERROR(VLOOKUP(Raw_data!$G144,Data_base!$B:$J,3,0),"")</f>
        <v>Sales</v>
      </c>
      <c r="J144" s="10" t="str">
        <f>IFERROR(VLOOKUP(Raw_data!$G144,Data_base!$B:$J,4,0),"")</f>
        <v>Junior</v>
      </c>
      <c r="K144" s="13" t="str">
        <f>IFERROR(VLOOKUP(Raw_data!$G144,Data_base!$B:$J,5,0),"")</f>
        <v>F</v>
      </c>
      <c r="L144" s="13" t="str">
        <f>IFERROR(VLOOKUP(Raw_data!$G144,Data_base!$B:$J,6,0),"")</f>
        <v>Full time</v>
      </c>
      <c r="M144" s="14">
        <f>IFERROR(VLOOKUP(Raw_data!$G144,Data_base!$B:$J,7,0),"")</f>
        <v>41697</v>
      </c>
      <c r="N144" s="13">
        <f>IFERROR(VLOOKUP(Raw_data!$G144,Data_base!$B:$J,8,0),"")</f>
        <v>44</v>
      </c>
      <c r="O144" s="11">
        <f>IFERROR(VLOOKUP(Raw_data!$G144,Data_base!$B:$J,9,0),"")</f>
        <v>7924</v>
      </c>
      <c r="P144" s="78">
        <v>2</v>
      </c>
      <c r="Q144" s="78">
        <v>1</v>
      </c>
      <c r="R144" s="77">
        <v>19</v>
      </c>
      <c r="S144" s="12">
        <f>IFERROR(1-VLOOKUP(Emp[[#This Row],[Penality]],Data_base!V:W,2,FALSE),"")</f>
        <v>0.7</v>
      </c>
      <c r="T144" s="12">
        <f>IFERROR(R144/VLOOKUP(D144,Data_base!S:T,2,0),"")</f>
        <v>0.82608695652173914</v>
      </c>
      <c r="U144" s="12">
        <f>IFERROR(1-Emp[[#This Row],[Activity]],"")</f>
        <v>0.17391304347826086</v>
      </c>
      <c r="V144" s="79">
        <v>0.8856943372752869</v>
      </c>
      <c r="W144" s="12">
        <f t="shared" si="2"/>
        <v>0.80392709793234207</v>
      </c>
      <c r="X144" s="78"/>
      <c r="Y144" s="12" t="str">
        <f>IFERROR(IF(Emp[[#This Row],[Increament]]="","",(Emp[[#This Row],[Increament]]/Emp[[#This Row],[Salary]])),"")</f>
        <v/>
      </c>
      <c r="Z144" s="17"/>
    </row>
    <row r="145" spans="2:26" x14ac:dyDescent="0.2">
      <c r="B145" s="75">
        <v>42706</v>
      </c>
      <c r="C145" s="38">
        <f>Emp[[#This Row],[Date]]</f>
        <v>42706</v>
      </c>
      <c r="D145" s="10">
        <f>IF(Emp[[#This Row],[Date]]="","",MONTH(Emp[[#This Row],[Date]]))</f>
        <v>12</v>
      </c>
      <c r="E145" s="64">
        <f>Emp[[#This Row],[Date]]</f>
        <v>42706</v>
      </c>
      <c r="F145" s="10">
        <f>IF(Emp[[#This Row],[Date]]="","",WEEKNUM(B145))</f>
        <v>49</v>
      </c>
      <c r="G145" s="77" t="s">
        <v>164</v>
      </c>
      <c r="H145" s="10" t="str">
        <f>IFERROR(VLOOKUP(Raw_data!$G145,Data_base!$B:$J,2,0),"")</f>
        <v>ID250097</v>
      </c>
      <c r="I145" s="10" t="str">
        <f>IFERROR(VLOOKUP(Raw_data!$G145,Data_base!$B:$J,3,0),"")</f>
        <v>Quality</v>
      </c>
      <c r="J145" s="10" t="str">
        <f>IFERROR(VLOOKUP(Raw_data!$G145,Data_base!$B:$J,4,0),"")</f>
        <v>Staff</v>
      </c>
      <c r="K145" s="13" t="str">
        <f>IFERROR(VLOOKUP(Raw_data!$G145,Data_base!$B:$J,5,0),"")</f>
        <v>F</v>
      </c>
      <c r="L145" s="13" t="str">
        <f>IFERROR(VLOOKUP(Raw_data!$G145,Data_base!$B:$J,6,0),"")</f>
        <v>Full time</v>
      </c>
      <c r="M145" s="14">
        <f>IFERROR(VLOOKUP(Raw_data!$G145,Data_base!$B:$J,7,0),"")</f>
        <v>43731</v>
      </c>
      <c r="N145" s="13">
        <f>IFERROR(VLOOKUP(Raw_data!$G145,Data_base!$B:$J,8,0),"")</f>
        <v>33</v>
      </c>
      <c r="O145" s="11">
        <f>IFERROR(VLOOKUP(Raw_data!$G145,Data_base!$B:$J,9,0),"")</f>
        <v>9767</v>
      </c>
      <c r="P145" s="78">
        <v>0</v>
      </c>
      <c r="Q145" s="78">
        <v>1</v>
      </c>
      <c r="R145" s="77">
        <v>20</v>
      </c>
      <c r="S145" s="12" t="str">
        <f>IFERROR(1-VLOOKUP(Emp[[#This Row],[Penality]],Data_base!V:W,2,FALSE),"")</f>
        <v/>
      </c>
      <c r="T145" s="12">
        <f>IFERROR(R145/VLOOKUP(D145,Data_base!S:T,2,0),"")</f>
        <v>0.83333333333333337</v>
      </c>
      <c r="U145" s="12">
        <f>IFERROR(1-Emp[[#This Row],[Activity]],"")</f>
        <v>0.16666666666666663</v>
      </c>
      <c r="V145" s="79">
        <v>0.78037914351343518</v>
      </c>
      <c r="W145" s="12">
        <f t="shared" si="2"/>
        <v>0.80685623842338428</v>
      </c>
      <c r="X145" s="78"/>
      <c r="Y145" s="12" t="str">
        <f>IFERROR(IF(Emp[[#This Row],[Increament]]="","",(Emp[[#This Row],[Increament]]/Emp[[#This Row],[Salary]])),"")</f>
        <v/>
      </c>
      <c r="Z145" s="17"/>
    </row>
    <row r="146" spans="2:26" x14ac:dyDescent="0.2">
      <c r="B146" s="75">
        <v>42605</v>
      </c>
      <c r="C146" s="38">
        <f>Emp[[#This Row],[Date]]</f>
        <v>42605</v>
      </c>
      <c r="D146" s="10">
        <f>IF(Emp[[#This Row],[Date]]="","",MONTH(Emp[[#This Row],[Date]]))</f>
        <v>8</v>
      </c>
      <c r="E146" s="64">
        <f>Emp[[#This Row],[Date]]</f>
        <v>42605</v>
      </c>
      <c r="F146" s="10">
        <f>IF(Emp[[#This Row],[Date]]="","",WEEKNUM(B146))</f>
        <v>35</v>
      </c>
      <c r="G146" s="77" t="s">
        <v>339</v>
      </c>
      <c r="H146" s="10" t="str">
        <f>IFERROR(VLOOKUP(Raw_data!$G146,Data_base!$B:$J,2,0),"")</f>
        <v>ID250272</v>
      </c>
      <c r="I146" s="10" t="str">
        <f>IFERROR(VLOOKUP(Raw_data!$G146,Data_base!$B:$J,3,0),"")</f>
        <v>Procurement</v>
      </c>
      <c r="J146" s="10" t="str">
        <f>IFERROR(VLOOKUP(Raw_data!$G146,Data_base!$B:$J,4,0),"")</f>
        <v>Junior</v>
      </c>
      <c r="K146" s="13" t="str">
        <f>IFERROR(VLOOKUP(Raw_data!$G146,Data_base!$B:$J,5,0),"")</f>
        <v>F</v>
      </c>
      <c r="L146" s="13" t="str">
        <f>IFERROR(VLOOKUP(Raw_data!$G146,Data_base!$B:$J,6,0),"")</f>
        <v>Part time</v>
      </c>
      <c r="M146" s="14">
        <f>IFERROR(VLOOKUP(Raw_data!$G146,Data_base!$B:$J,7,0),"")</f>
        <v>40534</v>
      </c>
      <c r="N146" s="13">
        <f>IFERROR(VLOOKUP(Raw_data!$G146,Data_base!$B:$J,8,0),"")</f>
        <v>39</v>
      </c>
      <c r="O146" s="11">
        <f>IFERROR(VLOOKUP(Raw_data!$G146,Data_base!$B:$J,9,0),"")</f>
        <v>5392</v>
      </c>
      <c r="P146" s="78">
        <v>3</v>
      </c>
      <c r="Q146" s="78">
        <v>1</v>
      </c>
      <c r="R146" s="77">
        <v>17</v>
      </c>
      <c r="S146" s="12">
        <f>IFERROR(1-VLOOKUP(Emp[[#This Row],[Penality]],Data_base!V:W,2,FALSE),"")</f>
        <v>0.55000000000000004</v>
      </c>
      <c r="T146" s="12">
        <f>IFERROR(R146/VLOOKUP(D146,Data_base!S:T,2,0),"")</f>
        <v>0.85</v>
      </c>
      <c r="U146" s="12">
        <f>IFERROR(1-Emp[[#This Row],[Activity]],"")</f>
        <v>0.15000000000000002</v>
      </c>
      <c r="V146" s="79">
        <v>0.94014216836117759</v>
      </c>
      <c r="W146" s="12">
        <f t="shared" si="2"/>
        <v>0.78004738945372587</v>
      </c>
      <c r="X146" s="78">
        <v>700</v>
      </c>
      <c r="Y146" s="12">
        <f>IFERROR(IF(Emp[[#This Row],[Increament]]="","",(Emp[[#This Row],[Increament]]/Emp[[#This Row],[Salary]])),"")</f>
        <v>0.12982195845697331</v>
      </c>
      <c r="Z146" s="17"/>
    </row>
    <row r="147" spans="2:26" x14ac:dyDescent="0.2">
      <c r="B147" s="75">
        <v>42466</v>
      </c>
      <c r="C147" s="38">
        <f>Emp[[#This Row],[Date]]</f>
        <v>42466</v>
      </c>
      <c r="D147" s="10">
        <f>IF(Emp[[#This Row],[Date]]="","",MONTH(Emp[[#This Row],[Date]]))</f>
        <v>4</v>
      </c>
      <c r="E147" s="64">
        <f>Emp[[#This Row],[Date]]</f>
        <v>42466</v>
      </c>
      <c r="F147" s="10">
        <f>IF(Emp[[#This Row],[Date]]="","",WEEKNUM(B147))</f>
        <v>15</v>
      </c>
      <c r="G147" s="77" t="s">
        <v>289</v>
      </c>
      <c r="H147" s="10" t="str">
        <f>IFERROR(VLOOKUP(Raw_data!$G147,Data_base!$B:$J,2,0),"")</f>
        <v>ID250222</v>
      </c>
      <c r="I147" s="10" t="str">
        <f>IFERROR(VLOOKUP(Raw_data!$G147,Data_base!$B:$J,3,0),"")</f>
        <v>Finance</v>
      </c>
      <c r="J147" s="10" t="str">
        <f>IFERROR(VLOOKUP(Raw_data!$G147,Data_base!$B:$J,4,0),"")</f>
        <v>Workrer</v>
      </c>
      <c r="K147" s="13" t="str">
        <f>IFERROR(VLOOKUP(Raw_data!$G147,Data_base!$B:$J,5,0),"")</f>
        <v>M</v>
      </c>
      <c r="L147" s="13" t="str">
        <f>IFERROR(VLOOKUP(Raw_data!$G147,Data_base!$B:$J,6,0),"")</f>
        <v>Full time</v>
      </c>
      <c r="M147" s="14">
        <f>IFERROR(VLOOKUP(Raw_data!$G147,Data_base!$B:$J,7,0),"")</f>
        <v>40694</v>
      </c>
      <c r="N147" s="13">
        <f>IFERROR(VLOOKUP(Raw_data!$G147,Data_base!$B:$J,8,0),"")</f>
        <v>42</v>
      </c>
      <c r="O147" s="11">
        <f>IFERROR(VLOOKUP(Raw_data!$G147,Data_base!$B:$J,9,0),"")</f>
        <v>9232</v>
      </c>
      <c r="P147" s="78">
        <v>0</v>
      </c>
      <c r="Q147" s="78">
        <v>5</v>
      </c>
      <c r="R147" s="77">
        <v>20</v>
      </c>
      <c r="S147" s="12" t="str">
        <f>IFERROR(1-VLOOKUP(Emp[[#This Row],[Penality]],Data_base!V:W,2,FALSE),"")</f>
        <v/>
      </c>
      <c r="T147" s="12">
        <f>IFERROR(R147/VLOOKUP(D147,Data_base!S:T,2,0),"")</f>
        <v>0.83333333333333337</v>
      </c>
      <c r="U147" s="12">
        <f>IFERROR(1-Emp[[#This Row],[Activity]],"")</f>
        <v>0.16666666666666663</v>
      </c>
      <c r="V147" s="79">
        <v>0.96415176498758304</v>
      </c>
      <c r="W147" s="12">
        <f t="shared" si="2"/>
        <v>0.89874254916045815</v>
      </c>
      <c r="X147" s="78">
        <v>500</v>
      </c>
      <c r="Y147" s="12">
        <f>IFERROR(IF(Emp[[#This Row],[Increament]]="","",(Emp[[#This Row],[Increament]]/Emp[[#This Row],[Salary]])),"")</f>
        <v>5.415944540727903E-2</v>
      </c>
      <c r="Z147" s="17"/>
    </row>
    <row r="148" spans="2:26" x14ac:dyDescent="0.2">
      <c r="B148" s="75">
        <v>43040</v>
      </c>
      <c r="C148" s="38">
        <f>Emp[[#This Row],[Date]]</f>
        <v>43040</v>
      </c>
      <c r="D148" s="10">
        <f>IF(Emp[[#This Row],[Date]]="","",MONTH(Emp[[#This Row],[Date]]))</f>
        <v>11</v>
      </c>
      <c r="E148" s="64">
        <f>Emp[[#This Row],[Date]]</f>
        <v>43040</v>
      </c>
      <c r="F148" s="10">
        <f>IF(Emp[[#This Row],[Date]]="","",WEEKNUM(B148))</f>
        <v>44</v>
      </c>
      <c r="G148" s="77" t="s">
        <v>300</v>
      </c>
      <c r="H148" s="10" t="str">
        <f>IFERROR(VLOOKUP(Raw_data!$G148,Data_base!$B:$J,2,0),"")</f>
        <v>ID250233</v>
      </c>
      <c r="I148" s="10" t="str">
        <f>IFERROR(VLOOKUP(Raw_data!$G148,Data_base!$B:$J,3,0),"")</f>
        <v>Sales</v>
      </c>
      <c r="J148" s="10" t="str">
        <f>IFERROR(VLOOKUP(Raw_data!$G148,Data_base!$B:$J,4,0),"")</f>
        <v>Senior</v>
      </c>
      <c r="K148" s="13" t="str">
        <f>IFERROR(VLOOKUP(Raw_data!$G148,Data_base!$B:$J,5,0),"")</f>
        <v>F</v>
      </c>
      <c r="L148" s="13" t="str">
        <f>IFERROR(VLOOKUP(Raw_data!$G148,Data_base!$B:$J,6,0),"")</f>
        <v>Full time</v>
      </c>
      <c r="M148" s="14">
        <f>IFERROR(VLOOKUP(Raw_data!$G148,Data_base!$B:$J,7,0),"")</f>
        <v>42313</v>
      </c>
      <c r="N148" s="13">
        <f>IFERROR(VLOOKUP(Raw_data!$G148,Data_base!$B:$J,8,0),"")</f>
        <v>32</v>
      </c>
      <c r="O148" s="11">
        <f>IFERROR(VLOOKUP(Raw_data!$G148,Data_base!$B:$J,9,0),"")</f>
        <v>6924</v>
      </c>
      <c r="P148" s="78">
        <v>3</v>
      </c>
      <c r="Q148" s="78">
        <v>5</v>
      </c>
      <c r="R148" s="77">
        <v>18</v>
      </c>
      <c r="S148" s="12">
        <f>IFERROR(1-VLOOKUP(Emp[[#This Row],[Penality]],Data_base!V:W,2,FALSE),"")</f>
        <v>0.55000000000000004</v>
      </c>
      <c r="T148" s="12">
        <f>IFERROR(R148/VLOOKUP(D148,Data_base!S:T,2,0),"")</f>
        <v>0.78260869565217395</v>
      </c>
      <c r="U148" s="12">
        <f>IFERROR(1-Emp[[#This Row],[Activity]],"")</f>
        <v>0.21739130434782605</v>
      </c>
      <c r="V148" s="79">
        <v>0.85030854895563424</v>
      </c>
      <c r="W148" s="12">
        <f t="shared" si="2"/>
        <v>0.72763908153593615</v>
      </c>
      <c r="X148" s="78">
        <v>400</v>
      </c>
      <c r="Y148" s="12">
        <f>IFERROR(IF(Emp[[#This Row],[Increament]]="","",(Emp[[#This Row],[Increament]]/Emp[[#This Row],[Salary]])),"")</f>
        <v>5.7770075101097634E-2</v>
      </c>
      <c r="Z148" s="17"/>
    </row>
    <row r="149" spans="2:26" x14ac:dyDescent="0.2">
      <c r="B149" s="75">
        <v>42946</v>
      </c>
      <c r="C149" s="38">
        <f>Emp[[#This Row],[Date]]</f>
        <v>42946</v>
      </c>
      <c r="D149" s="10">
        <f>IF(Emp[[#This Row],[Date]]="","",MONTH(Emp[[#This Row],[Date]]))</f>
        <v>7</v>
      </c>
      <c r="E149" s="64">
        <f>Emp[[#This Row],[Date]]</f>
        <v>42946</v>
      </c>
      <c r="F149" s="10">
        <f>IF(Emp[[#This Row],[Date]]="","",WEEKNUM(B149))</f>
        <v>31</v>
      </c>
      <c r="G149" s="77" t="s">
        <v>265</v>
      </c>
      <c r="H149" s="10" t="str">
        <f>IFERROR(VLOOKUP(Raw_data!$G149,Data_base!$B:$J,2,0),"")</f>
        <v>ID250198</v>
      </c>
      <c r="I149" s="10" t="str">
        <f>IFERROR(VLOOKUP(Raw_data!$G149,Data_base!$B:$J,3,0),"")</f>
        <v>Material</v>
      </c>
      <c r="J149" s="10" t="str">
        <f>IFERROR(VLOOKUP(Raw_data!$G149,Data_base!$B:$J,4,0),"")</f>
        <v>Manager</v>
      </c>
      <c r="K149" s="13" t="str">
        <f>IFERROR(VLOOKUP(Raw_data!$G149,Data_base!$B:$J,5,0),"")</f>
        <v>F</v>
      </c>
      <c r="L149" s="13" t="str">
        <f>IFERROR(VLOOKUP(Raw_data!$G149,Data_base!$B:$J,6,0),"")</f>
        <v>Full time</v>
      </c>
      <c r="M149" s="14">
        <f>IFERROR(VLOOKUP(Raw_data!$G149,Data_base!$B:$J,7,0),"")</f>
        <v>40633</v>
      </c>
      <c r="N149" s="13">
        <f>IFERROR(VLOOKUP(Raw_data!$G149,Data_base!$B:$J,8,0),"")</f>
        <v>38</v>
      </c>
      <c r="O149" s="11">
        <f>IFERROR(VLOOKUP(Raw_data!$G149,Data_base!$B:$J,9,0),"")</f>
        <v>9065</v>
      </c>
      <c r="P149" s="78">
        <v>1</v>
      </c>
      <c r="Q149" s="78">
        <v>2</v>
      </c>
      <c r="R149" s="77">
        <v>17</v>
      </c>
      <c r="S149" s="12">
        <f>IFERROR(1-VLOOKUP(Emp[[#This Row],[Penality]],Data_base!V:W,2,FALSE),"")</f>
        <v>0.85</v>
      </c>
      <c r="T149" s="12">
        <f>IFERROR(R149/VLOOKUP(D149,Data_base!S:T,2,0),"")</f>
        <v>0.77272727272727271</v>
      </c>
      <c r="U149" s="12">
        <f>IFERROR(1-Emp[[#This Row],[Activity]],"")</f>
        <v>0.22727272727272729</v>
      </c>
      <c r="V149" s="79">
        <v>1.137820257207045E-2</v>
      </c>
      <c r="W149" s="12">
        <f t="shared" si="2"/>
        <v>0.54470182509978105</v>
      </c>
      <c r="X149" s="78"/>
      <c r="Y149" s="12" t="str">
        <f>IFERROR(IF(Emp[[#This Row],[Increament]]="","",(Emp[[#This Row],[Increament]]/Emp[[#This Row],[Salary]])),"")</f>
        <v/>
      </c>
      <c r="Z149" s="17"/>
    </row>
    <row r="150" spans="2:26" x14ac:dyDescent="0.2">
      <c r="B150" s="75">
        <v>43135</v>
      </c>
      <c r="C150" s="38">
        <f>Emp[[#This Row],[Date]]</f>
        <v>43135</v>
      </c>
      <c r="D150" s="10">
        <f>IF(Emp[[#This Row],[Date]]="","",MONTH(Emp[[#This Row],[Date]]))</f>
        <v>2</v>
      </c>
      <c r="E150" s="64">
        <f>Emp[[#This Row],[Date]]</f>
        <v>43135</v>
      </c>
      <c r="F150" s="10">
        <f>IF(Emp[[#This Row],[Date]]="","",WEEKNUM(B150))</f>
        <v>6</v>
      </c>
      <c r="G150" s="77" t="s">
        <v>231</v>
      </c>
      <c r="H150" s="10" t="str">
        <f>IFERROR(VLOOKUP(Raw_data!$G150,Data_base!$B:$J,2,0),"")</f>
        <v>ID250164</v>
      </c>
      <c r="I150" s="10" t="str">
        <f>IFERROR(VLOOKUP(Raw_data!$G150,Data_base!$B:$J,3,0),"")</f>
        <v>Material</v>
      </c>
      <c r="J150" s="10" t="str">
        <f>IFERROR(VLOOKUP(Raw_data!$G150,Data_base!$B:$J,4,0),"")</f>
        <v>Staff</v>
      </c>
      <c r="K150" s="13" t="str">
        <f>IFERROR(VLOOKUP(Raw_data!$G150,Data_base!$B:$J,5,0),"")</f>
        <v>F</v>
      </c>
      <c r="L150" s="13" t="str">
        <f>IFERROR(VLOOKUP(Raw_data!$G150,Data_base!$B:$J,6,0),"")</f>
        <v>Full time</v>
      </c>
      <c r="M150" s="14">
        <f>IFERROR(VLOOKUP(Raw_data!$G150,Data_base!$B:$J,7,0),"")</f>
        <v>43750</v>
      </c>
      <c r="N150" s="13">
        <f>IFERROR(VLOOKUP(Raw_data!$G150,Data_base!$B:$J,8,0),"")</f>
        <v>40</v>
      </c>
      <c r="O150" s="11">
        <f>IFERROR(VLOOKUP(Raw_data!$G150,Data_base!$B:$J,9,0),"")</f>
        <v>9801</v>
      </c>
      <c r="P150" s="78">
        <v>3</v>
      </c>
      <c r="Q150" s="78">
        <v>2</v>
      </c>
      <c r="R150" s="77">
        <v>18</v>
      </c>
      <c r="S150" s="12">
        <f>IFERROR(1-VLOOKUP(Emp[[#This Row],[Penality]],Data_base!V:W,2,FALSE),"")</f>
        <v>0.55000000000000004</v>
      </c>
      <c r="T150" s="12">
        <f>IFERROR(R150/VLOOKUP(D150,Data_base!S:T,2,0),"")</f>
        <v>0.75</v>
      </c>
      <c r="U150" s="12">
        <f>IFERROR(1-Emp[[#This Row],[Activity]],"")</f>
        <v>0.25</v>
      </c>
      <c r="V150" s="79">
        <v>0.41046391878077493</v>
      </c>
      <c r="W150" s="12">
        <f t="shared" si="2"/>
        <v>0.57015463959359169</v>
      </c>
      <c r="X150" s="78"/>
      <c r="Y150" s="12" t="str">
        <f>IFERROR(IF(Emp[[#This Row],[Increament]]="","",(Emp[[#This Row],[Increament]]/Emp[[#This Row],[Salary]])),"")</f>
        <v/>
      </c>
      <c r="Z150" s="17"/>
    </row>
    <row r="151" spans="2:26" x14ac:dyDescent="0.2">
      <c r="B151" s="75">
        <v>43286</v>
      </c>
      <c r="C151" s="38">
        <f>Emp[[#This Row],[Date]]</f>
        <v>43286</v>
      </c>
      <c r="D151" s="10">
        <f>IF(Emp[[#This Row],[Date]]="","",MONTH(Emp[[#This Row],[Date]]))</f>
        <v>7</v>
      </c>
      <c r="E151" s="64">
        <f>Emp[[#This Row],[Date]]</f>
        <v>43286</v>
      </c>
      <c r="F151" s="10">
        <f>IF(Emp[[#This Row],[Date]]="","",WEEKNUM(B151))</f>
        <v>27</v>
      </c>
      <c r="G151" s="77" t="s">
        <v>308</v>
      </c>
      <c r="H151" s="10" t="str">
        <f>IFERROR(VLOOKUP(Raw_data!$G151,Data_base!$B:$J,2,0),"")</f>
        <v>ID250241</v>
      </c>
      <c r="I151" s="10" t="str">
        <f>IFERROR(VLOOKUP(Raw_data!$G151,Data_base!$B:$J,3,0),"")</f>
        <v>Material</v>
      </c>
      <c r="J151" s="10" t="str">
        <f>IFERROR(VLOOKUP(Raw_data!$G151,Data_base!$B:$J,4,0),"")</f>
        <v>Junior</v>
      </c>
      <c r="K151" s="13" t="str">
        <f>IFERROR(VLOOKUP(Raw_data!$G151,Data_base!$B:$J,5,0),"")</f>
        <v>F</v>
      </c>
      <c r="L151" s="13" t="str">
        <f>IFERROR(VLOOKUP(Raw_data!$G151,Data_base!$B:$J,6,0),"")</f>
        <v>Full time</v>
      </c>
      <c r="M151" s="14">
        <f>IFERROR(VLOOKUP(Raw_data!$G151,Data_base!$B:$J,7,0),"")</f>
        <v>42470</v>
      </c>
      <c r="N151" s="13">
        <f>IFERROR(VLOOKUP(Raw_data!$G151,Data_base!$B:$J,8,0),"")</f>
        <v>31</v>
      </c>
      <c r="O151" s="11">
        <f>IFERROR(VLOOKUP(Raw_data!$G151,Data_base!$B:$J,9,0),"")</f>
        <v>4600</v>
      </c>
      <c r="P151" s="78">
        <v>0</v>
      </c>
      <c r="Q151" s="78">
        <v>2</v>
      </c>
      <c r="R151" s="77">
        <v>20</v>
      </c>
      <c r="S151" s="12" t="str">
        <f>IFERROR(1-VLOOKUP(Emp[[#This Row],[Penality]],Data_base!V:W,2,FALSE),"")</f>
        <v/>
      </c>
      <c r="T151" s="12">
        <f>IFERROR(R151/VLOOKUP(D151,Data_base!S:T,2,0),"")</f>
        <v>0.90909090909090906</v>
      </c>
      <c r="U151" s="12">
        <f>IFERROR(1-Emp[[#This Row],[Activity]],"")</f>
        <v>9.0909090909090939E-2</v>
      </c>
      <c r="V151" s="79">
        <v>0.43314449518957687</v>
      </c>
      <c r="W151" s="12">
        <f t="shared" si="2"/>
        <v>0.67111770214024302</v>
      </c>
      <c r="X151" s="78"/>
      <c r="Y151" s="12" t="str">
        <f>IFERROR(IF(Emp[[#This Row],[Increament]]="","",(Emp[[#This Row],[Increament]]/Emp[[#This Row],[Salary]])),"")</f>
        <v/>
      </c>
      <c r="Z151" s="17"/>
    </row>
    <row r="152" spans="2:26" x14ac:dyDescent="0.2">
      <c r="B152" s="75">
        <v>43417</v>
      </c>
      <c r="C152" s="38">
        <f>Emp[[#This Row],[Date]]</f>
        <v>43417</v>
      </c>
      <c r="D152" s="10">
        <f>IF(Emp[[#This Row],[Date]]="","",MONTH(Emp[[#This Row],[Date]]))</f>
        <v>11</v>
      </c>
      <c r="E152" s="64">
        <f>Emp[[#This Row],[Date]]</f>
        <v>43417</v>
      </c>
      <c r="F152" s="10">
        <f>IF(Emp[[#This Row],[Date]]="","",WEEKNUM(B152))</f>
        <v>46</v>
      </c>
      <c r="G152" s="77" t="s">
        <v>97</v>
      </c>
      <c r="H152" s="10" t="str">
        <f>IFERROR(VLOOKUP(Raw_data!$G152,Data_base!$B:$J,2,0),"")</f>
        <v>ID250030</v>
      </c>
      <c r="I152" s="10" t="str">
        <f>IFERROR(VLOOKUP(Raw_data!$G152,Data_base!$B:$J,3,0),"")</f>
        <v>Material</v>
      </c>
      <c r="J152" s="10" t="str">
        <f>IFERROR(VLOOKUP(Raw_data!$G152,Data_base!$B:$J,4,0),"")</f>
        <v>Junior</v>
      </c>
      <c r="K152" s="13" t="str">
        <f>IFERROR(VLOOKUP(Raw_data!$G152,Data_base!$B:$J,5,0),"")</f>
        <v>M</v>
      </c>
      <c r="L152" s="13" t="str">
        <f>IFERROR(VLOOKUP(Raw_data!$G152,Data_base!$B:$J,6,0),"")</f>
        <v>Part time</v>
      </c>
      <c r="M152" s="14">
        <f>IFERROR(VLOOKUP(Raw_data!$G152,Data_base!$B:$J,7,0),"")</f>
        <v>41576</v>
      </c>
      <c r="N152" s="13">
        <f>IFERROR(VLOOKUP(Raw_data!$G152,Data_base!$B:$J,8,0),"")</f>
        <v>42</v>
      </c>
      <c r="O152" s="11">
        <f>IFERROR(VLOOKUP(Raw_data!$G152,Data_base!$B:$J,9,0),"")</f>
        <v>4844</v>
      </c>
      <c r="P152" s="78">
        <v>2</v>
      </c>
      <c r="Q152" s="78">
        <v>4</v>
      </c>
      <c r="R152" s="77">
        <v>17</v>
      </c>
      <c r="S152" s="12">
        <f>IFERROR(1-VLOOKUP(Emp[[#This Row],[Penality]],Data_base!V:W,2,FALSE),"")</f>
        <v>0.7</v>
      </c>
      <c r="T152" s="12">
        <f>IFERROR(R152/VLOOKUP(D152,Data_base!S:T,2,0),"")</f>
        <v>0.73913043478260865</v>
      </c>
      <c r="U152" s="12">
        <f>IFERROR(1-Emp[[#This Row],[Activity]],"")</f>
        <v>0.26086956521739135</v>
      </c>
      <c r="V152" s="79">
        <v>0.44463525262662817</v>
      </c>
      <c r="W152" s="12">
        <f t="shared" si="2"/>
        <v>0.62792189580307889</v>
      </c>
      <c r="X152" s="78"/>
      <c r="Y152" s="12" t="str">
        <f>IFERROR(IF(Emp[[#This Row],[Increament]]="","",(Emp[[#This Row],[Increament]]/Emp[[#This Row],[Salary]])),"")</f>
        <v/>
      </c>
      <c r="Z152" s="17"/>
    </row>
    <row r="153" spans="2:26" x14ac:dyDescent="0.2">
      <c r="B153" s="75">
        <v>43296</v>
      </c>
      <c r="C153" s="38">
        <f>Emp[[#This Row],[Date]]</f>
        <v>43296</v>
      </c>
      <c r="D153" s="10">
        <f>IF(Emp[[#This Row],[Date]]="","",MONTH(Emp[[#This Row],[Date]]))</f>
        <v>7</v>
      </c>
      <c r="E153" s="64">
        <f>Emp[[#This Row],[Date]]</f>
        <v>43296</v>
      </c>
      <c r="F153" s="10">
        <f>IF(Emp[[#This Row],[Date]]="","",WEEKNUM(B153))</f>
        <v>29</v>
      </c>
      <c r="G153" s="77" t="s">
        <v>162</v>
      </c>
      <c r="H153" s="10" t="str">
        <f>IFERROR(VLOOKUP(Raw_data!$G153,Data_base!$B:$J,2,0),"")</f>
        <v>ID250095</v>
      </c>
      <c r="I153" s="10" t="str">
        <f>IFERROR(VLOOKUP(Raw_data!$G153,Data_base!$B:$J,3,0),"")</f>
        <v>Material</v>
      </c>
      <c r="J153" s="10" t="str">
        <f>IFERROR(VLOOKUP(Raw_data!$G153,Data_base!$B:$J,4,0),"")</f>
        <v>Manager</v>
      </c>
      <c r="K153" s="13" t="str">
        <f>IFERROR(VLOOKUP(Raw_data!$G153,Data_base!$B:$J,5,0),"")</f>
        <v>F</v>
      </c>
      <c r="L153" s="13" t="str">
        <f>IFERROR(VLOOKUP(Raw_data!$G153,Data_base!$B:$J,6,0),"")</f>
        <v>Part time</v>
      </c>
      <c r="M153" s="14">
        <f>IFERROR(VLOOKUP(Raw_data!$G153,Data_base!$B:$J,7,0),"")</f>
        <v>41341</v>
      </c>
      <c r="N153" s="13">
        <f>IFERROR(VLOOKUP(Raw_data!$G153,Data_base!$B:$J,8,0),"")</f>
        <v>34</v>
      </c>
      <c r="O153" s="11">
        <f>IFERROR(VLOOKUP(Raw_data!$G153,Data_base!$B:$J,9,0),"")</f>
        <v>8634</v>
      </c>
      <c r="P153" s="78">
        <v>2</v>
      </c>
      <c r="Q153" s="78">
        <v>4</v>
      </c>
      <c r="R153" s="77">
        <v>19</v>
      </c>
      <c r="S153" s="12">
        <f>IFERROR(1-VLOOKUP(Emp[[#This Row],[Penality]],Data_base!V:W,2,FALSE),"")</f>
        <v>0.7</v>
      </c>
      <c r="T153" s="12">
        <f>IFERROR(R153/VLOOKUP(D153,Data_base!S:T,2,0),"")</f>
        <v>0.86363636363636365</v>
      </c>
      <c r="U153" s="12">
        <f>IFERROR(1-Emp[[#This Row],[Activity]],"")</f>
        <v>0.13636363636363635</v>
      </c>
      <c r="V153" s="79">
        <v>0.67981295786843887</v>
      </c>
      <c r="W153" s="12">
        <f t="shared" si="2"/>
        <v>0.74781644050160079</v>
      </c>
      <c r="X153" s="78"/>
      <c r="Y153" s="12" t="str">
        <f>IFERROR(IF(Emp[[#This Row],[Increament]]="","",(Emp[[#This Row],[Increament]]/Emp[[#This Row],[Salary]])),"")</f>
        <v/>
      </c>
      <c r="Z153" s="17"/>
    </row>
    <row r="154" spans="2:26" x14ac:dyDescent="0.2">
      <c r="B154" s="75">
        <v>42916</v>
      </c>
      <c r="C154" s="38">
        <f>Emp[[#This Row],[Date]]</f>
        <v>42916</v>
      </c>
      <c r="D154" s="10">
        <f>IF(Emp[[#This Row],[Date]]="","",MONTH(Emp[[#This Row],[Date]]))</f>
        <v>6</v>
      </c>
      <c r="E154" s="64">
        <f>Emp[[#This Row],[Date]]</f>
        <v>42916</v>
      </c>
      <c r="F154" s="10">
        <f>IF(Emp[[#This Row],[Date]]="","",WEEKNUM(B154))</f>
        <v>26</v>
      </c>
      <c r="G154" s="77" t="s">
        <v>164</v>
      </c>
      <c r="H154" s="10" t="str">
        <f>IFERROR(VLOOKUP(Raw_data!$G154,Data_base!$B:$J,2,0),"")</f>
        <v>ID250097</v>
      </c>
      <c r="I154" s="10" t="str">
        <f>IFERROR(VLOOKUP(Raw_data!$G154,Data_base!$B:$J,3,0),"")</f>
        <v>Quality</v>
      </c>
      <c r="J154" s="10" t="str">
        <f>IFERROR(VLOOKUP(Raw_data!$G154,Data_base!$B:$J,4,0),"")</f>
        <v>Staff</v>
      </c>
      <c r="K154" s="13" t="str">
        <f>IFERROR(VLOOKUP(Raw_data!$G154,Data_base!$B:$J,5,0),"")</f>
        <v>F</v>
      </c>
      <c r="L154" s="13" t="str">
        <f>IFERROR(VLOOKUP(Raw_data!$G154,Data_base!$B:$J,6,0),"")</f>
        <v>Full time</v>
      </c>
      <c r="M154" s="14">
        <f>IFERROR(VLOOKUP(Raw_data!$G154,Data_base!$B:$J,7,0),"")</f>
        <v>43731</v>
      </c>
      <c r="N154" s="13">
        <f>IFERROR(VLOOKUP(Raw_data!$G154,Data_base!$B:$J,8,0),"")</f>
        <v>33</v>
      </c>
      <c r="O154" s="11">
        <f>IFERROR(VLOOKUP(Raw_data!$G154,Data_base!$B:$J,9,0),"")</f>
        <v>9767</v>
      </c>
      <c r="P154" s="78">
        <v>2</v>
      </c>
      <c r="Q154" s="78">
        <v>4</v>
      </c>
      <c r="R154" s="77">
        <v>18</v>
      </c>
      <c r="S154" s="12">
        <f>IFERROR(1-VLOOKUP(Emp[[#This Row],[Penality]],Data_base!V:W,2,FALSE),"")</f>
        <v>0.7</v>
      </c>
      <c r="T154" s="12">
        <f>IFERROR(R154/VLOOKUP(D154,Data_base!S:T,2,0),"")</f>
        <v>0.9</v>
      </c>
      <c r="U154" s="12">
        <f>IFERROR(1-Emp[[#This Row],[Activity]],"")</f>
        <v>9.9999999999999978E-2</v>
      </c>
      <c r="V154" s="79">
        <v>0.18006377843437749</v>
      </c>
      <c r="W154" s="12">
        <f t="shared" si="2"/>
        <v>0.59335459281145908</v>
      </c>
      <c r="X154" s="78"/>
      <c r="Y154" s="12" t="str">
        <f>IFERROR(IF(Emp[[#This Row],[Increament]]="","",(Emp[[#This Row],[Increament]]/Emp[[#This Row],[Salary]])),"")</f>
        <v/>
      </c>
      <c r="Z154" s="17"/>
    </row>
    <row r="155" spans="2:26" x14ac:dyDescent="0.2">
      <c r="B155" s="75">
        <v>42957</v>
      </c>
      <c r="C155" s="38">
        <f>Emp[[#This Row],[Date]]</f>
        <v>42957</v>
      </c>
      <c r="D155" s="10">
        <f>IF(Emp[[#This Row],[Date]]="","",MONTH(Emp[[#This Row],[Date]]))</f>
        <v>8</v>
      </c>
      <c r="E155" s="64">
        <f>Emp[[#This Row],[Date]]</f>
        <v>42957</v>
      </c>
      <c r="F155" s="10">
        <f>IF(Emp[[#This Row],[Date]]="","",WEEKNUM(B155))</f>
        <v>32</v>
      </c>
      <c r="G155" s="77" t="s">
        <v>267</v>
      </c>
      <c r="H155" s="10" t="str">
        <f>IFERROR(VLOOKUP(Raw_data!$G155,Data_base!$B:$J,2,0),"")</f>
        <v>ID250200</v>
      </c>
      <c r="I155" s="10" t="str">
        <f>IFERROR(VLOOKUP(Raw_data!$G155,Data_base!$B:$J,3,0),"")</f>
        <v>Sales</v>
      </c>
      <c r="J155" s="10" t="str">
        <f>IFERROR(VLOOKUP(Raw_data!$G155,Data_base!$B:$J,4,0),"")</f>
        <v>Workrer</v>
      </c>
      <c r="K155" s="13" t="str">
        <f>IFERROR(VLOOKUP(Raw_data!$G155,Data_base!$B:$J,5,0),"")</f>
        <v>M</v>
      </c>
      <c r="L155" s="13" t="str">
        <f>IFERROR(VLOOKUP(Raw_data!$G155,Data_base!$B:$J,6,0),"")</f>
        <v>Full time</v>
      </c>
      <c r="M155" s="14">
        <f>IFERROR(VLOOKUP(Raw_data!$G155,Data_base!$B:$J,7,0),"")</f>
        <v>42520</v>
      </c>
      <c r="N155" s="13">
        <f>IFERROR(VLOOKUP(Raw_data!$G155,Data_base!$B:$J,8,0),"")</f>
        <v>39</v>
      </c>
      <c r="O155" s="11">
        <f>IFERROR(VLOOKUP(Raw_data!$G155,Data_base!$B:$J,9,0),"")</f>
        <v>6021</v>
      </c>
      <c r="P155" s="78">
        <v>2</v>
      </c>
      <c r="Q155" s="78">
        <v>1</v>
      </c>
      <c r="R155" s="77">
        <v>19</v>
      </c>
      <c r="S155" s="12">
        <f>IFERROR(1-VLOOKUP(Emp[[#This Row],[Penality]],Data_base!V:W,2,FALSE),"")</f>
        <v>0.7</v>
      </c>
      <c r="T155" s="12">
        <f>IFERROR(R155/VLOOKUP(D155,Data_base!S:T,2,0),"")</f>
        <v>0.95</v>
      </c>
      <c r="U155" s="12">
        <f>IFERROR(1-Emp[[#This Row],[Activity]],"")</f>
        <v>5.0000000000000044E-2</v>
      </c>
      <c r="V155" s="79">
        <v>0.50148151039777611</v>
      </c>
      <c r="W155" s="12">
        <f t="shared" si="2"/>
        <v>0.7171605034659253</v>
      </c>
      <c r="X155" s="78">
        <v>300</v>
      </c>
      <c r="Y155" s="12">
        <f>IFERROR(IF(Emp[[#This Row],[Increament]]="","",(Emp[[#This Row],[Increament]]/Emp[[#This Row],[Salary]])),"")</f>
        <v>4.9825610363726958E-2</v>
      </c>
      <c r="Z155" s="17"/>
    </row>
    <row r="156" spans="2:26" x14ac:dyDescent="0.2">
      <c r="B156" s="75">
        <v>42573</v>
      </c>
      <c r="C156" s="38">
        <f>Emp[[#This Row],[Date]]</f>
        <v>42573</v>
      </c>
      <c r="D156" s="10">
        <f>IF(Emp[[#This Row],[Date]]="","",MONTH(Emp[[#This Row],[Date]]))</f>
        <v>7</v>
      </c>
      <c r="E156" s="64">
        <f>Emp[[#This Row],[Date]]</f>
        <v>42573</v>
      </c>
      <c r="F156" s="10">
        <f>IF(Emp[[#This Row],[Date]]="","",WEEKNUM(B156))</f>
        <v>30</v>
      </c>
      <c r="G156" s="77" t="s">
        <v>229</v>
      </c>
      <c r="H156" s="10" t="str">
        <f>IFERROR(VLOOKUP(Raw_data!$G156,Data_base!$B:$J,2,0),"")</f>
        <v>ID250162</v>
      </c>
      <c r="I156" s="10" t="str">
        <f>IFERROR(VLOOKUP(Raw_data!$G156,Data_base!$B:$J,3,0),"")</f>
        <v>Sales</v>
      </c>
      <c r="J156" s="10" t="str">
        <f>IFERROR(VLOOKUP(Raw_data!$G156,Data_base!$B:$J,4,0),"")</f>
        <v>Senior</v>
      </c>
      <c r="K156" s="13" t="str">
        <f>IFERROR(VLOOKUP(Raw_data!$G156,Data_base!$B:$J,5,0),"")</f>
        <v>M</v>
      </c>
      <c r="L156" s="13" t="str">
        <f>IFERROR(VLOOKUP(Raw_data!$G156,Data_base!$B:$J,6,0),"")</f>
        <v>Full time</v>
      </c>
      <c r="M156" s="14">
        <f>IFERROR(VLOOKUP(Raw_data!$G156,Data_base!$B:$J,7,0),"")</f>
        <v>43468</v>
      </c>
      <c r="N156" s="13">
        <f>IFERROR(VLOOKUP(Raw_data!$G156,Data_base!$B:$J,8,0),"")</f>
        <v>30</v>
      </c>
      <c r="O156" s="11">
        <f>IFERROR(VLOOKUP(Raw_data!$G156,Data_base!$B:$J,9,0),"")</f>
        <v>9578</v>
      </c>
      <c r="P156" s="78">
        <v>1</v>
      </c>
      <c r="Q156" s="78">
        <v>2</v>
      </c>
      <c r="R156" s="77">
        <v>20</v>
      </c>
      <c r="S156" s="12">
        <f>IFERROR(1-VLOOKUP(Emp[[#This Row],[Penality]],Data_base!V:W,2,FALSE),"")</f>
        <v>0.85</v>
      </c>
      <c r="T156" s="12">
        <f>IFERROR(R156/VLOOKUP(D156,Data_base!S:T,2,0),"")</f>
        <v>0.90909090909090906</v>
      </c>
      <c r="U156" s="12">
        <f>IFERROR(1-Emp[[#This Row],[Activity]],"")</f>
        <v>9.0909090909090939E-2</v>
      </c>
      <c r="V156" s="79">
        <v>0.83462654898935185</v>
      </c>
      <c r="W156" s="12">
        <f t="shared" si="2"/>
        <v>0.86457248602675374</v>
      </c>
      <c r="X156" s="78"/>
      <c r="Y156" s="12" t="str">
        <f>IFERROR(IF(Emp[[#This Row],[Increament]]="","",(Emp[[#This Row],[Increament]]/Emp[[#This Row],[Salary]])),"")</f>
        <v/>
      </c>
      <c r="Z156" s="17"/>
    </row>
    <row r="157" spans="2:26" x14ac:dyDescent="0.2">
      <c r="B157" s="75">
        <v>43377</v>
      </c>
      <c r="C157" s="38">
        <f>Emp[[#This Row],[Date]]</f>
        <v>43377</v>
      </c>
      <c r="D157" s="10">
        <f>IF(Emp[[#This Row],[Date]]="","",MONTH(Emp[[#This Row],[Date]]))</f>
        <v>10</v>
      </c>
      <c r="E157" s="64">
        <f>Emp[[#This Row],[Date]]</f>
        <v>43377</v>
      </c>
      <c r="F157" s="10">
        <f>IF(Emp[[#This Row],[Date]]="","",WEEKNUM(B157))</f>
        <v>40</v>
      </c>
      <c r="G157" s="77" t="s">
        <v>264</v>
      </c>
      <c r="H157" s="10" t="str">
        <f>IFERROR(VLOOKUP(Raw_data!$G157,Data_base!$B:$J,2,0),"")</f>
        <v>ID250197</v>
      </c>
      <c r="I157" s="10" t="str">
        <f>IFERROR(VLOOKUP(Raw_data!$G157,Data_base!$B:$J,3,0),"")</f>
        <v>Planning</v>
      </c>
      <c r="J157" s="10" t="str">
        <f>IFERROR(VLOOKUP(Raw_data!$G157,Data_base!$B:$J,4,0),"")</f>
        <v>Technician</v>
      </c>
      <c r="K157" s="13" t="str">
        <f>IFERROR(VLOOKUP(Raw_data!$G157,Data_base!$B:$J,5,0),"")</f>
        <v>F</v>
      </c>
      <c r="L157" s="13" t="str">
        <f>IFERROR(VLOOKUP(Raw_data!$G157,Data_base!$B:$J,6,0),"")</f>
        <v>Full time</v>
      </c>
      <c r="M157" s="14">
        <f>IFERROR(VLOOKUP(Raw_data!$G157,Data_base!$B:$J,7,0),"")</f>
        <v>42818</v>
      </c>
      <c r="N157" s="13">
        <f>IFERROR(VLOOKUP(Raw_data!$G157,Data_base!$B:$J,8,0),"")</f>
        <v>37</v>
      </c>
      <c r="O157" s="11">
        <f>IFERROR(VLOOKUP(Raw_data!$G157,Data_base!$B:$J,9,0),"")</f>
        <v>5119</v>
      </c>
      <c r="P157" s="78">
        <v>0</v>
      </c>
      <c r="Q157" s="78">
        <v>2</v>
      </c>
      <c r="R157" s="77">
        <v>19</v>
      </c>
      <c r="S157" s="12" t="str">
        <f>IFERROR(1-VLOOKUP(Emp[[#This Row],[Penality]],Data_base!V:W,2,FALSE),"")</f>
        <v/>
      </c>
      <c r="T157" s="12">
        <f>IFERROR(R157/VLOOKUP(D157,Data_base!S:T,2,0),"")</f>
        <v>0.86363636363636365</v>
      </c>
      <c r="U157" s="12">
        <f>IFERROR(1-Emp[[#This Row],[Activity]],"")</f>
        <v>0.13636363636363635</v>
      </c>
      <c r="V157" s="79">
        <v>0.64579035815418917</v>
      </c>
      <c r="W157" s="12">
        <f t="shared" si="2"/>
        <v>0.75471336089527641</v>
      </c>
      <c r="X157" s="78">
        <v>200</v>
      </c>
      <c r="Y157" s="12">
        <f>IFERROR(IF(Emp[[#This Row],[Increament]]="","",(Emp[[#This Row],[Increament]]/Emp[[#This Row],[Salary]])),"")</f>
        <v>3.9070130884938464E-2</v>
      </c>
      <c r="Z157" s="17"/>
    </row>
    <row r="158" spans="2:26" x14ac:dyDescent="0.2">
      <c r="B158" s="75">
        <v>43315</v>
      </c>
      <c r="C158" s="38">
        <f>Emp[[#This Row],[Date]]</f>
        <v>43315</v>
      </c>
      <c r="D158" s="10">
        <f>IF(Emp[[#This Row],[Date]]="","",MONTH(Emp[[#This Row],[Date]]))</f>
        <v>8</v>
      </c>
      <c r="E158" s="64">
        <f>Emp[[#This Row],[Date]]</f>
        <v>43315</v>
      </c>
      <c r="F158" s="10">
        <f>IF(Emp[[#This Row],[Date]]="","",WEEKNUM(B158))</f>
        <v>31</v>
      </c>
      <c r="G158" s="77" t="s">
        <v>257</v>
      </c>
      <c r="H158" s="10" t="str">
        <f>IFERROR(VLOOKUP(Raw_data!$G158,Data_base!$B:$J,2,0),"")</f>
        <v>ID250190</v>
      </c>
      <c r="I158" s="10" t="str">
        <f>IFERROR(VLOOKUP(Raw_data!$G158,Data_base!$B:$J,3,0),"")</f>
        <v>Procurement</v>
      </c>
      <c r="J158" s="10" t="str">
        <f>IFERROR(VLOOKUP(Raw_data!$G158,Data_base!$B:$J,4,0),"")</f>
        <v>Workrer</v>
      </c>
      <c r="K158" s="13" t="str">
        <f>IFERROR(VLOOKUP(Raw_data!$G158,Data_base!$B:$J,5,0),"")</f>
        <v>F</v>
      </c>
      <c r="L158" s="13" t="str">
        <f>IFERROR(VLOOKUP(Raw_data!$G158,Data_base!$B:$J,6,0),"")</f>
        <v>Full time</v>
      </c>
      <c r="M158" s="14">
        <f>IFERROR(VLOOKUP(Raw_data!$G158,Data_base!$B:$J,7,0),"")</f>
        <v>43561</v>
      </c>
      <c r="N158" s="13">
        <f>IFERROR(VLOOKUP(Raw_data!$G158,Data_base!$B:$J,8,0),"")</f>
        <v>29</v>
      </c>
      <c r="O158" s="11">
        <f>IFERROR(VLOOKUP(Raw_data!$G158,Data_base!$B:$J,9,0),"")</f>
        <v>5418</v>
      </c>
      <c r="P158" s="78">
        <v>2</v>
      </c>
      <c r="Q158" s="78">
        <v>3</v>
      </c>
      <c r="R158" s="77">
        <v>20</v>
      </c>
      <c r="S158" s="12">
        <f>IFERROR(1-VLOOKUP(Emp[[#This Row],[Penality]],Data_base!V:W,2,FALSE),"")</f>
        <v>0.7</v>
      </c>
      <c r="T158" s="12">
        <f>IFERROR(R158/VLOOKUP(D158,Data_base!S:T,2,0),"")</f>
        <v>1</v>
      </c>
      <c r="U158" s="12">
        <f>IFERROR(1-Emp[[#This Row],[Activity]],"")</f>
        <v>0</v>
      </c>
      <c r="V158" s="79">
        <v>0.28149516703479249</v>
      </c>
      <c r="W158" s="12">
        <f t="shared" si="2"/>
        <v>0.66049838901159752</v>
      </c>
      <c r="X158" s="78"/>
      <c r="Y158" s="12" t="str">
        <f>IFERROR(IF(Emp[[#This Row],[Increament]]="","",(Emp[[#This Row],[Increament]]/Emp[[#This Row],[Salary]])),"")</f>
        <v/>
      </c>
      <c r="Z158" s="17"/>
    </row>
    <row r="159" spans="2:26" x14ac:dyDescent="0.2">
      <c r="B159" s="75">
        <v>43193</v>
      </c>
      <c r="C159" s="38">
        <f>Emp[[#This Row],[Date]]</f>
        <v>43193</v>
      </c>
      <c r="D159" s="10">
        <f>IF(Emp[[#This Row],[Date]]="","",MONTH(Emp[[#This Row],[Date]]))</f>
        <v>4</v>
      </c>
      <c r="E159" s="64">
        <f>Emp[[#This Row],[Date]]</f>
        <v>43193</v>
      </c>
      <c r="F159" s="10">
        <f>IF(Emp[[#This Row],[Date]]="","",WEEKNUM(B159))</f>
        <v>14</v>
      </c>
      <c r="G159" s="77" t="s">
        <v>297</v>
      </c>
      <c r="H159" s="10" t="str">
        <f>IFERROR(VLOOKUP(Raw_data!$G159,Data_base!$B:$J,2,0),"")</f>
        <v>ID250230</v>
      </c>
      <c r="I159" s="10" t="str">
        <f>IFERROR(VLOOKUP(Raw_data!$G159,Data_base!$B:$J,3,0),"")</f>
        <v>Finance</v>
      </c>
      <c r="J159" s="10" t="str">
        <f>IFERROR(VLOOKUP(Raw_data!$G159,Data_base!$B:$J,4,0),"")</f>
        <v>Staff</v>
      </c>
      <c r="K159" s="13" t="str">
        <f>IFERROR(VLOOKUP(Raw_data!$G159,Data_base!$B:$J,5,0),"")</f>
        <v>F</v>
      </c>
      <c r="L159" s="13" t="str">
        <f>IFERROR(VLOOKUP(Raw_data!$G159,Data_base!$B:$J,6,0),"")</f>
        <v>Full time</v>
      </c>
      <c r="M159" s="14">
        <f>IFERROR(VLOOKUP(Raw_data!$G159,Data_base!$B:$J,7,0),"")</f>
        <v>40520</v>
      </c>
      <c r="N159" s="13">
        <f>IFERROR(VLOOKUP(Raw_data!$G159,Data_base!$B:$J,8,0),"")</f>
        <v>31</v>
      </c>
      <c r="O159" s="11">
        <f>IFERROR(VLOOKUP(Raw_data!$G159,Data_base!$B:$J,9,0),"")</f>
        <v>8664</v>
      </c>
      <c r="P159" s="78">
        <v>1</v>
      </c>
      <c r="Q159" s="78">
        <v>5</v>
      </c>
      <c r="R159" s="77">
        <v>17</v>
      </c>
      <c r="S159" s="12">
        <f>IFERROR(1-VLOOKUP(Emp[[#This Row],[Penality]],Data_base!V:W,2,FALSE),"")</f>
        <v>0.85</v>
      </c>
      <c r="T159" s="12">
        <f>IFERROR(R159/VLOOKUP(D159,Data_base!S:T,2,0),"")</f>
        <v>0.70833333333333337</v>
      </c>
      <c r="U159" s="12">
        <f>IFERROR(1-Emp[[#This Row],[Activity]],"")</f>
        <v>0.29166666666666663</v>
      </c>
      <c r="V159" s="79">
        <v>0.65894497813777031</v>
      </c>
      <c r="W159" s="12">
        <f t="shared" si="2"/>
        <v>0.73909277049036792</v>
      </c>
      <c r="X159" s="78"/>
      <c r="Y159" s="12" t="str">
        <f>IFERROR(IF(Emp[[#This Row],[Increament]]="","",(Emp[[#This Row],[Increament]]/Emp[[#This Row],[Salary]])),"")</f>
        <v/>
      </c>
      <c r="Z159" s="17"/>
    </row>
    <row r="160" spans="2:26" x14ac:dyDescent="0.2">
      <c r="B160" s="75">
        <v>42888</v>
      </c>
      <c r="C160" s="38">
        <f>Emp[[#This Row],[Date]]</f>
        <v>42888</v>
      </c>
      <c r="D160" s="10">
        <f>IF(Emp[[#This Row],[Date]]="","",MONTH(Emp[[#This Row],[Date]]))</f>
        <v>6</v>
      </c>
      <c r="E160" s="64">
        <f>Emp[[#This Row],[Date]]</f>
        <v>42888</v>
      </c>
      <c r="F160" s="10">
        <f>IF(Emp[[#This Row],[Date]]="","",WEEKNUM(B160))</f>
        <v>22</v>
      </c>
      <c r="G160" s="77" t="s">
        <v>309</v>
      </c>
      <c r="H160" s="10" t="str">
        <f>IFERROR(VLOOKUP(Raw_data!$G160,Data_base!$B:$J,2,0),"")</f>
        <v>ID250242</v>
      </c>
      <c r="I160" s="10" t="str">
        <f>IFERROR(VLOOKUP(Raw_data!$G160,Data_base!$B:$J,3,0),"")</f>
        <v>Planning</v>
      </c>
      <c r="J160" s="10" t="str">
        <f>IFERROR(VLOOKUP(Raw_data!$G160,Data_base!$B:$J,4,0),"")</f>
        <v>Junior</v>
      </c>
      <c r="K160" s="13" t="str">
        <f>IFERROR(VLOOKUP(Raw_data!$G160,Data_base!$B:$J,5,0),"")</f>
        <v>F</v>
      </c>
      <c r="L160" s="13" t="str">
        <f>IFERROR(VLOOKUP(Raw_data!$G160,Data_base!$B:$J,6,0),"")</f>
        <v>Full time</v>
      </c>
      <c r="M160" s="14">
        <f>IFERROR(VLOOKUP(Raw_data!$G160,Data_base!$B:$J,7,0),"")</f>
        <v>43532</v>
      </c>
      <c r="N160" s="13">
        <f>IFERROR(VLOOKUP(Raw_data!$G160,Data_base!$B:$J,8,0),"")</f>
        <v>30</v>
      </c>
      <c r="O160" s="11">
        <f>IFERROR(VLOOKUP(Raw_data!$G160,Data_base!$B:$J,9,0),"")</f>
        <v>7026</v>
      </c>
      <c r="P160" s="78">
        <v>2</v>
      </c>
      <c r="Q160" s="78">
        <v>1</v>
      </c>
      <c r="R160" s="77">
        <v>18</v>
      </c>
      <c r="S160" s="12">
        <f>IFERROR(1-VLOOKUP(Emp[[#This Row],[Penality]],Data_base!V:W,2,FALSE),"")</f>
        <v>0.7</v>
      </c>
      <c r="T160" s="12">
        <f>IFERROR(R160/VLOOKUP(D160,Data_base!S:T,2,0),"")</f>
        <v>0.9</v>
      </c>
      <c r="U160" s="12">
        <f>IFERROR(1-Emp[[#This Row],[Activity]],"")</f>
        <v>9.9999999999999978E-2</v>
      </c>
      <c r="V160" s="79">
        <v>0.459482950993231</v>
      </c>
      <c r="W160" s="12">
        <f t="shared" si="2"/>
        <v>0.68649431699774366</v>
      </c>
      <c r="X160" s="78"/>
      <c r="Y160" s="12" t="str">
        <f>IFERROR(IF(Emp[[#This Row],[Increament]]="","",(Emp[[#This Row],[Increament]]/Emp[[#This Row],[Salary]])),"")</f>
        <v/>
      </c>
      <c r="Z160" s="17"/>
    </row>
    <row r="161" spans="2:26" x14ac:dyDescent="0.2">
      <c r="B161" s="75">
        <v>42546</v>
      </c>
      <c r="C161" s="38">
        <f>Emp[[#This Row],[Date]]</f>
        <v>42546</v>
      </c>
      <c r="D161" s="10">
        <f>IF(Emp[[#This Row],[Date]]="","",MONTH(Emp[[#This Row],[Date]]))</f>
        <v>6</v>
      </c>
      <c r="E161" s="64">
        <f>Emp[[#This Row],[Date]]</f>
        <v>42546</v>
      </c>
      <c r="F161" s="10">
        <f>IF(Emp[[#This Row],[Date]]="","",WEEKNUM(B161))</f>
        <v>26</v>
      </c>
      <c r="G161" s="77" t="s">
        <v>312</v>
      </c>
      <c r="H161" s="10" t="str">
        <f>IFERROR(VLOOKUP(Raw_data!$G161,Data_base!$B:$J,2,0),"")</f>
        <v>ID250245</v>
      </c>
      <c r="I161" s="10" t="str">
        <f>IFERROR(VLOOKUP(Raw_data!$G161,Data_base!$B:$J,3,0),"")</f>
        <v>Planning</v>
      </c>
      <c r="J161" s="10" t="str">
        <f>IFERROR(VLOOKUP(Raw_data!$G161,Data_base!$B:$J,4,0),"")</f>
        <v>Manager</v>
      </c>
      <c r="K161" s="13" t="str">
        <f>IFERROR(VLOOKUP(Raw_data!$G161,Data_base!$B:$J,5,0),"")</f>
        <v>F</v>
      </c>
      <c r="L161" s="13" t="str">
        <f>IFERROR(VLOOKUP(Raw_data!$G161,Data_base!$B:$J,6,0),"")</f>
        <v>Part time</v>
      </c>
      <c r="M161" s="14">
        <f>IFERROR(VLOOKUP(Raw_data!$G161,Data_base!$B:$J,7,0),"")</f>
        <v>41756</v>
      </c>
      <c r="N161" s="13">
        <f>IFERROR(VLOOKUP(Raw_data!$G161,Data_base!$B:$J,8,0),"")</f>
        <v>31</v>
      </c>
      <c r="O161" s="11">
        <f>IFERROR(VLOOKUP(Raw_data!$G161,Data_base!$B:$J,9,0),"")</f>
        <v>6709</v>
      </c>
      <c r="P161" s="78">
        <v>1</v>
      </c>
      <c r="Q161" s="78">
        <v>1</v>
      </c>
      <c r="R161" s="77">
        <v>20</v>
      </c>
      <c r="S161" s="12">
        <f>IFERROR(1-VLOOKUP(Emp[[#This Row],[Penality]],Data_base!V:W,2,FALSE),"")</f>
        <v>0.85</v>
      </c>
      <c r="T161" s="12">
        <f>IFERROR(R161/VLOOKUP(D161,Data_base!S:T,2,0),"")</f>
        <v>1</v>
      </c>
      <c r="U161" s="12">
        <f>IFERROR(1-Emp[[#This Row],[Activity]],"")</f>
        <v>0</v>
      </c>
      <c r="V161" s="79">
        <v>0.22685207978994848</v>
      </c>
      <c r="W161" s="12">
        <f t="shared" si="2"/>
        <v>0.69228402659664956</v>
      </c>
      <c r="X161" s="78"/>
      <c r="Y161" s="12" t="str">
        <f>IFERROR(IF(Emp[[#This Row],[Increament]]="","",(Emp[[#This Row],[Increament]]/Emp[[#This Row],[Salary]])),"")</f>
        <v/>
      </c>
      <c r="Z161" s="17"/>
    </row>
    <row r="162" spans="2:26" x14ac:dyDescent="0.2">
      <c r="B162" s="75">
        <v>42833</v>
      </c>
      <c r="C162" s="38">
        <f>Emp[[#This Row],[Date]]</f>
        <v>42833</v>
      </c>
      <c r="D162" s="10">
        <f>IF(Emp[[#This Row],[Date]]="","",MONTH(Emp[[#This Row],[Date]]))</f>
        <v>4</v>
      </c>
      <c r="E162" s="64">
        <f>Emp[[#This Row],[Date]]</f>
        <v>42833</v>
      </c>
      <c r="F162" s="10">
        <f>IF(Emp[[#This Row],[Date]]="","",WEEKNUM(B162))</f>
        <v>14</v>
      </c>
      <c r="G162" s="77" t="s">
        <v>317</v>
      </c>
      <c r="H162" s="10" t="str">
        <f>IFERROR(VLOOKUP(Raw_data!$G162,Data_base!$B:$J,2,0),"")</f>
        <v>ID250250</v>
      </c>
      <c r="I162" s="10" t="str">
        <f>IFERROR(VLOOKUP(Raw_data!$G162,Data_base!$B:$J,3,0),"")</f>
        <v>Planning</v>
      </c>
      <c r="J162" s="10" t="str">
        <f>IFERROR(VLOOKUP(Raw_data!$G162,Data_base!$B:$J,4,0),"")</f>
        <v>Workrer</v>
      </c>
      <c r="K162" s="13" t="str">
        <f>IFERROR(VLOOKUP(Raw_data!$G162,Data_base!$B:$J,5,0),"")</f>
        <v>M</v>
      </c>
      <c r="L162" s="13" t="str">
        <f>IFERROR(VLOOKUP(Raw_data!$G162,Data_base!$B:$J,6,0),"")</f>
        <v>Part time</v>
      </c>
      <c r="M162" s="14">
        <f>IFERROR(VLOOKUP(Raw_data!$G162,Data_base!$B:$J,7,0),"")</f>
        <v>40197</v>
      </c>
      <c r="N162" s="13">
        <f>IFERROR(VLOOKUP(Raw_data!$G162,Data_base!$B:$J,8,0),"")</f>
        <v>43</v>
      </c>
      <c r="O162" s="11">
        <f>IFERROR(VLOOKUP(Raw_data!$G162,Data_base!$B:$J,9,0),"")</f>
        <v>7531</v>
      </c>
      <c r="P162" s="78">
        <v>2</v>
      </c>
      <c r="Q162" s="78">
        <v>3</v>
      </c>
      <c r="R162" s="77">
        <v>18</v>
      </c>
      <c r="S162" s="12">
        <f>IFERROR(1-VLOOKUP(Emp[[#This Row],[Penality]],Data_base!V:W,2,FALSE),"")</f>
        <v>0.7</v>
      </c>
      <c r="T162" s="12">
        <f>IFERROR(R162/VLOOKUP(D162,Data_base!S:T,2,0),"")</f>
        <v>0.75</v>
      </c>
      <c r="U162" s="12">
        <f>IFERROR(1-Emp[[#This Row],[Activity]],"")</f>
        <v>0.25</v>
      </c>
      <c r="V162" s="79">
        <v>0.43774633349418524</v>
      </c>
      <c r="W162" s="12">
        <f t="shared" si="2"/>
        <v>0.6292487778313951</v>
      </c>
      <c r="X162" s="78">
        <v>400</v>
      </c>
      <c r="Y162" s="12">
        <f>IFERROR(IF(Emp[[#This Row],[Increament]]="","",(Emp[[#This Row],[Increament]]/Emp[[#This Row],[Salary]])),"")</f>
        <v>5.3113796308591157E-2</v>
      </c>
      <c r="Z162" s="17"/>
    </row>
    <row r="163" spans="2:26" x14ac:dyDescent="0.2">
      <c r="B163" s="75">
        <v>42670</v>
      </c>
      <c r="C163" s="38">
        <f>Emp[[#This Row],[Date]]</f>
        <v>42670</v>
      </c>
      <c r="D163" s="10">
        <f>IF(Emp[[#This Row],[Date]]="","",MONTH(Emp[[#This Row],[Date]]))</f>
        <v>10</v>
      </c>
      <c r="E163" s="64">
        <f>Emp[[#This Row],[Date]]</f>
        <v>42670</v>
      </c>
      <c r="F163" s="10">
        <f>IF(Emp[[#This Row],[Date]]="","",WEEKNUM(B163))</f>
        <v>44</v>
      </c>
      <c r="G163" s="77" t="s">
        <v>101</v>
      </c>
      <c r="H163" s="10" t="str">
        <f>IFERROR(VLOOKUP(Raw_data!$G163,Data_base!$B:$J,2,0),"")</f>
        <v>ID250034</v>
      </c>
      <c r="I163" s="10" t="str">
        <f>IFERROR(VLOOKUP(Raw_data!$G163,Data_base!$B:$J,3,0),"")</f>
        <v>Production</v>
      </c>
      <c r="J163" s="10" t="str">
        <f>IFERROR(VLOOKUP(Raw_data!$G163,Data_base!$B:$J,4,0),"")</f>
        <v>Junior</v>
      </c>
      <c r="K163" s="13" t="str">
        <f>IFERROR(VLOOKUP(Raw_data!$G163,Data_base!$B:$J,5,0),"")</f>
        <v>M</v>
      </c>
      <c r="L163" s="13" t="str">
        <f>IFERROR(VLOOKUP(Raw_data!$G163,Data_base!$B:$J,6,0),"")</f>
        <v>Part time</v>
      </c>
      <c r="M163" s="14">
        <f>IFERROR(VLOOKUP(Raw_data!$G163,Data_base!$B:$J,7,0),"")</f>
        <v>40550</v>
      </c>
      <c r="N163" s="13">
        <f>IFERROR(VLOOKUP(Raw_data!$G163,Data_base!$B:$J,8,0),"")</f>
        <v>36</v>
      </c>
      <c r="O163" s="11">
        <f>IFERROR(VLOOKUP(Raw_data!$G163,Data_base!$B:$J,9,0),"")</f>
        <v>4616</v>
      </c>
      <c r="P163" s="78">
        <v>2</v>
      </c>
      <c r="Q163" s="78">
        <v>3</v>
      </c>
      <c r="R163" s="77">
        <v>18</v>
      </c>
      <c r="S163" s="12">
        <f>IFERROR(1-VLOOKUP(Emp[[#This Row],[Penality]],Data_base!V:W,2,FALSE),"")</f>
        <v>0.7</v>
      </c>
      <c r="T163" s="12">
        <f>IFERROR(R163/VLOOKUP(D163,Data_base!S:T,2,0),"")</f>
        <v>0.81818181818181823</v>
      </c>
      <c r="U163" s="12">
        <f>IFERROR(1-Emp[[#This Row],[Activity]],"")</f>
        <v>0.18181818181818177</v>
      </c>
      <c r="V163" s="79">
        <v>0.89674710604423546</v>
      </c>
      <c r="W163" s="12">
        <f t="shared" si="2"/>
        <v>0.80497630807535125</v>
      </c>
      <c r="X163" s="78"/>
      <c r="Y163" s="12" t="str">
        <f>IFERROR(IF(Emp[[#This Row],[Increament]]="","",(Emp[[#This Row],[Increament]]/Emp[[#This Row],[Salary]])),"")</f>
        <v/>
      </c>
      <c r="Z163" s="17"/>
    </row>
    <row r="164" spans="2:26" x14ac:dyDescent="0.2">
      <c r="B164" s="75">
        <v>42675</v>
      </c>
      <c r="C164" s="38">
        <f>Emp[[#This Row],[Date]]</f>
        <v>42675</v>
      </c>
      <c r="D164" s="10">
        <f>IF(Emp[[#This Row],[Date]]="","",MONTH(Emp[[#This Row],[Date]]))</f>
        <v>11</v>
      </c>
      <c r="E164" s="64">
        <f>Emp[[#This Row],[Date]]</f>
        <v>42675</v>
      </c>
      <c r="F164" s="10">
        <f>IF(Emp[[#This Row],[Date]]="","",WEEKNUM(B164))</f>
        <v>45</v>
      </c>
      <c r="G164" s="77" t="s">
        <v>157</v>
      </c>
      <c r="H164" s="10" t="str">
        <f>IFERROR(VLOOKUP(Raw_data!$G164,Data_base!$B:$J,2,0),"")</f>
        <v>ID250090</v>
      </c>
      <c r="I164" s="10" t="str">
        <f>IFERROR(VLOOKUP(Raw_data!$G164,Data_base!$B:$J,3,0),"")</f>
        <v>Sales</v>
      </c>
      <c r="J164" s="10" t="str">
        <f>IFERROR(VLOOKUP(Raw_data!$G164,Data_base!$B:$J,4,0),"")</f>
        <v>Workrer</v>
      </c>
      <c r="K164" s="13" t="str">
        <f>IFERROR(VLOOKUP(Raw_data!$G164,Data_base!$B:$J,5,0),"")</f>
        <v>F</v>
      </c>
      <c r="L164" s="13" t="str">
        <f>IFERROR(VLOOKUP(Raw_data!$G164,Data_base!$B:$J,6,0),"")</f>
        <v>Part time</v>
      </c>
      <c r="M164" s="14">
        <f>IFERROR(VLOOKUP(Raw_data!$G164,Data_base!$B:$J,7,0),"")</f>
        <v>40355</v>
      </c>
      <c r="N164" s="13">
        <f>IFERROR(VLOOKUP(Raw_data!$G164,Data_base!$B:$J,8,0),"")</f>
        <v>39</v>
      </c>
      <c r="O164" s="11">
        <f>IFERROR(VLOOKUP(Raw_data!$G164,Data_base!$B:$J,9,0),"")</f>
        <v>5898</v>
      </c>
      <c r="P164" s="78">
        <v>1</v>
      </c>
      <c r="Q164" s="78">
        <v>1</v>
      </c>
      <c r="R164" s="77">
        <v>20</v>
      </c>
      <c r="S164" s="12">
        <f>IFERROR(1-VLOOKUP(Emp[[#This Row],[Penality]],Data_base!V:W,2,FALSE),"")</f>
        <v>0.85</v>
      </c>
      <c r="T164" s="12">
        <f>IFERROR(R164/VLOOKUP(D164,Data_base!S:T,2,0),"")</f>
        <v>0.86956521739130432</v>
      </c>
      <c r="U164" s="12">
        <f>IFERROR(1-Emp[[#This Row],[Activity]],"")</f>
        <v>0.13043478260869568</v>
      </c>
      <c r="V164" s="79">
        <v>0.44728815783178411</v>
      </c>
      <c r="W164" s="12">
        <f t="shared" si="2"/>
        <v>0.72228445840769606</v>
      </c>
      <c r="X164" s="78"/>
      <c r="Y164" s="12" t="str">
        <f>IFERROR(IF(Emp[[#This Row],[Increament]]="","",(Emp[[#This Row],[Increament]]/Emp[[#This Row],[Salary]])),"")</f>
        <v/>
      </c>
      <c r="Z164" s="17"/>
    </row>
    <row r="165" spans="2:26" x14ac:dyDescent="0.2">
      <c r="B165" s="75">
        <v>43185</v>
      </c>
      <c r="C165" s="38">
        <f>Emp[[#This Row],[Date]]</f>
        <v>43185</v>
      </c>
      <c r="D165" s="10">
        <f>IF(Emp[[#This Row],[Date]]="","",MONTH(Emp[[#This Row],[Date]]))</f>
        <v>3</v>
      </c>
      <c r="E165" s="64">
        <f>Emp[[#This Row],[Date]]</f>
        <v>43185</v>
      </c>
      <c r="F165" s="10">
        <f>IF(Emp[[#This Row],[Date]]="","",WEEKNUM(B165))</f>
        <v>13</v>
      </c>
      <c r="G165" s="77" t="s">
        <v>186</v>
      </c>
      <c r="H165" s="10" t="str">
        <f>IFERROR(VLOOKUP(Raw_data!$G165,Data_base!$B:$J,2,0),"")</f>
        <v>ID250119</v>
      </c>
      <c r="I165" s="10" t="str">
        <f>IFERROR(VLOOKUP(Raw_data!$G165,Data_base!$B:$J,3,0),"")</f>
        <v>Production</v>
      </c>
      <c r="J165" s="10" t="str">
        <f>IFERROR(VLOOKUP(Raw_data!$G165,Data_base!$B:$J,4,0),"")</f>
        <v>Workrer</v>
      </c>
      <c r="K165" s="13" t="str">
        <f>IFERROR(VLOOKUP(Raw_data!$G165,Data_base!$B:$J,5,0),"")</f>
        <v>M</v>
      </c>
      <c r="L165" s="13" t="str">
        <f>IFERROR(VLOOKUP(Raw_data!$G165,Data_base!$B:$J,6,0),"")</f>
        <v>Full time</v>
      </c>
      <c r="M165" s="14">
        <f>IFERROR(VLOOKUP(Raw_data!$G165,Data_base!$B:$J,7,0),"")</f>
        <v>42628</v>
      </c>
      <c r="N165" s="13">
        <f>IFERROR(VLOOKUP(Raw_data!$G165,Data_base!$B:$J,8,0),"")</f>
        <v>38</v>
      </c>
      <c r="O165" s="11">
        <f>IFERROR(VLOOKUP(Raw_data!$G165,Data_base!$B:$J,9,0),"")</f>
        <v>9757</v>
      </c>
      <c r="P165" s="78">
        <v>0</v>
      </c>
      <c r="Q165" s="78">
        <v>3</v>
      </c>
      <c r="R165" s="77">
        <v>18</v>
      </c>
      <c r="S165" s="12" t="str">
        <f>IFERROR(1-VLOOKUP(Emp[[#This Row],[Penality]],Data_base!V:W,2,FALSE),"")</f>
        <v/>
      </c>
      <c r="T165" s="12">
        <f>IFERROR(R165/VLOOKUP(D165,Data_base!S:T,2,0),"")</f>
        <v>0.78260869565217395</v>
      </c>
      <c r="U165" s="12">
        <f>IFERROR(1-Emp[[#This Row],[Activity]],"")</f>
        <v>0.21739130434782605</v>
      </c>
      <c r="V165" s="79">
        <v>0.29932485858173818</v>
      </c>
      <c r="W165" s="12">
        <f t="shared" si="2"/>
        <v>0.54096677711695607</v>
      </c>
      <c r="X165" s="78"/>
      <c r="Y165" s="12" t="str">
        <f>IFERROR(IF(Emp[[#This Row],[Increament]]="","",(Emp[[#This Row],[Increament]]/Emp[[#This Row],[Salary]])),"")</f>
        <v/>
      </c>
      <c r="Z165" s="17"/>
    </row>
    <row r="166" spans="2:26" x14ac:dyDescent="0.2">
      <c r="B166" s="75">
        <v>43181</v>
      </c>
      <c r="C166" s="38">
        <f>Emp[[#This Row],[Date]]</f>
        <v>43181</v>
      </c>
      <c r="D166" s="10">
        <f>IF(Emp[[#This Row],[Date]]="","",MONTH(Emp[[#This Row],[Date]]))</f>
        <v>3</v>
      </c>
      <c r="E166" s="64">
        <f>Emp[[#This Row],[Date]]</f>
        <v>43181</v>
      </c>
      <c r="F166" s="10">
        <f>IF(Emp[[#This Row],[Date]]="","",WEEKNUM(B166))</f>
        <v>12</v>
      </c>
      <c r="G166" s="77" t="s">
        <v>301</v>
      </c>
      <c r="H166" s="10" t="str">
        <f>IFERROR(VLOOKUP(Raw_data!$G166,Data_base!$B:$J,2,0),"")</f>
        <v>ID250234</v>
      </c>
      <c r="I166" s="10" t="str">
        <f>IFERROR(VLOOKUP(Raw_data!$G166,Data_base!$B:$J,3,0),"")</f>
        <v>Procurement</v>
      </c>
      <c r="J166" s="10" t="str">
        <f>IFERROR(VLOOKUP(Raw_data!$G166,Data_base!$B:$J,4,0),"")</f>
        <v>Manager</v>
      </c>
      <c r="K166" s="13" t="str">
        <f>IFERROR(VLOOKUP(Raw_data!$G166,Data_base!$B:$J,5,0),"")</f>
        <v>F</v>
      </c>
      <c r="L166" s="13" t="str">
        <f>IFERROR(VLOOKUP(Raw_data!$G166,Data_base!$B:$J,6,0),"")</f>
        <v>Full time</v>
      </c>
      <c r="M166" s="14">
        <f>IFERROR(VLOOKUP(Raw_data!$G166,Data_base!$B:$J,7,0),"")</f>
        <v>42935</v>
      </c>
      <c r="N166" s="13">
        <f>IFERROR(VLOOKUP(Raw_data!$G166,Data_base!$B:$J,8,0),"")</f>
        <v>36</v>
      </c>
      <c r="O166" s="11">
        <f>IFERROR(VLOOKUP(Raw_data!$G166,Data_base!$B:$J,9,0),"")</f>
        <v>9048</v>
      </c>
      <c r="P166" s="78">
        <v>3</v>
      </c>
      <c r="Q166" s="78">
        <v>1</v>
      </c>
      <c r="R166" s="77">
        <v>19</v>
      </c>
      <c r="S166" s="12">
        <f>IFERROR(1-VLOOKUP(Emp[[#This Row],[Penality]],Data_base!V:W,2,FALSE),"")</f>
        <v>0.55000000000000004</v>
      </c>
      <c r="T166" s="12">
        <f>IFERROR(R166/VLOOKUP(D166,Data_base!S:T,2,0),"")</f>
        <v>0.82608695652173914</v>
      </c>
      <c r="U166" s="12">
        <f>IFERROR(1-Emp[[#This Row],[Activity]],"")</f>
        <v>0.17391304347826086</v>
      </c>
      <c r="V166" s="79">
        <v>0.64696981203208237</v>
      </c>
      <c r="W166" s="12">
        <f t="shared" si="2"/>
        <v>0.67435225618460726</v>
      </c>
      <c r="X166" s="78"/>
      <c r="Y166" s="12" t="str">
        <f>IFERROR(IF(Emp[[#This Row],[Increament]]="","",(Emp[[#This Row],[Increament]]/Emp[[#This Row],[Salary]])),"")</f>
        <v/>
      </c>
      <c r="Z166" s="17"/>
    </row>
    <row r="167" spans="2:26" x14ac:dyDescent="0.2">
      <c r="B167" s="75">
        <v>43454</v>
      </c>
      <c r="C167" s="38">
        <f>Emp[[#This Row],[Date]]</f>
        <v>43454</v>
      </c>
      <c r="D167" s="10">
        <f>IF(Emp[[#This Row],[Date]]="","",MONTH(Emp[[#This Row],[Date]]))</f>
        <v>12</v>
      </c>
      <c r="E167" s="64">
        <f>Emp[[#This Row],[Date]]</f>
        <v>43454</v>
      </c>
      <c r="F167" s="10">
        <f>IF(Emp[[#This Row],[Date]]="","",WEEKNUM(B167))</f>
        <v>51</v>
      </c>
      <c r="G167" s="77" t="s">
        <v>269</v>
      </c>
      <c r="H167" s="10" t="str">
        <f>IFERROR(VLOOKUP(Raw_data!$G167,Data_base!$B:$J,2,0),"")</f>
        <v>ID250202</v>
      </c>
      <c r="I167" s="10" t="str">
        <f>IFERROR(VLOOKUP(Raw_data!$G167,Data_base!$B:$J,3,0),"")</f>
        <v>Quality</v>
      </c>
      <c r="J167" s="10" t="str">
        <f>IFERROR(VLOOKUP(Raw_data!$G167,Data_base!$B:$J,4,0),"")</f>
        <v>Workrer</v>
      </c>
      <c r="K167" s="13" t="str">
        <f>IFERROR(VLOOKUP(Raw_data!$G167,Data_base!$B:$J,5,0),"")</f>
        <v>F</v>
      </c>
      <c r="L167" s="13" t="str">
        <f>IFERROR(VLOOKUP(Raw_data!$G167,Data_base!$B:$J,6,0),"")</f>
        <v>Full time</v>
      </c>
      <c r="M167" s="14">
        <f>IFERROR(VLOOKUP(Raw_data!$G167,Data_base!$B:$J,7,0),"")</f>
        <v>43700</v>
      </c>
      <c r="N167" s="13">
        <f>IFERROR(VLOOKUP(Raw_data!$G167,Data_base!$B:$J,8,0),"")</f>
        <v>31</v>
      </c>
      <c r="O167" s="11">
        <f>IFERROR(VLOOKUP(Raw_data!$G167,Data_base!$B:$J,9,0),"")</f>
        <v>8634</v>
      </c>
      <c r="P167" s="78">
        <v>3</v>
      </c>
      <c r="Q167" s="78">
        <v>3</v>
      </c>
      <c r="R167" s="77">
        <v>19</v>
      </c>
      <c r="S167" s="12">
        <f>IFERROR(1-VLOOKUP(Emp[[#This Row],[Penality]],Data_base!V:W,2,FALSE),"")</f>
        <v>0.55000000000000004</v>
      </c>
      <c r="T167" s="12">
        <f>IFERROR(R167/VLOOKUP(D167,Data_base!S:T,2,0),"")</f>
        <v>0.79166666666666663</v>
      </c>
      <c r="U167" s="12">
        <f>IFERROR(1-Emp[[#This Row],[Activity]],"")</f>
        <v>0.20833333333333337</v>
      </c>
      <c r="V167" s="79">
        <v>0.3827367158386954</v>
      </c>
      <c r="W167" s="12">
        <f t="shared" si="2"/>
        <v>0.57480112750178736</v>
      </c>
      <c r="X167" s="78">
        <v>500</v>
      </c>
      <c r="Y167" s="12">
        <f>IFERROR(IF(Emp[[#This Row],[Increament]]="","",(Emp[[#This Row],[Increament]]/Emp[[#This Row],[Salary]])),"")</f>
        <v>5.7910586055130879E-2</v>
      </c>
      <c r="Z167" s="17"/>
    </row>
    <row r="168" spans="2:26" x14ac:dyDescent="0.2">
      <c r="B168" s="75">
        <v>43014</v>
      </c>
      <c r="C168" s="38">
        <f>Emp[[#This Row],[Date]]</f>
        <v>43014</v>
      </c>
      <c r="D168" s="10">
        <f>IF(Emp[[#This Row],[Date]]="","",MONTH(Emp[[#This Row],[Date]]))</f>
        <v>10</v>
      </c>
      <c r="E168" s="64">
        <f>Emp[[#This Row],[Date]]</f>
        <v>43014</v>
      </c>
      <c r="F168" s="10">
        <f>IF(Emp[[#This Row],[Date]]="","",WEEKNUM(B168))</f>
        <v>40</v>
      </c>
      <c r="G168" s="77" t="s">
        <v>184</v>
      </c>
      <c r="H168" s="10" t="str">
        <f>IFERROR(VLOOKUP(Raw_data!$G168,Data_base!$B:$J,2,0),"")</f>
        <v>ID250117</v>
      </c>
      <c r="I168" s="10" t="str">
        <f>IFERROR(VLOOKUP(Raw_data!$G168,Data_base!$B:$J,3,0),"")</f>
        <v>Material</v>
      </c>
      <c r="J168" s="10" t="str">
        <f>IFERROR(VLOOKUP(Raw_data!$G168,Data_base!$B:$J,4,0),"")</f>
        <v>Workrer</v>
      </c>
      <c r="K168" s="13" t="str">
        <f>IFERROR(VLOOKUP(Raw_data!$G168,Data_base!$B:$J,5,0),"")</f>
        <v>M</v>
      </c>
      <c r="L168" s="13" t="str">
        <f>IFERROR(VLOOKUP(Raw_data!$G168,Data_base!$B:$J,6,0),"")</f>
        <v>Full time</v>
      </c>
      <c r="M168" s="14">
        <f>IFERROR(VLOOKUP(Raw_data!$G168,Data_base!$B:$J,7,0),"")</f>
        <v>43609</v>
      </c>
      <c r="N168" s="13">
        <f>IFERROR(VLOOKUP(Raw_data!$G168,Data_base!$B:$J,8,0),"")</f>
        <v>36</v>
      </c>
      <c r="O168" s="11">
        <f>IFERROR(VLOOKUP(Raw_data!$G168,Data_base!$B:$J,9,0),"")</f>
        <v>8956</v>
      </c>
      <c r="P168" s="78">
        <v>0</v>
      </c>
      <c r="Q168" s="78">
        <v>1</v>
      </c>
      <c r="R168" s="77">
        <v>19</v>
      </c>
      <c r="S168" s="12" t="str">
        <f>IFERROR(1-VLOOKUP(Emp[[#This Row],[Penality]],Data_base!V:W,2,FALSE),"")</f>
        <v/>
      </c>
      <c r="T168" s="12">
        <f>IFERROR(R168/VLOOKUP(D168,Data_base!S:T,2,0),"")</f>
        <v>0.86363636363636365</v>
      </c>
      <c r="U168" s="12">
        <f>IFERROR(1-Emp[[#This Row],[Activity]],"")</f>
        <v>0.13636363636363635</v>
      </c>
      <c r="V168" s="79">
        <v>0.20831228605823793</v>
      </c>
      <c r="W168" s="12">
        <f t="shared" si="2"/>
        <v>0.53597432484730079</v>
      </c>
      <c r="X168" s="78"/>
      <c r="Y168" s="12" t="str">
        <f>IFERROR(IF(Emp[[#This Row],[Increament]]="","",(Emp[[#This Row],[Increament]]/Emp[[#This Row],[Salary]])),"")</f>
        <v/>
      </c>
      <c r="Z168" s="17"/>
    </row>
    <row r="169" spans="2:26" x14ac:dyDescent="0.2">
      <c r="B169" s="75">
        <v>43460</v>
      </c>
      <c r="C169" s="38">
        <f>Emp[[#This Row],[Date]]</f>
        <v>43460</v>
      </c>
      <c r="D169" s="10">
        <f>IF(Emp[[#This Row],[Date]]="","",MONTH(Emp[[#This Row],[Date]]))</f>
        <v>12</v>
      </c>
      <c r="E169" s="64">
        <f>Emp[[#This Row],[Date]]</f>
        <v>43460</v>
      </c>
      <c r="F169" s="10">
        <f>IF(Emp[[#This Row],[Date]]="","",WEEKNUM(B169))</f>
        <v>52</v>
      </c>
      <c r="G169" s="77" t="s">
        <v>124</v>
      </c>
      <c r="H169" s="10" t="str">
        <f>IFERROR(VLOOKUP(Raw_data!$G169,Data_base!$B:$J,2,0),"")</f>
        <v>ID250057</v>
      </c>
      <c r="I169" s="10" t="str">
        <f>IFERROR(VLOOKUP(Raw_data!$G169,Data_base!$B:$J,3,0),"")</f>
        <v>Procurement</v>
      </c>
      <c r="J169" s="10" t="str">
        <f>IFERROR(VLOOKUP(Raw_data!$G169,Data_base!$B:$J,4,0),"")</f>
        <v>Staff</v>
      </c>
      <c r="K169" s="13" t="str">
        <f>IFERROR(VLOOKUP(Raw_data!$G169,Data_base!$B:$J,5,0),"")</f>
        <v>M</v>
      </c>
      <c r="L169" s="13" t="str">
        <f>IFERROR(VLOOKUP(Raw_data!$G169,Data_base!$B:$J,6,0),"")</f>
        <v>Full time</v>
      </c>
      <c r="M169" s="14">
        <f>IFERROR(VLOOKUP(Raw_data!$G169,Data_base!$B:$J,7,0),"")</f>
        <v>41229</v>
      </c>
      <c r="N169" s="13">
        <f>IFERROR(VLOOKUP(Raw_data!$G169,Data_base!$B:$J,8,0),"")</f>
        <v>32</v>
      </c>
      <c r="O169" s="11">
        <f>IFERROR(VLOOKUP(Raw_data!$G169,Data_base!$B:$J,9,0),"")</f>
        <v>9587</v>
      </c>
      <c r="P169" s="78">
        <v>3</v>
      </c>
      <c r="Q169" s="78">
        <v>5</v>
      </c>
      <c r="R169" s="77">
        <v>19</v>
      </c>
      <c r="S169" s="12">
        <f>IFERROR(1-VLOOKUP(Emp[[#This Row],[Penality]],Data_base!V:W,2,FALSE),"")</f>
        <v>0.55000000000000004</v>
      </c>
      <c r="T169" s="12">
        <f>IFERROR(R169/VLOOKUP(D169,Data_base!S:T,2,0),"")</f>
        <v>0.79166666666666663</v>
      </c>
      <c r="U169" s="12">
        <f>IFERROR(1-Emp[[#This Row],[Activity]],"")</f>
        <v>0.20833333333333337</v>
      </c>
      <c r="V169" s="79">
        <v>0.88357860073174654</v>
      </c>
      <c r="W169" s="12">
        <f t="shared" si="2"/>
        <v>0.74174842246613759</v>
      </c>
      <c r="X169" s="78"/>
      <c r="Y169" s="12" t="str">
        <f>IFERROR(IF(Emp[[#This Row],[Increament]]="","",(Emp[[#This Row],[Increament]]/Emp[[#This Row],[Salary]])),"")</f>
        <v/>
      </c>
      <c r="Z169" s="17"/>
    </row>
    <row r="170" spans="2:26" x14ac:dyDescent="0.2">
      <c r="B170" s="75">
        <v>42843</v>
      </c>
      <c r="C170" s="38">
        <f>Emp[[#This Row],[Date]]</f>
        <v>42843</v>
      </c>
      <c r="D170" s="10">
        <f>IF(Emp[[#This Row],[Date]]="","",MONTH(Emp[[#This Row],[Date]]))</f>
        <v>4</v>
      </c>
      <c r="E170" s="64">
        <f>Emp[[#This Row],[Date]]</f>
        <v>42843</v>
      </c>
      <c r="F170" s="10">
        <f>IF(Emp[[#This Row],[Date]]="","",WEEKNUM(B170))</f>
        <v>16</v>
      </c>
      <c r="G170" s="77" t="s">
        <v>312</v>
      </c>
      <c r="H170" s="10" t="str">
        <f>IFERROR(VLOOKUP(Raw_data!$G170,Data_base!$B:$J,2,0),"")</f>
        <v>ID250245</v>
      </c>
      <c r="I170" s="10" t="str">
        <f>IFERROR(VLOOKUP(Raw_data!$G170,Data_base!$B:$J,3,0),"")</f>
        <v>Planning</v>
      </c>
      <c r="J170" s="10" t="str">
        <f>IFERROR(VLOOKUP(Raw_data!$G170,Data_base!$B:$J,4,0),"")</f>
        <v>Manager</v>
      </c>
      <c r="K170" s="13" t="str">
        <f>IFERROR(VLOOKUP(Raw_data!$G170,Data_base!$B:$J,5,0),"")</f>
        <v>F</v>
      </c>
      <c r="L170" s="13" t="str">
        <f>IFERROR(VLOOKUP(Raw_data!$G170,Data_base!$B:$J,6,0),"")</f>
        <v>Part time</v>
      </c>
      <c r="M170" s="14">
        <f>IFERROR(VLOOKUP(Raw_data!$G170,Data_base!$B:$J,7,0),"")</f>
        <v>41756</v>
      </c>
      <c r="N170" s="13">
        <f>IFERROR(VLOOKUP(Raw_data!$G170,Data_base!$B:$J,8,0),"")</f>
        <v>31</v>
      </c>
      <c r="O170" s="11">
        <f>IFERROR(VLOOKUP(Raw_data!$G170,Data_base!$B:$J,9,0),"")</f>
        <v>6709</v>
      </c>
      <c r="P170" s="78">
        <v>2</v>
      </c>
      <c r="Q170" s="78">
        <v>1</v>
      </c>
      <c r="R170" s="77">
        <v>20</v>
      </c>
      <c r="S170" s="12">
        <f>IFERROR(1-VLOOKUP(Emp[[#This Row],[Penality]],Data_base!V:W,2,FALSE),"")</f>
        <v>0.7</v>
      </c>
      <c r="T170" s="12">
        <f>IFERROR(R170/VLOOKUP(D170,Data_base!S:T,2,0),"")</f>
        <v>0.83333333333333337</v>
      </c>
      <c r="U170" s="12">
        <f>IFERROR(1-Emp[[#This Row],[Activity]],"")</f>
        <v>0.16666666666666663</v>
      </c>
      <c r="V170" s="79">
        <v>0.15803738417106927</v>
      </c>
      <c r="W170" s="12">
        <f t="shared" si="2"/>
        <v>0.5637902391681342</v>
      </c>
      <c r="X170" s="78">
        <v>300</v>
      </c>
      <c r="Y170" s="12">
        <f>IFERROR(IF(Emp[[#This Row],[Increament]]="","",(Emp[[#This Row],[Increament]]/Emp[[#This Row],[Salary]])),"")</f>
        <v>4.4716053063049634E-2</v>
      </c>
      <c r="Z170" s="17"/>
    </row>
    <row r="171" spans="2:26" x14ac:dyDescent="0.2">
      <c r="B171" s="75">
        <v>43649</v>
      </c>
      <c r="C171" s="38">
        <f>Emp[[#This Row],[Date]]</f>
        <v>43649</v>
      </c>
      <c r="D171" s="10">
        <f>IF(Emp[[#This Row],[Date]]="","",MONTH(Emp[[#This Row],[Date]]))</f>
        <v>7</v>
      </c>
      <c r="E171" s="64">
        <f>Emp[[#This Row],[Date]]</f>
        <v>43649</v>
      </c>
      <c r="F171" s="10">
        <f>IF(Emp[[#This Row],[Date]]="","",WEEKNUM(B171))</f>
        <v>27</v>
      </c>
      <c r="G171" s="77" t="s">
        <v>88</v>
      </c>
      <c r="H171" s="10" t="str">
        <f>IFERROR(VLOOKUP(Raw_data!$G171,Data_base!$B:$J,2,0),"")</f>
        <v>ID250021</v>
      </c>
      <c r="I171" s="10" t="str">
        <f>IFERROR(VLOOKUP(Raw_data!$G171,Data_base!$B:$J,3,0),"")</f>
        <v>HR</v>
      </c>
      <c r="J171" s="10" t="str">
        <f>IFERROR(VLOOKUP(Raw_data!$G171,Data_base!$B:$J,4,0),"")</f>
        <v>Staff</v>
      </c>
      <c r="K171" s="13" t="str">
        <f>IFERROR(VLOOKUP(Raw_data!$G171,Data_base!$B:$J,5,0),"")</f>
        <v>M</v>
      </c>
      <c r="L171" s="13" t="str">
        <f>IFERROR(VLOOKUP(Raw_data!$G171,Data_base!$B:$J,6,0),"")</f>
        <v>Full time</v>
      </c>
      <c r="M171" s="14">
        <f>IFERROR(VLOOKUP(Raw_data!$G171,Data_base!$B:$J,7,0),"")</f>
        <v>41283</v>
      </c>
      <c r="N171" s="13">
        <f>IFERROR(VLOOKUP(Raw_data!$G171,Data_base!$B:$J,8,0),"")</f>
        <v>36</v>
      </c>
      <c r="O171" s="11">
        <f>IFERROR(VLOOKUP(Raw_data!$G171,Data_base!$B:$J,9,0),"")</f>
        <v>8039</v>
      </c>
      <c r="P171" s="78">
        <v>0</v>
      </c>
      <c r="Q171" s="78">
        <v>2</v>
      </c>
      <c r="R171" s="77">
        <v>17</v>
      </c>
      <c r="S171" s="12" t="str">
        <f>IFERROR(1-VLOOKUP(Emp[[#This Row],[Penality]],Data_base!V:W,2,FALSE),"")</f>
        <v/>
      </c>
      <c r="T171" s="12">
        <f>IFERROR(R171/VLOOKUP(D171,Data_base!S:T,2,0),"")</f>
        <v>0.77272727272727271</v>
      </c>
      <c r="U171" s="12">
        <f>IFERROR(1-Emp[[#This Row],[Activity]],"")</f>
        <v>0.22727272727272729</v>
      </c>
      <c r="V171" s="79">
        <v>0.90245249056226029</v>
      </c>
      <c r="W171" s="12">
        <f t="shared" si="2"/>
        <v>0.83758988164476644</v>
      </c>
      <c r="X171" s="78"/>
      <c r="Y171" s="12" t="str">
        <f>IFERROR(IF(Emp[[#This Row],[Increament]]="","",(Emp[[#This Row],[Increament]]/Emp[[#This Row],[Salary]])),"")</f>
        <v/>
      </c>
      <c r="Z171" s="17"/>
    </row>
    <row r="172" spans="2:26" x14ac:dyDescent="0.2">
      <c r="B172" s="75">
        <v>42711</v>
      </c>
      <c r="C172" s="38">
        <f>Emp[[#This Row],[Date]]</f>
        <v>42711</v>
      </c>
      <c r="D172" s="10">
        <f>IF(Emp[[#This Row],[Date]]="","",MONTH(Emp[[#This Row],[Date]]))</f>
        <v>12</v>
      </c>
      <c r="E172" s="64">
        <f>Emp[[#This Row],[Date]]</f>
        <v>42711</v>
      </c>
      <c r="F172" s="10">
        <f>IF(Emp[[#This Row],[Date]]="","",WEEKNUM(B172))</f>
        <v>50</v>
      </c>
      <c r="G172" s="77" t="s">
        <v>322</v>
      </c>
      <c r="H172" s="10" t="str">
        <f>IFERROR(VLOOKUP(Raw_data!$G172,Data_base!$B:$J,2,0),"")</f>
        <v>ID250255</v>
      </c>
      <c r="I172" s="10" t="str">
        <f>IFERROR(VLOOKUP(Raw_data!$G172,Data_base!$B:$J,3,0),"")</f>
        <v>Planning</v>
      </c>
      <c r="J172" s="10" t="str">
        <f>IFERROR(VLOOKUP(Raw_data!$G172,Data_base!$B:$J,4,0),"")</f>
        <v>Senior</v>
      </c>
      <c r="K172" s="13" t="str">
        <f>IFERROR(VLOOKUP(Raw_data!$G172,Data_base!$B:$J,5,0),"")</f>
        <v>M</v>
      </c>
      <c r="L172" s="13" t="str">
        <f>IFERROR(VLOOKUP(Raw_data!$G172,Data_base!$B:$J,6,0),"")</f>
        <v>Part time</v>
      </c>
      <c r="M172" s="14">
        <f>IFERROR(VLOOKUP(Raw_data!$G172,Data_base!$B:$J,7,0),"")</f>
        <v>42869</v>
      </c>
      <c r="N172" s="13">
        <f>IFERROR(VLOOKUP(Raw_data!$G172,Data_base!$B:$J,8,0),"")</f>
        <v>31</v>
      </c>
      <c r="O172" s="11">
        <f>IFERROR(VLOOKUP(Raw_data!$G172,Data_base!$B:$J,9,0),"")</f>
        <v>4784</v>
      </c>
      <c r="P172" s="78">
        <v>1</v>
      </c>
      <c r="Q172" s="78">
        <v>2</v>
      </c>
      <c r="R172" s="77">
        <v>19</v>
      </c>
      <c r="S172" s="12">
        <f>IFERROR(1-VLOOKUP(Emp[[#This Row],[Penality]],Data_base!V:W,2,FALSE),"")</f>
        <v>0.85</v>
      </c>
      <c r="T172" s="12">
        <f>IFERROR(R172/VLOOKUP(D172,Data_base!S:T,2,0),"")</f>
        <v>0.79166666666666663</v>
      </c>
      <c r="U172" s="12">
        <f>IFERROR(1-Emp[[#This Row],[Activity]],"")</f>
        <v>0.20833333333333337</v>
      </c>
      <c r="V172" s="79">
        <v>0.5517457458029934</v>
      </c>
      <c r="W172" s="12">
        <f t="shared" si="2"/>
        <v>0.73113747082322</v>
      </c>
      <c r="X172" s="78"/>
      <c r="Y172" s="12" t="str">
        <f>IFERROR(IF(Emp[[#This Row],[Increament]]="","",(Emp[[#This Row],[Increament]]/Emp[[#This Row],[Salary]])),"")</f>
        <v/>
      </c>
      <c r="Z172" s="17"/>
    </row>
    <row r="173" spans="2:26" x14ac:dyDescent="0.2">
      <c r="B173" s="75">
        <v>42582</v>
      </c>
      <c r="C173" s="38">
        <f>Emp[[#This Row],[Date]]</f>
        <v>42582</v>
      </c>
      <c r="D173" s="10">
        <f>IF(Emp[[#This Row],[Date]]="","",MONTH(Emp[[#This Row],[Date]]))</f>
        <v>7</v>
      </c>
      <c r="E173" s="64">
        <f>Emp[[#This Row],[Date]]</f>
        <v>42582</v>
      </c>
      <c r="F173" s="10">
        <f>IF(Emp[[#This Row],[Date]]="","",WEEKNUM(B173))</f>
        <v>32</v>
      </c>
      <c r="G173" s="77" t="s">
        <v>89</v>
      </c>
      <c r="H173" s="10" t="str">
        <f>IFERROR(VLOOKUP(Raw_data!$G173,Data_base!$B:$J,2,0),"")</f>
        <v>ID250022</v>
      </c>
      <c r="I173" s="10" t="str">
        <f>IFERROR(VLOOKUP(Raw_data!$G173,Data_base!$B:$J,3,0),"")</f>
        <v>Planning</v>
      </c>
      <c r="J173" s="10" t="str">
        <f>IFERROR(VLOOKUP(Raw_data!$G173,Data_base!$B:$J,4,0),"")</f>
        <v>Technician</v>
      </c>
      <c r="K173" s="13" t="str">
        <f>IFERROR(VLOOKUP(Raw_data!$G173,Data_base!$B:$J,5,0),"")</f>
        <v>F</v>
      </c>
      <c r="L173" s="13" t="str">
        <f>IFERROR(VLOOKUP(Raw_data!$G173,Data_base!$B:$J,6,0),"")</f>
        <v>Full time</v>
      </c>
      <c r="M173" s="14">
        <f>IFERROR(VLOOKUP(Raw_data!$G173,Data_base!$B:$J,7,0),"")</f>
        <v>40290</v>
      </c>
      <c r="N173" s="13">
        <f>IFERROR(VLOOKUP(Raw_data!$G173,Data_base!$B:$J,8,0),"")</f>
        <v>42</v>
      </c>
      <c r="O173" s="11">
        <f>IFERROR(VLOOKUP(Raw_data!$G173,Data_base!$B:$J,9,0),"")</f>
        <v>5167</v>
      </c>
      <c r="P173" s="78">
        <v>1</v>
      </c>
      <c r="Q173" s="78">
        <v>3</v>
      </c>
      <c r="R173" s="77">
        <v>18</v>
      </c>
      <c r="S173" s="12">
        <f>IFERROR(1-VLOOKUP(Emp[[#This Row],[Penality]],Data_base!V:W,2,FALSE),"")</f>
        <v>0.85</v>
      </c>
      <c r="T173" s="12">
        <f>IFERROR(R173/VLOOKUP(D173,Data_base!S:T,2,0),"")</f>
        <v>0.81818181818181823</v>
      </c>
      <c r="U173" s="12">
        <f>IFERROR(1-Emp[[#This Row],[Activity]],"")</f>
        <v>0.18181818181818177</v>
      </c>
      <c r="V173" s="79">
        <v>0.4799209006012124</v>
      </c>
      <c r="W173" s="12">
        <f t="shared" si="2"/>
        <v>0.71603423959434354</v>
      </c>
      <c r="X173" s="78"/>
      <c r="Y173" s="12" t="str">
        <f>IFERROR(IF(Emp[[#This Row],[Increament]]="","",(Emp[[#This Row],[Increament]]/Emp[[#This Row],[Salary]])),"")</f>
        <v/>
      </c>
      <c r="Z173" s="17"/>
    </row>
    <row r="174" spans="2:26" x14ac:dyDescent="0.2">
      <c r="B174" s="75">
        <v>42685</v>
      </c>
      <c r="C174" s="38">
        <f>Emp[[#This Row],[Date]]</f>
        <v>42685</v>
      </c>
      <c r="D174" s="10">
        <f>IF(Emp[[#This Row],[Date]]="","",MONTH(Emp[[#This Row],[Date]]))</f>
        <v>11</v>
      </c>
      <c r="E174" s="64">
        <f>Emp[[#This Row],[Date]]</f>
        <v>42685</v>
      </c>
      <c r="F174" s="10">
        <f>IF(Emp[[#This Row],[Date]]="","",WEEKNUM(B174))</f>
        <v>46</v>
      </c>
      <c r="G174" s="77" t="s">
        <v>271</v>
      </c>
      <c r="H174" s="10" t="str">
        <f>IFERROR(VLOOKUP(Raw_data!$G174,Data_base!$B:$J,2,0),"")</f>
        <v>ID250204</v>
      </c>
      <c r="I174" s="10" t="str">
        <f>IFERROR(VLOOKUP(Raw_data!$G174,Data_base!$B:$J,3,0),"")</f>
        <v>Procurement</v>
      </c>
      <c r="J174" s="10" t="str">
        <f>IFERROR(VLOOKUP(Raw_data!$G174,Data_base!$B:$J,4,0),"")</f>
        <v>Senior</v>
      </c>
      <c r="K174" s="13" t="str">
        <f>IFERROR(VLOOKUP(Raw_data!$G174,Data_base!$B:$J,5,0),"")</f>
        <v>M</v>
      </c>
      <c r="L174" s="13" t="str">
        <f>IFERROR(VLOOKUP(Raw_data!$G174,Data_base!$B:$J,6,0),"")</f>
        <v>Full time</v>
      </c>
      <c r="M174" s="14">
        <f>IFERROR(VLOOKUP(Raw_data!$G174,Data_base!$B:$J,7,0),"")</f>
        <v>42284</v>
      </c>
      <c r="N174" s="13">
        <f>IFERROR(VLOOKUP(Raw_data!$G174,Data_base!$B:$J,8,0),"")</f>
        <v>40</v>
      </c>
      <c r="O174" s="11">
        <f>IFERROR(VLOOKUP(Raw_data!$G174,Data_base!$B:$J,9,0),"")</f>
        <v>8277</v>
      </c>
      <c r="P174" s="78">
        <v>1</v>
      </c>
      <c r="Q174" s="78">
        <v>2</v>
      </c>
      <c r="R174" s="77">
        <v>20</v>
      </c>
      <c r="S174" s="12">
        <f>IFERROR(1-VLOOKUP(Emp[[#This Row],[Penality]],Data_base!V:W,2,FALSE),"")</f>
        <v>0.85</v>
      </c>
      <c r="T174" s="12">
        <f>IFERROR(R174/VLOOKUP(D174,Data_base!S:T,2,0),"")</f>
        <v>0.86956521739130432</v>
      </c>
      <c r="U174" s="12">
        <f>IFERROR(1-Emp[[#This Row],[Activity]],"")</f>
        <v>0.13043478260869568</v>
      </c>
      <c r="V174" s="79">
        <v>0.4735141599841638</v>
      </c>
      <c r="W174" s="12">
        <f t="shared" si="2"/>
        <v>0.73102645912515607</v>
      </c>
      <c r="X174" s="78"/>
      <c r="Y174" s="12" t="str">
        <f>IFERROR(IF(Emp[[#This Row],[Increament]]="","",(Emp[[#This Row],[Increament]]/Emp[[#This Row],[Salary]])),"")</f>
        <v/>
      </c>
      <c r="Z174" s="17"/>
    </row>
    <row r="175" spans="2:26" x14ac:dyDescent="0.2">
      <c r="B175" s="75">
        <v>42820</v>
      </c>
      <c r="C175" s="38">
        <f>Emp[[#This Row],[Date]]</f>
        <v>42820</v>
      </c>
      <c r="D175" s="10">
        <f>IF(Emp[[#This Row],[Date]]="","",MONTH(Emp[[#This Row],[Date]]))</f>
        <v>3</v>
      </c>
      <c r="E175" s="64">
        <f>Emp[[#This Row],[Date]]</f>
        <v>42820</v>
      </c>
      <c r="F175" s="10">
        <f>IF(Emp[[#This Row],[Date]]="","",WEEKNUM(B175))</f>
        <v>13</v>
      </c>
      <c r="G175" s="77" t="s">
        <v>231</v>
      </c>
      <c r="H175" s="10" t="str">
        <f>IFERROR(VLOOKUP(Raw_data!$G175,Data_base!$B:$J,2,0),"")</f>
        <v>ID250164</v>
      </c>
      <c r="I175" s="10" t="str">
        <f>IFERROR(VLOOKUP(Raw_data!$G175,Data_base!$B:$J,3,0),"")</f>
        <v>Material</v>
      </c>
      <c r="J175" s="10" t="str">
        <f>IFERROR(VLOOKUP(Raw_data!$G175,Data_base!$B:$J,4,0),"")</f>
        <v>Staff</v>
      </c>
      <c r="K175" s="13" t="str">
        <f>IFERROR(VLOOKUP(Raw_data!$G175,Data_base!$B:$J,5,0),"")</f>
        <v>F</v>
      </c>
      <c r="L175" s="13" t="str">
        <f>IFERROR(VLOOKUP(Raw_data!$G175,Data_base!$B:$J,6,0),"")</f>
        <v>Full time</v>
      </c>
      <c r="M175" s="14">
        <f>IFERROR(VLOOKUP(Raw_data!$G175,Data_base!$B:$J,7,0),"")</f>
        <v>43750</v>
      </c>
      <c r="N175" s="13">
        <f>IFERROR(VLOOKUP(Raw_data!$G175,Data_base!$B:$J,8,0),"")</f>
        <v>40</v>
      </c>
      <c r="O175" s="11">
        <f>IFERROR(VLOOKUP(Raw_data!$G175,Data_base!$B:$J,9,0),"")</f>
        <v>9801</v>
      </c>
      <c r="P175" s="78">
        <v>0</v>
      </c>
      <c r="Q175" s="78">
        <v>5</v>
      </c>
      <c r="R175" s="77">
        <v>20</v>
      </c>
      <c r="S175" s="12" t="str">
        <f>IFERROR(1-VLOOKUP(Emp[[#This Row],[Penality]],Data_base!V:W,2,FALSE),"")</f>
        <v/>
      </c>
      <c r="T175" s="12">
        <f>IFERROR(R175/VLOOKUP(D175,Data_base!S:T,2,0),"")</f>
        <v>0.86956521739130432</v>
      </c>
      <c r="U175" s="12">
        <f>IFERROR(1-Emp[[#This Row],[Activity]],"")</f>
        <v>0.13043478260869568</v>
      </c>
      <c r="V175" s="79">
        <v>0.8762214188314511</v>
      </c>
      <c r="W175" s="12">
        <f t="shared" si="2"/>
        <v>0.87289331811137771</v>
      </c>
      <c r="X175" s="78">
        <v>200</v>
      </c>
      <c r="Y175" s="12">
        <f>IFERROR(IF(Emp[[#This Row],[Increament]]="","",(Emp[[#This Row],[Increament]]/Emp[[#This Row],[Salary]])),"")</f>
        <v>2.0406081012141617E-2</v>
      </c>
      <c r="Z175" s="17"/>
    </row>
    <row r="176" spans="2:26" x14ac:dyDescent="0.2">
      <c r="B176" s="75">
        <v>43521</v>
      </c>
      <c r="C176" s="38">
        <f>Emp[[#This Row],[Date]]</f>
        <v>43521</v>
      </c>
      <c r="D176" s="10">
        <f>IF(Emp[[#This Row],[Date]]="","",MONTH(Emp[[#This Row],[Date]]))</f>
        <v>2</v>
      </c>
      <c r="E176" s="64">
        <f>Emp[[#This Row],[Date]]</f>
        <v>43521</v>
      </c>
      <c r="F176" s="10">
        <f>IF(Emp[[#This Row],[Date]]="","",WEEKNUM(B176))</f>
        <v>9</v>
      </c>
      <c r="G176" s="77" t="s">
        <v>160</v>
      </c>
      <c r="H176" s="10" t="str">
        <f>IFERROR(VLOOKUP(Raw_data!$G176,Data_base!$B:$J,2,0),"")</f>
        <v>ID250093</v>
      </c>
      <c r="I176" s="10" t="str">
        <f>IFERROR(VLOOKUP(Raw_data!$G176,Data_base!$B:$J,3,0),"")</f>
        <v>Procurement</v>
      </c>
      <c r="J176" s="10" t="str">
        <f>IFERROR(VLOOKUP(Raw_data!$G176,Data_base!$B:$J,4,0),"")</f>
        <v>Junior</v>
      </c>
      <c r="K176" s="13" t="str">
        <f>IFERROR(VLOOKUP(Raw_data!$G176,Data_base!$B:$J,5,0),"")</f>
        <v>F</v>
      </c>
      <c r="L176" s="13" t="str">
        <f>IFERROR(VLOOKUP(Raw_data!$G176,Data_base!$B:$J,6,0),"")</f>
        <v>Full time</v>
      </c>
      <c r="M176" s="14">
        <f>IFERROR(VLOOKUP(Raw_data!$G176,Data_base!$B:$J,7,0),"")</f>
        <v>43154</v>
      </c>
      <c r="N176" s="13">
        <f>IFERROR(VLOOKUP(Raw_data!$G176,Data_base!$B:$J,8,0),"")</f>
        <v>42</v>
      </c>
      <c r="O176" s="11">
        <f>IFERROR(VLOOKUP(Raw_data!$G176,Data_base!$B:$J,9,0),"")</f>
        <v>5510</v>
      </c>
      <c r="P176" s="78">
        <v>1</v>
      </c>
      <c r="Q176" s="78">
        <v>5</v>
      </c>
      <c r="R176" s="77">
        <v>17</v>
      </c>
      <c r="S176" s="12">
        <f>IFERROR(1-VLOOKUP(Emp[[#This Row],[Penality]],Data_base!V:W,2,FALSE),"")</f>
        <v>0.85</v>
      </c>
      <c r="T176" s="12">
        <f>IFERROR(R176/VLOOKUP(D176,Data_base!S:T,2,0),"")</f>
        <v>0.70833333333333337</v>
      </c>
      <c r="U176" s="12">
        <f>IFERROR(1-Emp[[#This Row],[Activity]],"")</f>
        <v>0.29166666666666663</v>
      </c>
      <c r="V176" s="79">
        <v>9.1615227436936286E-2</v>
      </c>
      <c r="W176" s="12">
        <f t="shared" si="2"/>
        <v>0.5499828535900898</v>
      </c>
      <c r="X176" s="78"/>
      <c r="Y176" s="12" t="str">
        <f>IFERROR(IF(Emp[[#This Row],[Increament]]="","",(Emp[[#This Row],[Increament]]/Emp[[#This Row],[Salary]])),"")</f>
        <v/>
      </c>
      <c r="Z176" s="17"/>
    </row>
    <row r="177" spans="2:26" x14ac:dyDescent="0.2">
      <c r="B177" s="75">
        <v>43052</v>
      </c>
      <c r="C177" s="38">
        <f>Emp[[#This Row],[Date]]</f>
        <v>43052</v>
      </c>
      <c r="D177" s="10">
        <f>IF(Emp[[#This Row],[Date]]="","",MONTH(Emp[[#This Row],[Date]]))</f>
        <v>11</v>
      </c>
      <c r="E177" s="64">
        <f>Emp[[#This Row],[Date]]</f>
        <v>43052</v>
      </c>
      <c r="F177" s="10">
        <f>IF(Emp[[#This Row],[Date]]="","",WEEKNUM(B177))</f>
        <v>46</v>
      </c>
      <c r="G177" s="77" t="s">
        <v>79</v>
      </c>
      <c r="H177" s="10" t="str">
        <f>IFERROR(VLOOKUP(Raw_data!$G177,Data_base!$B:$J,2,0),"")</f>
        <v>ID250012</v>
      </c>
      <c r="I177" s="10" t="str">
        <f>IFERROR(VLOOKUP(Raw_data!$G177,Data_base!$B:$J,3,0),"")</f>
        <v>Planning</v>
      </c>
      <c r="J177" s="10" t="str">
        <f>IFERROR(VLOOKUP(Raw_data!$G177,Data_base!$B:$J,4,0),"")</f>
        <v>Senior</v>
      </c>
      <c r="K177" s="13" t="str">
        <f>IFERROR(VLOOKUP(Raw_data!$G177,Data_base!$B:$J,5,0),"")</f>
        <v>F</v>
      </c>
      <c r="L177" s="13" t="str">
        <f>IFERROR(VLOOKUP(Raw_data!$G177,Data_base!$B:$J,6,0),"")</f>
        <v>Full time</v>
      </c>
      <c r="M177" s="14">
        <f>IFERROR(VLOOKUP(Raw_data!$G177,Data_base!$B:$J,7,0),"")</f>
        <v>40872</v>
      </c>
      <c r="N177" s="13">
        <f>IFERROR(VLOOKUP(Raw_data!$G177,Data_base!$B:$J,8,0),"")</f>
        <v>36</v>
      </c>
      <c r="O177" s="11">
        <f>IFERROR(VLOOKUP(Raw_data!$G177,Data_base!$B:$J,9,0),"")</f>
        <v>5351</v>
      </c>
      <c r="P177" s="78">
        <v>2</v>
      </c>
      <c r="Q177" s="78">
        <v>5</v>
      </c>
      <c r="R177" s="77">
        <v>18</v>
      </c>
      <c r="S177" s="12">
        <f>IFERROR(1-VLOOKUP(Emp[[#This Row],[Penality]],Data_base!V:W,2,FALSE),"")</f>
        <v>0.7</v>
      </c>
      <c r="T177" s="12">
        <f>IFERROR(R177/VLOOKUP(D177,Data_base!S:T,2,0),"")</f>
        <v>0.78260869565217395</v>
      </c>
      <c r="U177" s="12">
        <f>IFERROR(1-Emp[[#This Row],[Activity]],"")</f>
        <v>0.21739130434782605</v>
      </c>
      <c r="V177" s="79">
        <v>5.5926389008420507E-4</v>
      </c>
      <c r="W177" s="12">
        <f t="shared" si="2"/>
        <v>0.49438931984741935</v>
      </c>
      <c r="X177" s="78"/>
      <c r="Y177" s="12" t="str">
        <f>IFERROR(IF(Emp[[#This Row],[Increament]]="","",(Emp[[#This Row],[Increament]]/Emp[[#This Row],[Salary]])),"")</f>
        <v/>
      </c>
      <c r="Z177" s="17"/>
    </row>
    <row r="178" spans="2:26" x14ac:dyDescent="0.2">
      <c r="B178" s="75">
        <v>42385</v>
      </c>
      <c r="C178" s="38">
        <f>Emp[[#This Row],[Date]]</f>
        <v>42385</v>
      </c>
      <c r="D178" s="10">
        <f>IF(Emp[[#This Row],[Date]]="","",MONTH(Emp[[#This Row],[Date]]))</f>
        <v>1</v>
      </c>
      <c r="E178" s="64">
        <f>Emp[[#This Row],[Date]]</f>
        <v>42385</v>
      </c>
      <c r="F178" s="10">
        <f>IF(Emp[[#This Row],[Date]]="","",WEEKNUM(B178))</f>
        <v>3</v>
      </c>
      <c r="G178" s="77" t="s">
        <v>77</v>
      </c>
      <c r="H178" s="10" t="str">
        <f>IFERROR(VLOOKUP(Raw_data!$G178,Data_base!$B:$J,2,0),"")</f>
        <v>ID250010</v>
      </c>
      <c r="I178" s="10" t="str">
        <f>IFERROR(VLOOKUP(Raw_data!$G178,Data_base!$B:$J,3,0),"")</f>
        <v>Planning</v>
      </c>
      <c r="J178" s="10" t="str">
        <f>IFERROR(VLOOKUP(Raw_data!$G178,Data_base!$B:$J,4,0),"")</f>
        <v>Senior</v>
      </c>
      <c r="K178" s="13" t="str">
        <f>IFERROR(VLOOKUP(Raw_data!$G178,Data_base!$B:$J,5,0),"")</f>
        <v>M</v>
      </c>
      <c r="L178" s="13" t="str">
        <f>IFERROR(VLOOKUP(Raw_data!$G178,Data_base!$B:$J,6,0),"")</f>
        <v>Full time</v>
      </c>
      <c r="M178" s="14">
        <f>IFERROR(VLOOKUP(Raw_data!$G178,Data_base!$B:$J,7,0),"")</f>
        <v>42276</v>
      </c>
      <c r="N178" s="13">
        <f>IFERROR(VLOOKUP(Raw_data!$G178,Data_base!$B:$J,8,0),"")</f>
        <v>29</v>
      </c>
      <c r="O178" s="11">
        <f>IFERROR(VLOOKUP(Raw_data!$G178,Data_base!$B:$J,9,0),"")</f>
        <v>7016</v>
      </c>
      <c r="P178" s="78">
        <v>1</v>
      </c>
      <c r="Q178" s="78">
        <v>1</v>
      </c>
      <c r="R178" s="77">
        <v>17</v>
      </c>
      <c r="S178" s="12">
        <f>IFERROR(1-VLOOKUP(Emp[[#This Row],[Penality]],Data_base!V:W,2,FALSE),"")</f>
        <v>0.85</v>
      </c>
      <c r="T178" s="12">
        <f>IFERROR(R178/VLOOKUP(D178,Data_base!S:T,2,0),"")</f>
        <v>0.80952380952380953</v>
      </c>
      <c r="U178" s="12">
        <f>IFERROR(1-Emp[[#This Row],[Activity]],"")</f>
        <v>0.19047619047619047</v>
      </c>
      <c r="V178" s="79">
        <v>0.61013096969698066</v>
      </c>
      <c r="W178" s="12">
        <f t="shared" si="2"/>
        <v>0.75655159307359676</v>
      </c>
      <c r="X178" s="78"/>
      <c r="Y178" s="12" t="str">
        <f>IFERROR(IF(Emp[[#This Row],[Increament]]="","",(Emp[[#This Row],[Increament]]/Emp[[#This Row],[Salary]])),"")</f>
        <v/>
      </c>
      <c r="Z178" s="17"/>
    </row>
    <row r="179" spans="2:26" x14ac:dyDescent="0.2">
      <c r="B179" s="75">
        <v>43361</v>
      </c>
      <c r="C179" s="38">
        <f>Emp[[#This Row],[Date]]</f>
        <v>43361</v>
      </c>
      <c r="D179" s="10">
        <f>IF(Emp[[#This Row],[Date]]="","",MONTH(Emp[[#This Row],[Date]]))</f>
        <v>9</v>
      </c>
      <c r="E179" s="64">
        <f>Emp[[#This Row],[Date]]</f>
        <v>43361</v>
      </c>
      <c r="F179" s="10">
        <f>IF(Emp[[#This Row],[Date]]="","",WEEKNUM(B179))</f>
        <v>38</v>
      </c>
      <c r="G179" s="77" t="s">
        <v>289</v>
      </c>
      <c r="H179" s="10" t="str">
        <f>IFERROR(VLOOKUP(Raw_data!$G179,Data_base!$B:$J,2,0),"")</f>
        <v>ID250222</v>
      </c>
      <c r="I179" s="10" t="str">
        <f>IFERROR(VLOOKUP(Raw_data!$G179,Data_base!$B:$J,3,0),"")</f>
        <v>Finance</v>
      </c>
      <c r="J179" s="10" t="str">
        <f>IFERROR(VLOOKUP(Raw_data!$G179,Data_base!$B:$J,4,0),"")</f>
        <v>Workrer</v>
      </c>
      <c r="K179" s="13" t="str">
        <f>IFERROR(VLOOKUP(Raw_data!$G179,Data_base!$B:$J,5,0),"")</f>
        <v>M</v>
      </c>
      <c r="L179" s="13" t="str">
        <f>IFERROR(VLOOKUP(Raw_data!$G179,Data_base!$B:$J,6,0),"")</f>
        <v>Full time</v>
      </c>
      <c r="M179" s="14">
        <f>IFERROR(VLOOKUP(Raw_data!$G179,Data_base!$B:$J,7,0),"")</f>
        <v>40694</v>
      </c>
      <c r="N179" s="13">
        <f>IFERROR(VLOOKUP(Raw_data!$G179,Data_base!$B:$J,8,0),"")</f>
        <v>42</v>
      </c>
      <c r="O179" s="11">
        <f>IFERROR(VLOOKUP(Raw_data!$G179,Data_base!$B:$J,9,0),"")</f>
        <v>9232</v>
      </c>
      <c r="P179" s="78">
        <v>3</v>
      </c>
      <c r="Q179" s="78">
        <v>5</v>
      </c>
      <c r="R179" s="77">
        <v>17</v>
      </c>
      <c r="S179" s="12">
        <f>IFERROR(1-VLOOKUP(Emp[[#This Row],[Penality]],Data_base!V:W,2,FALSE),"")</f>
        <v>0.55000000000000004</v>
      </c>
      <c r="T179" s="12">
        <f>IFERROR(R179/VLOOKUP(D179,Data_base!S:T,2,0),"")</f>
        <v>0.70833333333333337</v>
      </c>
      <c r="U179" s="12">
        <f>IFERROR(1-Emp[[#This Row],[Activity]],"")</f>
        <v>0.29166666666666663</v>
      </c>
      <c r="V179" s="79">
        <v>5.047474710933253E-2</v>
      </c>
      <c r="W179" s="12">
        <f t="shared" si="2"/>
        <v>0.4362693601475553</v>
      </c>
      <c r="X179" s="78"/>
      <c r="Y179" s="12" t="str">
        <f>IFERROR(IF(Emp[[#This Row],[Increament]]="","",(Emp[[#This Row],[Increament]]/Emp[[#This Row],[Salary]])),"")</f>
        <v/>
      </c>
      <c r="Z179" s="17"/>
    </row>
    <row r="180" spans="2:26" x14ac:dyDescent="0.2">
      <c r="B180" s="75">
        <v>43573</v>
      </c>
      <c r="C180" s="38">
        <f>Emp[[#This Row],[Date]]</f>
        <v>43573</v>
      </c>
      <c r="D180" s="10">
        <f>IF(Emp[[#This Row],[Date]]="","",MONTH(Emp[[#This Row],[Date]]))</f>
        <v>4</v>
      </c>
      <c r="E180" s="64">
        <f>Emp[[#This Row],[Date]]</f>
        <v>43573</v>
      </c>
      <c r="F180" s="10">
        <f>IF(Emp[[#This Row],[Date]]="","",WEEKNUM(B180))</f>
        <v>16</v>
      </c>
      <c r="G180" s="77" t="s">
        <v>156</v>
      </c>
      <c r="H180" s="10" t="str">
        <f>IFERROR(VLOOKUP(Raw_data!$G180,Data_base!$B:$J,2,0),"")</f>
        <v>ID250089</v>
      </c>
      <c r="I180" s="10" t="str">
        <f>IFERROR(VLOOKUP(Raw_data!$G180,Data_base!$B:$J,3,0),"")</f>
        <v>Production</v>
      </c>
      <c r="J180" s="10" t="str">
        <f>IFERROR(VLOOKUP(Raw_data!$G180,Data_base!$B:$J,4,0),"")</f>
        <v>Senior</v>
      </c>
      <c r="K180" s="13" t="str">
        <f>IFERROR(VLOOKUP(Raw_data!$G180,Data_base!$B:$J,5,0),"")</f>
        <v>F</v>
      </c>
      <c r="L180" s="13" t="str">
        <f>IFERROR(VLOOKUP(Raw_data!$G180,Data_base!$B:$J,6,0),"")</f>
        <v>Full time</v>
      </c>
      <c r="M180" s="14">
        <f>IFERROR(VLOOKUP(Raw_data!$G180,Data_base!$B:$J,7,0),"")</f>
        <v>41494</v>
      </c>
      <c r="N180" s="13">
        <f>IFERROR(VLOOKUP(Raw_data!$G180,Data_base!$B:$J,8,0),"")</f>
        <v>33</v>
      </c>
      <c r="O180" s="11">
        <f>IFERROR(VLOOKUP(Raw_data!$G180,Data_base!$B:$J,9,0),"")</f>
        <v>9238</v>
      </c>
      <c r="P180" s="78">
        <v>1</v>
      </c>
      <c r="Q180" s="78">
        <v>2</v>
      </c>
      <c r="R180" s="77">
        <v>18</v>
      </c>
      <c r="S180" s="12">
        <f>IFERROR(1-VLOOKUP(Emp[[#This Row],[Penality]],Data_base!V:W,2,FALSE),"")</f>
        <v>0.85</v>
      </c>
      <c r="T180" s="12">
        <f>IFERROR(R180/VLOOKUP(D180,Data_base!S:T,2,0),"")</f>
        <v>0.75</v>
      </c>
      <c r="U180" s="12">
        <f>IFERROR(1-Emp[[#This Row],[Activity]],"")</f>
        <v>0.25</v>
      </c>
      <c r="V180" s="79">
        <v>0.57185679989978788</v>
      </c>
      <c r="W180" s="12">
        <f t="shared" si="2"/>
        <v>0.72395226663326262</v>
      </c>
      <c r="X180" s="78"/>
      <c r="Y180" s="12" t="str">
        <f>IFERROR(IF(Emp[[#This Row],[Increament]]="","",(Emp[[#This Row],[Increament]]/Emp[[#This Row],[Salary]])),"")</f>
        <v/>
      </c>
      <c r="Z180" s="17"/>
    </row>
    <row r="181" spans="2:26" x14ac:dyDescent="0.2">
      <c r="B181" s="75">
        <v>43622</v>
      </c>
      <c r="C181" s="38">
        <f>Emp[[#This Row],[Date]]</f>
        <v>43622</v>
      </c>
      <c r="D181" s="10">
        <f>IF(Emp[[#This Row],[Date]]="","",MONTH(Emp[[#This Row],[Date]]))</f>
        <v>6</v>
      </c>
      <c r="E181" s="64">
        <f>Emp[[#This Row],[Date]]</f>
        <v>43622</v>
      </c>
      <c r="F181" s="10">
        <f>IF(Emp[[#This Row],[Date]]="","",WEEKNUM(B181))</f>
        <v>23</v>
      </c>
      <c r="G181" s="77" t="s">
        <v>356</v>
      </c>
      <c r="H181" s="10" t="str">
        <f>IFERROR(VLOOKUP(Raw_data!$G181,Data_base!$B:$J,2,0),"")</f>
        <v>ID250289</v>
      </c>
      <c r="I181" s="10" t="str">
        <f>IFERROR(VLOOKUP(Raw_data!$G181,Data_base!$B:$J,3,0),"")</f>
        <v>Quality</v>
      </c>
      <c r="J181" s="10" t="str">
        <f>IFERROR(VLOOKUP(Raw_data!$G181,Data_base!$B:$J,4,0),"")</f>
        <v>Staff</v>
      </c>
      <c r="K181" s="13" t="str">
        <f>IFERROR(VLOOKUP(Raw_data!$G181,Data_base!$B:$J,5,0),"")</f>
        <v>F</v>
      </c>
      <c r="L181" s="13" t="str">
        <f>IFERROR(VLOOKUP(Raw_data!$G181,Data_base!$B:$J,6,0),"")</f>
        <v>Full time</v>
      </c>
      <c r="M181" s="14">
        <f>IFERROR(VLOOKUP(Raw_data!$G181,Data_base!$B:$J,7,0),"")</f>
        <v>42188</v>
      </c>
      <c r="N181" s="13">
        <f>IFERROR(VLOOKUP(Raw_data!$G181,Data_base!$B:$J,8,0),"")</f>
        <v>37</v>
      </c>
      <c r="O181" s="11">
        <f>IFERROR(VLOOKUP(Raw_data!$G181,Data_base!$B:$J,9,0),"")</f>
        <v>7179</v>
      </c>
      <c r="P181" s="78">
        <v>1</v>
      </c>
      <c r="Q181" s="78">
        <v>1</v>
      </c>
      <c r="R181" s="77">
        <v>17</v>
      </c>
      <c r="S181" s="12">
        <f>IFERROR(1-VLOOKUP(Emp[[#This Row],[Penality]],Data_base!V:W,2,FALSE),"")</f>
        <v>0.85</v>
      </c>
      <c r="T181" s="12">
        <f>IFERROR(R181/VLOOKUP(D181,Data_base!S:T,2,0),"")</f>
        <v>0.85</v>
      </c>
      <c r="U181" s="12">
        <f>IFERROR(1-Emp[[#This Row],[Activity]],"")</f>
        <v>0.15000000000000002</v>
      </c>
      <c r="V181" s="79">
        <v>0.35818430477744245</v>
      </c>
      <c r="W181" s="12">
        <f t="shared" si="2"/>
        <v>0.68606143492581417</v>
      </c>
      <c r="X181" s="78">
        <v>700</v>
      </c>
      <c r="Y181" s="12">
        <f>IFERROR(IF(Emp[[#This Row],[Increament]]="","",(Emp[[#This Row],[Increament]]/Emp[[#This Row],[Salary]])),"")</f>
        <v>9.7506616520406736E-2</v>
      </c>
      <c r="Z181" s="17"/>
    </row>
    <row r="182" spans="2:26" x14ac:dyDescent="0.2">
      <c r="B182" s="75">
        <v>42881</v>
      </c>
      <c r="C182" s="38">
        <f>Emp[[#This Row],[Date]]</f>
        <v>42881</v>
      </c>
      <c r="D182" s="10">
        <f>IF(Emp[[#This Row],[Date]]="","",MONTH(Emp[[#This Row],[Date]]))</f>
        <v>5</v>
      </c>
      <c r="E182" s="64">
        <f>Emp[[#This Row],[Date]]</f>
        <v>42881</v>
      </c>
      <c r="F182" s="10">
        <f>IF(Emp[[#This Row],[Date]]="","",WEEKNUM(B182))</f>
        <v>21</v>
      </c>
      <c r="G182" s="77" t="s">
        <v>249</v>
      </c>
      <c r="H182" s="10" t="str">
        <f>IFERROR(VLOOKUP(Raw_data!$G182,Data_base!$B:$J,2,0),"")</f>
        <v>ID250182</v>
      </c>
      <c r="I182" s="10" t="str">
        <f>IFERROR(VLOOKUP(Raw_data!$G182,Data_base!$B:$J,3,0),"")</f>
        <v>Sales</v>
      </c>
      <c r="J182" s="10" t="str">
        <f>IFERROR(VLOOKUP(Raw_data!$G182,Data_base!$B:$J,4,0),"")</f>
        <v>Manager</v>
      </c>
      <c r="K182" s="13" t="str">
        <f>IFERROR(VLOOKUP(Raw_data!$G182,Data_base!$B:$J,5,0),"")</f>
        <v>M</v>
      </c>
      <c r="L182" s="13" t="str">
        <f>IFERROR(VLOOKUP(Raw_data!$G182,Data_base!$B:$J,6,0),"")</f>
        <v>Full time</v>
      </c>
      <c r="M182" s="14">
        <f>IFERROR(VLOOKUP(Raw_data!$G182,Data_base!$B:$J,7,0),"")</f>
        <v>41260</v>
      </c>
      <c r="N182" s="13">
        <f>IFERROR(VLOOKUP(Raw_data!$G182,Data_base!$B:$J,8,0),"")</f>
        <v>38</v>
      </c>
      <c r="O182" s="11">
        <f>IFERROR(VLOOKUP(Raw_data!$G182,Data_base!$B:$J,9,0),"")</f>
        <v>6274</v>
      </c>
      <c r="P182" s="78">
        <v>3</v>
      </c>
      <c r="Q182" s="78">
        <v>4</v>
      </c>
      <c r="R182" s="77">
        <v>18</v>
      </c>
      <c r="S182" s="12">
        <f>IFERROR(1-VLOOKUP(Emp[[#This Row],[Penality]],Data_base!V:W,2,FALSE),"")</f>
        <v>0.55000000000000004</v>
      </c>
      <c r="T182" s="12">
        <f>IFERROR(R182/VLOOKUP(D182,Data_base!S:T,2,0),"")</f>
        <v>0.78260869565217395</v>
      </c>
      <c r="U182" s="12">
        <f>IFERROR(1-Emp[[#This Row],[Activity]],"")</f>
        <v>0.21739130434782605</v>
      </c>
      <c r="V182" s="79">
        <v>0.15155876329934304</v>
      </c>
      <c r="W182" s="12">
        <f t="shared" si="2"/>
        <v>0.49472248631717236</v>
      </c>
      <c r="X182" s="78"/>
      <c r="Y182" s="12" t="str">
        <f>IFERROR(IF(Emp[[#This Row],[Increament]]="","",(Emp[[#This Row],[Increament]]/Emp[[#This Row],[Salary]])),"")</f>
        <v/>
      </c>
      <c r="Z182" s="17"/>
    </row>
    <row r="183" spans="2:26" x14ac:dyDescent="0.2">
      <c r="B183" s="75">
        <v>43676</v>
      </c>
      <c r="C183" s="38">
        <f>Emp[[#This Row],[Date]]</f>
        <v>43676</v>
      </c>
      <c r="D183" s="10">
        <f>IF(Emp[[#This Row],[Date]]="","",MONTH(Emp[[#This Row],[Date]]))</f>
        <v>7</v>
      </c>
      <c r="E183" s="64">
        <f>Emp[[#This Row],[Date]]</f>
        <v>43676</v>
      </c>
      <c r="F183" s="10">
        <f>IF(Emp[[#This Row],[Date]]="","",WEEKNUM(B183))</f>
        <v>31</v>
      </c>
      <c r="G183" s="77" t="s">
        <v>106</v>
      </c>
      <c r="H183" s="10" t="str">
        <f>IFERROR(VLOOKUP(Raw_data!$G183,Data_base!$B:$J,2,0),"")</f>
        <v>ID250039</v>
      </c>
      <c r="I183" s="10" t="str">
        <f>IFERROR(VLOOKUP(Raw_data!$G183,Data_base!$B:$J,3,0),"")</f>
        <v>Material</v>
      </c>
      <c r="J183" s="10" t="str">
        <f>IFERROR(VLOOKUP(Raw_data!$G183,Data_base!$B:$J,4,0),"")</f>
        <v>Staff</v>
      </c>
      <c r="K183" s="13" t="str">
        <f>IFERROR(VLOOKUP(Raw_data!$G183,Data_base!$B:$J,5,0),"")</f>
        <v>M</v>
      </c>
      <c r="L183" s="13" t="str">
        <f>IFERROR(VLOOKUP(Raw_data!$G183,Data_base!$B:$J,6,0),"")</f>
        <v>Full time</v>
      </c>
      <c r="M183" s="14">
        <f>IFERROR(VLOOKUP(Raw_data!$G183,Data_base!$B:$J,7,0),"")</f>
        <v>42370</v>
      </c>
      <c r="N183" s="13">
        <f>IFERROR(VLOOKUP(Raw_data!$G183,Data_base!$B:$J,8,0),"")</f>
        <v>40</v>
      </c>
      <c r="O183" s="11">
        <f>IFERROR(VLOOKUP(Raw_data!$G183,Data_base!$B:$J,9,0),"")</f>
        <v>9791</v>
      </c>
      <c r="P183" s="78">
        <v>3</v>
      </c>
      <c r="Q183" s="78">
        <v>3</v>
      </c>
      <c r="R183" s="77">
        <v>19</v>
      </c>
      <c r="S183" s="12">
        <f>IFERROR(1-VLOOKUP(Emp[[#This Row],[Penality]],Data_base!V:W,2,FALSE),"")</f>
        <v>0.55000000000000004</v>
      </c>
      <c r="T183" s="12">
        <f>IFERROR(R183/VLOOKUP(D183,Data_base!S:T,2,0),"")</f>
        <v>0.86363636363636365</v>
      </c>
      <c r="U183" s="12">
        <f>IFERROR(1-Emp[[#This Row],[Activity]],"")</f>
        <v>0.13636363636363635</v>
      </c>
      <c r="V183" s="79">
        <v>0.98294574480518859</v>
      </c>
      <c r="W183" s="12">
        <f t="shared" si="2"/>
        <v>0.79886070281385069</v>
      </c>
      <c r="X183" s="78"/>
      <c r="Y183" s="12" t="str">
        <f>IFERROR(IF(Emp[[#This Row],[Increament]]="","",(Emp[[#This Row],[Increament]]/Emp[[#This Row],[Salary]])),"")</f>
        <v/>
      </c>
      <c r="Z183" s="17"/>
    </row>
    <row r="184" spans="2:26" x14ac:dyDescent="0.2">
      <c r="B184" s="75">
        <v>43808</v>
      </c>
      <c r="C184" s="38">
        <f>Emp[[#This Row],[Date]]</f>
        <v>43808</v>
      </c>
      <c r="D184" s="10">
        <f>IF(Emp[[#This Row],[Date]]="","",MONTH(Emp[[#This Row],[Date]]))</f>
        <v>12</v>
      </c>
      <c r="E184" s="64">
        <f>Emp[[#This Row],[Date]]</f>
        <v>43808</v>
      </c>
      <c r="F184" s="10">
        <f>IF(Emp[[#This Row],[Date]]="","",WEEKNUM(B184))</f>
        <v>50</v>
      </c>
      <c r="G184" s="77" t="s">
        <v>114</v>
      </c>
      <c r="H184" s="10" t="str">
        <f>IFERROR(VLOOKUP(Raw_data!$G184,Data_base!$B:$J,2,0),"")</f>
        <v>ID250047</v>
      </c>
      <c r="I184" s="10" t="str">
        <f>IFERROR(VLOOKUP(Raw_data!$G184,Data_base!$B:$J,3,0),"")</f>
        <v>Sales</v>
      </c>
      <c r="J184" s="10" t="str">
        <f>IFERROR(VLOOKUP(Raw_data!$G184,Data_base!$B:$J,4,0),"")</f>
        <v>Junior</v>
      </c>
      <c r="K184" s="13" t="str">
        <f>IFERROR(VLOOKUP(Raw_data!$G184,Data_base!$B:$J,5,0),"")</f>
        <v>F</v>
      </c>
      <c r="L184" s="13" t="str">
        <f>IFERROR(VLOOKUP(Raw_data!$G184,Data_base!$B:$J,6,0),"")</f>
        <v>Full time</v>
      </c>
      <c r="M184" s="14">
        <f>IFERROR(VLOOKUP(Raw_data!$G184,Data_base!$B:$J,7,0),"")</f>
        <v>41697</v>
      </c>
      <c r="N184" s="13">
        <f>IFERROR(VLOOKUP(Raw_data!$G184,Data_base!$B:$J,8,0),"")</f>
        <v>44</v>
      </c>
      <c r="O184" s="11">
        <f>IFERROR(VLOOKUP(Raw_data!$G184,Data_base!$B:$J,9,0),"")</f>
        <v>7924</v>
      </c>
      <c r="P184" s="78">
        <v>1</v>
      </c>
      <c r="Q184" s="78">
        <v>3</v>
      </c>
      <c r="R184" s="77">
        <v>19</v>
      </c>
      <c r="S184" s="12">
        <f>IFERROR(1-VLOOKUP(Emp[[#This Row],[Penality]],Data_base!V:W,2,FALSE),"")</f>
        <v>0.85</v>
      </c>
      <c r="T184" s="12">
        <f>IFERROR(R184/VLOOKUP(D184,Data_base!S:T,2,0),"")</f>
        <v>0.79166666666666663</v>
      </c>
      <c r="U184" s="12">
        <f>IFERROR(1-Emp[[#This Row],[Activity]],"")</f>
        <v>0.20833333333333337</v>
      </c>
      <c r="V184" s="79">
        <v>0.75754481861979062</v>
      </c>
      <c r="W184" s="12">
        <f t="shared" si="2"/>
        <v>0.79973716176215248</v>
      </c>
      <c r="X184" s="78"/>
      <c r="Y184" s="12" t="str">
        <f>IFERROR(IF(Emp[[#This Row],[Increament]]="","",(Emp[[#This Row],[Increament]]/Emp[[#This Row],[Salary]])),"")</f>
        <v/>
      </c>
      <c r="Z184" s="17"/>
    </row>
    <row r="185" spans="2:26" x14ac:dyDescent="0.2">
      <c r="B185" s="75">
        <v>43132</v>
      </c>
      <c r="C185" s="38">
        <f>Emp[[#This Row],[Date]]</f>
        <v>43132</v>
      </c>
      <c r="D185" s="10">
        <f>IF(Emp[[#This Row],[Date]]="","",MONTH(Emp[[#This Row],[Date]]))</f>
        <v>2</v>
      </c>
      <c r="E185" s="64">
        <f>Emp[[#This Row],[Date]]</f>
        <v>43132</v>
      </c>
      <c r="F185" s="10">
        <f>IF(Emp[[#This Row],[Date]]="","",WEEKNUM(B185))</f>
        <v>5</v>
      </c>
      <c r="G185" s="77" t="s">
        <v>100</v>
      </c>
      <c r="H185" s="10" t="str">
        <f>IFERROR(VLOOKUP(Raw_data!$G185,Data_base!$B:$J,2,0),"")</f>
        <v>ID250033</v>
      </c>
      <c r="I185" s="10" t="str">
        <f>IFERROR(VLOOKUP(Raw_data!$G185,Data_base!$B:$J,3,0),"")</f>
        <v>HR</v>
      </c>
      <c r="J185" s="10" t="str">
        <f>IFERROR(VLOOKUP(Raw_data!$G185,Data_base!$B:$J,4,0),"")</f>
        <v>Workrer</v>
      </c>
      <c r="K185" s="13" t="str">
        <f>IFERROR(VLOOKUP(Raw_data!$G185,Data_base!$B:$J,5,0),"")</f>
        <v>F</v>
      </c>
      <c r="L185" s="13" t="str">
        <f>IFERROR(VLOOKUP(Raw_data!$G185,Data_base!$B:$J,6,0),"")</f>
        <v>Full time</v>
      </c>
      <c r="M185" s="14">
        <f>IFERROR(VLOOKUP(Raw_data!$G185,Data_base!$B:$J,7,0),"")</f>
        <v>41759</v>
      </c>
      <c r="N185" s="13">
        <f>IFERROR(VLOOKUP(Raw_data!$G185,Data_base!$B:$J,8,0),"")</f>
        <v>31</v>
      </c>
      <c r="O185" s="11">
        <f>IFERROR(VLOOKUP(Raw_data!$G185,Data_base!$B:$J,9,0),"")</f>
        <v>6587</v>
      </c>
      <c r="P185" s="78">
        <v>1</v>
      </c>
      <c r="Q185" s="78">
        <v>2</v>
      </c>
      <c r="R185" s="77">
        <v>18</v>
      </c>
      <c r="S185" s="12">
        <f>IFERROR(1-VLOOKUP(Emp[[#This Row],[Penality]],Data_base!V:W,2,FALSE),"")</f>
        <v>0.85</v>
      </c>
      <c r="T185" s="12">
        <f>IFERROR(R185/VLOOKUP(D185,Data_base!S:T,2,0),"")</f>
        <v>0.75</v>
      </c>
      <c r="U185" s="12">
        <f>IFERROR(1-Emp[[#This Row],[Activity]],"")</f>
        <v>0.25</v>
      </c>
      <c r="V185" s="79">
        <v>0.55861724513794875</v>
      </c>
      <c r="W185" s="12">
        <f t="shared" si="2"/>
        <v>0.71953908171264958</v>
      </c>
      <c r="X185" s="78"/>
      <c r="Y185" s="12" t="str">
        <f>IFERROR(IF(Emp[[#This Row],[Increament]]="","",(Emp[[#This Row],[Increament]]/Emp[[#This Row],[Salary]])),"")</f>
        <v/>
      </c>
      <c r="Z185" s="17"/>
    </row>
    <row r="186" spans="2:26" x14ac:dyDescent="0.2">
      <c r="B186" s="75">
        <v>43791</v>
      </c>
      <c r="C186" s="38">
        <f>Emp[[#This Row],[Date]]</f>
        <v>43791</v>
      </c>
      <c r="D186" s="10">
        <f>IF(Emp[[#This Row],[Date]]="","",MONTH(Emp[[#This Row],[Date]]))</f>
        <v>11</v>
      </c>
      <c r="E186" s="64">
        <f>Emp[[#This Row],[Date]]</f>
        <v>43791</v>
      </c>
      <c r="F186" s="10">
        <f>IF(Emp[[#This Row],[Date]]="","",WEEKNUM(B186))</f>
        <v>47</v>
      </c>
      <c r="G186" s="77" t="s">
        <v>88</v>
      </c>
      <c r="H186" s="10" t="str">
        <f>IFERROR(VLOOKUP(Raw_data!$G186,Data_base!$B:$J,2,0),"")</f>
        <v>ID250021</v>
      </c>
      <c r="I186" s="10" t="str">
        <f>IFERROR(VLOOKUP(Raw_data!$G186,Data_base!$B:$J,3,0),"")</f>
        <v>HR</v>
      </c>
      <c r="J186" s="10" t="str">
        <f>IFERROR(VLOOKUP(Raw_data!$G186,Data_base!$B:$J,4,0),"")</f>
        <v>Staff</v>
      </c>
      <c r="K186" s="13" t="str">
        <f>IFERROR(VLOOKUP(Raw_data!$G186,Data_base!$B:$J,5,0),"")</f>
        <v>M</v>
      </c>
      <c r="L186" s="13" t="str">
        <f>IFERROR(VLOOKUP(Raw_data!$G186,Data_base!$B:$J,6,0),"")</f>
        <v>Full time</v>
      </c>
      <c r="M186" s="14">
        <f>IFERROR(VLOOKUP(Raw_data!$G186,Data_base!$B:$J,7,0),"")</f>
        <v>41283</v>
      </c>
      <c r="N186" s="13">
        <f>IFERROR(VLOOKUP(Raw_data!$G186,Data_base!$B:$J,8,0),"")</f>
        <v>36</v>
      </c>
      <c r="O186" s="11">
        <f>IFERROR(VLOOKUP(Raw_data!$G186,Data_base!$B:$J,9,0),"")</f>
        <v>8039</v>
      </c>
      <c r="P186" s="78">
        <v>1</v>
      </c>
      <c r="Q186" s="78">
        <v>4</v>
      </c>
      <c r="R186" s="77">
        <v>18</v>
      </c>
      <c r="S186" s="12">
        <f>IFERROR(1-VLOOKUP(Emp[[#This Row],[Penality]],Data_base!V:W,2,FALSE),"")</f>
        <v>0.85</v>
      </c>
      <c r="T186" s="12">
        <f>IFERROR(R186/VLOOKUP(D186,Data_base!S:T,2,0),"")</f>
        <v>0.78260869565217395</v>
      </c>
      <c r="U186" s="12">
        <f>IFERROR(1-Emp[[#This Row],[Activity]],"")</f>
        <v>0.21739130434782605</v>
      </c>
      <c r="V186" s="79">
        <v>0.76746113778802483</v>
      </c>
      <c r="W186" s="12">
        <f t="shared" si="2"/>
        <v>0.80002327781339966</v>
      </c>
      <c r="X186" s="78">
        <v>1000</v>
      </c>
      <c r="Y186" s="12">
        <f>IFERROR(IF(Emp[[#This Row],[Increament]]="","",(Emp[[#This Row],[Increament]]/Emp[[#This Row],[Salary]])),"")</f>
        <v>0.12439358129120537</v>
      </c>
      <c r="Z186" s="17"/>
    </row>
    <row r="187" spans="2:26" x14ac:dyDescent="0.2">
      <c r="B187" s="75">
        <v>42516</v>
      </c>
      <c r="C187" s="38">
        <f>Emp[[#This Row],[Date]]</f>
        <v>42516</v>
      </c>
      <c r="D187" s="10">
        <f>IF(Emp[[#This Row],[Date]]="","",MONTH(Emp[[#This Row],[Date]]))</f>
        <v>5</v>
      </c>
      <c r="E187" s="64">
        <f>Emp[[#This Row],[Date]]</f>
        <v>42516</v>
      </c>
      <c r="F187" s="10">
        <f>IF(Emp[[#This Row],[Date]]="","",WEEKNUM(B187))</f>
        <v>22</v>
      </c>
      <c r="G187" s="77" t="s">
        <v>307</v>
      </c>
      <c r="H187" s="10" t="str">
        <f>IFERROR(VLOOKUP(Raw_data!$G187,Data_base!$B:$J,2,0),"")</f>
        <v>ID250240</v>
      </c>
      <c r="I187" s="10" t="str">
        <f>IFERROR(VLOOKUP(Raw_data!$G187,Data_base!$B:$J,3,0),"")</f>
        <v>HR</v>
      </c>
      <c r="J187" s="10" t="str">
        <f>IFERROR(VLOOKUP(Raw_data!$G187,Data_base!$B:$J,4,0),"")</f>
        <v>Junior</v>
      </c>
      <c r="K187" s="13" t="str">
        <f>IFERROR(VLOOKUP(Raw_data!$G187,Data_base!$B:$J,5,0),"")</f>
        <v>F</v>
      </c>
      <c r="L187" s="13" t="str">
        <f>IFERROR(VLOOKUP(Raw_data!$G187,Data_base!$B:$J,6,0),"")</f>
        <v>Full time</v>
      </c>
      <c r="M187" s="14">
        <f>IFERROR(VLOOKUP(Raw_data!$G187,Data_base!$B:$J,7,0),"")</f>
        <v>40982</v>
      </c>
      <c r="N187" s="13">
        <f>IFERROR(VLOOKUP(Raw_data!$G187,Data_base!$B:$J,8,0),"")</f>
        <v>29</v>
      </c>
      <c r="O187" s="11">
        <f>IFERROR(VLOOKUP(Raw_data!$G187,Data_base!$B:$J,9,0),"")</f>
        <v>7834</v>
      </c>
      <c r="P187" s="78">
        <v>1</v>
      </c>
      <c r="Q187" s="78">
        <v>5</v>
      </c>
      <c r="R187" s="77">
        <v>20</v>
      </c>
      <c r="S187" s="12">
        <f>IFERROR(1-VLOOKUP(Emp[[#This Row],[Penality]],Data_base!V:W,2,FALSE),"")</f>
        <v>0.85</v>
      </c>
      <c r="T187" s="12">
        <f>IFERROR(R187/VLOOKUP(D187,Data_base!S:T,2,0),"")</f>
        <v>0.86956521739130432</v>
      </c>
      <c r="U187" s="12">
        <f>IFERROR(1-Emp[[#This Row],[Activity]],"")</f>
        <v>0.13043478260869568</v>
      </c>
      <c r="V187" s="79">
        <v>0.55893384288328618</v>
      </c>
      <c r="W187" s="12">
        <f t="shared" si="2"/>
        <v>0.7594996867581969</v>
      </c>
      <c r="X187" s="78">
        <v>200</v>
      </c>
      <c r="Y187" s="12">
        <f>IFERROR(IF(Emp[[#This Row],[Increament]]="","",(Emp[[#This Row],[Increament]]/Emp[[#This Row],[Salary]])),"")</f>
        <v>2.5529742149604288E-2</v>
      </c>
      <c r="Z187" s="17"/>
    </row>
    <row r="188" spans="2:26" x14ac:dyDescent="0.2">
      <c r="B188" s="75">
        <v>43220</v>
      </c>
      <c r="C188" s="38">
        <f>Emp[[#This Row],[Date]]</f>
        <v>43220</v>
      </c>
      <c r="D188" s="10">
        <f>IF(Emp[[#This Row],[Date]]="","",MONTH(Emp[[#This Row],[Date]]))</f>
        <v>4</v>
      </c>
      <c r="E188" s="64">
        <f>Emp[[#This Row],[Date]]</f>
        <v>43220</v>
      </c>
      <c r="F188" s="10">
        <f>IF(Emp[[#This Row],[Date]]="","",WEEKNUM(B188))</f>
        <v>18</v>
      </c>
      <c r="G188" s="77" t="s">
        <v>73</v>
      </c>
      <c r="H188" s="10" t="str">
        <f>IFERROR(VLOOKUP(Raw_data!$G188,Data_base!$B:$J,2,0),"")</f>
        <v>ID250006</v>
      </c>
      <c r="I188" s="10" t="str">
        <f>IFERROR(VLOOKUP(Raw_data!$G188,Data_base!$B:$J,3,0),"")</f>
        <v>Planning</v>
      </c>
      <c r="J188" s="10" t="str">
        <f>IFERROR(VLOOKUP(Raw_data!$G188,Data_base!$B:$J,4,0),"")</f>
        <v>Workrer</v>
      </c>
      <c r="K188" s="13" t="str">
        <f>IFERROR(VLOOKUP(Raw_data!$G188,Data_base!$B:$J,5,0),"")</f>
        <v>F</v>
      </c>
      <c r="L188" s="13" t="str">
        <f>IFERROR(VLOOKUP(Raw_data!$G188,Data_base!$B:$J,6,0),"")</f>
        <v>Part time</v>
      </c>
      <c r="M188" s="14">
        <f>IFERROR(VLOOKUP(Raw_data!$G188,Data_base!$B:$J,7,0),"")</f>
        <v>42383</v>
      </c>
      <c r="N188" s="13">
        <f>IFERROR(VLOOKUP(Raw_data!$G188,Data_base!$B:$J,8,0),"")</f>
        <v>38</v>
      </c>
      <c r="O188" s="11">
        <f>IFERROR(VLOOKUP(Raw_data!$G188,Data_base!$B:$J,9,0),"")</f>
        <v>7033</v>
      </c>
      <c r="P188" s="78">
        <v>2</v>
      </c>
      <c r="Q188" s="78">
        <v>2</v>
      </c>
      <c r="R188" s="77">
        <v>17</v>
      </c>
      <c r="S188" s="12">
        <f>IFERROR(1-VLOOKUP(Emp[[#This Row],[Penality]],Data_base!V:W,2,FALSE),"")</f>
        <v>0.7</v>
      </c>
      <c r="T188" s="12">
        <f>IFERROR(R188/VLOOKUP(D188,Data_base!S:T,2,0),"")</f>
        <v>0.70833333333333337</v>
      </c>
      <c r="U188" s="12">
        <f>IFERROR(1-Emp[[#This Row],[Activity]],"")</f>
        <v>0.29166666666666663</v>
      </c>
      <c r="V188" s="79">
        <v>0.29013506762497554</v>
      </c>
      <c r="W188" s="12">
        <f t="shared" si="2"/>
        <v>0.56615613365276962</v>
      </c>
      <c r="X188" s="78"/>
      <c r="Y188" s="12" t="str">
        <f>IFERROR(IF(Emp[[#This Row],[Increament]]="","",(Emp[[#This Row],[Increament]]/Emp[[#This Row],[Salary]])),"")</f>
        <v/>
      </c>
      <c r="Z188" s="17"/>
    </row>
    <row r="189" spans="2:26" x14ac:dyDescent="0.2">
      <c r="B189" s="75">
        <v>43519</v>
      </c>
      <c r="C189" s="38">
        <f>Emp[[#This Row],[Date]]</f>
        <v>43519</v>
      </c>
      <c r="D189" s="10">
        <f>IF(Emp[[#This Row],[Date]]="","",MONTH(Emp[[#This Row],[Date]]))</f>
        <v>2</v>
      </c>
      <c r="E189" s="64">
        <f>Emp[[#This Row],[Date]]</f>
        <v>43519</v>
      </c>
      <c r="F189" s="10">
        <f>IF(Emp[[#This Row],[Date]]="","",WEEKNUM(B189))</f>
        <v>8</v>
      </c>
      <c r="G189" s="77" t="s">
        <v>287</v>
      </c>
      <c r="H189" s="10" t="str">
        <f>IFERROR(VLOOKUP(Raw_data!$G189,Data_base!$B:$J,2,0),"")</f>
        <v>ID250220</v>
      </c>
      <c r="I189" s="10" t="str">
        <f>IFERROR(VLOOKUP(Raw_data!$G189,Data_base!$B:$J,3,0),"")</f>
        <v>Sales</v>
      </c>
      <c r="J189" s="10" t="str">
        <f>IFERROR(VLOOKUP(Raw_data!$G189,Data_base!$B:$J,4,0),"")</f>
        <v>Technician</v>
      </c>
      <c r="K189" s="13" t="str">
        <f>IFERROR(VLOOKUP(Raw_data!$G189,Data_base!$B:$J,5,0),"")</f>
        <v>F</v>
      </c>
      <c r="L189" s="13" t="str">
        <f>IFERROR(VLOOKUP(Raw_data!$G189,Data_base!$B:$J,6,0),"")</f>
        <v>Full time</v>
      </c>
      <c r="M189" s="14">
        <f>IFERROR(VLOOKUP(Raw_data!$G189,Data_base!$B:$J,7,0),"")</f>
        <v>42965</v>
      </c>
      <c r="N189" s="13">
        <f>IFERROR(VLOOKUP(Raw_data!$G189,Data_base!$B:$J,8,0),"")</f>
        <v>29</v>
      </c>
      <c r="O189" s="11">
        <f>IFERROR(VLOOKUP(Raw_data!$G189,Data_base!$B:$J,9,0),"")</f>
        <v>5767</v>
      </c>
      <c r="P189" s="78">
        <v>0</v>
      </c>
      <c r="Q189" s="78">
        <v>2</v>
      </c>
      <c r="R189" s="77">
        <v>20</v>
      </c>
      <c r="S189" s="12" t="str">
        <f>IFERROR(1-VLOOKUP(Emp[[#This Row],[Penality]],Data_base!V:W,2,FALSE),"")</f>
        <v/>
      </c>
      <c r="T189" s="12">
        <f>IFERROR(R189/VLOOKUP(D189,Data_base!S:T,2,0),"")</f>
        <v>0.83333333333333337</v>
      </c>
      <c r="U189" s="12">
        <f>IFERROR(1-Emp[[#This Row],[Activity]],"")</f>
        <v>0.16666666666666663</v>
      </c>
      <c r="V189" s="79">
        <v>0.12182983722293228</v>
      </c>
      <c r="W189" s="12">
        <f t="shared" si="2"/>
        <v>0.47758158527813283</v>
      </c>
      <c r="X189" s="78"/>
      <c r="Y189" s="12" t="str">
        <f>IFERROR(IF(Emp[[#This Row],[Increament]]="","",(Emp[[#This Row],[Increament]]/Emp[[#This Row],[Salary]])),"")</f>
        <v/>
      </c>
      <c r="Z189" s="17"/>
    </row>
    <row r="190" spans="2:26" x14ac:dyDescent="0.2">
      <c r="B190" s="75">
        <v>43389</v>
      </c>
      <c r="C190" s="38">
        <f>Emp[[#This Row],[Date]]</f>
        <v>43389</v>
      </c>
      <c r="D190" s="10">
        <f>IF(Emp[[#This Row],[Date]]="","",MONTH(Emp[[#This Row],[Date]]))</f>
        <v>10</v>
      </c>
      <c r="E190" s="64">
        <f>Emp[[#This Row],[Date]]</f>
        <v>43389</v>
      </c>
      <c r="F190" s="10">
        <f>IF(Emp[[#This Row],[Date]]="","",WEEKNUM(B190))</f>
        <v>42</v>
      </c>
      <c r="G190" s="77" t="s">
        <v>100</v>
      </c>
      <c r="H190" s="10" t="str">
        <f>IFERROR(VLOOKUP(Raw_data!$G190,Data_base!$B:$J,2,0),"")</f>
        <v>ID250033</v>
      </c>
      <c r="I190" s="10" t="str">
        <f>IFERROR(VLOOKUP(Raw_data!$G190,Data_base!$B:$J,3,0),"")</f>
        <v>HR</v>
      </c>
      <c r="J190" s="10" t="str">
        <f>IFERROR(VLOOKUP(Raw_data!$G190,Data_base!$B:$J,4,0),"")</f>
        <v>Workrer</v>
      </c>
      <c r="K190" s="13" t="str">
        <f>IFERROR(VLOOKUP(Raw_data!$G190,Data_base!$B:$J,5,0),"")</f>
        <v>F</v>
      </c>
      <c r="L190" s="13" t="str">
        <f>IFERROR(VLOOKUP(Raw_data!$G190,Data_base!$B:$J,6,0),"")</f>
        <v>Full time</v>
      </c>
      <c r="M190" s="14">
        <f>IFERROR(VLOOKUP(Raw_data!$G190,Data_base!$B:$J,7,0),"")</f>
        <v>41759</v>
      </c>
      <c r="N190" s="13">
        <f>IFERROR(VLOOKUP(Raw_data!$G190,Data_base!$B:$J,8,0),"")</f>
        <v>31</v>
      </c>
      <c r="O190" s="11">
        <f>IFERROR(VLOOKUP(Raw_data!$G190,Data_base!$B:$J,9,0),"")</f>
        <v>6587</v>
      </c>
      <c r="P190" s="78">
        <v>3</v>
      </c>
      <c r="Q190" s="78">
        <v>3</v>
      </c>
      <c r="R190" s="77">
        <v>17</v>
      </c>
      <c r="S190" s="12">
        <f>IFERROR(1-VLOOKUP(Emp[[#This Row],[Penality]],Data_base!V:W,2,FALSE),"")</f>
        <v>0.55000000000000004</v>
      </c>
      <c r="T190" s="12">
        <f>IFERROR(R190/VLOOKUP(D190,Data_base!S:T,2,0),"")</f>
        <v>0.77272727272727271</v>
      </c>
      <c r="U190" s="12">
        <f>IFERROR(1-Emp[[#This Row],[Activity]],"")</f>
        <v>0.22727272727272729</v>
      </c>
      <c r="V190" s="79">
        <v>8.2517749649015815E-2</v>
      </c>
      <c r="W190" s="12">
        <f t="shared" si="2"/>
        <v>0.46841500745876291</v>
      </c>
      <c r="X190" s="78"/>
      <c r="Y190" s="12" t="str">
        <f>IFERROR(IF(Emp[[#This Row],[Increament]]="","",(Emp[[#This Row],[Increament]]/Emp[[#This Row],[Salary]])),"")</f>
        <v/>
      </c>
      <c r="Z190" s="17"/>
    </row>
    <row r="191" spans="2:26" x14ac:dyDescent="0.2">
      <c r="B191" s="75">
        <v>42634</v>
      </c>
      <c r="C191" s="38">
        <f>Emp[[#This Row],[Date]]</f>
        <v>42634</v>
      </c>
      <c r="D191" s="10">
        <f>IF(Emp[[#This Row],[Date]]="","",MONTH(Emp[[#This Row],[Date]]))</f>
        <v>9</v>
      </c>
      <c r="E191" s="64">
        <f>Emp[[#This Row],[Date]]</f>
        <v>42634</v>
      </c>
      <c r="F191" s="10">
        <f>IF(Emp[[#This Row],[Date]]="","",WEEKNUM(B191))</f>
        <v>39</v>
      </c>
      <c r="G191" s="77" t="s">
        <v>130</v>
      </c>
      <c r="H191" s="10" t="str">
        <f>IFERROR(VLOOKUP(Raw_data!$G191,Data_base!$B:$J,2,0),"")</f>
        <v>ID250063</v>
      </c>
      <c r="I191" s="10" t="str">
        <f>IFERROR(VLOOKUP(Raw_data!$G191,Data_base!$B:$J,3,0),"")</f>
        <v>HR</v>
      </c>
      <c r="J191" s="10" t="str">
        <f>IFERROR(VLOOKUP(Raw_data!$G191,Data_base!$B:$J,4,0),"")</f>
        <v>Technician</v>
      </c>
      <c r="K191" s="13" t="str">
        <f>IFERROR(VLOOKUP(Raw_data!$G191,Data_base!$B:$J,5,0),"")</f>
        <v>F</v>
      </c>
      <c r="L191" s="13" t="str">
        <f>IFERROR(VLOOKUP(Raw_data!$G191,Data_base!$B:$J,6,0),"")</f>
        <v>Part time</v>
      </c>
      <c r="M191" s="14">
        <f>IFERROR(VLOOKUP(Raw_data!$G191,Data_base!$B:$J,7,0),"")</f>
        <v>43579</v>
      </c>
      <c r="N191" s="13">
        <f>IFERROR(VLOOKUP(Raw_data!$G191,Data_base!$B:$J,8,0),"")</f>
        <v>41</v>
      </c>
      <c r="O191" s="11">
        <f>IFERROR(VLOOKUP(Raw_data!$G191,Data_base!$B:$J,9,0),"")</f>
        <v>7401</v>
      </c>
      <c r="P191" s="78">
        <v>0</v>
      </c>
      <c r="Q191" s="78">
        <v>4</v>
      </c>
      <c r="R191" s="77">
        <v>20</v>
      </c>
      <c r="S191" s="12" t="str">
        <f>IFERROR(1-VLOOKUP(Emp[[#This Row],[Penality]],Data_base!V:W,2,FALSE),"")</f>
        <v/>
      </c>
      <c r="T191" s="12">
        <f>IFERROR(R191/VLOOKUP(D191,Data_base!S:T,2,0),"")</f>
        <v>0.83333333333333337</v>
      </c>
      <c r="U191" s="12">
        <f>IFERROR(1-Emp[[#This Row],[Activity]],"")</f>
        <v>0.16666666666666663</v>
      </c>
      <c r="V191" s="79">
        <v>0.82479846107656618</v>
      </c>
      <c r="W191" s="12">
        <f t="shared" si="2"/>
        <v>0.82906589720494983</v>
      </c>
      <c r="X191" s="78"/>
      <c r="Y191" s="12" t="str">
        <f>IFERROR(IF(Emp[[#This Row],[Increament]]="","",(Emp[[#This Row],[Increament]]/Emp[[#This Row],[Salary]])),"")</f>
        <v/>
      </c>
      <c r="Z191" s="17"/>
    </row>
    <row r="192" spans="2:26" x14ac:dyDescent="0.2">
      <c r="B192" s="75">
        <v>43449</v>
      </c>
      <c r="C192" s="38">
        <f>Emp[[#This Row],[Date]]</f>
        <v>43449</v>
      </c>
      <c r="D192" s="10">
        <f>IF(Emp[[#This Row],[Date]]="","",MONTH(Emp[[#This Row],[Date]]))</f>
        <v>12</v>
      </c>
      <c r="E192" s="64">
        <f>Emp[[#This Row],[Date]]</f>
        <v>43449</v>
      </c>
      <c r="F192" s="10">
        <f>IF(Emp[[#This Row],[Date]]="","",WEEKNUM(B192))</f>
        <v>50</v>
      </c>
      <c r="G192" s="77" t="s">
        <v>327</v>
      </c>
      <c r="H192" s="10" t="str">
        <f>IFERROR(VLOOKUP(Raw_data!$G192,Data_base!$B:$J,2,0),"")</f>
        <v>ID250260</v>
      </c>
      <c r="I192" s="10" t="str">
        <f>IFERROR(VLOOKUP(Raw_data!$G192,Data_base!$B:$J,3,0),"")</f>
        <v>HR</v>
      </c>
      <c r="J192" s="10" t="str">
        <f>IFERROR(VLOOKUP(Raw_data!$G192,Data_base!$B:$J,4,0),"")</f>
        <v>Technician</v>
      </c>
      <c r="K192" s="13" t="str">
        <f>IFERROR(VLOOKUP(Raw_data!$G192,Data_base!$B:$J,5,0),"")</f>
        <v>F</v>
      </c>
      <c r="L192" s="13" t="str">
        <f>IFERROR(VLOOKUP(Raw_data!$G192,Data_base!$B:$J,6,0),"")</f>
        <v>Part time</v>
      </c>
      <c r="M192" s="14">
        <f>IFERROR(VLOOKUP(Raw_data!$G192,Data_base!$B:$J,7,0),"")</f>
        <v>40463</v>
      </c>
      <c r="N192" s="13">
        <f>IFERROR(VLOOKUP(Raw_data!$G192,Data_base!$B:$J,8,0),"")</f>
        <v>39</v>
      </c>
      <c r="O192" s="11">
        <f>IFERROR(VLOOKUP(Raw_data!$G192,Data_base!$B:$J,9,0),"")</f>
        <v>8237</v>
      </c>
      <c r="P192" s="78">
        <v>0</v>
      </c>
      <c r="Q192" s="78">
        <v>2</v>
      </c>
      <c r="R192" s="77">
        <v>20</v>
      </c>
      <c r="S192" s="12" t="str">
        <f>IFERROR(1-VLOOKUP(Emp[[#This Row],[Penality]],Data_base!V:W,2,FALSE),"")</f>
        <v/>
      </c>
      <c r="T192" s="12">
        <f>IFERROR(R192/VLOOKUP(D192,Data_base!S:T,2,0),"")</f>
        <v>0.83333333333333337</v>
      </c>
      <c r="U192" s="12">
        <f>IFERROR(1-Emp[[#This Row],[Activity]],"")</f>
        <v>0.16666666666666663</v>
      </c>
      <c r="V192" s="79">
        <v>0.42197398905972117</v>
      </c>
      <c r="W192" s="12">
        <f t="shared" si="2"/>
        <v>0.62765366119652732</v>
      </c>
      <c r="X192" s="78"/>
      <c r="Y192" s="12" t="str">
        <f>IFERROR(IF(Emp[[#This Row],[Increament]]="","",(Emp[[#This Row],[Increament]]/Emp[[#This Row],[Salary]])),"")</f>
        <v/>
      </c>
      <c r="Z192" s="17"/>
    </row>
    <row r="193" spans="2:26" x14ac:dyDescent="0.2">
      <c r="B193" s="75">
        <v>42734</v>
      </c>
      <c r="C193" s="38">
        <f>Emp[[#This Row],[Date]]</f>
        <v>42734</v>
      </c>
      <c r="D193" s="10">
        <f>IF(Emp[[#This Row],[Date]]="","",MONTH(Emp[[#This Row],[Date]]))</f>
        <v>12</v>
      </c>
      <c r="E193" s="64">
        <f>Emp[[#This Row],[Date]]</f>
        <v>42734</v>
      </c>
      <c r="F193" s="10">
        <f>IF(Emp[[#This Row],[Date]]="","",WEEKNUM(B193))</f>
        <v>53</v>
      </c>
      <c r="G193" s="77" t="s">
        <v>125</v>
      </c>
      <c r="H193" s="10" t="str">
        <f>IFERROR(VLOOKUP(Raw_data!$G193,Data_base!$B:$J,2,0),"")</f>
        <v>ID250058</v>
      </c>
      <c r="I193" s="10" t="str">
        <f>IFERROR(VLOOKUP(Raw_data!$G193,Data_base!$B:$J,3,0),"")</f>
        <v>Quality</v>
      </c>
      <c r="J193" s="10" t="str">
        <f>IFERROR(VLOOKUP(Raw_data!$G193,Data_base!$B:$J,4,0),"")</f>
        <v>Workrer</v>
      </c>
      <c r="K193" s="13" t="str">
        <f>IFERROR(VLOOKUP(Raw_data!$G193,Data_base!$B:$J,5,0),"")</f>
        <v>F</v>
      </c>
      <c r="L193" s="13" t="str">
        <f>IFERROR(VLOOKUP(Raw_data!$G193,Data_base!$B:$J,6,0),"")</f>
        <v>Part time</v>
      </c>
      <c r="M193" s="14">
        <f>IFERROR(VLOOKUP(Raw_data!$G193,Data_base!$B:$J,7,0),"")</f>
        <v>41419</v>
      </c>
      <c r="N193" s="13">
        <f>IFERROR(VLOOKUP(Raw_data!$G193,Data_base!$B:$J,8,0),"")</f>
        <v>29</v>
      </c>
      <c r="O193" s="11">
        <f>IFERROR(VLOOKUP(Raw_data!$G193,Data_base!$B:$J,9,0),"")</f>
        <v>9050</v>
      </c>
      <c r="P193" s="78">
        <v>1</v>
      </c>
      <c r="Q193" s="78">
        <v>1</v>
      </c>
      <c r="R193" s="77">
        <v>20</v>
      </c>
      <c r="S193" s="12">
        <f>IFERROR(1-VLOOKUP(Emp[[#This Row],[Penality]],Data_base!V:W,2,FALSE),"")</f>
        <v>0.85</v>
      </c>
      <c r="T193" s="12">
        <f>IFERROR(R193/VLOOKUP(D193,Data_base!S:T,2,0),"")</f>
        <v>0.83333333333333337</v>
      </c>
      <c r="U193" s="12">
        <f>IFERROR(1-Emp[[#This Row],[Activity]],"")</f>
        <v>0.16666666666666663</v>
      </c>
      <c r="V193" s="79">
        <v>0.47995110585788214</v>
      </c>
      <c r="W193" s="12">
        <f t="shared" si="2"/>
        <v>0.72109481306373846</v>
      </c>
      <c r="X193" s="78">
        <v>500</v>
      </c>
      <c r="Y193" s="12">
        <f>IFERROR(IF(Emp[[#This Row],[Increament]]="","",(Emp[[#This Row],[Increament]]/Emp[[#This Row],[Salary]])),"")</f>
        <v>5.5248618784530384E-2</v>
      </c>
      <c r="Z193" s="17"/>
    </row>
    <row r="194" spans="2:26" x14ac:dyDescent="0.2">
      <c r="B194" s="75">
        <v>43004</v>
      </c>
      <c r="C194" s="38">
        <f>Emp[[#This Row],[Date]]</f>
        <v>43004</v>
      </c>
      <c r="D194" s="10">
        <f>IF(Emp[[#This Row],[Date]]="","",MONTH(Emp[[#This Row],[Date]]))</f>
        <v>9</v>
      </c>
      <c r="E194" s="64">
        <f>Emp[[#This Row],[Date]]</f>
        <v>43004</v>
      </c>
      <c r="F194" s="10">
        <f>IF(Emp[[#This Row],[Date]]="","",WEEKNUM(B194))</f>
        <v>39</v>
      </c>
      <c r="G194" s="77" t="s">
        <v>136</v>
      </c>
      <c r="H194" s="10" t="str">
        <f>IFERROR(VLOOKUP(Raw_data!$G194,Data_base!$B:$J,2,0),"")</f>
        <v>ID250069</v>
      </c>
      <c r="I194" s="10" t="str">
        <f>IFERROR(VLOOKUP(Raw_data!$G194,Data_base!$B:$J,3,0),"")</f>
        <v>Procurement</v>
      </c>
      <c r="J194" s="10" t="str">
        <f>IFERROR(VLOOKUP(Raw_data!$G194,Data_base!$B:$J,4,0),"")</f>
        <v>Junior</v>
      </c>
      <c r="K194" s="13" t="str">
        <f>IFERROR(VLOOKUP(Raw_data!$G194,Data_base!$B:$J,5,0),"")</f>
        <v>F</v>
      </c>
      <c r="L194" s="13" t="str">
        <f>IFERROR(VLOOKUP(Raw_data!$G194,Data_base!$B:$J,6,0),"")</f>
        <v>Part time</v>
      </c>
      <c r="M194" s="14">
        <f>IFERROR(VLOOKUP(Raw_data!$G194,Data_base!$B:$J,7,0),"")</f>
        <v>42087</v>
      </c>
      <c r="N194" s="13">
        <f>IFERROR(VLOOKUP(Raw_data!$G194,Data_base!$B:$J,8,0),"")</f>
        <v>29</v>
      </c>
      <c r="O194" s="11">
        <f>IFERROR(VLOOKUP(Raw_data!$G194,Data_base!$B:$J,9,0),"")</f>
        <v>6988</v>
      </c>
      <c r="P194" s="78">
        <v>0</v>
      </c>
      <c r="Q194" s="78">
        <v>4</v>
      </c>
      <c r="R194" s="77">
        <v>20</v>
      </c>
      <c r="S194" s="12" t="str">
        <f>IFERROR(1-VLOOKUP(Emp[[#This Row],[Penality]],Data_base!V:W,2,FALSE),"")</f>
        <v/>
      </c>
      <c r="T194" s="12">
        <f>IFERROR(R194/VLOOKUP(D194,Data_base!S:T,2,0),"")</f>
        <v>0.83333333333333337</v>
      </c>
      <c r="U194" s="12">
        <f>IFERROR(1-Emp[[#This Row],[Activity]],"")</f>
        <v>0.16666666666666663</v>
      </c>
      <c r="V194" s="79">
        <v>0.73504790812600762</v>
      </c>
      <c r="W194" s="12">
        <f t="shared" si="2"/>
        <v>0.7841906207296705</v>
      </c>
      <c r="X194" s="78"/>
      <c r="Y194" s="12" t="str">
        <f>IFERROR(IF(Emp[[#This Row],[Increament]]="","",(Emp[[#This Row],[Increament]]/Emp[[#This Row],[Salary]])),"")</f>
        <v/>
      </c>
      <c r="Z194" s="17"/>
    </row>
    <row r="195" spans="2:26" x14ac:dyDescent="0.2">
      <c r="B195" s="75">
        <v>43149</v>
      </c>
      <c r="C195" s="38">
        <f>Emp[[#This Row],[Date]]</f>
        <v>43149</v>
      </c>
      <c r="D195" s="10">
        <f>IF(Emp[[#This Row],[Date]]="","",MONTH(Emp[[#This Row],[Date]]))</f>
        <v>2</v>
      </c>
      <c r="E195" s="64">
        <f>Emp[[#This Row],[Date]]</f>
        <v>43149</v>
      </c>
      <c r="F195" s="10">
        <f>IF(Emp[[#This Row],[Date]]="","",WEEKNUM(B195))</f>
        <v>8</v>
      </c>
      <c r="G195" s="77" t="s">
        <v>215</v>
      </c>
      <c r="H195" s="10" t="str">
        <f>IFERROR(VLOOKUP(Raw_data!$G195,Data_base!$B:$J,2,0),"")</f>
        <v>ID250148</v>
      </c>
      <c r="I195" s="10" t="str">
        <f>IFERROR(VLOOKUP(Raw_data!$G195,Data_base!$B:$J,3,0),"")</f>
        <v>Finance</v>
      </c>
      <c r="J195" s="10" t="str">
        <f>IFERROR(VLOOKUP(Raw_data!$G195,Data_base!$B:$J,4,0),"")</f>
        <v>Staff</v>
      </c>
      <c r="K195" s="13" t="str">
        <f>IFERROR(VLOOKUP(Raw_data!$G195,Data_base!$B:$J,5,0),"")</f>
        <v>M</v>
      </c>
      <c r="L195" s="13" t="str">
        <f>IFERROR(VLOOKUP(Raw_data!$G195,Data_base!$B:$J,6,0),"")</f>
        <v>Full time</v>
      </c>
      <c r="M195" s="14">
        <f>IFERROR(VLOOKUP(Raw_data!$G195,Data_base!$B:$J,7,0),"")</f>
        <v>40937</v>
      </c>
      <c r="N195" s="13">
        <f>IFERROR(VLOOKUP(Raw_data!$G195,Data_base!$B:$J,8,0),"")</f>
        <v>43</v>
      </c>
      <c r="O195" s="11">
        <f>IFERROR(VLOOKUP(Raw_data!$G195,Data_base!$B:$J,9,0),"")</f>
        <v>5440</v>
      </c>
      <c r="P195" s="78">
        <v>3</v>
      </c>
      <c r="Q195" s="78">
        <v>1</v>
      </c>
      <c r="R195" s="77">
        <v>19</v>
      </c>
      <c r="S195" s="12">
        <f>IFERROR(1-VLOOKUP(Emp[[#This Row],[Penality]],Data_base!V:W,2,FALSE),"")</f>
        <v>0.55000000000000004</v>
      </c>
      <c r="T195" s="12">
        <f>IFERROR(R195/VLOOKUP(D195,Data_base!S:T,2,0),"")</f>
        <v>0.79166666666666663</v>
      </c>
      <c r="U195" s="12">
        <f>IFERROR(1-Emp[[#This Row],[Activity]],"")</f>
        <v>0.20833333333333337</v>
      </c>
      <c r="V195" s="79">
        <v>0.38107309840780434</v>
      </c>
      <c r="W195" s="12">
        <f t="shared" ref="W195:W224" si="3">AVERAGE(V195,T195,S195)</f>
        <v>0.57424658835815701</v>
      </c>
      <c r="X195" s="78"/>
      <c r="Y195" s="12" t="str">
        <f>IFERROR(IF(Emp[[#This Row],[Increament]]="","",(Emp[[#This Row],[Increament]]/Emp[[#This Row],[Salary]])),"")</f>
        <v/>
      </c>
      <c r="Z195" s="17"/>
    </row>
    <row r="196" spans="2:26" x14ac:dyDescent="0.2">
      <c r="B196" s="75">
        <v>42599</v>
      </c>
      <c r="C196" s="38">
        <f>Emp[[#This Row],[Date]]</f>
        <v>42599</v>
      </c>
      <c r="D196" s="10">
        <f>IF(Emp[[#This Row],[Date]]="","",MONTH(Emp[[#This Row],[Date]]))</f>
        <v>8</v>
      </c>
      <c r="E196" s="64">
        <f>Emp[[#This Row],[Date]]</f>
        <v>42599</v>
      </c>
      <c r="F196" s="10">
        <f>IF(Emp[[#This Row],[Date]]="","",WEEKNUM(B196))</f>
        <v>34</v>
      </c>
      <c r="G196" s="77" t="s">
        <v>116</v>
      </c>
      <c r="H196" s="10" t="str">
        <f>IFERROR(VLOOKUP(Raw_data!$G196,Data_base!$B:$J,2,0),"")</f>
        <v>ID250049</v>
      </c>
      <c r="I196" s="10" t="str">
        <f>IFERROR(VLOOKUP(Raw_data!$G196,Data_base!$B:$J,3,0),"")</f>
        <v>Production</v>
      </c>
      <c r="J196" s="10" t="str">
        <f>IFERROR(VLOOKUP(Raw_data!$G196,Data_base!$B:$J,4,0),"")</f>
        <v>Technician</v>
      </c>
      <c r="K196" s="13" t="str">
        <f>IFERROR(VLOOKUP(Raw_data!$G196,Data_base!$B:$J,5,0),"")</f>
        <v>F</v>
      </c>
      <c r="L196" s="13" t="str">
        <f>IFERROR(VLOOKUP(Raw_data!$G196,Data_base!$B:$J,6,0),"")</f>
        <v>Full time</v>
      </c>
      <c r="M196" s="14">
        <f>IFERROR(VLOOKUP(Raw_data!$G196,Data_base!$B:$J,7,0),"")</f>
        <v>42797</v>
      </c>
      <c r="N196" s="13">
        <f>IFERROR(VLOOKUP(Raw_data!$G196,Data_base!$B:$J,8,0),"")</f>
        <v>30</v>
      </c>
      <c r="O196" s="11">
        <f>IFERROR(VLOOKUP(Raw_data!$G196,Data_base!$B:$J,9,0),"")</f>
        <v>5755</v>
      </c>
      <c r="P196" s="78">
        <v>2</v>
      </c>
      <c r="Q196" s="78">
        <v>3</v>
      </c>
      <c r="R196" s="77">
        <v>20</v>
      </c>
      <c r="S196" s="12">
        <f>IFERROR(1-VLOOKUP(Emp[[#This Row],[Penality]],Data_base!V:W,2,FALSE),"")</f>
        <v>0.7</v>
      </c>
      <c r="T196" s="12">
        <f>IFERROR(R196/VLOOKUP(D196,Data_base!S:T,2,0),"")</f>
        <v>1</v>
      </c>
      <c r="U196" s="12">
        <f>IFERROR(1-Emp[[#This Row],[Activity]],"")</f>
        <v>0</v>
      </c>
      <c r="V196" s="79">
        <v>1.4658864896941015E-2</v>
      </c>
      <c r="W196" s="12">
        <f t="shared" si="3"/>
        <v>0.57155295496564695</v>
      </c>
      <c r="X196" s="78"/>
      <c r="Y196" s="12" t="str">
        <f>IFERROR(IF(Emp[[#This Row],[Increament]]="","",(Emp[[#This Row],[Increament]]/Emp[[#This Row],[Salary]])),"")</f>
        <v/>
      </c>
      <c r="Z196" s="17"/>
    </row>
    <row r="197" spans="2:26" x14ac:dyDescent="0.2">
      <c r="B197" s="75">
        <v>42939</v>
      </c>
      <c r="C197" s="38">
        <f>Emp[[#This Row],[Date]]</f>
        <v>42939</v>
      </c>
      <c r="D197" s="10">
        <f>IF(Emp[[#This Row],[Date]]="","",MONTH(Emp[[#This Row],[Date]]))</f>
        <v>7</v>
      </c>
      <c r="E197" s="64">
        <f>Emp[[#This Row],[Date]]</f>
        <v>42939</v>
      </c>
      <c r="F197" s="10">
        <f>IF(Emp[[#This Row],[Date]]="","",WEEKNUM(B197))</f>
        <v>30</v>
      </c>
      <c r="G197" s="77" t="s">
        <v>264</v>
      </c>
      <c r="H197" s="10" t="str">
        <f>IFERROR(VLOOKUP(Raw_data!$G197,Data_base!$B:$J,2,0),"")</f>
        <v>ID250197</v>
      </c>
      <c r="I197" s="10" t="str">
        <f>IFERROR(VLOOKUP(Raw_data!$G197,Data_base!$B:$J,3,0),"")</f>
        <v>Planning</v>
      </c>
      <c r="J197" s="10" t="str">
        <f>IFERROR(VLOOKUP(Raw_data!$G197,Data_base!$B:$J,4,0),"")</f>
        <v>Technician</v>
      </c>
      <c r="K197" s="13" t="str">
        <f>IFERROR(VLOOKUP(Raw_data!$G197,Data_base!$B:$J,5,0),"")</f>
        <v>F</v>
      </c>
      <c r="L197" s="13" t="str">
        <f>IFERROR(VLOOKUP(Raw_data!$G197,Data_base!$B:$J,6,0),"")</f>
        <v>Full time</v>
      </c>
      <c r="M197" s="14">
        <f>IFERROR(VLOOKUP(Raw_data!$G197,Data_base!$B:$J,7,0),"")</f>
        <v>42818</v>
      </c>
      <c r="N197" s="13">
        <f>IFERROR(VLOOKUP(Raw_data!$G197,Data_base!$B:$J,8,0),"")</f>
        <v>37</v>
      </c>
      <c r="O197" s="11">
        <f>IFERROR(VLOOKUP(Raw_data!$G197,Data_base!$B:$J,9,0),"")</f>
        <v>5119</v>
      </c>
      <c r="P197" s="78">
        <v>0</v>
      </c>
      <c r="Q197" s="78">
        <v>5</v>
      </c>
      <c r="R197" s="77">
        <v>18</v>
      </c>
      <c r="S197" s="12" t="str">
        <f>IFERROR(1-VLOOKUP(Emp[[#This Row],[Penality]],Data_base!V:W,2,FALSE),"")</f>
        <v/>
      </c>
      <c r="T197" s="12">
        <f>IFERROR(R197/VLOOKUP(D197,Data_base!S:T,2,0),"")</f>
        <v>0.81818181818181823</v>
      </c>
      <c r="U197" s="12">
        <f>IFERROR(1-Emp[[#This Row],[Activity]],"")</f>
        <v>0.18181818181818177</v>
      </c>
      <c r="V197" s="79">
        <v>0.70466589833236093</v>
      </c>
      <c r="W197" s="12">
        <f t="shared" si="3"/>
        <v>0.76142385825708958</v>
      </c>
      <c r="X197" s="78"/>
      <c r="Y197" s="12" t="str">
        <f>IFERROR(IF(Emp[[#This Row],[Increament]]="","",(Emp[[#This Row],[Increament]]/Emp[[#This Row],[Salary]])),"")</f>
        <v/>
      </c>
      <c r="Z197" s="17"/>
    </row>
    <row r="198" spans="2:26" x14ac:dyDescent="0.2">
      <c r="B198" s="75">
        <v>43525</v>
      </c>
      <c r="C198" s="38">
        <f>Emp[[#This Row],[Date]]</f>
        <v>43525</v>
      </c>
      <c r="D198" s="10">
        <f>IF(Emp[[#This Row],[Date]]="","",MONTH(Emp[[#This Row],[Date]]))</f>
        <v>3</v>
      </c>
      <c r="E198" s="64">
        <f>Emp[[#This Row],[Date]]</f>
        <v>43525</v>
      </c>
      <c r="F198" s="10">
        <f>IF(Emp[[#This Row],[Date]]="","",WEEKNUM(B198))</f>
        <v>9</v>
      </c>
      <c r="G198" s="77" t="s">
        <v>177</v>
      </c>
      <c r="H198" s="10" t="str">
        <f>IFERROR(VLOOKUP(Raw_data!$G198,Data_base!$B:$J,2,0),"")</f>
        <v>ID250110</v>
      </c>
      <c r="I198" s="10" t="str">
        <f>IFERROR(VLOOKUP(Raw_data!$G198,Data_base!$B:$J,3,0),"")</f>
        <v>Production</v>
      </c>
      <c r="J198" s="10" t="str">
        <f>IFERROR(VLOOKUP(Raw_data!$G198,Data_base!$B:$J,4,0),"")</f>
        <v>Junior</v>
      </c>
      <c r="K198" s="13" t="str">
        <f>IFERROR(VLOOKUP(Raw_data!$G198,Data_base!$B:$J,5,0),"")</f>
        <v>M</v>
      </c>
      <c r="L198" s="13" t="str">
        <f>IFERROR(VLOOKUP(Raw_data!$G198,Data_base!$B:$J,6,0),"")</f>
        <v>Part time</v>
      </c>
      <c r="M198" s="14">
        <f>IFERROR(VLOOKUP(Raw_data!$G198,Data_base!$B:$J,7,0),"")</f>
        <v>42116</v>
      </c>
      <c r="N198" s="13">
        <f>IFERROR(VLOOKUP(Raw_data!$G198,Data_base!$B:$J,8,0),"")</f>
        <v>33</v>
      </c>
      <c r="O198" s="11">
        <f>IFERROR(VLOOKUP(Raw_data!$G198,Data_base!$B:$J,9,0),"")</f>
        <v>6885</v>
      </c>
      <c r="P198" s="78">
        <v>1</v>
      </c>
      <c r="Q198" s="78">
        <v>4</v>
      </c>
      <c r="R198" s="77">
        <v>19</v>
      </c>
      <c r="S198" s="12">
        <f>IFERROR(1-VLOOKUP(Emp[[#This Row],[Penality]],Data_base!V:W,2,FALSE),"")</f>
        <v>0.85</v>
      </c>
      <c r="T198" s="12">
        <f>IFERROR(R198/VLOOKUP(D198,Data_base!S:T,2,0),"")</f>
        <v>0.82608695652173914</v>
      </c>
      <c r="U198" s="12">
        <f>IFERROR(1-Emp[[#This Row],[Activity]],"")</f>
        <v>0.17391304347826086</v>
      </c>
      <c r="V198" s="79">
        <v>0.77062264552913651</v>
      </c>
      <c r="W198" s="12">
        <f t="shared" si="3"/>
        <v>0.81556986735029191</v>
      </c>
      <c r="X198" s="78"/>
      <c r="Y198" s="12" t="str">
        <f>IFERROR(IF(Emp[[#This Row],[Increament]]="","",(Emp[[#This Row],[Increament]]/Emp[[#This Row],[Salary]])),"")</f>
        <v/>
      </c>
      <c r="Z198" s="17"/>
    </row>
    <row r="199" spans="2:26" x14ac:dyDescent="0.2">
      <c r="B199" s="75">
        <v>42685</v>
      </c>
      <c r="C199" s="38">
        <f>Emp[[#This Row],[Date]]</f>
        <v>42685</v>
      </c>
      <c r="D199" s="10">
        <f>IF(Emp[[#This Row],[Date]]="","",MONTH(Emp[[#This Row],[Date]]))</f>
        <v>11</v>
      </c>
      <c r="E199" s="64">
        <f>Emp[[#This Row],[Date]]</f>
        <v>42685</v>
      </c>
      <c r="F199" s="10">
        <f>IF(Emp[[#This Row],[Date]]="","",WEEKNUM(B199))</f>
        <v>46</v>
      </c>
      <c r="G199" s="77" t="s">
        <v>209</v>
      </c>
      <c r="H199" s="10" t="str">
        <f>IFERROR(VLOOKUP(Raw_data!$G199,Data_base!$B:$J,2,0),"")</f>
        <v>ID250142</v>
      </c>
      <c r="I199" s="10" t="str">
        <f>IFERROR(VLOOKUP(Raw_data!$G199,Data_base!$B:$J,3,0),"")</f>
        <v>Material</v>
      </c>
      <c r="J199" s="10" t="str">
        <f>IFERROR(VLOOKUP(Raw_data!$G199,Data_base!$B:$J,4,0),"")</f>
        <v>Junior</v>
      </c>
      <c r="K199" s="13" t="str">
        <f>IFERROR(VLOOKUP(Raw_data!$G199,Data_base!$B:$J,5,0),"")</f>
        <v>F</v>
      </c>
      <c r="L199" s="13" t="str">
        <f>IFERROR(VLOOKUP(Raw_data!$G199,Data_base!$B:$J,6,0),"")</f>
        <v>Full time</v>
      </c>
      <c r="M199" s="14">
        <f>IFERROR(VLOOKUP(Raw_data!$G199,Data_base!$B:$J,7,0),"")</f>
        <v>43742</v>
      </c>
      <c r="N199" s="13">
        <f>IFERROR(VLOOKUP(Raw_data!$G199,Data_base!$B:$J,8,0),"")</f>
        <v>44</v>
      </c>
      <c r="O199" s="11">
        <f>IFERROR(VLOOKUP(Raw_data!$G199,Data_base!$B:$J,9,0),"")</f>
        <v>5196</v>
      </c>
      <c r="P199" s="78">
        <v>0</v>
      </c>
      <c r="Q199" s="78">
        <v>4</v>
      </c>
      <c r="R199" s="77">
        <v>19</v>
      </c>
      <c r="S199" s="12" t="str">
        <f>IFERROR(1-VLOOKUP(Emp[[#This Row],[Penality]],Data_base!V:W,2,FALSE),"")</f>
        <v/>
      </c>
      <c r="T199" s="12">
        <f>IFERROR(R199/VLOOKUP(D199,Data_base!S:T,2,0),"")</f>
        <v>0.82608695652173914</v>
      </c>
      <c r="U199" s="12">
        <f>IFERROR(1-Emp[[#This Row],[Activity]],"")</f>
        <v>0.17391304347826086</v>
      </c>
      <c r="V199" s="79">
        <v>0.63092557796827287</v>
      </c>
      <c r="W199" s="12">
        <f t="shared" si="3"/>
        <v>0.728506267245006</v>
      </c>
      <c r="X199" s="78">
        <v>400</v>
      </c>
      <c r="Y199" s="12">
        <f>IFERROR(IF(Emp[[#This Row],[Increament]]="","",(Emp[[#This Row],[Increament]]/Emp[[#This Row],[Salary]])),"")</f>
        <v>7.6982294072363358E-2</v>
      </c>
      <c r="Z199" s="17"/>
    </row>
    <row r="200" spans="2:26" x14ac:dyDescent="0.2">
      <c r="B200" s="75">
        <v>43698</v>
      </c>
      <c r="C200" s="38">
        <f>Emp[[#This Row],[Date]]</f>
        <v>43698</v>
      </c>
      <c r="D200" s="10">
        <f>IF(Emp[[#This Row],[Date]]="","",MONTH(Emp[[#This Row],[Date]]))</f>
        <v>8</v>
      </c>
      <c r="E200" s="64">
        <f>Emp[[#This Row],[Date]]</f>
        <v>43698</v>
      </c>
      <c r="F200" s="10">
        <f>IF(Emp[[#This Row],[Date]]="","",WEEKNUM(B200))</f>
        <v>34</v>
      </c>
      <c r="G200" s="77" t="s">
        <v>108</v>
      </c>
      <c r="H200" s="10" t="str">
        <f>IFERROR(VLOOKUP(Raw_data!$G200,Data_base!$B:$J,2,0),"")</f>
        <v>ID250041</v>
      </c>
      <c r="I200" s="10" t="str">
        <f>IFERROR(VLOOKUP(Raw_data!$G200,Data_base!$B:$J,3,0),"")</f>
        <v>Production</v>
      </c>
      <c r="J200" s="10" t="str">
        <f>IFERROR(VLOOKUP(Raw_data!$G200,Data_base!$B:$J,4,0),"")</f>
        <v>Workrer</v>
      </c>
      <c r="K200" s="13" t="str">
        <f>IFERROR(VLOOKUP(Raw_data!$G200,Data_base!$B:$J,5,0),"")</f>
        <v>M</v>
      </c>
      <c r="L200" s="13" t="str">
        <f>IFERROR(VLOOKUP(Raw_data!$G200,Data_base!$B:$J,6,0),"")</f>
        <v>Part time</v>
      </c>
      <c r="M200" s="14">
        <f>IFERROR(VLOOKUP(Raw_data!$G200,Data_base!$B:$J,7,0),"")</f>
        <v>41712</v>
      </c>
      <c r="N200" s="13">
        <f>IFERROR(VLOOKUP(Raw_data!$G200,Data_base!$B:$J,8,0),"")</f>
        <v>43</v>
      </c>
      <c r="O200" s="11">
        <f>IFERROR(VLOOKUP(Raw_data!$G200,Data_base!$B:$J,9,0),"")</f>
        <v>7244</v>
      </c>
      <c r="P200" s="78">
        <v>1</v>
      </c>
      <c r="Q200" s="78">
        <v>1</v>
      </c>
      <c r="R200" s="77">
        <v>19</v>
      </c>
      <c r="S200" s="12">
        <f>IFERROR(1-VLOOKUP(Emp[[#This Row],[Penality]],Data_base!V:W,2,FALSE),"")</f>
        <v>0.85</v>
      </c>
      <c r="T200" s="12">
        <f>IFERROR(R200/VLOOKUP(D200,Data_base!S:T,2,0),"")</f>
        <v>0.95</v>
      </c>
      <c r="U200" s="12">
        <f>IFERROR(1-Emp[[#This Row],[Activity]],"")</f>
        <v>5.0000000000000044E-2</v>
      </c>
      <c r="V200" s="79">
        <v>3.8547608568931357E-2</v>
      </c>
      <c r="W200" s="12">
        <f t="shared" si="3"/>
        <v>0.6128492028563105</v>
      </c>
      <c r="X200" s="78"/>
      <c r="Y200" s="12" t="str">
        <f>IFERROR(IF(Emp[[#This Row],[Increament]]="","",(Emp[[#This Row],[Increament]]/Emp[[#This Row],[Salary]])),"")</f>
        <v/>
      </c>
      <c r="Z200" s="17"/>
    </row>
    <row r="201" spans="2:26" x14ac:dyDescent="0.2">
      <c r="B201" s="75">
        <v>43780</v>
      </c>
      <c r="C201" s="38">
        <f>Emp[[#This Row],[Date]]</f>
        <v>43780</v>
      </c>
      <c r="D201" s="10">
        <f>IF(Emp[[#This Row],[Date]]="","",MONTH(Emp[[#This Row],[Date]]))</f>
        <v>11</v>
      </c>
      <c r="E201" s="64">
        <f>Emp[[#This Row],[Date]]</f>
        <v>43780</v>
      </c>
      <c r="F201" s="10">
        <f>IF(Emp[[#This Row],[Date]]="","",WEEKNUM(B201))</f>
        <v>46</v>
      </c>
      <c r="G201" s="77" t="s">
        <v>281</v>
      </c>
      <c r="H201" s="10" t="str">
        <f>IFERROR(VLOOKUP(Raw_data!$G201,Data_base!$B:$J,2,0),"")</f>
        <v>ID250214</v>
      </c>
      <c r="I201" s="10" t="str">
        <f>IFERROR(VLOOKUP(Raw_data!$G201,Data_base!$B:$J,3,0),"")</f>
        <v>Quality</v>
      </c>
      <c r="J201" s="10" t="str">
        <f>IFERROR(VLOOKUP(Raw_data!$G201,Data_base!$B:$J,4,0),"")</f>
        <v>Workrer</v>
      </c>
      <c r="K201" s="13" t="str">
        <f>IFERROR(VLOOKUP(Raw_data!$G201,Data_base!$B:$J,5,0),"")</f>
        <v>M</v>
      </c>
      <c r="L201" s="13" t="str">
        <f>IFERROR(VLOOKUP(Raw_data!$G201,Data_base!$B:$J,6,0),"")</f>
        <v>Full time</v>
      </c>
      <c r="M201" s="14">
        <f>IFERROR(VLOOKUP(Raw_data!$G201,Data_base!$B:$J,7,0),"")</f>
        <v>43564</v>
      </c>
      <c r="N201" s="13">
        <f>IFERROR(VLOOKUP(Raw_data!$G201,Data_base!$B:$J,8,0),"")</f>
        <v>37</v>
      </c>
      <c r="O201" s="11">
        <f>IFERROR(VLOOKUP(Raw_data!$G201,Data_base!$B:$J,9,0),"")</f>
        <v>9291</v>
      </c>
      <c r="P201" s="78">
        <v>0</v>
      </c>
      <c r="Q201" s="78">
        <v>2</v>
      </c>
      <c r="R201" s="77">
        <v>17</v>
      </c>
      <c r="S201" s="12" t="str">
        <f>IFERROR(1-VLOOKUP(Emp[[#This Row],[Penality]],Data_base!V:W,2,FALSE),"")</f>
        <v/>
      </c>
      <c r="T201" s="12">
        <f>IFERROR(R201/VLOOKUP(D201,Data_base!S:T,2,0),"")</f>
        <v>0.73913043478260865</v>
      </c>
      <c r="U201" s="12">
        <f>IFERROR(1-Emp[[#This Row],[Activity]],"")</f>
        <v>0.26086956521739135</v>
      </c>
      <c r="V201" s="79">
        <v>0.88586676408889087</v>
      </c>
      <c r="W201" s="12">
        <f t="shared" si="3"/>
        <v>0.81249859943574976</v>
      </c>
      <c r="X201" s="78">
        <v>200</v>
      </c>
      <c r="Y201" s="12">
        <f>IFERROR(IF(Emp[[#This Row],[Increament]]="","",(Emp[[#This Row],[Increament]]/Emp[[#This Row],[Salary]])),"")</f>
        <v>2.1526208158432893E-2</v>
      </c>
      <c r="Z201" s="17"/>
    </row>
    <row r="202" spans="2:26" x14ac:dyDescent="0.2">
      <c r="B202" s="75">
        <v>42801</v>
      </c>
      <c r="C202" s="38">
        <f>Emp[[#This Row],[Date]]</f>
        <v>42801</v>
      </c>
      <c r="D202" s="10">
        <f>IF(Emp[[#This Row],[Date]]="","",MONTH(Emp[[#This Row],[Date]]))</f>
        <v>3</v>
      </c>
      <c r="E202" s="64">
        <f>Emp[[#This Row],[Date]]</f>
        <v>42801</v>
      </c>
      <c r="F202" s="10">
        <f>IF(Emp[[#This Row],[Date]]="","",WEEKNUM(B202))</f>
        <v>10</v>
      </c>
      <c r="G202" s="77" t="s">
        <v>209</v>
      </c>
      <c r="H202" s="10" t="str">
        <f>IFERROR(VLOOKUP(Raw_data!$G202,Data_base!$B:$J,2,0),"")</f>
        <v>ID250142</v>
      </c>
      <c r="I202" s="10" t="str">
        <f>IFERROR(VLOOKUP(Raw_data!$G202,Data_base!$B:$J,3,0),"")</f>
        <v>Material</v>
      </c>
      <c r="J202" s="10" t="str">
        <f>IFERROR(VLOOKUP(Raw_data!$G202,Data_base!$B:$J,4,0),"")</f>
        <v>Junior</v>
      </c>
      <c r="K202" s="13" t="str">
        <f>IFERROR(VLOOKUP(Raw_data!$G202,Data_base!$B:$J,5,0),"")</f>
        <v>F</v>
      </c>
      <c r="L202" s="13" t="str">
        <f>IFERROR(VLOOKUP(Raw_data!$G202,Data_base!$B:$J,6,0),"")</f>
        <v>Full time</v>
      </c>
      <c r="M202" s="14">
        <f>IFERROR(VLOOKUP(Raw_data!$G202,Data_base!$B:$J,7,0),"")</f>
        <v>43742</v>
      </c>
      <c r="N202" s="13">
        <f>IFERROR(VLOOKUP(Raw_data!$G202,Data_base!$B:$J,8,0),"")</f>
        <v>44</v>
      </c>
      <c r="O202" s="11">
        <f>IFERROR(VLOOKUP(Raw_data!$G202,Data_base!$B:$J,9,0),"")</f>
        <v>5196</v>
      </c>
      <c r="P202" s="78">
        <v>1</v>
      </c>
      <c r="Q202" s="78">
        <v>4</v>
      </c>
      <c r="R202" s="77">
        <v>19</v>
      </c>
      <c r="S202" s="12">
        <f>IFERROR(1-VLOOKUP(Emp[[#This Row],[Penality]],Data_base!V:W,2,FALSE),"")</f>
        <v>0.85</v>
      </c>
      <c r="T202" s="12">
        <f>IFERROR(R202/VLOOKUP(D202,Data_base!S:T,2,0),"")</f>
        <v>0.82608695652173914</v>
      </c>
      <c r="U202" s="12">
        <f>IFERROR(1-Emp[[#This Row],[Activity]],"")</f>
        <v>0.17391304347826086</v>
      </c>
      <c r="V202" s="79">
        <v>0.2666989330052123</v>
      </c>
      <c r="W202" s="12">
        <f t="shared" si="3"/>
        <v>0.64759529650898384</v>
      </c>
      <c r="X202" s="78"/>
      <c r="Y202" s="12" t="str">
        <f>IFERROR(IF(Emp[[#This Row],[Increament]]="","",(Emp[[#This Row],[Increament]]/Emp[[#This Row],[Salary]])),"")</f>
        <v/>
      </c>
      <c r="Z202" s="17"/>
    </row>
    <row r="203" spans="2:26" x14ac:dyDescent="0.2">
      <c r="B203" s="75">
        <v>43702</v>
      </c>
      <c r="C203" s="38">
        <f>Emp[[#This Row],[Date]]</f>
        <v>43702</v>
      </c>
      <c r="D203" s="10">
        <f>IF(Emp[[#This Row],[Date]]="","",MONTH(Emp[[#This Row],[Date]]))</f>
        <v>8</v>
      </c>
      <c r="E203" s="64">
        <f>Emp[[#This Row],[Date]]</f>
        <v>43702</v>
      </c>
      <c r="F203" s="10">
        <f>IF(Emp[[#This Row],[Date]]="","",WEEKNUM(B203))</f>
        <v>35</v>
      </c>
      <c r="G203" s="77" t="s">
        <v>291</v>
      </c>
      <c r="H203" s="10" t="str">
        <f>IFERROR(VLOOKUP(Raw_data!$G203,Data_base!$B:$J,2,0),"")</f>
        <v>ID250224</v>
      </c>
      <c r="I203" s="10" t="str">
        <f>IFERROR(VLOOKUP(Raw_data!$G203,Data_base!$B:$J,3,0),"")</f>
        <v>Sales</v>
      </c>
      <c r="J203" s="10" t="str">
        <f>IFERROR(VLOOKUP(Raw_data!$G203,Data_base!$B:$J,4,0),"")</f>
        <v>Junior</v>
      </c>
      <c r="K203" s="13" t="str">
        <f>IFERROR(VLOOKUP(Raw_data!$G203,Data_base!$B:$J,5,0),"")</f>
        <v>F</v>
      </c>
      <c r="L203" s="13" t="str">
        <f>IFERROR(VLOOKUP(Raw_data!$G203,Data_base!$B:$J,6,0),"")</f>
        <v>Full time</v>
      </c>
      <c r="M203" s="14">
        <f>IFERROR(VLOOKUP(Raw_data!$G203,Data_base!$B:$J,7,0),"")</f>
        <v>40420</v>
      </c>
      <c r="N203" s="13">
        <f>IFERROR(VLOOKUP(Raw_data!$G203,Data_base!$B:$J,8,0),"")</f>
        <v>33</v>
      </c>
      <c r="O203" s="11">
        <f>IFERROR(VLOOKUP(Raw_data!$G203,Data_base!$B:$J,9,0),"")</f>
        <v>6133</v>
      </c>
      <c r="P203" s="78">
        <v>2</v>
      </c>
      <c r="Q203" s="78">
        <v>2</v>
      </c>
      <c r="R203" s="77">
        <v>20</v>
      </c>
      <c r="S203" s="12">
        <f>IFERROR(1-VLOOKUP(Emp[[#This Row],[Penality]],Data_base!V:W,2,FALSE),"")</f>
        <v>0.7</v>
      </c>
      <c r="T203" s="12">
        <f>IFERROR(R203/VLOOKUP(D203,Data_base!S:T,2,0),"")</f>
        <v>1</v>
      </c>
      <c r="U203" s="12">
        <f>IFERROR(1-Emp[[#This Row],[Activity]],"")</f>
        <v>0</v>
      </c>
      <c r="V203" s="79">
        <v>0.2393742923921609</v>
      </c>
      <c r="W203" s="12">
        <f t="shared" si="3"/>
        <v>0.64645809746405358</v>
      </c>
      <c r="X203" s="78"/>
      <c r="Y203" s="12" t="str">
        <f>IFERROR(IF(Emp[[#This Row],[Increament]]="","",(Emp[[#This Row],[Increament]]/Emp[[#This Row],[Salary]])),"")</f>
        <v/>
      </c>
      <c r="Z203" s="17"/>
    </row>
    <row r="204" spans="2:26" x14ac:dyDescent="0.2">
      <c r="B204" s="75">
        <v>43354</v>
      </c>
      <c r="C204" s="38">
        <f>Emp[[#This Row],[Date]]</f>
        <v>43354</v>
      </c>
      <c r="D204" s="10">
        <f>IF(Emp[[#This Row],[Date]]="","",MONTH(Emp[[#This Row],[Date]]))</f>
        <v>9</v>
      </c>
      <c r="E204" s="64">
        <f>Emp[[#This Row],[Date]]</f>
        <v>43354</v>
      </c>
      <c r="F204" s="10">
        <f>IF(Emp[[#This Row],[Date]]="","",WEEKNUM(B204))</f>
        <v>37</v>
      </c>
      <c r="G204" s="77" t="s">
        <v>335</v>
      </c>
      <c r="H204" s="10" t="str">
        <f>IFERROR(VLOOKUP(Raw_data!$G204,Data_base!$B:$J,2,0),"")</f>
        <v>ID250268</v>
      </c>
      <c r="I204" s="10" t="str">
        <f>IFERROR(VLOOKUP(Raw_data!$G204,Data_base!$B:$J,3,0),"")</f>
        <v>Finance</v>
      </c>
      <c r="J204" s="10" t="str">
        <f>IFERROR(VLOOKUP(Raw_data!$G204,Data_base!$B:$J,4,0),"")</f>
        <v>Senior</v>
      </c>
      <c r="K204" s="13" t="str">
        <f>IFERROR(VLOOKUP(Raw_data!$G204,Data_base!$B:$J,5,0),"")</f>
        <v>M</v>
      </c>
      <c r="L204" s="13" t="str">
        <f>IFERROR(VLOOKUP(Raw_data!$G204,Data_base!$B:$J,6,0),"")</f>
        <v>Part time</v>
      </c>
      <c r="M204" s="14">
        <f>IFERROR(VLOOKUP(Raw_data!$G204,Data_base!$B:$J,7,0),"")</f>
        <v>42902</v>
      </c>
      <c r="N204" s="13">
        <f>IFERROR(VLOOKUP(Raw_data!$G204,Data_base!$B:$J,8,0),"")</f>
        <v>36</v>
      </c>
      <c r="O204" s="11">
        <f>IFERROR(VLOOKUP(Raw_data!$G204,Data_base!$B:$J,9,0),"")</f>
        <v>5589</v>
      </c>
      <c r="P204" s="78">
        <v>1</v>
      </c>
      <c r="Q204" s="78">
        <v>5</v>
      </c>
      <c r="R204" s="77">
        <v>18</v>
      </c>
      <c r="S204" s="12">
        <f>IFERROR(1-VLOOKUP(Emp[[#This Row],[Penality]],Data_base!V:W,2,FALSE),"")</f>
        <v>0.85</v>
      </c>
      <c r="T204" s="12">
        <f>IFERROR(R204/VLOOKUP(D204,Data_base!S:T,2,0),"")</f>
        <v>0.75</v>
      </c>
      <c r="U204" s="12">
        <f>IFERROR(1-Emp[[#This Row],[Activity]],"")</f>
        <v>0.25</v>
      </c>
      <c r="V204" s="79">
        <v>8.7474003535220612E-2</v>
      </c>
      <c r="W204" s="12">
        <f t="shared" si="3"/>
        <v>0.56249133451174016</v>
      </c>
      <c r="X204" s="78"/>
      <c r="Y204" s="12" t="str">
        <f>IFERROR(IF(Emp[[#This Row],[Increament]]="","",(Emp[[#This Row],[Increament]]/Emp[[#This Row],[Salary]])),"")</f>
        <v/>
      </c>
      <c r="Z204" s="17"/>
    </row>
    <row r="205" spans="2:26" x14ac:dyDescent="0.2">
      <c r="B205" s="75">
        <v>43421</v>
      </c>
      <c r="C205" s="38">
        <f>Emp[[#This Row],[Date]]</f>
        <v>43421</v>
      </c>
      <c r="D205" s="10">
        <f>IF(Emp[[#This Row],[Date]]="","",MONTH(Emp[[#This Row],[Date]]))</f>
        <v>11</v>
      </c>
      <c r="E205" s="64">
        <f>Emp[[#This Row],[Date]]</f>
        <v>43421</v>
      </c>
      <c r="F205" s="10">
        <f>IF(Emp[[#This Row],[Date]]="","",WEEKNUM(B205))</f>
        <v>46</v>
      </c>
      <c r="G205" s="77" t="s">
        <v>145</v>
      </c>
      <c r="H205" s="10" t="str">
        <f>IFERROR(VLOOKUP(Raw_data!$G205,Data_base!$B:$J,2,0),"")</f>
        <v>ID250078</v>
      </c>
      <c r="I205" s="10" t="str">
        <f>IFERROR(VLOOKUP(Raw_data!$G205,Data_base!$B:$J,3,0),"")</f>
        <v>Quality</v>
      </c>
      <c r="J205" s="10" t="str">
        <f>IFERROR(VLOOKUP(Raw_data!$G205,Data_base!$B:$J,4,0),"")</f>
        <v>Staff</v>
      </c>
      <c r="K205" s="13" t="str">
        <f>IFERROR(VLOOKUP(Raw_data!$G205,Data_base!$B:$J,5,0),"")</f>
        <v>F</v>
      </c>
      <c r="L205" s="13" t="str">
        <f>IFERROR(VLOOKUP(Raw_data!$G205,Data_base!$B:$J,6,0),"")</f>
        <v>Full time</v>
      </c>
      <c r="M205" s="14">
        <f>IFERROR(VLOOKUP(Raw_data!$G205,Data_base!$B:$J,7,0),"")</f>
        <v>42430</v>
      </c>
      <c r="N205" s="13">
        <f>IFERROR(VLOOKUP(Raw_data!$G205,Data_base!$B:$J,8,0),"")</f>
        <v>36</v>
      </c>
      <c r="O205" s="11">
        <f>IFERROR(VLOOKUP(Raw_data!$G205,Data_base!$B:$J,9,0),"")</f>
        <v>4541</v>
      </c>
      <c r="P205" s="78">
        <v>2</v>
      </c>
      <c r="Q205" s="78">
        <v>2</v>
      </c>
      <c r="R205" s="77">
        <v>20</v>
      </c>
      <c r="S205" s="12">
        <f>IFERROR(1-VLOOKUP(Emp[[#This Row],[Penality]],Data_base!V:W,2,FALSE),"")</f>
        <v>0.7</v>
      </c>
      <c r="T205" s="12">
        <f>IFERROR(R205/VLOOKUP(D205,Data_base!S:T,2,0),"")</f>
        <v>0.86956521739130432</v>
      </c>
      <c r="U205" s="12">
        <f>IFERROR(1-Emp[[#This Row],[Activity]],"")</f>
        <v>0.13043478260869568</v>
      </c>
      <c r="V205" s="79">
        <v>0.37327817864334645</v>
      </c>
      <c r="W205" s="12">
        <f t="shared" si="3"/>
        <v>0.64761446534488354</v>
      </c>
      <c r="X205" s="78"/>
      <c r="Y205" s="12" t="str">
        <f>IFERROR(IF(Emp[[#This Row],[Increament]]="","",(Emp[[#This Row],[Increament]]/Emp[[#This Row],[Salary]])),"")</f>
        <v/>
      </c>
      <c r="Z205" s="17"/>
    </row>
    <row r="206" spans="2:26" x14ac:dyDescent="0.2">
      <c r="B206" s="75">
        <v>42933</v>
      </c>
      <c r="C206" s="38">
        <f>Emp[[#This Row],[Date]]</f>
        <v>42933</v>
      </c>
      <c r="D206" s="10">
        <f>IF(Emp[[#This Row],[Date]]="","",MONTH(Emp[[#This Row],[Date]]))</f>
        <v>7</v>
      </c>
      <c r="E206" s="64">
        <f>Emp[[#This Row],[Date]]</f>
        <v>42933</v>
      </c>
      <c r="F206" s="10">
        <f>IF(Emp[[#This Row],[Date]]="","",WEEKNUM(B206))</f>
        <v>29</v>
      </c>
      <c r="G206" s="77" t="s">
        <v>202</v>
      </c>
      <c r="H206" s="10" t="str">
        <f>IFERROR(VLOOKUP(Raw_data!$G206,Data_base!$B:$J,2,0),"")</f>
        <v>ID250135</v>
      </c>
      <c r="I206" s="10" t="str">
        <f>IFERROR(VLOOKUP(Raw_data!$G206,Data_base!$B:$J,3,0),"")</f>
        <v>HR</v>
      </c>
      <c r="J206" s="10" t="str">
        <f>IFERROR(VLOOKUP(Raw_data!$G206,Data_base!$B:$J,4,0),"")</f>
        <v>Technician</v>
      </c>
      <c r="K206" s="13" t="str">
        <f>IFERROR(VLOOKUP(Raw_data!$G206,Data_base!$B:$J,5,0),"")</f>
        <v>F</v>
      </c>
      <c r="L206" s="13" t="str">
        <f>IFERROR(VLOOKUP(Raw_data!$G206,Data_base!$B:$J,6,0),"")</f>
        <v>Full time</v>
      </c>
      <c r="M206" s="14">
        <f>IFERROR(VLOOKUP(Raw_data!$G206,Data_base!$B:$J,7,0),"")</f>
        <v>41313</v>
      </c>
      <c r="N206" s="13">
        <f>IFERROR(VLOOKUP(Raw_data!$G206,Data_base!$B:$J,8,0),"")</f>
        <v>41</v>
      </c>
      <c r="O206" s="11">
        <f>IFERROR(VLOOKUP(Raw_data!$G206,Data_base!$B:$J,9,0),"")</f>
        <v>4804</v>
      </c>
      <c r="P206" s="78">
        <v>2</v>
      </c>
      <c r="Q206" s="78">
        <v>4</v>
      </c>
      <c r="R206" s="77">
        <v>19</v>
      </c>
      <c r="S206" s="12">
        <f>IFERROR(1-VLOOKUP(Emp[[#This Row],[Penality]],Data_base!V:W,2,FALSE),"")</f>
        <v>0.7</v>
      </c>
      <c r="T206" s="12">
        <f>IFERROR(R206/VLOOKUP(D206,Data_base!S:T,2,0),"")</f>
        <v>0.86363636363636365</v>
      </c>
      <c r="U206" s="12">
        <f>IFERROR(1-Emp[[#This Row],[Activity]],"")</f>
        <v>0.13636363636363635</v>
      </c>
      <c r="V206" s="79">
        <v>0.34430224409915944</v>
      </c>
      <c r="W206" s="12">
        <f t="shared" si="3"/>
        <v>0.63597953591184109</v>
      </c>
      <c r="X206" s="78"/>
      <c r="Y206" s="12" t="str">
        <f>IFERROR(IF(Emp[[#This Row],[Increament]]="","",(Emp[[#This Row],[Increament]]/Emp[[#This Row],[Salary]])),"")</f>
        <v/>
      </c>
      <c r="Z206" s="17"/>
    </row>
    <row r="207" spans="2:26" x14ac:dyDescent="0.2">
      <c r="B207" s="75">
        <v>42947</v>
      </c>
      <c r="C207" s="38">
        <f>Emp[[#This Row],[Date]]</f>
        <v>42947</v>
      </c>
      <c r="D207" s="10">
        <f>IF(Emp[[#This Row],[Date]]="","",MONTH(Emp[[#This Row],[Date]]))</f>
        <v>7</v>
      </c>
      <c r="E207" s="64">
        <f>Emp[[#This Row],[Date]]</f>
        <v>42947</v>
      </c>
      <c r="F207" s="10">
        <f>IF(Emp[[#This Row],[Date]]="","",WEEKNUM(B207))</f>
        <v>31</v>
      </c>
      <c r="G207" s="77" t="s">
        <v>99</v>
      </c>
      <c r="H207" s="10" t="str">
        <f>IFERROR(VLOOKUP(Raw_data!$G207,Data_base!$B:$J,2,0),"")</f>
        <v>ID250032</v>
      </c>
      <c r="I207" s="10" t="str">
        <f>IFERROR(VLOOKUP(Raw_data!$G207,Data_base!$B:$J,3,0),"")</f>
        <v>Quality</v>
      </c>
      <c r="J207" s="10" t="str">
        <f>IFERROR(VLOOKUP(Raw_data!$G207,Data_base!$B:$J,4,0),"")</f>
        <v>Technician</v>
      </c>
      <c r="K207" s="13" t="str">
        <f>IFERROR(VLOOKUP(Raw_data!$G207,Data_base!$B:$J,5,0),"")</f>
        <v>M</v>
      </c>
      <c r="L207" s="13" t="str">
        <f>IFERROR(VLOOKUP(Raw_data!$G207,Data_base!$B:$J,6,0),"")</f>
        <v>Part time</v>
      </c>
      <c r="M207" s="14">
        <f>IFERROR(VLOOKUP(Raw_data!$G207,Data_base!$B:$J,7,0),"")</f>
        <v>43231</v>
      </c>
      <c r="N207" s="13">
        <f>IFERROR(VLOOKUP(Raw_data!$G207,Data_base!$B:$J,8,0),"")</f>
        <v>40</v>
      </c>
      <c r="O207" s="11">
        <f>IFERROR(VLOOKUP(Raw_data!$G207,Data_base!$B:$J,9,0),"")</f>
        <v>7916</v>
      </c>
      <c r="P207" s="78">
        <v>3</v>
      </c>
      <c r="Q207" s="78">
        <v>2</v>
      </c>
      <c r="R207" s="77">
        <v>19</v>
      </c>
      <c r="S207" s="12">
        <f>IFERROR(1-VLOOKUP(Emp[[#This Row],[Penality]],Data_base!V:W,2,FALSE),"")</f>
        <v>0.55000000000000004</v>
      </c>
      <c r="T207" s="12">
        <f>IFERROR(R207/VLOOKUP(D207,Data_base!S:T,2,0),"")</f>
        <v>0.86363636363636365</v>
      </c>
      <c r="U207" s="12">
        <f>IFERROR(1-Emp[[#This Row],[Activity]],"")</f>
        <v>0.13636363636363635</v>
      </c>
      <c r="V207" s="79">
        <v>0.25391317175095984</v>
      </c>
      <c r="W207" s="12">
        <f t="shared" si="3"/>
        <v>0.55584984512910784</v>
      </c>
      <c r="X207" s="78"/>
      <c r="Y207" s="12" t="str">
        <f>IFERROR(IF(Emp[[#This Row],[Increament]]="","",(Emp[[#This Row],[Increament]]/Emp[[#This Row],[Salary]])),"")</f>
        <v/>
      </c>
      <c r="Z207" s="17"/>
    </row>
    <row r="208" spans="2:26" x14ac:dyDescent="0.2">
      <c r="B208" s="75">
        <v>42427</v>
      </c>
      <c r="C208" s="38">
        <f>Emp[[#This Row],[Date]]</f>
        <v>42427</v>
      </c>
      <c r="D208" s="10">
        <f>IF(Emp[[#This Row],[Date]]="","",MONTH(Emp[[#This Row],[Date]]))</f>
        <v>2</v>
      </c>
      <c r="E208" s="64">
        <f>Emp[[#This Row],[Date]]</f>
        <v>42427</v>
      </c>
      <c r="F208" s="10">
        <f>IF(Emp[[#This Row],[Date]]="","",WEEKNUM(B208))</f>
        <v>9</v>
      </c>
      <c r="G208" s="77" t="s">
        <v>221</v>
      </c>
      <c r="H208" s="10" t="str">
        <f>IFERROR(VLOOKUP(Raw_data!$G208,Data_base!$B:$J,2,0),"")</f>
        <v>ID250154</v>
      </c>
      <c r="I208" s="10" t="str">
        <f>IFERROR(VLOOKUP(Raw_data!$G208,Data_base!$B:$J,3,0),"")</f>
        <v>Material</v>
      </c>
      <c r="J208" s="10" t="str">
        <f>IFERROR(VLOOKUP(Raw_data!$G208,Data_base!$B:$J,4,0),"")</f>
        <v>Manager</v>
      </c>
      <c r="K208" s="13" t="str">
        <f>IFERROR(VLOOKUP(Raw_data!$G208,Data_base!$B:$J,5,0),"")</f>
        <v>M</v>
      </c>
      <c r="L208" s="13" t="str">
        <f>IFERROR(VLOOKUP(Raw_data!$G208,Data_base!$B:$J,6,0),"")</f>
        <v>Part time</v>
      </c>
      <c r="M208" s="14">
        <f>IFERROR(VLOOKUP(Raw_data!$G208,Data_base!$B:$J,7,0),"")</f>
        <v>43526</v>
      </c>
      <c r="N208" s="13">
        <f>IFERROR(VLOOKUP(Raw_data!$G208,Data_base!$B:$J,8,0),"")</f>
        <v>33</v>
      </c>
      <c r="O208" s="11">
        <f>IFERROR(VLOOKUP(Raw_data!$G208,Data_base!$B:$J,9,0),"")</f>
        <v>6382</v>
      </c>
      <c r="P208" s="78">
        <v>3</v>
      </c>
      <c r="Q208" s="78">
        <v>2</v>
      </c>
      <c r="R208" s="77">
        <v>17</v>
      </c>
      <c r="S208" s="12">
        <f>IFERROR(1-VLOOKUP(Emp[[#This Row],[Penality]],Data_base!V:W,2,FALSE),"")</f>
        <v>0.55000000000000004</v>
      </c>
      <c r="T208" s="12">
        <f>IFERROR(R208/VLOOKUP(D208,Data_base!S:T,2,0),"")</f>
        <v>0.70833333333333337</v>
      </c>
      <c r="U208" s="12">
        <f>IFERROR(1-Emp[[#This Row],[Activity]],"")</f>
        <v>0.29166666666666663</v>
      </c>
      <c r="V208" s="79">
        <v>0.78695621420632278</v>
      </c>
      <c r="W208" s="12">
        <f t="shared" si="3"/>
        <v>0.68176318251321877</v>
      </c>
      <c r="X208" s="78">
        <v>200</v>
      </c>
      <c r="Y208" s="12">
        <f>IFERROR(IF(Emp[[#This Row],[Increament]]="","",(Emp[[#This Row],[Increament]]/Emp[[#This Row],[Salary]])),"")</f>
        <v>3.1338138514572234E-2</v>
      </c>
      <c r="Z208" s="17"/>
    </row>
    <row r="209" spans="2:26" x14ac:dyDescent="0.2">
      <c r="B209" s="75">
        <v>43090</v>
      </c>
      <c r="C209" s="38">
        <f>Emp[[#This Row],[Date]]</f>
        <v>43090</v>
      </c>
      <c r="D209" s="10">
        <f>IF(Emp[[#This Row],[Date]]="","",MONTH(Emp[[#This Row],[Date]]))</f>
        <v>12</v>
      </c>
      <c r="E209" s="64">
        <f>Emp[[#This Row],[Date]]</f>
        <v>43090</v>
      </c>
      <c r="F209" s="10">
        <f>IF(Emp[[#This Row],[Date]]="","",WEEKNUM(B209))</f>
        <v>51</v>
      </c>
      <c r="G209" s="77" t="s">
        <v>183</v>
      </c>
      <c r="H209" s="10" t="str">
        <f>IFERROR(VLOOKUP(Raw_data!$G209,Data_base!$B:$J,2,0),"")</f>
        <v>ID250116</v>
      </c>
      <c r="I209" s="10" t="str">
        <f>IFERROR(VLOOKUP(Raw_data!$G209,Data_base!$B:$J,3,0),"")</f>
        <v>Material</v>
      </c>
      <c r="J209" s="10" t="str">
        <f>IFERROR(VLOOKUP(Raw_data!$G209,Data_base!$B:$J,4,0),"")</f>
        <v>Technician</v>
      </c>
      <c r="K209" s="13" t="str">
        <f>IFERROR(VLOOKUP(Raw_data!$G209,Data_base!$B:$J,5,0),"")</f>
        <v>M</v>
      </c>
      <c r="L209" s="13" t="str">
        <f>IFERROR(VLOOKUP(Raw_data!$G209,Data_base!$B:$J,6,0),"")</f>
        <v>Full time</v>
      </c>
      <c r="M209" s="14">
        <f>IFERROR(VLOOKUP(Raw_data!$G209,Data_base!$B:$J,7,0),"")</f>
        <v>41976</v>
      </c>
      <c r="N209" s="13">
        <f>IFERROR(VLOOKUP(Raw_data!$G209,Data_base!$B:$J,8,0),"")</f>
        <v>35</v>
      </c>
      <c r="O209" s="11">
        <f>IFERROR(VLOOKUP(Raw_data!$G209,Data_base!$B:$J,9,0),"")</f>
        <v>4858</v>
      </c>
      <c r="P209" s="78">
        <v>3</v>
      </c>
      <c r="Q209" s="78">
        <v>2</v>
      </c>
      <c r="R209" s="77">
        <v>17</v>
      </c>
      <c r="S209" s="12">
        <f>IFERROR(1-VLOOKUP(Emp[[#This Row],[Penality]],Data_base!V:W,2,FALSE),"")</f>
        <v>0.55000000000000004</v>
      </c>
      <c r="T209" s="12">
        <f>IFERROR(R209/VLOOKUP(D209,Data_base!S:T,2,0),"")</f>
        <v>0.70833333333333337</v>
      </c>
      <c r="U209" s="12">
        <f>IFERROR(1-Emp[[#This Row],[Activity]],"")</f>
        <v>0.29166666666666663</v>
      </c>
      <c r="V209" s="79">
        <v>0.13053873717958775</v>
      </c>
      <c r="W209" s="12">
        <f t="shared" si="3"/>
        <v>0.46295735683764039</v>
      </c>
      <c r="X209" s="78"/>
      <c r="Y209" s="12" t="str">
        <f>IFERROR(IF(Emp[[#This Row],[Increament]]="","",(Emp[[#This Row],[Increament]]/Emp[[#This Row],[Salary]])),"")</f>
        <v/>
      </c>
      <c r="Z209" s="17"/>
    </row>
    <row r="210" spans="2:26" x14ac:dyDescent="0.2">
      <c r="B210" s="75">
        <v>42981</v>
      </c>
      <c r="C210" s="38">
        <f>Emp[[#This Row],[Date]]</f>
        <v>42981</v>
      </c>
      <c r="D210" s="10">
        <f>IF(Emp[[#This Row],[Date]]="","",MONTH(Emp[[#This Row],[Date]]))</f>
        <v>9</v>
      </c>
      <c r="E210" s="64">
        <f>Emp[[#This Row],[Date]]</f>
        <v>42981</v>
      </c>
      <c r="F210" s="10">
        <f>IF(Emp[[#This Row],[Date]]="","",WEEKNUM(B210))</f>
        <v>36</v>
      </c>
      <c r="G210" s="77" t="s">
        <v>321</v>
      </c>
      <c r="H210" s="10" t="str">
        <f>IFERROR(VLOOKUP(Raw_data!$G210,Data_base!$B:$J,2,0),"")</f>
        <v>ID250254</v>
      </c>
      <c r="I210" s="10" t="str">
        <f>IFERROR(VLOOKUP(Raw_data!$G210,Data_base!$B:$J,3,0),"")</f>
        <v>Material</v>
      </c>
      <c r="J210" s="10" t="str">
        <f>IFERROR(VLOOKUP(Raw_data!$G210,Data_base!$B:$J,4,0),"")</f>
        <v>Senior</v>
      </c>
      <c r="K210" s="13" t="str">
        <f>IFERROR(VLOOKUP(Raw_data!$G210,Data_base!$B:$J,5,0),"")</f>
        <v>F</v>
      </c>
      <c r="L210" s="13" t="str">
        <f>IFERROR(VLOOKUP(Raw_data!$G210,Data_base!$B:$J,6,0),"")</f>
        <v>Full time</v>
      </c>
      <c r="M210" s="14">
        <f>IFERROR(VLOOKUP(Raw_data!$G210,Data_base!$B:$J,7,0),"")</f>
        <v>43084</v>
      </c>
      <c r="N210" s="13">
        <f>IFERROR(VLOOKUP(Raw_data!$G210,Data_base!$B:$J,8,0),"")</f>
        <v>32</v>
      </c>
      <c r="O210" s="11">
        <f>IFERROR(VLOOKUP(Raw_data!$G210,Data_base!$B:$J,9,0),"")</f>
        <v>5539</v>
      </c>
      <c r="P210" s="78">
        <v>2</v>
      </c>
      <c r="Q210" s="78">
        <v>5</v>
      </c>
      <c r="R210" s="77">
        <v>17</v>
      </c>
      <c r="S210" s="12">
        <f>IFERROR(1-VLOOKUP(Emp[[#This Row],[Penality]],Data_base!V:W,2,FALSE),"")</f>
        <v>0.7</v>
      </c>
      <c r="T210" s="12">
        <f>IFERROR(R210/VLOOKUP(D210,Data_base!S:T,2,0),"")</f>
        <v>0.70833333333333337</v>
      </c>
      <c r="U210" s="12">
        <f>IFERROR(1-Emp[[#This Row],[Activity]],"")</f>
        <v>0.29166666666666663</v>
      </c>
      <c r="V210" s="79">
        <v>0.85136000382697119</v>
      </c>
      <c r="W210" s="12">
        <f t="shared" si="3"/>
        <v>0.75323111238676821</v>
      </c>
      <c r="X210" s="78">
        <v>300</v>
      </c>
      <c r="Y210" s="12">
        <f>IFERROR(IF(Emp[[#This Row],[Increament]]="","",(Emp[[#This Row],[Increament]]/Emp[[#This Row],[Salary]])),"")</f>
        <v>5.4161400974905217E-2</v>
      </c>
      <c r="Z210" s="17"/>
    </row>
    <row r="211" spans="2:26" x14ac:dyDescent="0.2">
      <c r="B211" s="75">
        <v>43490</v>
      </c>
      <c r="C211" s="38">
        <f>Emp[[#This Row],[Date]]</f>
        <v>43490</v>
      </c>
      <c r="D211" s="10">
        <f>IF(Emp[[#This Row],[Date]]="","",MONTH(Emp[[#This Row],[Date]]))</f>
        <v>1</v>
      </c>
      <c r="E211" s="64">
        <f>Emp[[#This Row],[Date]]</f>
        <v>43490</v>
      </c>
      <c r="F211" s="10">
        <f>IF(Emp[[#This Row],[Date]]="","",WEEKNUM(B211))</f>
        <v>4</v>
      </c>
      <c r="G211" s="77" t="s">
        <v>351</v>
      </c>
      <c r="H211" s="10" t="str">
        <f>IFERROR(VLOOKUP(Raw_data!$G211,Data_base!$B:$J,2,0),"")</f>
        <v>ID250284</v>
      </c>
      <c r="I211" s="10" t="str">
        <f>IFERROR(VLOOKUP(Raw_data!$G211,Data_base!$B:$J,3,0),"")</f>
        <v>Sales</v>
      </c>
      <c r="J211" s="10" t="str">
        <f>IFERROR(VLOOKUP(Raw_data!$G211,Data_base!$B:$J,4,0),"")</f>
        <v>Manager</v>
      </c>
      <c r="K211" s="13" t="str">
        <f>IFERROR(VLOOKUP(Raw_data!$G211,Data_base!$B:$J,5,0),"")</f>
        <v>F</v>
      </c>
      <c r="L211" s="13" t="str">
        <f>IFERROR(VLOOKUP(Raw_data!$G211,Data_base!$B:$J,6,0),"")</f>
        <v>Full time</v>
      </c>
      <c r="M211" s="14">
        <f>IFERROR(VLOOKUP(Raw_data!$G211,Data_base!$B:$J,7,0),"")</f>
        <v>42050</v>
      </c>
      <c r="N211" s="13">
        <f>IFERROR(VLOOKUP(Raw_data!$G211,Data_base!$B:$J,8,0),"")</f>
        <v>37</v>
      </c>
      <c r="O211" s="11">
        <f>IFERROR(VLOOKUP(Raw_data!$G211,Data_base!$B:$J,9,0),"")</f>
        <v>6842</v>
      </c>
      <c r="P211" s="78">
        <v>1</v>
      </c>
      <c r="Q211" s="78">
        <v>4</v>
      </c>
      <c r="R211" s="77">
        <v>19</v>
      </c>
      <c r="S211" s="12">
        <f>IFERROR(1-VLOOKUP(Emp[[#This Row],[Penality]],Data_base!V:W,2,FALSE),"")</f>
        <v>0.85</v>
      </c>
      <c r="T211" s="12">
        <f>IFERROR(R211/VLOOKUP(D211,Data_base!S:T,2,0),"")</f>
        <v>0.90476190476190477</v>
      </c>
      <c r="U211" s="12">
        <f>IFERROR(1-Emp[[#This Row],[Activity]],"")</f>
        <v>9.5238095238095233E-2</v>
      </c>
      <c r="V211" s="79">
        <v>0.56843056019746796</v>
      </c>
      <c r="W211" s="12">
        <f t="shared" si="3"/>
        <v>0.77439748831979094</v>
      </c>
      <c r="X211" s="78"/>
      <c r="Y211" s="12" t="str">
        <f>IFERROR(IF(Emp[[#This Row],[Increament]]="","",(Emp[[#This Row],[Increament]]/Emp[[#This Row],[Salary]])),"")</f>
        <v/>
      </c>
      <c r="Z211" s="17"/>
    </row>
    <row r="212" spans="2:26" x14ac:dyDescent="0.2">
      <c r="B212" s="75">
        <v>43119</v>
      </c>
      <c r="C212" s="38">
        <f>Emp[[#This Row],[Date]]</f>
        <v>43119</v>
      </c>
      <c r="D212" s="10">
        <f>IF(Emp[[#This Row],[Date]]="","",MONTH(Emp[[#This Row],[Date]]))</f>
        <v>1</v>
      </c>
      <c r="E212" s="64">
        <f>Emp[[#This Row],[Date]]</f>
        <v>43119</v>
      </c>
      <c r="F212" s="10">
        <f>IF(Emp[[#This Row],[Date]]="","",WEEKNUM(B212))</f>
        <v>3</v>
      </c>
      <c r="G212" s="77" t="s">
        <v>214</v>
      </c>
      <c r="H212" s="10" t="str">
        <f>IFERROR(VLOOKUP(Raw_data!$G212,Data_base!$B:$J,2,0),"")</f>
        <v>ID250147</v>
      </c>
      <c r="I212" s="10" t="str">
        <f>IFERROR(VLOOKUP(Raw_data!$G212,Data_base!$B:$J,3,0),"")</f>
        <v>Planning</v>
      </c>
      <c r="J212" s="10" t="str">
        <f>IFERROR(VLOOKUP(Raw_data!$G212,Data_base!$B:$J,4,0),"")</f>
        <v>Staff</v>
      </c>
      <c r="K212" s="13" t="str">
        <f>IFERROR(VLOOKUP(Raw_data!$G212,Data_base!$B:$J,5,0),"")</f>
        <v>F</v>
      </c>
      <c r="L212" s="13" t="str">
        <f>IFERROR(VLOOKUP(Raw_data!$G212,Data_base!$B:$J,6,0),"")</f>
        <v>Full time</v>
      </c>
      <c r="M212" s="14">
        <f>IFERROR(VLOOKUP(Raw_data!$G212,Data_base!$B:$J,7,0),"")</f>
        <v>41302</v>
      </c>
      <c r="N212" s="13">
        <f>IFERROR(VLOOKUP(Raw_data!$G212,Data_base!$B:$J,8,0),"")</f>
        <v>40</v>
      </c>
      <c r="O212" s="11">
        <f>IFERROR(VLOOKUP(Raw_data!$G212,Data_base!$B:$J,9,0),"")</f>
        <v>7280</v>
      </c>
      <c r="P212" s="78">
        <v>3</v>
      </c>
      <c r="Q212" s="78">
        <v>5</v>
      </c>
      <c r="R212" s="77">
        <v>18</v>
      </c>
      <c r="S212" s="12">
        <f>IFERROR(1-VLOOKUP(Emp[[#This Row],[Penality]],Data_base!V:W,2,FALSE),"")</f>
        <v>0.55000000000000004</v>
      </c>
      <c r="T212" s="12">
        <f>IFERROR(R212/VLOOKUP(D212,Data_base!S:T,2,0),"")</f>
        <v>0.8571428571428571</v>
      </c>
      <c r="U212" s="12">
        <f>IFERROR(1-Emp[[#This Row],[Activity]],"")</f>
        <v>0.1428571428571429</v>
      </c>
      <c r="V212" s="79">
        <v>0.48495317305059249</v>
      </c>
      <c r="W212" s="12">
        <f t="shared" si="3"/>
        <v>0.63069867673114988</v>
      </c>
      <c r="X212" s="78"/>
      <c r="Y212" s="12" t="str">
        <f>IFERROR(IF(Emp[[#This Row],[Increament]]="","",(Emp[[#This Row],[Increament]]/Emp[[#This Row],[Salary]])),"")</f>
        <v/>
      </c>
      <c r="Z212" s="17"/>
    </row>
    <row r="213" spans="2:26" x14ac:dyDescent="0.2">
      <c r="B213" s="75">
        <v>42977</v>
      </c>
      <c r="C213" s="38">
        <f>Emp[[#This Row],[Date]]</f>
        <v>42977</v>
      </c>
      <c r="D213" s="10">
        <f>IF(Emp[[#This Row],[Date]]="","",MONTH(Emp[[#This Row],[Date]]))</f>
        <v>8</v>
      </c>
      <c r="E213" s="64">
        <f>Emp[[#This Row],[Date]]</f>
        <v>42977</v>
      </c>
      <c r="F213" s="10">
        <f>IF(Emp[[#This Row],[Date]]="","",WEEKNUM(B213))</f>
        <v>35</v>
      </c>
      <c r="G213" s="77" t="s">
        <v>200</v>
      </c>
      <c r="H213" s="10" t="str">
        <f>IFERROR(VLOOKUP(Raw_data!$G213,Data_base!$B:$J,2,0),"")</f>
        <v>ID250133</v>
      </c>
      <c r="I213" s="10" t="str">
        <f>IFERROR(VLOOKUP(Raw_data!$G213,Data_base!$B:$J,3,0),"")</f>
        <v>Procurement</v>
      </c>
      <c r="J213" s="10" t="str">
        <f>IFERROR(VLOOKUP(Raw_data!$G213,Data_base!$B:$J,4,0),"")</f>
        <v>Junior</v>
      </c>
      <c r="K213" s="13" t="str">
        <f>IFERROR(VLOOKUP(Raw_data!$G213,Data_base!$B:$J,5,0),"")</f>
        <v>F</v>
      </c>
      <c r="L213" s="13" t="str">
        <f>IFERROR(VLOOKUP(Raw_data!$G213,Data_base!$B:$J,6,0),"")</f>
        <v>Full time</v>
      </c>
      <c r="M213" s="14">
        <f>IFERROR(VLOOKUP(Raw_data!$G213,Data_base!$B:$J,7,0),"")</f>
        <v>43317</v>
      </c>
      <c r="N213" s="13">
        <f>IFERROR(VLOOKUP(Raw_data!$G213,Data_base!$B:$J,8,0),"")</f>
        <v>43</v>
      </c>
      <c r="O213" s="11">
        <f>IFERROR(VLOOKUP(Raw_data!$G213,Data_base!$B:$J,9,0),"")</f>
        <v>8681</v>
      </c>
      <c r="P213" s="78">
        <v>3</v>
      </c>
      <c r="Q213" s="78">
        <v>2</v>
      </c>
      <c r="R213" s="77">
        <v>17</v>
      </c>
      <c r="S213" s="12">
        <f>IFERROR(1-VLOOKUP(Emp[[#This Row],[Penality]],Data_base!V:W,2,FALSE),"")</f>
        <v>0.55000000000000004</v>
      </c>
      <c r="T213" s="12">
        <f>IFERROR(R213/VLOOKUP(D213,Data_base!S:T,2,0),"")</f>
        <v>0.85</v>
      </c>
      <c r="U213" s="12">
        <f>IFERROR(1-Emp[[#This Row],[Activity]],"")</f>
        <v>0.15000000000000002</v>
      </c>
      <c r="V213" s="79">
        <v>0.9232326930716187</v>
      </c>
      <c r="W213" s="12">
        <f t="shared" si="3"/>
        <v>0.77441089769053961</v>
      </c>
      <c r="X213" s="78"/>
      <c r="Y213" s="12" t="str">
        <f>IFERROR(IF(Emp[[#This Row],[Increament]]="","",(Emp[[#This Row],[Increament]]/Emp[[#This Row],[Salary]])),"")</f>
        <v/>
      </c>
      <c r="Z213" s="17"/>
    </row>
    <row r="214" spans="2:26" x14ac:dyDescent="0.2">
      <c r="B214" s="75">
        <v>42425</v>
      </c>
      <c r="C214" s="38">
        <f>Emp[[#This Row],[Date]]</f>
        <v>42425</v>
      </c>
      <c r="D214" s="10">
        <f>IF(Emp[[#This Row],[Date]]="","",MONTH(Emp[[#This Row],[Date]]))</f>
        <v>2</v>
      </c>
      <c r="E214" s="64">
        <f>Emp[[#This Row],[Date]]</f>
        <v>42425</v>
      </c>
      <c r="F214" s="10">
        <f>IF(Emp[[#This Row],[Date]]="","",WEEKNUM(B214))</f>
        <v>9</v>
      </c>
      <c r="G214" s="77" t="s">
        <v>268</v>
      </c>
      <c r="H214" s="10" t="str">
        <f>IFERROR(VLOOKUP(Raw_data!$G214,Data_base!$B:$J,2,0),"")</f>
        <v>ID250201</v>
      </c>
      <c r="I214" s="10" t="str">
        <f>IFERROR(VLOOKUP(Raw_data!$G214,Data_base!$B:$J,3,0),"")</f>
        <v>Finance</v>
      </c>
      <c r="J214" s="10" t="str">
        <f>IFERROR(VLOOKUP(Raw_data!$G214,Data_base!$B:$J,4,0),"")</f>
        <v>Junior</v>
      </c>
      <c r="K214" s="13" t="str">
        <f>IFERROR(VLOOKUP(Raw_data!$G214,Data_base!$B:$J,5,0),"")</f>
        <v>F</v>
      </c>
      <c r="L214" s="13" t="str">
        <f>IFERROR(VLOOKUP(Raw_data!$G214,Data_base!$B:$J,6,0),"")</f>
        <v>Full time</v>
      </c>
      <c r="M214" s="14">
        <f>IFERROR(VLOOKUP(Raw_data!$G214,Data_base!$B:$J,7,0),"")</f>
        <v>40697</v>
      </c>
      <c r="N214" s="13">
        <f>IFERROR(VLOOKUP(Raw_data!$G214,Data_base!$B:$J,8,0),"")</f>
        <v>42</v>
      </c>
      <c r="O214" s="11">
        <f>IFERROR(VLOOKUP(Raw_data!$G214,Data_base!$B:$J,9,0),"")</f>
        <v>9345</v>
      </c>
      <c r="P214" s="78">
        <v>2</v>
      </c>
      <c r="Q214" s="78">
        <v>4</v>
      </c>
      <c r="R214" s="77">
        <v>20</v>
      </c>
      <c r="S214" s="12">
        <f>IFERROR(1-VLOOKUP(Emp[[#This Row],[Penality]],Data_base!V:W,2,FALSE),"")</f>
        <v>0.7</v>
      </c>
      <c r="T214" s="12">
        <f>IFERROR(R214/VLOOKUP(D214,Data_base!S:T,2,0),"")</f>
        <v>0.83333333333333337</v>
      </c>
      <c r="U214" s="12">
        <f>IFERROR(1-Emp[[#This Row],[Activity]],"")</f>
        <v>0.16666666666666663</v>
      </c>
      <c r="V214" s="79">
        <v>0.33853516765628466</v>
      </c>
      <c r="W214" s="12">
        <f t="shared" si="3"/>
        <v>0.62395616699653933</v>
      </c>
      <c r="X214" s="78"/>
      <c r="Y214" s="12" t="str">
        <f>IFERROR(IF(Emp[[#This Row],[Increament]]="","",(Emp[[#This Row],[Increament]]/Emp[[#This Row],[Salary]])),"")</f>
        <v/>
      </c>
      <c r="Z214" s="17"/>
    </row>
    <row r="215" spans="2:26" x14ac:dyDescent="0.2">
      <c r="B215" s="75">
        <v>42777</v>
      </c>
      <c r="C215" s="38">
        <f>Emp[[#This Row],[Date]]</f>
        <v>42777</v>
      </c>
      <c r="D215" s="10">
        <f>IF(Emp[[#This Row],[Date]]="","",MONTH(Emp[[#This Row],[Date]]))</f>
        <v>2</v>
      </c>
      <c r="E215" s="64">
        <f>Emp[[#This Row],[Date]]</f>
        <v>42777</v>
      </c>
      <c r="F215" s="10">
        <f>IF(Emp[[#This Row],[Date]]="","",WEEKNUM(B215))</f>
        <v>6</v>
      </c>
      <c r="G215" s="77" t="s">
        <v>158</v>
      </c>
      <c r="H215" s="10" t="str">
        <f>IFERROR(VLOOKUP(Raw_data!$G215,Data_base!$B:$J,2,0),"")</f>
        <v>ID250091</v>
      </c>
      <c r="I215" s="10" t="str">
        <f>IFERROR(VLOOKUP(Raw_data!$G215,Data_base!$B:$J,3,0),"")</f>
        <v>Sales</v>
      </c>
      <c r="J215" s="10" t="str">
        <f>IFERROR(VLOOKUP(Raw_data!$G215,Data_base!$B:$J,4,0),"")</f>
        <v>Junior</v>
      </c>
      <c r="K215" s="13" t="str">
        <f>IFERROR(VLOOKUP(Raw_data!$G215,Data_base!$B:$J,5,0),"")</f>
        <v>F</v>
      </c>
      <c r="L215" s="13" t="str">
        <f>IFERROR(VLOOKUP(Raw_data!$G215,Data_base!$B:$J,6,0),"")</f>
        <v>Full time</v>
      </c>
      <c r="M215" s="14">
        <f>IFERROR(VLOOKUP(Raw_data!$G215,Data_base!$B:$J,7,0),"")</f>
        <v>41198</v>
      </c>
      <c r="N215" s="13">
        <f>IFERROR(VLOOKUP(Raw_data!$G215,Data_base!$B:$J,8,0),"")</f>
        <v>35</v>
      </c>
      <c r="O215" s="11">
        <f>IFERROR(VLOOKUP(Raw_data!$G215,Data_base!$B:$J,9,0),"")</f>
        <v>7562</v>
      </c>
      <c r="P215" s="78">
        <v>0</v>
      </c>
      <c r="Q215" s="78">
        <v>5</v>
      </c>
      <c r="R215" s="77">
        <v>20</v>
      </c>
      <c r="S215" s="12" t="str">
        <f>IFERROR(1-VLOOKUP(Emp[[#This Row],[Penality]],Data_base!V:W,2,FALSE),"")</f>
        <v/>
      </c>
      <c r="T215" s="12">
        <f>IFERROR(R215/VLOOKUP(D215,Data_base!S:T,2,0),"")</f>
        <v>0.83333333333333337</v>
      </c>
      <c r="U215" s="12">
        <f>IFERROR(1-Emp[[#This Row],[Activity]],"")</f>
        <v>0.16666666666666663</v>
      </c>
      <c r="V215" s="79">
        <v>0.35687908632956855</v>
      </c>
      <c r="W215" s="12">
        <f t="shared" si="3"/>
        <v>0.59510620983145102</v>
      </c>
      <c r="X215" s="78"/>
      <c r="Y215" s="12" t="str">
        <f>IFERROR(IF(Emp[[#This Row],[Increament]]="","",(Emp[[#This Row],[Increament]]/Emp[[#This Row],[Salary]])),"")</f>
        <v/>
      </c>
      <c r="Z215" s="17"/>
    </row>
    <row r="216" spans="2:26" x14ac:dyDescent="0.2">
      <c r="B216" s="75">
        <v>43057</v>
      </c>
      <c r="C216" s="38">
        <f>Emp[[#This Row],[Date]]</f>
        <v>43057</v>
      </c>
      <c r="D216" s="10">
        <f>IF(Emp[[#This Row],[Date]]="","",MONTH(Emp[[#This Row],[Date]]))</f>
        <v>11</v>
      </c>
      <c r="E216" s="64">
        <f>Emp[[#This Row],[Date]]</f>
        <v>43057</v>
      </c>
      <c r="F216" s="10">
        <f>IF(Emp[[#This Row],[Date]]="","",WEEKNUM(B216))</f>
        <v>46</v>
      </c>
      <c r="G216" s="77" t="s">
        <v>257</v>
      </c>
      <c r="H216" s="10" t="str">
        <f>IFERROR(VLOOKUP(Raw_data!$G216,Data_base!$B:$J,2,0),"")</f>
        <v>ID250190</v>
      </c>
      <c r="I216" s="10" t="str">
        <f>IFERROR(VLOOKUP(Raw_data!$G216,Data_base!$B:$J,3,0),"")</f>
        <v>Procurement</v>
      </c>
      <c r="J216" s="10" t="str">
        <f>IFERROR(VLOOKUP(Raw_data!$G216,Data_base!$B:$J,4,0),"")</f>
        <v>Workrer</v>
      </c>
      <c r="K216" s="13" t="str">
        <f>IFERROR(VLOOKUP(Raw_data!$G216,Data_base!$B:$J,5,0),"")</f>
        <v>F</v>
      </c>
      <c r="L216" s="13" t="str">
        <f>IFERROR(VLOOKUP(Raw_data!$G216,Data_base!$B:$J,6,0),"")</f>
        <v>Full time</v>
      </c>
      <c r="M216" s="14">
        <f>IFERROR(VLOOKUP(Raw_data!$G216,Data_base!$B:$J,7,0),"")</f>
        <v>43561</v>
      </c>
      <c r="N216" s="13">
        <f>IFERROR(VLOOKUP(Raw_data!$G216,Data_base!$B:$J,8,0),"")</f>
        <v>29</v>
      </c>
      <c r="O216" s="11">
        <f>IFERROR(VLOOKUP(Raw_data!$G216,Data_base!$B:$J,9,0),"")</f>
        <v>5418</v>
      </c>
      <c r="P216" s="78">
        <v>3</v>
      </c>
      <c r="Q216" s="78">
        <v>3</v>
      </c>
      <c r="R216" s="77">
        <v>19</v>
      </c>
      <c r="S216" s="12">
        <f>IFERROR(1-VLOOKUP(Emp[[#This Row],[Penality]],Data_base!V:W,2,FALSE),"")</f>
        <v>0.55000000000000004</v>
      </c>
      <c r="T216" s="12">
        <f>IFERROR(R216/VLOOKUP(D216,Data_base!S:T,2,0),"")</f>
        <v>0.82608695652173914</v>
      </c>
      <c r="U216" s="12">
        <f>IFERROR(1-Emp[[#This Row],[Activity]],"")</f>
        <v>0.17391304347826086</v>
      </c>
      <c r="V216" s="79">
        <v>0.4085361381080137</v>
      </c>
      <c r="W216" s="12">
        <f t="shared" si="3"/>
        <v>0.59487436487658429</v>
      </c>
      <c r="X216" s="78">
        <v>400</v>
      </c>
      <c r="Y216" s="12">
        <f>IFERROR(IF(Emp[[#This Row],[Increament]]="","",(Emp[[#This Row],[Increament]]/Emp[[#This Row],[Salary]])),"")</f>
        <v>7.3827980804724996E-2</v>
      </c>
      <c r="Z216" s="17"/>
    </row>
    <row r="217" spans="2:26" x14ac:dyDescent="0.2">
      <c r="B217" s="75">
        <v>42862</v>
      </c>
      <c r="C217" s="38">
        <f>Emp[[#This Row],[Date]]</f>
        <v>42862</v>
      </c>
      <c r="D217" s="10">
        <f>IF(Emp[[#This Row],[Date]]="","",MONTH(Emp[[#This Row],[Date]]))</f>
        <v>5</v>
      </c>
      <c r="E217" s="64">
        <f>Emp[[#This Row],[Date]]</f>
        <v>42862</v>
      </c>
      <c r="F217" s="10">
        <f>IF(Emp[[#This Row],[Date]]="","",WEEKNUM(B217))</f>
        <v>19</v>
      </c>
      <c r="G217" s="77" t="s">
        <v>82</v>
      </c>
      <c r="H217" s="10" t="str">
        <f>IFERROR(VLOOKUP(Raw_data!$G217,Data_base!$B:$J,2,0),"")</f>
        <v>ID250015</v>
      </c>
      <c r="I217" s="10" t="str">
        <f>IFERROR(VLOOKUP(Raw_data!$G217,Data_base!$B:$J,3,0),"")</f>
        <v>Quality</v>
      </c>
      <c r="J217" s="10" t="str">
        <f>IFERROR(VLOOKUP(Raw_data!$G217,Data_base!$B:$J,4,0),"")</f>
        <v>Senior</v>
      </c>
      <c r="K217" s="13" t="str">
        <f>IFERROR(VLOOKUP(Raw_data!$G217,Data_base!$B:$J,5,0),"")</f>
        <v>M</v>
      </c>
      <c r="L217" s="13" t="str">
        <f>IFERROR(VLOOKUP(Raw_data!$G217,Data_base!$B:$J,6,0),"")</f>
        <v>Full time</v>
      </c>
      <c r="M217" s="14">
        <f>IFERROR(VLOOKUP(Raw_data!$G217,Data_base!$B:$J,7,0),"")</f>
        <v>40681</v>
      </c>
      <c r="N217" s="13">
        <f>IFERROR(VLOOKUP(Raw_data!$G217,Data_base!$B:$J,8,0),"")</f>
        <v>44</v>
      </c>
      <c r="O217" s="11">
        <f>IFERROR(VLOOKUP(Raw_data!$G217,Data_base!$B:$J,9,0),"")</f>
        <v>8776</v>
      </c>
      <c r="P217" s="78">
        <v>2</v>
      </c>
      <c r="Q217" s="78">
        <v>4</v>
      </c>
      <c r="R217" s="77">
        <v>18</v>
      </c>
      <c r="S217" s="12">
        <f>IFERROR(1-VLOOKUP(Emp[[#This Row],[Penality]],Data_base!V:W,2,FALSE),"")</f>
        <v>0.7</v>
      </c>
      <c r="T217" s="12">
        <f>IFERROR(R217/VLOOKUP(D217,Data_base!S:T,2,0),"")</f>
        <v>0.78260869565217395</v>
      </c>
      <c r="U217" s="12">
        <f>IFERROR(1-Emp[[#This Row],[Activity]],"")</f>
        <v>0.21739130434782605</v>
      </c>
      <c r="V217" s="79">
        <v>0.26893341631217682</v>
      </c>
      <c r="W217" s="12">
        <f t="shared" si="3"/>
        <v>0.58384737065478354</v>
      </c>
      <c r="X217" s="78">
        <v>500</v>
      </c>
      <c r="Y217" s="12">
        <f>IFERROR(IF(Emp[[#This Row],[Increament]]="","",(Emp[[#This Row],[Increament]]/Emp[[#This Row],[Salary]])),"")</f>
        <v>5.6973564266180492E-2</v>
      </c>
      <c r="Z217" s="17"/>
    </row>
    <row r="218" spans="2:26" x14ac:dyDescent="0.2">
      <c r="B218" s="75">
        <v>42400</v>
      </c>
      <c r="C218" s="38">
        <f>Emp[[#This Row],[Date]]</f>
        <v>42400</v>
      </c>
      <c r="D218" s="10">
        <f>IF(Emp[[#This Row],[Date]]="","",MONTH(Emp[[#This Row],[Date]]))</f>
        <v>1</v>
      </c>
      <c r="E218" s="64">
        <f>Emp[[#This Row],[Date]]</f>
        <v>42400</v>
      </c>
      <c r="F218" s="10">
        <f>IF(Emp[[#This Row],[Date]]="","",WEEKNUM(B218))</f>
        <v>6</v>
      </c>
      <c r="G218" s="77" t="s">
        <v>182</v>
      </c>
      <c r="H218" s="10" t="str">
        <f>IFERROR(VLOOKUP(Raw_data!$G218,Data_base!$B:$J,2,0),"")</f>
        <v>ID250115</v>
      </c>
      <c r="I218" s="10" t="str">
        <f>IFERROR(VLOOKUP(Raw_data!$G218,Data_base!$B:$J,3,0),"")</f>
        <v>Procurement</v>
      </c>
      <c r="J218" s="10" t="str">
        <f>IFERROR(VLOOKUP(Raw_data!$G218,Data_base!$B:$J,4,0),"")</f>
        <v>Manager</v>
      </c>
      <c r="K218" s="13" t="str">
        <f>IFERROR(VLOOKUP(Raw_data!$G218,Data_base!$B:$J,5,0),"")</f>
        <v>M</v>
      </c>
      <c r="L218" s="13" t="str">
        <f>IFERROR(VLOOKUP(Raw_data!$G218,Data_base!$B:$J,6,0),"")</f>
        <v>Part time</v>
      </c>
      <c r="M218" s="14">
        <f>IFERROR(VLOOKUP(Raw_data!$G218,Data_base!$B:$J,7,0),"")</f>
        <v>42259</v>
      </c>
      <c r="N218" s="13">
        <f>IFERROR(VLOOKUP(Raw_data!$G218,Data_base!$B:$J,8,0),"")</f>
        <v>38</v>
      </c>
      <c r="O218" s="11">
        <f>IFERROR(VLOOKUP(Raw_data!$G218,Data_base!$B:$J,9,0),"")</f>
        <v>7671</v>
      </c>
      <c r="P218" s="78">
        <v>2</v>
      </c>
      <c r="Q218" s="78">
        <v>3</v>
      </c>
      <c r="R218" s="77">
        <v>18</v>
      </c>
      <c r="S218" s="12">
        <f>IFERROR(1-VLOOKUP(Emp[[#This Row],[Penality]],Data_base!V:W,2,FALSE),"")</f>
        <v>0.7</v>
      </c>
      <c r="T218" s="12">
        <f>IFERROR(R218/VLOOKUP(D218,Data_base!S:T,2,0),"")</f>
        <v>0.8571428571428571</v>
      </c>
      <c r="U218" s="12">
        <f>IFERROR(1-Emp[[#This Row],[Activity]],"")</f>
        <v>0.1428571428571429</v>
      </c>
      <c r="V218" s="79">
        <v>0.54457745026666138</v>
      </c>
      <c r="W218" s="12">
        <f t="shared" si="3"/>
        <v>0.70057343580317288</v>
      </c>
      <c r="X218" s="78">
        <v>1000</v>
      </c>
      <c r="Y218" s="12">
        <f>IFERROR(IF(Emp[[#This Row],[Increament]]="","",(Emp[[#This Row],[Increament]]/Emp[[#This Row],[Salary]])),"")</f>
        <v>0.1303611002476861</v>
      </c>
      <c r="Z218" s="17"/>
    </row>
    <row r="219" spans="2:26" x14ac:dyDescent="0.2">
      <c r="B219" s="75">
        <v>43163</v>
      </c>
      <c r="C219" s="38">
        <f>Emp[[#This Row],[Date]]</f>
        <v>43163</v>
      </c>
      <c r="D219" s="10">
        <f>IF(Emp[[#This Row],[Date]]="","",MONTH(Emp[[#This Row],[Date]]))</f>
        <v>3</v>
      </c>
      <c r="E219" s="64">
        <f>Emp[[#This Row],[Date]]</f>
        <v>43163</v>
      </c>
      <c r="F219" s="10">
        <f>IF(Emp[[#This Row],[Date]]="","",WEEKNUM(B219))</f>
        <v>10</v>
      </c>
      <c r="G219" s="77" t="s">
        <v>261</v>
      </c>
      <c r="H219" s="10" t="str">
        <f>IFERROR(VLOOKUP(Raw_data!$G219,Data_base!$B:$J,2,0),"")</f>
        <v>ID250194</v>
      </c>
      <c r="I219" s="10" t="str">
        <f>IFERROR(VLOOKUP(Raw_data!$G219,Data_base!$B:$J,3,0),"")</f>
        <v>HR</v>
      </c>
      <c r="J219" s="10" t="str">
        <f>IFERROR(VLOOKUP(Raw_data!$G219,Data_base!$B:$J,4,0),"")</f>
        <v>Technician</v>
      </c>
      <c r="K219" s="13" t="str">
        <f>IFERROR(VLOOKUP(Raw_data!$G219,Data_base!$B:$J,5,0),"")</f>
        <v>M</v>
      </c>
      <c r="L219" s="13" t="str">
        <f>IFERROR(VLOOKUP(Raw_data!$G219,Data_base!$B:$J,6,0),"")</f>
        <v>Full time</v>
      </c>
      <c r="M219" s="14">
        <f>IFERROR(VLOOKUP(Raw_data!$G219,Data_base!$B:$J,7,0),"")</f>
        <v>41520</v>
      </c>
      <c r="N219" s="13">
        <f>IFERROR(VLOOKUP(Raw_data!$G219,Data_base!$B:$J,8,0),"")</f>
        <v>39</v>
      </c>
      <c r="O219" s="11">
        <f>IFERROR(VLOOKUP(Raw_data!$G219,Data_base!$B:$J,9,0),"")</f>
        <v>9545</v>
      </c>
      <c r="P219" s="78">
        <v>3</v>
      </c>
      <c r="Q219" s="78">
        <v>2</v>
      </c>
      <c r="R219" s="77">
        <v>19</v>
      </c>
      <c r="S219" s="12">
        <f>IFERROR(1-VLOOKUP(Emp[[#This Row],[Penality]],Data_base!V:W,2,FALSE),"")</f>
        <v>0.55000000000000004</v>
      </c>
      <c r="T219" s="12">
        <f>IFERROR(R219/VLOOKUP(D219,Data_base!S:T,2,0),"")</f>
        <v>0.82608695652173914</v>
      </c>
      <c r="U219" s="12">
        <f>IFERROR(1-Emp[[#This Row],[Activity]],"")</f>
        <v>0.17391304347826086</v>
      </c>
      <c r="V219" s="79">
        <v>0.95776365012394482</v>
      </c>
      <c r="W219" s="12">
        <f t="shared" si="3"/>
        <v>0.77795020221522793</v>
      </c>
      <c r="X219" s="78"/>
      <c r="Y219" s="12" t="str">
        <f>IFERROR(IF(Emp[[#This Row],[Increament]]="","",(Emp[[#This Row],[Increament]]/Emp[[#This Row],[Salary]])),"")</f>
        <v/>
      </c>
      <c r="Z219" s="17"/>
    </row>
    <row r="220" spans="2:26" x14ac:dyDescent="0.2">
      <c r="B220" s="75">
        <v>43734</v>
      </c>
      <c r="C220" s="38">
        <f>Emp[[#This Row],[Date]]</f>
        <v>43734</v>
      </c>
      <c r="D220" s="10">
        <f>IF(Emp[[#This Row],[Date]]="","",MONTH(Emp[[#This Row],[Date]]))</f>
        <v>9</v>
      </c>
      <c r="E220" s="64">
        <f>Emp[[#This Row],[Date]]</f>
        <v>43734</v>
      </c>
      <c r="F220" s="10">
        <f>IF(Emp[[#This Row],[Date]]="","",WEEKNUM(B220))</f>
        <v>39</v>
      </c>
      <c r="G220" s="77" t="s">
        <v>204</v>
      </c>
      <c r="H220" s="10" t="str">
        <f>IFERROR(VLOOKUP(Raw_data!$G220,Data_base!$B:$J,2,0),"")</f>
        <v>ID250137</v>
      </c>
      <c r="I220" s="10" t="str">
        <f>IFERROR(VLOOKUP(Raw_data!$G220,Data_base!$B:$J,3,0),"")</f>
        <v>Sales</v>
      </c>
      <c r="J220" s="10" t="str">
        <f>IFERROR(VLOOKUP(Raw_data!$G220,Data_base!$B:$J,4,0),"")</f>
        <v>Workrer</v>
      </c>
      <c r="K220" s="13" t="str">
        <f>IFERROR(VLOOKUP(Raw_data!$G220,Data_base!$B:$J,5,0),"")</f>
        <v>F</v>
      </c>
      <c r="L220" s="13" t="str">
        <f>IFERROR(VLOOKUP(Raw_data!$G220,Data_base!$B:$J,6,0),"")</f>
        <v>Full time</v>
      </c>
      <c r="M220" s="14">
        <f>IFERROR(VLOOKUP(Raw_data!$G220,Data_base!$B:$J,7,0),"")</f>
        <v>42546</v>
      </c>
      <c r="N220" s="13">
        <f>IFERROR(VLOOKUP(Raw_data!$G220,Data_base!$B:$J,8,0),"")</f>
        <v>31</v>
      </c>
      <c r="O220" s="11">
        <f>IFERROR(VLOOKUP(Raw_data!$G220,Data_base!$B:$J,9,0),"")</f>
        <v>7454</v>
      </c>
      <c r="P220" s="78">
        <v>1</v>
      </c>
      <c r="Q220" s="78">
        <v>1</v>
      </c>
      <c r="R220" s="77">
        <v>19</v>
      </c>
      <c r="S220" s="12">
        <f>IFERROR(1-VLOOKUP(Emp[[#This Row],[Penality]],Data_base!V:W,2,FALSE),"")</f>
        <v>0.85</v>
      </c>
      <c r="T220" s="12">
        <f>IFERROR(R220/VLOOKUP(D220,Data_base!S:T,2,0),"")</f>
        <v>0.79166666666666663</v>
      </c>
      <c r="U220" s="12">
        <f>IFERROR(1-Emp[[#This Row],[Activity]],"")</f>
        <v>0.20833333333333337</v>
      </c>
      <c r="V220" s="79">
        <v>0.23375257701325303</v>
      </c>
      <c r="W220" s="12">
        <f t="shared" si="3"/>
        <v>0.62513974789330662</v>
      </c>
      <c r="X220" s="78"/>
      <c r="Y220" s="12" t="str">
        <f>IFERROR(IF(Emp[[#This Row],[Increament]]="","",(Emp[[#This Row],[Increament]]/Emp[[#This Row],[Salary]])),"")</f>
        <v/>
      </c>
      <c r="Z220" s="17"/>
    </row>
    <row r="221" spans="2:26" x14ac:dyDescent="0.2">
      <c r="B221" s="75">
        <v>42587</v>
      </c>
      <c r="C221" s="38">
        <f>Emp[[#This Row],[Date]]</f>
        <v>42587</v>
      </c>
      <c r="D221" s="10">
        <f>IF(Emp[[#This Row],[Date]]="","",MONTH(Emp[[#This Row],[Date]]))</f>
        <v>8</v>
      </c>
      <c r="E221" s="64">
        <f>Emp[[#This Row],[Date]]</f>
        <v>42587</v>
      </c>
      <c r="F221" s="10">
        <f>IF(Emp[[#This Row],[Date]]="","",WEEKNUM(B221))</f>
        <v>32</v>
      </c>
      <c r="G221" s="77" t="s">
        <v>167</v>
      </c>
      <c r="H221" s="10" t="str">
        <f>IFERROR(VLOOKUP(Raw_data!$G221,Data_base!$B:$J,2,0),"")</f>
        <v>ID250100</v>
      </c>
      <c r="I221" s="10" t="str">
        <f>IFERROR(VLOOKUP(Raw_data!$G221,Data_base!$B:$J,3,0),"")</f>
        <v>Procurement</v>
      </c>
      <c r="J221" s="10" t="str">
        <f>IFERROR(VLOOKUP(Raw_data!$G221,Data_base!$B:$J,4,0),"")</f>
        <v>Junior</v>
      </c>
      <c r="K221" s="13" t="str">
        <f>IFERROR(VLOOKUP(Raw_data!$G221,Data_base!$B:$J,5,0),"")</f>
        <v>F</v>
      </c>
      <c r="L221" s="13" t="str">
        <f>IFERROR(VLOOKUP(Raw_data!$G221,Data_base!$B:$J,6,0),"")</f>
        <v>Full time</v>
      </c>
      <c r="M221" s="14">
        <f>IFERROR(VLOOKUP(Raw_data!$G221,Data_base!$B:$J,7,0),"")</f>
        <v>43573</v>
      </c>
      <c r="N221" s="13">
        <f>IFERROR(VLOOKUP(Raw_data!$G221,Data_base!$B:$J,8,0),"")</f>
        <v>43</v>
      </c>
      <c r="O221" s="11">
        <f>IFERROR(VLOOKUP(Raw_data!$G221,Data_base!$B:$J,9,0),"")</f>
        <v>6182</v>
      </c>
      <c r="P221" s="78">
        <v>1</v>
      </c>
      <c r="Q221" s="78">
        <v>3</v>
      </c>
      <c r="R221" s="77">
        <v>17</v>
      </c>
      <c r="S221" s="12">
        <f>IFERROR(1-VLOOKUP(Emp[[#This Row],[Penality]],Data_base!V:W,2,FALSE),"")</f>
        <v>0.85</v>
      </c>
      <c r="T221" s="12">
        <f>IFERROR(R221/VLOOKUP(D221,Data_base!S:T,2,0),"")</f>
        <v>0.85</v>
      </c>
      <c r="U221" s="12">
        <f>IFERROR(1-Emp[[#This Row],[Activity]],"")</f>
        <v>0.15000000000000002</v>
      </c>
      <c r="V221" s="79">
        <v>0.24178748563180696</v>
      </c>
      <c r="W221" s="12">
        <f t="shared" si="3"/>
        <v>0.64726249521060231</v>
      </c>
      <c r="X221" s="78"/>
      <c r="Y221" s="12" t="str">
        <f>IFERROR(IF(Emp[[#This Row],[Increament]]="","",(Emp[[#This Row],[Increament]]/Emp[[#This Row],[Salary]])),"")</f>
        <v/>
      </c>
      <c r="Z221" s="17"/>
    </row>
    <row r="222" spans="2:26" x14ac:dyDescent="0.2">
      <c r="B222" s="75">
        <v>42371</v>
      </c>
      <c r="C222" s="38">
        <f>Emp[[#This Row],[Date]]</f>
        <v>42371</v>
      </c>
      <c r="D222" s="10">
        <f>IF(Emp[[#This Row],[Date]]="","",MONTH(Emp[[#This Row],[Date]]))</f>
        <v>1</v>
      </c>
      <c r="E222" s="64">
        <f>Emp[[#This Row],[Date]]</f>
        <v>42371</v>
      </c>
      <c r="F222" s="10">
        <f>IF(Emp[[#This Row],[Date]]="","",WEEKNUM(B222))</f>
        <v>1</v>
      </c>
      <c r="G222" s="77" t="s">
        <v>104</v>
      </c>
      <c r="H222" s="10" t="str">
        <f>IFERROR(VLOOKUP(Raw_data!$G222,Data_base!$B:$J,2,0),"")</f>
        <v>ID250037</v>
      </c>
      <c r="I222" s="10" t="str">
        <f>IFERROR(VLOOKUP(Raw_data!$G222,Data_base!$B:$J,3,0),"")</f>
        <v>Procurement</v>
      </c>
      <c r="J222" s="10" t="str">
        <f>IFERROR(VLOOKUP(Raw_data!$G222,Data_base!$B:$J,4,0),"")</f>
        <v>Senior</v>
      </c>
      <c r="K222" s="13" t="str">
        <f>IFERROR(VLOOKUP(Raw_data!$G222,Data_base!$B:$J,5,0),"")</f>
        <v>F</v>
      </c>
      <c r="L222" s="13" t="str">
        <f>IFERROR(VLOOKUP(Raw_data!$G222,Data_base!$B:$J,6,0),"")</f>
        <v>Part time</v>
      </c>
      <c r="M222" s="14">
        <f>IFERROR(VLOOKUP(Raw_data!$G222,Data_base!$B:$J,7,0),"")</f>
        <v>42652</v>
      </c>
      <c r="N222" s="13">
        <f>IFERROR(VLOOKUP(Raw_data!$G222,Data_base!$B:$J,8,0),"")</f>
        <v>35</v>
      </c>
      <c r="O222" s="11">
        <f>IFERROR(VLOOKUP(Raw_data!$G222,Data_base!$B:$J,9,0),"")</f>
        <v>8906</v>
      </c>
      <c r="P222" s="78">
        <v>3</v>
      </c>
      <c r="Q222" s="78">
        <v>1</v>
      </c>
      <c r="R222" s="77">
        <v>19</v>
      </c>
      <c r="S222" s="12">
        <f>IFERROR(1-VLOOKUP(Emp[[#This Row],[Penality]],Data_base!V:W,2,FALSE),"")</f>
        <v>0.55000000000000004</v>
      </c>
      <c r="T222" s="12">
        <f>IFERROR(R222/VLOOKUP(D222,Data_base!S:T,2,0),"")</f>
        <v>0.90476190476190477</v>
      </c>
      <c r="U222" s="12">
        <f>IFERROR(1-Emp[[#This Row],[Activity]],"")</f>
        <v>9.5238095238095233E-2</v>
      </c>
      <c r="V222" s="79">
        <v>0.49659943063224965</v>
      </c>
      <c r="W222" s="12">
        <f t="shared" si="3"/>
        <v>0.65045377846471808</v>
      </c>
      <c r="X222" s="78"/>
      <c r="Y222" s="12" t="str">
        <f>IFERROR(IF(Emp[[#This Row],[Increament]]="","",(Emp[[#This Row],[Increament]]/Emp[[#This Row],[Salary]])),"")</f>
        <v/>
      </c>
      <c r="Z222" s="17"/>
    </row>
    <row r="223" spans="2:26" x14ac:dyDescent="0.2">
      <c r="B223" s="75">
        <v>43602</v>
      </c>
      <c r="C223" s="38">
        <f>Emp[[#This Row],[Date]]</f>
        <v>43602</v>
      </c>
      <c r="D223" s="10">
        <f>IF(Emp[[#This Row],[Date]]="","",MONTH(Emp[[#This Row],[Date]]))</f>
        <v>5</v>
      </c>
      <c r="E223" s="64">
        <f>Emp[[#This Row],[Date]]</f>
        <v>43602</v>
      </c>
      <c r="F223" s="10">
        <f>IF(Emp[[#This Row],[Date]]="","",WEEKNUM(B223))</f>
        <v>20</v>
      </c>
      <c r="G223" s="77" t="s">
        <v>160</v>
      </c>
      <c r="H223" s="10" t="str">
        <f>IFERROR(VLOOKUP(Raw_data!$G223,Data_base!$B:$J,2,0),"")</f>
        <v>ID250093</v>
      </c>
      <c r="I223" s="10" t="str">
        <f>IFERROR(VLOOKUP(Raw_data!$G223,Data_base!$B:$J,3,0),"")</f>
        <v>Procurement</v>
      </c>
      <c r="J223" s="10" t="str">
        <f>IFERROR(VLOOKUP(Raw_data!$G223,Data_base!$B:$J,4,0),"")</f>
        <v>Junior</v>
      </c>
      <c r="K223" s="13" t="str">
        <f>IFERROR(VLOOKUP(Raw_data!$G223,Data_base!$B:$J,5,0),"")</f>
        <v>F</v>
      </c>
      <c r="L223" s="13" t="str">
        <f>IFERROR(VLOOKUP(Raw_data!$G223,Data_base!$B:$J,6,0),"")</f>
        <v>Full time</v>
      </c>
      <c r="M223" s="14">
        <f>IFERROR(VLOOKUP(Raw_data!$G223,Data_base!$B:$J,7,0),"")</f>
        <v>43154</v>
      </c>
      <c r="N223" s="13">
        <f>IFERROR(VLOOKUP(Raw_data!$G223,Data_base!$B:$J,8,0),"")</f>
        <v>42</v>
      </c>
      <c r="O223" s="11">
        <f>IFERROR(VLOOKUP(Raw_data!$G223,Data_base!$B:$J,9,0),"")</f>
        <v>5510</v>
      </c>
      <c r="P223" s="78">
        <v>2</v>
      </c>
      <c r="Q223" s="78">
        <v>4</v>
      </c>
      <c r="R223" s="77">
        <v>18</v>
      </c>
      <c r="S223" s="12">
        <f>IFERROR(1-VLOOKUP(Emp[[#This Row],[Penality]],Data_base!V:W,2,FALSE),"")</f>
        <v>0.7</v>
      </c>
      <c r="T223" s="12">
        <f>IFERROR(R223/VLOOKUP(D223,Data_base!S:T,2,0),"")</f>
        <v>0.78260869565217395</v>
      </c>
      <c r="U223" s="12">
        <f>IFERROR(1-Emp[[#This Row],[Activity]],"")</f>
        <v>0.21739130434782605</v>
      </c>
      <c r="V223" s="79">
        <v>0.70339403207755113</v>
      </c>
      <c r="W223" s="12">
        <f t="shared" si="3"/>
        <v>0.72866757590990827</v>
      </c>
      <c r="X223" s="78">
        <v>700</v>
      </c>
      <c r="Y223" s="12">
        <f>IFERROR(IF(Emp[[#This Row],[Increament]]="","",(Emp[[#This Row],[Increament]]/Emp[[#This Row],[Salary]])),"")</f>
        <v>0.12704174228675136</v>
      </c>
      <c r="Z223" s="17"/>
    </row>
    <row r="224" spans="2:26" x14ac:dyDescent="0.2">
      <c r="B224" s="75">
        <v>43485</v>
      </c>
      <c r="C224" s="38">
        <f>Emp[[#This Row],[Date]]</f>
        <v>43485</v>
      </c>
      <c r="D224" s="10">
        <f>IF(Emp[[#This Row],[Date]]="","",MONTH(Emp[[#This Row],[Date]]))</f>
        <v>1</v>
      </c>
      <c r="E224" s="64">
        <f>Emp[[#This Row],[Date]]</f>
        <v>43485</v>
      </c>
      <c r="F224" s="10">
        <f>IF(Emp[[#This Row],[Date]]="","",WEEKNUM(B224))</f>
        <v>4</v>
      </c>
      <c r="G224" s="77" t="s">
        <v>115</v>
      </c>
      <c r="H224" s="10" t="str">
        <f>IFERROR(VLOOKUP(Raw_data!$G224,Data_base!$B:$J,2,0),"")</f>
        <v>ID250048</v>
      </c>
      <c r="I224" s="10" t="str">
        <f>IFERROR(VLOOKUP(Raw_data!$G224,Data_base!$B:$J,3,0),"")</f>
        <v>Sales</v>
      </c>
      <c r="J224" s="10" t="str">
        <f>IFERROR(VLOOKUP(Raw_data!$G224,Data_base!$B:$J,4,0),"")</f>
        <v>Workrer</v>
      </c>
      <c r="K224" s="13" t="str">
        <f>IFERROR(VLOOKUP(Raw_data!$G224,Data_base!$B:$J,5,0),"")</f>
        <v>F</v>
      </c>
      <c r="L224" s="13" t="str">
        <f>IFERROR(VLOOKUP(Raw_data!$G224,Data_base!$B:$J,6,0),"")</f>
        <v>Full time</v>
      </c>
      <c r="M224" s="14">
        <f>IFERROR(VLOOKUP(Raw_data!$G224,Data_base!$B:$J,7,0),"")</f>
        <v>43696</v>
      </c>
      <c r="N224" s="13">
        <f>IFERROR(VLOOKUP(Raw_data!$G224,Data_base!$B:$J,8,0),"")</f>
        <v>36</v>
      </c>
      <c r="O224" s="11">
        <f>IFERROR(VLOOKUP(Raw_data!$G224,Data_base!$B:$J,9,0),"")</f>
        <v>7550</v>
      </c>
      <c r="P224" s="78">
        <v>2</v>
      </c>
      <c r="Q224" s="78">
        <v>5</v>
      </c>
      <c r="R224" s="77">
        <v>19</v>
      </c>
      <c r="S224" s="12">
        <f>IFERROR(1-VLOOKUP(Emp[[#This Row],[Penality]],Data_base!V:W,2,FALSE),"")</f>
        <v>0.7</v>
      </c>
      <c r="T224" s="12">
        <f>IFERROR(R224/VLOOKUP(D224,Data_base!S:T,2,0),"")</f>
        <v>0.90476190476190477</v>
      </c>
      <c r="U224" s="12">
        <f>IFERROR(1-Emp[[#This Row],[Activity]],"")</f>
        <v>9.5238095238095233E-2</v>
      </c>
      <c r="V224" s="79">
        <v>0.76516410671209378</v>
      </c>
      <c r="W224" s="12">
        <f t="shared" si="3"/>
        <v>0.78997533715799939</v>
      </c>
      <c r="X224" s="78"/>
      <c r="Y224" s="12" t="str">
        <f>IFERROR(IF(Emp[[#This Row],[Increament]]="","",(Emp[[#This Row],[Increament]]/Emp[[#This Row],[Salary]])),"")</f>
        <v/>
      </c>
      <c r="Z224" s="17"/>
    </row>
  </sheetData>
  <sheetProtection sheet="1" selectLockedCells="1"/>
  <dataValidations count="1">
    <dataValidation type="list" allowBlank="1" showInputMessage="1" showErrorMessage="1" sqref="G3:G224" xr:uid="{CFE1AE61-12FE-4FAD-A8CE-6A78A59BEC8C}">
      <formula1>Employees</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EECB74-337B-4ED1-A15B-2DAC73CA5CFC}">
          <x14:formula1>
            <xm:f>Data_base!$P$4:$P$8</xm:f>
          </x14:formula1>
          <xm:sqref>Q3:Q224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F50F-8E0B-4441-874A-5E2106CE6435}">
  <sheetPr codeName="Sheet4">
    <tabColor rgb="FF8FCFAD"/>
  </sheetPr>
  <dimension ref="A1:AA293"/>
  <sheetViews>
    <sheetView showGridLines="0" showRowColHeaders="0" zoomScale="80" zoomScaleNormal="80" workbookViewId="0">
      <selection activeCell="N21" sqref="N21"/>
    </sheetView>
  </sheetViews>
  <sheetFormatPr defaultColWidth="0" defaultRowHeight="12.75" x14ac:dyDescent="0.2"/>
  <cols>
    <col min="1" max="1" width="4.28515625" style="76" customWidth="1"/>
    <col min="2" max="2" width="16" style="90" customWidth="1"/>
    <col min="3" max="7" width="10.7109375" style="87" customWidth="1"/>
    <col min="8" max="8" width="10.7109375" style="91" customWidth="1"/>
    <col min="9" max="9" width="10.7109375" style="87" customWidth="1"/>
    <col min="10" max="10" width="10.7109375" style="89" customWidth="1"/>
    <col min="11" max="11" width="4" style="76" customWidth="1"/>
    <col min="12" max="16" width="10.7109375" style="76" customWidth="1"/>
    <col min="17" max="17" width="2.85546875" style="76" customWidth="1"/>
    <col min="18" max="19" width="10.7109375" style="76" customWidth="1"/>
    <col min="20" max="20" width="11.85546875" style="76" bestFit="1" customWidth="1"/>
    <col min="21" max="25" width="10.7109375" style="76" customWidth="1"/>
    <col min="26" max="16384" width="10.7109375" style="76" hidden="1"/>
  </cols>
  <sheetData>
    <row r="1" spans="2:27" x14ac:dyDescent="0.2">
      <c r="B1" s="76"/>
      <c r="C1" s="76"/>
      <c r="D1" s="76"/>
      <c r="E1" s="76"/>
      <c r="F1" s="76"/>
      <c r="G1" s="76"/>
      <c r="H1" s="76"/>
      <c r="I1" s="76"/>
      <c r="J1" s="76"/>
    </row>
    <row r="2" spans="2:27" x14ac:dyDescent="0.2">
      <c r="B2" s="3" t="s">
        <v>38</v>
      </c>
      <c r="C2" s="76"/>
      <c r="D2" s="76"/>
      <c r="E2" s="76"/>
      <c r="F2" s="76"/>
      <c r="G2" s="76"/>
      <c r="H2" s="76"/>
      <c r="I2" s="76"/>
      <c r="J2" s="76"/>
      <c r="L2" s="3" t="s">
        <v>64</v>
      </c>
      <c r="M2" s="3"/>
      <c r="N2" s="1"/>
      <c r="O2" s="1"/>
      <c r="P2" s="1"/>
      <c r="R2" s="3" t="s">
        <v>357</v>
      </c>
      <c r="S2" s="3"/>
      <c r="T2" s="1"/>
      <c r="V2" s="3" t="s">
        <v>690</v>
      </c>
      <c r="W2" s="1"/>
    </row>
    <row r="3" spans="2:27" x14ac:dyDescent="0.2">
      <c r="B3" s="96" t="s">
        <v>35</v>
      </c>
      <c r="C3" s="96" t="s">
        <v>36</v>
      </c>
      <c r="D3" s="96" t="s">
        <v>37</v>
      </c>
      <c r="E3" s="96" t="s">
        <v>0</v>
      </c>
      <c r="F3" s="96" t="s">
        <v>28</v>
      </c>
      <c r="G3" s="96" t="s">
        <v>29</v>
      </c>
      <c r="H3" s="96" t="s">
        <v>65</v>
      </c>
      <c r="I3" s="96" t="s">
        <v>41</v>
      </c>
      <c r="J3" s="96" t="s">
        <v>39</v>
      </c>
      <c r="L3" s="95" t="s">
        <v>27</v>
      </c>
      <c r="M3" s="95" t="s">
        <v>0</v>
      </c>
      <c r="N3" s="95" t="s">
        <v>28</v>
      </c>
      <c r="O3" s="95" t="s">
        <v>29</v>
      </c>
      <c r="P3" s="95" t="s">
        <v>31</v>
      </c>
      <c r="R3" s="94" t="s">
        <v>33</v>
      </c>
      <c r="S3" s="94" t="s">
        <v>54</v>
      </c>
      <c r="T3" s="94" t="s">
        <v>51</v>
      </c>
      <c r="V3" s="94" t="s">
        <v>691</v>
      </c>
      <c r="W3" s="94" t="s">
        <v>692</v>
      </c>
      <c r="AA3" s="76" t="s">
        <v>688</v>
      </c>
    </row>
    <row r="4" spans="2:27" x14ac:dyDescent="0.2">
      <c r="B4" s="82" t="s">
        <v>68</v>
      </c>
      <c r="C4" s="83" t="s">
        <v>384</v>
      </c>
      <c r="D4" s="83" t="s">
        <v>46</v>
      </c>
      <c r="E4" s="83" t="s">
        <v>57</v>
      </c>
      <c r="F4" s="83" t="s">
        <v>66</v>
      </c>
      <c r="G4" s="83" t="s">
        <v>44</v>
      </c>
      <c r="H4" s="84">
        <v>41076</v>
      </c>
      <c r="I4" s="83">
        <v>31</v>
      </c>
      <c r="J4" s="85">
        <v>4729</v>
      </c>
      <c r="L4" s="76" t="s">
        <v>45</v>
      </c>
      <c r="M4" s="76" t="s">
        <v>55</v>
      </c>
      <c r="N4" s="76" t="s">
        <v>66</v>
      </c>
      <c r="O4" s="76" t="s">
        <v>43</v>
      </c>
      <c r="P4" s="76">
        <v>1</v>
      </c>
      <c r="R4" s="92" t="s">
        <v>53</v>
      </c>
      <c r="S4" s="93">
        <v>1</v>
      </c>
      <c r="T4" s="76">
        <v>21</v>
      </c>
      <c r="V4" s="93">
        <v>1</v>
      </c>
      <c r="W4" s="86">
        <v>0.15</v>
      </c>
      <c r="AA4" s="76" t="str">
        <f>IF(C4="","",B4)</f>
        <v>employee 1</v>
      </c>
    </row>
    <row r="5" spans="2:27" x14ac:dyDescent="0.2">
      <c r="B5" s="82" t="s">
        <v>69</v>
      </c>
      <c r="C5" s="87" t="s">
        <v>385</v>
      </c>
      <c r="D5" s="87" t="s">
        <v>49</v>
      </c>
      <c r="E5" s="87" t="s">
        <v>58</v>
      </c>
      <c r="F5" s="87" t="s">
        <v>67</v>
      </c>
      <c r="G5" s="87" t="s">
        <v>44</v>
      </c>
      <c r="H5" s="88">
        <v>42257</v>
      </c>
      <c r="I5" s="87">
        <v>36</v>
      </c>
      <c r="J5" s="89">
        <v>8587</v>
      </c>
      <c r="L5" s="76" t="s">
        <v>12</v>
      </c>
      <c r="M5" s="76" t="s">
        <v>56</v>
      </c>
      <c r="N5" s="76" t="s">
        <v>67</v>
      </c>
      <c r="O5" s="76" t="s">
        <v>44</v>
      </c>
      <c r="P5" s="76">
        <v>2</v>
      </c>
      <c r="R5" s="92" t="s">
        <v>13</v>
      </c>
      <c r="S5" s="93">
        <v>2</v>
      </c>
      <c r="T5" s="76">
        <v>24</v>
      </c>
      <c r="V5" s="93">
        <v>2</v>
      </c>
      <c r="W5" s="86">
        <v>0.3</v>
      </c>
      <c r="AA5" s="76" t="str">
        <f t="shared" ref="AA5:AA68" si="0">IF(C5="","",B5)</f>
        <v>employee 2</v>
      </c>
    </row>
    <row r="6" spans="2:27" x14ac:dyDescent="0.2">
      <c r="B6" s="82" t="s">
        <v>70</v>
      </c>
      <c r="C6" s="87" t="s">
        <v>386</v>
      </c>
      <c r="D6" s="87" t="s">
        <v>45</v>
      </c>
      <c r="E6" s="87" t="s">
        <v>63</v>
      </c>
      <c r="F6" s="87" t="s">
        <v>66</v>
      </c>
      <c r="G6" s="87" t="s">
        <v>44</v>
      </c>
      <c r="H6" s="88">
        <v>42685</v>
      </c>
      <c r="I6" s="87">
        <v>44</v>
      </c>
      <c r="J6" s="89">
        <v>5269</v>
      </c>
      <c r="L6" s="76" t="s">
        <v>46</v>
      </c>
      <c r="M6" s="76" t="s">
        <v>63</v>
      </c>
      <c r="P6" s="76">
        <v>3</v>
      </c>
      <c r="R6" s="92" t="s">
        <v>14</v>
      </c>
      <c r="S6" s="93">
        <v>3</v>
      </c>
      <c r="T6" s="76">
        <v>23</v>
      </c>
      <c r="V6" s="93">
        <v>3</v>
      </c>
      <c r="W6" s="86">
        <v>0.45</v>
      </c>
      <c r="AA6" s="76" t="str">
        <f t="shared" si="0"/>
        <v>employee 3</v>
      </c>
    </row>
    <row r="7" spans="2:27" x14ac:dyDescent="0.2">
      <c r="B7" s="82" t="s">
        <v>71</v>
      </c>
      <c r="C7" s="87" t="s">
        <v>387</v>
      </c>
      <c r="D7" s="87" t="s">
        <v>48</v>
      </c>
      <c r="E7" s="87" t="s">
        <v>63</v>
      </c>
      <c r="F7" s="87" t="s">
        <v>66</v>
      </c>
      <c r="G7" s="87" t="s">
        <v>44</v>
      </c>
      <c r="H7" s="88">
        <v>40661</v>
      </c>
      <c r="I7" s="87">
        <v>42</v>
      </c>
      <c r="J7" s="89">
        <v>8895</v>
      </c>
      <c r="L7" s="76" t="s">
        <v>42</v>
      </c>
      <c r="M7" s="76" t="s">
        <v>57</v>
      </c>
      <c r="P7" s="76">
        <v>4</v>
      </c>
      <c r="R7" s="92" t="s">
        <v>15</v>
      </c>
      <c r="S7" s="93">
        <v>4</v>
      </c>
      <c r="T7" s="76">
        <v>24</v>
      </c>
      <c r="V7" s="93">
        <v>4</v>
      </c>
      <c r="W7" s="86">
        <v>0.6</v>
      </c>
      <c r="AA7" s="76" t="str">
        <f t="shared" si="0"/>
        <v>employee 4</v>
      </c>
    </row>
    <row r="8" spans="2:27" x14ac:dyDescent="0.2">
      <c r="B8" s="82" t="s">
        <v>72</v>
      </c>
      <c r="C8" s="87" t="s">
        <v>388</v>
      </c>
      <c r="D8" s="87" t="s">
        <v>50</v>
      </c>
      <c r="E8" s="87" t="s">
        <v>57</v>
      </c>
      <c r="F8" s="87" t="s">
        <v>67</v>
      </c>
      <c r="G8" s="87" t="s">
        <v>43</v>
      </c>
      <c r="H8" s="88">
        <v>43718</v>
      </c>
      <c r="I8" s="87">
        <v>35</v>
      </c>
      <c r="J8" s="89">
        <v>8121</v>
      </c>
      <c r="L8" s="76" t="s">
        <v>47</v>
      </c>
      <c r="M8" s="76" t="s">
        <v>58</v>
      </c>
      <c r="P8" s="76">
        <v>5</v>
      </c>
      <c r="R8" s="92" t="s">
        <v>16</v>
      </c>
      <c r="S8" s="93">
        <v>5</v>
      </c>
      <c r="T8" s="76">
        <v>23</v>
      </c>
      <c r="V8" s="93">
        <v>5</v>
      </c>
      <c r="W8" s="86">
        <v>0.75</v>
      </c>
      <c r="AA8" s="76" t="str">
        <f t="shared" si="0"/>
        <v>employee 5</v>
      </c>
    </row>
    <row r="9" spans="2:27" x14ac:dyDescent="0.2">
      <c r="B9" s="82" t="s">
        <v>73</v>
      </c>
      <c r="C9" s="87" t="s">
        <v>389</v>
      </c>
      <c r="D9" s="87" t="s">
        <v>42</v>
      </c>
      <c r="E9" s="87" t="s">
        <v>59</v>
      </c>
      <c r="F9" s="87" t="s">
        <v>67</v>
      </c>
      <c r="G9" s="87" t="s">
        <v>44</v>
      </c>
      <c r="H9" s="88">
        <v>42383</v>
      </c>
      <c r="I9" s="87">
        <v>38</v>
      </c>
      <c r="J9" s="89">
        <v>7033</v>
      </c>
      <c r="L9" s="76" t="s">
        <v>48</v>
      </c>
      <c r="M9" s="76" t="s">
        <v>59</v>
      </c>
      <c r="R9" s="92" t="s">
        <v>17</v>
      </c>
      <c r="S9" s="93">
        <v>6</v>
      </c>
      <c r="T9" s="76">
        <v>20</v>
      </c>
      <c r="V9" s="93">
        <v>6</v>
      </c>
      <c r="W9" s="86">
        <v>0.9</v>
      </c>
      <c r="AA9" s="76" t="str">
        <f t="shared" si="0"/>
        <v>employee 6</v>
      </c>
    </row>
    <row r="10" spans="2:27" x14ac:dyDescent="0.2">
      <c r="B10" s="82" t="s">
        <v>74</v>
      </c>
      <c r="C10" s="87" t="s">
        <v>390</v>
      </c>
      <c r="D10" s="87" t="s">
        <v>49</v>
      </c>
      <c r="E10" s="87" t="s">
        <v>59</v>
      </c>
      <c r="F10" s="87" t="s">
        <v>66</v>
      </c>
      <c r="G10" s="87" t="s">
        <v>44</v>
      </c>
      <c r="H10" s="88">
        <v>42868</v>
      </c>
      <c r="I10" s="87">
        <v>40</v>
      </c>
      <c r="J10" s="89">
        <v>5103</v>
      </c>
      <c r="L10" s="76" t="s">
        <v>49</v>
      </c>
      <c r="R10" s="92" t="s">
        <v>18</v>
      </c>
      <c r="S10" s="93">
        <v>7</v>
      </c>
      <c r="T10" s="76">
        <v>22</v>
      </c>
      <c r="V10" s="93">
        <v>7</v>
      </c>
      <c r="W10" s="86">
        <v>1</v>
      </c>
      <c r="AA10" s="76" t="str">
        <f t="shared" si="0"/>
        <v>employee 7</v>
      </c>
    </row>
    <row r="11" spans="2:27" x14ac:dyDescent="0.2">
      <c r="B11" s="82" t="s">
        <v>75</v>
      </c>
      <c r="C11" s="87" t="s">
        <v>391</v>
      </c>
      <c r="D11" s="87" t="s">
        <v>45</v>
      </c>
      <c r="E11" s="87" t="s">
        <v>59</v>
      </c>
      <c r="F11" s="87" t="s">
        <v>67</v>
      </c>
      <c r="G11" s="87" t="s">
        <v>43</v>
      </c>
      <c r="H11" s="88">
        <v>40720</v>
      </c>
      <c r="I11" s="87">
        <v>44</v>
      </c>
      <c r="J11" s="89">
        <v>5116</v>
      </c>
      <c r="L11" s="76" t="s">
        <v>50</v>
      </c>
      <c r="R11" s="92" t="s">
        <v>19</v>
      </c>
      <c r="S11" s="93">
        <v>8</v>
      </c>
      <c r="T11" s="76">
        <v>20</v>
      </c>
      <c r="V11" s="93">
        <v>8</v>
      </c>
      <c r="W11" s="86">
        <v>1</v>
      </c>
      <c r="AA11" s="76" t="str">
        <f t="shared" si="0"/>
        <v>employee 8</v>
      </c>
    </row>
    <row r="12" spans="2:27" x14ac:dyDescent="0.2">
      <c r="B12" s="82" t="s">
        <v>76</v>
      </c>
      <c r="C12" s="87" t="s">
        <v>392</v>
      </c>
      <c r="D12" s="87" t="s">
        <v>45</v>
      </c>
      <c r="E12" s="87" t="s">
        <v>57</v>
      </c>
      <c r="F12" s="87" t="s">
        <v>66</v>
      </c>
      <c r="G12" s="87" t="s">
        <v>44</v>
      </c>
      <c r="H12" s="88">
        <v>41256</v>
      </c>
      <c r="I12" s="87">
        <v>43</v>
      </c>
      <c r="J12" s="89">
        <v>7805</v>
      </c>
      <c r="R12" s="92" t="s">
        <v>20</v>
      </c>
      <c r="S12" s="93">
        <v>9</v>
      </c>
      <c r="T12" s="76">
        <v>24</v>
      </c>
      <c r="V12" s="93">
        <v>9</v>
      </c>
      <c r="W12" s="86">
        <v>1</v>
      </c>
      <c r="AA12" s="76" t="str">
        <f t="shared" si="0"/>
        <v>employee 9</v>
      </c>
    </row>
    <row r="13" spans="2:27" x14ac:dyDescent="0.2">
      <c r="B13" s="82" t="s">
        <v>77</v>
      </c>
      <c r="C13" s="87" t="s">
        <v>393</v>
      </c>
      <c r="D13" s="87" t="s">
        <v>42</v>
      </c>
      <c r="E13" s="87" t="s">
        <v>56</v>
      </c>
      <c r="F13" s="87" t="s">
        <v>66</v>
      </c>
      <c r="G13" s="87" t="s">
        <v>43</v>
      </c>
      <c r="H13" s="88">
        <v>42276</v>
      </c>
      <c r="I13" s="87">
        <v>29</v>
      </c>
      <c r="J13" s="89">
        <v>7016</v>
      </c>
      <c r="R13" s="92" t="s">
        <v>21</v>
      </c>
      <c r="S13" s="93">
        <v>10</v>
      </c>
      <c r="T13" s="76">
        <v>22</v>
      </c>
      <c r="V13" s="93">
        <v>10</v>
      </c>
      <c r="W13" s="86">
        <v>1</v>
      </c>
      <c r="AA13" s="76" t="str">
        <f t="shared" si="0"/>
        <v>employee 10</v>
      </c>
    </row>
    <row r="14" spans="2:27" x14ac:dyDescent="0.2">
      <c r="B14" s="82" t="s">
        <v>78</v>
      </c>
      <c r="C14" s="87" t="s">
        <v>394</v>
      </c>
      <c r="D14" s="87" t="s">
        <v>48</v>
      </c>
      <c r="E14" s="87" t="s">
        <v>58</v>
      </c>
      <c r="F14" s="87" t="s">
        <v>67</v>
      </c>
      <c r="G14" s="87" t="s">
        <v>44</v>
      </c>
      <c r="H14" s="88">
        <v>40861</v>
      </c>
      <c r="I14" s="87">
        <v>44</v>
      </c>
      <c r="J14" s="89">
        <v>6016</v>
      </c>
      <c r="R14" s="92" t="s">
        <v>22</v>
      </c>
      <c r="S14" s="93">
        <v>11</v>
      </c>
      <c r="T14" s="76">
        <v>23</v>
      </c>
      <c r="V14" s="93">
        <v>11</v>
      </c>
      <c r="W14" s="86">
        <v>1</v>
      </c>
      <c r="AA14" s="76" t="str">
        <f t="shared" si="0"/>
        <v>employee 11</v>
      </c>
    </row>
    <row r="15" spans="2:27" x14ac:dyDescent="0.2">
      <c r="B15" s="82" t="s">
        <v>79</v>
      </c>
      <c r="C15" s="87" t="s">
        <v>395</v>
      </c>
      <c r="D15" s="87" t="s">
        <v>42</v>
      </c>
      <c r="E15" s="87" t="s">
        <v>56</v>
      </c>
      <c r="F15" s="87" t="s">
        <v>67</v>
      </c>
      <c r="G15" s="87" t="s">
        <v>43</v>
      </c>
      <c r="H15" s="88">
        <v>40872</v>
      </c>
      <c r="I15" s="87">
        <v>36</v>
      </c>
      <c r="J15" s="89">
        <v>5351</v>
      </c>
      <c r="R15" s="92" t="s">
        <v>23</v>
      </c>
      <c r="S15" s="93">
        <v>12</v>
      </c>
      <c r="T15" s="76">
        <v>24</v>
      </c>
      <c r="V15" s="93">
        <v>12</v>
      </c>
      <c r="W15" s="86">
        <v>1</v>
      </c>
      <c r="AA15" s="76" t="str">
        <f t="shared" si="0"/>
        <v>employee 12</v>
      </c>
    </row>
    <row r="16" spans="2:27" x14ac:dyDescent="0.2">
      <c r="B16" s="82" t="s">
        <v>80</v>
      </c>
      <c r="C16" s="87" t="s">
        <v>396</v>
      </c>
      <c r="D16" s="87" t="s">
        <v>50</v>
      </c>
      <c r="E16" s="87" t="s">
        <v>59</v>
      </c>
      <c r="F16" s="87" t="s">
        <v>66</v>
      </c>
      <c r="G16" s="87" t="s">
        <v>44</v>
      </c>
      <c r="H16" s="88">
        <v>41526</v>
      </c>
      <c r="I16" s="87">
        <v>41</v>
      </c>
      <c r="J16" s="89">
        <v>7185</v>
      </c>
      <c r="V16" s="93">
        <v>13</v>
      </c>
      <c r="W16" s="86">
        <v>1</v>
      </c>
      <c r="AA16" s="76" t="str">
        <f t="shared" si="0"/>
        <v>employee 13</v>
      </c>
    </row>
    <row r="17" spans="2:27" x14ac:dyDescent="0.2">
      <c r="B17" s="82" t="s">
        <v>81</v>
      </c>
      <c r="C17" s="87" t="s">
        <v>397</v>
      </c>
      <c r="D17" s="87" t="s">
        <v>42</v>
      </c>
      <c r="E17" s="87" t="s">
        <v>59</v>
      </c>
      <c r="F17" s="87" t="s">
        <v>66</v>
      </c>
      <c r="G17" s="87" t="s">
        <v>44</v>
      </c>
      <c r="H17" s="88">
        <v>43409</v>
      </c>
      <c r="I17" s="87">
        <v>34</v>
      </c>
      <c r="J17" s="89">
        <v>5058</v>
      </c>
      <c r="V17" s="93">
        <v>14</v>
      </c>
      <c r="W17" s="86">
        <v>1</v>
      </c>
      <c r="AA17" s="76" t="str">
        <f t="shared" si="0"/>
        <v>employee 14</v>
      </c>
    </row>
    <row r="18" spans="2:27" x14ac:dyDescent="0.2">
      <c r="B18" s="82" t="s">
        <v>82</v>
      </c>
      <c r="C18" s="87" t="s">
        <v>398</v>
      </c>
      <c r="D18" s="87" t="s">
        <v>12</v>
      </c>
      <c r="E18" s="87" t="s">
        <v>56</v>
      </c>
      <c r="F18" s="87" t="s">
        <v>66</v>
      </c>
      <c r="G18" s="87" t="s">
        <v>43</v>
      </c>
      <c r="H18" s="88">
        <v>40681</v>
      </c>
      <c r="I18" s="87">
        <v>44</v>
      </c>
      <c r="J18" s="89">
        <v>8776</v>
      </c>
      <c r="V18" s="93">
        <v>15</v>
      </c>
      <c r="W18" s="86">
        <v>1</v>
      </c>
      <c r="AA18" s="76" t="str">
        <f t="shared" si="0"/>
        <v>employee 15</v>
      </c>
    </row>
    <row r="19" spans="2:27" x14ac:dyDescent="0.2">
      <c r="B19" s="82" t="s">
        <v>83</v>
      </c>
      <c r="C19" s="87" t="s">
        <v>399</v>
      </c>
      <c r="D19" s="87" t="s">
        <v>47</v>
      </c>
      <c r="E19" s="87" t="s">
        <v>55</v>
      </c>
      <c r="F19" s="87" t="s">
        <v>66</v>
      </c>
      <c r="G19" s="87" t="s">
        <v>44</v>
      </c>
      <c r="H19" s="88">
        <v>42250</v>
      </c>
      <c r="I19" s="87">
        <v>36</v>
      </c>
      <c r="J19" s="89">
        <v>6341</v>
      </c>
      <c r="AA19" s="76" t="str">
        <f t="shared" si="0"/>
        <v>employee 16</v>
      </c>
    </row>
    <row r="20" spans="2:27" x14ac:dyDescent="0.2">
      <c r="B20" s="82" t="s">
        <v>84</v>
      </c>
      <c r="C20" s="87" t="s">
        <v>400</v>
      </c>
      <c r="D20" s="87" t="s">
        <v>46</v>
      </c>
      <c r="E20" s="87" t="s">
        <v>63</v>
      </c>
      <c r="F20" s="87" t="s">
        <v>67</v>
      </c>
      <c r="G20" s="87" t="s">
        <v>43</v>
      </c>
      <c r="H20" s="88">
        <v>42816</v>
      </c>
      <c r="I20" s="87">
        <v>28</v>
      </c>
      <c r="J20" s="89">
        <v>6045</v>
      </c>
      <c r="AA20" s="76" t="str">
        <f t="shared" si="0"/>
        <v>employee 17</v>
      </c>
    </row>
    <row r="21" spans="2:27" x14ac:dyDescent="0.2">
      <c r="B21" s="82" t="s">
        <v>85</v>
      </c>
      <c r="C21" s="87" t="s">
        <v>401</v>
      </c>
      <c r="D21" s="87" t="s">
        <v>49</v>
      </c>
      <c r="E21" s="87" t="s">
        <v>58</v>
      </c>
      <c r="F21" s="87" t="s">
        <v>67</v>
      </c>
      <c r="G21" s="87" t="s">
        <v>44</v>
      </c>
      <c r="H21" s="88">
        <v>43671</v>
      </c>
      <c r="I21" s="87">
        <v>44</v>
      </c>
      <c r="J21" s="89">
        <v>9475</v>
      </c>
      <c r="AA21" s="76" t="str">
        <f t="shared" si="0"/>
        <v>employee 18</v>
      </c>
    </row>
    <row r="22" spans="2:27" x14ac:dyDescent="0.2">
      <c r="B22" s="82" t="s">
        <v>86</v>
      </c>
      <c r="C22" s="87" t="s">
        <v>402</v>
      </c>
      <c r="D22" s="87" t="s">
        <v>12</v>
      </c>
      <c r="E22" s="87" t="s">
        <v>57</v>
      </c>
      <c r="F22" s="87" t="s">
        <v>66</v>
      </c>
      <c r="G22" s="87" t="s">
        <v>44</v>
      </c>
      <c r="H22" s="88">
        <v>41130</v>
      </c>
      <c r="I22" s="87">
        <v>34</v>
      </c>
      <c r="J22" s="89">
        <v>6921</v>
      </c>
      <c r="AA22" s="76" t="str">
        <f t="shared" si="0"/>
        <v>employee 19</v>
      </c>
    </row>
    <row r="23" spans="2:27" x14ac:dyDescent="0.2">
      <c r="B23" s="82" t="s">
        <v>87</v>
      </c>
      <c r="C23" s="87" t="s">
        <v>403</v>
      </c>
      <c r="D23" s="87" t="s">
        <v>46</v>
      </c>
      <c r="E23" s="87" t="s">
        <v>58</v>
      </c>
      <c r="F23" s="87" t="s">
        <v>67</v>
      </c>
      <c r="G23" s="87" t="s">
        <v>43</v>
      </c>
      <c r="H23" s="88">
        <v>40764</v>
      </c>
      <c r="I23" s="87">
        <v>42</v>
      </c>
      <c r="J23" s="89">
        <v>5443</v>
      </c>
      <c r="AA23" s="76" t="str">
        <f t="shared" si="0"/>
        <v>employee 20</v>
      </c>
    </row>
    <row r="24" spans="2:27" x14ac:dyDescent="0.2">
      <c r="B24" s="82" t="s">
        <v>88</v>
      </c>
      <c r="C24" s="87" t="s">
        <v>404</v>
      </c>
      <c r="D24" s="87" t="s">
        <v>49</v>
      </c>
      <c r="E24" s="87" t="s">
        <v>63</v>
      </c>
      <c r="F24" s="87" t="s">
        <v>66</v>
      </c>
      <c r="G24" s="87" t="s">
        <v>43</v>
      </c>
      <c r="H24" s="88">
        <v>41283</v>
      </c>
      <c r="I24" s="87">
        <v>36</v>
      </c>
      <c r="J24" s="89">
        <v>8039</v>
      </c>
      <c r="AA24" s="76" t="str">
        <f t="shared" si="0"/>
        <v>employee 21</v>
      </c>
    </row>
    <row r="25" spans="2:27" x14ac:dyDescent="0.2">
      <c r="B25" s="82" t="s">
        <v>89</v>
      </c>
      <c r="C25" s="87" t="s">
        <v>405</v>
      </c>
      <c r="D25" s="87" t="s">
        <v>42</v>
      </c>
      <c r="E25" s="87" t="s">
        <v>58</v>
      </c>
      <c r="F25" s="87" t="s">
        <v>67</v>
      </c>
      <c r="G25" s="87" t="s">
        <v>43</v>
      </c>
      <c r="H25" s="88">
        <v>40290</v>
      </c>
      <c r="I25" s="87">
        <v>42</v>
      </c>
      <c r="J25" s="89">
        <v>5167</v>
      </c>
      <c r="AA25" s="76" t="str">
        <f t="shared" si="0"/>
        <v>employee 22</v>
      </c>
    </row>
    <row r="26" spans="2:27" x14ac:dyDescent="0.2">
      <c r="B26" s="82" t="s">
        <v>90</v>
      </c>
      <c r="C26" s="87" t="s">
        <v>406</v>
      </c>
      <c r="D26" s="87" t="s">
        <v>46</v>
      </c>
      <c r="E26" s="87" t="s">
        <v>55</v>
      </c>
      <c r="F26" s="87" t="s">
        <v>67</v>
      </c>
      <c r="G26" s="87" t="s">
        <v>43</v>
      </c>
      <c r="H26" s="88">
        <v>42346</v>
      </c>
      <c r="I26" s="87">
        <v>31</v>
      </c>
      <c r="J26" s="89">
        <v>9748</v>
      </c>
      <c r="AA26" s="76" t="str">
        <f t="shared" si="0"/>
        <v>employee 23</v>
      </c>
    </row>
    <row r="27" spans="2:27" x14ac:dyDescent="0.2">
      <c r="B27" s="82" t="s">
        <v>91</v>
      </c>
      <c r="C27" s="87" t="s">
        <v>407</v>
      </c>
      <c r="D27" s="87" t="s">
        <v>50</v>
      </c>
      <c r="E27" s="87" t="s">
        <v>55</v>
      </c>
      <c r="F27" s="87" t="s">
        <v>67</v>
      </c>
      <c r="G27" s="87" t="s">
        <v>43</v>
      </c>
      <c r="H27" s="88">
        <v>41249</v>
      </c>
      <c r="I27" s="87">
        <v>36</v>
      </c>
      <c r="J27" s="89">
        <v>7274</v>
      </c>
      <c r="AA27" s="76" t="str">
        <f t="shared" si="0"/>
        <v>employee 24</v>
      </c>
    </row>
    <row r="28" spans="2:27" x14ac:dyDescent="0.2">
      <c r="B28" s="82" t="s">
        <v>92</v>
      </c>
      <c r="C28" s="87" t="s">
        <v>408</v>
      </c>
      <c r="D28" s="87" t="s">
        <v>12</v>
      </c>
      <c r="E28" s="87" t="s">
        <v>59</v>
      </c>
      <c r="F28" s="87" t="s">
        <v>67</v>
      </c>
      <c r="G28" s="87" t="s">
        <v>43</v>
      </c>
      <c r="H28" s="88">
        <v>40318</v>
      </c>
      <c r="I28" s="87">
        <v>44</v>
      </c>
      <c r="J28" s="89">
        <v>8032</v>
      </c>
      <c r="AA28" s="76" t="str">
        <f t="shared" si="0"/>
        <v>employee 25</v>
      </c>
    </row>
    <row r="29" spans="2:27" x14ac:dyDescent="0.2">
      <c r="B29" s="82" t="s">
        <v>93</v>
      </c>
      <c r="C29" s="87" t="s">
        <v>409</v>
      </c>
      <c r="D29" s="87" t="s">
        <v>46</v>
      </c>
      <c r="E29" s="87" t="s">
        <v>55</v>
      </c>
      <c r="F29" s="87" t="s">
        <v>67</v>
      </c>
      <c r="G29" s="87" t="s">
        <v>43</v>
      </c>
      <c r="H29" s="88">
        <v>42207</v>
      </c>
      <c r="I29" s="87">
        <v>43</v>
      </c>
      <c r="J29" s="89">
        <v>5295</v>
      </c>
      <c r="AA29" s="76" t="str">
        <f t="shared" si="0"/>
        <v>employee 26</v>
      </c>
    </row>
    <row r="30" spans="2:27" x14ac:dyDescent="0.2">
      <c r="B30" s="82" t="s">
        <v>94</v>
      </c>
      <c r="C30" s="87" t="s">
        <v>410</v>
      </c>
      <c r="D30" s="87" t="s">
        <v>47</v>
      </c>
      <c r="E30" s="87" t="s">
        <v>58</v>
      </c>
      <c r="F30" s="87" t="s">
        <v>66</v>
      </c>
      <c r="G30" s="87" t="s">
        <v>43</v>
      </c>
      <c r="H30" s="88">
        <v>42596</v>
      </c>
      <c r="I30" s="87">
        <v>37</v>
      </c>
      <c r="J30" s="89">
        <v>8631</v>
      </c>
      <c r="AA30" s="76" t="str">
        <f t="shared" si="0"/>
        <v>employee 27</v>
      </c>
    </row>
    <row r="31" spans="2:27" x14ac:dyDescent="0.2">
      <c r="B31" s="82" t="s">
        <v>95</v>
      </c>
      <c r="C31" s="87" t="s">
        <v>411</v>
      </c>
      <c r="D31" s="87" t="s">
        <v>12</v>
      </c>
      <c r="E31" s="87" t="s">
        <v>55</v>
      </c>
      <c r="F31" s="87" t="s">
        <v>67</v>
      </c>
      <c r="G31" s="87" t="s">
        <v>44</v>
      </c>
      <c r="H31" s="88">
        <v>41854</v>
      </c>
      <c r="I31" s="87">
        <v>37</v>
      </c>
      <c r="J31" s="89">
        <v>5941</v>
      </c>
      <c r="AA31" s="76" t="str">
        <f t="shared" si="0"/>
        <v>employee 28</v>
      </c>
    </row>
    <row r="32" spans="2:27" x14ac:dyDescent="0.2">
      <c r="B32" s="82" t="s">
        <v>96</v>
      </c>
      <c r="C32" s="87" t="s">
        <v>412</v>
      </c>
      <c r="D32" s="87" t="s">
        <v>42</v>
      </c>
      <c r="E32" s="87" t="s">
        <v>58</v>
      </c>
      <c r="F32" s="87" t="s">
        <v>67</v>
      </c>
      <c r="G32" s="87" t="s">
        <v>43</v>
      </c>
      <c r="H32" s="88">
        <v>42859</v>
      </c>
      <c r="I32" s="87">
        <v>31</v>
      </c>
      <c r="J32" s="89">
        <v>4625</v>
      </c>
      <c r="AA32" s="76" t="str">
        <f t="shared" si="0"/>
        <v>employee 29</v>
      </c>
    </row>
    <row r="33" spans="2:27" x14ac:dyDescent="0.2">
      <c r="B33" s="82" t="s">
        <v>97</v>
      </c>
      <c r="C33" s="87" t="s">
        <v>413</v>
      </c>
      <c r="D33" s="87" t="s">
        <v>46</v>
      </c>
      <c r="E33" s="87" t="s">
        <v>57</v>
      </c>
      <c r="F33" s="87" t="s">
        <v>66</v>
      </c>
      <c r="G33" s="87" t="s">
        <v>44</v>
      </c>
      <c r="H33" s="88">
        <v>41576</v>
      </c>
      <c r="I33" s="87">
        <v>42</v>
      </c>
      <c r="J33" s="89">
        <v>4844</v>
      </c>
      <c r="AA33" s="76" t="str">
        <f t="shared" si="0"/>
        <v>employee 30</v>
      </c>
    </row>
    <row r="34" spans="2:27" x14ac:dyDescent="0.2">
      <c r="B34" s="82" t="s">
        <v>98</v>
      </c>
      <c r="C34" s="87" t="s">
        <v>414</v>
      </c>
      <c r="D34" s="87" t="s">
        <v>48</v>
      </c>
      <c r="E34" s="87" t="s">
        <v>55</v>
      </c>
      <c r="F34" s="87" t="s">
        <v>66</v>
      </c>
      <c r="G34" s="87" t="s">
        <v>43</v>
      </c>
      <c r="H34" s="88">
        <v>42525</v>
      </c>
      <c r="I34" s="87">
        <v>30</v>
      </c>
      <c r="J34" s="89">
        <v>5058</v>
      </c>
      <c r="AA34" s="76" t="str">
        <f t="shared" si="0"/>
        <v>employee 31</v>
      </c>
    </row>
    <row r="35" spans="2:27" x14ac:dyDescent="0.2">
      <c r="B35" s="82" t="s">
        <v>99</v>
      </c>
      <c r="C35" s="87" t="s">
        <v>415</v>
      </c>
      <c r="D35" s="87" t="s">
        <v>12</v>
      </c>
      <c r="E35" s="87" t="s">
        <v>58</v>
      </c>
      <c r="F35" s="87" t="s">
        <v>66</v>
      </c>
      <c r="G35" s="87" t="s">
        <v>44</v>
      </c>
      <c r="H35" s="88">
        <v>43231</v>
      </c>
      <c r="I35" s="87">
        <v>40</v>
      </c>
      <c r="J35" s="89">
        <v>7916</v>
      </c>
      <c r="AA35" s="76" t="str">
        <f t="shared" si="0"/>
        <v>employee 32</v>
      </c>
    </row>
    <row r="36" spans="2:27" x14ac:dyDescent="0.2">
      <c r="B36" s="82" t="s">
        <v>100</v>
      </c>
      <c r="C36" s="87" t="s">
        <v>416</v>
      </c>
      <c r="D36" s="87" t="s">
        <v>49</v>
      </c>
      <c r="E36" s="87" t="s">
        <v>59</v>
      </c>
      <c r="F36" s="87" t="s">
        <v>67</v>
      </c>
      <c r="G36" s="87" t="s">
        <v>43</v>
      </c>
      <c r="H36" s="88">
        <v>41759</v>
      </c>
      <c r="I36" s="87">
        <v>31</v>
      </c>
      <c r="J36" s="89">
        <v>6587</v>
      </c>
      <c r="AA36" s="76" t="str">
        <f t="shared" si="0"/>
        <v>employee 33</v>
      </c>
    </row>
    <row r="37" spans="2:27" x14ac:dyDescent="0.2">
      <c r="B37" s="82" t="s">
        <v>101</v>
      </c>
      <c r="C37" s="87" t="s">
        <v>417</v>
      </c>
      <c r="D37" s="87" t="s">
        <v>45</v>
      </c>
      <c r="E37" s="87" t="s">
        <v>57</v>
      </c>
      <c r="F37" s="87" t="s">
        <v>66</v>
      </c>
      <c r="G37" s="87" t="s">
        <v>44</v>
      </c>
      <c r="H37" s="88">
        <v>40550</v>
      </c>
      <c r="I37" s="87">
        <v>36</v>
      </c>
      <c r="J37" s="89">
        <v>4616</v>
      </c>
      <c r="AA37" s="76" t="str">
        <f t="shared" si="0"/>
        <v>employee 34</v>
      </c>
    </row>
    <row r="38" spans="2:27" x14ac:dyDescent="0.2">
      <c r="B38" s="82" t="s">
        <v>102</v>
      </c>
      <c r="C38" s="87" t="s">
        <v>418</v>
      </c>
      <c r="D38" s="87" t="s">
        <v>12</v>
      </c>
      <c r="E38" s="87" t="s">
        <v>55</v>
      </c>
      <c r="F38" s="87" t="s">
        <v>67</v>
      </c>
      <c r="G38" s="87" t="s">
        <v>44</v>
      </c>
      <c r="H38" s="88">
        <v>40246</v>
      </c>
      <c r="I38" s="87">
        <v>44</v>
      </c>
      <c r="J38" s="89">
        <v>8752</v>
      </c>
      <c r="AA38" s="76" t="str">
        <f t="shared" si="0"/>
        <v>employee 35</v>
      </c>
    </row>
    <row r="39" spans="2:27" x14ac:dyDescent="0.2">
      <c r="B39" s="82" t="s">
        <v>103</v>
      </c>
      <c r="C39" s="87" t="s">
        <v>419</v>
      </c>
      <c r="D39" s="87" t="s">
        <v>48</v>
      </c>
      <c r="E39" s="87" t="s">
        <v>58</v>
      </c>
      <c r="F39" s="87" t="s">
        <v>66</v>
      </c>
      <c r="G39" s="87" t="s">
        <v>44</v>
      </c>
      <c r="H39" s="88">
        <v>43663</v>
      </c>
      <c r="I39" s="87">
        <v>42</v>
      </c>
      <c r="J39" s="89">
        <v>5416</v>
      </c>
      <c r="AA39" s="76" t="str">
        <f t="shared" si="0"/>
        <v>employee 36</v>
      </c>
    </row>
    <row r="40" spans="2:27" x14ac:dyDescent="0.2">
      <c r="B40" s="82" t="s">
        <v>104</v>
      </c>
      <c r="C40" s="87" t="s">
        <v>420</v>
      </c>
      <c r="D40" s="87" t="s">
        <v>47</v>
      </c>
      <c r="E40" s="87" t="s">
        <v>56</v>
      </c>
      <c r="F40" s="87" t="s">
        <v>67</v>
      </c>
      <c r="G40" s="87" t="s">
        <v>44</v>
      </c>
      <c r="H40" s="88">
        <v>42652</v>
      </c>
      <c r="I40" s="87">
        <v>35</v>
      </c>
      <c r="J40" s="89">
        <v>8906</v>
      </c>
      <c r="AA40" s="76" t="str">
        <f t="shared" si="0"/>
        <v>employee 37</v>
      </c>
    </row>
    <row r="41" spans="2:27" x14ac:dyDescent="0.2">
      <c r="B41" s="82" t="s">
        <v>105</v>
      </c>
      <c r="C41" s="87" t="s">
        <v>421</v>
      </c>
      <c r="D41" s="87" t="s">
        <v>47</v>
      </c>
      <c r="E41" s="87" t="s">
        <v>57</v>
      </c>
      <c r="F41" s="87" t="s">
        <v>67</v>
      </c>
      <c r="G41" s="87" t="s">
        <v>44</v>
      </c>
      <c r="H41" s="88">
        <v>41885</v>
      </c>
      <c r="I41" s="87">
        <v>38</v>
      </c>
      <c r="J41" s="89">
        <v>4793</v>
      </c>
      <c r="AA41" s="76" t="str">
        <f t="shared" si="0"/>
        <v>employee 38</v>
      </c>
    </row>
    <row r="42" spans="2:27" x14ac:dyDescent="0.2">
      <c r="B42" s="82" t="s">
        <v>106</v>
      </c>
      <c r="C42" s="87" t="s">
        <v>422</v>
      </c>
      <c r="D42" s="87" t="s">
        <v>46</v>
      </c>
      <c r="E42" s="87" t="s">
        <v>63</v>
      </c>
      <c r="F42" s="87" t="s">
        <v>66</v>
      </c>
      <c r="G42" s="87" t="s">
        <v>43</v>
      </c>
      <c r="H42" s="88">
        <v>42370</v>
      </c>
      <c r="I42" s="87">
        <v>40</v>
      </c>
      <c r="J42" s="89">
        <v>9791</v>
      </c>
      <c r="AA42" s="76" t="str">
        <f t="shared" si="0"/>
        <v>employee 39</v>
      </c>
    </row>
    <row r="43" spans="2:27" x14ac:dyDescent="0.2">
      <c r="B43" s="82" t="s">
        <v>107</v>
      </c>
      <c r="C43" s="87" t="s">
        <v>423</v>
      </c>
      <c r="D43" s="87" t="s">
        <v>42</v>
      </c>
      <c r="E43" s="87" t="s">
        <v>59</v>
      </c>
      <c r="F43" s="87" t="s">
        <v>66</v>
      </c>
      <c r="G43" s="87" t="s">
        <v>44</v>
      </c>
      <c r="H43" s="88">
        <v>41943</v>
      </c>
      <c r="I43" s="87">
        <v>44</v>
      </c>
      <c r="J43" s="89">
        <v>6811</v>
      </c>
      <c r="AA43" s="76" t="str">
        <f t="shared" si="0"/>
        <v>employee 40</v>
      </c>
    </row>
    <row r="44" spans="2:27" x14ac:dyDescent="0.2">
      <c r="B44" s="82" t="s">
        <v>108</v>
      </c>
      <c r="C44" s="87" t="s">
        <v>424</v>
      </c>
      <c r="D44" s="87" t="s">
        <v>45</v>
      </c>
      <c r="E44" s="87" t="s">
        <v>59</v>
      </c>
      <c r="F44" s="87" t="s">
        <v>66</v>
      </c>
      <c r="G44" s="87" t="s">
        <v>44</v>
      </c>
      <c r="H44" s="88">
        <v>41712</v>
      </c>
      <c r="I44" s="87">
        <v>43</v>
      </c>
      <c r="J44" s="89">
        <v>7244</v>
      </c>
      <c r="AA44" s="76" t="str">
        <f t="shared" si="0"/>
        <v>employee 41</v>
      </c>
    </row>
    <row r="45" spans="2:27" x14ac:dyDescent="0.2">
      <c r="B45" s="82" t="s">
        <v>109</v>
      </c>
      <c r="C45" s="87" t="s">
        <v>425</v>
      </c>
      <c r="D45" s="87" t="s">
        <v>12</v>
      </c>
      <c r="E45" s="87" t="s">
        <v>63</v>
      </c>
      <c r="F45" s="87" t="s">
        <v>66</v>
      </c>
      <c r="G45" s="87" t="s">
        <v>43</v>
      </c>
      <c r="H45" s="88">
        <v>41758</v>
      </c>
      <c r="I45" s="87">
        <v>29</v>
      </c>
      <c r="J45" s="89">
        <v>9789</v>
      </c>
      <c r="AA45" s="76" t="str">
        <f t="shared" si="0"/>
        <v>employee 42</v>
      </c>
    </row>
    <row r="46" spans="2:27" x14ac:dyDescent="0.2">
      <c r="B46" s="82" t="s">
        <v>110</v>
      </c>
      <c r="C46" s="87" t="s">
        <v>426</v>
      </c>
      <c r="D46" s="87" t="s">
        <v>47</v>
      </c>
      <c r="E46" s="87" t="s">
        <v>59</v>
      </c>
      <c r="F46" s="87" t="s">
        <v>66</v>
      </c>
      <c r="G46" s="87" t="s">
        <v>43</v>
      </c>
      <c r="H46" s="88">
        <v>41884</v>
      </c>
      <c r="I46" s="87">
        <v>44</v>
      </c>
      <c r="J46" s="89">
        <v>6304</v>
      </c>
      <c r="AA46" s="76" t="str">
        <f t="shared" si="0"/>
        <v>employee 43</v>
      </c>
    </row>
    <row r="47" spans="2:27" x14ac:dyDescent="0.2">
      <c r="B47" s="82" t="s">
        <v>111</v>
      </c>
      <c r="C47" s="87" t="s">
        <v>427</v>
      </c>
      <c r="D47" s="87" t="s">
        <v>12</v>
      </c>
      <c r="E47" s="87" t="s">
        <v>55</v>
      </c>
      <c r="F47" s="87" t="s">
        <v>66</v>
      </c>
      <c r="G47" s="87" t="s">
        <v>44</v>
      </c>
      <c r="H47" s="88">
        <v>41335</v>
      </c>
      <c r="I47" s="87">
        <v>36</v>
      </c>
      <c r="J47" s="89">
        <v>4619</v>
      </c>
      <c r="AA47" s="76" t="str">
        <f t="shared" si="0"/>
        <v>employee 44</v>
      </c>
    </row>
    <row r="48" spans="2:27" x14ac:dyDescent="0.2">
      <c r="B48" s="82" t="s">
        <v>112</v>
      </c>
      <c r="C48" s="87" t="s">
        <v>428</v>
      </c>
      <c r="D48" s="87" t="s">
        <v>12</v>
      </c>
      <c r="E48" s="87" t="s">
        <v>58</v>
      </c>
      <c r="F48" s="87" t="s">
        <v>66</v>
      </c>
      <c r="G48" s="87" t="s">
        <v>43</v>
      </c>
      <c r="H48" s="88">
        <v>42805</v>
      </c>
      <c r="I48" s="87">
        <v>41</v>
      </c>
      <c r="J48" s="89">
        <v>9791</v>
      </c>
      <c r="AA48" s="76" t="str">
        <f t="shared" si="0"/>
        <v>employee 45</v>
      </c>
    </row>
    <row r="49" spans="2:27" x14ac:dyDescent="0.2">
      <c r="B49" s="82" t="s">
        <v>113</v>
      </c>
      <c r="C49" s="87" t="s">
        <v>429</v>
      </c>
      <c r="D49" s="87" t="s">
        <v>48</v>
      </c>
      <c r="E49" s="87" t="s">
        <v>57</v>
      </c>
      <c r="F49" s="87" t="s">
        <v>67</v>
      </c>
      <c r="G49" s="87" t="s">
        <v>44</v>
      </c>
      <c r="H49" s="88">
        <v>40875</v>
      </c>
      <c r="I49" s="87">
        <v>34</v>
      </c>
      <c r="J49" s="89">
        <v>8003</v>
      </c>
      <c r="AA49" s="76" t="str">
        <f t="shared" si="0"/>
        <v>employee 46</v>
      </c>
    </row>
    <row r="50" spans="2:27" x14ac:dyDescent="0.2">
      <c r="B50" s="82" t="s">
        <v>114</v>
      </c>
      <c r="C50" s="87" t="s">
        <v>430</v>
      </c>
      <c r="D50" s="87" t="s">
        <v>48</v>
      </c>
      <c r="E50" s="87" t="s">
        <v>57</v>
      </c>
      <c r="F50" s="87" t="s">
        <v>67</v>
      </c>
      <c r="G50" s="87" t="s">
        <v>43</v>
      </c>
      <c r="H50" s="88">
        <v>41697</v>
      </c>
      <c r="I50" s="87">
        <v>44</v>
      </c>
      <c r="J50" s="89">
        <v>7924</v>
      </c>
      <c r="AA50" s="76" t="str">
        <f t="shared" si="0"/>
        <v>employee 47</v>
      </c>
    </row>
    <row r="51" spans="2:27" x14ac:dyDescent="0.2">
      <c r="B51" s="82" t="s">
        <v>115</v>
      </c>
      <c r="C51" s="87" t="s">
        <v>431</v>
      </c>
      <c r="D51" s="87" t="s">
        <v>48</v>
      </c>
      <c r="E51" s="87" t="s">
        <v>59</v>
      </c>
      <c r="F51" s="87" t="s">
        <v>67</v>
      </c>
      <c r="G51" s="87" t="s">
        <v>43</v>
      </c>
      <c r="H51" s="88">
        <v>43696</v>
      </c>
      <c r="I51" s="87">
        <v>36</v>
      </c>
      <c r="J51" s="89">
        <v>7550</v>
      </c>
      <c r="AA51" s="76" t="str">
        <f t="shared" si="0"/>
        <v>employee 48</v>
      </c>
    </row>
    <row r="52" spans="2:27" x14ac:dyDescent="0.2">
      <c r="B52" s="82" t="s">
        <v>116</v>
      </c>
      <c r="C52" s="87" t="s">
        <v>432</v>
      </c>
      <c r="D52" s="87" t="s">
        <v>45</v>
      </c>
      <c r="E52" s="87" t="s">
        <v>58</v>
      </c>
      <c r="F52" s="87" t="s">
        <v>67</v>
      </c>
      <c r="G52" s="87" t="s">
        <v>43</v>
      </c>
      <c r="H52" s="88">
        <v>42797</v>
      </c>
      <c r="I52" s="87">
        <v>30</v>
      </c>
      <c r="J52" s="89">
        <v>5755</v>
      </c>
      <c r="AA52" s="76" t="str">
        <f t="shared" si="0"/>
        <v>employee 49</v>
      </c>
    </row>
    <row r="53" spans="2:27" x14ac:dyDescent="0.2">
      <c r="B53" s="82" t="s">
        <v>117</v>
      </c>
      <c r="C53" s="87" t="s">
        <v>433</v>
      </c>
      <c r="D53" s="87" t="s">
        <v>50</v>
      </c>
      <c r="E53" s="87" t="s">
        <v>56</v>
      </c>
      <c r="F53" s="87" t="s">
        <v>67</v>
      </c>
      <c r="G53" s="87" t="s">
        <v>43</v>
      </c>
      <c r="H53" s="88">
        <v>43762</v>
      </c>
      <c r="I53" s="87">
        <v>43</v>
      </c>
      <c r="J53" s="89">
        <v>8858</v>
      </c>
      <c r="AA53" s="76" t="str">
        <f t="shared" si="0"/>
        <v>employee 50</v>
      </c>
    </row>
    <row r="54" spans="2:27" x14ac:dyDescent="0.2">
      <c r="B54" s="82" t="s">
        <v>118</v>
      </c>
      <c r="C54" s="87" t="s">
        <v>434</v>
      </c>
      <c r="D54" s="87" t="s">
        <v>12</v>
      </c>
      <c r="E54" s="87" t="s">
        <v>56</v>
      </c>
      <c r="F54" s="87" t="s">
        <v>66</v>
      </c>
      <c r="G54" s="87" t="s">
        <v>43</v>
      </c>
      <c r="H54" s="88">
        <v>42193</v>
      </c>
      <c r="I54" s="87">
        <v>34</v>
      </c>
      <c r="J54" s="89">
        <v>5798</v>
      </c>
      <c r="AA54" s="76" t="str">
        <f t="shared" si="0"/>
        <v>employee 51</v>
      </c>
    </row>
    <row r="55" spans="2:27" x14ac:dyDescent="0.2">
      <c r="B55" s="82" t="s">
        <v>119</v>
      </c>
      <c r="C55" s="87" t="s">
        <v>435</v>
      </c>
      <c r="D55" s="87" t="s">
        <v>45</v>
      </c>
      <c r="E55" s="87" t="s">
        <v>59</v>
      </c>
      <c r="F55" s="87" t="s">
        <v>66</v>
      </c>
      <c r="G55" s="87" t="s">
        <v>44</v>
      </c>
      <c r="H55" s="88">
        <v>40326</v>
      </c>
      <c r="I55" s="87">
        <v>41</v>
      </c>
      <c r="J55" s="89">
        <v>6049</v>
      </c>
      <c r="AA55" s="76" t="str">
        <f t="shared" si="0"/>
        <v>employee 52</v>
      </c>
    </row>
    <row r="56" spans="2:27" x14ac:dyDescent="0.2">
      <c r="B56" s="82" t="s">
        <v>120</v>
      </c>
      <c r="C56" s="87" t="s">
        <v>436</v>
      </c>
      <c r="D56" s="87" t="s">
        <v>47</v>
      </c>
      <c r="E56" s="87" t="s">
        <v>57</v>
      </c>
      <c r="F56" s="87" t="s">
        <v>67</v>
      </c>
      <c r="G56" s="87" t="s">
        <v>44</v>
      </c>
      <c r="H56" s="88">
        <v>42444</v>
      </c>
      <c r="I56" s="87">
        <v>42</v>
      </c>
      <c r="J56" s="89">
        <v>5535</v>
      </c>
      <c r="AA56" s="76" t="str">
        <f t="shared" si="0"/>
        <v>employee 53</v>
      </c>
    </row>
    <row r="57" spans="2:27" x14ac:dyDescent="0.2">
      <c r="B57" s="82" t="s">
        <v>121</v>
      </c>
      <c r="C57" s="87" t="s">
        <v>437</v>
      </c>
      <c r="D57" s="87" t="s">
        <v>42</v>
      </c>
      <c r="E57" s="87" t="s">
        <v>63</v>
      </c>
      <c r="F57" s="87" t="s">
        <v>66</v>
      </c>
      <c r="G57" s="87" t="s">
        <v>44</v>
      </c>
      <c r="H57" s="88">
        <v>43104</v>
      </c>
      <c r="I57" s="87">
        <v>42</v>
      </c>
      <c r="J57" s="89">
        <v>6701</v>
      </c>
      <c r="AA57" s="76" t="str">
        <f t="shared" si="0"/>
        <v>employee 54</v>
      </c>
    </row>
    <row r="58" spans="2:27" x14ac:dyDescent="0.2">
      <c r="B58" s="82" t="s">
        <v>122</v>
      </c>
      <c r="C58" s="87" t="s">
        <v>438</v>
      </c>
      <c r="D58" s="87" t="s">
        <v>49</v>
      </c>
      <c r="E58" s="87" t="s">
        <v>58</v>
      </c>
      <c r="F58" s="87" t="s">
        <v>66</v>
      </c>
      <c r="G58" s="87" t="s">
        <v>44</v>
      </c>
      <c r="H58" s="88">
        <v>43467</v>
      </c>
      <c r="I58" s="87">
        <v>40</v>
      </c>
      <c r="J58" s="89">
        <v>8877</v>
      </c>
      <c r="AA58" s="76" t="str">
        <f t="shared" si="0"/>
        <v>employee 55</v>
      </c>
    </row>
    <row r="59" spans="2:27" x14ac:dyDescent="0.2">
      <c r="B59" s="82" t="s">
        <v>123</v>
      </c>
      <c r="C59" s="87" t="s">
        <v>439</v>
      </c>
      <c r="D59" s="87" t="s">
        <v>50</v>
      </c>
      <c r="E59" s="87" t="s">
        <v>59</v>
      </c>
      <c r="F59" s="87" t="s">
        <v>67</v>
      </c>
      <c r="G59" s="87" t="s">
        <v>43</v>
      </c>
      <c r="H59" s="88">
        <v>41057</v>
      </c>
      <c r="I59" s="87">
        <v>32</v>
      </c>
      <c r="J59" s="89">
        <v>6200</v>
      </c>
      <c r="AA59" s="76" t="str">
        <f t="shared" si="0"/>
        <v>employee 56</v>
      </c>
    </row>
    <row r="60" spans="2:27" x14ac:dyDescent="0.2">
      <c r="B60" s="82" t="s">
        <v>124</v>
      </c>
      <c r="C60" s="87" t="s">
        <v>440</v>
      </c>
      <c r="D60" s="87" t="s">
        <v>47</v>
      </c>
      <c r="E60" s="87" t="s">
        <v>63</v>
      </c>
      <c r="F60" s="87" t="s">
        <v>66</v>
      </c>
      <c r="G60" s="87" t="s">
        <v>43</v>
      </c>
      <c r="H60" s="88">
        <v>41229</v>
      </c>
      <c r="I60" s="87">
        <v>32</v>
      </c>
      <c r="J60" s="89">
        <v>9587</v>
      </c>
      <c r="AA60" s="76" t="str">
        <f t="shared" si="0"/>
        <v>employee 57</v>
      </c>
    </row>
    <row r="61" spans="2:27" x14ac:dyDescent="0.2">
      <c r="B61" s="82" t="s">
        <v>125</v>
      </c>
      <c r="C61" s="87" t="s">
        <v>441</v>
      </c>
      <c r="D61" s="87" t="s">
        <v>12</v>
      </c>
      <c r="E61" s="87" t="s">
        <v>59</v>
      </c>
      <c r="F61" s="87" t="s">
        <v>67</v>
      </c>
      <c r="G61" s="87" t="s">
        <v>44</v>
      </c>
      <c r="H61" s="88">
        <v>41419</v>
      </c>
      <c r="I61" s="87">
        <v>29</v>
      </c>
      <c r="J61" s="89">
        <v>9050</v>
      </c>
      <c r="AA61" s="76" t="str">
        <f t="shared" si="0"/>
        <v>employee 58</v>
      </c>
    </row>
    <row r="62" spans="2:27" x14ac:dyDescent="0.2">
      <c r="B62" s="82" t="s">
        <v>126</v>
      </c>
      <c r="C62" s="87" t="s">
        <v>442</v>
      </c>
      <c r="D62" s="87" t="s">
        <v>12</v>
      </c>
      <c r="E62" s="87" t="s">
        <v>55</v>
      </c>
      <c r="F62" s="87" t="s">
        <v>66</v>
      </c>
      <c r="G62" s="87" t="s">
        <v>44</v>
      </c>
      <c r="H62" s="88">
        <v>40214</v>
      </c>
      <c r="I62" s="87">
        <v>31</v>
      </c>
      <c r="J62" s="89">
        <v>9568</v>
      </c>
      <c r="AA62" s="76" t="str">
        <f t="shared" si="0"/>
        <v>employee 59</v>
      </c>
    </row>
    <row r="63" spans="2:27" x14ac:dyDescent="0.2">
      <c r="B63" s="82" t="s">
        <v>127</v>
      </c>
      <c r="C63" s="87" t="s">
        <v>443</v>
      </c>
      <c r="D63" s="87" t="s">
        <v>12</v>
      </c>
      <c r="E63" s="87" t="s">
        <v>57</v>
      </c>
      <c r="F63" s="87" t="s">
        <v>66</v>
      </c>
      <c r="G63" s="87" t="s">
        <v>44</v>
      </c>
      <c r="H63" s="88">
        <v>43120</v>
      </c>
      <c r="I63" s="87">
        <v>37</v>
      </c>
      <c r="J63" s="89">
        <v>6869</v>
      </c>
      <c r="AA63" s="76" t="str">
        <f t="shared" si="0"/>
        <v>employee 60</v>
      </c>
    </row>
    <row r="64" spans="2:27" x14ac:dyDescent="0.2">
      <c r="B64" s="82" t="s">
        <v>128</v>
      </c>
      <c r="C64" s="87" t="s">
        <v>444</v>
      </c>
      <c r="D64" s="87" t="s">
        <v>45</v>
      </c>
      <c r="E64" s="87" t="s">
        <v>59</v>
      </c>
      <c r="F64" s="87" t="s">
        <v>67</v>
      </c>
      <c r="G64" s="87" t="s">
        <v>43</v>
      </c>
      <c r="H64" s="88">
        <v>42334</v>
      </c>
      <c r="I64" s="87">
        <v>43</v>
      </c>
      <c r="J64" s="89">
        <v>8695</v>
      </c>
      <c r="AA64" s="76" t="str">
        <f t="shared" si="0"/>
        <v>employee 61</v>
      </c>
    </row>
    <row r="65" spans="2:27" x14ac:dyDescent="0.2">
      <c r="B65" s="82" t="s">
        <v>129</v>
      </c>
      <c r="C65" s="87" t="s">
        <v>445</v>
      </c>
      <c r="D65" s="87" t="s">
        <v>47</v>
      </c>
      <c r="E65" s="87" t="s">
        <v>56</v>
      </c>
      <c r="F65" s="87" t="s">
        <v>66</v>
      </c>
      <c r="G65" s="87" t="s">
        <v>44</v>
      </c>
      <c r="H65" s="88">
        <v>41197</v>
      </c>
      <c r="I65" s="87">
        <v>42</v>
      </c>
      <c r="J65" s="89">
        <v>7714</v>
      </c>
      <c r="AA65" s="76" t="str">
        <f t="shared" si="0"/>
        <v>employee 62</v>
      </c>
    </row>
    <row r="66" spans="2:27" x14ac:dyDescent="0.2">
      <c r="B66" s="82" t="s">
        <v>130</v>
      </c>
      <c r="C66" s="87" t="s">
        <v>446</v>
      </c>
      <c r="D66" s="87" t="s">
        <v>49</v>
      </c>
      <c r="E66" s="87" t="s">
        <v>58</v>
      </c>
      <c r="F66" s="87" t="s">
        <v>67</v>
      </c>
      <c r="G66" s="87" t="s">
        <v>44</v>
      </c>
      <c r="H66" s="88">
        <v>43579</v>
      </c>
      <c r="I66" s="87">
        <v>41</v>
      </c>
      <c r="J66" s="89">
        <v>7401</v>
      </c>
      <c r="AA66" s="76" t="str">
        <f t="shared" si="0"/>
        <v>employee 63</v>
      </c>
    </row>
    <row r="67" spans="2:27" x14ac:dyDescent="0.2">
      <c r="B67" s="82" t="s">
        <v>131</v>
      </c>
      <c r="C67" s="87" t="s">
        <v>447</v>
      </c>
      <c r="D67" s="87" t="s">
        <v>12</v>
      </c>
      <c r="E67" s="87" t="s">
        <v>63</v>
      </c>
      <c r="F67" s="87" t="s">
        <v>66</v>
      </c>
      <c r="G67" s="87" t="s">
        <v>44</v>
      </c>
      <c r="H67" s="88">
        <v>40673</v>
      </c>
      <c r="I67" s="87">
        <v>42</v>
      </c>
      <c r="J67" s="89">
        <v>7261</v>
      </c>
      <c r="AA67" s="76" t="str">
        <f t="shared" si="0"/>
        <v>employee 64</v>
      </c>
    </row>
    <row r="68" spans="2:27" x14ac:dyDescent="0.2">
      <c r="B68" s="82" t="s">
        <v>132</v>
      </c>
      <c r="C68" s="87" t="s">
        <v>448</v>
      </c>
      <c r="D68" s="87" t="s">
        <v>46</v>
      </c>
      <c r="E68" s="87" t="s">
        <v>57</v>
      </c>
      <c r="F68" s="87" t="s">
        <v>66</v>
      </c>
      <c r="G68" s="87" t="s">
        <v>43</v>
      </c>
      <c r="H68" s="88">
        <v>40930</v>
      </c>
      <c r="I68" s="87">
        <v>36</v>
      </c>
      <c r="J68" s="89">
        <v>7217</v>
      </c>
      <c r="AA68" s="76" t="str">
        <f t="shared" si="0"/>
        <v>employee 65</v>
      </c>
    </row>
    <row r="69" spans="2:27" x14ac:dyDescent="0.2">
      <c r="B69" s="82" t="s">
        <v>133</v>
      </c>
      <c r="C69" s="87" t="s">
        <v>449</v>
      </c>
      <c r="D69" s="87" t="s">
        <v>42</v>
      </c>
      <c r="E69" s="87" t="s">
        <v>56</v>
      </c>
      <c r="F69" s="87" t="s">
        <v>66</v>
      </c>
      <c r="G69" s="87" t="s">
        <v>44</v>
      </c>
      <c r="H69" s="88">
        <v>42913</v>
      </c>
      <c r="I69" s="87">
        <v>41</v>
      </c>
      <c r="J69" s="89">
        <v>8135</v>
      </c>
      <c r="AA69" s="76" t="str">
        <f t="shared" ref="AA69:AA132" si="1">IF(C69="","",B69)</f>
        <v>employee 66</v>
      </c>
    </row>
    <row r="70" spans="2:27" x14ac:dyDescent="0.2">
      <c r="B70" s="82" t="s">
        <v>134</v>
      </c>
      <c r="C70" s="87" t="s">
        <v>450</v>
      </c>
      <c r="D70" s="87" t="s">
        <v>45</v>
      </c>
      <c r="E70" s="87" t="s">
        <v>56</v>
      </c>
      <c r="F70" s="87" t="s">
        <v>66</v>
      </c>
      <c r="G70" s="87" t="s">
        <v>43</v>
      </c>
      <c r="H70" s="88">
        <v>40646</v>
      </c>
      <c r="I70" s="87">
        <v>39</v>
      </c>
      <c r="J70" s="89">
        <v>9722</v>
      </c>
      <c r="AA70" s="76" t="str">
        <f t="shared" si="1"/>
        <v>employee 67</v>
      </c>
    </row>
    <row r="71" spans="2:27" x14ac:dyDescent="0.2">
      <c r="B71" s="82" t="s">
        <v>135</v>
      </c>
      <c r="C71" s="87" t="s">
        <v>451</v>
      </c>
      <c r="D71" s="87" t="s">
        <v>49</v>
      </c>
      <c r="E71" s="87" t="s">
        <v>57</v>
      </c>
      <c r="F71" s="87" t="s">
        <v>67</v>
      </c>
      <c r="G71" s="87" t="s">
        <v>44</v>
      </c>
      <c r="H71" s="88">
        <v>43588</v>
      </c>
      <c r="I71" s="87">
        <v>41</v>
      </c>
      <c r="J71" s="89">
        <v>7594</v>
      </c>
      <c r="AA71" s="76" t="str">
        <f t="shared" si="1"/>
        <v>employee 68</v>
      </c>
    </row>
    <row r="72" spans="2:27" x14ac:dyDescent="0.2">
      <c r="B72" s="82" t="s">
        <v>136</v>
      </c>
      <c r="C72" s="87" t="s">
        <v>452</v>
      </c>
      <c r="D72" s="87" t="s">
        <v>47</v>
      </c>
      <c r="E72" s="87" t="s">
        <v>57</v>
      </c>
      <c r="F72" s="87" t="s">
        <v>67</v>
      </c>
      <c r="G72" s="87" t="s">
        <v>44</v>
      </c>
      <c r="H72" s="88">
        <v>42087</v>
      </c>
      <c r="I72" s="87">
        <v>29</v>
      </c>
      <c r="J72" s="89">
        <v>6988</v>
      </c>
      <c r="AA72" s="76" t="str">
        <f t="shared" si="1"/>
        <v>employee 69</v>
      </c>
    </row>
    <row r="73" spans="2:27" x14ac:dyDescent="0.2">
      <c r="B73" s="82" t="s">
        <v>137</v>
      </c>
      <c r="C73" s="87" t="s">
        <v>453</v>
      </c>
      <c r="D73" s="87" t="s">
        <v>42</v>
      </c>
      <c r="E73" s="87" t="s">
        <v>55</v>
      </c>
      <c r="F73" s="87" t="s">
        <v>66</v>
      </c>
      <c r="G73" s="87" t="s">
        <v>44</v>
      </c>
      <c r="H73" s="88">
        <v>43776</v>
      </c>
      <c r="I73" s="87">
        <v>34</v>
      </c>
      <c r="J73" s="89">
        <v>7162</v>
      </c>
      <c r="AA73" s="76" t="str">
        <f t="shared" si="1"/>
        <v>employee 70</v>
      </c>
    </row>
    <row r="74" spans="2:27" x14ac:dyDescent="0.2">
      <c r="B74" s="82" t="s">
        <v>138</v>
      </c>
      <c r="C74" s="87" t="s">
        <v>454</v>
      </c>
      <c r="D74" s="87" t="s">
        <v>48</v>
      </c>
      <c r="E74" s="87" t="s">
        <v>56</v>
      </c>
      <c r="F74" s="87" t="s">
        <v>67</v>
      </c>
      <c r="G74" s="87" t="s">
        <v>43</v>
      </c>
      <c r="H74" s="88">
        <v>41968</v>
      </c>
      <c r="I74" s="87">
        <v>35</v>
      </c>
      <c r="J74" s="89">
        <v>8725</v>
      </c>
      <c r="AA74" s="76" t="str">
        <f t="shared" si="1"/>
        <v>employee 71</v>
      </c>
    </row>
    <row r="75" spans="2:27" x14ac:dyDescent="0.2">
      <c r="B75" s="82" t="s">
        <v>139</v>
      </c>
      <c r="C75" s="87" t="s">
        <v>455</v>
      </c>
      <c r="D75" s="87" t="s">
        <v>42</v>
      </c>
      <c r="E75" s="87" t="s">
        <v>56</v>
      </c>
      <c r="F75" s="87" t="s">
        <v>67</v>
      </c>
      <c r="G75" s="87" t="s">
        <v>43</v>
      </c>
      <c r="H75" s="88">
        <v>42957</v>
      </c>
      <c r="I75" s="87">
        <v>31</v>
      </c>
      <c r="J75" s="89">
        <v>8856</v>
      </c>
      <c r="AA75" s="76" t="str">
        <f t="shared" si="1"/>
        <v>employee 72</v>
      </c>
    </row>
    <row r="76" spans="2:27" x14ac:dyDescent="0.2">
      <c r="B76" s="82" t="s">
        <v>140</v>
      </c>
      <c r="C76" s="87" t="s">
        <v>456</v>
      </c>
      <c r="D76" s="87" t="s">
        <v>42</v>
      </c>
      <c r="E76" s="87" t="s">
        <v>55</v>
      </c>
      <c r="F76" s="87" t="s">
        <v>67</v>
      </c>
      <c r="G76" s="87" t="s">
        <v>44</v>
      </c>
      <c r="H76" s="88">
        <v>43418</v>
      </c>
      <c r="I76" s="87">
        <v>42</v>
      </c>
      <c r="J76" s="89">
        <v>5663</v>
      </c>
      <c r="AA76" s="76" t="str">
        <f t="shared" si="1"/>
        <v>employee 73</v>
      </c>
    </row>
    <row r="77" spans="2:27" x14ac:dyDescent="0.2">
      <c r="B77" s="82" t="s">
        <v>141</v>
      </c>
      <c r="C77" s="87" t="s">
        <v>457</v>
      </c>
      <c r="D77" s="87" t="s">
        <v>12</v>
      </c>
      <c r="E77" s="87" t="s">
        <v>63</v>
      </c>
      <c r="F77" s="87" t="s">
        <v>66</v>
      </c>
      <c r="G77" s="87" t="s">
        <v>43</v>
      </c>
      <c r="H77" s="88">
        <v>42430</v>
      </c>
      <c r="I77" s="87">
        <v>29</v>
      </c>
      <c r="J77" s="89">
        <v>5773</v>
      </c>
      <c r="AA77" s="76" t="str">
        <f t="shared" si="1"/>
        <v>employee 74</v>
      </c>
    </row>
    <row r="78" spans="2:27" x14ac:dyDescent="0.2">
      <c r="B78" s="82" t="s">
        <v>142</v>
      </c>
      <c r="C78" s="87" t="s">
        <v>458</v>
      </c>
      <c r="D78" s="87" t="s">
        <v>48</v>
      </c>
      <c r="E78" s="87" t="s">
        <v>56</v>
      </c>
      <c r="F78" s="87" t="s">
        <v>67</v>
      </c>
      <c r="G78" s="87" t="s">
        <v>43</v>
      </c>
      <c r="H78" s="88">
        <v>40349</v>
      </c>
      <c r="I78" s="87">
        <v>34</v>
      </c>
      <c r="J78" s="89">
        <v>6780</v>
      </c>
      <c r="AA78" s="76" t="str">
        <f t="shared" si="1"/>
        <v>employee 75</v>
      </c>
    </row>
    <row r="79" spans="2:27" x14ac:dyDescent="0.2">
      <c r="B79" s="82" t="s">
        <v>143</v>
      </c>
      <c r="C79" s="87" t="s">
        <v>459</v>
      </c>
      <c r="D79" s="87" t="s">
        <v>46</v>
      </c>
      <c r="E79" s="87" t="s">
        <v>59</v>
      </c>
      <c r="F79" s="87" t="s">
        <v>67</v>
      </c>
      <c r="G79" s="87" t="s">
        <v>43</v>
      </c>
      <c r="H79" s="88">
        <v>42996</v>
      </c>
      <c r="I79" s="87">
        <v>37</v>
      </c>
      <c r="J79" s="89">
        <v>8253</v>
      </c>
      <c r="AA79" s="76" t="str">
        <f t="shared" si="1"/>
        <v>employee 76</v>
      </c>
    </row>
    <row r="80" spans="2:27" x14ac:dyDescent="0.2">
      <c r="B80" s="82" t="s">
        <v>144</v>
      </c>
      <c r="C80" s="87" t="s">
        <v>460</v>
      </c>
      <c r="D80" s="87" t="s">
        <v>48</v>
      </c>
      <c r="E80" s="87" t="s">
        <v>58</v>
      </c>
      <c r="F80" s="87" t="s">
        <v>67</v>
      </c>
      <c r="G80" s="87" t="s">
        <v>43</v>
      </c>
      <c r="H80" s="88">
        <v>43376</v>
      </c>
      <c r="I80" s="87">
        <v>39</v>
      </c>
      <c r="J80" s="89">
        <v>6156</v>
      </c>
      <c r="AA80" s="76" t="str">
        <f t="shared" si="1"/>
        <v>employee 77</v>
      </c>
    </row>
    <row r="81" spans="2:27" x14ac:dyDescent="0.2">
      <c r="B81" s="82" t="s">
        <v>145</v>
      </c>
      <c r="C81" s="87" t="s">
        <v>461</v>
      </c>
      <c r="D81" s="87" t="s">
        <v>12</v>
      </c>
      <c r="E81" s="87" t="s">
        <v>63</v>
      </c>
      <c r="F81" s="87" t="s">
        <v>67</v>
      </c>
      <c r="G81" s="87" t="s">
        <v>43</v>
      </c>
      <c r="H81" s="88">
        <v>42430</v>
      </c>
      <c r="I81" s="87">
        <v>36</v>
      </c>
      <c r="J81" s="89">
        <v>4541</v>
      </c>
      <c r="AA81" s="76" t="str">
        <f t="shared" si="1"/>
        <v>employee 78</v>
      </c>
    </row>
    <row r="82" spans="2:27" x14ac:dyDescent="0.2">
      <c r="B82" s="82" t="s">
        <v>146</v>
      </c>
      <c r="C82" s="87" t="s">
        <v>462</v>
      </c>
      <c r="D82" s="87" t="s">
        <v>49</v>
      </c>
      <c r="E82" s="87" t="s">
        <v>57</v>
      </c>
      <c r="F82" s="87" t="s">
        <v>67</v>
      </c>
      <c r="G82" s="87" t="s">
        <v>43</v>
      </c>
      <c r="H82" s="88">
        <v>41593</v>
      </c>
      <c r="I82" s="87">
        <v>31</v>
      </c>
      <c r="J82" s="89">
        <v>8238</v>
      </c>
      <c r="AA82" s="76" t="str">
        <f t="shared" si="1"/>
        <v>employee 79</v>
      </c>
    </row>
    <row r="83" spans="2:27" x14ac:dyDescent="0.2">
      <c r="B83" s="82" t="s">
        <v>147</v>
      </c>
      <c r="C83" s="87" t="s">
        <v>463</v>
      </c>
      <c r="D83" s="87" t="s">
        <v>45</v>
      </c>
      <c r="E83" s="87" t="s">
        <v>59</v>
      </c>
      <c r="F83" s="87" t="s">
        <v>67</v>
      </c>
      <c r="G83" s="87" t="s">
        <v>43</v>
      </c>
      <c r="H83" s="88">
        <v>41988</v>
      </c>
      <c r="I83" s="87">
        <v>38</v>
      </c>
      <c r="J83" s="89">
        <v>7139</v>
      </c>
      <c r="AA83" s="76" t="str">
        <f t="shared" si="1"/>
        <v>employee 80</v>
      </c>
    </row>
    <row r="84" spans="2:27" x14ac:dyDescent="0.2">
      <c r="B84" s="82" t="s">
        <v>148</v>
      </c>
      <c r="C84" s="87" t="s">
        <v>464</v>
      </c>
      <c r="D84" s="87" t="s">
        <v>48</v>
      </c>
      <c r="E84" s="87" t="s">
        <v>59</v>
      </c>
      <c r="F84" s="87" t="s">
        <v>67</v>
      </c>
      <c r="G84" s="87" t="s">
        <v>44</v>
      </c>
      <c r="H84" s="88">
        <v>41763</v>
      </c>
      <c r="I84" s="87">
        <v>35</v>
      </c>
      <c r="J84" s="89">
        <v>6714</v>
      </c>
      <c r="AA84" s="76" t="str">
        <f t="shared" si="1"/>
        <v>employee 81</v>
      </c>
    </row>
    <row r="85" spans="2:27" x14ac:dyDescent="0.2">
      <c r="B85" s="82" t="s">
        <v>149</v>
      </c>
      <c r="C85" s="87" t="s">
        <v>465</v>
      </c>
      <c r="D85" s="87" t="s">
        <v>45</v>
      </c>
      <c r="E85" s="87" t="s">
        <v>56</v>
      </c>
      <c r="F85" s="87" t="s">
        <v>67</v>
      </c>
      <c r="G85" s="87" t="s">
        <v>43</v>
      </c>
      <c r="H85" s="88">
        <v>40485</v>
      </c>
      <c r="I85" s="87">
        <v>38</v>
      </c>
      <c r="J85" s="89">
        <v>4938</v>
      </c>
      <c r="AA85" s="76" t="str">
        <f t="shared" si="1"/>
        <v>employee 82</v>
      </c>
    </row>
    <row r="86" spans="2:27" x14ac:dyDescent="0.2">
      <c r="B86" s="82" t="s">
        <v>150</v>
      </c>
      <c r="C86" s="87" t="s">
        <v>466</v>
      </c>
      <c r="D86" s="87" t="s">
        <v>50</v>
      </c>
      <c r="E86" s="87" t="s">
        <v>59</v>
      </c>
      <c r="F86" s="87" t="s">
        <v>67</v>
      </c>
      <c r="G86" s="87" t="s">
        <v>44</v>
      </c>
      <c r="H86" s="88">
        <v>42553</v>
      </c>
      <c r="I86" s="87">
        <v>41</v>
      </c>
      <c r="J86" s="89">
        <v>6978</v>
      </c>
      <c r="AA86" s="76" t="str">
        <f t="shared" si="1"/>
        <v>employee 83</v>
      </c>
    </row>
    <row r="87" spans="2:27" x14ac:dyDescent="0.2">
      <c r="B87" s="82" t="s">
        <v>151</v>
      </c>
      <c r="C87" s="87" t="s">
        <v>467</v>
      </c>
      <c r="D87" s="87" t="s">
        <v>48</v>
      </c>
      <c r="E87" s="87" t="s">
        <v>56</v>
      </c>
      <c r="F87" s="87" t="s">
        <v>67</v>
      </c>
      <c r="G87" s="87" t="s">
        <v>43</v>
      </c>
      <c r="H87" s="88">
        <v>42346</v>
      </c>
      <c r="I87" s="87">
        <v>35</v>
      </c>
      <c r="J87" s="89">
        <v>8920</v>
      </c>
      <c r="AA87" s="76" t="str">
        <f t="shared" si="1"/>
        <v>employee 84</v>
      </c>
    </row>
    <row r="88" spans="2:27" x14ac:dyDescent="0.2">
      <c r="B88" s="82" t="s">
        <v>152</v>
      </c>
      <c r="C88" s="87" t="s">
        <v>468</v>
      </c>
      <c r="D88" s="87" t="s">
        <v>50</v>
      </c>
      <c r="E88" s="87" t="s">
        <v>57</v>
      </c>
      <c r="F88" s="87" t="s">
        <v>67</v>
      </c>
      <c r="G88" s="87" t="s">
        <v>43</v>
      </c>
      <c r="H88" s="88">
        <v>43432</v>
      </c>
      <c r="I88" s="87">
        <v>30</v>
      </c>
      <c r="J88" s="89">
        <v>5218</v>
      </c>
      <c r="AA88" s="76" t="str">
        <f t="shared" si="1"/>
        <v>employee 85</v>
      </c>
    </row>
    <row r="89" spans="2:27" x14ac:dyDescent="0.2">
      <c r="B89" s="82" t="s">
        <v>153</v>
      </c>
      <c r="C89" s="87" t="s">
        <v>469</v>
      </c>
      <c r="D89" s="87" t="s">
        <v>49</v>
      </c>
      <c r="E89" s="87" t="s">
        <v>56</v>
      </c>
      <c r="F89" s="87" t="s">
        <v>67</v>
      </c>
      <c r="G89" s="87" t="s">
        <v>43</v>
      </c>
      <c r="H89" s="88">
        <v>43086</v>
      </c>
      <c r="I89" s="87">
        <v>36</v>
      </c>
      <c r="J89" s="89">
        <v>8740</v>
      </c>
      <c r="AA89" s="76" t="str">
        <f t="shared" si="1"/>
        <v>employee 86</v>
      </c>
    </row>
    <row r="90" spans="2:27" x14ac:dyDescent="0.2">
      <c r="B90" s="82" t="s">
        <v>154</v>
      </c>
      <c r="C90" s="87" t="s">
        <v>470</v>
      </c>
      <c r="D90" s="87" t="s">
        <v>46</v>
      </c>
      <c r="E90" s="87" t="s">
        <v>57</v>
      </c>
      <c r="F90" s="87" t="s">
        <v>67</v>
      </c>
      <c r="G90" s="87" t="s">
        <v>43</v>
      </c>
      <c r="H90" s="88">
        <v>41984</v>
      </c>
      <c r="I90" s="87">
        <v>41</v>
      </c>
      <c r="J90" s="89">
        <v>5268</v>
      </c>
      <c r="AA90" s="76" t="str">
        <f t="shared" si="1"/>
        <v>employee 87</v>
      </c>
    </row>
    <row r="91" spans="2:27" x14ac:dyDescent="0.2">
      <c r="B91" s="82" t="s">
        <v>155</v>
      </c>
      <c r="C91" s="87" t="s">
        <v>471</v>
      </c>
      <c r="D91" s="87" t="s">
        <v>48</v>
      </c>
      <c r="E91" s="87" t="s">
        <v>56</v>
      </c>
      <c r="F91" s="87" t="s">
        <v>67</v>
      </c>
      <c r="G91" s="87" t="s">
        <v>43</v>
      </c>
      <c r="H91" s="88">
        <v>40866</v>
      </c>
      <c r="I91" s="87">
        <v>31</v>
      </c>
      <c r="J91" s="89">
        <v>9894</v>
      </c>
      <c r="AA91" s="76" t="str">
        <f t="shared" si="1"/>
        <v>employee 88</v>
      </c>
    </row>
    <row r="92" spans="2:27" x14ac:dyDescent="0.2">
      <c r="B92" s="82" t="s">
        <v>156</v>
      </c>
      <c r="C92" s="87" t="s">
        <v>472</v>
      </c>
      <c r="D92" s="87" t="s">
        <v>45</v>
      </c>
      <c r="E92" s="87" t="s">
        <v>56</v>
      </c>
      <c r="F92" s="87" t="s">
        <v>67</v>
      </c>
      <c r="G92" s="87" t="s">
        <v>43</v>
      </c>
      <c r="H92" s="88">
        <v>41494</v>
      </c>
      <c r="I92" s="87">
        <v>33</v>
      </c>
      <c r="J92" s="89">
        <v>9238</v>
      </c>
      <c r="AA92" s="76" t="str">
        <f t="shared" si="1"/>
        <v>employee 89</v>
      </c>
    </row>
    <row r="93" spans="2:27" x14ac:dyDescent="0.2">
      <c r="B93" s="82" t="s">
        <v>157</v>
      </c>
      <c r="C93" s="87" t="s">
        <v>473</v>
      </c>
      <c r="D93" s="87" t="s">
        <v>48</v>
      </c>
      <c r="E93" s="87" t="s">
        <v>59</v>
      </c>
      <c r="F93" s="87" t="s">
        <v>67</v>
      </c>
      <c r="G93" s="87" t="s">
        <v>44</v>
      </c>
      <c r="H93" s="88">
        <v>40355</v>
      </c>
      <c r="I93" s="87">
        <v>39</v>
      </c>
      <c r="J93" s="89">
        <v>5898</v>
      </c>
      <c r="AA93" s="76" t="str">
        <f t="shared" si="1"/>
        <v>employee 90</v>
      </c>
    </row>
    <row r="94" spans="2:27" x14ac:dyDescent="0.2">
      <c r="B94" s="82" t="s">
        <v>158</v>
      </c>
      <c r="C94" s="87" t="s">
        <v>474</v>
      </c>
      <c r="D94" s="87" t="s">
        <v>48</v>
      </c>
      <c r="E94" s="87" t="s">
        <v>57</v>
      </c>
      <c r="F94" s="87" t="s">
        <v>67</v>
      </c>
      <c r="G94" s="87" t="s">
        <v>43</v>
      </c>
      <c r="H94" s="88">
        <v>41198</v>
      </c>
      <c r="I94" s="87">
        <v>35</v>
      </c>
      <c r="J94" s="89">
        <v>7562</v>
      </c>
      <c r="AA94" s="76" t="str">
        <f t="shared" si="1"/>
        <v>employee 91</v>
      </c>
    </row>
    <row r="95" spans="2:27" x14ac:dyDescent="0.2">
      <c r="B95" s="82" t="s">
        <v>159</v>
      </c>
      <c r="C95" s="87" t="s">
        <v>475</v>
      </c>
      <c r="D95" s="87" t="s">
        <v>48</v>
      </c>
      <c r="E95" s="87" t="s">
        <v>59</v>
      </c>
      <c r="F95" s="87" t="s">
        <v>67</v>
      </c>
      <c r="G95" s="87" t="s">
        <v>43</v>
      </c>
      <c r="H95" s="88">
        <v>43103</v>
      </c>
      <c r="I95" s="87">
        <v>37</v>
      </c>
      <c r="J95" s="89">
        <v>7646</v>
      </c>
      <c r="AA95" s="76" t="str">
        <f t="shared" si="1"/>
        <v>employee 92</v>
      </c>
    </row>
    <row r="96" spans="2:27" x14ac:dyDescent="0.2">
      <c r="B96" s="82" t="s">
        <v>160</v>
      </c>
      <c r="C96" s="87" t="s">
        <v>476</v>
      </c>
      <c r="D96" s="87" t="s">
        <v>47</v>
      </c>
      <c r="E96" s="87" t="s">
        <v>57</v>
      </c>
      <c r="F96" s="87" t="s">
        <v>67</v>
      </c>
      <c r="G96" s="87" t="s">
        <v>43</v>
      </c>
      <c r="H96" s="88">
        <v>43154</v>
      </c>
      <c r="I96" s="87">
        <v>42</v>
      </c>
      <c r="J96" s="89">
        <v>5510</v>
      </c>
      <c r="AA96" s="76" t="str">
        <f t="shared" si="1"/>
        <v>employee 93</v>
      </c>
    </row>
    <row r="97" spans="2:27" x14ac:dyDescent="0.2">
      <c r="B97" s="82" t="s">
        <v>161</v>
      </c>
      <c r="C97" s="87" t="s">
        <v>477</v>
      </c>
      <c r="D97" s="87" t="s">
        <v>42</v>
      </c>
      <c r="E97" s="87" t="s">
        <v>55</v>
      </c>
      <c r="F97" s="87" t="s">
        <v>67</v>
      </c>
      <c r="G97" s="87" t="s">
        <v>43</v>
      </c>
      <c r="H97" s="88">
        <v>41984</v>
      </c>
      <c r="I97" s="87">
        <v>38</v>
      </c>
      <c r="J97" s="89">
        <v>6695</v>
      </c>
      <c r="AA97" s="76" t="str">
        <f t="shared" si="1"/>
        <v>employee 94</v>
      </c>
    </row>
    <row r="98" spans="2:27" x14ac:dyDescent="0.2">
      <c r="B98" s="82" t="s">
        <v>162</v>
      </c>
      <c r="C98" s="87" t="s">
        <v>478</v>
      </c>
      <c r="D98" s="87" t="s">
        <v>46</v>
      </c>
      <c r="E98" s="87" t="s">
        <v>55</v>
      </c>
      <c r="F98" s="87" t="s">
        <v>67</v>
      </c>
      <c r="G98" s="87" t="s">
        <v>44</v>
      </c>
      <c r="H98" s="88">
        <v>41341</v>
      </c>
      <c r="I98" s="87">
        <v>34</v>
      </c>
      <c r="J98" s="89">
        <v>8634</v>
      </c>
      <c r="AA98" s="76" t="str">
        <f t="shared" si="1"/>
        <v>employee 95</v>
      </c>
    </row>
    <row r="99" spans="2:27" x14ac:dyDescent="0.2">
      <c r="B99" s="82" t="s">
        <v>163</v>
      </c>
      <c r="C99" s="87" t="s">
        <v>479</v>
      </c>
      <c r="D99" s="87" t="s">
        <v>50</v>
      </c>
      <c r="E99" s="87" t="s">
        <v>59</v>
      </c>
      <c r="F99" s="87" t="s">
        <v>66</v>
      </c>
      <c r="G99" s="87" t="s">
        <v>43</v>
      </c>
      <c r="H99" s="88">
        <v>42551</v>
      </c>
      <c r="I99" s="87">
        <v>43</v>
      </c>
      <c r="J99" s="89">
        <v>6027</v>
      </c>
      <c r="AA99" s="76" t="str">
        <f t="shared" si="1"/>
        <v>employee 96</v>
      </c>
    </row>
    <row r="100" spans="2:27" x14ac:dyDescent="0.2">
      <c r="B100" s="82" t="s">
        <v>164</v>
      </c>
      <c r="C100" s="87" t="s">
        <v>480</v>
      </c>
      <c r="D100" s="87" t="s">
        <v>12</v>
      </c>
      <c r="E100" s="87" t="s">
        <v>63</v>
      </c>
      <c r="F100" s="87" t="s">
        <v>67</v>
      </c>
      <c r="G100" s="87" t="s">
        <v>43</v>
      </c>
      <c r="H100" s="88">
        <v>43731</v>
      </c>
      <c r="I100" s="87">
        <v>33</v>
      </c>
      <c r="J100" s="89">
        <v>9767</v>
      </c>
      <c r="AA100" s="76" t="str">
        <f t="shared" si="1"/>
        <v>employee 97</v>
      </c>
    </row>
    <row r="101" spans="2:27" x14ac:dyDescent="0.2">
      <c r="B101" s="82" t="s">
        <v>165</v>
      </c>
      <c r="C101" s="87" t="s">
        <v>481</v>
      </c>
      <c r="D101" s="87" t="s">
        <v>42</v>
      </c>
      <c r="E101" s="87" t="s">
        <v>58</v>
      </c>
      <c r="F101" s="87" t="s">
        <v>66</v>
      </c>
      <c r="G101" s="87" t="s">
        <v>43</v>
      </c>
      <c r="H101" s="88">
        <v>43387</v>
      </c>
      <c r="I101" s="87">
        <v>37</v>
      </c>
      <c r="J101" s="89">
        <v>7851</v>
      </c>
      <c r="AA101" s="76" t="str">
        <f t="shared" si="1"/>
        <v>employee 98</v>
      </c>
    </row>
    <row r="102" spans="2:27" x14ac:dyDescent="0.2">
      <c r="B102" s="82" t="s">
        <v>166</v>
      </c>
      <c r="C102" s="87" t="s">
        <v>482</v>
      </c>
      <c r="D102" s="87" t="s">
        <v>47</v>
      </c>
      <c r="E102" s="87" t="s">
        <v>58</v>
      </c>
      <c r="F102" s="87" t="s">
        <v>67</v>
      </c>
      <c r="G102" s="87" t="s">
        <v>43</v>
      </c>
      <c r="H102" s="88">
        <v>42449</v>
      </c>
      <c r="I102" s="87">
        <v>44</v>
      </c>
      <c r="J102" s="89">
        <v>6201</v>
      </c>
      <c r="AA102" s="76" t="str">
        <f t="shared" si="1"/>
        <v>employee 99</v>
      </c>
    </row>
    <row r="103" spans="2:27" x14ac:dyDescent="0.2">
      <c r="B103" s="82" t="s">
        <v>167</v>
      </c>
      <c r="C103" s="87" t="s">
        <v>483</v>
      </c>
      <c r="D103" s="87" t="s">
        <v>47</v>
      </c>
      <c r="E103" s="87" t="s">
        <v>57</v>
      </c>
      <c r="F103" s="87" t="s">
        <v>67</v>
      </c>
      <c r="G103" s="87" t="s">
        <v>43</v>
      </c>
      <c r="H103" s="88">
        <v>43573</v>
      </c>
      <c r="I103" s="87">
        <v>43</v>
      </c>
      <c r="J103" s="89">
        <v>6182</v>
      </c>
      <c r="AA103" s="76" t="str">
        <f t="shared" si="1"/>
        <v>employee 100</v>
      </c>
    </row>
    <row r="104" spans="2:27" x14ac:dyDescent="0.2">
      <c r="B104" s="82" t="s">
        <v>168</v>
      </c>
      <c r="C104" s="87" t="s">
        <v>484</v>
      </c>
      <c r="D104" s="87" t="s">
        <v>50</v>
      </c>
      <c r="E104" s="87" t="s">
        <v>55</v>
      </c>
      <c r="F104" s="87" t="s">
        <v>66</v>
      </c>
      <c r="G104" s="87" t="s">
        <v>43</v>
      </c>
      <c r="H104" s="88">
        <v>41053</v>
      </c>
      <c r="I104" s="87">
        <v>30</v>
      </c>
      <c r="J104" s="89">
        <v>7364</v>
      </c>
      <c r="AA104" s="76" t="str">
        <f t="shared" si="1"/>
        <v>employee 101</v>
      </c>
    </row>
    <row r="105" spans="2:27" x14ac:dyDescent="0.2">
      <c r="B105" s="82" t="s">
        <v>169</v>
      </c>
      <c r="C105" s="87" t="s">
        <v>485</v>
      </c>
      <c r="D105" s="87" t="s">
        <v>46</v>
      </c>
      <c r="E105" s="87" t="s">
        <v>59</v>
      </c>
      <c r="F105" s="87" t="s">
        <v>67</v>
      </c>
      <c r="G105" s="87" t="s">
        <v>43</v>
      </c>
      <c r="H105" s="88">
        <v>42447</v>
      </c>
      <c r="I105" s="87">
        <v>30</v>
      </c>
      <c r="J105" s="89">
        <v>4847</v>
      </c>
      <c r="AA105" s="76" t="str">
        <f t="shared" si="1"/>
        <v>employee 102</v>
      </c>
    </row>
    <row r="106" spans="2:27" x14ac:dyDescent="0.2">
      <c r="B106" s="82" t="s">
        <v>170</v>
      </c>
      <c r="C106" s="87" t="s">
        <v>486</v>
      </c>
      <c r="D106" s="87" t="s">
        <v>45</v>
      </c>
      <c r="E106" s="87" t="s">
        <v>63</v>
      </c>
      <c r="F106" s="87" t="s">
        <v>66</v>
      </c>
      <c r="G106" s="87" t="s">
        <v>43</v>
      </c>
      <c r="H106" s="88">
        <v>41927</v>
      </c>
      <c r="I106" s="87">
        <v>44</v>
      </c>
      <c r="J106" s="89">
        <v>8791</v>
      </c>
      <c r="AA106" s="76" t="str">
        <f t="shared" si="1"/>
        <v>employee 103</v>
      </c>
    </row>
    <row r="107" spans="2:27" x14ac:dyDescent="0.2">
      <c r="B107" s="82" t="s">
        <v>171</v>
      </c>
      <c r="C107" s="87" t="s">
        <v>487</v>
      </c>
      <c r="D107" s="87" t="s">
        <v>49</v>
      </c>
      <c r="E107" s="87" t="s">
        <v>57</v>
      </c>
      <c r="F107" s="87" t="s">
        <v>66</v>
      </c>
      <c r="G107" s="87" t="s">
        <v>43</v>
      </c>
      <c r="H107" s="88">
        <v>43789</v>
      </c>
      <c r="I107" s="87">
        <v>38</v>
      </c>
      <c r="J107" s="89">
        <v>6693</v>
      </c>
      <c r="AA107" s="76" t="str">
        <f t="shared" si="1"/>
        <v>employee 104</v>
      </c>
    </row>
    <row r="108" spans="2:27" x14ac:dyDescent="0.2">
      <c r="B108" s="82" t="s">
        <v>172</v>
      </c>
      <c r="C108" s="87" t="s">
        <v>488</v>
      </c>
      <c r="D108" s="87" t="s">
        <v>48</v>
      </c>
      <c r="E108" s="87" t="s">
        <v>58</v>
      </c>
      <c r="F108" s="87" t="s">
        <v>67</v>
      </c>
      <c r="G108" s="87" t="s">
        <v>43</v>
      </c>
      <c r="H108" s="88">
        <v>41430</v>
      </c>
      <c r="I108" s="87">
        <v>35</v>
      </c>
      <c r="J108" s="89">
        <v>5563</v>
      </c>
      <c r="AA108" s="76" t="str">
        <f t="shared" si="1"/>
        <v>employee 105</v>
      </c>
    </row>
    <row r="109" spans="2:27" x14ac:dyDescent="0.2">
      <c r="B109" s="82" t="s">
        <v>173</v>
      </c>
      <c r="C109" s="87" t="s">
        <v>489</v>
      </c>
      <c r="D109" s="87" t="s">
        <v>45</v>
      </c>
      <c r="E109" s="87" t="s">
        <v>55</v>
      </c>
      <c r="F109" s="87" t="s">
        <v>67</v>
      </c>
      <c r="G109" s="87" t="s">
        <v>43</v>
      </c>
      <c r="H109" s="88">
        <v>43496</v>
      </c>
      <c r="I109" s="87">
        <v>38</v>
      </c>
      <c r="J109" s="89">
        <v>9740</v>
      </c>
      <c r="AA109" s="76" t="str">
        <f t="shared" si="1"/>
        <v>employee 106</v>
      </c>
    </row>
    <row r="110" spans="2:27" x14ac:dyDescent="0.2">
      <c r="B110" s="82" t="s">
        <v>174</v>
      </c>
      <c r="C110" s="87" t="s">
        <v>490</v>
      </c>
      <c r="D110" s="87" t="s">
        <v>47</v>
      </c>
      <c r="E110" s="87" t="s">
        <v>56</v>
      </c>
      <c r="F110" s="87" t="s">
        <v>66</v>
      </c>
      <c r="G110" s="87" t="s">
        <v>43</v>
      </c>
      <c r="H110" s="88">
        <v>42782</v>
      </c>
      <c r="I110" s="87">
        <v>30</v>
      </c>
      <c r="J110" s="89">
        <v>8730</v>
      </c>
      <c r="AA110" s="76" t="str">
        <f t="shared" si="1"/>
        <v>employee 107</v>
      </c>
    </row>
    <row r="111" spans="2:27" x14ac:dyDescent="0.2">
      <c r="B111" s="82" t="s">
        <v>175</v>
      </c>
      <c r="C111" s="87" t="s">
        <v>491</v>
      </c>
      <c r="D111" s="87" t="s">
        <v>46</v>
      </c>
      <c r="E111" s="87" t="s">
        <v>56</v>
      </c>
      <c r="F111" s="87" t="s">
        <v>67</v>
      </c>
      <c r="G111" s="87" t="s">
        <v>44</v>
      </c>
      <c r="H111" s="88">
        <v>43472</v>
      </c>
      <c r="I111" s="87">
        <v>35</v>
      </c>
      <c r="J111" s="89">
        <v>5037</v>
      </c>
      <c r="AA111" s="76" t="str">
        <f t="shared" si="1"/>
        <v>employee 108</v>
      </c>
    </row>
    <row r="112" spans="2:27" x14ac:dyDescent="0.2">
      <c r="B112" s="82" t="s">
        <v>176</v>
      </c>
      <c r="C112" s="87" t="s">
        <v>492</v>
      </c>
      <c r="D112" s="87" t="s">
        <v>12</v>
      </c>
      <c r="E112" s="87" t="s">
        <v>59</v>
      </c>
      <c r="F112" s="87" t="s">
        <v>66</v>
      </c>
      <c r="G112" s="87" t="s">
        <v>44</v>
      </c>
      <c r="H112" s="88">
        <v>41276</v>
      </c>
      <c r="I112" s="87">
        <v>41</v>
      </c>
      <c r="J112" s="89">
        <v>5604</v>
      </c>
      <c r="AA112" s="76" t="str">
        <f t="shared" si="1"/>
        <v>employee 109</v>
      </c>
    </row>
    <row r="113" spans="2:27" x14ac:dyDescent="0.2">
      <c r="B113" s="82" t="s">
        <v>177</v>
      </c>
      <c r="C113" s="87" t="s">
        <v>493</v>
      </c>
      <c r="D113" s="87" t="s">
        <v>45</v>
      </c>
      <c r="E113" s="87" t="s">
        <v>57</v>
      </c>
      <c r="F113" s="87" t="s">
        <v>66</v>
      </c>
      <c r="G113" s="87" t="s">
        <v>44</v>
      </c>
      <c r="H113" s="88">
        <v>42116</v>
      </c>
      <c r="I113" s="87">
        <v>33</v>
      </c>
      <c r="J113" s="89">
        <v>6885</v>
      </c>
      <c r="AA113" s="76" t="str">
        <f t="shared" si="1"/>
        <v>employee 110</v>
      </c>
    </row>
    <row r="114" spans="2:27" x14ac:dyDescent="0.2">
      <c r="B114" s="82" t="s">
        <v>178</v>
      </c>
      <c r="C114" s="87" t="s">
        <v>494</v>
      </c>
      <c r="D114" s="87" t="s">
        <v>48</v>
      </c>
      <c r="E114" s="87" t="s">
        <v>58</v>
      </c>
      <c r="F114" s="87" t="s">
        <v>66</v>
      </c>
      <c r="G114" s="87" t="s">
        <v>44</v>
      </c>
      <c r="H114" s="88">
        <v>42420</v>
      </c>
      <c r="I114" s="87">
        <v>43</v>
      </c>
      <c r="J114" s="89">
        <v>6576</v>
      </c>
      <c r="AA114" s="76" t="str">
        <f t="shared" si="1"/>
        <v>employee 111</v>
      </c>
    </row>
    <row r="115" spans="2:27" x14ac:dyDescent="0.2">
      <c r="B115" s="82" t="s">
        <v>179</v>
      </c>
      <c r="C115" s="87" t="s">
        <v>495</v>
      </c>
      <c r="D115" s="87" t="s">
        <v>12</v>
      </c>
      <c r="E115" s="87" t="s">
        <v>55</v>
      </c>
      <c r="F115" s="87" t="s">
        <v>66</v>
      </c>
      <c r="G115" s="87" t="s">
        <v>44</v>
      </c>
      <c r="H115" s="88">
        <v>41881</v>
      </c>
      <c r="I115" s="87">
        <v>42</v>
      </c>
      <c r="J115" s="89">
        <v>7963</v>
      </c>
      <c r="AA115" s="76" t="str">
        <f t="shared" si="1"/>
        <v>employee 112</v>
      </c>
    </row>
    <row r="116" spans="2:27" x14ac:dyDescent="0.2">
      <c r="B116" s="82" t="s">
        <v>180</v>
      </c>
      <c r="C116" s="87" t="s">
        <v>496</v>
      </c>
      <c r="D116" s="87" t="s">
        <v>46</v>
      </c>
      <c r="E116" s="87" t="s">
        <v>59</v>
      </c>
      <c r="F116" s="87" t="s">
        <v>66</v>
      </c>
      <c r="G116" s="87" t="s">
        <v>44</v>
      </c>
      <c r="H116" s="88">
        <v>42008</v>
      </c>
      <c r="I116" s="87">
        <v>33</v>
      </c>
      <c r="J116" s="89">
        <v>5027</v>
      </c>
      <c r="AA116" s="76" t="str">
        <f t="shared" si="1"/>
        <v>employee 113</v>
      </c>
    </row>
    <row r="117" spans="2:27" x14ac:dyDescent="0.2">
      <c r="B117" s="82" t="s">
        <v>181</v>
      </c>
      <c r="C117" s="87" t="s">
        <v>497</v>
      </c>
      <c r="D117" s="87" t="s">
        <v>42</v>
      </c>
      <c r="E117" s="87" t="s">
        <v>55</v>
      </c>
      <c r="F117" s="87" t="s">
        <v>66</v>
      </c>
      <c r="G117" s="87" t="s">
        <v>43</v>
      </c>
      <c r="H117" s="88">
        <v>40714</v>
      </c>
      <c r="I117" s="87">
        <v>34</v>
      </c>
      <c r="J117" s="89">
        <v>4822</v>
      </c>
      <c r="AA117" s="76" t="str">
        <f t="shared" si="1"/>
        <v>employee 114</v>
      </c>
    </row>
    <row r="118" spans="2:27" x14ac:dyDescent="0.2">
      <c r="B118" s="82" t="s">
        <v>182</v>
      </c>
      <c r="C118" s="87" t="s">
        <v>498</v>
      </c>
      <c r="D118" s="87" t="s">
        <v>47</v>
      </c>
      <c r="E118" s="87" t="s">
        <v>55</v>
      </c>
      <c r="F118" s="87" t="s">
        <v>66</v>
      </c>
      <c r="G118" s="87" t="s">
        <v>44</v>
      </c>
      <c r="H118" s="88">
        <v>42259</v>
      </c>
      <c r="I118" s="87">
        <v>38</v>
      </c>
      <c r="J118" s="89">
        <v>7671</v>
      </c>
      <c r="AA118" s="76" t="str">
        <f t="shared" si="1"/>
        <v>employee 115</v>
      </c>
    </row>
    <row r="119" spans="2:27" x14ac:dyDescent="0.2">
      <c r="B119" s="82" t="s">
        <v>183</v>
      </c>
      <c r="C119" s="87" t="s">
        <v>499</v>
      </c>
      <c r="D119" s="87" t="s">
        <v>46</v>
      </c>
      <c r="E119" s="87" t="s">
        <v>58</v>
      </c>
      <c r="F119" s="87" t="s">
        <v>66</v>
      </c>
      <c r="G119" s="87" t="s">
        <v>43</v>
      </c>
      <c r="H119" s="88">
        <v>41976</v>
      </c>
      <c r="I119" s="87">
        <v>35</v>
      </c>
      <c r="J119" s="89">
        <v>4858</v>
      </c>
      <c r="AA119" s="76" t="str">
        <f t="shared" si="1"/>
        <v>employee 116</v>
      </c>
    </row>
    <row r="120" spans="2:27" x14ac:dyDescent="0.2">
      <c r="B120" s="82" t="s">
        <v>184</v>
      </c>
      <c r="C120" s="87" t="s">
        <v>500</v>
      </c>
      <c r="D120" s="87" t="s">
        <v>46</v>
      </c>
      <c r="E120" s="87" t="s">
        <v>59</v>
      </c>
      <c r="F120" s="87" t="s">
        <v>66</v>
      </c>
      <c r="G120" s="87" t="s">
        <v>43</v>
      </c>
      <c r="H120" s="88">
        <v>43609</v>
      </c>
      <c r="I120" s="87">
        <v>36</v>
      </c>
      <c r="J120" s="89">
        <v>8956</v>
      </c>
      <c r="AA120" s="76" t="str">
        <f t="shared" si="1"/>
        <v>employee 117</v>
      </c>
    </row>
    <row r="121" spans="2:27" x14ac:dyDescent="0.2">
      <c r="B121" s="82" t="s">
        <v>185</v>
      </c>
      <c r="C121" s="87" t="s">
        <v>501</v>
      </c>
      <c r="D121" s="87" t="s">
        <v>12</v>
      </c>
      <c r="E121" s="87" t="s">
        <v>58</v>
      </c>
      <c r="F121" s="87" t="s">
        <v>66</v>
      </c>
      <c r="G121" s="87" t="s">
        <v>44</v>
      </c>
      <c r="H121" s="88">
        <v>42693</v>
      </c>
      <c r="I121" s="87">
        <v>40</v>
      </c>
      <c r="J121" s="89">
        <v>8053</v>
      </c>
      <c r="AA121" s="76" t="str">
        <f t="shared" si="1"/>
        <v>employee 118</v>
      </c>
    </row>
    <row r="122" spans="2:27" x14ac:dyDescent="0.2">
      <c r="B122" s="82" t="s">
        <v>186</v>
      </c>
      <c r="C122" s="87" t="s">
        <v>502</v>
      </c>
      <c r="D122" s="87" t="s">
        <v>45</v>
      </c>
      <c r="E122" s="87" t="s">
        <v>59</v>
      </c>
      <c r="F122" s="87" t="s">
        <v>66</v>
      </c>
      <c r="G122" s="87" t="s">
        <v>43</v>
      </c>
      <c r="H122" s="88">
        <v>42628</v>
      </c>
      <c r="I122" s="87">
        <v>38</v>
      </c>
      <c r="J122" s="89">
        <v>9757</v>
      </c>
      <c r="AA122" s="76" t="str">
        <f t="shared" si="1"/>
        <v>employee 119</v>
      </c>
    </row>
    <row r="123" spans="2:27" x14ac:dyDescent="0.2">
      <c r="B123" s="82" t="s">
        <v>187</v>
      </c>
      <c r="C123" s="87" t="s">
        <v>503</v>
      </c>
      <c r="D123" s="87" t="s">
        <v>45</v>
      </c>
      <c r="E123" s="87" t="s">
        <v>58</v>
      </c>
      <c r="F123" s="87" t="s">
        <v>66</v>
      </c>
      <c r="G123" s="87" t="s">
        <v>43</v>
      </c>
      <c r="H123" s="88">
        <v>43353</v>
      </c>
      <c r="I123" s="87">
        <v>32</v>
      </c>
      <c r="J123" s="89">
        <v>9554</v>
      </c>
      <c r="AA123" s="76" t="str">
        <f t="shared" si="1"/>
        <v>employee 120</v>
      </c>
    </row>
    <row r="124" spans="2:27" x14ac:dyDescent="0.2">
      <c r="B124" s="82" t="s">
        <v>188</v>
      </c>
      <c r="C124" s="87" t="s">
        <v>504</v>
      </c>
      <c r="D124" s="87" t="s">
        <v>46</v>
      </c>
      <c r="E124" s="87" t="s">
        <v>56</v>
      </c>
      <c r="F124" s="87" t="s">
        <v>67</v>
      </c>
      <c r="G124" s="87" t="s">
        <v>44</v>
      </c>
      <c r="H124" s="88">
        <v>43502</v>
      </c>
      <c r="I124" s="87">
        <v>35</v>
      </c>
      <c r="J124" s="89">
        <v>7691</v>
      </c>
      <c r="AA124" s="76" t="str">
        <f t="shared" si="1"/>
        <v>employee 121</v>
      </c>
    </row>
    <row r="125" spans="2:27" x14ac:dyDescent="0.2">
      <c r="B125" s="82" t="s">
        <v>189</v>
      </c>
      <c r="C125" s="87" t="s">
        <v>505</v>
      </c>
      <c r="D125" s="87" t="s">
        <v>46</v>
      </c>
      <c r="E125" s="87" t="s">
        <v>55</v>
      </c>
      <c r="F125" s="87" t="s">
        <v>66</v>
      </c>
      <c r="G125" s="87" t="s">
        <v>44</v>
      </c>
      <c r="H125" s="88">
        <v>41514</v>
      </c>
      <c r="I125" s="87">
        <v>31</v>
      </c>
      <c r="J125" s="89">
        <v>8210</v>
      </c>
      <c r="AA125" s="76" t="str">
        <f t="shared" si="1"/>
        <v>employee 122</v>
      </c>
    </row>
    <row r="126" spans="2:27" x14ac:dyDescent="0.2">
      <c r="B126" s="82" t="s">
        <v>190</v>
      </c>
      <c r="C126" s="87" t="s">
        <v>506</v>
      </c>
      <c r="D126" s="87" t="s">
        <v>50</v>
      </c>
      <c r="E126" s="87" t="s">
        <v>57</v>
      </c>
      <c r="F126" s="87" t="s">
        <v>66</v>
      </c>
      <c r="G126" s="87" t="s">
        <v>43</v>
      </c>
      <c r="H126" s="88">
        <v>40385</v>
      </c>
      <c r="I126" s="87">
        <v>33</v>
      </c>
      <c r="J126" s="89">
        <v>9934</v>
      </c>
      <c r="AA126" s="76" t="str">
        <f t="shared" si="1"/>
        <v>employee 123</v>
      </c>
    </row>
    <row r="127" spans="2:27" x14ac:dyDescent="0.2">
      <c r="B127" s="82" t="s">
        <v>191</v>
      </c>
      <c r="C127" s="87" t="s">
        <v>507</v>
      </c>
      <c r="D127" s="87" t="s">
        <v>50</v>
      </c>
      <c r="E127" s="87" t="s">
        <v>55</v>
      </c>
      <c r="F127" s="87" t="s">
        <v>67</v>
      </c>
      <c r="G127" s="87" t="s">
        <v>44</v>
      </c>
      <c r="H127" s="88">
        <v>40890</v>
      </c>
      <c r="I127" s="87">
        <v>34</v>
      </c>
      <c r="J127" s="89">
        <v>6546</v>
      </c>
      <c r="AA127" s="76" t="str">
        <f t="shared" si="1"/>
        <v>employee 124</v>
      </c>
    </row>
    <row r="128" spans="2:27" x14ac:dyDescent="0.2">
      <c r="B128" s="82" t="s">
        <v>192</v>
      </c>
      <c r="C128" s="87" t="s">
        <v>508</v>
      </c>
      <c r="D128" s="87" t="s">
        <v>48</v>
      </c>
      <c r="E128" s="87" t="s">
        <v>56</v>
      </c>
      <c r="F128" s="87" t="s">
        <v>66</v>
      </c>
      <c r="G128" s="87" t="s">
        <v>43</v>
      </c>
      <c r="H128" s="88">
        <v>41623</v>
      </c>
      <c r="I128" s="87">
        <v>33</v>
      </c>
      <c r="J128" s="89">
        <v>8650</v>
      </c>
      <c r="AA128" s="76" t="str">
        <f t="shared" si="1"/>
        <v>employee 125</v>
      </c>
    </row>
    <row r="129" spans="2:27" x14ac:dyDescent="0.2">
      <c r="B129" s="82" t="s">
        <v>193</v>
      </c>
      <c r="C129" s="87" t="s">
        <v>509</v>
      </c>
      <c r="D129" s="87" t="s">
        <v>47</v>
      </c>
      <c r="E129" s="87" t="s">
        <v>56</v>
      </c>
      <c r="F129" s="87" t="s">
        <v>66</v>
      </c>
      <c r="G129" s="87" t="s">
        <v>43</v>
      </c>
      <c r="H129" s="88">
        <v>42981</v>
      </c>
      <c r="I129" s="87">
        <v>39</v>
      </c>
      <c r="J129" s="89">
        <v>6429</v>
      </c>
      <c r="AA129" s="76" t="str">
        <f t="shared" si="1"/>
        <v>employee 126</v>
      </c>
    </row>
    <row r="130" spans="2:27" x14ac:dyDescent="0.2">
      <c r="B130" s="82" t="s">
        <v>194</v>
      </c>
      <c r="C130" s="87" t="s">
        <v>510</v>
      </c>
      <c r="D130" s="87" t="s">
        <v>49</v>
      </c>
      <c r="E130" s="87" t="s">
        <v>59</v>
      </c>
      <c r="F130" s="87" t="s">
        <v>67</v>
      </c>
      <c r="G130" s="87" t="s">
        <v>44</v>
      </c>
      <c r="H130" s="88">
        <v>40606</v>
      </c>
      <c r="I130" s="87">
        <v>44</v>
      </c>
      <c r="J130" s="89">
        <v>7598</v>
      </c>
      <c r="AA130" s="76" t="str">
        <f t="shared" si="1"/>
        <v>employee 127</v>
      </c>
    </row>
    <row r="131" spans="2:27" x14ac:dyDescent="0.2">
      <c r="B131" s="82" t="s">
        <v>195</v>
      </c>
      <c r="C131" s="87" t="s">
        <v>511</v>
      </c>
      <c r="D131" s="87" t="s">
        <v>49</v>
      </c>
      <c r="E131" s="87" t="s">
        <v>63</v>
      </c>
      <c r="F131" s="87" t="s">
        <v>66</v>
      </c>
      <c r="G131" s="87" t="s">
        <v>44</v>
      </c>
      <c r="H131" s="88">
        <v>42251</v>
      </c>
      <c r="I131" s="87">
        <v>41</v>
      </c>
      <c r="J131" s="89">
        <v>6197</v>
      </c>
      <c r="AA131" s="76" t="str">
        <f t="shared" si="1"/>
        <v>employee 128</v>
      </c>
    </row>
    <row r="132" spans="2:27" x14ac:dyDescent="0.2">
      <c r="B132" s="82" t="s">
        <v>196</v>
      </c>
      <c r="C132" s="87" t="s">
        <v>512</v>
      </c>
      <c r="D132" s="87" t="s">
        <v>48</v>
      </c>
      <c r="E132" s="87" t="s">
        <v>55</v>
      </c>
      <c r="F132" s="87" t="s">
        <v>66</v>
      </c>
      <c r="G132" s="87" t="s">
        <v>43</v>
      </c>
      <c r="H132" s="88">
        <v>41854</v>
      </c>
      <c r="I132" s="87">
        <v>43</v>
      </c>
      <c r="J132" s="89">
        <v>9984</v>
      </c>
      <c r="AA132" s="76" t="str">
        <f t="shared" si="1"/>
        <v>employee 129</v>
      </c>
    </row>
    <row r="133" spans="2:27" x14ac:dyDescent="0.2">
      <c r="B133" s="82" t="s">
        <v>197</v>
      </c>
      <c r="C133" s="87" t="s">
        <v>513</v>
      </c>
      <c r="D133" s="87" t="s">
        <v>47</v>
      </c>
      <c r="E133" s="87" t="s">
        <v>55</v>
      </c>
      <c r="F133" s="87" t="s">
        <v>66</v>
      </c>
      <c r="G133" s="87" t="s">
        <v>43</v>
      </c>
      <c r="H133" s="88">
        <v>42322</v>
      </c>
      <c r="I133" s="87">
        <v>39</v>
      </c>
      <c r="J133" s="89">
        <v>9541</v>
      </c>
      <c r="AA133" s="76" t="str">
        <f t="shared" ref="AA133:AA196" si="2">IF(C133="","",B133)</f>
        <v>employee 130</v>
      </c>
    </row>
    <row r="134" spans="2:27" x14ac:dyDescent="0.2">
      <c r="B134" s="82" t="s">
        <v>198</v>
      </c>
      <c r="C134" s="87" t="s">
        <v>514</v>
      </c>
      <c r="D134" s="87" t="s">
        <v>12</v>
      </c>
      <c r="E134" s="87" t="s">
        <v>57</v>
      </c>
      <c r="F134" s="87" t="s">
        <v>67</v>
      </c>
      <c r="G134" s="87" t="s">
        <v>44</v>
      </c>
      <c r="H134" s="88">
        <v>42776</v>
      </c>
      <c r="I134" s="87">
        <v>41</v>
      </c>
      <c r="J134" s="89">
        <v>5255</v>
      </c>
      <c r="AA134" s="76" t="str">
        <f t="shared" si="2"/>
        <v>employee 131</v>
      </c>
    </row>
    <row r="135" spans="2:27" x14ac:dyDescent="0.2">
      <c r="B135" s="82" t="s">
        <v>199</v>
      </c>
      <c r="C135" s="87" t="s">
        <v>515</v>
      </c>
      <c r="D135" s="87" t="s">
        <v>49</v>
      </c>
      <c r="E135" s="87" t="s">
        <v>63</v>
      </c>
      <c r="F135" s="87" t="s">
        <v>66</v>
      </c>
      <c r="G135" s="87" t="s">
        <v>43</v>
      </c>
      <c r="H135" s="88">
        <v>42729</v>
      </c>
      <c r="I135" s="87">
        <v>40</v>
      </c>
      <c r="J135" s="89">
        <v>8305</v>
      </c>
      <c r="AA135" s="76" t="str">
        <f t="shared" si="2"/>
        <v>employee 132</v>
      </c>
    </row>
    <row r="136" spans="2:27" x14ac:dyDescent="0.2">
      <c r="B136" s="82" t="s">
        <v>200</v>
      </c>
      <c r="C136" s="87" t="s">
        <v>516</v>
      </c>
      <c r="D136" s="87" t="s">
        <v>47</v>
      </c>
      <c r="E136" s="87" t="s">
        <v>57</v>
      </c>
      <c r="F136" s="87" t="s">
        <v>67</v>
      </c>
      <c r="G136" s="87" t="s">
        <v>43</v>
      </c>
      <c r="H136" s="88">
        <v>43317</v>
      </c>
      <c r="I136" s="87">
        <v>43</v>
      </c>
      <c r="J136" s="89">
        <v>8681</v>
      </c>
      <c r="AA136" s="76" t="str">
        <f t="shared" si="2"/>
        <v>employee 133</v>
      </c>
    </row>
    <row r="137" spans="2:27" x14ac:dyDescent="0.2">
      <c r="B137" s="82" t="s">
        <v>201</v>
      </c>
      <c r="C137" s="87" t="s">
        <v>517</v>
      </c>
      <c r="D137" s="87" t="s">
        <v>47</v>
      </c>
      <c r="E137" s="87" t="s">
        <v>63</v>
      </c>
      <c r="F137" s="87" t="s">
        <v>66</v>
      </c>
      <c r="G137" s="87" t="s">
        <v>44</v>
      </c>
      <c r="H137" s="88">
        <v>43439</v>
      </c>
      <c r="I137" s="87">
        <v>42</v>
      </c>
      <c r="J137" s="89">
        <v>9140</v>
      </c>
      <c r="AA137" s="76" t="str">
        <f t="shared" si="2"/>
        <v>employee 134</v>
      </c>
    </row>
    <row r="138" spans="2:27" x14ac:dyDescent="0.2">
      <c r="B138" s="82" t="s">
        <v>202</v>
      </c>
      <c r="C138" s="87" t="s">
        <v>518</v>
      </c>
      <c r="D138" s="87" t="s">
        <v>49</v>
      </c>
      <c r="E138" s="87" t="s">
        <v>58</v>
      </c>
      <c r="F138" s="87" t="s">
        <v>67</v>
      </c>
      <c r="G138" s="87" t="s">
        <v>43</v>
      </c>
      <c r="H138" s="88">
        <v>41313</v>
      </c>
      <c r="I138" s="87">
        <v>41</v>
      </c>
      <c r="J138" s="89">
        <v>4804</v>
      </c>
      <c r="AA138" s="76" t="str">
        <f t="shared" si="2"/>
        <v>employee 135</v>
      </c>
    </row>
    <row r="139" spans="2:27" x14ac:dyDescent="0.2">
      <c r="B139" s="82" t="s">
        <v>203</v>
      </c>
      <c r="C139" s="87" t="s">
        <v>519</v>
      </c>
      <c r="D139" s="87" t="s">
        <v>49</v>
      </c>
      <c r="E139" s="87" t="s">
        <v>58</v>
      </c>
      <c r="F139" s="87" t="s">
        <v>66</v>
      </c>
      <c r="G139" s="87" t="s">
        <v>43</v>
      </c>
      <c r="H139" s="88">
        <v>41137</v>
      </c>
      <c r="I139" s="87">
        <v>39</v>
      </c>
      <c r="J139" s="89">
        <v>8536</v>
      </c>
      <c r="AA139" s="76" t="str">
        <f t="shared" si="2"/>
        <v>employee 136</v>
      </c>
    </row>
    <row r="140" spans="2:27" x14ac:dyDescent="0.2">
      <c r="B140" s="82" t="s">
        <v>204</v>
      </c>
      <c r="C140" s="87" t="s">
        <v>520</v>
      </c>
      <c r="D140" s="87" t="s">
        <v>48</v>
      </c>
      <c r="E140" s="87" t="s">
        <v>59</v>
      </c>
      <c r="F140" s="87" t="s">
        <v>67</v>
      </c>
      <c r="G140" s="87" t="s">
        <v>43</v>
      </c>
      <c r="H140" s="88">
        <v>42546</v>
      </c>
      <c r="I140" s="87">
        <v>31</v>
      </c>
      <c r="J140" s="89">
        <v>7454</v>
      </c>
      <c r="AA140" s="76" t="str">
        <f t="shared" si="2"/>
        <v>employee 137</v>
      </c>
    </row>
    <row r="141" spans="2:27" x14ac:dyDescent="0.2">
      <c r="B141" s="82" t="s">
        <v>205</v>
      </c>
      <c r="C141" s="87" t="s">
        <v>521</v>
      </c>
      <c r="D141" s="87" t="s">
        <v>45</v>
      </c>
      <c r="E141" s="87" t="s">
        <v>58</v>
      </c>
      <c r="F141" s="87" t="s">
        <v>66</v>
      </c>
      <c r="G141" s="87" t="s">
        <v>43</v>
      </c>
      <c r="H141" s="88">
        <v>42689</v>
      </c>
      <c r="I141" s="87">
        <v>40</v>
      </c>
      <c r="J141" s="89">
        <v>9706</v>
      </c>
      <c r="AA141" s="76" t="str">
        <f t="shared" si="2"/>
        <v>employee 138</v>
      </c>
    </row>
    <row r="142" spans="2:27" x14ac:dyDescent="0.2">
      <c r="B142" s="82" t="s">
        <v>206</v>
      </c>
      <c r="C142" s="87" t="s">
        <v>522</v>
      </c>
      <c r="D142" s="87" t="s">
        <v>49</v>
      </c>
      <c r="E142" s="87" t="s">
        <v>57</v>
      </c>
      <c r="F142" s="87" t="s">
        <v>67</v>
      </c>
      <c r="G142" s="87" t="s">
        <v>43</v>
      </c>
      <c r="H142" s="88">
        <v>43619</v>
      </c>
      <c r="I142" s="87">
        <v>29</v>
      </c>
      <c r="J142" s="89">
        <v>8819</v>
      </c>
      <c r="AA142" s="76" t="str">
        <f t="shared" si="2"/>
        <v>employee 139</v>
      </c>
    </row>
    <row r="143" spans="2:27" x14ac:dyDescent="0.2">
      <c r="B143" s="82" t="s">
        <v>207</v>
      </c>
      <c r="C143" s="87" t="s">
        <v>523</v>
      </c>
      <c r="D143" s="87" t="s">
        <v>45</v>
      </c>
      <c r="E143" s="87" t="s">
        <v>55</v>
      </c>
      <c r="F143" s="87" t="s">
        <v>66</v>
      </c>
      <c r="G143" s="87" t="s">
        <v>43</v>
      </c>
      <c r="H143" s="88">
        <v>42688</v>
      </c>
      <c r="I143" s="87">
        <v>43</v>
      </c>
      <c r="J143" s="89">
        <v>5938</v>
      </c>
      <c r="AA143" s="76" t="str">
        <f t="shared" si="2"/>
        <v>employee 140</v>
      </c>
    </row>
    <row r="144" spans="2:27" x14ac:dyDescent="0.2">
      <c r="B144" s="82" t="s">
        <v>208</v>
      </c>
      <c r="C144" s="87" t="s">
        <v>524</v>
      </c>
      <c r="D144" s="87" t="s">
        <v>46</v>
      </c>
      <c r="E144" s="87" t="s">
        <v>58</v>
      </c>
      <c r="F144" s="87" t="s">
        <v>67</v>
      </c>
      <c r="G144" s="87" t="s">
        <v>43</v>
      </c>
      <c r="H144" s="88">
        <v>43121</v>
      </c>
      <c r="I144" s="87">
        <v>37</v>
      </c>
      <c r="J144" s="89">
        <v>5572</v>
      </c>
      <c r="AA144" s="76" t="str">
        <f t="shared" si="2"/>
        <v>employee 141</v>
      </c>
    </row>
    <row r="145" spans="2:27" x14ac:dyDescent="0.2">
      <c r="B145" s="82" t="s">
        <v>209</v>
      </c>
      <c r="C145" s="87" t="s">
        <v>525</v>
      </c>
      <c r="D145" s="87" t="s">
        <v>46</v>
      </c>
      <c r="E145" s="87" t="s">
        <v>57</v>
      </c>
      <c r="F145" s="87" t="s">
        <v>67</v>
      </c>
      <c r="G145" s="87" t="s">
        <v>43</v>
      </c>
      <c r="H145" s="88">
        <v>43742</v>
      </c>
      <c r="I145" s="87">
        <v>44</v>
      </c>
      <c r="J145" s="89">
        <v>5196</v>
      </c>
      <c r="AA145" s="76" t="str">
        <f t="shared" si="2"/>
        <v>employee 142</v>
      </c>
    </row>
    <row r="146" spans="2:27" x14ac:dyDescent="0.2">
      <c r="B146" s="82" t="s">
        <v>210</v>
      </c>
      <c r="C146" s="87" t="s">
        <v>526</v>
      </c>
      <c r="D146" s="87" t="s">
        <v>48</v>
      </c>
      <c r="E146" s="87" t="s">
        <v>55</v>
      </c>
      <c r="F146" s="87" t="s">
        <v>66</v>
      </c>
      <c r="G146" s="87" t="s">
        <v>43</v>
      </c>
      <c r="H146" s="88">
        <v>43528</v>
      </c>
      <c r="I146" s="87">
        <v>42</v>
      </c>
      <c r="J146" s="89">
        <v>6513</v>
      </c>
      <c r="AA146" s="76" t="str">
        <f t="shared" si="2"/>
        <v>employee 143</v>
      </c>
    </row>
    <row r="147" spans="2:27" x14ac:dyDescent="0.2">
      <c r="B147" s="82" t="s">
        <v>211</v>
      </c>
      <c r="C147" s="87" t="s">
        <v>527</v>
      </c>
      <c r="D147" s="87" t="s">
        <v>47</v>
      </c>
      <c r="E147" s="87" t="s">
        <v>63</v>
      </c>
      <c r="F147" s="87" t="s">
        <v>66</v>
      </c>
      <c r="G147" s="87" t="s">
        <v>44</v>
      </c>
      <c r="H147" s="88">
        <v>40812</v>
      </c>
      <c r="I147" s="87">
        <v>35</v>
      </c>
      <c r="J147" s="89">
        <v>9868</v>
      </c>
      <c r="AA147" s="76" t="str">
        <f t="shared" si="2"/>
        <v>employee 144</v>
      </c>
    </row>
    <row r="148" spans="2:27" x14ac:dyDescent="0.2">
      <c r="B148" s="82" t="s">
        <v>212</v>
      </c>
      <c r="C148" s="87" t="s">
        <v>528</v>
      </c>
      <c r="D148" s="87" t="s">
        <v>12</v>
      </c>
      <c r="E148" s="87" t="s">
        <v>57</v>
      </c>
      <c r="F148" s="87" t="s">
        <v>67</v>
      </c>
      <c r="G148" s="87" t="s">
        <v>43</v>
      </c>
      <c r="H148" s="88">
        <v>43484</v>
      </c>
      <c r="I148" s="87">
        <v>43</v>
      </c>
      <c r="J148" s="89">
        <v>7224</v>
      </c>
      <c r="AA148" s="76" t="str">
        <f t="shared" si="2"/>
        <v>employee 145</v>
      </c>
    </row>
    <row r="149" spans="2:27" x14ac:dyDescent="0.2">
      <c r="B149" s="82" t="s">
        <v>213</v>
      </c>
      <c r="C149" s="87" t="s">
        <v>529</v>
      </c>
      <c r="D149" s="87" t="s">
        <v>12</v>
      </c>
      <c r="E149" s="87" t="s">
        <v>56</v>
      </c>
      <c r="F149" s="87" t="s">
        <v>67</v>
      </c>
      <c r="G149" s="87" t="s">
        <v>43</v>
      </c>
      <c r="H149" s="88">
        <v>42716</v>
      </c>
      <c r="I149" s="87">
        <v>37</v>
      </c>
      <c r="J149" s="89">
        <v>7808</v>
      </c>
      <c r="AA149" s="76" t="str">
        <f t="shared" si="2"/>
        <v>employee 146</v>
      </c>
    </row>
    <row r="150" spans="2:27" x14ac:dyDescent="0.2">
      <c r="B150" s="82" t="s">
        <v>214</v>
      </c>
      <c r="C150" s="87" t="s">
        <v>530</v>
      </c>
      <c r="D150" s="87" t="s">
        <v>42</v>
      </c>
      <c r="E150" s="87" t="s">
        <v>63</v>
      </c>
      <c r="F150" s="87" t="s">
        <v>67</v>
      </c>
      <c r="G150" s="87" t="s">
        <v>43</v>
      </c>
      <c r="H150" s="88">
        <v>41302</v>
      </c>
      <c r="I150" s="87">
        <v>40</v>
      </c>
      <c r="J150" s="89">
        <v>7280</v>
      </c>
      <c r="AA150" s="76" t="str">
        <f t="shared" si="2"/>
        <v>employee 147</v>
      </c>
    </row>
    <row r="151" spans="2:27" x14ac:dyDescent="0.2">
      <c r="B151" s="82" t="s">
        <v>215</v>
      </c>
      <c r="C151" s="87" t="s">
        <v>531</v>
      </c>
      <c r="D151" s="87" t="s">
        <v>50</v>
      </c>
      <c r="E151" s="87" t="s">
        <v>63</v>
      </c>
      <c r="F151" s="87" t="s">
        <v>66</v>
      </c>
      <c r="G151" s="87" t="s">
        <v>43</v>
      </c>
      <c r="H151" s="88">
        <v>40937</v>
      </c>
      <c r="I151" s="87">
        <v>43</v>
      </c>
      <c r="J151" s="89">
        <v>5440</v>
      </c>
      <c r="AA151" s="76" t="str">
        <f t="shared" si="2"/>
        <v>employee 148</v>
      </c>
    </row>
    <row r="152" spans="2:27" x14ac:dyDescent="0.2">
      <c r="B152" s="82" t="s">
        <v>216</v>
      </c>
      <c r="C152" s="87" t="s">
        <v>532</v>
      </c>
      <c r="D152" s="87" t="s">
        <v>12</v>
      </c>
      <c r="E152" s="87" t="s">
        <v>55</v>
      </c>
      <c r="F152" s="87" t="s">
        <v>67</v>
      </c>
      <c r="G152" s="87" t="s">
        <v>43</v>
      </c>
      <c r="H152" s="88">
        <v>43672</v>
      </c>
      <c r="I152" s="87">
        <v>40</v>
      </c>
      <c r="J152" s="89">
        <v>9800</v>
      </c>
      <c r="AA152" s="76" t="str">
        <f t="shared" si="2"/>
        <v>employee 149</v>
      </c>
    </row>
    <row r="153" spans="2:27" x14ac:dyDescent="0.2">
      <c r="B153" s="82" t="s">
        <v>217</v>
      </c>
      <c r="C153" s="87" t="s">
        <v>533</v>
      </c>
      <c r="D153" s="87" t="s">
        <v>46</v>
      </c>
      <c r="E153" s="87" t="s">
        <v>56</v>
      </c>
      <c r="F153" s="87" t="s">
        <v>66</v>
      </c>
      <c r="G153" s="87" t="s">
        <v>43</v>
      </c>
      <c r="H153" s="88">
        <v>40549</v>
      </c>
      <c r="I153" s="87">
        <v>41</v>
      </c>
      <c r="J153" s="89">
        <v>7940</v>
      </c>
      <c r="AA153" s="76" t="str">
        <f t="shared" si="2"/>
        <v>employee 150</v>
      </c>
    </row>
    <row r="154" spans="2:27" x14ac:dyDescent="0.2">
      <c r="B154" s="82" t="s">
        <v>218</v>
      </c>
      <c r="C154" s="87" t="s">
        <v>534</v>
      </c>
      <c r="D154" s="87" t="s">
        <v>48</v>
      </c>
      <c r="E154" s="87" t="s">
        <v>57</v>
      </c>
      <c r="F154" s="87" t="s">
        <v>66</v>
      </c>
      <c r="G154" s="87" t="s">
        <v>43</v>
      </c>
      <c r="H154" s="88">
        <v>42509</v>
      </c>
      <c r="I154" s="87">
        <v>31</v>
      </c>
      <c r="J154" s="89">
        <v>7188</v>
      </c>
      <c r="AA154" s="76" t="str">
        <f t="shared" si="2"/>
        <v>employee 151</v>
      </c>
    </row>
    <row r="155" spans="2:27" x14ac:dyDescent="0.2">
      <c r="B155" s="82" t="s">
        <v>219</v>
      </c>
      <c r="C155" s="87" t="s">
        <v>535</v>
      </c>
      <c r="D155" s="87" t="s">
        <v>49</v>
      </c>
      <c r="E155" s="87" t="s">
        <v>56</v>
      </c>
      <c r="F155" s="87" t="s">
        <v>66</v>
      </c>
      <c r="G155" s="87" t="s">
        <v>44</v>
      </c>
      <c r="H155" s="88">
        <v>40890</v>
      </c>
      <c r="I155" s="87">
        <v>31</v>
      </c>
      <c r="J155" s="89">
        <v>5363</v>
      </c>
      <c r="AA155" s="76" t="str">
        <f t="shared" si="2"/>
        <v>employee 152</v>
      </c>
    </row>
    <row r="156" spans="2:27" x14ac:dyDescent="0.2">
      <c r="B156" s="82" t="s">
        <v>220</v>
      </c>
      <c r="C156" s="87" t="s">
        <v>536</v>
      </c>
      <c r="D156" s="87" t="s">
        <v>46</v>
      </c>
      <c r="E156" s="87" t="s">
        <v>55</v>
      </c>
      <c r="F156" s="87" t="s">
        <v>66</v>
      </c>
      <c r="G156" s="87" t="s">
        <v>44</v>
      </c>
      <c r="H156" s="88">
        <v>42226</v>
      </c>
      <c r="I156" s="87">
        <v>39</v>
      </c>
      <c r="J156" s="89">
        <v>8823</v>
      </c>
      <c r="AA156" s="76" t="str">
        <f t="shared" si="2"/>
        <v>employee 153</v>
      </c>
    </row>
    <row r="157" spans="2:27" x14ac:dyDescent="0.2">
      <c r="B157" s="82" t="s">
        <v>221</v>
      </c>
      <c r="C157" s="87" t="s">
        <v>537</v>
      </c>
      <c r="D157" s="87" t="s">
        <v>46</v>
      </c>
      <c r="E157" s="87" t="s">
        <v>55</v>
      </c>
      <c r="F157" s="87" t="s">
        <v>66</v>
      </c>
      <c r="G157" s="87" t="s">
        <v>44</v>
      </c>
      <c r="H157" s="88">
        <v>43526</v>
      </c>
      <c r="I157" s="87">
        <v>33</v>
      </c>
      <c r="J157" s="89">
        <v>6382</v>
      </c>
      <c r="AA157" s="76" t="str">
        <f t="shared" si="2"/>
        <v>employee 154</v>
      </c>
    </row>
    <row r="158" spans="2:27" x14ac:dyDescent="0.2">
      <c r="B158" s="82" t="s">
        <v>222</v>
      </c>
      <c r="C158" s="87" t="s">
        <v>538</v>
      </c>
      <c r="D158" s="87" t="s">
        <v>12</v>
      </c>
      <c r="E158" s="87" t="s">
        <v>55</v>
      </c>
      <c r="F158" s="87" t="s">
        <v>66</v>
      </c>
      <c r="G158" s="87" t="s">
        <v>43</v>
      </c>
      <c r="H158" s="88">
        <v>42728</v>
      </c>
      <c r="I158" s="87">
        <v>31</v>
      </c>
      <c r="J158" s="89">
        <v>7495</v>
      </c>
      <c r="AA158" s="76" t="str">
        <f t="shared" si="2"/>
        <v>employee 155</v>
      </c>
    </row>
    <row r="159" spans="2:27" x14ac:dyDescent="0.2">
      <c r="B159" s="82" t="s">
        <v>223</v>
      </c>
      <c r="C159" s="87" t="s">
        <v>539</v>
      </c>
      <c r="D159" s="87" t="s">
        <v>42</v>
      </c>
      <c r="E159" s="87" t="s">
        <v>55</v>
      </c>
      <c r="F159" s="87" t="s">
        <v>67</v>
      </c>
      <c r="G159" s="87" t="s">
        <v>43</v>
      </c>
      <c r="H159" s="88">
        <v>41405</v>
      </c>
      <c r="I159" s="87">
        <v>31</v>
      </c>
      <c r="J159" s="89">
        <v>9109</v>
      </c>
      <c r="AA159" s="76" t="str">
        <f t="shared" si="2"/>
        <v>employee 156</v>
      </c>
    </row>
    <row r="160" spans="2:27" x14ac:dyDescent="0.2">
      <c r="B160" s="82" t="s">
        <v>224</v>
      </c>
      <c r="C160" s="87" t="s">
        <v>540</v>
      </c>
      <c r="D160" s="87" t="s">
        <v>47</v>
      </c>
      <c r="E160" s="87" t="s">
        <v>59</v>
      </c>
      <c r="F160" s="87" t="s">
        <v>66</v>
      </c>
      <c r="G160" s="87" t="s">
        <v>43</v>
      </c>
      <c r="H160" s="88">
        <v>42240</v>
      </c>
      <c r="I160" s="87">
        <v>43</v>
      </c>
      <c r="J160" s="89">
        <v>5441</v>
      </c>
      <c r="AA160" s="76" t="str">
        <f t="shared" si="2"/>
        <v>employee 157</v>
      </c>
    </row>
    <row r="161" spans="2:27" x14ac:dyDescent="0.2">
      <c r="B161" s="82" t="s">
        <v>225</v>
      </c>
      <c r="C161" s="87" t="s">
        <v>541</v>
      </c>
      <c r="D161" s="87" t="s">
        <v>42</v>
      </c>
      <c r="E161" s="87" t="s">
        <v>59</v>
      </c>
      <c r="F161" s="87" t="s">
        <v>67</v>
      </c>
      <c r="G161" s="87" t="s">
        <v>43</v>
      </c>
      <c r="H161" s="88">
        <v>43298</v>
      </c>
      <c r="I161" s="87">
        <v>33</v>
      </c>
      <c r="J161" s="89">
        <v>7560</v>
      </c>
      <c r="AA161" s="76" t="str">
        <f t="shared" si="2"/>
        <v>employee 158</v>
      </c>
    </row>
    <row r="162" spans="2:27" x14ac:dyDescent="0.2">
      <c r="B162" s="82" t="s">
        <v>226</v>
      </c>
      <c r="C162" s="87" t="s">
        <v>542</v>
      </c>
      <c r="D162" s="87" t="s">
        <v>47</v>
      </c>
      <c r="E162" s="87" t="s">
        <v>57</v>
      </c>
      <c r="F162" s="87" t="s">
        <v>67</v>
      </c>
      <c r="G162" s="87" t="s">
        <v>43</v>
      </c>
      <c r="H162" s="88">
        <v>40788</v>
      </c>
      <c r="I162" s="87">
        <v>39</v>
      </c>
      <c r="J162" s="89">
        <v>6509</v>
      </c>
      <c r="AA162" s="76" t="str">
        <f t="shared" si="2"/>
        <v>employee 159</v>
      </c>
    </row>
    <row r="163" spans="2:27" x14ac:dyDescent="0.2">
      <c r="B163" s="82" t="s">
        <v>227</v>
      </c>
      <c r="C163" s="87" t="s">
        <v>543</v>
      </c>
      <c r="D163" s="87" t="s">
        <v>47</v>
      </c>
      <c r="E163" s="87" t="s">
        <v>58</v>
      </c>
      <c r="F163" s="87" t="s">
        <v>66</v>
      </c>
      <c r="G163" s="87" t="s">
        <v>44</v>
      </c>
      <c r="H163" s="88">
        <v>41566</v>
      </c>
      <c r="I163" s="87">
        <v>42</v>
      </c>
      <c r="J163" s="89">
        <v>9718</v>
      </c>
      <c r="AA163" s="76" t="str">
        <f t="shared" si="2"/>
        <v>employee 160</v>
      </c>
    </row>
    <row r="164" spans="2:27" x14ac:dyDescent="0.2">
      <c r="B164" s="82" t="s">
        <v>228</v>
      </c>
      <c r="C164" s="87" t="s">
        <v>544</v>
      </c>
      <c r="D164" s="87" t="s">
        <v>48</v>
      </c>
      <c r="E164" s="87" t="s">
        <v>56</v>
      </c>
      <c r="F164" s="87" t="s">
        <v>67</v>
      </c>
      <c r="G164" s="87" t="s">
        <v>43</v>
      </c>
      <c r="H164" s="88">
        <v>43133</v>
      </c>
      <c r="I164" s="87">
        <v>33</v>
      </c>
      <c r="J164" s="89">
        <v>4580</v>
      </c>
      <c r="AA164" s="76" t="str">
        <f t="shared" si="2"/>
        <v>employee 161</v>
      </c>
    </row>
    <row r="165" spans="2:27" x14ac:dyDescent="0.2">
      <c r="B165" s="82" t="s">
        <v>229</v>
      </c>
      <c r="C165" s="87" t="s">
        <v>545</v>
      </c>
      <c r="D165" s="87" t="s">
        <v>48</v>
      </c>
      <c r="E165" s="87" t="s">
        <v>56</v>
      </c>
      <c r="F165" s="87" t="s">
        <v>66</v>
      </c>
      <c r="G165" s="87" t="s">
        <v>43</v>
      </c>
      <c r="H165" s="88">
        <v>43468</v>
      </c>
      <c r="I165" s="87">
        <v>30</v>
      </c>
      <c r="J165" s="89">
        <v>9578</v>
      </c>
      <c r="AA165" s="76" t="str">
        <f t="shared" si="2"/>
        <v>employee 162</v>
      </c>
    </row>
    <row r="166" spans="2:27" x14ac:dyDescent="0.2">
      <c r="B166" s="82" t="s">
        <v>230</v>
      </c>
      <c r="C166" s="87" t="s">
        <v>546</v>
      </c>
      <c r="D166" s="87" t="s">
        <v>42</v>
      </c>
      <c r="E166" s="87" t="s">
        <v>56</v>
      </c>
      <c r="F166" s="87" t="s">
        <v>66</v>
      </c>
      <c r="G166" s="87" t="s">
        <v>44</v>
      </c>
      <c r="H166" s="88">
        <v>42803</v>
      </c>
      <c r="I166" s="87">
        <v>44</v>
      </c>
      <c r="J166" s="89">
        <v>5838</v>
      </c>
      <c r="AA166" s="76" t="str">
        <f t="shared" si="2"/>
        <v>employee 163</v>
      </c>
    </row>
    <row r="167" spans="2:27" x14ac:dyDescent="0.2">
      <c r="B167" s="82" t="s">
        <v>231</v>
      </c>
      <c r="C167" s="87" t="s">
        <v>547</v>
      </c>
      <c r="D167" s="87" t="s">
        <v>46</v>
      </c>
      <c r="E167" s="87" t="s">
        <v>63</v>
      </c>
      <c r="F167" s="87" t="s">
        <v>67</v>
      </c>
      <c r="G167" s="87" t="s">
        <v>43</v>
      </c>
      <c r="H167" s="88">
        <v>43750</v>
      </c>
      <c r="I167" s="87">
        <v>40</v>
      </c>
      <c r="J167" s="89">
        <v>9801</v>
      </c>
      <c r="AA167" s="76" t="str">
        <f t="shared" si="2"/>
        <v>employee 164</v>
      </c>
    </row>
    <row r="168" spans="2:27" x14ac:dyDescent="0.2">
      <c r="B168" s="82" t="s">
        <v>232</v>
      </c>
      <c r="C168" s="87" t="s">
        <v>548</v>
      </c>
      <c r="D168" s="87" t="s">
        <v>48</v>
      </c>
      <c r="E168" s="87" t="s">
        <v>63</v>
      </c>
      <c r="F168" s="87" t="s">
        <v>66</v>
      </c>
      <c r="G168" s="87" t="s">
        <v>43</v>
      </c>
      <c r="H168" s="88">
        <v>41071</v>
      </c>
      <c r="I168" s="87">
        <v>39</v>
      </c>
      <c r="J168" s="89">
        <v>5067</v>
      </c>
      <c r="AA168" s="76" t="str">
        <f t="shared" si="2"/>
        <v>employee 165</v>
      </c>
    </row>
    <row r="169" spans="2:27" x14ac:dyDescent="0.2">
      <c r="B169" s="82" t="s">
        <v>233</v>
      </c>
      <c r="C169" s="87" t="s">
        <v>549</v>
      </c>
      <c r="D169" s="87" t="s">
        <v>12</v>
      </c>
      <c r="E169" s="87" t="s">
        <v>63</v>
      </c>
      <c r="F169" s="87" t="s">
        <v>66</v>
      </c>
      <c r="G169" s="87" t="s">
        <v>44</v>
      </c>
      <c r="H169" s="88">
        <v>40814</v>
      </c>
      <c r="I169" s="87">
        <v>33</v>
      </c>
      <c r="J169" s="89">
        <v>9404</v>
      </c>
      <c r="AA169" s="76" t="str">
        <f t="shared" si="2"/>
        <v>employee 166</v>
      </c>
    </row>
    <row r="170" spans="2:27" x14ac:dyDescent="0.2">
      <c r="B170" s="82" t="s">
        <v>234</v>
      </c>
      <c r="C170" s="87" t="s">
        <v>550</v>
      </c>
      <c r="D170" s="87" t="s">
        <v>46</v>
      </c>
      <c r="E170" s="87" t="s">
        <v>59</v>
      </c>
      <c r="F170" s="87" t="s">
        <v>66</v>
      </c>
      <c r="G170" s="87" t="s">
        <v>43</v>
      </c>
      <c r="H170" s="88">
        <v>40251</v>
      </c>
      <c r="I170" s="87">
        <v>36</v>
      </c>
      <c r="J170" s="89">
        <v>8351</v>
      </c>
      <c r="AA170" s="76" t="str">
        <f t="shared" si="2"/>
        <v>employee 167</v>
      </c>
    </row>
    <row r="171" spans="2:27" x14ac:dyDescent="0.2">
      <c r="B171" s="82" t="s">
        <v>235</v>
      </c>
      <c r="C171" s="87" t="s">
        <v>551</v>
      </c>
      <c r="D171" s="87" t="s">
        <v>46</v>
      </c>
      <c r="E171" s="87" t="s">
        <v>63</v>
      </c>
      <c r="F171" s="87" t="s">
        <v>66</v>
      </c>
      <c r="G171" s="87" t="s">
        <v>44</v>
      </c>
      <c r="H171" s="88">
        <v>41257</v>
      </c>
      <c r="I171" s="87">
        <v>44</v>
      </c>
      <c r="J171" s="89">
        <v>7648</v>
      </c>
      <c r="AA171" s="76" t="str">
        <f t="shared" si="2"/>
        <v>employee 168</v>
      </c>
    </row>
    <row r="172" spans="2:27" x14ac:dyDescent="0.2">
      <c r="B172" s="82" t="s">
        <v>236</v>
      </c>
      <c r="C172" s="87" t="s">
        <v>552</v>
      </c>
      <c r="D172" s="87" t="s">
        <v>46</v>
      </c>
      <c r="E172" s="87" t="s">
        <v>59</v>
      </c>
      <c r="F172" s="87" t="s">
        <v>66</v>
      </c>
      <c r="G172" s="87" t="s">
        <v>44</v>
      </c>
      <c r="H172" s="88">
        <v>40877</v>
      </c>
      <c r="I172" s="87">
        <v>40</v>
      </c>
      <c r="J172" s="89">
        <v>5548</v>
      </c>
      <c r="AA172" s="76" t="str">
        <f t="shared" si="2"/>
        <v>employee 169</v>
      </c>
    </row>
    <row r="173" spans="2:27" x14ac:dyDescent="0.2">
      <c r="B173" s="82" t="s">
        <v>237</v>
      </c>
      <c r="C173" s="87" t="s">
        <v>553</v>
      </c>
      <c r="D173" s="87" t="s">
        <v>12</v>
      </c>
      <c r="E173" s="87" t="s">
        <v>55</v>
      </c>
      <c r="F173" s="87" t="s">
        <v>66</v>
      </c>
      <c r="G173" s="87" t="s">
        <v>43</v>
      </c>
      <c r="H173" s="88">
        <v>41923</v>
      </c>
      <c r="I173" s="87">
        <v>34</v>
      </c>
      <c r="J173" s="89">
        <v>5206</v>
      </c>
      <c r="AA173" s="76" t="str">
        <f t="shared" si="2"/>
        <v>employee 170</v>
      </c>
    </row>
    <row r="174" spans="2:27" x14ac:dyDescent="0.2">
      <c r="B174" s="82" t="s">
        <v>238</v>
      </c>
      <c r="C174" s="87" t="s">
        <v>554</v>
      </c>
      <c r="D174" s="87" t="s">
        <v>12</v>
      </c>
      <c r="E174" s="87" t="s">
        <v>57</v>
      </c>
      <c r="F174" s="87" t="s">
        <v>66</v>
      </c>
      <c r="G174" s="87" t="s">
        <v>44</v>
      </c>
      <c r="H174" s="88">
        <v>41240</v>
      </c>
      <c r="I174" s="87">
        <v>42</v>
      </c>
      <c r="J174" s="89">
        <v>9850</v>
      </c>
      <c r="AA174" s="76" t="str">
        <f t="shared" si="2"/>
        <v>employee 171</v>
      </c>
    </row>
    <row r="175" spans="2:27" x14ac:dyDescent="0.2">
      <c r="B175" s="82" t="s">
        <v>239</v>
      </c>
      <c r="C175" s="87" t="s">
        <v>555</v>
      </c>
      <c r="D175" s="87" t="s">
        <v>45</v>
      </c>
      <c r="E175" s="87" t="s">
        <v>57</v>
      </c>
      <c r="F175" s="87" t="s">
        <v>66</v>
      </c>
      <c r="G175" s="87" t="s">
        <v>44</v>
      </c>
      <c r="H175" s="88">
        <v>43549</v>
      </c>
      <c r="I175" s="87">
        <v>32</v>
      </c>
      <c r="J175" s="89">
        <v>6461</v>
      </c>
      <c r="AA175" s="76" t="str">
        <f t="shared" si="2"/>
        <v>employee 172</v>
      </c>
    </row>
    <row r="176" spans="2:27" x14ac:dyDescent="0.2">
      <c r="B176" s="82" t="s">
        <v>240</v>
      </c>
      <c r="C176" s="87" t="s">
        <v>556</v>
      </c>
      <c r="D176" s="87" t="s">
        <v>50</v>
      </c>
      <c r="E176" s="87" t="s">
        <v>56</v>
      </c>
      <c r="F176" s="87" t="s">
        <v>66</v>
      </c>
      <c r="G176" s="87" t="s">
        <v>44</v>
      </c>
      <c r="H176" s="88">
        <v>42798</v>
      </c>
      <c r="I176" s="87">
        <v>37</v>
      </c>
      <c r="J176" s="89">
        <v>8699</v>
      </c>
      <c r="AA176" s="76" t="str">
        <f t="shared" si="2"/>
        <v>employee 173</v>
      </c>
    </row>
    <row r="177" spans="2:27" x14ac:dyDescent="0.2">
      <c r="B177" s="82" t="s">
        <v>241</v>
      </c>
      <c r="C177" s="87" t="s">
        <v>557</v>
      </c>
      <c r="D177" s="87" t="s">
        <v>50</v>
      </c>
      <c r="E177" s="87" t="s">
        <v>63</v>
      </c>
      <c r="F177" s="87" t="s">
        <v>67</v>
      </c>
      <c r="G177" s="87" t="s">
        <v>44</v>
      </c>
      <c r="H177" s="88">
        <v>41603</v>
      </c>
      <c r="I177" s="87">
        <v>33</v>
      </c>
      <c r="J177" s="89">
        <v>6161</v>
      </c>
      <c r="AA177" s="76" t="str">
        <f t="shared" si="2"/>
        <v>employee 174</v>
      </c>
    </row>
    <row r="178" spans="2:27" x14ac:dyDescent="0.2">
      <c r="B178" s="82" t="s">
        <v>242</v>
      </c>
      <c r="C178" s="87" t="s">
        <v>558</v>
      </c>
      <c r="D178" s="87" t="s">
        <v>42</v>
      </c>
      <c r="E178" s="87" t="s">
        <v>55</v>
      </c>
      <c r="F178" s="87" t="s">
        <v>66</v>
      </c>
      <c r="G178" s="87" t="s">
        <v>44</v>
      </c>
      <c r="H178" s="88">
        <v>41506</v>
      </c>
      <c r="I178" s="87">
        <v>44</v>
      </c>
      <c r="J178" s="89">
        <v>5255</v>
      </c>
      <c r="AA178" s="76" t="str">
        <f t="shared" si="2"/>
        <v>employee 175</v>
      </c>
    </row>
    <row r="179" spans="2:27" x14ac:dyDescent="0.2">
      <c r="B179" s="82" t="s">
        <v>243</v>
      </c>
      <c r="C179" s="87" t="s">
        <v>559</v>
      </c>
      <c r="D179" s="87" t="s">
        <v>47</v>
      </c>
      <c r="E179" s="87" t="s">
        <v>59</v>
      </c>
      <c r="F179" s="87" t="s">
        <v>67</v>
      </c>
      <c r="G179" s="87" t="s">
        <v>43</v>
      </c>
      <c r="H179" s="88">
        <v>40572</v>
      </c>
      <c r="I179" s="87">
        <v>32</v>
      </c>
      <c r="J179" s="89">
        <v>9976</v>
      </c>
      <c r="AA179" s="76" t="str">
        <f t="shared" si="2"/>
        <v>employee 176</v>
      </c>
    </row>
    <row r="180" spans="2:27" x14ac:dyDescent="0.2">
      <c r="B180" s="82" t="s">
        <v>244</v>
      </c>
      <c r="C180" s="87" t="s">
        <v>560</v>
      </c>
      <c r="D180" s="87" t="s">
        <v>48</v>
      </c>
      <c r="E180" s="87" t="s">
        <v>55</v>
      </c>
      <c r="F180" s="87" t="s">
        <v>66</v>
      </c>
      <c r="G180" s="87" t="s">
        <v>43</v>
      </c>
      <c r="H180" s="88">
        <v>43174</v>
      </c>
      <c r="I180" s="87">
        <v>39</v>
      </c>
      <c r="J180" s="89">
        <v>7713</v>
      </c>
      <c r="AA180" s="76" t="str">
        <f t="shared" si="2"/>
        <v>employee 177</v>
      </c>
    </row>
    <row r="181" spans="2:27" x14ac:dyDescent="0.2">
      <c r="B181" s="82" t="s">
        <v>245</v>
      </c>
      <c r="C181" s="87" t="s">
        <v>561</v>
      </c>
      <c r="D181" s="87" t="s">
        <v>45</v>
      </c>
      <c r="E181" s="87" t="s">
        <v>55</v>
      </c>
      <c r="F181" s="87" t="s">
        <v>66</v>
      </c>
      <c r="G181" s="87" t="s">
        <v>43</v>
      </c>
      <c r="H181" s="88">
        <v>42495</v>
      </c>
      <c r="I181" s="87">
        <v>40</v>
      </c>
      <c r="J181" s="89">
        <v>5987</v>
      </c>
      <c r="AA181" s="76" t="str">
        <f t="shared" si="2"/>
        <v>employee 178</v>
      </c>
    </row>
    <row r="182" spans="2:27" x14ac:dyDescent="0.2">
      <c r="B182" s="82" t="s">
        <v>246</v>
      </c>
      <c r="C182" s="87" t="s">
        <v>562</v>
      </c>
      <c r="D182" s="87" t="s">
        <v>46</v>
      </c>
      <c r="E182" s="87" t="s">
        <v>59</v>
      </c>
      <c r="F182" s="87" t="s">
        <v>66</v>
      </c>
      <c r="G182" s="87" t="s">
        <v>44</v>
      </c>
      <c r="H182" s="88">
        <v>43708</v>
      </c>
      <c r="I182" s="87">
        <v>36</v>
      </c>
      <c r="J182" s="89">
        <v>9141</v>
      </c>
      <c r="AA182" s="76" t="str">
        <f t="shared" si="2"/>
        <v>employee 179</v>
      </c>
    </row>
    <row r="183" spans="2:27" x14ac:dyDescent="0.2">
      <c r="B183" s="82" t="s">
        <v>247</v>
      </c>
      <c r="C183" s="87" t="s">
        <v>563</v>
      </c>
      <c r="D183" s="87" t="s">
        <v>45</v>
      </c>
      <c r="E183" s="87" t="s">
        <v>56</v>
      </c>
      <c r="F183" s="87" t="s">
        <v>66</v>
      </c>
      <c r="G183" s="87" t="s">
        <v>44</v>
      </c>
      <c r="H183" s="88">
        <v>40764</v>
      </c>
      <c r="I183" s="87">
        <v>36</v>
      </c>
      <c r="J183" s="89">
        <v>7450</v>
      </c>
      <c r="AA183" s="76" t="str">
        <f t="shared" si="2"/>
        <v>employee 180</v>
      </c>
    </row>
    <row r="184" spans="2:27" x14ac:dyDescent="0.2">
      <c r="B184" s="82" t="s">
        <v>248</v>
      </c>
      <c r="C184" s="87" t="s">
        <v>564</v>
      </c>
      <c r="D184" s="87" t="s">
        <v>46</v>
      </c>
      <c r="E184" s="87" t="s">
        <v>59</v>
      </c>
      <c r="F184" s="87" t="s">
        <v>66</v>
      </c>
      <c r="G184" s="87" t="s">
        <v>43</v>
      </c>
      <c r="H184" s="88">
        <v>40503</v>
      </c>
      <c r="I184" s="87">
        <v>37</v>
      </c>
      <c r="J184" s="89">
        <v>9689</v>
      </c>
      <c r="AA184" s="76" t="str">
        <f t="shared" si="2"/>
        <v>employee 181</v>
      </c>
    </row>
    <row r="185" spans="2:27" x14ac:dyDescent="0.2">
      <c r="B185" s="82" t="s">
        <v>249</v>
      </c>
      <c r="C185" s="87" t="s">
        <v>565</v>
      </c>
      <c r="D185" s="87" t="s">
        <v>48</v>
      </c>
      <c r="E185" s="87" t="s">
        <v>55</v>
      </c>
      <c r="F185" s="87" t="s">
        <v>66</v>
      </c>
      <c r="G185" s="87" t="s">
        <v>43</v>
      </c>
      <c r="H185" s="88">
        <v>41260</v>
      </c>
      <c r="I185" s="87">
        <v>38</v>
      </c>
      <c r="J185" s="89">
        <v>6274</v>
      </c>
      <c r="AA185" s="76" t="str">
        <f t="shared" si="2"/>
        <v>employee 182</v>
      </c>
    </row>
    <row r="186" spans="2:27" x14ac:dyDescent="0.2">
      <c r="B186" s="82" t="s">
        <v>250</v>
      </c>
      <c r="C186" s="87" t="s">
        <v>566</v>
      </c>
      <c r="D186" s="87" t="s">
        <v>42</v>
      </c>
      <c r="E186" s="87" t="s">
        <v>63</v>
      </c>
      <c r="F186" s="87" t="s">
        <v>67</v>
      </c>
      <c r="G186" s="87" t="s">
        <v>43</v>
      </c>
      <c r="H186" s="88">
        <v>41067</v>
      </c>
      <c r="I186" s="87">
        <v>32</v>
      </c>
      <c r="J186" s="89">
        <v>5805</v>
      </c>
      <c r="AA186" s="76" t="str">
        <f t="shared" si="2"/>
        <v>employee 183</v>
      </c>
    </row>
    <row r="187" spans="2:27" x14ac:dyDescent="0.2">
      <c r="B187" s="82" t="s">
        <v>251</v>
      </c>
      <c r="C187" s="87" t="s">
        <v>567</v>
      </c>
      <c r="D187" s="87" t="s">
        <v>49</v>
      </c>
      <c r="E187" s="87" t="s">
        <v>57</v>
      </c>
      <c r="F187" s="87" t="s">
        <v>66</v>
      </c>
      <c r="G187" s="87" t="s">
        <v>43</v>
      </c>
      <c r="H187" s="88">
        <v>41062</v>
      </c>
      <c r="I187" s="87">
        <v>41</v>
      </c>
      <c r="J187" s="89">
        <v>9676</v>
      </c>
      <c r="AA187" s="76" t="str">
        <f t="shared" si="2"/>
        <v>employee 184</v>
      </c>
    </row>
    <row r="188" spans="2:27" x14ac:dyDescent="0.2">
      <c r="B188" s="82" t="s">
        <v>252</v>
      </c>
      <c r="C188" s="87" t="s">
        <v>568</v>
      </c>
      <c r="D188" s="87" t="s">
        <v>42</v>
      </c>
      <c r="E188" s="87" t="s">
        <v>58</v>
      </c>
      <c r="F188" s="87" t="s">
        <v>66</v>
      </c>
      <c r="G188" s="87" t="s">
        <v>43</v>
      </c>
      <c r="H188" s="88">
        <v>40257</v>
      </c>
      <c r="I188" s="87">
        <v>32</v>
      </c>
      <c r="J188" s="89">
        <v>6471</v>
      </c>
      <c r="AA188" s="76" t="str">
        <f t="shared" si="2"/>
        <v>employee 185</v>
      </c>
    </row>
    <row r="189" spans="2:27" x14ac:dyDescent="0.2">
      <c r="B189" s="82" t="s">
        <v>253</v>
      </c>
      <c r="C189" s="87" t="s">
        <v>569</v>
      </c>
      <c r="D189" s="87" t="s">
        <v>45</v>
      </c>
      <c r="E189" s="87" t="s">
        <v>63</v>
      </c>
      <c r="F189" s="87" t="s">
        <v>67</v>
      </c>
      <c r="G189" s="87" t="s">
        <v>43</v>
      </c>
      <c r="H189" s="88">
        <v>43024</v>
      </c>
      <c r="I189" s="87">
        <v>39</v>
      </c>
      <c r="J189" s="89">
        <v>5697</v>
      </c>
      <c r="AA189" s="76" t="str">
        <f t="shared" si="2"/>
        <v>employee 186</v>
      </c>
    </row>
    <row r="190" spans="2:27" x14ac:dyDescent="0.2">
      <c r="B190" s="82" t="s">
        <v>254</v>
      </c>
      <c r="C190" s="87" t="s">
        <v>570</v>
      </c>
      <c r="D190" s="87" t="s">
        <v>50</v>
      </c>
      <c r="E190" s="87" t="s">
        <v>63</v>
      </c>
      <c r="F190" s="87" t="s">
        <v>66</v>
      </c>
      <c r="G190" s="87" t="s">
        <v>43</v>
      </c>
      <c r="H190" s="88">
        <v>40471</v>
      </c>
      <c r="I190" s="87">
        <v>33</v>
      </c>
      <c r="J190" s="89">
        <v>5786</v>
      </c>
      <c r="AA190" s="76" t="str">
        <f t="shared" si="2"/>
        <v>employee 187</v>
      </c>
    </row>
    <row r="191" spans="2:27" x14ac:dyDescent="0.2">
      <c r="B191" s="82" t="s">
        <v>255</v>
      </c>
      <c r="C191" s="87" t="s">
        <v>571</v>
      </c>
      <c r="D191" s="87" t="s">
        <v>48</v>
      </c>
      <c r="E191" s="87" t="s">
        <v>63</v>
      </c>
      <c r="F191" s="87" t="s">
        <v>67</v>
      </c>
      <c r="G191" s="87" t="s">
        <v>43</v>
      </c>
      <c r="H191" s="88">
        <v>42363</v>
      </c>
      <c r="I191" s="87">
        <v>36</v>
      </c>
      <c r="J191" s="89">
        <v>9369</v>
      </c>
      <c r="AA191" s="76" t="str">
        <f t="shared" si="2"/>
        <v>employee 188</v>
      </c>
    </row>
    <row r="192" spans="2:27" x14ac:dyDescent="0.2">
      <c r="B192" s="82" t="s">
        <v>256</v>
      </c>
      <c r="C192" s="87" t="s">
        <v>572</v>
      </c>
      <c r="D192" s="87" t="s">
        <v>49</v>
      </c>
      <c r="E192" s="87" t="s">
        <v>63</v>
      </c>
      <c r="F192" s="87" t="s">
        <v>67</v>
      </c>
      <c r="G192" s="87" t="s">
        <v>43</v>
      </c>
      <c r="H192" s="88">
        <v>41057</v>
      </c>
      <c r="I192" s="87">
        <v>29</v>
      </c>
      <c r="J192" s="89">
        <v>4527</v>
      </c>
      <c r="AA192" s="76" t="str">
        <f t="shared" si="2"/>
        <v>employee 189</v>
      </c>
    </row>
    <row r="193" spans="2:27" x14ac:dyDescent="0.2">
      <c r="B193" s="82" t="s">
        <v>257</v>
      </c>
      <c r="C193" s="87" t="s">
        <v>573</v>
      </c>
      <c r="D193" s="87" t="s">
        <v>47</v>
      </c>
      <c r="E193" s="87" t="s">
        <v>59</v>
      </c>
      <c r="F193" s="87" t="s">
        <v>67</v>
      </c>
      <c r="G193" s="87" t="s">
        <v>43</v>
      </c>
      <c r="H193" s="88">
        <v>43561</v>
      </c>
      <c r="I193" s="87">
        <v>29</v>
      </c>
      <c r="J193" s="89">
        <v>5418</v>
      </c>
      <c r="AA193" s="76" t="str">
        <f t="shared" si="2"/>
        <v>employee 190</v>
      </c>
    </row>
    <row r="194" spans="2:27" x14ac:dyDescent="0.2">
      <c r="B194" s="82" t="s">
        <v>258</v>
      </c>
      <c r="C194" s="87" t="s">
        <v>574</v>
      </c>
      <c r="D194" s="87" t="s">
        <v>46</v>
      </c>
      <c r="E194" s="87" t="s">
        <v>59</v>
      </c>
      <c r="F194" s="87" t="s">
        <v>67</v>
      </c>
      <c r="G194" s="87" t="s">
        <v>43</v>
      </c>
      <c r="H194" s="88">
        <v>40385</v>
      </c>
      <c r="I194" s="87">
        <v>37</v>
      </c>
      <c r="J194" s="89">
        <v>9223</v>
      </c>
      <c r="AA194" s="76" t="str">
        <f t="shared" si="2"/>
        <v>employee 191</v>
      </c>
    </row>
    <row r="195" spans="2:27" x14ac:dyDescent="0.2">
      <c r="B195" s="82" t="s">
        <v>259</v>
      </c>
      <c r="C195" s="87" t="s">
        <v>575</v>
      </c>
      <c r="D195" s="87" t="s">
        <v>49</v>
      </c>
      <c r="E195" s="87" t="s">
        <v>58</v>
      </c>
      <c r="F195" s="87" t="s">
        <v>66</v>
      </c>
      <c r="G195" s="87" t="s">
        <v>44</v>
      </c>
      <c r="H195" s="88">
        <v>42418</v>
      </c>
      <c r="I195" s="87">
        <v>42</v>
      </c>
      <c r="J195" s="89">
        <v>9035</v>
      </c>
      <c r="AA195" s="76" t="str">
        <f t="shared" si="2"/>
        <v>employee 192</v>
      </c>
    </row>
    <row r="196" spans="2:27" x14ac:dyDescent="0.2">
      <c r="B196" s="82" t="s">
        <v>260</v>
      </c>
      <c r="C196" s="87" t="s">
        <v>576</v>
      </c>
      <c r="D196" s="87" t="s">
        <v>12</v>
      </c>
      <c r="E196" s="87" t="s">
        <v>55</v>
      </c>
      <c r="F196" s="87" t="s">
        <v>67</v>
      </c>
      <c r="G196" s="87" t="s">
        <v>43</v>
      </c>
      <c r="H196" s="88">
        <v>41244</v>
      </c>
      <c r="I196" s="87">
        <v>30</v>
      </c>
      <c r="J196" s="89">
        <v>7472</v>
      </c>
      <c r="AA196" s="76" t="str">
        <f t="shared" si="2"/>
        <v>employee 193</v>
      </c>
    </row>
    <row r="197" spans="2:27" x14ac:dyDescent="0.2">
      <c r="B197" s="82" t="s">
        <v>261</v>
      </c>
      <c r="C197" s="87" t="s">
        <v>577</v>
      </c>
      <c r="D197" s="87" t="s">
        <v>49</v>
      </c>
      <c r="E197" s="87" t="s">
        <v>58</v>
      </c>
      <c r="F197" s="87" t="s">
        <v>66</v>
      </c>
      <c r="G197" s="87" t="s">
        <v>43</v>
      </c>
      <c r="H197" s="88">
        <v>41520</v>
      </c>
      <c r="I197" s="87">
        <v>39</v>
      </c>
      <c r="J197" s="89">
        <v>9545</v>
      </c>
      <c r="AA197" s="76" t="str">
        <f t="shared" ref="AA197:AA260" si="3">IF(C197="","",B197)</f>
        <v>employee 194</v>
      </c>
    </row>
    <row r="198" spans="2:27" x14ac:dyDescent="0.2">
      <c r="B198" s="82" t="s">
        <v>262</v>
      </c>
      <c r="C198" s="87" t="s">
        <v>578</v>
      </c>
      <c r="D198" s="87" t="s">
        <v>46</v>
      </c>
      <c r="E198" s="87" t="s">
        <v>63</v>
      </c>
      <c r="F198" s="87" t="s">
        <v>66</v>
      </c>
      <c r="G198" s="87" t="s">
        <v>43</v>
      </c>
      <c r="H198" s="88">
        <v>42104</v>
      </c>
      <c r="I198" s="87">
        <v>44</v>
      </c>
      <c r="J198" s="89">
        <v>9034</v>
      </c>
      <c r="AA198" s="76" t="str">
        <f t="shared" si="3"/>
        <v>employee 195</v>
      </c>
    </row>
    <row r="199" spans="2:27" x14ac:dyDescent="0.2">
      <c r="B199" s="82" t="s">
        <v>263</v>
      </c>
      <c r="C199" s="87" t="s">
        <v>579</v>
      </c>
      <c r="D199" s="87" t="s">
        <v>42</v>
      </c>
      <c r="E199" s="87" t="s">
        <v>59</v>
      </c>
      <c r="F199" s="87" t="s">
        <v>67</v>
      </c>
      <c r="G199" s="87" t="s">
        <v>43</v>
      </c>
      <c r="H199" s="88">
        <v>41851</v>
      </c>
      <c r="I199" s="87">
        <v>37</v>
      </c>
      <c r="J199" s="89">
        <v>7684</v>
      </c>
      <c r="AA199" s="76" t="str">
        <f t="shared" si="3"/>
        <v>employee 196</v>
      </c>
    </row>
    <row r="200" spans="2:27" x14ac:dyDescent="0.2">
      <c r="B200" s="82" t="s">
        <v>264</v>
      </c>
      <c r="C200" s="87" t="s">
        <v>580</v>
      </c>
      <c r="D200" s="87" t="s">
        <v>42</v>
      </c>
      <c r="E200" s="87" t="s">
        <v>58</v>
      </c>
      <c r="F200" s="87" t="s">
        <v>67</v>
      </c>
      <c r="G200" s="87" t="s">
        <v>43</v>
      </c>
      <c r="H200" s="88">
        <v>42818</v>
      </c>
      <c r="I200" s="87">
        <v>37</v>
      </c>
      <c r="J200" s="89">
        <v>5119</v>
      </c>
      <c r="AA200" s="76" t="str">
        <f t="shared" si="3"/>
        <v>employee 197</v>
      </c>
    </row>
    <row r="201" spans="2:27" x14ac:dyDescent="0.2">
      <c r="B201" s="82" t="s">
        <v>265</v>
      </c>
      <c r="C201" s="87" t="s">
        <v>581</v>
      </c>
      <c r="D201" s="87" t="s">
        <v>46</v>
      </c>
      <c r="E201" s="87" t="s">
        <v>55</v>
      </c>
      <c r="F201" s="87" t="s">
        <v>67</v>
      </c>
      <c r="G201" s="87" t="s">
        <v>43</v>
      </c>
      <c r="H201" s="88">
        <v>40633</v>
      </c>
      <c r="I201" s="87">
        <v>38</v>
      </c>
      <c r="J201" s="89">
        <v>9065</v>
      </c>
      <c r="AA201" s="76" t="str">
        <f t="shared" si="3"/>
        <v>employee 198</v>
      </c>
    </row>
    <row r="202" spans="2:27" x14ac:dyDescent="0.2">
      <c r="B202" s="82" t="s">
        <v>266</v>
      </c>
      <c r="C202" s="87" t="s">
        <v>582</v>
      </c>
      <c r="D202" s="87" t="s">
        <v>42</v>
      </c>
      <c r="E202" s="87" t="s">
        <v>56</v>
      </c>
      <c r="F202" s="87" t="s">
        <v>66</v>
      </c>
      <c r="G202" s="87" t="s">
        <v>43</v>
      </c>
      <c r="H202" s="88">
        <v>40581</v>
      </c>
      <c r="I202" s="87">
        <v>38</v>
      </c>
      <c r="J202" s="89">
        <v>9512</v>
      </c>
      <c r="AA202" s="76" t="str">
        <f t="shared" si="3"/>
        <v>employee 199</v>
      </c>
    </row>
    <row r="203" spans="2:27" x14ac:dyDescent="0.2">
      <c r="B203" s="82" t="s">
        <v>267</v>
      </c>
      <c r="C203" s="87" t="s">
        <v>583</v>
      </c>
      <c r="D203" s="87" t="s">
        <v>48</v>
      </c>
      <c r="E203" s="87" t="s">
        <v>59</v>
      </c>
      <c r="F203" s="87" t="s">
        <v>66</v>
      </c>
      <c r="G203" s="87" t="s">
        <v>43</v>
      </c>
      <c r="H203" s="88">
        <v>42520</v>
      </c>
      <c r="I203" s="87">
        <v>39</v>
      </c>
      <c r="J203" s="89">
        <v>6021</v>
      </c>
      <c r="AA203" s="76" t="str">
        <f t="shared" si="3"/>
        <v>employee 200</v>
      </c>
    </row>
    <row r="204" spans="2:27" x14ac:dyDescent="0.2">
      <c r="B204" s="82" t="s">
        <v>268</v>
      </c>
      <c r="C204" s="87" t="s">
        <v>584</v>
      </c>
      <c r="D204" s="87" t="s">
        <v>50</v>
      </c>
      <c r="E204" s="87" t="s">
        <v>57</v>
      </c>
      <c r="F204" s="87" t="s">
        <v>67</v>
      </c>
      <c r="G204" s="87" t="s">
        <v>43</v>
      </c>
      <c r="H204" s="88">
        <v>40697</v>
      </c>
      <c r="I204" s="87">
        <v>42</v>
      </c>
      <c r="J204" s="89">
        <v>9345</v>
      </c>
      <c r="AA204" s="76" t="str">
        <f t="shared" si="3"/>
        <v>employee 201</v>
      </c>
    </row>
    <row r="205" spans="2:27" x14ac:dyDescent="0.2">
      <c r="B205" s="82" t="s">
        <v>269</v>
      </c>
      <c r="C205" s="87" t="s">
        <v>585</v>
      </c>
      <c r="D205" s="87" t="s">
        <v>12</v>
      </c>
      <c r="E205" s="87" t="s">
        <v>59</v>
      </c>
      <c r="F205" s="87" t="s">
        <v>67</v>
      </c>
      <c r="G205" s="87" t="s">
        <v>43</v>
      </c>
      <c r="H205" s="88">
        <v>43700</v>
      </c>
      <c r="I205" s="87">
        <v>31</v>
      </c>
      <c r="J205" s="89">
        <v>8634</v>
      </c>
      <c r="AA205" s="76" t="str">
        <f t="shared" si="3"/>
        <v>employee 202</v>
      </c>
    </row>
    <row r="206" spans="2:27" x14ac:dyDescent="0.2">
      <c r="B206" s="82" t="s">
        <v>270</v>
      </c>
      <c r="C206" s="87" t="s">
        <v>586</v>
      </c>
      <c r="D206" s="87" t="s">
        <v>48</v>
      </c>
      <c r="E206" s="87" t="s">
        <v>59</v>
      </c>
      <c r="F206" s="87" t="s">
        <v>67</v>
      </c>
      <c r="G206" s="87" t="s">
        <v>43</v>
      </c>
      <c r="H206" s="88">
        <v>40219</v>
      </c>
      <c r="I206" s="87">
        <v>31</v>
      </c>
      <c r="J206" s="89">
        <v>4982</v>
      </c>
      <c r="AA206" s="76" t="str">
        <f t="shared" si="3"/>
        <v>employee 203</v>
      </c>
    </row>
    <row r="207" spans="2:27" x14ac:dyDescent="0.2">
      <c r="B207" s="82" t="s">
        <v>271</v>
      </c>
      <c r="C207" s="87" t="s">
        <v>587</v>
      </c>
      <c r="D207" s="87" t="s">
        <v>47</v>
      </c>
      <c r="E207" s="87" t="s">
        <v>56</v>
      </c>
      <c r="F207" s="87" t="s">
        <v>66</v>
      </c>
      <c r="G207" s="87" t="s">
        <v>43</v>
      </c>
      <c r="H207" s="88">
        <v>42284</v>
      </c>
      <c r="I207" s="87">
        <v>40</v>
      </c>
      <c r="J207" s="89">
        <v>8277</v>
      </c>
      <c r="AA207" s="76" t="str">
        <f t="shared" si="3"/>
        <v>employee 204</v>
      </c>
    </row>
    <row r="208" spans="2:27" x14ac:dyDescent="0.2">
      <c r="B208" s="82" t="s">
        <v>272</v>
      </c>
      <c r="C208" s="87" t="s">
        <v>588</v>
      </c>
      <c r="D208" s="87" t="s">
        <v>48</v>
      </c>
      <c r="E208" s="87" t="s">
        <v>57</v>
      </c>
      <c r="F208" s="87" t="s">
        <v>67</v>
      </c>
      <c r="G208" s="87" t="s">
        <v>43</v>
      </c>
      <c r="H208" s="88">
        <v>40294</v>
      </c>
      <c r="I208" s="87">
        <v>38</v>
      </c>
      <c r="J208" s="89">
        <v>9745</v>
      </c>
      <c r="AA208" s="76" t="str">
        <f t="shared" si="3"/>
        <v>employee 205</v>
      </c>
    </row>
    <row r="209" spans="2:27" x14ac:dyDescent="0.2">
      <c r="B209" s="82" t="s">
        <v>273</v>
      </c>
      <c r="C209" s="87" t="s">
        <v>589</v>
      </c>
      <c r="D209" s="87" t="s">
        <v>47</v>
      </c>
      <c r="E209" s="87" t="s">
        <v>58</v>
      </c>
      <c r="F209" s="87" t="s">
        <v>67</v>
      </c>
      <c r="G209" s="87" t="s">
        <v>43</v>
      </c>
      <c r="H209" s="88">
        <v>40692</v>
      </c>
      <c r="I209" s="87">
        <v>38</v>
      </c>
      <c r="J209" s="89">
        <v>7774</v>
      </c>
      <c r="AA209" s="76" t="str">
        <f t="shared" si="3"/>
        <v>employee 206</v>
      </c>
    </row>
    <row r="210" spans="2:27" x14ac:dyDescent="0.2">
      <c r="B210" s="82" t="s">
        <v>274</v>
      </c>
      <c r="C210" s="87" t="s">
        <v>590</v>
      </c>
      <c r="D210" s="87" t="s">
        <v>50</v>
      </c>
      <c r="E210" s="87" t="s">
        <v>58</v>
      </c>
      <c r="F210" s="87" t="s">
        <v>67</v>
      </c>
      <c r="G210" s="87" t="s">
        <v>43</v>
      </c>
      <c r="H210" s="88">
        <v>41728</v>
      </c>
      <c r="I210" s="87">
        <v>32</v>
      </c>
      <c r="J210" s="89">
        <v>8072</v>
      </c>
      <c r="AA210" s="76" t="str">
        <f t="shared" si="3"/>
        <v>employee 207</v>
      </c>
    </row>
    <row r="211" spans="2:27" x14ac:dyDescent="0.2">
      <c r="B211" s="82" t="s">
        <v>275</v>
      </c>
      <c r="C211" s="87" t="s">
        <v>591</v>
      </c>
      <c r="D211" s="87" t="s">
        <v>50</v>
      </c>
      <c r="E211" s="87" t="s">
        <v>57</v>
      </c>
      <c r="F211" s="87" t="s">
        <v>67</v>
      </c>
      <c r="G211" s="87" t="s">
        <v>43</v>
      </c>
      <c r="H211" s="88">
        <v>41189</v>
      </c>
      <c r="I211" s="87">
        <v>29</v>
      </c>
      <c r="J211" s="89">
        <v>9575</v>
      </c>
      <c r="AA211" s="76" t="str">
        <f t="shared" si="3"/>
        <v>employee 208</v>
      </c>
    </row>
    <row r="212" spans="2:27" x14ac:dyDescent="0.2">
      <c r="B212" s="82" t="s">
        <v>276</v>
      </c>
      <c r="C212" s="87" t="s">
        <v>592</v>
      </c>
      <c r="D212" s="87" t="s">
        <v>42</v>
      </c>
      <c r="E212" s="87" t="s">
        <v>57</v>
      </c>
      <c r="F212" s="87" t="s">
        <v>67</v>
      </c>
      <c r="G212" s="87" t="s">
        <v>43</v>
      </c>
      <c r="H212" s="88">
        <v>42177</v>
      </c>
      <c r="I212" s="87">
        <v>44</v>
      </c>
      <c r="J212" s="89">
        <v>8565</v>
      </c>
      <c r="AA212" s="76" t="str">
        <f t="shared" si="3"/>
        <v>employee 209</v>
      </c>
    </row>
    <row r="213" spans="2:27" x14ac:dyDescent="0.2">
      <c r="B213" s="82" t="s">
        <v>277</v>
      </c>
      <c r="C213" s="87" t="s">
        <v>593</v>
      </c>
      <c r="D213" s="87" t="s">
        <v>48</v>
      </c>
      <c r="E213" s="87" t="s">
        <v>57</v>
      </c>
      <c r="F213" s="87" t="s">
        <v>67</v>
      </c>
      <c r="G213" s="87" t="s">
        <v>43</v>
      </c>
      <c r="H213" s="88">
        <v>43386</v>
      </c>
      <c r="I213" s="87">
        <v>38</v>
      </c>
      <c r="J213" s="89">
        <v>7506</v>
      </c>
      <c r="AA213" s="76" t="str">
        <f t="shared" si="3"/>
        <v>employee 210</v>
      </c>
    </row>
    <row r="214" spans="2:27" x14ac:dyDescent="0.2">
      <c r="B214" s="82" t="s">
        <v>278</v>
      </c>
      <c r="C214" s="87" t="s">
        <v>594</v>
      </c>
      <c r="D214" s="87" t="s">
        <v>42</v>
      </c>
      <c r="E214" s="87" t="s">
        <v>58</v>
      </c>
      <c r="F214" s="87" t="s">
        <v>66</v>
      </c>
      <c r="G214" s="87" t="s">
        <v>43</v>
      </c>
      <c r="H214" s="88">
        <v>40236</v>
      </c>
      <c r="I214" s="87">
        <v>39</v>
      </c>
      <c r="J214" s="89">
        <v>6568</v>
      </c>
      <c r="AA214" s="76" t="str">
        <f t="shared" si="3"/>
        <v>employee 211</v>
      </c>
    </row>
    <row r="215" spans="2:27" x14ac:dyDescent="0.2">
      <c r="B215" s="82" t="s">
        <v>279</v>
      </c>
      <c r="C215" s="87" t="s">
        <v>595</v>
      </c>
      <c r="D215" s="87" t="s">
        <v>49</v>
      </c>
      <c r="E215" s="87" t="s">
        <v>57</v>
      </c>
      <c r="F215" s="87" t="s">
        <v>67</v>
      </c>
      <c r="G215" s="87" t="s">
        <v>43</v>
      </c>
      <c r="H215" s="88">
        <v>41233</v>
      </c>
      <c r="I215" s="87">
        <v>37</v>
      </c>
      <c r="J215" s="89">
        <v>6971</v>
      </c>
      <c r="AA215" s="76" t="str">
        <f t="shared" si="3"/>
        <v>employee 212</v>
      </c>
    </row>
    <row r="216" spans="2:27" x14ac:dyDescent="0.2">
      <c r="B216" s="82" t="s">
        <v>280</v>
      </c>
      <c r="C216" s="87" t="s">
        <v>596</v>
      </c>
      <c r="D216" s="87" t="s">
        <v>48</v>
      </c>
      <c r="E216" s="87" t="s">
        <v>55</v>
      </c>
      <c r="F216" s="87" t="s">
        <v>67</v>
      </c>
      <c r="G216" s="87" t="s">
        <v>43</v>
      </c>
      <c r="H216" s="88">
        <v>41669</v>
      </c>
      <c r="I216" s="87">
        <v>38</v>
      </c>
      <c r="J216" s="89">
        <v>5032</v>
      </c>
      <c r="AA216" s="76" t="str">
        <f t="shared" si="3"/>
        <v>employee 213</v>
      </c>
    </row>
    <row r="217" spans="2:27" x14ac:dyDescent="0.2">
      <c r="B217" s="82" t="s">
        <v>281</v>
      </c>
      <c r="C217" s="87" t="s">
        <v>597</v>
      </c>
      <c r="D217" s="87" t="s">
        <v>12</v>
      </c>
      <c r="E217" s="87" t="s">
        <v>59</v>
      </c>
      <c r="F217" s="87" t="s">
        <v>66</v>
      </c>
      <c r="G217" s="87" t="s">
        <v>43</v>
      </c>
      <c r="H217" s="88">
        <v>43564</v>
      </c>
      <c r="I217" s="87">
        <v>37</v>
      </c>
      <c r="J217" s="89">
        <v>9291</v>
      </c>
      <c r="AA217" s="76" t="str">
        <f t="shared" si="3"/>
        <v>employee 214</v>
      </c>
    </row>
    <row r="218" spans="2:27" x14ac:dyDescent="0.2">
      <c r="B218" s="82" t="s">
        <v>282</v>
      </c>
      <c r="C218" s="87" t="s">
        <v>598</v>
      </c>
      <c r="D218" s="87" t="s">
        <v>49</v>
      </c>
      <c r="E218" s="87" t="s">
        <v>63</v>
      </c>
      <c r="F218" s="87" t="s">
        <v>66</v>
      </c>
      <c r="G218" s="87" t="s">
        <v>43</v>
      </c>
      <c r="H218" s="88">
        <v>43345</v>
      </c>
      <c r="I218" s="87">
        <v>34</v>
      </c>
      <c r="J218" s="89">
        <v>8915</v>
      </c>
      <c r="AA218" s="76" t="str">
        <f t="shared" si="3"/>
        <v>employee 215</v>
      </c>
    </row>
    <row r="219" spans="2:27" x14ac:dyDescent="0.2">
      <c r="B219" s="82" t="s">
        <v>283</v>
      </c>
      <c r="C219" s="87" t="s">
        <v>599</v>
      </c>
      <c r="D219" s="87" t="s">
        <v>49</v>
      </c>
      <c r="E219" s="87" t="s">
        <v>59</v>
      </c>
      <c r="F219" s="87" t="s">
        <v>67</v>
      </c>
      <c r="G219" s="87" t="s">
        <v>43</v>
      </c>
      <c r="H219" s="88">
        <v>42253</v>
      </c>
      <c r="I219" s="87">
        <v>43</v>
      </c>
      <c r="J219" s="89">
        <v>5103</v>
      </c>
      <c r="AA219" s="76" t="str">
        <f t="shared" si="3"/>
        <v>employee 216</v>
      </c>
    </row>
    <row r="220" spans="2:27" x14ac:dyDescent="0.2">
      <c r="B220" s="82" t="s">
        <v>284</v>
      </c>
      <c r="C220" s="87" t="s">
        <v>600</v>
      </c>
      <c r="D220" s="87" t="s">
        <v>48</v>
      </c>
      <c r="E220" s="87" t="s">
        <v>55</v>
      </c>
      <c r="F220" s="87" t="s">
        <v>66</v>
      </c>
      <c r="G220" s="87" t="s">
        <v>43</v>
      </c>
      <c r="H220" s="88">
        <v>40675</v>
      </c>
      <c r="I220" s="87">
        <v>36</v>
      </c>
      <c r="J220" s="89">
        <v>9242</v>
      </c>
      <c r="AA220" s="76" t="str">
        <f t="shared" si="3"/>
        <v>employee 217</v>
      </c>
    </row>
    <row r="221" spans="2:27" x14ac:dyDescent="0.2">
      <c r="B221" s="82" t="s">
        <v>285</v>
      </c>
      <c r="C221" s="87" t="s">
        <v>601</v>
      </c>
      <c r="D221" s="87" t="s">
        <v>45</v>
      </c>
      <c r="E221" s="87" t="s">
        <v>63</v>
      </c>
      <c r="F221" s="87" t="s">
        <v>67</v>
      </c>
      <c r="G221" s="87" t="s">
        <v>43</v>
      </c>
      <c r="H221" s="88">
        <v>41579</v>
      </c>
      <c r="I221" s="87">
        <v>43</v>
      </c>
      <c r="J221" s="89">
        <v>8558</v>
      </c>
      <c r="AA221" s="76" t="str">
        <f t="shared" si="3"/>
        <v>employee 218</v>
      </c>
    </row>
    <row r="222" spans="2:27" x14ac:dyDescent="0.2">
      <c r="B222" s="82" t="s">
        <v>286</v>
      </c>
      <c r="C222" s="87" t="s">
        <v>602</v>
      </c>
      <c r="D222" s="87" t="s">
        <v>46</v>
      </c>
      <c r="E222" s="87" t="s">
        <v>63</v>
      </c>
      <c r="F222" s="87" t="s">
        <v>66</v>
      </c>
      <c r="G222" s="87" t="s">
        <v>43</v>
      </c>
      <c r="H222" s="88">
        <v>40616</v>
      </c>
      <c r="I222" s="87">
        <v>29</v>
      </c>
      <c r="J222" s="89">
        <v>8480</v>
      </c>
      <c r="AA222" s="76" t="str">
        <f t="shared" si="3"/>
        <v>employee 219</v>
      </c>
    </row>
    <row r="223" spans="2:27" x14ac:dyDescent="0.2">
      <c r="B223" s="82" t="s">
        <v>287</v>
      </c>
      <c r="C223" s="87" t="s">
        <v>603</v>
      </c>
      <c r="D223" s="87" t="s">
        <v>48</v>
      </c>
      <c r="E223" s="87" t="s">
        <v>58</v>
      </c>
      <c r="F223" s="87" t="s">
        <v>67</v>
      </c>
      <c r="G223" s="87" t="s">
        <v>43</v>
      </c>
      <c r="H223" s="88">
        <v>42965</v>
      </c>
      <c r="I223" s="87">
        <v>29</v>
      </c>
      <c r="J223" s="89">
        <v>5767</v>
      </c>
      <c r="AA223" s="76" t="str">
        <f t="shared" si="3"/>
        <v>employee 220</v>
      </c>
    </row>
    <row r="224" spans="2:27" x14ac:dyDescent="0.2">
      <c r="B224" s="82" t="s">
        <v>288</v>
      </c>
      <c r="C224" s="87" t="s">
        <v>604</v>
      </c>
      <c r="D224" s="87" t="s">
        <v>47</v>
      </c>
      <c r="E224" s="87" t="s">
        <v>56</v>
      </c>
      <c r="F224" s="87" t="s">
        <v>67</v>
      </c>
      <c r="G224" s="87" t="s">
        <v>43</v>
      </c>
      <c r="H224" s="88">
        <v>42537</v>
      </c>
      <c r="I224" s="87">
        <v>39</v>
      </c>
      <c r="J224" s="89">
        <v>4705</v>
      </c>
      <c r="AA224" s="76" t="str">
        <f t="shared" si="3"/>
        <v>employee 221</v>
      </c>
    </row>
    <row r="225" spans="2:27" x14ac:dyDescent="0.2">
      <c r="B225" s="82" t="s">
        <v>289</v>
      </c>
      <c r="C225" s="87" t="s">
        <v>605</v>
      </c>
      <c r="D225" s="87" t="s">
        <v>50</v>
      </c>
      <c r="E225" s="87" t="s">
        <v>59</v>
      </c>
      <c r="F225" s="87" t="s">
        <v>66</v>
      </c>
      <c r="G225" s="87" t="s">
        <v>43</v>
      </c>
      <c r="H225" s="88">
        <v>40694</v>
      </c>
      <c r="I225" s="87">
        <v>42</v>
      </c>
      <c r="J225" s="89">
        <v>9232</v>
      </c>
      <c r="AA225" s="76" t="str">
        <f t="shared" si="3"/>
        <v>employee 222</v>
      </c>
    </row>
    <row r="226" spans="2:27" x14ac:dyDescent="0.2">
      <c r="B226" s="82" t="s">
        <v>290</v>
      </c>
      <c r="C226" s="87" t="s">
        <v>606</v>
      </c>
      <c r="D226" s="87" t="s">
        <v>49</v>
      </c>
      <c r="E226" s="87" t="s">
        <v>55</v>
      </c>
      <c r="F226" s="87" t="s">
        <v>67</v>
      </c>
      <c r="G226" s="87" t="s">
        <v>43</v>
      </c>
      <c r="H226" s="88">
        <v>43750</v>
      </c>
      <c r="I226" s="87">
        <v>31</v>
      </c>
      <c r="J226" s="89">
        <v>9089</v>
      </c>
      <c r="AA226" s="76" t="str">
        <f t="shared" si="3"/>
        <v>employee 223</v>
      </c>
    </row>
    <row r="227" spans="2:27" x14ac:dyDescent="0.2">
      <c r="B227" s="82" t="s">
        <v>291</v>
      </c>
      <c r="C227" s="87" t="s">
        <v>607</v>
      </c>
      <c r="D227" s="87" t="s">
        <v>48</v>
      </c>
      <c r="E227" s="87" t="s">
        <v>57</v>
      </c>
      <c r="F227" s="87" t="s">
        <v>67</v>
      </c>
      <c r="G227" s="87" t="s">
        <v>43</v>
      </c>
      <c r="H227" s="88">
        <v>40420</v>
      </c>
      <c r="I227" s="87">
        <v>33</v>
      </c>
      <c r="J227" s="89">
        <v>6133</v>
      </c>
      <c r="AA227" s="76" t="str">
        <f t="shared" si="3"/>
        <v>employee 224</v>
      </c>
    </row>
    <row r="228" spans="2:27" x14ac:dyDescent="0.2">
      <c r="B228" s="82" t="s">
        <v>292</v>
      </c>
      <c r="C228" s="87" t="s">
        <v>608</v>
      </c>
      <c r="D228" s="87" t="s">
        <v>42</v>
      </c>
      <c r="E228" s="87" t="s">
        <v>58</v>
      </c>
      <c r="F228" s="87" t="s">
        <v>67</v>
      </c>
      <c r="G228" s="87" t="s">
        <v>43</v>
      </c>
      <c r="H228" s="88">
        <v>40415</v>
      </c>
      <c r="I228" s="87">
        <v>29</v>
      </c>
      <c r="J228" s="89">
        <v>7649</v>
      </c>
      <c r="AA228" s="76" t="str">
        <f t="shared" si="3"/>
        <v>employee 225</v>
      </c>
    </row>
    <row r="229" spans="2:27" x14ac:dyDescent="0.2">
      <c r="B229" s="82" t="s">
        <v>293</v>
      </c>
      <c r="C229" s="87" t="s">
        <v>609</v>
      </c>
      <c r="D229" s="87" t="s">
        <v>47</v>
      </c>
      <c r="E229" s="87" t="s">
        <v>56</v>
      </c>
      <c r="F229" s="87" t="s">
        <v>66</v>
      </c>
      <c r="G229" s="87" t="s">
        <v>43</v>
      </c>
      <c r="H229" s="88">
        <v>41458</v>
      </c>
      <c r="I229" s="87">
        <v>39</v>
      </c>
      <c r="J229" s="89">
        <v>4907</v>
      </c>
      <c r="AA229" s="76" t="str">
        <f t="shared" si="3"/>
        <v>employee 226</v>
      </c>
    </row>
    <row r="230" spans="2:27" x14ac:dyDescent="0.2">
      <c r="B230" s="82" t="s">
        <v>294</v>
      </c>
      <c r="C230" s="87" t="s">
        <v>610</v>
      </c>
      <c r="D230" s="87" t="s">
        <v>49</v>
      </c>
      <c r="E230" s="87" t="s">
        <v>59</v>
      </c>
      <c r="F230" s="87" t="s">
        <v>67</v>
      </c>
      <c r="G230" s="87" t="s">
        <v>43</v>
      </c>
      <c r="H230" s="88">
        <v>41837</v>
      </c>
      <c r="I230" s="87">
        <v>39</v>
      </c>
      <c r="J230" s="89">
        <v>9303</v>
      </c>
      <c r="AA230" s="76" t="str">
        <f t="shared" si="3"/>
        <v>employee 227</v>
      </c>
    </row>
    <row r="231" spans="2:27" x14ac:dyDescent="0.2">
      <c r="B231" s="82" t="s">
        <v>295</v>
      </c>
      <c r="C231" s="87" t="s">
        <v>611</v>
      </c>
      <c r="D231" s="87" t="s">
        <v>50</v>
      </c>
      <c r="E231" s="87" t="s">
        <v>59</v>
      </c>
      <c r="F231" s="87" t="s">
        <v>66</v>
      </c>
      <c r="G231" s="87" t="s">
        <v>43</v>
      </c>
      <c r="H231" s="88">
        <v>42057</v>
      </c>
      <c r="I231" s="87">
        <v>44</v>
      </c>
      <c r="J231" s="89">
        <v>8080</v>
      </c>
      <c r="AA231" s="76" t="str">
        <f t="shared" si="3"/>
        <v>employee 228</v>
      </c>
    </row>
    <row r="232" spans="2:27" x14ac:dyDescent="0.2">
      <c r="B232" s="82" t="s">
        <v>296</v>
      </c>
      <c r="C232" s="87" t="s">
        <v>613</v>
      </c>
      <c r="D232" s="87" t="s">
        <v>46</v>
      </c>
      <c r="E232" s="87" t="s">
        <v>55</v>
      </c>
      <c r="F232" s="87" t="s">
        <v>67</v>
      </c>
      <c r="G232" s="87" t="s">
        <v>43</v>
      </c>
      <c r="H232" s="88">
        <v>41080</v>
      </c>
      <c r="I232" s="87">
        <v>31</v>
      </c>
      <c r="J232" s="89">
        <v>9747</v>
      </c>
      <c r="AA232" s="76" t="str">
        <f t="shared" si="3"/>
        <v>employee 229</v>
      </c>
    </row>
    <row r="233" spans="2:27" x14ac:dyDescent="0.2">
      <c r="B233" s="82" t="s">
        <v>297</v>
      </c>
      <c r="C233" s="87" t="s">
        <v>614</v>
      </c>
      <c r="D233" s="87" t="s">
        <v>50</v>
      </c>
      <c r="E233" s="87" t="s">
        <v>63</v>
      </c>
      <c r="F233" s="87" t="s">
        <v>67</v>
      </c>
      <c r="G233" s="87" t="s">
        <v>43</v>
      </c>
      <c r="H233" s="88">
        <v>40520</v>
      </c>
      <c r="I233" s="87">
        <v>31</v>
      </c>
      <c r="J233" s="89">
        <v>8664</v>
      </c>
      <c r="AA233" s="76" t="str">
        <f t="shared" si="3"/>
        <v>employee 230</v>
      </c>
    </row>
    <row r="234" spans="2:27" x14ac:dyDescent="0.2">
      <c r="B234" s="82" t="s">
        <v>298</v>
      </c>
      <c r="C234" s="87" t="s">
        <v>615</v>
      </c>
      <c r="D234" s="87" t="s">
        <v>12</v>
      </c>
      <c r="E234" s="87" t="s">
        <v>63</v>
      </c>
      <c r="F234" s="87" t="s">
        <v>66</v>
      </c>
      <c r="G234" s="87" t="s">
        <v>43</v>
      </c>
      <c r="H234" s="88">
        <v>41467</v>
      </c>
      <c r="I234" s="87">
        <v>40</v>
      </c>
      <c r="J234" s="89">
        <v>7759</v>
      </c>
      <c r="AA234" s="76" t="str">
        <f t="shared" si="3"/>
        <v>employee 231</v>
      </c>
    </row>
    <row r="235" spans="2:27" x14ac:dyDescent="0.2">
      <c r="B235" s="82" t="s">
        <v>299</v>
      </c>
      <c r="C235" s="87" t="s">
        <v>616</v>
      </c>
      <c r="D235" s="87" t="s">
        <v>47</v>
      </c>
      <c r="E235" s="87" t="s">
        <v>56</v>
      </c>
      <c r="F235" s="87" t="s">
        <v>67</v>
      </c>
      <c r="G235" s="87" t="s">
        <v>43</v>
      </c>
      <c r="H235" s="88">
        <v>41370</v>
      </c>
      <c r="I235" s="87">
        <v>43</v>
      </c>
      <c r="J235" s="89">
        <v>5158</v>
      </c>
      <c r="AA235" s="76" t="str">
        <f t="shared" si="3"/>
        <v>employee 232</v>
      </c>
    </row>
    <row r="236" spans="2:27" x14ac:dyDescent="0.2">
      <c r="B236" s="82" t="s">
        <v>300</v>
      </c>
      <c r="C236" s="87" t="s">
        <v>617</v>
      </c>
      <c r="D236" s="87" t="s">
        <v>48</v>
      </c>
      <c r="E236" s="87" t="s">
        <v>56</v>
      </c>
      <c r="F236" s="87" t="s">
        <v>67</v>
      </c>
      <c r="G236" s="87" t="s">
        <v>43</v>
      </c>
      <c r="H236" s="88">
        <v>42313</v>
      </c>
      <c r="I236" s="87">
        <v>32</v>
      </c>
      <c r="J236" s="89">
        <v>6924</v>
      </c>
      <c r="AA236" s="76" t="str">
        <f t="shared" si="3"/>
        <v>employee 233</v>
      </c>
    </row>
    <row r="237" spans="2:27" x14ac:dyDescent="0.2">
      <c r="B237" s="82" t="s">
        <v>301</v>
      </c>
      <c r="C237" s="87" t="s">
        <v>618</v>
      </c>
      <c r="D237" s="87" t="s">
        <v>47</v>
      </c>
      <c r="E237" s="87" t="s">
        <v>55</v>
      </c>
      <c r="F237" s="87" t="s">
        <v>67</v>
      </c>
      <c r="G237" s="87" t="s">
        <v>43</v>
      </c>
      <c r="H237" s="88">
        <v>42935</v>
      </c>
      <c r="I237" s="87">
        <v>36</v>
      </c>
      <c r="J237" s="89">
        <v>9048</v>
      </c>
      <c r="AA237" s="76" t="str">
        <f t="shared" si="3"/>
        <v>employee 234</v>
      </c>
    </row>
    <row r="238" spans="2:27" x14ac:dyDescent="0.2">
      <c r="B238" s="82" t="s">
        <v>302</v>
      </c>
      <c r="C238" s="87" t="s">
        <v>619</v>
      </c>
      <c r="D238" s="87" t="s">
        <v>49</v>
      </c>
      <c r="E238" s="87" t="s">
        <v>55</v>
      </c>
      <c r="F238" s="87" t="s">
        <v>67</v>
      </c>
      <c r="G238" s="87" t="s">
        <v>43</v>
      </c>
      <c r="H238" s="88">
        <v>42951</v>
      </c>
      <c r="I238" s="87">
        <v>39</v>
      </c>
      <c r="J238" s="89">
        <v>9652</v>
      </c>
      <c r="AA238" s="76" t="str">
        <f t="shared" si="3"/>
        <v>employee 235</v>
      </c>
    </row>
    <row r="239" spans="2:27" x14ac:dyDescent="0.2">
      <c r="B239" s="82" t="s">
        <v>303</v>
      </c>
      <c r="C239" s="87" t="s">
        <v>620</v>
      </c>
      <c r="D239" s="87" t="s">
        <v>45</v>
      </c>
      <c r="E239" s="87" t="s">
        <v>55</v>
      </c>
      <c r="F239" s="87" t="s">
        <v>67</v>
      </c>
      <c r="G239" s="87" t="s">
        <v>43</v>
      </c>
      <c r="H239" s="88">
        <v>42896</v>
      </c>
      <c r="I239" s="87">
        <v>40</v>
      </c>
      <c r="J239" s="89">
        <v>5750</v>
      </c>
      <c r="AA239" s="76" t="str">
        <f t="shared" si="3"/>
        <v>employee 236</v>
      </c>
    </row>
    <row r="240" spans="2:27" x14ac:dyDescent="0.2">
      <c r="B240" s="82" t="s">
        <v>304</v>
      </c>
      <c r="C240" s="87" t="s">
        <v>621</v>
      </c>
      <c r="D240" s="87" t="s">
        <v>42</v>
      </c>
      <c r="E240" s="87" t="s">
        <v>63</v>
      </c>
      <c r="F240" s="87" t="s">
        <v>67</v>
      </c>
      <c r="G240" s="87" t="s">
        <v>44</v>
      </c>
      <c r="H240" s="88">
        <v>43724</v>
      </c>
      <c r="I240" s="87">
        <v>34</v>
      </c>
      <c r="J240" s="89">
        <v>4699</v>
      </c>
      <c r="AA240" s="76" t="str">
        <f t="shared" si="3"/>
        <v>employee 237</v>
      </c>
    </row>
    <row r="241" spans="2:27" x14ac:dyDescent="0.2">
      <c r="B241" s="82" t="s">
        <v>305</v>
      </c>
      <c r="C241" s="87" t="s">
        <v>622</v>
      </c>
      <c r="D241" s="87" t="s">
        <v>12</v>
      </c>
      <c r="E241" s="87" t="s">
        <v>57</v>
      </c>
      <c r="F241" s="87" t="s">
        <v>67</v>
      </c>
      <c r="G241" s="87" t="s">
        <v>43</v>
      </c>
      <c r="H241" s="88">
        <v>41054</v>
      </c>
      <c r="I241" s="87">
        <v>36</v>
      </c>
      <c r="J241" s="89">
        <v>8993</v>
      </c>
      <c r="AA241" s="76" t="str">
        <f t="shared" si="3"/>
        <v>employee 238</v>
      </c>
    </row>
    <row r="242" spans="2:27" x14ac:dyDescent="0.2">
      <c r="B242" s="82" t="s">
        <v>306</v>
      </c>
      <c r="C242" s="87" t="s">
        <v>623</v>
      </c>
      <c r="D242" s="87" t="s">
        <v>47</v>
      </c>
      <c r="E242" s="87" t="s">
        <v>57</v>
      </c>
      <c r="F242" s="87" t="s">
        <v>67</v>
      </c>
      <c r="G242" s="87" t="s">
        <v>43</v>
      </c>
      <c r="H242" s="88">
        <v>40682</v>
      </c>
      <c r="I242" s="87">
        <v>31</v>
      </c>
      <c r="J242" s="89">
        <v>9884</v>
      </c>
      <c r="AA242" s="76" t="str">
        <f t="shared" si="3"/>
        <v>employee 239</v>
      </c>
    </row>
    <row r="243" spans="2:27" x14ac:dyDescent="0.2">
      <c r="B243" s="82" t="s">
        <v>307</v>
      </c>
      <c r="C243" s="87" t="s">
        <v>624</v>
      </c>
      <c r="D243" s="87" t="s">
        <v>49</v>
      </c>
      <c r="E243" s="87" t="s">
        <v>57</v>
      </c>
      <c r="F243" s="87" t="s">
        <v>67</v>
      </c>
      <c r="G243" s="87" t="s">
        <v>43</v>
      </c>
      <c r="H243" s="88">
        <v>40982</v>
      </c>
      <c r="I243" s="87">
        <v>29</v>
      </c>
      <c r="J243" s="89">
        <v>7834</v>
      </c>
      <c r="AA243" s="76" t="str">
        <f t="shared" si="3"/>
        <v>employee 240</v>
      </c>
    </row>
    <row r="244" spans="2:27" x14ac:dyDescent="0.2">
      <c r="B244" s="82" t="s">
        <v>308</v>
      </c>
      <c r="C244" s="87" t="s">
        <v>625</v>
      </c>
      <c r="D244" s="87" t="s">
        <v>46</v>
      </c>
      <c r="E244" s="87" t="s">
        <v>57</v>
      </c>
      <c r="F244" s="87" t="s">
        <v>67</v>
      </c>
      <c r="G244" s="87" t="s">
        <v>43</v>
      </c>
      <c r="H244" s="88">
        <v>42470</v>
      </c>
      <c r="I244" s="87">
        <v>31</v>
      </c>
      <c r="J244" s="89">
        <v>4600</v>
      </c>
      <c r="AA244" s="76" t="str">
        <f t="shared" si="3"/>
        <v>employee 241</v>
      </c>
    </row>
    <row r="245" spans="2:27" x14ac:dyDescent="0.2">
      <c r="B245" s="82" t="s">
        <v>309</v>
      </c>
      <c r="C245" s="87" t="s">
        <v>626</v>
      </c>
      <c r="D245" s="87" t="s">
        <v>42</v>
      </c>
      <c r="E245" s="87" t="s">
        <v>57</v>
      </c>
      <c r="F245" s="87" t="s">
        <v>67</v>
      </c>
      <c r="G245" s="87" t="s">
        <v>43</v>
      </c>
      <c r="H245" s="88">
        <v>43532</v>
      </c>
      <c r="I245" s="87">
        <v>30</v>
      </c>
      <c r="J245" s="89">
        <v>7026</v>
      </c>
      <c r="AA245" s="76" t="str">
        <f t="shared" si="3"/>
        <v>employee 242</v>
      </c>
    </row>
    <row r="246" spans="2:27" x14ac:dyDescent="0.2">
      <c r="B246" s="82" t="s">
        <v>310</v>
      </c>
      <c r="C246" s="87" t="s">
        <v>627</v>
      </c>
      <c r="D246" s="87" t="s">
        <v>49</v>
      </c>
      <c r="E246" s="87" t="s">
        <v>58</v>
      </c>
      <c r="F246" s="87" t="s">
        <v>66</v>
      </c>
      <c r="G246" s="87" t="s">
        <v>44</v>
      </c>
      <c r="H246" s="88">
        <v>42160</v>
      </c>
      <c r="I246" s="87">
        <v>37</v>
      </c>
      <c r="J246" s="89">
        <v>8756</v>
      </c>
      <c r="AA246" s="76" t="str">
        <f t="shared" si="3"/>
        <v>employee 243</v>
      </c>
    </row>
    <row r="247" spans="2:27" x14ac:dyDescent="0.2">
      <c r="B247" s="82" t="s">
        <v>311</v>
      </c>
      <c r="C247" s="87" t="s">
        <v>628</v>
      </c>
      <c r="D247" s="87" t="s">
        <v>47</v>
      </c>
      <c r="E247" s="87" t="s">
        <v>59</v>
      </c>
      <c r="F247" s="87" t="s">
        <v>67</v>
      </c>
      <c r="G247" s="87" t="s">
        <v>44</v>
      </c>
      <c r="H247" s="88">
        <v>41480</v>
      </c>
      <c r="I247" s="87">
        <v>39</v>
      </c>
      <c r="J247" s="89">
        <v>4879</v>
      </c>
      <c r="AA247" s="76" t="str">
        <f t="shared" si="3"/>
        <v>employee 244</v>
      </c>
    </row>
    <row r="248" spans="2:27" x14ac:dyDescent="0.2">
      <c r="B248" s="82" t="s">
        <v>312</v>
      </c>
      <c r="C248" s="87" t="s">
        <v>629</v>
      </c>
      <c r="D248" s="87" t="s">
        <v>42</v>
      </c>
      <c r="E248" s="87" t="s">
        <v>55</v>
      </c>
      <c r="F248" s="87" t="s">
        <v>67</v>
      </c>
      <c r="G248" s="87" t="s">
        <v>44</v>
      </c>
      <c r="H248" s="88">
        <v>41756</v>
      </c>
      <c r="I248" s="87">
        <v>31</v>
      </c>
      <c r="J248" s="89">
        <v>6709</v>
      </c>
      <c r="AA248" s="76" t="str">
        <f t="shared" si="3"/>
        <v>employee 245</v>
      </c>
    </row>
    <row r="249" spans="2:27" x14ac:dyDescent="0.2">
      <c r="B249" s="82" t="s">
        <v>313</v>
      </c>
      <c r="C249" s="87" t="s">
        <v>630</v>
      </c>
      <c r="D249" s="87" t="s">
        <v>46</v>
      </c>
      <c r="E249" s="87" t="s">
        <v>57</v>
      </c>
      <c r="F249" s="87" t="s">
        <v>67</v>
      </c>
      <c r="G249" s="87" t="s">
        <v>43</v>
      </c>
      <c r="H249" s="88">
        <v>43074</v>
      </c>
      <c r="I249" s="87">
        <v>32</v>
      </c>
      <c r="J249" s="89">
        <v>5833</v>
      </c>
      <c r="AA249" s="76" t="str">
        <f t="shared" si="3"/>
        <v>employee 246</v>
      </c>
    </row>
    <row r="250" spans="2:27" x14ac:dyDescent="0.2">
      <c r="B250" s="82" t="s">
        <v>314</v>
      </c>
      <c r="C250" s="87" t="s">
        <v>631</v>
      </c>
      <c r="D250" s="87" t="s">
        <v>42</v>
      </c>
      <c r="E250" s="87" t="s">
        <v>58</v>
      </c>
      <c r="F250" s="87" t="s">
        <v>66</v>
      </c>
      <c r="G250" s="87" t="s">
        <v>44</v>
      </c>
      <c r="H250" s="88">
        <v>43773</v>
      </c>
      <c r="I250" s="87">
        <v>42</v>
      </c>
      <c r="J250" s="89">
        <v>7414</v>
      </c>
      <c r="AA250" s="76" t="str">
        <f t="shared" si="3"/>
        <v>employee 247</v>
      </c>
    </row>
    <row r="251" spans="2:27" x14ac:dyDescent="0.2">
      <c r="B251" s="82" t="s">
        <v>315</v>
      </c>
      <c r="C251" s="87" t="s">
        <v>632</v>
      </c>
      <c r="D251" s="87" t="s">
        <v>50</v>
      </c>
      <c r="E251" s="87" t="s">
        <v>57</v>
      </c>
      <c r="F251" s="87" t="s">
        <v>66</v>
      </c>
      <c r="G251" s="87" t="s">
        <v>43</v>
      </c>
      <c r="H251" s="88">
        <v>41581</v>
      </c>
      <c r="I251" s="87">
        <v>35</v>
      </c>
      <c r="J251" s="89">
        <v>6432</v>
      </c>
      <c r="AA251" s="76" t="str">
        <f t="shared" si="3"/>
        <v>employee 248</v>
      </c>
    </row>
    <row r="252" spans="2:27" x14ac:dyDescent="0.2">
      <c r="B252" s="82" t="s">
        <v>316</v>
      </c>
      <c r="C252" s="87" t="s">
        <v>633</v>
      </c>
      <c r="D252" s="87" t="s">
        <v>45</v>
      </c>
      <c r="E252" s="87" t="s">
        <v>58</v>
      </c>
      <c r="F252" s="87" t="s">
        <v>67</v>
      </c>
      <c r="G252" s="87" t="s">
        <v>44</v>
      </c>
      <c r="H252" s="88">
        <v>40745</v>
      </c>
      <c r="I252" s="87">
        <v>44</v>
      </c>
      <c r="J252" s="89">
        <v>6433</v>
      </c>
      <c r="AA252" s="76" t="str">
        <f t="shared" si="3"/>
        <v>employee 249</v>
      </c>
    </row>
    <row r="253" spans="2:27" x14ac:dyDescent="0.2">
      <c r="B253" s="82" t="s">
        <v>317</v>
      </c>
      <c r="C253" s="87" t="s">
        <v>634</v>
      </c>
      <c r="D253" s="87" t="s">
        <v>42</v>
      </c>
      <c r="E253" s="87" t="s">
        <v>59</v>
      </c>
      <c r="F253" s="87" t="s">
        <v>66</v>
      </c>
      <c r="G253" s="87" t="s">
        <v>44</v>
      </c>
      <c r="H253" s="88">
        <v>40197</v>
      </c>
      <c r="I253" s="87">
        <v>43</v>
      </c>
      <c r="J253" s="89">
        <v>7531</v>
      </c>
      <c r="AA253" s="76" t="str">
        <f t="shared" si="3"/>
        <v>employee 250</v>
      </c>
    </row>
    <row r="254" spans="2:27" x14ac:dyDescent="0.2">
      <c r="B254" s="82" t="s">
        <v>318</v>
      </c>
      <c r="C254" s="87" t="s">
        <v>635</v>
      </c>
      <c r="D254" s="87" t="s">
        <v>48</v>
      </c>
      <c r="E254" s="87" t="s">
        <v>58</v>
      </c>
      <c r="F254" s="87" t="s">
        <v>67</v>
      </c>
      <c r="G254" s="87" t="s">
        <v>44</v>
      </c>
      <c r="H254" s="88">
        <v>42001</v>
      </c>
      <c r="I254" s="87">
        <v>33</v>
      </c>
      <c r="J254" s="89">
        <v>6824</v>
      </c>
      <c r="AA254" s="76" t="str">
        <f t="shared" si="3"/>
        <v>employee 251</v>
      </c>
    </row>
    <row r="255" spans="2:27" x14ac:dyDescent="0.2">
      <c r="B255" s="82" t="s">
        <v>319</v>
      </c>
      <c r="C255" s="87" t="s">
        <v>636</v>
      </c>
      <c r="D255" s="87" t="s">
        <v>47</v>
      </c>
      <c r="E255" s="87" t="s">
        <v>63</v>
      </c>
      <c r="F255" s="87" t="s">
        <v>67</v>
      </c>
      <c r="G255" s="87" t="s">
        <v>44</v>
      </c>
      <c r="H255" s="88">
        <v>43641</v>
      </c>
      <c r="I255" s="87">
        <v>42</v>
      </c>
      <c r="J255" s="89">
        <v>5994</v>
      </c>
      <c r="AA255" s="76" t="str">
        <f t="shared" si="3"/>
        <v>employee 252</v>
      </c>
    </row>
    <row r="256" spans="2:27" x14ac:dyDescent="0.2">
      <c r="B256" s="82" t="s">
        <v>320</v>
      </c>
      <c r="C256" s="87" t="s">
        <v>637</v>
      </c>
      <c r="D256" s="87" t="s">
        <v>48</v>
      </c>
      <c r="E256" s="87" t="s">
        <v>63</v>
      </c>
      <c r="F256" s="87" t="s">
        <v>66</v>
      </c>
      <c r="G256" s="87" t="s">
        <v>44</v>
      </c>
      <c r="H256" s="88">
        <v>42395</v>
      </c>
      <c r="I256" s="87">
        <v>31</v>
      </c>
      <c r="J256" s="89">
        <v>7742</v>
      </c>
      <c r="AA256" s="76" t="str">
        <f t="shared" si="3"/>
        <v>employee 253</v>
      </c>
    </row>
    <row r="257" spans="2:27" x14ac:dyDescent="0.2">
      <c r="B257" s="82" t="s">
        <v>321</v>
      </c>
      <c r="C257" s="87" t="s">
        <v>638</v>
      </c>
      <c r="D257" s="87" t="s">
        <v>46</v>
      </c>
      <c r="E257" s="87" t="s">
        <v>56</v>
      </c>
      <c r="F257" s="87" t="s">
        <v>67</v>
      </c>
      <c r="G257" s="87" t="s">
        <v>43</v>
      </c>
      <c r="H257" s="88">
        <v>43084</v>
      </c>
      <c r="I257" s="87">
        <v>32</v>
      </c>
      <c r="J257" s="89">
        <v>5539</v>
      </c>
      <c r="AA257" s="76" t="str">
        <f t="shared" si="3"/>
        <v>employee 254</v>
      </c>
    </row>
    <row r="258" spans="2:27" x14ac:dyDescent="0.2">
      <c r="B258" s="82" t="s">
        <v>322</v>
      </c>
      <c r="C258" s="87" t="s">
        <v>639</v>
      </c>
      <c r="D258" s="87" t="s">
        <v>42</v>
      </c>
      <c r="E258" s="87" t="s">
        <v>56</v>
      </c>
      <c r="F258" s="87" t="s">
        <v>66</v>
      </c>
      <c r="G258" s="87" t="s">
        <v>44</v>
      </c>
      <c r="H258" s="88">
        <v>42869</v>
      </c>
      <c r="I258" s="87">
        <v>31</v>
      </c>
      <c r="J258" s="89">
        <v>4784</v>
      </c>
      <c r="AA258" s="76" t="str">
        <f t="shared" si="3"/>
        <v>employee 255</v>
      </c>
    </row>
    <row r="259" spans="2:27" x14ac:dyDescent="0.2">
      <c r="B259" s="82" t="s">
        <v>323</v>
      </c>
      <c r="C259" s="87" t="s">
        <v>640</v>
      </c>
      <c r="D259" s="87" t="s">
        <v>47</v>
      </c>
      <c r="E259" s="87" t="s">
        <v>56</v>
      </c>
      <c r="F259" s="87" t="s">
        <v>67</v>
      </c>
      <c r="G259" s="87" t="s">
        <v>43</v>
      </c>
      <c r="H259" s="88">
        <v>41797</v>
      </c>
      <c r="I259" s="87">
        <v>41</v>
      </c>
      <c r="J259" s="89">
        <v>4911</v>
      </c>
      <c r="AA259" s="76" t="str">
        <f t="shared" si="3"/>
        <v>employee 256</v>
      </c>
    </row>
    <row r="260" spans="2:27" x14ac:dyDescent="0.2">
      <c r="B260" s="82" t="s">
        <v>324</v>
      </c>
      <c r="C260" s="87" t="s">
        <v>641</v>
      </c>
      <c r="D260" s="87" t="s">
        <v>45</v>
      </c>
      <c r="E260" s="87" t="s">
        <v>58</v>
      </c>
      <c r="F260" s="87" t="s">
        <v>67</v>
      </c>
      <c r="G260" s="87" t="s">
        <v>44</v>
      </c>
      <c r="H260" s="88">
        <v>42569</v>
      </c>
      <c r="I260" s="87">
        <v>33</v>
      </c>
      <c r="J260" s="89">
        <v>9232</v>
      </c>
      <c r="AA260" s="76" t="str">
        <f t="shared" si="3"/>
        <v>employee 257</v>
      </c>
    </row>
    <row r="261" spans="2:27" x14ac:dyDescent="0.2">
      <c r="B261" s="82" t="s">
        <v>325</v>
      </c>
      <c r="C261" s="87" t="s">
        <v>642</v>
      </c>
      <c r="D261" s="87" t="s">
        <v>47</v>
      </c>
      <c r="E261" s="87" t="s">
        <v>59</v>
      </c>
      <c r="F261" s="87" t="s">
        <v>67</v>
      </c>
      <c r="G261" s="87" t="s">
        <v>43</v>
      </c>
      <c r="H261" s="88">
        <v>41058</v>
      </c>
      <c r="I261" s="87">
        <v>37</v>
      </c>
      <c r="J261" s="89">
        <v>7200</v>
      </c>
      <c r="AA261" s="76" t="str">
        <f t="shared" ref="AA261:AA293" si="4">IF(C261="","",B261)</f>
        <v>employee 258</v>
      </c>
    </row>
    <row r="262" spans="2:27" x14ac:dyDescent="0.2">
      <c r="B262" s="82" t="s">
        <v>326</v>
      </c>
      <c r="C262" s="87" t="s">
        <v>643</v>
      </c>
      <c r="D262" s="87" t="s">
        <v>47</v>
      </c>
      <c r="E262" s="87" t="s">
        <v>57</v>
      </c>
      <c r="F262" s="87" t="s">
        <v>66</v>
      </c>
      <c r="G262" s="87" t="s">
        <v>44</v>
      </c>
      <c r="H262" s="88">
        <v>41124</v>
      </c>
      <c r="I262" s="87">
        <v>36</v>
      </c>
      <c r="J262" s="89">
        <v>7422</v>
      </c>
      <c r="AA262" s="76" t="str">
        <f t="shared" si="4"/>
        <v>employee 259</v>
      </c>
    </row>
    <row r="263" spans="2:27" x14ac:dyDescent="0.2">
      <c r="B263" s="82" t="s">
        <v>327</v>
      </c>
      <c r="C263" s="87" t="s">
        <v>644</v>
      </c>
      <c r="D263" s="87" t="s">
        <v>49</v>
      </c>
      <c r="E263" s="87" t="s">
        <v>58</v>
      </c>
      <c r="F263" s="87" t="s">
        <v>67</v>
      </c>
      <c r="G263" s="87" t="s">
        <v>44</v>
      </c>
      <c r="H263" s="88">
        <v>40463</v>
      </c>
      <c r="I263" s="87">
        <v>39</v>
      </c>
      <c r="J263" s="89">
        <v>8237</v>
      </c>
      <c r="AA263" s="76" t="str">
        <f t="shared" si="4"/>
        <v>employee 260</v>
      </c>
    </row>
    <row r="264" spans="2:27" x14ac:dyDescent="0.2">
      <c r="B264" s="82" t="s">
        <v>328</v>
      </c>
      <c r="C264" s="87" t="s">
        <v>645</v>
      </c>
      <c r="D264" s="87" t="s">
        <v>12</v>
      </c>
      <c r="E264" s="87" t="s">
        <v>63</v>
      </c>
      <c r="F264" s="87" t="s">
        <v>66</v>
      </c>
      <c r="G264" s="87" t="s">
        <v>44</v>
      </c>
      <c r="H264" s="88">
        <v>40536</v>
      </c>
      <c r="I264" s="87">
        <v>41</v>
      </c>
      <c r="J264" s="89">
        <v>5790</v>
      </c>
      <c r="AA264" s="76" t="str">
        <f t="shared" si="4"/>
        <v>employee 261</v>
      </c>
    </row>
    <row r="265" spans="2:27" x14ac:dyDescent="0.2">
      <c r="B265" s="82" t="s">
        <v>329</v>
      </c>
      <c r="C265" s="87" t="s">
        <v>646</v>
      </c>
      <c r="D265" s="87" t="s">
        <v>50</v>
      </c>
      <c r="E265" s="87" t="s">
        <v>56</v>
      </c>
      <c r="F265" s="87" t="s">
        <v>66</v>
      </c>
      <c r="G265" s="87" t="s">
        <v>44</v>
      </c>
      <c r="H265" s="88">
        <v>40241</v>
      </c>
      <c r="I265" s="87">
        <v>43</v>
      </c>
      <c r="J265" s="89">
        <v>6571</v>
      </c>
      <c r="AA265" s="76" t="str">
        <f t="shared" si="4"/>
        <v>employee 262</v>
      </c>
    </row>
    <row r="266" spans="2:27" x14ac:dyDescent="0.2">
      <c r="B266" s="82" t="s">
        <v>330</v>
      </c>
      <c r="C266" s="87" t="s">
        <v>647</v>
      </c>
      <c r="D266" s="87" t="s">
        <v>50</v>
      </c>
      <c r="E266" s="87" t="s">
        <v>59</v>
      </c>
      <c r="F266" s="87" t="s">
        <v>67</v>
      </c>
      <c r="G266" s="87" t="s">
        <v>44</v>
      </c>
      <c r="H266" s="88">
        <v>41061</v>
      </c>
      <c r="I266" s="87">
        <v>38</v>
      </c>
      <c r="J266" s="89">
        <v>9397</v>
      </c>
      <c r="AA266" s="76" t="str">
        <f t="shared" si="4"/>
        <v>employee 263</v>
      </c>
    </row>
    <row r="267" spans="2:27" x14ac:dyDescent="0.2">
      <c r="B267" s="82" t="s">
        <v>331</v>
      </c>
      <c r="C267" s="87" t="s">
        <v>648</v>
      </c>
      <c r="D267" s="87" t="s">
        <v>42</v>
      </c>
      <c r="E267" s="87" t="s">
        <v>57</v>
      </c>
      <c r="F267" s="87" t="s">
        <v>66</v>
      </c>
      <c r="G267" s="87" t="s">
        <v>44</v>
      </c>
      <c r="H267" s="88">
        <v>43074</v>
      </c>
      <c r="I267" s="87">
        <v>40</v>
      </c>
      <c r="J267" s="89">
        <v>9087</v>
      </c>
      <c r="AA267" s="76" t="str">
        <f t="shared" si="4"/>
        <v>employee 264</v>
      </c>
    </row>
    <row r="268" spans="2:27" x14ac:dyDescent="0.2">
      <c r="B268" s="82" t="s">
        <v>332</v>
      </c>
      <c r="C268" s="87" t="s">
        <v>649</v>
      </c>
      <c r="D268" s="87" t="s">
        <v>46</v>
      </c>
      <c r="E268" s="87" t="s">
        <v>63</v>
      </c>
      <c r="F268" s="87" t="s">
        <v>67</v>
      </c>
      <c r="G268" s="87" t="s">
        <v>43</v>
      </c>
      <c r="H268" s="88">
        <v>42449</v>
      </c>
      <c r="I268" s="87">
        <v>38</v>
      </c>
      <c r="J268" s="89">
        <v>6500</v>
      </c>
      <c r="AA268" s="76" t="str">
        <f t="shared" si="4"/>
        <v>employee 265</v>
      </c>
    </row>
    <row r="269" spans="2:27" x14ac:dyDescent="0.2">
      <c r="B269" s="82" t="s">
        <v>333</v>
      </c>
      <c r="C269" s="87" t="s">
        <v>650</v>
      </c>
      <c r="D269" s="87" t="s">
        <v>42</v>
      </c>
      <c r="E269" s="87" t="s">
        <v>59</v>
      </c>
      <c r="F269" s="87" t="s">
        <v>67</v>
      </c>
      <c r="G269" s="87" t="s">
        <v>43</v>
      </c>
      <c r="H269" s="88">
        <v>41781</v>
      </c>
      <c r="I269" s="87">
        <v>34</v>
      </c>
      <c r="J269" s="89">
        <v>7425</v>
      </c>
      <c r="AA269" s="76" t="str">
        <f t="shared" si="4"/>
        <v>employee 266</v>
      </c>
    </row>
    <row r="270" spans="2:27" x14ac:dyDescent="0.2">
      <c r="B270" s="82" t="s">
        <v>334</v>
      </c>
      <c r="C270" s="87" t="s">
        <v>651</v>
      </c>
      <c r="D270" s="87" t="s">
        <v>45</v>
      </c>
      <c r="E270" s="87" t="s">
        <v>59</v>
      </c>
      <c r="F270" s="87" t="s">
        <v>67</v>
      </c>
      <c r="G270" s="87" t="s">
        <v>43</v>
      </c>
      <c r="H270" s="88">
        <v>43070</v>
      </c>
      <c r="I270" s="87">
        <v>32</v>
      </c>
      <c r="J270" s="89">
        <v>4899</v>
      </c>
      <c r="AA270" s="76" t="str">
        <f t="shared" si="4"/>
        <v>employee 267</v>
      </c>
    </row>
    <row r="271" spans="2:27" x14ac:dyDescent="0.2">
      <c r="B271" s="82" t="s">
        <v>335</v>
      </c>
      <c r="C271" s="87" t="s">
        <v>652</v>
      </c>
      <c r="D271" s="87" t="s">
        <v>50</v>
      </c>
      <c r="E271" s="87" t="s">
        <v>56</v>
      </c>
      <c r="F271" s="87" t="s">
        <v>66</v>
      </c>
      <c r="G271" s="87" t="s">
        <v>44</v>
      </c>
      <c r="H271" s="88">
        <v>42902</v>
      </c>
      <c r="I271" s="87">
        <v>36</v>
      </c>
      <c r="J271" s="89">
        <v>5589</v>
      </c>
      <c r="AA271" s="76" t="str">
        <f t="shared" si="4"/>
        <v>employee 268</v>
      </c>
    </row>
    <row r="272" spans="2:27" x14ac:dyDescent="0.2">
      <c r="B272" s="82" t="s">
        <v>336</v>
      </c>
      <c r="C272" s="87" t="s">
        <v>653</v>
      </c>
      <c r="D272" s="87" t="s">
        <v>48</v>
      </c>
      <c r="E272" s="87" t="s">
        <v>56</v>
      </c>
      <c r="F272" s="87" t="s">
        <v>66</v>
      </c>
      <c r="G272" s="87" t="s">
        <v>44</v>
      </c>
      <c r="H272" s="88">
        <v>41390</v>
      </c>
      <c r="I272" s="87">
        <v>36</v>
      </c>
      <c r="J272" s="89">
        <v>8276</v>
      </c>
      <c r="AA272" s="76" t="str">
        <f t="shared" si="4"/>
        <v>employee 269</v>
      </c>
    </row>
    <row r="273" spans="2:27" x14ac:dyDescent="0.2">
      <c r="B273" s="82" t="s">
        <v>337</v>
      </c>
      <c r="C273" s="87" t="s">
        <v>654</v>
      </c>
      <c r="D273" s="87" t="s">
        <v>42</v>
      </c>
      <c r="E273" s="87" t="s">
        <v>56</v>
      </c>
      <c r="F273" s="87" t="s">
        <v>67</v>
      </c>
      <c r="G273" s="87" t="s">
        <v>44</v>
      </c>
      <c r="H273" s="88">
        <v>42631</v>
      </c>
      <c r="I273" s="87">
        <v>41</v>
      </c>
      <c r="J273" s="89">
        <v>9575</v>
      </c>
      <c r="AA273" s="76" t="str">
        <f t="shared" si="4"/>
        <v>employee 270</v>
      </c>
    </row>
    <row r="274" spans="2:27" x14ac:dyDescent="0.2">
      <c r="B274" s="82" t="s">
        <v>338</v>
      </c>
      <c r="C274" s="87" t="s">
        <v>655</v>
      </c>
      <c r="D274" s="87" t="s">
        <v>48</v>
      </c>
      <c r="E274" s="87" t="s">
        <v>59</v>
      </c>
      <c r="F274" s="87" t="s">
        <v>67</v>
      </c>
      <c r="G274" s="87" t="s">
        <v>44</v>
      </c>
      <c r="H274" s="88">
        <v>41310</v>
      </c>
      <c r="I274" s="87">
        <v>31</v>
      </c>
      <c r="J274" s="89">
        <v>5398</v>
      </c>
      <c r="AA274" s="76" t="str">
        <f t="shared" si="4"/>
        <v>employee 271</v>
      </c>
    </row>
    <row r="275" spans="2:27" x14ac:dyDescent="0.2">
      <c r="B275" s="82" t="s">
        <v>339</v>
      </c>
      <c r="C275" s="87" t="s">
        <v>656</v>
      </c>
      <c r="D275" s="87" t="s">
        <v>47</v>
      </c>
      <c r="E275" s="87" t="s">
        <v>57</v>
      </c>
      <c r="F275" s="87" t="s">
        <v>67</v>
      </c>
      <c r="G275" s="87" t="s">
        <v>44</v>
      </c>
      <c r="H275" s="88">
        <v>40534</v>
      </c>
      <c r="I275" s="87">
        <v>39</v>
      </c>
      <c r="J275" s="89">
        <v>5392</v>
      </c>
      <c r="AA275" s="76" t="str">
        <f t="shared" si="4"/>
        <v>employee 272</v>
      </c>
    </row>
    <row r="276" spans="2:27" x14ac:dyDescent="0.2">
      <c r="B276" s="82" t="s">
        <v>340</v>
      </c>
      <c r="C276" s="87" t="s">
        <v>657</v>
      </c>
      <c r="D276" s="87" t="s">
        <v>48</v>
      </c>
      <c r="E276" s="87" t="s">
        <v>55</v>
      </c>
      <c r="F276" s="87" t="s">
        <v>66</v>
      </c>
      <c r="G276" s="87" t="s">
        <v>43</v>
      </c>
      <c r="H276" s="88">
        <v>43073</v>
      </c>
      <c r="I276" s="87">
        <v>34</v>
      </c>
      <c r="J276" s="89">
        <v>7462</v>
      </c>
      <c r="AA276" s="76" t="str">
        <f t="shared" si="4"/>
        <v>employee 273</v>
      </c>
    </row>
    <row r="277" spans="2:27" x14ac:dyDescent="0.2">
      <c r="B277" s="82" t="s">
        <v>341</v>
      </c>
      <c r="C277" s="87" t="s">
        <v>658</v>
      </c>
      <c r="D277" s="87" t="s">
        <v>49</v>
      </c>
      <c r="E277" s="87" t="s">
        <v>59</v>
      </c>
      <c r="F277" s="87" t="s">
        <v>66</v>
      </c>
      <c r="G277" s="87" t="s">
        <v>43</v>
      </c>
      <c r="H277" s="88">
        <v>40288</v>
      </c>
      <c r="I277" s="87">
        <v>34</v>
      </c>
      <c r="J277" s="89">
        <v>7566</v>
      </c>
      <c r="AA277" s="76" t="str">
        <f t="shared" si="4"/>
        <v>employee 274</v>
      </c>
    </row>
    <row r="278" spans="2:27" x14ac:dyDescent="0.2">
      <c r="B278" s="82" t="s">
        <v>342</v>
      </c>
      <c r="C278" s="87" t="s">
        <v>659</v>
      </c>
      <c r="D278" s="87" t="s">
        <v>45</v>
      </c>
      <c r="E278" s="87" t="s">
        <v>57</v>
      </c>
      <c r="F278" s="87" t="s">
        <v>66</v>
      </c>
      <c r="G278" s="87" t="s">
        <v>43</v>
      </c>
      <c r="H278" s="88">
        <v>41934</v>
      </c>
      <c r="I278" s="87">
        <v>44</v>
      </c>
      <c r="J278" s="89">
        <v>4970</v>
      </c>
      <c r="AA278" s="76" t="str">
        <f t="shared" si="4"/>
        <v>employee 275</v>
      </c>
    </row>
    <row r="279" spans="2:27" x14ac:dyDescent="0.2">
      <c r="B279" s="82" t="s">
        <v>343</v>
      </c>
      <c r="C279" s="87" t="s">
        <v>660</v>
      </c>
      <c r="D279" s="87" t="s">
        <v>12</v>
      </c>
      <c r="E279" s="87" t="s">
        <v>57</v>
      </c>
      <c r="F279" s="87" t="s">
        <v>67</v>
      </c>
      <c r="G279" s="87" t="s">
        <v>44</v>
      </c>
      <c r="H279" s="88">
        <v>40891</v>
      </c>
      <c r="I279" s="87">
        <v>29</v>
      </c>
      <c r="J279" s="89">
        <v>9018</v>
      </c>
      <c r="AA279" s="76" t="str">
        <f t="shared" si="4"/>
        <v>employee 276</v>
      </c>
    </row>
    <row r="280" spans="2:27" x14ac:dyDescent="0.2">
      <c r="B280" s="82" t="s">
        <v>344</v>
      </c>
      <c r="C280" s="87" t="s">
        <v>661</v>
      </c>
      <c r="D280" s="87" t="s">
        <v>48</v>
      </c>
      <c r="E280" s="87" t="s">
        <v>63</v>
      </c>
      <c r="F280" s="87" t="s">
        <v>67</v>
      </c>
      <c r="G280" s="87" t="s">
        <v>44</v>
      </c>
      <c r="H280" s="88">
        <v>42246</v>
      </c>
      <c r="I280" s="87">
        <v>31</v>
      </c>
      <c r="J280" s="89">
        <v>8921</v>
      </c>
      <c r="AA280" s="76" t="str">
        <f t="shared" si="4"/>
        <v>employee 277</v>
      </c>
    </row>
    <row r="281" spans="2:27" x14ac:dyDescent="0.2">
      <c r="B281" s="82" t="s">
        <v>345</v>
      </c>
      <c r="C281" s="87" t="s">
        <v>662</v>
      </c>
      <c r="D281" s="87" t="s">
        <v>49</v>
      </c>
      <c r="E281" s="87" t="s">
        <v>56</v>
      </c>
      <c r="F281" s="87" t="s">
        <v>67</v>
      </c>
      <c r="G281" s="87" t="s">
        <v>43</v>
      </c>
      <c r="H281" s="88">
        <v>43689</v>
      </c>
      <c r="I281" s="87">
        <v>42</v>
      </c>
      <c r="J281" s="89">
        <v>5507</v>
      </c>
      <c r="AA281" s="76" t="str">
        <f t="shared" si="4"/>
        <v>employee 278</v>
      </c>
    </row>
    <row r="282" spans="2:27" x14ac:dyDescent="0.2">
      <c r="B282" s="82" t="s">
        <v>346</v>
      </c>
      <c r="C282" s="87" t="s">
        <v>663</v>
      </c>
      <c r="D282" s="87" t="s">
        <v>46</v>
      </c>
      <c r="E282" s="87" t="s">
        <v>55</v>
      </c>
      <c r="F282" s="87" t="s">
        <v>67</v>
      </c>
      <c r="G282" s="87" t="s">
        <v>44</v>
      </c>
      <c r="H282" s="88">
        <v>41603</v>
      </c>
      <c r="I282" s="87">
        <v>36</v>
      </c>
      <c r="J282" s="89">
        <v>8765</v>
      </c>
      <c r="AA282" s="76" t="str">
        <f t="shared" si="4"/>
        <v>employee 279</v>
      </c>
    </row>
    <row r="283" spans="2:27" x14ac:dyDescent="0.2">
      <c r="B283" s="82" t="s">
        <v>347</v>
      </c>
      <c r="C283" s="87" t="s">
        <v>664</v>
      </c>
      <c r="D283" s="87" t="s">
        <v>50</v>
      </c>
      <c r="E283" s="87" t="s">
        <v>56</v>
      </c>
      <c r="F283" s="87" t="s">
        <v>66</v>
      </c>
      <c r="G283" s="87" t="s">
        <v>44</v>
      </c>
      <c r="H283" s="88">
        <v>40555</v>
      </c>
      <c r="I283" s="87">
        <v>42</v>
      </c>
      <c r="J283" s="89">
        <v>7500</v>
      </c>
      <c r="AA283" s="76" t="str">
        <f t="shared" si="4"/>
        <v>employee 280</v>
      </c>
    </row>
    <row r="284" spans="2:27" x14ac:dyDescent="0.2">
      <c r="B284" s="82" t="s">
        <v>348</v>
      </c>
      <c r="C284" s="87" t="s">
        <v>665</v>
      </c>
      <c r="D284" s="87" t="s">
        <v>12</v>
      </c>
      <c r="E284" s="87" t="s">
        <v>58</v>
      </c>
      <c r="F284" s="87" t="s">
        <v>66</v>
      </c>
      <c r="G284" s="87" t="s">
        <v>43</v>
      </c>
      <c r="H284" s="88">
        <v>43714</v>
      </c>
      <c r="I284" s="87">
        <v>35</v>
      </c>
      <c r="J284" s="89">
        <v>6368</v>
      </c>
      <c r="AA284" s="76" t="str">
        <f t="shared" si="4"/>
        <v>employee 281</v>
      </c>
    </row>
    <row r="285" spans="2:27" x14ac:dyDescent="0.2">
      <c r="B285" s="82" t="s">
        <v>349</v>
      </c>
      <c r="C285" s="87" t="s">
        <v>666</v>
      </c>
      <c r="D285" s="87" t="s">
        <v>46</v>
      </c>
      <c r="E285" s="87" t="s">
        <v>56</v>
      </c>
      <c r="F285" s="87" t="s">
        <v>66</v>
      </c>
      <c r="G285" s="87" t="s">
        <v>43</v>
      </c>
      <c r="H285" s="88">
        <v>42307</v>
      </c>
      <c r="I285" s="87">
        <v>37</v>
      </c>
      <c r="J285" s="89">
        <v>9527</v>
      </c>
      <c r="AA285" s="76" t="str">
        <f t="shared" si="4"/>
        <v>employee 282</v>
      </c>
    </row>
    <row r="286" spans="2:27" x14ac:dyDescent="0.2">
      <c r="B286" s="82" t="s">
        <v>350</v>
      </c>
      <c r="C286" s="87" t="s">
        <v>667</v>
      </c>
      <c r="D286" s="87" t="s">
        <v>47</v>
      </c>
      <c r="E286" s="87" t="s">
        <v>59</v>
      </c>
      <c r="F286" s="87" t="s">
        <v>66</v>
      </c>
      <c r="G286" s="87" t="s">
        <v>44</v>
      </c>
      <c r="H286" s="88">
        <v>42691</v>
      </c>
      <c r="I286" s="87">
        <v>37</v>
      </c>
      <c r="J286" s="89">
        <v>4899</v>
      </c>
      <c r="AA286" s="76" t="str">
        <f t="shared" si="4"/>
        <v>employee 283</v>
      </c>
    </row>
    <row r="287" spans="2:27" x14ac:dyDescent="0.2">
      <c r="B287" s="82" t="s">
        <v>351</v>
      </c>
      <c r="C287" s="87" t="s">
        <v>668</v>
      </c>
      <c r="D287" s="87" t="s">
        <v>48</v>
      </c>
      <c r="E287" s="87" t="s">
        <v>55</v>
      </c>
      <c r="F287" s="87" t="s">
        <v>67</v>
      </c>
      <c r="G287" s="87" t="s">
        <v>43</v>
      </c>
      <c r="H287" s="88">
        <v>42050</v>
      </c>
      <c r="I287" s="87">
        <v>37</v>
      </c>
      <c r="J287" s="89">
        <v>6842</v>
      </c>
      <c r="AA287" s="76" t="str">
        <f t="shared" si="4"/>
        <v>employee 284</v>
      </c>
    </row>
    <row r="288" spans="2:27" x14ac:dyDescent="0.2">
      <c r="B288" s="82" t="s">
        <v>352</v>
      </c>
      <c r="C288" s="87" t="s">
        <v>669</v>
      </c>
      <c r="D288" s="87" t="s">
        <v>48</v>
      </c>
      <c r="E288" s="87" t="s">
        <v>58</v>
      </c>
      <c r="F288" s="87" t="s">
        <v>67</v>
      </c>
      <c r="G288" s="87" t="s">
        <v>43</v>
      </c>
      <c r="H288" s="88">
        <v>42646</v>
      </c>
      <c r="I288" s="87">
        <v>41</v>
      </c>
      <c r="J288" s="89">
        <v>5860</v>
      </c>
      <c r="AA288" s="76" t="str">
        <f t="shared" si="4"/>
        <v>employee 285</v>
      </c>
    </row>
    <row r="289" spans="2:27" x14ac:dyDescent="0.2">
      <c r="B289" s="82" t="s">
        <v>353</v>
      </c>
      <c r="C289" s="87" t="s">
        <v>670</v>
      </c>
      <c r="D289" s="87" t="s">
        <v>48</v>
      </c>
      <c r="E289" s="87" t="s">
        <v>56</v>
      </c>
      <c r="F289" s="87" t="s">
        <v>66</v>
      </c>
      <c r="G289" s="87" t="s">
        <v>44</v>
      </c>
      <c r="H289" s="88">
        <v>42159</v>
      </c>
      <c r="I289" s="87">
        <v>36</v>
      </c>
      <c r="J289" s="89">
        <v>9936</v>
      </c>
      <c r="AA289" s="76" t="str">
        <f t="shared" si="4"/>
        <v>employee 286</v>
      </c>
    </row>
    <row r="290" spans="2:27" x14ac:dyDescent="0.2">
      <c r="B290" s="82" t="s">
        <v>354</v>
      </c>
      <c r="C290" s="87" t="s">
        <v>671</v>
      </c>
      <c r="D290" s="87" t="s">
        <v>49</v>
      </c>
      <c r="E290" s="87" t="s">
        <v>59</v>
      </c>
      <c r="F290" s="87" t="s">
        <v>66</v>
      </c>
      <c r="G290" s="87" t="s">
        <v>44</v>
      </c>
      <c r="H290" s="88">
        <v>40339</v>
      </c>
      <c r="I290" s="87">
        <v>34</v>
      </c>
      <c r="J290" s="89">
        <v>5254</v>
      </c>
      <c r="AA290" s="76" t="str">
        <f t="shared" si="4"/>
        <v>employee 287</v>
      </c>
    </row>
    <row r="291" spans="2:27" x14ac:dyDescent="0.2">
      <c r="B291" s="82" t="s">
        <v>355</v>
      </c>
      <c r="C291" s="87" t="s">
        <v>672</v>
      </c>
      <c r="D291" s="87" t="s">
        <v>49</v>
      </c>
      <c r="E291" s="87" t="s">
        <v>59</v>
      </c>
      <c r="F291" s="87" t="s">
        <v>66</v>
      </c>
      <c r="G291" s="87" t="s">
        <v>44</v>
      </c>
      <c r="H291" s="88">
        <v>41360</v>
      </c>
      <c r="I291" s="87">
        <v>29</v>
      </c>
      <c r="J291" s="89">
        <v>7169</v>
      </c>
      <c r="AA291" s="76" t="str">
        <f t="shared" si="4"/>
        <v>employee 288</v>
      </c>
    </row>
    <row r="292" spans="2:27" x14ac:dyDescent="0.2">
      <c r="B292" s="82" t="s">
        <v>356</v>
      </c>
      <c r="C292" s="87" t="s">
        <v>673</v>
      </c>
      <c r="D292" s="87" t="s">
        <v>12</v>
      </c>
      <c r="E292" s="87" t="s">
        <v>63</v>
      </c>
      <c r="F292" s="87" t="s">
        <v>67</v>
      </c>
      <c r="G292" s="87" t="s">
        <v>43</v>
      </c>
      <c r="H292" s="88">
        <v>42188</v>
      </c>
      <c r="I292" s="87">
        <v>37</v>
      </c>
      <c r="J292" s="89">
        <v>7179</v>
      </c>
      <c r="AA292" s="76" t="str">
        <f t="shared" si="4"/>
        <v>employee 289</v>
      </c>
    </row>
    <row r="293" spans="2:27" x14ac:dyDescent="0.2">
      <c r="AA293" s="76" t="str">
        <f t="shared" si="4"/>
        <v/>
      </c>
    </row>
  </sheetData>
  <phoneticPr fontId="7" type="noConversion"/>
  <dataValidations count="4">
    <dataValidation type="list" allowBlank="1" showInputMessage="1" showErrorMessage="1" sqref="F4:F1048576" xr:uid="{16B5629C-8A29-44EE-8CEA-A6C90D37280C}">
      <formula1>$N$4:$N$5</formula1>
    </dataValidation>
    <dataValidation type="list" allowBlank="1" showInputMessage="1" showErrorMessage="1" sqref="G4:G1048576" xr:uid="{A21DCF1F-B957-4232-9358-7679D8894290}">
      <formula1>$O$4:$O$5</formula1>
    </dataValidation>
    <dataValidation type="list" allowBlank="1" showInputMessage="1" showErrorMessage="1" sqref="D4:D1048576" xr:uid="{079CF9F0-21F4-4AB5-AFFB-D033DCBC0555}">
      <formula1>department</formula1>
    </dataValidation>
    <dataValidation type="list" allowBlank="1" showInputMessage="1" showErrorMessage="1" sqref="E4:E1048576" xr:uid="{F5DEFA67-60B4-427D-BF48-00AC4FEAF217}">
      <formula1>Title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2B3AE-C9AF-430C-A074-682C767820E4}">
  <sheetPr codeName="Sheet5"/>
  <dimension ref="B3:BD153"/>
  <sheetViews>
    <sheetView topLeftCell="AQ1" workbookViewId="0">
      <selection activeCell="BC3" sqref="BC3"/>
    </sheetView>
  </sheetViews>
  <sheetFormatPr defaultRowHeight="15" x14ac:dyDescent="0.25"/>
  <cols>
    <col min="2" max="2" width="13.140625" bestFit="1" customWidth="1"/>
    <col min="3" max="3" width="15.85546875" bestFit="1" customWidth="1"/>
    <col min="4" max="4" width="16.85546875" bestFit="1" customWidth="1"/>
    <col min="6" max="6" width="13.140625" bestFit="1" customWidth="1"/>
    <col min="7" max="7" width="16.5703125" bestFit="1" customWidth="1"/>
    <col min="9" max="9" width="13.140625" bestFit="1" customWidth="1"/>
    <col min="10" max="10" width="16.42578125" bestFit="1" customWidth="1"/>
    <col min="11" max="11" width="18" bestFit="1" customWidth="1"/>
    <col min="13" max="13" width="13.140625" bestFit="1" customWidth="1"/>
    <col min="14" max="14" width="16.28515625" bestFit="1" customWidth="1"/>
    <col min="16" max="16" width="13.140625" bestFit="1" customWidth="1"/>
    <col min="17" max="17" width="16.28515625" bestFit="1" customWidth="1"/>
    <col min="18" max="18" width="3" bestFit="1" customWidth="1"/>
    <col min="19" max="20" width="11.28515625" bestFit="1" customWidth="1"/>
    <col min="21" max="21" width="13.140625" bestFit="1" customWidth="1"/>
    <col min="22" max="22" width="15" bestFit="1" customWidth="1"/>
    <col min="23" max="23" width="23" bestFit="1" customWidth="1"/>
    <col min="24" max="24" width="21.5703125" bestFit="1" customWidth="1"/>
    <col min="25" max="25" width="18" bestFit="1" customWidth="1"/>
    <col min="26" max="26" width="22.85546875" bestFit="1" customWidth="1"/>
    <col min="28" max="28" width="13.140625" bestFit="1" customWidth="1"/>
    <col min="29" max="29" width="16.28515625" bestFit="1" customWidth="1"/>
    <col min="30" max="30" width="21.5703125" bestFit="1" customWidth="1"/>
    <col min="31" max="31" width="23" bestFit="1" customWidth="1"/>
    <col min="32" max="33" width="18" bestFit="1" customWidth="1"/>
    <col min="34" max="34" width="15" bestFit="1" customWidth="1"/>
    <col min="35" max="35" width="22.85546875" bestFit="1" customWidth="1"/>
    <col min="36" max="36" width="23.5703125" bestFit="1" customWidth="1"/>
    <col min="38" max="38" width="13.140625" bestFit="1" customWidth="1"/>
    <col min="39" max="39" width="21.5703125" bestFit="1" customWidth="1"/>
    <col min="40" max="40" width="12" bestFit="1" customWidth="1"/>
    <col min="41" max="41" width="13.140625" bestFit="1" customWidth="1"/>
    <col min="42" max="42" width="23" bestFit="1" customWidth="1"/>
    <col min="43" max="43" width="12" bestFit="1" customWidth="1"/>
    <col min="44" max="44" width="13.140625" bestFit="1" customWidth="1"/>
    <col min="45" max="45" width="22.85546875" bestFit="1" customWidth="1"/>
    <col min="46" max="46" width="12" bestFit="1" customWidth="1"/>
    <col min="47" max="47" width="13.140625" bestFit="1" customWidth="1"/>
    <col min="48" max="48" width="16.42578125" bestFit="1" customWidth="1"/>
    <col min="49" max="49" width="21.5703125" bestFit="1" customWidth="1"/>
    <col min="50" max="50" width="23.5703125" bestFit="1" customWidth="1"/>
    <col min="51" max="51" width="12" bestFit="1" customWidth="1"/>
    <col min="52" max="52" width="13.140625" bestFit="1" customWidth="1"/>
    <col min="53" max="53" width="12.85546875" bestFit="1" customWidth="1"/>
    <col min="54" max="54" width="3.5703125" bestFit="1" customWidth="1"/>
    <col min="55" max="56" width="13.140625" bestFit="1" customWidth="1"/>
    <col min="57" max="59" width="3.5703125" bestFit="1" customWidth="1"/>
    <col min="60" max="261" width="4.5703125" bestFit="1" customWidth="1"/>
    <col min="262" max="262" width="11.28515625" bestFit="1" customWidth="1"/>
  </cols>
  <sheetData>
    <row r="3" spans="2:56" ht="15.75" customHeight="1" x14ac:dyDescent="0.25">
      <c r="B3" s="19" t="s">
        <v>360</v>
      </c>
      <c r="C3" t="s">
        <v>362</v>
      </c>
      <c r="D3" t="s">
        <v>363</v>
      </c>
      <c r="F3" s="19" t="s">
        <v>360</v>
      </c>
      <c r="G3" t="s">
        <v>364</v>
      </c>
      <c r="I3" s="19" t="s">
        <v>360</v>
      </c>
      <c r="J3" t="s">
        <v>365</v>
      </c>
      <c r="K3" t="s">
        <v>383</v>
      </c>
      <c r="M3" s="19" t="s">
        <v>360</v>
      </c>
      <c r="N3" t="s">
        <v>368</v>
      </c>
      <c r="P3" s="19" t="s">
        <v>370</v>
      </c>
      <c r="Q3" s="19" t="s">
        <v>369</v>
      </c>
      <c r="U3" s="19" t="s">
        <v>360</v>
      </c>
      <c r="V3" t="s">
        <v>373</v>
      </c>
      <c r="W3" t="s">
        <v>375</v>
      </c>
      <c r="X3" t="s">
        <v>366</v>
      </c>
      <c r="Y3" t="s">
        <v>374</v>
      </c>
      <c r="Z3" t="s">
        <v>694</v>
      </c>
      <c r="AB3" s="19" t="s">
        <v>360</v>
      </c>
      <c r="AC3" t="s">
        <v>382</v>
      </c>
      <c r="AD3" t="s">
        <v>366</v>
      </c>
      <c r="AE3" t="s">
        <v>375</v>
      </c>
      <c r="AF3" t="s">
        <v>383</v>
      </c>
      <c r="AG3" t="s">
        <v>374</v>
      </c>
      <c r="AH3" t="s">
        <v>373</v>
      </c>
      <c r="AI3" t="s">
        <v>694</v>
      </c>
      <c r="AJ3" t="s">
        <v>703</v>
      </c>
      <c r="AL3" s="19" t="s">
        <v>360</v>
      </c>
      <c r="AM3" t="s">
        <v>366</v>
      </c>
      <c r="AO3" s="19" t="s">
        <v>360</v>
      </c>
      <c r="AP3" t="s">
        <v>375</v>
      </c>
      <c r="AR3" s="19" t="s">
        <v>360</v>
      </c>
      <c r="AS3" t="s">
        <v>694</v>
      </c>
      <c r="AU3" s="19" t="s">
        <v>360</v>
      </c>
      <c r="AV3" t="s">
        <v>365</v>
      </c>
      <c r="AW3" t="s">
        <v>684</v>
      </c>
      <c r="AX3" t="s">
        <v>703</v>
      </c>
      <c r="AZ3" s="19" t="s">
        <v>360</v>
      </c>
      <c r="BA3" t="s">
        <v>683</v>
      </c>
      <c r="BC3" s="19" t="s">
        <v>360</v>
      </c>
      <c r="BD3" t="s">
        <v>685</v>
      </c>
    </row>
    <row r="4" spans="2:56" ht="15" customHeight="1" x14ac:dyDescent="0.25">
      <c r="B4" s="20" t="s">
        <v>67</v>
      </c>
      <c r="C4">
        <v>131</v>
      </c>
      <c r="D4" s="21">
        <v>0.59009009009009006</v>
      </c>
      <c r="F4" s="20" t="s">
        <v>67</v>
      </c>
      <c r="G4" s="21">
        <v>0.59009009009009006</v>
      </c>
      <c r="I4" s="20" t="s">
        <v>67</v>
      </c>
      <c r="J4" s="23">
        <v>7070.3435114503818</v>
      </c>
      <c r="K4" s="23">
        <v>0.8334480239309302</v>
      </c>
      <c r="M4" s="25">
        <v>1</v>
      </c>
      <c r="N4" s="24">
        <v>7.3394495412844041E-2</v>
      </c>
      <c r="P4" s="19" t="s">
        <v>360</v>
      </c>
      <c r="Q4" t="s">
        <v>67</v>
      </c>
      <c r="R4" t="s">
        <v>66</v>
      </c>
      <c r="S4" t="s">
        <v>361</v>
      </c>
      <c r="U4" s="20" t="s">
        <v>67</v>
      </c>
      <c r="V4">
        <v>192</v>
      </c>
      <c r="W4">
        <v>0.16655197606906871</v>
      </c>
      <c r="X4">
        <v>0.50003188782839991</v>
      </c>
      <c r="Y4">
        <v>13300</v>
      </c>
      <c r="Z4">
        <v>0.68247028005047217</v>
      </c>
      <c r="AB4" s="20" t="s">
        <v>594</v>
      </c>
      <c r="AC4">
        <v>4</v>
      </c>
      <c r="AD4">
        <v>0.28790183867905272</v>
      </c>
      <c r="AE4">
        <v>5.0000000000000044E-2</v>
      </c>
      <c r="AF4">
        <v>0.95</v>
      </c>
      <c r="AG4">
        <v>500</v>
      </c>
      <c r="AH4">
        <v>1</v>
      </c>
      <c r="AI4">
        <v>0.69596727955968429</v>
      </c>
      <c r="AJ4">
        <v>7.6126674786845316E-2</v>
      </c>
      <c r="AL4" s="20" t="s">
        <v>50</v>
      </c>
      <c r="AM4" s="24">
        <v>0.49782602459782255</v>
      </c>
      <c r="AO4" s="65" t="s">
        <v>53</v>
      </c>
      <c r="AP4" s="24">
        <v>0.13571428571428573</v>
      </c>
      <c r="AR4" s="20" t="s">
        <v>674</v>
      </c>
      <c r="AS4" s="24"/>
      <c r="AU4" s="20" t="s">
        <v>57</v>
      </c>
      <c r="AV4" s="23">
        <v>6825.7352941176468</v>
      </c>
      <c r="AW4" s="23">
        <v>500</v>
      </c>
      <c r="AX4" s="24">
        <v>8.9843934241423076E-2</v>
      </c>
      <c r="AZ4" s="20" t="s">
        <v>57</v>
      </c>
      <c r="BA4">
        <v>232075</v>
      </c>
      <c r="BC4" s="20" t="s">
        <v>57</v>
      </c>
      <c r="BD4">
        <v>34</v>
      </c>
    </row>
    <row r="5" spans="2:56" ht="15.75" customHeight="1" x14ac:dyDescent="0.25">
      <c r="B5" s="20" t="s">
        <v>66</v>
      </c>
      <c r="C5">
        <v>91</v>
      </c>
      <c r="D5" s="21">
        <v>0.40990990990990989</v>
      </c>
      <c r="F5" s="22" t="s">
        <v>43</v>
      </c>
      <c r="G5" s="21">
        <v>0.44144144144144143</v>
      </c>
      <c r="I5" s="20" t="s">
        <v>66</v>
      </c>
      <c r="J5" s="23">
        <v>7458.2197802197807</v>
      </c>
      <c r="K5" s="23">
        <v>0.82395146261605889</v>
      </c>
      <c r="M5" s="25">
        <v>2</v>
      </c>
      <c r="N5" s="24">
        <v>0.14984709480122324</v>
      </c>
      <c r="P5" s="20" t="s">
        <v>695</v>
      </c>
      <c r="Q5">
        <v>10</v>
      </c>
      <c r="R5">
        <v>4</v>
      </c>
      <c r="S5">
        <v>14</v>
      </c>
      <c r="U5" s="20" t="s">
        <v>66</v>
      </c>
      <c r="V5">
        <v>139</v>
      </c>
      <c r="W5">
        <v>0.17604853738394113</v>
      </c>
      <c r="X5">
        <v>0.52986537554759283</v>
      </c>
      <c r="Y5">
        <v>12400</v>
      </c>
      <c r="Z5">
        <v>0.6876470510491558</v>
      </c>
      <c r="AB5" s="20" t="s">
        <v>400</v>
      </c>
      <c r="AC5">
        <v>3</v>
      </c>
      <c r="AD5">
        <v>0.93190689233323709</v>
      </c>
      <c r="AE5">
        <v>0.16666666666666663</v>
      </c>
      <c r="AF5">
        <v>0.83333333333333337</v>
      </c>
      <c r="AG5">
        <v>0</v>
      </c>
      <c r="AH5">
        <v>0</v>
      </c>
      <c r="AI5">
        <v>0.88262011283328523</v>
      </c>
      <c r="AJ5">
        <v>0</v>
      </c>
      <c r="AL5" s="20" t="s">
        <v>49</v>
      </c>
      <c r="AM5" s="24">
        <v>0.5419217990974512</v>
      </c>
      <c r="AO5" s="65" t="s">
        <v>13</v>
      </c>
      <c r="AP5" s="24">
        <v>0.22807017543859648</v>
      </c>
      <c r="AR5" s="22" t="s">
        <v>675</v>
      </c>
      <c r="AS5" s="24">
        <v>0.69645719273393403</v>
      </c>
      <c r="AU5" s="20" t="s">
        <v>55</v>
      </c>
      <c r="AV5" s="23">
        <v>7358.4827586206893</v>
      </c>
      <c r="AW5" s="23">
        <v>537.5</v>
      </c>
      <c r="AX5" s="24">
        <v>7.7093671380186052E-2</v>
      </c>
      <c r="AZ5" s="20" t="s">
        <v>55</v>
      </c>
      <c r="BA5">
        <v>213396</v>
      </c>
      <c r="BC5" s="20" t="s">
        <v>55</v>
      </c>
      <c r="BD5">
        <v>29</v>
      </c>
    </row>
    <row r="6" spans="2:56" x14ac:dyDescent="0.25">
      <c r="F6" s="22" t="s">
        <v>44</v>
      </c>
      <c r="G6" s="21">
        <v>0.14864864864864866</v>
      </c>
      <c r="M6" s="25">
        <v>3</v>
      </c>
      <c r="N6" s="24">
        <v>0.16055045871559634</v>
      </c>
      <c r="P6" s="20" t="s">
        <v>696</v>
      </c>
      <c r="Q6">
        <v>40</v>
      </c>
      <c r="R6">
        <v>20</v>
      </c>
      <c r="S6">
        <v>60</v>
      </c>
      <c r="AB6" s="20" t="s">
        <v>552</v>
      </c>
      <c r="AC6">
        <v>3</v>
      </c>
      <c r="AD6">
        <v>0.94288527890687235</v>
      </c>
      <c r="AE6">
        <v>5.0000000000000044E-2</v>
      </c>
      <c r="AF6">
        <v>0.95</v>
      </c>
      <c r="AH6">
        <v>0</v>
      </c>
      <c r="AI6">
        <v>0.94644263945343621</v>
      </c>
      <c r="AJ6" t="e">
        <v>#DIV/0!</v>
      </c>
      <c r="AL6" s="20" t="s">
        <v>46</v>
      </c>
      <c r="AM6" s="24">
        <v>0.57745583036834902</v>
      </c>
      <c r="AO6" s="65" t="s">
        <v>14</v>
      </c>
      <c r="AP6" s="24">
        <v>0.17391304347826086</v>
      </c>
      <c r="AR6" s="22" t="s">
        <v>680</v>
      </c>
      <c r="AS6" s="24">
        <v>0.72437880925510534</v>
      </c>
      <c r="AU6" s="20" t="s">
        <v>56</v>
      </c>
      <c r="AV6" s="23">
        <v>7355.75</v>
      </c>
      <c r="AW6" s="23">
        <v>540</v>
      </c>
      <c r="AX6" s="24">
        <v>6.7491762806622724E-2</v>
      </c>
      <c r="AZ6" s="20" t="s">
        <v>56</v>
      </c>
      <c r="BA6">
        <v>205961</v>
      </c>
      <c r="BC6" s="20" t="s">
        <v>56</v>
      </c>
      <c r="BD6">
        <v>28</v>
      </c>
    </row>
    <row r="7" spans="2:56" x14ac:dyDescent="0.25">
      <c r="F7" s="20" t="s">
        <v>66</v>
      </c>
      <c r="G7" s="21">
        <v>0.40990990990990989</v>
      </c>
      <c r="M7" s="25">
        <v>4</v>
      </c>
      <c r="N7" s="24">
        <v>0.28746177370030579</v>
      </c>
      <c r="P7" s="20" t="s">
        <v>697</v>
      </c>
      <c r="Q7">
        <v>44</v>
      </c>
      <c r="R7">
        <v>26</v>
      </c>
      <c r="S7">
        <v>70</v>
      </c>
      <c r="AB7" s="20" t="s">
        <v>453</v>
      </c>
      <c r="AC7">
        <v>5</v>
      </c>
      <c r="AD7">
        <v>0.57528781449620181</v>
      </c>
      <c r="AE7">
        <v>0.11521739130434783</v>
      </c>
      <c r="AF7">
        <v>0.88478260869565217</v>
      </c>
      <c r="AG7">
        <v>1000</v>
      </c>
      <c r="AH7">
        <v>2</v>
      </c>
      <c r="AI7">
        <v>0.75454780281867839</v>
      </c>
      <c r="AJ7">
        <v>6.9812901424183199E-2</v>
      </c>
      <c r="AL7" s="20" t="s">
        <v>42</v>
      </c>
      <c r="AM7" s="24">
        <v>0.47205243419725368</v>
      </c>
      <c r="AO7" s="65" t="s">
        <v>15</v>
      </c>
      <c r="AP7" s="24">
        <v>0.23333333333333331</v>
      </c>
      <c r="AR7" s="22" t="s">
        <v>681</v>
      </c>
      <c r="AS7" s="24">
        <v>0.74297936895238059</v>
      </c>
      <c r="AU7" s="20" t="s">
        <v>63</v>
      </c>
      <c r="AV7" s="23">
        <v>7779.045454545455</v>
      </c>
      <c r="AW7" s="23">
        <v>500</v>
      </c>
      <c r="AX7" s="24">
        <v>6.8917597703409481E-2</v>
      </c>
      <c r="AZ7" s="20" t="s">
        <v>63</v>
      </c>
      <c r="BA7">
        <v>342278</v>
      </c>
      <c r="BC7" s="20" t="s">
        <v>63</v>
      </c>
      <c r="BD7">
        <v>44</v>
      </c>
    </row>
    <row r="8" spans="2:56" x14ac:dyDescent="0.25">
      <c r="F8" s="22" t="s">
        <v>43</v>
      </c>
      <c r="G8" s="21">
        <v>0.23873873873873874</v>
      </c>
      <c r="M8" s="25">
        <v>5</v>
      </c>
      <c r="N8" s="24">
        <v>0.32874617737003059</v>
      </c>
      <c r="P8" s="20" t="s">
        <v>698</v>
      </c>
      <c r="Q8">
        <v>37</v>
      </c>
      <c r="R8">
        <v>41</v>
      </c>
      <c r="S8">
        <v>78</v>
      </c>
      <c r="AB8" s="20" t="s">
        <v>580</v>
      </c>
      <c r="AC8">
        <v>5</v>
      </c>
      <c r="AD8">
        <v>0.77992109563089151</v>
      </c>
      <c r="AE8">
        <v>0.1755050505050505</v>
      </c>
      <c r="AF8">
        <v>0.8244949494949495</v>
      </c>
      <c r="AG8">
        <v>200</v>
      </c>
      <c r="AH8">
        <v>3</v>
      </c>
      <c r="AI8">
        <v>0.76437615050332097</v>
      </c>
      <c r="AJ8">
        <v>3.9070130884938464E-2</v>
      </c>
      <c r="AL8" s="20" t="s">
        <v>47</v>
      </c>
      <c r="AM8" s="24">
        <v>0.54310027703837005</v>
      </c>
      <c r="AO8" s="65" t="s">
        <v>16</v>
      </c>
      <c r="AP8" s="24">
        <v>0.1973244147157191</v>
      </c>
      <c r="AR8" s="22" t="s">
        <v>682</v>
      </c>
      <c r="AS8" s="24">
        <v>0.71536109792627434</v>
      </c>
      <c r="AU8" s="20" t="s">
        <v>58</v>
      </c>
      <c r="AV8" s="23">
        <v>6911.9230769230771</v>
      </c>
      <c r="AW8" s="23">
        <v>512.5</v>
      </c>
      <c r="AX8" s="24">
        <v>6.7092920761483446E-2</v>
      </c>
      <c r="AZ8" s="20" t="s">
        <v>58</v>
      </c>
      <c r="BA8">
        <v>269565</v>
      </c>
      <c r="BC8" s="20" t="s">
        <v>58</v>
      </c>
      <c r="BD8">
        <v>39</v>
      </c>
    </row>
    <row r="9" spans="2:56" x14ac:dyDescent="0.25">
      <c r="F9" s="22" t="s">
        <v>44</v>
      </c>
      <c r="G9" s="21">
        <v>0.17117117117117117</v>
      </c>
      <c r="AB9" s="20" t="s">
        <v>572</v>
      </c>
      <c r="AC9">
        <v>5</v>
      </c>
      <c r="AD9">
        <v>0.61350904218281488</v>
      </c>
      <c r="AE9">
        <v>0.15217391304347827</v>
      </c>
      <c r="AF9">
        <v>0.84782608695652173</v>
      </c>
      <c r="AG9">
        <v>400</v>
      </c>
      <c r="AH9">
        <v>0</v>
      </c>
      <c r="AI9">
        <v>0.7306675645696683</v>
      </c>
      <c r="AJ9">
        <v>8.8358736470068477E-2</v>
      </c>
      <c r="AL9" s="20" t="s">
        <v>45</v>
      </c>
      <c r="AM9" s="24">
        <v>0.53935930457015568</v>
      </c>
      <c r="AO9" s="65" t="s">
        <v>17</v>
      </c>
      <c r="AP9" s="24">
        <v>7.9411764705882362E-2</v>
      </c>
      <c r="AR9" s="20" t="s">
        <v>678</v>
      </c>
      <c r="AS9" s="24"/>
      <c r="AU9" s="20" t="s">
        <v>59</v>
      </c>
      <c r="AV9" s="23">
        <v>7117.458333333333</v>
      </c>
      <c r="AW9" s="23">
        <v>443.75</v>
      </c>
      <c r="AX9" s="24">
        <v>6.2143815273245376E-2</v>
      </c>
      <c r="AZ9" s="20" t="s">
        <v>59</v>
      </c>
      <c r="BA9">
        <v>341638</v>
      </c>
      <c r="BC9" s="20" t="s">
        <v>59</v>
      </c>
      <c r="BD9">
        <v>48</v>
      </c>
    </row>
    <row r="10" spans="2:56" x14ac:dyDescent="0.25">
      <c r="AB10" s="20" t="s">
        <v>437</v>
      </c>
      <c r="AC10">
        <v>5</v>
      </c>
      <c r="AD10">
        <v>0.8006098859656321</v>
      </c>
      <c r="AE10">
        <v>0.11641414141414146</v>
      </c>
      <c r="AF10">
        <v>0.88358585858585847</v>
      </c>
      <c r="AH10">
        <v>3</v>
      </c>
      <c r="AI10">
        <v>0.81506074694194919</v>
      </c>
      <c r="AJ10" t="e">
        <v>#DIV/0!</v>
      </c>
      <c r="AL10" s="20" t="s">
        <v>12</v>
      </c>
      <c r="AM10" s="24">
        <v>0.43073234052597736</v>
      </c>
      <c r="AO10" s="65" t="s">
        <v>18</v>
      </c>
      <c r="AP10" s="24">
        <v>0.15217391304347816</v>
      </c>
      <c r="AR10" s="22" t="s">
        <v>675</v>
      </c>
      <c r="AS10" s="24">
        <v>0.68995295901509435</v>
      </c>
    </row>
    <row r="11" spans="2:56" x14ac:dyDescent="0.25">
      <c r="AB11" s="20" t="s">
        <v>603</v>
      </c>
      <c r="AC11">
        <v>2</v>
      </c>
      <c r="AD11">
        <v>0.16975781089296238</v>
      </c>
      <c r="AE11">
        <v>0.1742424242424242</v>
      </c>
      <c r="AF11">
        <v>0.8257575757575758</v>
      </c>
      <c r="AH11">
        <v>0</v>
      </c>
      <c r="AI11">
        <v>0.49775769332526909</v>
      </c>
      <c r="AJ11" t="e">
        <v>#DIV/0!</v>
      </c>
      <c r="AL11" s="20" t="s">
        <v>48</v>
      </c>
      <c r="AM11" s="24">
        <v>0.50116849095246774</v>
      </c>
      <c r="AO11" s="65" t="s">
        <v>19</v>
      </c>
      <c r="AP11" s="24">
        <v>7.3913043478260873E-2</v>
      </c>
      <c r="AR11" s="22" t="s">
        <v>680</v>
      </c>
      <c r="AS11" s="24">
        <v>0.64563821395924625</v>
      </c>
    </row>
    <row r="12" spans="2:56" x14ac:dyDescent="0.25">
      <c r="AB12" s="20" t="s">
        <v>385</v>
      </c>
      <c r="AC12">
        <v>4</v>
      </c>
      <c r="AD12">
        <v>0.48140858710755852</v>
      </c>
      <c r="AE12">
        <v>8.3333333333333315E-2</v>
      </c>
      <c r="AF12">
        <v>0.91666666666666674</v>
      </c>
      <c r="AH12">
        <v>3</v>
      </c>
      <c r="AI12">
        <v>0.704556837265085</v>
      </c>
      <c r="AJ12" t="e">
        <v>#DIV/0!</v>
      </c>
      <c r="AO12" s="65" t="s">
        <v>20</v>
      </c>
      <c r="AP12" s="24">
        <v>0.22135416666666666</v>
      </c>
      <c r="AR12" s="22" t="s">
        <v>681</v>
      </c>
      <c r="AS12" s="24">
        <v>0.6862222956222751</v>
      </c>
    </row>
    <row r="13" spans="2:56" x14ac:dyDescent="0.25">
      <c r="AB13" s="20" t="s">
        <v>500</v>
      </c>
      <c r="AC13">
        <v>1</v>
      </c>
      <c r="AD13">
        <v>0.1676941622000519</v>
      </c>
      <c r="AE13">
        <v>0.21401515151515149</v>
      </c>
      <c r="AF13">
        <v>0.78598484848484851</v>
      </c>
      <c r="AH13">
        <v>1</v>
      </c>
      <c r="AI13">
        <v>0.54888872436951686</v>
      </c>
      <c r="AJ13" t="e">
        <v>#DIV/0!</v>
      </c>
      <c r="AO13" s="65" t="s">
        <v>21</v>
      </c>
      <c r="AP13" s="24">
        <v>0.16969696969696965</v>
      </c>
      <c r="AR13" s="22" t="s">
        <v>682</v>
      </c>
      <c r="AS13" s="24">
        <v>0.67078005056647727</v>
      </c>
    </row>
    <row r="14" spans="2:56" x14ac:dyDescent="0.25">
      <c r="AB14" s="20" t="s">
        <v>456</v>
      </c>
      <c r="AC14">
        <v>5</v>
      </c>
      <c r="AD14">
        <v>0.7560205712468625</v>
      </c>
      <c r="AE14">
        <v>0.22727272727272729</v>
      </c>
      <c r="AF14">
        <v>0.77272727272727271</v>
      </c>
      <c r="AH14">
        <v>2</v>
      </c>
      <c r="AI14">
        <v>0.74291594799137839</v>
      </c>
      <c r="AJ14" t="e">
        <v>#DIV/0!</v>
      </c>
      <c r="AO14" s="65" t="s">
        <v>22</v>
      </c>
      <c r="AP14" s="24">
        <v>0.19130434782608699</v>
      </c>
      <c r="AR14" s="20" t="s">
        <v>676</v>
      </c>
      <c r="AS14" s="24"/>
    </row>
    <row r="15" spans="2:56" x14ac:dyDescent="0.25">
      <c r="AB15" s="20" t="s">
        <v>432</v>
      </c>
      <c r="AC15">
        <v>3</v>
      </c>
      <c r="AD15">
        <v>0.23710627916156696</v>
      </c>
      <c r="AE15">
        <v>6.8181818181818177E-2</v>
      </c>
      <c r="AF15">
        <v>0.93181818181818188</v>
      </c>
      <c r="AH15">
        <v>5</v>
      </c>
      <c r="AI15">
        <v>0.59797482032658289</v>
      </c>
      <c r="AJ15" t="e">
        <v>#DIV/0!</v>
      </c>
      <c r="AO15" s="65" t="s">
        <v>23</v>
      </c>
      <c r="AP15" s="24">
        <v>0.22303921568627449</v>
      </c>
      <c r="AR15" s="22" t="s">
        <v>675</v>
      </c>
      <c r="AS15" s="24">
        <v>0.64343966667903085</v>
      </c>
    </row>
    <row r="16" spans="2:56" x14ac:dyDescent="0.25">
      <c r="AB16" s="20" t="s">
        <v>425</v>
      </c>
      <c r="AC16">
        <v>5</v>
      </c>
      <c r="AD16">
        <v>0.5326873194069921</v>
      </c>
      <c r="AE16">
        <v>0.10714285714285715</v>
      </c>
      <c r="AF16">
        <v>0.89285714285714279</v>
      </c>
      <c r="AH16">
        <v>3</v>
      </c>
      <c r="AI16">
        <v>0.73351482075471164</v>
      </c>
      <c r="AJ16" t="e">
        <v>#DIV/0!</v>
      </c>
      <c r="AR16" s="22" t="s">
        <v>680</v>
      </c>
      <c r="AS16" s="24">
        <v>0.6306617247943973</v>
      </c>
    </row>
    <row r="17" spans="28:45" x14ac:dyDescent="0.25">
      <c r="AB17" s="20" t="s">
        <v>455</v>
      </c>
      <c r="AC17">
        <v>2</v>
      </c>
      <c r="AD17">
        <v>0.67068399217952612</v>
      </c>
      <c r="AE17">
        <v>9.5238095238095233E-2</v>
      </c>
      <c r="AF17">
        <v>0.90476190476190477</v>
      </c>
      <c r="AH17">
        <v>3</v>
      </c>
      <c r="AI17">
        <v>0.70848196564714361</v>
      </c>
      <c r="AJ17" t="e">
        <v>#DIV/0!</v>
      </c>
      <c r="AR17" s="22" t="s">
        <v>681</v>
      </c>
      <c r="AS17" s="24">
        <v>0.64594027782746655</v>
      </c>
    </row>
    <row r="18" spans="28:45" x14ac:dyDescent="0.25">
      <c r="AB18" s="20" t="s">
        <v>587</v>
      </c>
      <c r="AC18">
        <v>3</v>
      </c>
      <c r="AD18">
        <v>0.4616476977413761</v>
      </c>
      <c r="AE18">
        <v>0.15217391304347827</v>
      </c>
      <c r="AF18">
        <v>0.84782608695652173</v>
      </c>
      <c r="AH18">
        <v>3</v>
      </c>
      <c r="AI18">
        <v>0.69482459489929926</v>
      </c>
      <c r="AJ18" t="e">
        <v>#DIV/0!</v>
      </c>
      <c r="AR18" s="22" t="s">
        <v>682</v>
      </c>
      <c r="AS18" s="24">
        <v>0.65246210630229806</v>
      </c>
    </row>
    <row r="19" spans="28:45" x14ac:dyDescent="0.25">
      <c r="AB19" s="20" t="s">
        <v>492</v>
      </c>
      <c r="AC19">
        <v>4</v>
      </c>
      <c r="AD19">
        <v>0.5668236764361565</v>
      </c>
      <c r="AE19">
        <v>0.14021739130434785</v>
      </c>
      <c r="AF19">
        <v>0.85978260869565215</v>
      </c>
      <c r="AH19">
        <v>4</v>
      </c>
      <c r="AI19">
        <v>0.70886876171060287</v>
      </c>
      <c r="AJ19" t="e">
        <v>#DIV/0!</v>
      </c>
      <c r="AR19" s="20" t="s">
        <v>677</v>
      </c>
      <c r="AS19" s="24"/>
    </row>
    <row r="20" spans="28:45" x14ac:dyDescent="0.25">
      <c r="AB20" s="20" t="s">
        <v>571</v>
      </c>
      <c r="AC20">
        <v>2</v>
      </c>
      <c r="AD20">
        <v>0.48560372001090313</v>
      </c>
      <c r="AE20">
        <v>0.19021739130434784</v>
      </c>
      <c r="AF20">
        <v>0.80978260869565211</v>
      </c>
      <c r="AG20">
        <v>900</v>
      </c>
      <c r="AH20">
        <v>3</v>
      </c>
      <c r="AI20">
        <v>0.69012877623551838</v>
      </c>
      <c r="AJ20">
        <v>4.8030739673390971E-2</v>
      </c>
      <c r="AR20" s="22" t="s">
        <v>675</v>
      </c>
      <c r="AS20" s="24">
        <v>0.65339662806357068</v>
      </c>
    </row>
    <row r="21" spans="28:45" x14ac:dyDescent="0.25">
      <c r="AB21" s="20" t="s">
        <v>447</v>
      </c>
      <c r="AC21">
        <v>1</v>
      </c>
      <c r="AD21">
        <v>0.19929790079574228</v>
      </c>
      <c r="AE21">
        <v>0.29166666666666663</v>
      </c>
      <c r="AF21">
        <v>0.70833333333333337</v>
      </c>
      <c r="AH21">
        <v>0</v>
      </c>
      <c r="AI21">
        <v>0.45381561706453782</v>
      </c>
      <c r="AJ21" t="e">
        <v>#DIV/0!</v>
      </c>
      <c r="AR21" s="22" t="s">
        <v>680</v>
      </c>
      <c r="AS21" s="24">
        <v>0.75851195480056</v>
      </c>
    </row>
    <row r="22" spans="28:45" x14ac:dyDescent="0.25">
      <c r="AB22" s="20" t="s">
        <v>515</v>
      </c>
      <c r="AC22">
        <v>1</v>
      </c>
      <c r="AD22">
        <v>0.29547401909800358</v>
      </c>
      <c r="AE22">
        <v>0.11521739130434783</v>
      </c>
      <c r="AF22">
        <v>0.88478260869565217</v>
      </c>
      <c r="AH22">
        <v>5</v>
      </c>
      <c r="AI22">
        <v>0.60175220926455197</v>
      </c>
      <c r="AJ22" t="e">
        <v>#DIV/0!</v>
      </c>
      <c r="AR22" s="22" t="s">
        <v>681</v>
      </c>
      <c r="AS22" s="24">
        <v>0.71285974748871295</v>
      </c>
    </row>
    <row r="23" spans="28:45" x14ac:dyDescent="0.25">
      <c r="AB23" s="20" t="s">
        <v>420</v>
      </c>
      <c r="AC23">
        <v>5</v>
      </c>
      <c r="AD23">
        <v>0.32161782392819871</v>
      </c>
      <c r="AE23">
        <v>0.12261904761904763</v>
      </c>
      <c r="AF23">
        <v>0.87738095238095237</v>
      </c>
      <c r="AH23">
        <v>5</v>
      </c>
      <c r="AI23">
        <v>0.60799959210305032</v>
      </c>
      <c r="AJ23" t="e">
        <v>#DIV/0!</v>
      </c>
      <c r="AR23" s="22" t="s">
        <v>682</v>
      </c>
      <c r="AS23" s="24">
        <v>0.69016332025962002</v>
      </c>
    </row>
    <row r="24" spans="28:45" x14ac:dyDescent="0.25">
      <c r="AB24" s="20" t="s">
        <v>545</v>
      </c>
      <c r="AC24">
        <v>5</v>
      </c>
      <c r="AD24">
        <v>0.62887001914925544</v>
      </c>
      <c r="AE24">
        <v>0.17045454545454547</v>
      </c>
      <c r="AF24">
        <v>0.82954545454545459</v>
      </c>
      <c r="AH24">
        <v>4</v>
      </c>
      <c r="AI24">
        <v>0.71947182456490344</v>
      </c>
      <c r="AJ24" t="e">
        <v>#DIV/0!</v>
      </c>
      <c r="AR24" s="20" t="s">
        <v>679</v>
      </c>
      <c r="AS24" s="24"/>
    </row>
    <row r="25" spans="28:45" x14ac:dyDescent="0.25">
      <c r="AB25" s="20" t="s">
        <v>581</v>
      </c>
      <c r="AC25">
        <v>4</v>
      </c>
      <c r="AD25">
        <v>0.23671398537144001</v>
      </c>
      <c r="AE25">
        <v>0.21780303030303033</v>
      </c>
      <c r="AF25">
        <v>0.78219696969696972</v>
      </c>
      <c r="AH25">
        <v>2</v>
      </c>
      <c r="AI25">
        <v>0.62297031835613659</v>
      </c>
      <c r="AJ25" t="e">
        <v>#DIV/0!</v>
      </c>
      <c r="AR25" s="22" t="s">
        <v>675</v>
      </c>
      <c r="AS25" s="24">
        <v>0.60194963510899435</v>
      </c>
    </row>
    <row r="26" spans="28:45" x14ac:dyDescent="0.25">
      <c r="AB26" s="20" t="s">
        <v>567</v>
      </c>
      <c r="AC26">
        <v>1</v>
      </c>
      <c r="AD26">
        <v>0.38916963350232769</v>
      </c>
      <c r="AE26">
        <v>9.5238095238095233E-2</v>
      </c>
      <c r="AF26">
        <v>0.90476190476190477</v>
      </c>
      <c r="AH26">
        <v>3</v>
      </c>
      <c r="AI26">
        <v>0.61464384608807754</v>
      </c>
      <c r="AJ26" t="e">
        <v>#DIV/0!</v>
      </c>
      <c r="AR26" s="22" t="s">
        <v>681</v>
      </c>
      <c r="AS26" s="24">
        <v>0.88262011283328523</v>
      </c>
    </row>
    <row r="27" spans="28:45" x14ac:dyDescent="0.25">
      <c r="AB27" s="20" t="s">
        <v>531</v>
      </c>
      <c r="AC27">
        <v>3</v>
      </c>
      <c r="AD27">
        <v>0.47699002524046757</v>
      </c>
      <c r="AE27">
        <v>0.14322573561704</v>
      </c>
      <c r="AF27">
        <v>0.85677426438296</v>
      </c>
      <c r="AH27">
        <v>5</v>
      </c>
      <c r="AI27">
        <v>0.67796741850910502</v>
      </c>
      <c r="AJ27" t="e">
        <v>#DIV/0!</v>
      </c>
    </row>
    <row r="28" spans="28:45" x14ac:dyDescent="0.25">
      <c r="AB28" s="20" t="s">
        <v>497</v>
      </c>
      <c r="AC28">
        <v>4</v>
      </c>
      <c r="AD28">
        <v>0.45303810086413587</v>
      </c>
      <c r="AE28">
        <v>0.25946969696969696</v>
      </c>
      <c r="AF28">
        <v>0.74053030303030298</v>
      </c>
      <c r="AG28">
        <v>300</v>
      </c>
      <c r="AH28">
        <v>3</v>
      </c>
      <c r="AI28">
        <v>0.61756188398272849</v>
      </c>
      <c r="AJ28">
        <v>6.2214848610535049E-2</v>
      </c>
    </row>
    <row r="29" spans="28:45" x14ac:dyDescent="0.25">
      <c r="AB29" s="20" t="s">
        <v>517</v>
      </c>
      <c r="AC29">
        <v>2</v>
      </c>
      <c r="AD29">
        <v>0.96951094050573761</v>
      </c>
      <c r="AE29">
        <v>5.0000000000000044E-2</v>
      </c>
      <c r="AF29">
        <v>0.95</v>
      </c>
      <c r="AG29">
        <v>700</v>
      </c>
      <c r="AH29">
        <v>2</v>
      </c>
      <c r="AI29">
        <v>0.87317031350191243</v>
      </c>
      <c r="AJ29">
        <v>7.6586433260393869E-2</v>
      </c>
    </row>
    <row r="30" spans="28:45" x14ac:dyDescent="0.25">
      <c r="AB30" s="20" t="s">
        <v>444</v>
      </c>
      <c r="AC30">
        <v>1</v>
      </c>
      <c r="AD30">
        <v>0.7437418294985696</v>
      </c>
      <c r="AE30">
        <v>9.9999999999999978E-2</v>
      </c>
      <c r="AF30">
        <v>0.9</v>
      </c>
      <c r="AH30">
        <v>1</v>
      </c>
      <c r="AI30">
        <v>0.83124727649952324</v>
      </c>
      <c r="AJ30" t="e">
        <v>#DIV/0!</v>
      </c>
    </row>
    <row r="31" spans="28:45" x14ac:dyDescent="0.25">
      <c r="AB31" s="20" t="s">
        <v>596</v>
      </c>
      <c r="AC31">
        <v>1</v>
      </c>
      <c r="AD31">
        <v>0.17924260939764325</v>
      </c>
      <c r="AE31">
        <v>0.17391304347826086</v>
      </c>
      <c r="AF31">
        <v>0.82608695652173914</v>
      </c>
      <c r="AH31">
        <v>2</v>
      </c>
      <c r="AI31">
        <v>0.56844318863979415</v>
      </c>
      <c r="AJ31" t="e">
        <v>#DIV/0!</v>
      </c>
    </row>
    <row r="32" spans="28:45" x14ac:dyDescent="0.25">
      <c r="AB32" s="20" t="s">
        <v>384</v>
      </c>
      <c r="AC32">
        <v>2</v>
      </c>
      <c r="AD32">
        <v>0.58758510360750693</v>
      </c>
      <c r="AE32">
        <v>0.22727272727272729</v>
      </c>
      <c r="AF32">
        <v>0.77272727272727271</v>
      </c>
      <c r="AH32">
        <v>1</v>
      </c>
      <c r="AI32">
        <v>0.73677079211159324</v>
      </c>
      <c r="AJ32" t="e">
        <v>#DIV/0!</v>
      </c>
    </row>
    <row r="33" spans="28:36" x14ac:dyDescent="0.25">
      <c r="AB33" s="20" t="s">
        <v>419</v>
      </c>
      <c r="AC33">
        <v>3</v>
      </c>
      <c r="AD33">
        <v>0.46035239878887019</v>
      </c>
      <c r="AE33">
        <v>0.10869565217391303</v>
      </c>
      <c r="AF33">
        <v>0.89130434782608692</v>
      </c>
      <c r="AH33">
        <v>2</v>
      </c>
      <c r="AI33">
        <v>0.73388558220498568</v>
      </c>
      <c r="AJ33" t="e">
        <v>#DIV/0!</v>
      </c>
    </row>
    <row r="34" spans="28:36" x14ac:dyDescent="0.25">
      <c r="AB34" s="20" t="s">
        <v>468</v>
      </c>
      <c r="AC34">
        <v>5</v>
      </c>
      <c r="AD34">
        <v>0.13472873919518935</v>
      </c>
      <c r="AE34">
        <v>0.18181818181818177</v>
      </c>
      <c r="AF34">
        <v>0.81818181818181823</v>
      </c>
      <c r="AH34">
        <v>3</v>
      </c>
      <c r="AI34">
        <v>0.50097018579233588</v>
      </c>
      <c r="AJ34" t="e">
        <v>#DIV/0!</v>
      </c>
    </row>
    <row r="35" spans="28:36" x14ac:dyDescent="0.25">
      <c r="AB35" s="20" t="s">
        <v>575</v>
      </c>
      <c r="AC35">
        <v>4</v>
      </c>
      <c r="AD35">
        <v>0.38508152292389386</v>
      </c>
      <c r="AE35">
        <v>0.21739130434782605</v>
      </c>
      <c r="AF35">
        <v>0.78260869565217395</v>
      </c>
      <c r="AH35">
        <v>2</v>
      </c>
      <c r="AI35">
        <v>0.62256340619202255</v>
      </c>
      <c r="AJ35" t="e">
        <v>#DIV/0!</v>
      </c>
    </row>
    <row r="36" spans="28:36" x14ac:dyDescent="0.25">
      <c r="AB36" s="20" t="s">
        <v>405</v>
      </c>
      <c r="AC36">
        <v>3</v>
      </c>
      <c r="AD36">
        <v>0.36586640319126468</v>
      </c>
      <c r="AE36">
        <v>0.11471861471861472</v>
      </c>
      <c r="AF36">
        <v>0.88528138528138522</v>
      </c>
      <c r="AH36">
        <v>3</v>
      </c>
      <c r="AI36">
        <v>0.67538259615754992</v>
      </c>
      <c r="AJ36" t="e">
        <v>#DIV/0!</v>
      </c>
    </row>
    <row r="37" spans="28:36" x14ac:dyDescent="0.25">
      <c r="AB37" s="20" t="s">
        <v>396</v>
      </c>
      <c r="AC37">
        <v>1</v>
      </c>
      <c r="AD37">
        <v>0.3406378393531313</v>
      </c>
      <c r="AE37">
        <v>0.21739130434782605</v>
      </c>
      <c r="AF37">
        <v>0.78260869565217395</v>
      </c>
      <c r="AH37">
        <v>3</v>
      </c>
      <c r="AI37">
        <v>0.55774884500176847</v>
      </c>
      <c r="AJ37" t="e">
        <v>#DIV/0!</v>
      </c>
    </row>
    <row r="38" spans="28:36" x14ac:dyDescent="0.25">
      <c r="AB38" s="20" t="s">
        <v>464</v>
      </c>
      <c r="AC38">
        <v>3</v>
      </c>
      <c r="AD38">
        <v>0.94728435105597109</v>
      </c>
      <c r="AE38">
        <v>0.22727272727272729</v>
      </c>
      <c r="AF38">
        <v>0.77272727272727271</v>
      </c>
      <c r="AH38">
        <v>2</v>
      </c>
      <c r="AI38">
        <v>0.80667054126108118</v>
      </c>
      <c r="AJ38" t="e">
        <v>#DIV/0!</v>
      </c>
    </row>
    <row r="39" spans="28:36" x14ac:dyDescent="0.25">
      <c r="AB39" s="20" t="s">
        <v>458</v>
      </c>
      <c r="AC39">
        <v>2</v>
      </c>
      <c r="AD39">
        <v>0.35955326475371785</v>
      </c>
      <c r="AE39">
        <v>0.21739130434782605</v>
      </c>
      <c r="AF39">
        <v>0.78260869565217395</v>
      </c>
      <c r="AH39">
        <v>1</v>
      </c>
      <c r="AI39">
        <v>0.66405398680196404</v>
      </c>
      <c r="AJ39" t="e">
        <v>#DIV/0!</v>
      </c>
    </row>
    <row r="40" spans="28:36" x14ac:dyDescent="0.25">
      <c r="AB40" s="20" t="s">
        <v>440</v>
      </c>
      <c r="AC40">
        <v>5</v>
      </c>
      <c r="AD40">
        <v>0.64350792296200221</v>
      </c>
      <c r="AE40">
        <v>0.19507575757575757</v>
      </c>
      <c r="AF40">
        <v>0.80492424242424243</v>
      </c>
      <c r="AH40">
        <v>4</v>
      </c>
      <c r="AI40">
        <v>0.71614405512874812</v>
      </c>
      <c r="AJ40" t="e">
        <v>#DIV/0!</v>
      </c>
    </row>
    <row r="41" spans="28:36" x14ac:dyDescent="0.25">
      <c r="AB41" s="20" t="s">
        <v>521</v>
      </c>
      <c r="AC41">
        <v>5</v>
      </c>
      <c r="AD41">
        <v>0.93141233491829556</v>
      </c>
      <c r="AE41">
        <v>5.0000000000000044E-2</v>
      </c>
      <c r="AF41">
        <v>0.95</v>
      </c>
      <c r="AG41">
        <v>1000</v>
      </c>
      <c r="AH41">
        <v>1</v>
      </c>
      <c r="AI41">
        <v>0.91047077830609846</v>
      </c>
      <c r="AJ41">
        <v>0.10302905419328251</v>
      </c>
    </row>
    <row r="42" spans="28:36" x14ac:dyDescent="0.25">
      <c r="AB42" s="20" t="s">
        <v>592</v>
      </c>
      <c r="AC42">
        <v>5</v>
      </c>
      <c r="AD42">
        <v>0.71327678815026219</v>
      </c>
      <c r="AE42">
        <v>0.20393374741200826</v>
      </c>
      <c r="AF42">
        <v>0.7960662525879918</v>
      </c>
      <c r="AH42">
        <v>2</v>
      </c>
      <c r="AI42">
        <v>0.73875248497282464</v>
      </c>
      <c r="AJ42" t="e">
        <v>#DIV/0!</v>
      </c>
    </row>
    <row r="43" spans="28:36" x14ac:dyDescent="0.25">
      <c r="AB43" s="20" t="s">
        <v>553</v>
      </c>
      <c r="AC43">
        <v>3</v>
      </c>
      <c r="AD43">
        <v>4.7573864024049839E-2</v>
      </c>
      <c r="AE43">
        <v>0.25</v>
      </c>
      <c r="AF43">
        <v>0.75</v>
      </c>
      <c r="AH43">
        <v>3</v>
      </c>
      <c r="AI43">
        <v>0.44919128800801661</v>
      </c>
      <c r="AJ43" t="e">
        <v>#DIV/0!</v>
      </c>
    </row>
    <row r="44" spans="28:36" x14ac:dyDescent="0.25">
      <c r="AB44" s="20" t="s">
        <v>433</v>
      </c>
      <c r="AC44">
        <v>5</v>
      </c>
      <c r="AD44">
        <v>0.58428193423461972</v>
      </c>
      <c r="AE44">
        <v>0.14583333333333331</v>
      </c>
      <c r="AF44">
        <v>0.85416666666666674</v>
      </c>
      <c r="AG44">
        <v>500</v>
      </c>
      <c r="AH44">
        <v>3</v>
      </c>
      <c r="AI44">
        <v>0.70071896064035943</v>
      </c>
      <c r="AJ44">
        <v>5.6446150372544593E-2</v>
      </c>
    </row>
    <row r="45" spans="28:36" x14ac:dyDescent="0.25">
      <c r="AB45" s="20" t="s">
        <v>423</v>
      </c>
      <c r="AC45">
        <v>4</v>
      </c>
      <c r="AD45">
        <v>0.35589784458468054</v>
      </c>
      <c r="AE45">
        <v>0.15000000000000002</v>
      </c>
      <c r="AF45">
        <v>0.85</v>
      </c>
      <c r="AG45">
        <v>500</v>
      </c>
      <c r="AH45">
        <v>0</v>
      </c>
      <c r="AI45">
        <v>0.60294892229234032</v>
      </c>
      <c r="AJ45">
        <v>7.341065922771986E-2</v>
      </c>
    </row>
    <row r="46" spans="28:36" x14ac:dyDescent="0.25">
      <c r="AB46" s="20" t="s">
        <v>530</v>
      </c>
      <c r="AC46">
        <v>5</v>
      </c>
      <c r="AD46">
        <v>0.24382580989839936</v>
      </c>
      <c r="AE46">
        <v>0.15476190476190477</v>
      </c>
      <c r="AF46">
        <v>0.84523809523809523</v>
      </c>
      <c r="AH46">
        <v>3</v>
      </c>
      <c r="AI46">
        <v>0.52435728338545984</v>
      </c>
      <c r="AJ46" t="e">
        <v>#DIV/0!</v>
      </c>
    </row>
    <row r="47" spans="28:36" x14ac:dyDescent="0.25">
      <c r="AB47" s="20" t="s">
        <v>560</v>
      </c>
      <c r="AC47">
        <v>2</v>
      </c>
      <c r="AD47">
        <v>0.43475696149940524</v>
      </c>
      <c r="AE47">
        <v>0.15000000000000002</v>
      </c>
      <c r="AF47">
        <v>0.85</v>
      </c>
      <c r="AH47">
        <v>1</v>
      </c>
      <c r="AI47">
        <v>0.7115856538331351</v>
      </c>
      <c r="AJ47" t="e">
        <v>#DIV/0!</v>
      </c>
    </row>
    <row r="48" spans="28:36" x14ac:dyDescent="0.25">
      <c r="AB48" s="20" t="s">
        <v>562</v>
      </c>
      <c r="AC48">
        <v>3</v>
      </c>
      <c r="AD48">
        <v>0.7861782810950082</v>
      </c>
      <c r="AE48">
        <v>0.19507575757575757</v>
      </c>
      <c r="AF48">
        <v>0.80492424242424243</v>
      </c>
      <c r="AG48">
        <v>300</v>
      </c>
      <c r="AH48">
        <v>1</v>
      </c>
      <c r="AI48">
        <v>0.80299420466737081</v>
      </c>
      <c r="AJ48">
        <v>3.2819166393173616E-2</v>
      </c>
    </row>
    <row r="49" spans="28:36" x14ac:dyDescent="0.25">
      <c r="AB49" s="20" t="s">
        <v>539</v>
      </c>
      <c r="AC49">
        <v>5</v>
      </c>
      <c r="AD49">
        <v>0.37790863517248408</v>
      </c>
      <c r="AE49">
        <v>0.17391304347826086</v>
      </c>
      <c r="AF49">
        <v>0.82608695652173914</v>
      </c>
      <c r="AH49">
        <v>0</v>
      </c>
      <c r="AI49">
        <v>0.60199779584711166</v>
      </c>
      <c r="AJ49" t="e">
        <v>#DIV/0!</v>
      </c>
    </row>
    <row r="50" spans="28:36" x14ac:dyDescent="0.25">
      <c r="AB50" s="20" t="s">
        <v>565</v>
      </c>
      <c r="AC50">
        <v>4</v>
      </c>
      <c r="AD50">
        <v>0.34497605874102544</v>
      </c>
      <c r="AE50">
        <v>0.19202898550724634</v>
      </c>
      <c r="AF50">
        <v>0.80797101449275366</v>
      </c>
      <c r="AH50">
        <v>4</v>
      </c>
      <c r="AI50">
        <v>0.61764902441125968</v>
      </c>
      <c r="AJ50" t="e">
        <v>#DIV/0!</v>
      </c>
    </row>
    <row r="51" spans="28:36" x14ac:dyDescent="0.25">
      <c r="AB51" s="20" t="s">
        <v>415</v>
      </c>
      <c r="AC51">
        <v>2</v>
      </c>
      <c r="AD51">
        <v>0.34080198700587266</v>
      </c>
      <c r="AE51">
        <v>0.14318181818181819</v>
      </c>
      <c r="AF51">
        <v>0.85681818181818181</v>
      </c>
      <c r="AH51">
        <v>4</v>
      </c>
      <c r="AI51">
        <v>0.63254005627468479</v>
      </c>
      <c r="AJ51" t="e">
        <v>#DIV/0!</v>
      </c>
    </row>
    <row r="52" spans="28:36" x14ac:dyDescent="0.25">
      <c r="AB52" s="20" t="s">
        <v>426</v>
      </c>
      <c r="AC52">
        <v>4</v>
      </c>
      <c r="AD52">
        <v>0.63581919562816835</v>
      </c>
      <c r="AE52">
        <v>0.23611111111111108</v>
      </c>
      <c r="AF52">
        <v>0.76388888888888895</v>
      </c>
      <c r="AG52">
        <v>200</v>
      </c>
      <c r="AH52">
        <v>3</v>
      </c>
      <c r="AI52">
        <v>0.73740640437510985</v>
      </c>
      <c r="AJ52">
        <v>3.1725888324873094E-2</v>
      </c>
    </row>
    <row r="53" spans="28:36" x14ac:dyDescent="0.25">
      <c r="AB53" s="20" t="s">
        <v>389</v>
      </c>
      <c r="AC53">
        <v>2</v>
      </c>
      <c r="AD53">
        <v>0.17535171171386416</v>
      </c>
      <c r="AE53">
        <v>0.21401515151515149</v>
      </c>
      <c r="AF53">
        <v>0.78598484848484851</v>
      </c>
      <c r="AH53">
        <v>4</v>
      </c>
      <c r="AI53">
        <v>0.55377885339957089</v>
      </c>
      <c r="AJ53" t="e">
        <v>#DIV/0!</v>
      </c>
    </row>
    <row r="54" spans="28:36" x14ac:dyDescent="0.25">
      <c r="AB54" s="20" t="s">
        <v>476</v>
      </c>
      <c r="AC54">
        <v>5</v>
      </c>
      <c r="AD54">
        <v>0.33712144378835185</v>
      </c>
      <c r="AE54">
        <v>0.23317805383022772</v>
      </c>
      <c r="AF54">
        <v>0.76682194616977217</v>
      </c>
      <c r="AG54">
        <v>700</v>
      </c>
      <c r="AH54">
        <v>4</v>
      </c>
      <c r="AI54">
        <v>0.63464779665270799</v>
      </c>
      <c r="AJ54">
        <v>0.12704174228675136</v>
      </c>
    </row>
    <row r="55" spans="28:36" x14ac:dyDescent="0.25">
      <c r="AB55" s="20" t="s">
        <v>604</v>
      </c>
      <c r="AC55">
        <v>4</v>
      </c>
      <c r="AD55">
        <v>0.20127025023456624</v>
      </c>
      <c r="AE55">
        <v>0.13043478260869568</v>
      </c>
      <c r="AF55">
        <v>0.86956521739130432</v>
      </c>
      <c r="AH55">
        <v>0</v>
      </c>
      <c r="AI55">
        <v>0.53541773381293534</v>
      </c>
      <c r="AJ55" t="e">
        <v>#DIV/0!</v>
      </c>
    </row>
    <row r="56" spans="28:36" x14ac:dyDescent="0.25">
      <c r="AB56" s="20" t="s">
        <v>460</v>
      </c>
      <c r="AC56">
        <v>4</v>
      </c>
      <c r="AD56">
        <v>0.39609686064849281</v>
      </c>
      <c r="AE56">
        <v>0.22727272727272729</v>
      </c>
      <c r="AF56">
        <v>0.77272727272727271</v>
      </c>
      <c r="AH56">
        <v>0</v>
      </c>
      <c r="AI56">
        <v>0.5844120666878827</v>
      </c>
      <c r="AJ56" t="e">
        <v>#DIV/0!</v>
      </c>
    </row>
    <row r="57" spans="28:36" x14ac:dyDescent="0.25">
      <c r="AB57" s="20" t="s">
        <v>607</v>
      </c>
      <c r="AC57">
        <v>4</v>
      </c>
      <c r="AD57">
        <v>0.48124547135457046</v>
      </c>
      <c r="AE57">
        <v>4.9999999999999989E-2</v>
      </c>
      <c r="AF57">
        <v>0.95</v>
      </c>
      <c r="AH57">
        <v>3</v>
      </c>
      <c r="AI57">
        <v>0.73541515711819017</v>
      </c>
      <c r="AJ57" t="e">
        <v>#DIV/0!</v>
      </c>
    </row>
    <row r="58" spans="28:36" x14ac:dyDescent="0.25">
      <c r="AB58" s="20" t="s">
        <v>519</v>
      </c>
      <c r="AC58">
        <v>5</v>
      </c>
      <c r="AD58">
        <v>0.64663073557956485</v>
      </c>
      <c r="AE58">
        <v>0.25</v>
      </c>
      <c r="AF58">
        <v>0.75</v>
      </c>
      <c r="AG58">
        <v>500</v>
      </c>
      <c r="AH58">
        <v>1</v>
      </c>
      <c r="AI58">
        <v>0.71880608811184232</v>
      </c>
      <c r="AJ58">
        <v>5.8575445173383318E-2</v>
      </c>
    </row>
    <row r="59" spans="28:36" x14ac:dyDescent="0.25">
      <c r="AB59" s="20" t="s">
        <v>550</v>
      </c>
      <c r="AC59">
        <v>4</v>
      </c>
      <c r="AD59">
        <v>0.73361431791568554</v>
      </c>
      <c r="AE59">
        <v>0.20833333333333337</v>
      </c>
      <c r="AF59">
        <v>0.79166666666666663</v>
      </c>
      <c r="AG59">
        <v>800</v>
      </c>
      <c r="AH59">
        <v>2</v>
      </c>
      <c r="AI59">
        <v>0.74176032819411741</v>
      </c>
      <c r="AJ59">
        <v>9.5796910549634781E-2</v>
      </c>
    </row>
    <row r="60" spans="28:36" x14ac:dyDescent="0.25">
      <c r="AB60" s="20" t="s">
        <v>482</v>
      </c>
      <c r="AC60">
        <v>3</v>
      </c>
      <c r="AD60">
        <v>0.90600390876807702</v>
      </c>
      <c r="AE60">
        <v>0.13636363636363635</v>
      </c>
      <c r="AF60">
        <v>0.86363636363636365</v>
      </c>
      <c r="AH60">
        <v>1</v>
      </c>
      <c r="AI60">
        <v>0.87321342413481362</v>
      </c>
      <c r="AJ60" t="e">
        <v>#DIV/0!</v>
      </c>
    </row>
    <row r="61" spans="28:36" x14ac:dyDescent="0.25">
      <c r="AB61" s="20" t="s">
        <v>508</v>
      </c>
      <c r="AC61">
        <v>5</v>
      </c>
      <c r="AD61">
        <v>0.45327581999839173</v>
      </c>
      <c r="AE61">
        <v>0.18614718614718612</v>
      </c>
      <c r="AF61">
        <v>0.81385281385281383</v>
      </c>
      <c r="AH61">
        <v>6</v>
      </c>
      <c r="AI61">
        <v>0.6057095446170685</v>
      </c>
      <c r="AJ61" t="e">
        <v>#DIV/0!</v>
      </c>
    </row>
    <row r="62" spans="28:36" x14ac:dyDescent="0.25">
      <c r="AB62" s="20" t="s">
        <v>537</v>
      </c>
      <c r="AC62">
        <v>4</v>
      </c>
      <c r="AD62">
        <v>0.75211029734159873</v>
      </c>
      <c r="AE62">
        <v>0.14583333333333331</v>
      </c>
      <c r="AF62">
        <v>0.85416666666666674</v>
      </c>
      <c r="AG62">
        <v>1200</v>
      </c>
      <c r="AH62">
        <v>6</v>
      </c>
      <c r="AI62">
        <v>0.71875898800275517</v>
      </c>
      <c r="AJ62">
        <v>9.4014415543716701E-2</v>
      </c>
    </row>
    <row r="63" spans="28:36" x14ac:dyDescent="0.25">
      <c r="AB63" s="20" t="s">
        <v>511</v>
      </c>
      <c r="AC63">
        <v>2</v>
      </c>
      <c r="AD63">
        <v>9.3510120998221646E-2</v>
      </c>
      <c r="AE63">
        <v>0.20833333333333337</v>
      </c>
      <c r="AF63">
        <v>0.79166666666666663</v>
      </c>
      <c r="AG63">
        <v>400</v>
      </c>
      <c r="AH63">
        <v>2</v>
      </c>
      <c r="AI63">
        <v>0.52839226255496274</v>
      </c>
      <c r="AJ63">
        <v>6.4547361626593511E-2</v>
      </c>
    </row>
    <row r="64" spans="28:36" x14ac:dyDescent="0.25">
      <c r="AB64" s="20" t="s">
        <v>520</v>
      </c>
      <c r="AC64">
        <v>5</v>
      </c>
      <c r="AD64">
        <v>0.38457927261315727</v>
      </c>
      <c r="AE64">
        <v>0.16938405797101452</v>
      </c>
      <c r="AF64">
        <v>0.83061594202898548</v>
      </c>
      <c r="AH64">
        <v>2</v>
      </c>
      <c r="AI64">
        <v>0.68839840488071435</v>
      </c>
      <c r="AJ64" t="e">
        <v>#DIV/0!</v>
      </c>
    </row>
    <row r="65" spans="28:36" x14ac:dyDescent="0.25">
      <c r="AB65" s="20" t="s">
        <v>609</v>
      </c>
      <c r="AC65">
        <v>1</v>
      </c>
      <c r="AD65">
        <v>0.47292913752400967</v>
      </c>
      <c r="AE65">
        <v>0.13636363636363635</v>
      </c>
      <c r="AF65">
        <v>0.86363636363636365</v>
      </c>
      <c r="AH65">
        <v>0</v>
      </c>
      <c r="AI65">
        <v>0.66828275058018671</v>
      </c>
      <c r="AJ65" t="e">
        <v>#DIV/0!</v>
      </c>
    </row>
    <row r="66" spans="28:36" x14ac:dyDescent="0.25">
      <c r="AB66" s="20" t="s">
        <v>579</v>
      </c>
      <c r="AC66">
        <v>4</v>
      </c>
      <c r="AD66">
        <v>0.3771577271677633</v>
      </c>
      <c r="AE66">
        <v>9.0909090909090939E-2</v>
      </c>
      <c r="AF66">
        <v>0.90909090909090906</v>
      </c>
      <c r="AH66">
        <v>2</v>
      </c>
      <c r="AI66">
        <v>0.66208287875289085</v>
      </c>
      <c r="AJ66" t="e">
        <v>#DIV/0!</v>
      </c>
    </row>
    <row r="67" spans="28:36" x14ac:dyDescent="0.25">
      <c r="AB67" s="20" t="s">
        <v>599</v>
      </c>
      <c r="AC67">
        <v>2</v>
      </c>
      <c r="AD67">
        <v>6.1071493834870982E-2</v>
      </c>
      <c r="AE67">
        <v>5.0000000000000044E-2</v>
      </c>
      <c r="AF67">
        <v>0.95</v>
      </c>
      <c r="AH67">
        <v>2</v>
      </c>
      <c r="AI67">
        <v>0.57035716461162367</v>
      </c>
      <c r="AJ67" t="e">
        <v>#DIV/0!</v>
      </c>
    </row>
    <row r="68" spans="28:36" x14ac:dyDescent="0.25">
      <c r="AB68" s="20" t="s">
        <v>412</v>
      </c>
      <c r="AC68">
        <v>4</v>
      </c>
      <c r="AD68">
        <v>0.11997175374992347</v>
      </c>
      <c r="AE68">
        <v>0.22567287784679091</v>
      </c>
      <c r="AF68">
        <v>0.77432712215320909</v>
      </c>
      <c r="AH68">
        <v>3</v>
      </c>
      <c r="AI68">
        <v>0.55643295863437747</v>
      </c>
      <c r="AJ68" t="e">
        <v>#DIV/0!</v>
      </c>
    </row>
    <row r="69" spans="28:36" x14ac:dyDescent="0.25">
      <c r="AB69" s="20" t="s">
        <v>480</v>
      </c>
      <c r="AC69">
        <v>4</v>
      </c>
      <c r="AD69">
        <v>0.33211798460278469</v>
      </c>
      <c r="AE69">
        <v>0.17222222222222219</v>
      </c>
      <c r="AF69">
        <v>0.82777777777777783</v>
      </c>
      <c r="AH69">
        <v>5</v>
      </c>
      <c r="AI69">
        <v>0.61517150284056354</v>
      </c>
      <c r="AJ69" t="e">
        <v>#DIV/0!</v>
      </c>
    </row>
    <row r="70" spans="28:36" x14ac:dyDescent="0.25">
      <c r="AB70" s="20" t="s">
        <v>583</v>
      </c>
      <c r="AC70">
        <v>2</v>
      </c>
      <c r="AD70">
        <v>0.31555064806654182</v>
      </c>
      <c r="AE70">
        <v>0.12916666666666671</v>
      </c>
      <c r="AF70">
        <v>0.87083333333333335</v>
      </c>
      <c r="AG70">
        <v>300</v>
      </c>
      <c r="AH70">
        <v>5</v>
      </c>
      <c r="AI70">
        <v>0.603794660466625</v>
      </c>
      <c r="AJ70">
        <v>4.9825610363726958E-2</v>
      </c>
    </row>
    <row r="71" spans="28:36" x14ac:dyDescent="0.25">
      <c r="AB71" s="20" t="s">
        <v>590</v>
      </c>
      <c r="AC71">
        <v>1</v>
      </c>
      <c r="AD71">
        <v>0.81135702620091099</v>
      </c>
      <c r="AE71">
        <v>9.9999999999999978E-2</v>
      </c>
      <c r="AF71">
        <v>0.9</v>
      </c>
      <c r="AH71">
        <v>1</v>
      </c>
      <c r="AI71">
        <v>0.85378567540030359</v>
      </c>
      <c r="AJ71" t="e">
        <v>#DIV/0!</v>
      </c>
    </row>
    <row r="72" spans="28:36" x14ac:dyDescent="0.25">
      <c r="AB72" s="20" t="s">
        <v>466</v>
      </c>
      <c r="AC72">
        <v>1</v>
      </c>
      <c r="AD72">
        <v>0.9107905057608956</v>
      </c>
      <c r="AE72">
        <v>9.0909090909090939E-2</v>
      </c>
      <c r="AF72">
        <v>0.90909090909090906</v>
      </c>
      <c r="AH72">
        <v>1</v>
      </c>
      <c r="AI72">
        <v>0.88996047161726821</v>
      </c>
      <c r="AJ72" t="e">
        <v>#DIV/0!</v>
      </c>
    </row>
    <row r="73" spans="28:36" x14ac:dyDescent="0.25">
      <c r="AB73" s="20" t="s">
        <v>518</v>
      </c>
      <c r="AC73">
        <v>4</v>
      </c>
      <c r="AD73">
        <v>0.53971222499005955</v>
      </c>
      <c r="AE73">
        <v>0.14520202020202022</v>
      </c>
      <c r="AF73">
        <v>0.85479797979797978</v>
      </c>
      <c r="AG73">
        <v>400</v>
      </c>
      <c r="AH73">
        <v>7</v>
      </c>
      <c r="AI73">
        <v>0.68150340159601308</v>
      </c>
      <c r="AJ73">
        <v>8.3263946711074108E-2</v>
      </c>
    </row>
    <row r="74" spans="28:36" x14ac:dyDescent="0.25">
      <c r="AB74" s="20" t="s">
        <v>490</v>
      </c>
      <c r="AC74">
        <v>2</v>
      </c>
      <c r="AD74">
        <v>0.69599672104579624</v>
      </c>
      <c r="AE74">
        <v>0.20833333333333337</v>
      </c>
      <c r="AF74">
        <v>0.79166666666666663</v>
      </c>
      <c r="AH74">
        <v>0</v>
      </c>
      <c r="AI74">
        <v>0.74383169385623149</v>
      </c>
      <c r="AJ74" t="e">
        <v>#DIV/0!</v>
      </c>
    </row>
    <row r="75" spans="28:36" x14ac:dyDescent="0.25">
      <c r="AB75" s="20" t="s">
        <v>435</v>
      </c>
      <c r="AC75">
        <v>4</v>
      </c>
      <c r="AD75">
        <v>0.69744631697774429</v>
      </c>
      <c r="AE75">
        <v>0.19112318840579712</v>
      </c>
      <c r="AF75">
        <v>0.80887681159420288</v>
      </c>
      <c r="AH75">
        <v>4</v>
      </c>
      <c r="AI75">
        <v>0.73544104285731571</v>
      </c>
      <c r="AJ75" t="e">
        <v>#DIV/0!</v>
      </c>
    </row>
    <row r="76" spans="28:36" x14ac:dyDescent="0.25">
      <c r="AB76" s="20" t="s">
        <v>387</v>
      </c>
      <c r="AC76">
        <v>5</v>
      </c>
      <c r="AD76">
        <v>0.13211035329109055</v>
      </c>
      <c r="AE76">
        <v>0.16666666666666663</v>
      </c>
      <c r="AF76">
        <v>0.83333333333333337</v>
      </c>
      <c r="AH76">
        <v>0</v>
      </c>
      <c r="AI76">
        <v>0.48272184331221196</v>
      </c>
      <c r="AJ76" t="e">
        <v>#DIV/0!</v>
      </c>
    </row>
    <row r="77" spans="28:36" x14ac:dyDescent="0.25">
      <c r="AB77" s="20" t="s">
        <v>478</v>
      </c>
      <c r="AC77">
        <v>4</v>
      </c>
      <c r="AD77">
        <v>0.8061035821423812</v>
      </c>
      <c r="AE77">
        <v>6.8181818181818177E-2</v>
      </c>
      <c r="AF77">
        <v>0.93181818181818188</v>
      </c>
      <c r="AH77">
        <v>4</v>
      </c>
      <c r="AI77">
        <v>0.81264058798685435</v>
      </c>
      <c r="AJ77" t="e">
        <v>#DIV/0!</v>
      </c>
    </row>
    <row r="78" spans="28:36" x14ac:dyDescent="0.25">
      <c r="AB78" s="20" t="s">
        <v>534</v>
      </c>
      <c r="AC78">
        <v>4</v>
      </c>
      <c r="AD78">
        <v>0.35281190049596989</v>
      </c>
      <c r="AE78">
        <v>0</v>
      </c>
      <c r="AF78">
        <v>1</v>
      </c>
      <c r="AH78">
        <v>2</v>
      </c>
      <c r="AI78">
        <v>0.68427063349865647</v>
      </c>
      <c r="AJ78" t="e">
        <v>#DIV/0!</v>
      </c>
    </row>
    <row r="79" spans="28:36" x14ac:dyDescent="0.25">
      <c r="AB79" s="20" t="s">
        <v>483</v>
      </c>
      <c r="AC79">
        <v>5</v>
      </c>
      <c r="AD79">
        <v>0.40134135744233063</v>
      </c>
      <c r="AE79">
        <v>0.2</v>
      </c>
      <c r="AF79">
        <v>0.8</v>
      </c>
      <c r="AH79">
        <v>3</v>
      </c>
      <c r="AI79">
        <v>0.65878045248077699</v>
      </c>
      <c r="AJ79" t="e">
        <v>#DIV/0!</v>
      </c>
    </row>
    <row r="80" spans="28:36" x14ac:dyDescent="0.25">
      <c r="AB80" s="20" t="s">
        <v>598</v>
      </c>
      <c r="AC80">
        <v>4</v>
      </c>
      <c r="AD80">
        <v>0.48680947374238809</v>
      </c>
      <c r="AE80">
        <v>0.17234848484848486</v>
      </c>
      <c r="AF80">
        <v>0.82765151515151514</v>
      </c>
      <c r="AH80">
        <v>2</v>
      </c>
      <c r="AI80">
        <v>0.65955898611018027</v>
      </c>
      <c r="AJ80" t="e">
        <v>#DIV/0!</v>
      </c>
    </row>
    <row r="81" spans="28:36" x14ac:dyDescent="0.25">
      <c r="AB81" s="20" t="s">
        <v>597</v>
      </c>
      <c r="AC81">
        <v>3</v>
      </c>
      <c r="AD81">
        <v>0.55419784189597499</v>
      </c>
      <c r="AE81">
        <v>0.20543478260869569</v>
      </c>
      <c r="AF81">
        <v>0.79456521739130426</v>
      </c>
      <c r="AG81">
        <v>600</v>
      </c>
      <c r="AH81">
        <v>2</v>
      </c>
      <c r="AI81">
        <v>0.70167078633505142</v>
      </c>
      <c r="AJ81">
        <v>3.2289312237649338E-2</v>
      </c>
    </row>
    <row r="82" spans="28:36" x14ac:dyDescent="0.25">
      <c r="AB82" s="20" t="s">
        <v>401</v>
      </c>
      <c r="AC82">
        <v>1</v>
      </c>
      <c r="AD82">
        <v>0.72585271518524153</v>
      </c>
      <c r="AE82">
        <v>0.26086956521739135</v>
      </c>
      <c r="AF82">
        <v>0.73913043478260865</v>
      </c>
      <c r="AG82">
        <v>500</v>
      </c>
      <c r="AH82">
        <v>0</v>
      </c>
      <c r="AI82">
        <v>0.73249157498392514</v>
      </c>
      <c r="AJ82">
        <v>5.2770448548812667E-2</v>
      </c>
    </row>
    <row r="83" spans="28:36" x14ac:dyDescent="0.25">
      <c r="AB83" s="20" t="s">
        <v>507</v>
      </c>
      <c r="AC83">
        <v>1</v>
      </c>
      <c r="AD83">
        <v>0.86957834840048465</v>
      </c>
      <c r="AE83">
        <v>0.25</v>
      </c>
      <c r="AF83">
        <v>0.75</v>
      </c>
      <c r="AH83">
        <v>2</v>
      </c>
      <c r="AI83">
        <v>0.77319278280016146</v>
      </c>
      <c r="AJ83" t="e">
        <v>#DIV/0!</v>
      </c>
    </row>
    <row r="84" spans="28:36" x14ac:dyDescent="0.25">
      <c r="AB84" s="20" t="s">
        <v>404</v>
      </c>
      <c r="AC84">
        <v>4</v>
      </c>
      <c r="AD84">
        <v>0.86787696150893956</v>
      </c>
      <c r="AE84">
        <v>0.24544356609574</v>
      </c>
      <c r="AF84">
        <v>0.75455643390425997</v>
      </c>
      <c r="AG84">
        <v>1000</v>
      </c>
      <c r="AH84">
        <v>2</v>
      </c>
      <c r="AI84">
        <v>0.82276556309826276</v>
      </c>
      <c r="AJ84">
        <v>0.12439358129120537</v>
      </c>
    </row>
    <row r="85" spans="28:36" x14ac:dyDescent="0.25">
      <c r="AB85" s="20" t="s">
        <v>462</v>
      </c>
      <c r="AC85">
        <v>2</v>
      </c>
      <c r="AD85">
        <v>0.56437440544947182</v>
      </c>
      <c r="AE85">
        <v>5.0000000000000044E-2</v>
      </c>
      <c r="AF85">
        <v>0.95</v>
      </c>
      <c r="AH85">
        <v>3</v>
      </c>
      <c r="AI85">
        <v>0.68812480181649072</v>
      </c>
      <c r="AJ85" t="e">
        <v>#DIV/0!</v>
      </c>
    </row>
    <row r="86" spans="28:36" x14ac:dyDescent="0.25">
      <c r="AB86" s="20" t="s">
        <v>566</v>
      </c>
      <c r="AC86">
        <v>2</v>
      </c>
      <c r="AD86">
        <v>0.54519975009538058</v>
      </c>
      <c r="AE86">
        <v>0.17391304347826086</v>
      </c>
      <c r="AF86">
        <v>0.82608695652173914</v>
      </c>
      <c r="AG86">
        <v>700</v>
      </c>
      <c r="AH86">
        <v>1</v>
      </c>
      <c r="AI86">
        <v>0.74042890220570656</v>
      </c>
      <c r="AJ86">
        <v>0.12058570198105081</v>
      </c>
    </row>
    <row r="87" spans="28:36" x14ac:dyDescent="0.25">
      <c r="AB87" s="20" t="s">
        <v>475</v>
      </c>
      <c r="AC87">
        <v>5</v>
      </c>
      <c r="AD87">
        <v>0.9387112992896508</v>
      </c>
      <c r="AE87">
        <v>5.0000000000000044E-2</v>
      </c>
      <c r="AF87">
        <v>0.95</v>
      </c>
      <c r="AG87">
        <v>1000</v>
      </c>
      <c r="AH87">
        <v>0</v>
      </c>
      <c r="AI87">
        <v>0.94435564964482532</v>
      </c>
      <c r="AJ87">
        <v>0.13078733978550877</v>
      </c>
    </row>
    <row r="88" spans="28:36" x14ac:dyDescent="0.25">
      <c r="AB88" s="20" t="s">
        <v>418</v>
      </c>
      <c r="AC88">
        <v>3</v>
      </c>
      <c r="AD88">
        <v>0.42367205342225589</v>
      </c>
      <c r="AE88">
        <v>0.13636363636363635</v>
      </c>
      <c r="AF88">
        <v>0.86363636363636365</v>
      </c>
      <c r="AH88">
        <v>1</v>
      </c>
      <c r="AI88">
        <v>0.71243613901953984</v>
      </c>
      <c r="AJ88" t="e">
        <v>#DIV/0!</v>
      </c>
    </row>
    <row r="89" spans="28:36" x14ac:dyDescent="0.25">
      <c r="AB89" s="20" t="s">
        <v>388</v>
      </c>
      <c r="AC89">
        <v>1</v>
      </c>
      <c r="AD89">
        <v>0.19900932903771662</v>
      </c>
      <c r="AE89">
        <v>0.16666666666666663</v>
      </c>
      <c r="AF89">
        <v>0.83333333333333337</v>
      </c>
      <c r="AH89">
        <v>1</v>
      </c>
      <c r="AI89">
        <v>0.62744755412368336</v>
      </c>
      <c r="AJ89" t="e">
        <v>#DIV/0!</v>
      </c>
    </row>
    <row r="90" spans="28:36" x14ac:dyDescent="0.25">
      <c r="AB90" s="20" t="s">
        <v>547</v>
      </c>
      <c r="AC90">
        <v>5</v>
      </c>
      <c r="AD90">
        <v>0.52864943005819565</v>
      </c>
      <c r="AE90">
        <v>0.15711462450592886</v>
      </c>
      <c r="AF90">
        <v>0.84288537549407117</v>
      </c>
      <c r="AG90">
        <v>200</v>
      </c>
      <c r="AH90">
        <v>4</v>
      </c>
      <c r="AI90">
        <v>0.70972197052979757</v>
      </c>
      <c r="AJ90">
        <v>2.0406081012141617E-2</v>
      </c>
    </row>
    <row r="91" spans="28:36" x14ac:dyDescent="0.25">
      <c r="AB91" s="20" t="s">
        <v>543</v>
      </c>
      <c r="AC91">
        <v>5</v>
      </c>
      <c r="AD91">
        <v>0.55548197815132883</v>
      </c>
      <c r="AE91">
        <v>0.25</v>
      </c>
      <c r="AF91">
        <v>0.75</v>
      </c>
      <c r="AH91">
        <v>2</v>
      </c>
      <c r="AI91">
        <v>0.66849399271710952</v>
      </c>
      <c r="AJ91" t="e">
        <v>#DIV/0!</v>
      </c>
    </row>
    <row r="92" spans="28:36" x14ac:dyDescent="0.25">
      <c r="AB92" s="20" t="s">
        <v>526</v>
      </c>
      <c r="AC92">
        <v>4</v>
      </c>
      <c r="AD92">
        <v>0.50288529683342376</v>
      </c>
      <c r="AE92">
        <v>0.25</v>
      </c>
      <c r="AF92">
        <v>0.75</v>
      </c>
      <c r="AH92">
        <v>0</v>
      </c>
      <c r="AI92">
        <v>0.62644264841671182</v>
      </c>
      <c r="AJ92" t="e">
        <v>#DIV/0!</v>
      </c>
    </row>
    <row r="93" spans="28:36" x14ac:dyDescent="0.25">
      <c r="AB93" s="20" t="s">
        <v>395</v>
      </c>
      <c r="AC93">
        <v>5</v>
      </c>
      <c r="AD93">
        <v>0.15126823676472578</v>
      </c>
      <c r="AE93">
        <v>0.13369565217391305</v>
      </c>
      <c r="AF93">
        <v>0.86630434782608701</v>
      </c>
      <c r="AH93">
        <v>4</v>
      </c>
      <c r="AI93">
        <v>0.57252419486360417</v>
      </c>
      <c r="AJ93" t="e">
        <v>#DIV/0!</v>
      </c>
    </row>
    <row r="94" spans="28:36" x14ac:dyDescent="0.25">
      <c r="AB94" s="20" t="s">
        <v>528</v>
      </c>
      <c r="AC94">
        <v>3</v>
      </c>
      <c r="AD94">
        <v>0.73899334888703294</v>
      </c>
      <c r="AE94">
        <v>0.1428571428571429</v>
      </c>
      <c r="AF94">
        <v>0.8571428571428571</v>
      </c>
      <c r="AH94">
        <v>2</v>
      </c>
      <c r="AI94">
        <v>0.76537873534329659</v>
      </c>
      <c r="AJ94" t="e">
        <v>#DIV/0!</v>
      </c>
    </row>
    <row r="95" spans="28:36" x14ac:dyDescent="0.25">
      <c r="AB95" s="20" t="s">
        <v>467</v>
      </c>
      <c r="AC95">
        <v>1</v>
      </c>
      <c r="AD95">
        <v>0.47290124655431143</v>
      </c>
      <c r="AE95">
        <v>0.21739130434782605</v>
      </c>
      <c r="AF95">
        <v>0.78260869565217395</v>
      </c>
      <c r="AG95">
        <v>1000</v>
      </c>
      <c r="AH95">
        <v>3</v>
      </c>
      <c r="AI95">
        <v>0.60183664740216181</v>
      </c>
      <c r="AJ95">
        <v>0.11210762331838565</v>
      </c>
    </row>
    <row r="96" spans="28:36" x14ac:dyDescent="0.25">
      <c r="AB96" s="20" t="s">
        <v>489</v>
      </c>
      <c r="AC96">
        <v>5</v>
      </c>
      <c r="AD96">
        <v>0.72365880364773705</v>
      </c>
      <c r="AE96">
        <v>0.25</v>
      </c>
      <c r="AF96">
        <v>0.75</v>
      </c>
      <c r="AH96">
        <v>3</v>
      </c>
      <c r="AI96">
        <v>0.6745529345492457</v>
      </c>
      <c r="AJ96" t="e">
        <v>#DIV/0!</v>
      </c>
    </row>
    <row r="97" spans="28:36" x14ac:dyDescent="0.25">
      <c r="AB97" s="20" t="s">
        <v>430</v>
      </c>
      <c r="AC97">
        <v>3</v>
      </c>
      <c r="AD97">
        <v>0.82161957794753882</v>
      </c>
      <c r="AE97">
        <v>0.19112318840579712</v>
      </c>
      <c r="AF97">
        <v>0.80887681159420288</v>
      </c>
      <c r="AH97">
        <v>3</v>
      </c>
      <c r="AI97">
        <v>0.80183212984724728</v>
      </c>
      <c r="AJ97" t="e">
        <v>#DIV/0!</v>
      </c>
    </row>
    <row r="98" spans="28:36" x14ac:dyDescent="0.25">
      <c r="AB98" s="20" t="s">
        <v>605</v>
      </c>
      <c r="AC98">
        <v>5</v>
      </c>
      <c r="AD98">
        <v>0.50731325604845778</v>
      </c>
      <c r="AE98">
        <v>0.22916666666666663</v>
      </c>
      <c r="AF98">
        <v>0.77083333333333337</v>
      </c>
      <c r="AG98">
        <v>500</v>
      </c>
      <c r="AH98">
        <v>3</v>
      </c>
      <c r="AI98">
        <v>0.66750595465400675</v>
      </c>
      <c r="AJ98">
        <v>5.415944540727903E-2</v>
      </c>
    </row>
    <row r="99" spans="28:36" x14ac:dyDescent="0.25">
      <c r="AB99" s="20" t="s">
        <v>413</v>
      </c>
      <c r="AC99">
        <v>4</v>
      </c>
      <c r="AD99">
        <v>0.44463525262662817</v>
      </c>
      <c r="AE99">
        <v>0.26086956521739135</v>
      </c>
      <c r="AF99">
        <v>0.73913043478260865</v>
      </c>
      <c r="AH99">
        <v>2</v>
      </c>
      <c r="AI99">
        <v>0.62792189580307889</v>
      </c>
      <c r="AJ99" t="e">
        <v>#DIV/0!</v>
      </c>
    </row>
    <row r="100" spans="28:36" x14ac:dyDescent="0.25">
      <c r="AB100" s="20" t="s">
        <v>573</v>
      </c>
      <c r="AC100">
        <v>3</v>
      </c>
      <c r="AD100">
        <v>0.3450156525714031</v>
      </c>
      <c r="AE100">
        <v>8.6956521739130432E-2</v>
      </c>
      <c r="AF100">
        <v>0.91304347826086962</v>
      </c>
      <c r="AG100">
        <v>400</v>
      </c>
      <c r="AH100">
        <v>5</v>
      </c>
      <c r="AI100">
        <v>0.62768637694409091</v>
      </c>
      <c r="AJ100">
        <v>7.3827980804724996E-2</v>
      </c>
    </row>
    <row r="101" spans="28:36" x14ac:dyDescent="0.25">
      <c r="AB101" s="20" t="s">
        <v>417</v>
      </c>
      <c r="AC101">
        <v>3</v>
      </c>
      <c r="AD101">
        <v>0.89674710604423546</v>
      </c>
      <c r="AE101">
        <v>0.18181818181818177</v>
      </c>
      <c r="AF101">
        <v>0.81818181818181823</v>
      </c>
      <c r="AH101">
        <v>2</v>
      </c>
      <c r="AI101">
        <v>0.80497630807535125</v>
      </c>
      <c r="AJ101" t="e">
        <v>#DIV/0!</v>
      </c>
    </row>
    <row r="102" spans="28:36" x14ac:dyDescent="0.25">
      <c r="AB102" s="20" t="s">
        <v>473</v>
      </c>
      <c r="AC102">
        <v>1</v>
      </c>
      <c r="AD102">
        <v>0.44728815783178411</v>
      </c>
      <c r="AE102">
        <v>0.13043478260869568</v>
      </c>
      <c r="AF102">
        <v>0.86956521739130432</v>
      </c>
      <c r="AH102">
        <v>1</v>
      </c>
      <c r="AI102">
        <v>0.72228445840769606</v>
      </c>
      <c r="AJ102" t="e">
        <v>#DIV/0!</v>
      </c>
    </row>
    <row r="103" spans="28:36" x14ac:dyDescent="0.25">
      <c r="AB103" s="20" t="s">
        <v>502</v>
      </c>
      <c r="AC103">
        <v>3</v>
      </c>
      <c r="AD103">
        <v>0.29932485858173818</v>
      </c>
      <c r="AE103">
        <v>0.21739130434782605</v>
      </c>
      <c r="AF103">
        <v>0.78260869565217395</v>
      </c>
      <c r="AH103">
        <v>0</v>
      </c>
      <c r="AI103">
        <v>0.54096677711695607</v>
      </c>
      <c r="AJ103" t="e">
        <v>#DIV/0!</v>
      </c>
    </row>
    <row r="104" spans="28:36" x14ac:dyDescent="0.25">
      <c r="AB104" s="20" t="s">
        <v>585</v>
      </c>
      <c r="AC104">
        <v>3</v>
      </c>
      <c r="AD104">
        <v>0.3827367158386954</v>
      </c>
      <c r="AE104">
        <v>0.20833333333333337</v>
      </c>
      <c r="AF104">
        <v>0.79166666666666663</v>
      </c>
      <c r="AG104">
        <v>500</v>
      </c>
      <c r="AH104">
        <v>3</v>
      </c>
      <c r="AI104">
        <v>0.57480112750178736</v>
      </c>
      <c r="AJ104">
        <v>5.7910586055130879E-2</v>
      </c>
    </row>
    <row r="105" spans="28:36" x14ac:dyDescent="0.25">
      <c r="AB105" s="20" t="s">
        <v>393</v>
      </c>
      <c r="AC105">
        <v>1</v>
      </c>
      <c r="AD105">
        <v>0.61013096969698066</v>
      </c>
      <c r="AE105">
        <v>0.19047619047619047</v>
      </c>
      <c r="AF105">
        <v>0.80952380952380953</v>
      </c>
      <c r="AH105">
        <v>1</v>
      </c>
      <c r="AI105">
        <v>0.75655159307359676</v>
      </c>
      <c r="AJ105" t="e">
        <v>#DIV/0!</v>
      </c>
    </row>
    <row r="106" spans="28:36" x14ac:dyDescent="0.25">
      <c r="AB106" s="20" t="s">
        <v>472</v>
      </c>
      <c r="AC106">
        <v>2</v>
      </c>
      <c r="AD106">
        <v>0.57185679989978788</v>
      </c>
      <c r="AE106">
        <v>0.25</v>
      </c>
      <c r="AF106">
        <v>0.75</v>
      </c>
      <c r="AH106">
        <v>1</v>
      </c>
      <c r="AI106">
        <v>0.72395226663326262</v>
      </c>
      <c r="AJ106" t="e">
        <v>#DIV/0!</v>
      </c>
    </row>
    <row r="107" spans="28:36" x14ac:dyDescent="0.25">
      <c r="AB107" s="20" t="s">
        <v>422</v>
      </c>
      <c r="AC107">
        <v>3</v>
      </c>
      <c r="AD107">
        <v>0.98294574480518859</v>
      </c>
      <c r="AE107">
        <v>0.13636363636363635</v>
      </c>
      <c r="AF107">
        <v>0.86363636363636365</v>
      </c>
      <c r="AH107">
        <v>3</v>
      </c>
      <c r="AI107">
        <v>0.79886070281385069</v>
      </c>
      <c r="AJ107" t="e">
        <v>#DIV/0!</v>
      </c>
    </row>
    <row r="108" spans="28:36" x14ac:dyDescent="0.25">
      <c r="AB108" s="20" t="s">
        <v>416</v>
      </c>
      <c r="AC108">
        <v>3</v>
      </c>
      <c r="AD108">
        <v>0.32056749739348228</v>
      </c>
      <c r="AE108">
        <v>0.23863636363636365</v>
      </c>
      <c r="AF108">
        <v>0.76136363636363635</v>
      </c>
      <c r="AH108">
        <v>4</v>
      </c>
      <c r="AI108">
        <v>0.59397704458570622</v>
      </c>
      <c r="AJ108" t="e">
        <v>#DIV/0!</v>
      </c>
    </row>
    <row r="109" spans="28:36" x14ac:dyDescent="0.25">
      <c r="AB109" s="20" t="s">
        <v>446</v>
      </c>
      <c r="AC109">
        <v>4</v>
      </c>
      <c r="AD109">
        <v>0.82479846107656618</v>
      </c>
      <c r="AE109">
        <v>0.16666666666666663</v>
      </c>
      <c r="AF109">
        <v>0.83333333333333337</v>
      </c>
      <c r="AH109">
        <v>0</v>
      </c>
      <c r="AI109">
        <v>0.82906589720494983</v>
      </c>
      <c r="AJ109" t="e">
        <v>#DIV/0!</v>
      </c>
    </row>
    <row r="110" spans="28:36" x14ac:dyDescent="0.25">
      <c r="AB110" s="20" t="s">
        <v>441</v>
      </c>
      <c r="AC110">
        <v>1</v>
      </c>
      <c r="AD110">
        <v>0.47995110585788214</v>
      </c>
      <c r="AE110">
        <v>0.16666666666666663</v>
      </c>
      <c r="AF110">
        <v>0.83333333333333337</v>
      </c>
      <c r="AG110">
        <v>500</v>
      </c>
      <c r="AH110">
        <v>1</v>
      </c>
      <c r="AI110">
        <v>0.72109481306373846</v>
      </c>
      <c r="AJ110">
        <v>5.5248618784530384E-2</v>
      </c>
    </row>
    <row r="111" spans="28:36" x14ac:dyDescent="0.25">
      <c r="AB111" s="20" t="s">
        <v>452</v>
      </c>
      <c r="AC111">
        <v>4</v>
      </c>
      <c r="AD111">
        <v>0.73504790812600762</v>
      </c>
      <c r="AE111">
        <v>0.16666666666666663</v>
      </c>
      <c r="AF111">
        <v>0.83333333333333337</v>
      </c>
      <c r="AH111">
        <v>0</v>
      </c>
      <c r="AI111">
        <v>0.7841906207296705</v>
      </c>
      <c r="AJ111" t="e">
        <v>#DIV/0!</v>
      </c>
    </row>
    <row r="112" spans="28:36" x14ac:dyDescent="0.25">
      <c r="AB112" s="20" t="s">
        <v>493</v>
      </c>
      <c r="AC112">
        <v>4</v>
      </c>
      <c r="AD112">
        <v>0.77062264552913651</v>
      </c>
      <c r="AE112">
        <v>0.17391304347826086</v>
      </c>
      <c r="AF112">
        <v>0.82608695652173914</v>
      </c>
      <c r="AH112">
        <v>1</v>
      </c>
      <c r="AI112">
        <v>0.81556986735029191</v>
      </c>
      <c r="AJ112" t="e">
        <v>#DIV/0!</v>
      </c>
    </row>
    <row r="113" spans="28:36" x14ac:dyDescent="0.25">
      <c r="AB113" s="20" t="s">
        <v>525</v>
      </c>
      <c r="AC113">
        <v>4</v>
      </c>
      <c r="AD113">
        <v>0.44881225548674258</v>
      </c>
      <c r="AE113">
        <v>0.17391304347826086</v>
      </c>
      <c r="AF113">
        <v>0.82608695652173914</v>
      </c>
      <c r="AG113">
        <v>400</v>
      </c>
      <c r="AH113">
        <v>1</v>
      </c>
      <c r="AI113">
        <v>0.68805078187699498</v>
      </c>
      <c r="AJ113">
        <v>7.6982294072363358E-2</v>
      </c>
    </row>
    <row r="114" spans="28:36" x14ac:dyDescent="0.25">
      <c r="AB114" s="20" t="s">
        <v>424</v>
      </c>
      <c r="AC114">
        <v>1</v>
      </c>
      <c r="AD114">
        <v>3.8547608568931357E-2</v>
      </c>
      <c r="AE114">
        <v>5.0000000000000044E-2</v>
      </c>
      <c r="AF114">
        <v>0.95</v>
      </c>
      <c r="AH114">
        <v>1</v>
      </c>
      <c r="AI114">
        <v>0.6128492028563105</v>
      </c>
      <c r="AJ114" t="e">
        <v>#DIV/0!</v>
      </c>
    </row>
    <row r="115" spans="28:36" x14ac:dyDescent="0.25">
      <c r="AB115" s="20" t="s">
        <v>461</v>
      </c>
      <c r="AC115">
        <v>2</v>
      </c>
      <c r="AD115">
        <v>0.37327817864334645</v>
      </c>
      <c r="AE115">
        <v>0.13043478260869568</v>
      </c>
      <c r="AF115">
        <v>0.86956521739130432</v>
      </c>
      <c r="AH115">
        <v>2</v>
      </c>
      <c r="AI115">
        <v>0.64761446534488354</v>
      </c>
      <c r="AJ115" t="e">
        <v>#DIV/0!</v>
      </c>
    </row>
    <row r="116" spans="28:36" x14ac:dyDescent="0.25">
      <c r="AB116" s="20" t="s">
        <v>499</v>
      </c>
      <c r="AC116">
        <v>2</v>
      </c>
      <c r="AD116">
        <v>0.13053873717958775</v>
      </c>
      <c r="AE116">
        <v>0.29166666666666663</v>
      </c>
      <c r="AF116">
        <v>0.70833333333333337</v>
      </c>
      <c r="AH116">
        <v>3</v>
      </c>
      <c r="AI116">
        <v>0.46295735683764039</v>
      </c>
      <c r="AJ116" t="e">
        <v>#DIV/0!</v>
      </c>
    </row>
    <row r="117" spans="28:36" x14ac:dyDescent="0.25">
      <c r="AB117" s="20" t="s">
        <v>516</v>
      </c>
      <c r="AC117">
        <v>2</v>
      </c>
      <c r="AD117">
        <v>0.9232326930716187</v>
      </c>
      <c r="AE117">
        <v>0.15000000000000002</v>
      </c>
      <c r="AF117">
        <v>0.85</v>
      </c>
      <c r="AH117">
        <v>3</v>
      </c>
      <c r="AI117">
        <v>0.77441089769053961</v>
      </c>
      <c r="AJ117" t="e">
        <v>#DIV/0!</v>
      </c>
    </row>
    <row r="118" spans="28:36" x14ac:dyDescent="0.25">
      <c r="AB118" s="20" t="s">
        <v>584</v>
      </c>
      <c r="AC118">
        <v>4</v>
      </c>
      <c r="AD118">
        <v>0.33853516765628466</v>
      </c>
      <c r="AE118">
        <v>0.16666666666666663</v>
      </c>
      <c r="AF118">
        <v>0.83333333333333337</v>
      </c>
      <c r="AH118">
        <v>2</v>
      </c>
      <c r="AI118">
        <v>0.62395616699653933</v>
      </c>
      <c r="AJ118" t="e">
        <v>#DIV/0!</v>
      </c>
    </row>
    <row r="119" spans="28:36" x14ac:dyDescent="0.25">
      <c r="AB119" s="20" t="s">
        <v>474</v>
      </c>
      <c r="AC119">
        <v>5</v>
      </c>
      <c r="AD119">
        <v>0.35687908632956855</v>
      </c>
      <c r="AE119">
        <v>0.16666666666666663</v>
      </c>
      <c r="AF119">
        <v>0.83333333333333337</v>
      </c>
      <c r="AH119">
        <v>0</v>
      </c>
      <c r="AI119">
        <v>0.59510620983145102</v>
      </c>
      <c r="AJ119" t="e">
        <v>#DIV/0!</v>
      </c>
    </row>
    <row r="120" spans="28:36" x14ac:dyDescent="0.25">
      <c r="AB120" s="20" t="s">
        <v>398</v>
      </c>
      <c r="AC120">
        <v>4</v>
      </c>
      <c r="AD120">
        <v>0.26893341631217682</v>
      </c>
      <c r="AE120">
        <v>0.21739130434782605</v>
      </c>
      <c r="AF120">
        <v>0.78260869565217395</v>
      </c>
      <c r="AG120">
        <v>500</v>
      </c>
      <c r="AH120">
        <v>2</v>
      </c>
      <c r="AI120">
        <v>0.58384737065478354</v>
      </c>
      <c r="AJ120">
        <v>5.6973564266180492E-2</v>
      </c>
    </row>
    <row r="121" spans="28:36" x14ac:dyDescent="0.25">
      <c r="AB121" s="20" t="s">
        <v>498</v>
      </c>
      <c r="AC121">
        <v>3</v>
      </c>
      <c r="AD121">
        <v>0.54457745026666138</v>
      </c>
      <c r="AE121">
        <v>0.1428571428571429</v>
      </c>
      <c r="AF121">
        <v>0.8571428571428571</v>
      </c>
      <c r="AG121">
        <v>1000</v>
      </c>
      <c r="AH121">
        <v>2</v>
      </c>
      <c r="AI121">
        <v>0.70057343580317288</v>
      </c>
      <c r="AJ121">
        <v>0.1303611002476861</v>
      </c>
    </row>
    <row r="122" spans="28:36" x14ac:dyDescent="0.25">
      <c r="AB122" s="20" t="s">
        <v>577</v>
      </c>
      <c r="AC122">
        <v>2</v>
      </c>
      <c r="AD122">
        <v>0.95776365012394482</v>
      </c>
      <c r="AE122">
        <v>0.17391304347826086</v>
      </c>
      <c r="AF122">
        <v>0.82608695652173914</v>
      </c>
      <c r="AH122">
        <v>3</v>
      </c>
      <c r="AI122">
        <v>0.77795020221522793</v>
      </c>
      <c r="AJ122" t="e">
        <v>#DIV/0!</v>
      </c>
    </row>
    <row r="123" spans="28:36" x14ac:dyDescent="0.25">
      <c r="AB123" s="20" t="s">
        <v>431</v>
      </c>
      <c r="AC123">
        <v>5</v>
      </c>
      <c r="AD123">
        <v>0.76516410671209378</v>
      </c>
      <c r="AE123">
        <v>9.5238095238095233E-2</v>
      </c>
      <c r="AF123">
        <v>0.90476190476190477</v>
      </c>
      <c r="AH123">
        <v>2</v>
      </c>
      <c r="AI123">
        <v>0.78997533715799939</v>
      </c>
      <c r="AJ123" t="e">
        <v>#DIV/0!</v>
      </c>
    </row>
    <row r="124" spans="28:36" x14ac:dyDescent="0.25">
      <c r="AB124" s="20" t="s">
        <v>618</v>
      </c>
      <c r="AC124">
        <v>4</v>
      </c>
      <c r="AD124">
        <v>0.65013365313120719</v>
      </c>
      <c r="AE124">
        <v>0.15838509316770188</v>
      </c>
      <c r="AF124">
        <v>0.84161490683229812</v>
      </c>
      <c r="AH124">
        <v>4</v>
      </c>
      <c r="AI124">
        <v>0.73058285332116846</v>
      </c>
      <c r="AJ124" t="e">
        <v>#DIV/0!</v>
      </c>
    </row>
    <row r="125" spans="28:36" x14ac:dyDescent="0.25">
      <c r="AB125" s="20" t="s">
        <v>621</v>
      </c>
      <c r="AC125">
        <v>1</v>
      </c>
      <c r="AD125">
        <v>0.73336366777415152</v>
      </c>
      <c r="AE125">
        <v>0.29166666666666663</v>
      </c>
      <c r="AF125">
        <v>0.70833333333333337</v>
      </c>
      <c r="AH125">
        <v>0</v>
      </c>
      <c r="AI125">
        <v>0.72084850055374239</v>
      </c>
      <c r="AJ125" t="e">
        <v>#DIV/0!</v>
      </c>
    </row>
    <row r="126" spans="28:36" x14ac:dyDescent="0.25">
      <c r="AB126" s="20" t="s">
        <v>663</v>
      </c>
      <c r="AC126">
        <v>2</v>
      </c>
      <c r="AD126">
        <v>0.31947764716934268</v>
      </c>
      <c r="AE126">
        <v>0.25</v>
      </c>
      <c r="AF126">
        <v>0.75</v>
      </c>
      <c r="AH126">
        <v>3</v>
      </c>
      <c r="AI126">
        <v>0.53982588238978091</v>
      </c>
      <c r="AJ126" t="e">
        <v>#DIV/0!</v>
      </c>
    </row>
    <row r="127" spans="28:36" x14ac:dyDescent="0.25">
      <c r="AB127" s="20" t="s">
        <v>622</v>
      </c>
      <c r="AC127">
        <v>4</v>
      </c>
      <c r="AD127">
        <v>7.902436786367989E-2</v>
      </c>
      <c r="AE127">
        <v>0.17261904761904762</v>
      </c>
      <c r="AF127">
        <v>0.82738095238095233</v>
      </c>
      <c r="AH127">
        <v>4</v>
      </c>
      <c r="AI127">
        <v>0.53546844008154415</v>
      </c>
      <c r="AJ127" t="e">
        <v>#DIV/0!</v>
      </c>
    </row>
    <row r="128" spans="28:36" x14ac:dyDescent="0.25">
      <c r="AB128" s="20" t="s">
        <v>641</v>
      </c>
      <c r="AC128">
        <v>4</v>
      </c>
      <c r="AD128">
        <v>6.2228228961265786E-2</v>
      </c>
      <c r="AE128">
        <v>0.22727272727272729</v>
      </c>
      <c r="AF128">
        <v>0.77272727272727271</v>
      </c>
      <c r="AH128">
        <v>1</v>
      </c>
      <c r="AI128">
        <v>0.56165183389617945</v>
      </c>
      <c r="AJ128" t="e">
        <v>#DIV/0!</v>
      </c>
    </row>
    <row r="129" spans="28:36" x14ac:dyDescent="0.25">
      <c r="AB129" s="20" t="s">
        <v>640</v>
      </c>
      <c r="AC129">
        <v>3</v>
      </c>
      <c r="AD129">
        <v>0.66586428926900587</v>
      </c>
      <c r="AE129">
        <v>0.25</v>
      </c>
      <c r="AF129">
        <v>0.75</v>
      </c>
      <c r="AH129">
        <v>0</v>
      </c>
      <c r="AI129">
        <v>0.70793214463450294</v>
      </c>
      <c r="AJ129" t="e">
        <v>#DIV/0!</v>
      </c>
    </row>
    <row r="130" spans="28:36" x14ac:dyDescent="0.25">
      <c r="AB130" s="20" t="s">
        <v>619</v>
      </c>
      <c r="AC130">
        <v>3</v>
      </c>
      <c r="AD130">
        <v>0.69393304577617276</v>
      </c>
      <c r="AE130">
        <v>0.21739130434782605</v>
      </c>
      <c r="AF130">
        <v>0.78260869565217395</v>
      </c>
      <c r="AG130">
        <v>500</v>
      </c>
      <c r="AH130">
        <v>3</v>
      </c>
      <c r="AI130">
        <v>0.67551391380944903</v>
      </c>
      <c r="AJ130">
        <v>5.1802735184417741E-2</v>
      </c>
    </row>
    <row r="131" spans="28:36" x14ac:dyDescent="0.25">
      <c r="AB131" s="20" t="s">
        <v>662</v>
      </c>
      <c r="AC131">
        <v>2</v>
      </c>
      <c r="AD131">
        <v>0.62216229663815803</v>
      </c>
      <c r="AE131">
        <v>0.19047619047619047</v>
      </c>
      <c r="AF131">
        <v>0.80952380952380953</v>
      </c>
      <c r="AH131">
        <v>0</v>
      </c>
      <c r="AI131">
        <v>0.71584305308098384</v>
      </c>
      <c r="AJ131" t="e">
        <v>#DIV/0!</v>
      </c>
    </row>
    <row r="132" spans="28:36" x14ac:dyDescent="0.25">
      <c r="AB132" s="20" t="s">
        <v>635</v>
      </c>
      <c r="AC132">
        <v>2</v>
      </c>
      <c r="AD132">
        <v>0.89334822441445128</v>
      </c>
      <c r="AE132">
        <v>0.26086956521739135</v>
      </c>
      <c r="AF132">
        <v>0.73913043478260865</v>
      </c>
      <c r="AG132">
        <v>300</v>
      </c>
      <c r="AH132">
        <v>0</v>
      </c>
      <c r="AI132">
        <v>0.81623932959852996</v>
      </c>
      <c r="AJ132">
        <v>4.3962485345838215E-2</v>
      </c>
    </row>
    <row r="133" spans="28:36" x14ac:dyDescent="0.25">
      <c r="AB133" s="20" t="s">
        <v>636</v>
      </c>
      <c r="AC133">
        <v>1</v>
      </c>
      <c r="AD133">
        <v>0.37230002587160826</v>
      </c>
      <c r="AE133">
        <v>0.17391304347826086</v>
      </c>
      <c r="AF133">
        <v>0.82608695652173914</v>
      </c>
      <c r="AH133">
        <v>0</v>
      </c>
      <c r="AI133">
        <v>0.59919349119667364</v>
      </c>
      <c r="AJ133" t="e">
        <v>#DIV/0!</v>
      </c>
    </row>
    <row r="134" spans="28:36" x14ac:dyDescent="0.25">
      <c r="AB134" s="20" t="s">
        <v>651</v>
      </c>
      <c r="AC134">
        <v>5</v>
      </c>
      <c r="AD134">
        <v>0.59157208031200792</v>
      </c>
      <c r="AE134">
        <v>0.14855072463768115</v>
      </c>
      <c r="AF134">
        <v>0.85144927536231885</v>
      </c>
      <c r="AG134">
        <v>500</v>
      </c>
      <c r="AH134">
        <v>3</v>
      </c>
      <c r="AI134">
        <v>0.73934045189144226</v>
      </c>
      <c r="AJ134">
        <v>0.10206164523372117</v>
      </c>
    </row>
    <row r="135" spans="28:36" x14ac:dyDescent="0.25">
      <c r="AB135" s="20" t="s">
        <v>628</v>
      </c>
      <c r="AC135">
        <v>5</v>
      </c>
      <c r="AD135">
        <v>0.7910749053118451</v>
      </c>
      <c r="AE135">
        <v>0.29166666666666663</v>
      </c>
      <c r="AF135">
        <v>0.70833333333333337</v>
      </c>
      <c r="AG135">
        <v>400</v>
      </c>
      <c r="AH135">
        <v>1</v>
      </c>
      <c r="AI135">
        <v>0.78313607954839293</v>
      </c>
      <c r="AJ135">
        <v>8.1984013117442092E-2</v>
      </c>
    </row>
    <row r="136" spans="28:36" x14ac:dyDescent="0.25">
      <c r="AB136" s="20" t="s">
        <v>638</v>
      </c>
      <c r="AC136">
        <v>5</v>
      </c>
      <c r="AD136">
        <v>0.76297235119720908</v>
      </c>
      <c r="AE136">
        <v>0.27626811594202899</v>
      </c>
      <c r="AF136">
        <v>0.72373188405797095</v>
      </c>
      <c r="AG136">
        <v>300</v>
      </c>
      <c r="AH136">
        <v>5</v>
      </c>
      <c r="AI136">
        <v>0.70390141175172671</v>
      </c>
      <c r="AJ136">
        <v>5.4161400974905217E-2</v>
      </c>
    </row>
    <row r="137" spans="28:36" x14ac:dyDescent="0.25">
      <c r="AB137" s="20" t="s">
        <v>672</v>
      </c>
      <c r="AC137">
        <v>1</v>
      </c>
      <c r="AD137">
        <v>0.62538870660496149</v>
      </c>
      <c r="AE137">
        <v>0.19047619047619047</v>
      </c>
      <c r="AF137">
        <v>0.80952380952380953</v>
      </c>
      <c r="AH137">
        <v>2</v>
      </c>
      <c r="AI137">
        <v>0.71163750537625692</v>
      </c>
      <c r="AJ137" t="e">
        <v>#DIV/0!</v>
      </c>
    </row>
    <row r="138" spans="28:36" x14ac:dyDescent="0.25">
      <c r="AB138" s="20" t="s">
        <v>673</v>
      </c>
      <c r="AC138">
        <v>4</v>
      </c>
      <c r="AD138">
        <v>0.75990508327219031</v>
      </c>
      <c r="AE138">
        <v>0.18695652173913047</v>
      </c>
      <c r="AF138">
        <v>0.81304347826086953</v>
      </c>
      <c r="AG138">
        <v>1200</v>
      </c>
      <c r="AH138">
        <v>7</v>
      </c>
      <c r="AI138">
        <v>0.74098285384435336</v>
      </c>
      <c r="AJ138">
        <v>8.3577099874634353E-2</v>
      </c>
    </row>
    <row r="139" spans="28:36" x14ac:dyDescent="0.25">
      <c r="AB139" s="20" t="s">
        <v>655</v>
      </c>
      <c r="AC139">
        <v>5</v>
      </c>
      <c r="AD139">
        <v>0.56360861062454448</v>
      </c>
      <c r="AE139">
        <v>0.26086956521739135</v>
      </c>
      <c r="AF139">
        <v>0.73913043478260865</v>
      </c>
      <c r="AG139">
        <v>200</v>
      </c>
      <c r="AH139">
        <v>1</v>
      </c>
      <c r="AI139">
        <v>0.71757968180238441</v>
      </c>
      <c r="AJ139">
        <v>3.7050759540570584E-2</v>
      </c>
    </row>
    <row r="140" spans="28:36" x14ac:dyDescent="0.25">
      <c r="AB140" s="20" t="s">
        <v>656</v>
      </c>
      <c r="AC140">
        <v>2</v>
      </c>
      <c r="AD140">
        <v>0.49028426163949052</v>
      </c>
      <c r="AE140">
        <v>0.14021739130434785</v>
      </c>
      <c r="AF140">
        <v>0.85978260869565215</v>
      </c>
      <c r="AG140">
        <v>700</v>
      </c>
      <c r="AH140">
        <v>6</v>
      </c>
      <c r="AI140">
        <v>0.63335562344504759</v>
      </c>
      <c r="AJ140">
        <v>0.12982195845697331</v>
      </c>
    </row>
    <row r="141" spans="28:36" x14ac:dyDescent="0.25">
      <c r="AB141" s="20" t="s">
        <v>661</v>
      </c>
      <c r="AC141">
        <v>2</v>
      </c>
      <c r="AD141">
        <v>0.79135962218211919</v>
      </c>
      <c r="AE141">
        <v>0.18181818181818177</v>
      </c>
      <c r="AF141">
        <v>0.81818181818181823</v>
      </c>
      <c r="AH141">
        <v>0</v>
      </c>
      <c r="AI141">
        <v>0.80477072018196871</v>
      </c>
      <c r="AJ141" t="e">
        <v>#DIV/0!</v>
      </c>
    </row>
    <row r="142" spans="28:36" x14ac:dyDescent="0.25">
      <c r="AB142" s="20" t="s">
        <v>644</v>
      </c>
      <c r="AC142">
        <v>5</v>
      </c>
      <c r="AD142">
        <v>0.37261308027107737</v>
      </c>
      <c r="AE142">
        <v>0.1611456176673568</v>
      </c>
      <c r="AF142">
        <v>0.8388543823326432</v>
      </c>
      <c r="AH142">
        <v>3</v>
      </c>
      <c r="AI142">
        <v>0.64578400544529879</v>
      </c>
      <c r="AJ142" t="e">
        <v>#DIV/0!</v>
      </c>
    </row>
    <row r="143" spans="28:36" x14ac:dyDescent="0.25">
      <c r="AB143" s="20" t="s">
        <v>627</v>
      </c>
      <c r="AC143">
        <v>2</v>
      </c>
      <c r="AD143">
        <v>0.89389576379836844</v>
      </c>
      <c r="AE143">
        <v>0.15000000000000002</v>
      </c>
      <c r="AF143">
        <v>0.85</v>
      </c>
      <c r="AG143">
        <v>700</v>
      </c>
      <c r="AH143">
        <v>3</v>
      </c>
      <c r="AI143">
        <v>0.76463192126612289</v>
      </c>
      <c r="AJ143">
        <v>7.9945180447693012E-2</v>
      </c>
    </row>
    <row r="144" spans="28:36" x14ac:dyDescent="0.25">
      <c r="AB144" s="20" t="s">
        <v>634</v>
      </c>
      <c r="AC144">
        <v>4</v>
      </c>
      <c r="AD144">
        <v>0.50909536274857015</v>
      </c>
      <c r="AE144">
        <v>0.25</v>
      </c>
      <c r="AF144">
        <v>0.75</v>
      </c>
      <c r="AG144">
        <v>400</v>
      </c>
      <c r="AH144">
        <v>5</v>
      </c>
      <c r="AI144">
        <v>0.62803178758285672</v>
      </c>
      <c r="AJ144">
        <v>5.3113796308591157E-2</v>
      </c>
    </row>
    <row r="145" spans="28:36" x14ac:dyDescent="0.25">
      <c r="AB145" s="20" t="s">
        <v>617</v>
      </c>
      <c r="AC145">
        <v>5</v>
      </c>
      <c r="AD145">
        <v>0.85030854895563424</v>
      </c>
      <c r="AE145">
        <v>0.21739130434782605</v>
      </c>
      <c r="AF145">
        <v>0.78260869565217395</v>
      </c>
      <c r="AG145">
        <v>400</v>
      </c>
      <c r="AH145">
        <v>3</v>
      </c>
      <c r="AI145">
        <v>0.72763908153593615</v>
      </c>
      <c r="AJ145">
        <v>5.7770075101097634E-2</v>
      </c>
    </row>
    <row r="146" spans="28:36" x14ac:dyDescent="0.25">
      <c r="AB146" s="20" t="s">
        <v>625</v>
      </c>
      <c r="AC146">
        <v>2</v>
      </c>
      <c r="AD146">
        <v>0.43314449518957687</v>
      </c>
      <c r="AE146">
        <v>9.0909090909090939E-2</v>
      </c>
      <c r="AF146">
        <v>0.90909090909090906</v>
      </c>
      <c r="AH146">
        <v>0</v>
      </c>
      <c r="AI146">
        <v>0.67111770214024302</v>
      </c>
      <c r="AJ146" t="e">
        <v>#DIV/0!</v>
      </c>
    </row>
    <row r="147" spans="28:36" x14ac:dyDescent="0.25">
      <c r="AB147" s="20" t="s">
        <v>614</v>
      </c>
      <c r="AC147">
        <v>5</v>
      </c>
      <c r="AD147">
        <v>0.65894497813777031</v>
      </c>
      <c r="AE147">
        <v>0.29166666666666663</v>
      </c>
      <c r="AF147">
        <v>0.70833333333333337</v>
      </c>
      <c r="AH147">
        <v>1</v>
      </c>
      <c r="AI147">
        <v>0.73909277049036792</v>
      </c>
      <c r="AJ147" t="e">
        <v>#DIV/0!</v>
      </c>
    </row>
    <row r="148" spans="28:36" x14ac:dyDescent="0.25">
      <c r="AB148" s="20" t="s">
        <v>626</v>
      </c>
      <c r="AC148">
        <v>1</v>
      </c>
      <c r="AD148">
        <v>0.459482950993231</v>
      </c>
      <c r="AE148">
        <v>9.9999999999999978E-2</v>
      </c>
      <c r="AF148">
        <v>0.9</v>
      </c>
      <c r="AH148">
        <v>2</v>
      </c>
      <c r="AI148">
        <v>0.68649431699774366</v>
      </c>
      <c r="AJ148" t="e">
        <v>#DIV/0!</v>
      </c>
    </row>
    <row r="149" spans="28:36" x14ac:dyDescent="0.25">
      <c r="AB149" s="20" t="s">
        <v>629</v>
      </c>
      <c r="AC149">
        <v>1</v>
      </c>
      <c r="AD149">
        <v>0.19244473198050888</v>
      </c>
      <c r="AE149">
        <v>8.3333333333333315E-2</v>
      </c>
      <c r="AF149">
        <v>0.91666666666666674</v>
      </c>
      <c r="AG149">
        <v>300</v>
      </c>
      <c r="AH149">
        <v>3</v>
      </c>
      <c r="AI149">
        <v>0.62803713288239194</v>
      </c>
      <c r="AJ149">
        <v>4.4716053063049634E-2</v>
      </c>
    </row>
    <row r="150" spans="28:36" x14ac:dyDescent="0.25">
      <c r="AB150" s="20" t="s">
        <v>639</v>
      </c>
      <c r="AC150">
        <v>2</v>
      </c>
      <c r="AD150">
        <v>0.5517457458029934</v>
      </c>
      <c r="AE150">
        <v>0.20833333333333337</v>
      </c>
      <c r="AF150">
        <v>0.79166666666666663</v>
      </c>
      <c r="AH150">
        <v>1</v>
      </c>
      <c r="AI150">
        <v>0.73113747082322</v>
      </c>
      <c r="AJ150" t="e">
        <v>#DIV/0!</v>
      </c>
    </row>
    <row r="151" spans="28:36" x14ac:dyDescent="0.25">
      <c r="AB151" s="20" t="s">
        <v>624</v>
      </c>
      <c r="AC151">
        <v>5</v>
      </c>
      <c r="AD151">
        <v>0.55893384288328618</v>
      </c>
      <c r="AE151">
        <v>0.13043478260869568</v>
      </c>
      <c r="AF151">
        <v>0.86956521739130432</v>
      </c>
      <c r="AG151">
        <v>200</v>
      </c>
      <c r="AH151">
        <v>1</v>
      </c>
      <c r="AI151">
        <v>0.7594996867581969</v>
      </c>
      <c r="AJ151">
        <v>2.5529742149604288E-2</v>
      </c>
    </row>
    <row r="152" spans="28:36" x14ac:dyDescent="0.25">
      <c r="AB152" s="20" t="s">
        <v>652</v>
      </c>
      <c r="AC152">
        <v>5</v>
      </c>
      <c r="AD152">
        <v>8.7474003535220612E-2</v>
      </c>
      <c r="AE152">
        <v>0.25</v>
      </c>
      <c r="AF152">
        <v>0.75</v>
      </c>
      <c r="AH152">
        <v>1</v>
      </c>
      <c r="AI152">
        <v>0.56249133451174016</v>
      </c>
      <c r="AJ152" t="e">
        <v>#DIV/0!</v>
      </c>
    </row>
    <row r="153" spans="28:36" x14ac:dyDescent="0.25">
      <c r="AB153" s="20" t="s">
        <v>668</v>
      </c>
      <c r="AC153">
        <v>4</v>
      </c>
      <c r="AD153">
        <v>0.56843056019746796</v>
      </c>
      <c r="AE153">
        <v>9.5238095238095233E-2</v>
      </c>
      <c r="AF153">
        <v>0.90476190476190477</v>
      </c>
      <c r="AH153">
        <v>1</v>
      </c>
      <c r="AI153">
        <v>0.77439748831979094</v>
      </c>
      <c r="AJ153" t="e">
        <v>#DIV/0!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Dashboard</vt:lpstr>
      <vt:lpstr>Raw_data</vt:lpstr>
      <vt:lpstr>Data_base</vt:lpstr>
      <vt:lpstr>Calculations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QSK1184</cp:lastModifiedBy>
  <cp:lastPrinted>2020-10-05T15:36:58Z</cp:lastPrinted>
  <dcterms:created xsi:type="dcterms:W3CDTF">2015-06-05T18:17:20Z</dcterms:created>
  <dcterms:modified xsi:type="dcterms:W3CDTF">2024-09-20T12:18:10Z</dcterms:modified>
</cp:coreProperties>
</file>