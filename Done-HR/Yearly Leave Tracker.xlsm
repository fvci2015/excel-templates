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D:\yash_jain_vesu\Future_Vision\books\advance_excel\NEW-FILES-PROJECTS\100+ Premium Excel Templates\HR\"/>
    </mc:Choice>
  </mc:AlternateContent>
  <xr:revisionPtr revIDLastSave="0" documentId="13_ncr:1_{523D1127-2DA3-4464-AD4D-8080DAE290B7}" xr6:coauthVersionLast="47" xr6:coauthVersionMax="47" xr10:uidLastSave="{00000000-0000-0000-0000-000000000000}"/>
  <bookViews>
    <workbookView xWindow="-120" yWindow="-120" windowWidth="29040" windowHeight="15840" xr2:uid="{00000000-000D-0000-FFFF-FFFF00000000}"/>
  </bookViews>
  <sheets>
    <sheet name="Introduction" sheetId="13" r:id="rId1"/>
    <sheet name="Yearly Leave Tracker" sheetId="8" r:id="rId2"/>
    <sheet name="Database" sheetId="9" r:id="rId3"/>
    <sheet name="Helper sheet2" sheetId="11" state="hidden" r:id="rId4"/>
    <sheet name="Helper sheet" sheetId="5" state="hidden" r:id="rId5"/>
    <sheet name="Sheet1" sheetId="14" state="hidden" r:id="rId6"/>
    <sheet name="Sheet3" sheetId="15" state="hidden" r:id="rId7"/>
  </sheets>
  <definedNames>
    <definedName name="_aaa1" hidden="1">{#N/A,#N/A,FALSE,"Antony Financials";#N/A,#N/A,FALSE,"Cowboy Financials";#N/A,#N/A,FALSE,"Combined";#N/A,#N/A,FALSE,"Valuematrix";#N/A,#N/A,FALSE,"DCFAntony";#N/A,#N/A,FALSE,"DCFCowboy";#N/A,#N/A,FALSE,"DCFCombined"}</definedName>
    <definedName name="_GSRATES_1" hidden="1">"H2002123120021231CADUSD1000001"</definedName>
    <definedName name="_GSRATES_10" hidden="1">"CF3000012002093020020101"</definedName>
    <definedName name="_GSRATES_11" hidden="1">"CF300001Invalid 20030930"</definedName>
    <definedName name="_GSRATES_12" hidden="1">"CT30000120030930        "</definedName>
    <definedName name="_GSRATES_13" hidden="1">"CT30000120030930        "</definedName>
    <definedName name="_GSRATES_2" hidden="1">"CT30000120030630        "</definedName>
    <definedName name="_GSRATES_3" hidden="1">"CF3000012003063020030101"</definedName>
    <definedName name="_GSRATES_4" hidden="1">"CT3000012003063020030101"</definedName>
    <definedName name="_GSRATES_5" hidden="1">"CF3000012002123120020101"</definedName>
    <definedName name="_GSRATES_6" hidden="1">"CF3000012002063020020101"</definedName>
    <definedName name="_GSRATES_7" hidden="1">"CF3000012003063020030101"</definedName>
    <definedName name="_GSRATES_8" hidden="1">"CF3000012003093020030101"</definedName>
    <definedName name="_GSRATES_9" hidden="1">"CF3000012002123120020101"</definedName>
    <definedName name="_GSRATES_COUNT" hidden="1">7</definedName>
    <definedName name="_GSRATES_COUNT1" hidden="1">13</definedName>
    <definedName name="_GSRATESR_1" hidden="1">#REF!</definedName>
    <definedName name="_GSRATESR_10" hidden="1">#REF!</definedName>
    <definedName name="_GSRATESR_11" hidden="1">#REF!</definedName>
    <definedName name="_GSRATESR_12" hidden="1">#REF!</definedName>
    <definedName name="_GSRATESR_13" hidden="1">#REF!</definedName>
    <definedName name="_GSRATESR_3" hidden="1">#REF!</definedName>
    <definedName name="_GSRATESR_4" hidden="1">#REF!</definedName>
    <definedName name="_GSRATESR_5" hidden="1">#REF!</definedName>
    <definedName name="_GSRATESR_6" hidden="1">#REF!</definedName>
    <definedName name="_GSRATESR_7" hidden="1">#REF!</definedName>
    <definedName name="_GSRATESR_8" hidden="1">#REF!</definedName>
    <definedName name="_GSRATESR_9" hidden="1">#REF!</definedName>
    <definedName name="a"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AAA_DOCTOPS" hidden="1">"AAA_SET"</definedName>
    <definedName name="AAA_duser" hidden="1">"OFF"</definedName>
    <definedName name="AAA_u999998" hidden="1">"nlfoote@970721231427"</definedName>
    <definedName name="AAA_u999999" hidden="1">"nlfoote@970721231348"</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df" hidden="1">{#N/A,#N/A,FALSE,"CreditStat";#N/A,#N/A,FALSE,"SPbrkup";#N/A,#N/A,FALSE,"MerSPsyn";#N/A,#N/A,FALSE,"MerSPwKCsyn";#N/A,#N/A,FALSE,"MerSPwKCsyn (2)";#N/A,#N/A,FALSE,"CreditStat (2)"}</definedName>
    <definedName name="adfdaf" hidden="1">{"standalone1",#N/A,FALSE,"DCFBase";"standalone2",#N/A,FALSE,"DCFBase"}</definedName>
    <definedName name="asdf" hidden="1">{"mgmt forecast",#N/A,FALSE,"Mgmt Forecast";"dcf table",#N/A,FALSE,"Mgmt Forecast";"sensitivity",#N/A,FALSE,"Mgmt Forecast";"table inputs",#N/A,FALSE,"Mgmt Forecast";"calculations",#N/A,FALSE,"Mgmt Forecast"}</definedName>
    <definedName name="asdfa" hidden="1">{#N/A,#N/A,FALSE,"Antony Financials";#N/A,#N/A,FALSE,"Cowboy Financials";#N/A,#N/A,FALSE,"Combined";#N/A,#N/A,FALSE,"Valuematrix";#N/A,#N/A,FALSE,"DCFAntony";#N/A,#N/A,FALSE,"DCFCowboy";#N/A,#N/A,FALSE,"DCFCombined"}</definedName>
    <definedName name="asdfaa" hidden="1">{#N/A,#N/A,FALSE,"Antony Financials";#N/A,#N/A,FALSE,"Cowboy Financials";#N/A,#N/A,FALSE,"Combined";#N/A,#N/A,FALSE,"Valuematrix";#N/A,#N/A,FALSE,"DCFAntony";#N/A,#N/A,FALSE,"DCFCowboy";#N/A,#N/A,FALSE,"DCFCombined"}</definedName>
    <definedName name="asdfasdf" hidden="1">{#N/A,#N/A,FALSE,"CreditStat";#N/A,#N/A,FALSE,"SPbrkup";#N/A,#N/A,FALSE,"MerSPsyn";#N/A,#N/A,FALSE,"MerSPwKCsyn";#N/A,#N/A,FALSE,"MerSPwKCsyn (2)";#N/A,#N/A,FALSE,"CreditStat (2)"}</definedName>
    <definedName name="asdff" hidden="1">{"standalone1",#N/A,FALSE,"DCFBase";"standalone2",#N/A,FALSE,"DCFBase"}</definedName>
    <definedName name="asdfsad" hidden="1">{#N/A,#N/A,FALSE,"Antony Financials";#N/A,#N/A,FALSE,"Cowboy Financials";#N/A,#N/A,FALSE,"Combined";#N/A,#N/A,FALSE,"Valuematrix";#N/A,#N/A,FALSE,"DCFAntony";#N/A,#N/A,FALSE,"DCFCowboy";#N/A,#N/A,FALSE,"DCFCombined"}</definedName>
    <definedName name="b" hidden="1">{#N/A,#N/A,FALSE,"Antony Financials";#N/A,#N/A,FALSE,"Cowboy Financials";#N/A,#N/A,FALSE,"Combined";#N/A,#N/A,FALSE,"Valuematrix";#N/A,#N/A,FALSE,"DCFAntony";#N/A,#N/A,FALSE,"DCFCowboy";#N/A,#N/A,FALSE,"DCFCombined"}</definedName>
    <definedName name="d"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da" hidden="1">{#N/A,#N/A,FALSE,"A&amp;E";#N/A,#N/A,FALSE,"HighTop";#N/A,#N/A,FALSE,"JG";#N/A,#N/A,FALSE,"RI";#N/A,#N/A,FALSE,"woHT";#N/A,#N/A,FALSE,"woHT&amp;JG"}</definedName>
    <definedName name="Departments">OFFSET(Database!$H$3,0,0,COUNTA(Database!$H:$H)-1,1)</definedName>
    <definedName name="df" hidden="1">{"'Summary P&amp;L'!$A$1:$M$70","'Summary P&amp;L'!$A$1:$M$70"}</definedName>
    <definedName name="Employees">OFFSET(Database!$E$3,0,0,COUNTA(Database!$E:$E)-1,1)</definedName>
    <definedName name="EPMWorkbookOptions_2" hidden="1">"m3FeIocTK7T00g7i155YYzII5xVFTgxBon8IEeL4xiLwgoT687neHX/pG70aRh7dJEB5hTBgSYS4S/wFRhkORAJNCFEijYCzdDW/7jaFj3jStoSLzX9El/54gL4Q7XVoWsi6rEQQeHqMNCnOXt8qRzrJhTnpdjyrYajjmak1fQXrR1cKuC|QKz4CEUZkvQ9clhikMR9lTf/Gcw/A9n9YZnYMuZTheC416kRG507skkOuBwSO7Rg8|xYzXFd2HOH"</definedName>
    <definedName name="EPMWorkbookOptions_3" hidden="1">"jHlyP|GtOQbRSQ7d9K9FzlywTlRW3iBgT/mkPU84ZhmIOeo0tZztdyxIzzUV2WFbWmbCTIuhdRrEldoHVZl|KLzOxh4KGnPvUDoOyprpQr5QmMJsVyxdWKWmnyqVgrAxRlBCXNHVW16khdtpyOykjcQSGzweMDHNwuzEZ8nsqApUWZCeCQOH6DptuExDuRD2Gr2XNaCr9sdDrDxGHz4bsT9UL2FgaK6Hj6tIYW|OR4QbB3KSzlI2yNo9dvcL5YX"</definedName>
    <definedName name="EPMWorkbookOptions_4" hidden="1">"Xq937qUh8ANDfwzvX5pOEZrf7XKslaT5fxiVU5PrBGDaanK8aemHLtOD86JWpLPnKQ4UZVq7czJtk5K1eqZk|2xo6jHzsn7WfeMhtP8alo/9l76VLVc1jQt/9JXOr2lb0Uil|hyg2Y4Z31mlrmHPq2|YwwsPgMY|0u0UlXkWq2aX6Lq6Ul0g8dYpR3j2EV6MCqM1vWxc/F|BqztmFbja3PYMfms2DZ7f/NMVamo6h88VGmnN2y32Uzvh3rmcAdw"</definedName>
    <definedName name="EPMWorkbookOptions_5" hidden="1">"FnJWmXsI2Wl3m2/4|qp8euJdMpgWbElWNNE8/v3RgRmxm/0zIylG/hsc/Ux2cEY6Z0bWjMifRMd0GkfPyftZ7wa99lv|XVM5vfVuyeDOBi0ynkWaVeYeIu02G/bAatpvKNTq6Ql1xWL8|NtvWm3zqn307wMOqNIcoFQ12SBdyjoHkbKu4Dzb7jmRTePu2RLdggmFcGoSMwCSnABI2yKY4QGiy5wmsdEDrM4bbJsj7OoMDZcmi1hcoXcdafzCTW6"</definedName>
    <definedName name="EPMWorkbookOptions_6" hidden="1">"a3g6/IYrRyIMu0Pt1hh37xw/rtMmZnfr/tQEq6O4jAAA="</definedName>
    <definedName name="EPMWorkbookOptions_7" hidden="1">"VkElWzGe4dbysDmw3e4bw0nqBxi31scdUfvlZHPVuLY3NJBpjCzYg+hpH+Go/fu3fdjNPrXaf+7pIr7iNgAA"</definedName>
    <definedName name="ExternalData_1" localSheetId="5" hidden="1">Sheet1!$A$1:$F$171</definedName>
    <definedName name="f" hidden="1">{"mgmt forecast",#N/A,FALSE,"Mgmt Forecast";"dcf table",#N/A,FALSE,"Mgmt Forecast";"sensitivity",#N/A,FALSE,"Mgmt Forecast";"table inputs",#N/A,FALSE,"Mgmt Forecast";"calculations",#N/A,FALSE,"Mgmt Forecast"}</definedName>
    <definedName name="fafate" hidden="1">{"mgmt forecast",#N/A,FALSE,"Mgmt Forecast";"dcf table",#N/A,FALSE,"Mgmt Forecast";"sensitivity",#N/A,FALSE,"Mgmt Forecast";"table inputs",#N/A,FALSE,"Mgmt Forecast";"calculations",#N/A,FALSE,"Mgmt Forecast"}</definedName>
    <definedName name="fff" hidden="1">{"standalone1",#N/A,FALSE,"DCFBase";"standalone2",#N/A,FALSE,"DCFBase"}</definedName>
    <definedName name="g" hidden="1">{#N/A,#N/A,FALSE,"Antony Financials";#N/A,#N/A,FALSE,"Cowboy Financials";#N/A,#N/A,FALSE,"Combined";#N/A,#N/A,FALSE,"Valuematrix";#N/A,#N/A,FALSE,"DCFAntony";#N/A,#N/A,FALSE,"DCFCowboy";#N/A,#N/A,FALSE,"DCFCombined"}</definedName>
    <definedName name="h" hidden="1">{#N/A,#N/A,FALSE,"CreditStat";#N/A,#N/A,FALSE,"SPbrkup";#N/A,#N/A,FALSE,"MerSPsyn";#N/A,#N/A,FALSE,"MerSPwKCsyn";#N/A,#N/A,FALSE,"MerSPwKCsyn (2)";#N/A,#N/A,FALSE,"CreditStat (2)"}</definedName>
    <definedName name="HolidayListNamedRange">HolidayList[Date]</definedName>
    <definedName name="HTML_CodePage" hidden="1">1252</definedName>
    <definedName name="HTML_Control" hidden="1">{"'Summary P&amp;L'!$A$1:$M$70","'Summary P&amp;L'!$A$1:$M$70"}</definedName>
    <definedName name="HTML_Description" hidden="1">""</definedName>
    <definedName name="HTML_Email" hidden="1">""</definedName>
    <definedName name="HTML_Header" hidden="1">"Summary P&amp;L"</definedName>
    <definedName name="HTML_LastUpdate" hidden="1">"9/03/01"</definedName>
    <definedName name="HTML_LineAfter" hidden="1">FALSE</definedName>
    <definedName name="HTML_LineBefore" hidden="1">FALSE</definedName>
    <definedName name="HTML_Name" hidden="1">"Hans Verheul"</definedName>
    <definedName name="HTML_OBDlg2" hidden="1">TRUE</definedName>
    <definedName name="HTML_OBDlg4" hidden="1">TRUE</definedName>
    <definedName name="HTML_OS" hidden="1">0</definedName>
    <definedName name="HTML_PathFile" hidden="1">"G:\Finlog\html\FINANCE.htm"</definedName>
    <definedName name="HTML_Title" hidden="1">"INCOME STATEMENT FEBRUARY 2001"</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ui" hidden="1">{#N/A,#N/A,FALSE,"A&amp;E";#N/A,#N/A,FALSE,"HighTop";#N/A,#N/A,FALSE,"JG";#N/A,#N/A,FALSE,"RI";#N/A,#N/A,FALSE,"woHT";#N/A,#N/A,FALSE,"woHT&amp;JG"}</definedName>
    <definedName name="j" hidden="1">{"standalone1",#N/A,FALSE,"DCFBase";"standalone2",#N/A,FALSE,"DCFBase"}</definedName>
    <definedName name="k" hidden="1">{#N/A,#N/A,FALSE,"Antony Financials";#N/A,#N/A,FALSE,"Cowboy Financials";#N/A,#N/A,FALSE,"Combined";#N/A,#N/A,FALSE,"Valuematrix";#N/A,#N/A,FALSE,"DCFAntony";#N/A,#N/A,FALSE,"DCFCowboy";#N/A,#N/A,FALSE,"DCFCombined"}</definedName>
    <definedName name="kyd.Dim.01." hidden="1">"currency"</definedName>
    <definedName name="kyd.Dim.02." hidden="1">"currency"</definedName>
    <definedName name="kyd.ElementType.01." hidden="1">3</definedName>
    <definedName name="kyd.ElementType.02." hidden="1">3</definedName>
    <definedName name="kyd.MemoSortHide." hidden="1">FALSE</definedName>
    <definedName name="kyd.NumLevels.01." hidden="1">999</definedName>
    <definedName name="kyd.NumLevels.02." hidden="1">999</definedName>
    <definedName name="kyd.ParentName.01." hidden="1">"AUD"</definedName>
    <definedName name="kyd.ParentName.02." hidden="1">"AUD"</definedName>
    <definedName name="kyd.PreScreenData." hidden="1">FALSE</definedName>
    <definedName name="kyd.PrintMemo." hidden="1">FALSE</definedName>
    <definedName name="kyd.PrintParent.01." hidden="1">TRUE</definedName>
    <definedName name="kyd.PrintParent.02." hidden="1">TRUE</definedName>
    <definedName name="kyd.PrintStdWhen." hidden="1">3</definedName>
    <definedName name="kyd.SaveAsFile." hidden="1">FALSE</definedName>
    <definedName name="kyd.SaveMemo." hidden="1">FALSE</definedName>
    <definedName name="kyd.SelectString.01." hidden="1">"*"</definedName>
    <definedName name="kyd.SelectString.02." hidden="1">"*"</definedName>
    <definedName name="kyd.StdSortHide." hidden="1">FALSE</definedName>
    <definedName name="kyd.StopRow." hidden="1">16384</definedName>
    <definedName name="kyd.WriteMemWhenOptn." hidden="1">3</definedName>
    <definedName name="l" hidden="1">{"mgmt forecast",#N/A,FALSE,"Mgmt Forecast";"dcf table",#N/A,FALSE,"Mgmt Forecast";"sensitivity",#N/A,FALSE,"Mgmt Forecast";"table inputs",#N/A,FALSE,"Mgmt Forecast";"calculations",#N/A,FALSE,"Mgmt Forecast"}</definedName>
    <definedName name="m" hidden="1">{"standalone1",#N/A,FALSE,"DCFBase";"standalone2",#N/A,FALSE,"DCFBase"}</definedName>
    <definedName name="MR" hidden="1">{#N/A,#N/A,FALSE,"sales ytd";#N/A,#N/A,FALSE,"investments";#N/A,#N/A,FALSE,"bus. synergies 1997";#N/A,#N/A,FALSE,"synergies outlook"}</definedName>
    <definedName name="n"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q" hidden="1">{#N/A,#N/A,FALSE,"Antony Financials";#N/A,#N/A,FALSE,"Cowboy Financials";#N/A,#N/A,FALSE,"Combined";#N/A,#N/A,FALSE,"Valuematrix";#N/A,#N/A,FALSE,"DCFAntony";#N/A,#N/A,FALSE,"DCFCowboy";#N/A,#N/A,FALSE,"DCFCombined"}</definedName>
    <definedName name="rr" hidden="1">{#N/A,#N/A,FALSE,"Antony Financials";#N/A,#N/A,FALSE,"Cowboy Financials";#N/A,#N/A,FALSE,"Combined";#N/A,#N/A,FALSE,"Valuematrix";#N/A,#N/A,FALSE,"DCFAntony";#N/A,#N/A,FALSE,"DCFCowboy";#N/A,#N/A,FALSE,"DCFCombined"}</definedName>
    <definedName name="SAPBEXhrIndnt" hidden="1">"Wide"</definedName>
    <definedName name="SAPsysID" hidden="1">"708C5W7SBKP804JT78WJ0JNKI"</definedName>
    <definedName name="SAPwbID" hidden="1">"ARS"</definedName>
    <definedName name="sd"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sdfasefr" hidden="1">{#N/A,#N/A,FALSE,"Antony Financials";#N/A,#N/A,FALSE,"Cowboy Financials";#N/A,#N/A,FALSE,"Combined";#N/A,#N/A,FALSE,"Valuematrix";#N/A,#N/A,FALSE,"DCFAntony";#N/A,#N/A,FALSE,"DCFCowboy";#N/A,#N/A,FALSE,"DCFCombined"}</definedName>
    <definedName name="Slicer_Attribute">#N/A</definedName>
    <definedName name="Slicer_Department">#N/A</definedName>
    <definedName name="Slicer_Employee">#N/A</definedName>
    <definedName name="t" hidden="1">{#N/A,#N/A,FALSE,"A&amp;E";#N/A,#N/A,FALSE,"HighTop";#N/A,#N/A,FALSE,"JG";#N/A,#N/A,FALSE,"RI";#N/A,#N/A,FALSE,"woHT";#N/A,#N/A,FALSE,"woHT&amp;JG"}</definedName>
    <definedName name="ttt" hidden="1">{#N/A,#N/A,FALSE,"CreditStat";#N/A,#N/A,FALSE,"SPbrkup";#N/A,#N/A,FALSE,"MerSPsyn";#N/A,#N/A,FALSE,"MerSPwKCsyn";#N/A,#N/A,FALSE,"MerSPwKCsyn (2)";#N/A,#N/A,FALSE,"CreditStat (2)"}</definedName>
    <definedName name="v" hidden="1">{"standalone1",#N/A,FALSE,"DCFBase";"standalone2",#N/A,FALSE,"DCFBase"}</definedName>
    <definedName name="vv" hidden="1">{#N/A,#N/A,FALSE,"CreditStat";#N/A,#N/A,FALSE,"SPbrkup";#N/A,#N/A,FALSE,"MerSPsyn";#N/A,#N/A,FALSE,"MerSPwKCsyn";#N/A,#N/A,FALSE,"MerSPwKCsyn (2)";#N/A,#N/A,FALSE,"CreditStat (2)"}</definedName>
    <definedName name="vvv" hidden="1">{#N/A,#N/A,FALSE,"Antony Financials";#N/A,#N/A,FALSE,"Cowboy Financials";#N/A,#N/A,FALSE,"Combined";#N/A,#N/A,FALSE,"Valuematrix";#N/A,#N/A,FALSE,"DCFAntony";#N/A,#N/A,FALSE,"DCFCowboy";#N/A,#N/A,FALSE,"DCFCombined"}</definedName>
    <definedName name="w" hidden="1">{#N/A,#N/A,FALSE,"CreditStat";#N/A,#N/A,FALSE,"SPbrkup";#N/A,#N/A,FALSE,"MerSPsyn";#N/A,#N/A,FALSE,"MerSPwKCsyn";#N/A,#N/A,FALSE,"MerSPwKCsyn (2)";#N/A,#N/A,FALSE,"CreditStat (2)"}</definedName>
    <definedName name="wrn.dcf." hidden="1">{"mgmt forecast",#N/A,FALSE,"Mgmt Forecast";"dcf table",#N/A,FALSE,"Mgmt Forecast";"sensitivity",#N/A,FALSE,"Mgmt Forecast";"table inputs",#N/A,FALSE,"Mgmt Forecast";"calculations",#N/A,FALSE,"Mgmt Forecast"}</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print._.standalone." hidden="1">{"standalone1",#N/A,FALSE,"DCFBase";"standalone2",#N/A,FALSE,"DCFBase"}</definedName>
    <definedName name="wrn.SKSCS1." hidden="1">{#N/A,#N/A,FALSE,"Antony Financials";#N/A,#N/A,FALSE,"Cowboy Financials";#N/A,#N/A,FALSE,"Combined";#N/A,#N/A,FALSE,"Valuematrix";#N/A,#N/A,FALSE,"DCFAntony";#N/A,#N/A,FALSE,"DCFCowboy";#N/A,#N/A,FALSE,"DCFCombined"}</definedName>
    <definedName name="wrn.SummaryPgs." hidden="1">{#N/A,#N/A,FALSE,"CreditStat";#N/A,#N/A,FALSE,"SPbrkup";#N/A,#N/A,FALSE,"MerSPsyn";#N/A,#N/A,FALSE,"MerSPwKCsyn";#N/A,#N/A,FALSE,"MerSPwKCsyn (2)";#N/A,#N/A,FALSE,"CreditStat (2)"}</definedName>
    <definedName name="wrn.Top._.Level._.Summaries."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 name="wrn.Tweety." hidden="1">{#N/A,#N/A,FALSE,"A&amp;E";#N/A,#N/A,FALSE,"HighTop";#N/A,#N/A,FALSE,"JG";#N/A,#N/A,FALSE,"RI";#N/A,#N/A,FALSE,"woHT";#N/A,#N/A,FALSE,"woHT&amp;JG"}</definedName>
    <definedName name="wrn.vortrag." hidden="1">{#N/A,#N/A,FALSE,"sales ytd";#N/A,#N/A,FALSE,"investments";#N/A,#N/A,FALSE,"bus. synergies 1997";#N/A,#N/A,FALSE,"synergies outlook"}</definedName>
    <definedName name="Years">OFFSET(Database!$P$3,0,0,COUNTA(Database!$P:$P)-1,1)</definedName>
    <definedName name="zzz" hidden="1">{#N/A,#N/A,TRUE,"10 yr forecast - Balance Sheet";#N/A,#N/A,TRUE,"10 yr forecast - SCFP";#N/A,#N/A,TRUE,"10 yr forecast - P&amp;L&lt;linked&gt; ";#N/A,#N/A,TRUE,"Product Sales Royalty Breakdown";#N/A,#N/A,TRUE,"Collaborative Revenue Breakdown";#N/A,#N/A,TRUE,"Commercial Ops Breakdown";#N/A,#N/A,TRUE,"R&amp;D Breakdown";#N/A,#N/A,TRUE,"SG&amp;A Breakdown";#N/A,#N/A,TRUE,"FTE Summary"}</definedName>
  </definedNames>
  <calcPr calcId="191029"/>
  <pivotCaches>
    <pivotCache cacheId="2"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051" i="15" l="1"/>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5" i="11"/>
  <c r="C5" i="11" s="1"/>
  <c r="B6" i="11"/>
  <c r="C6" i="11" s="1"/>
  <c r="B7" i="11"/>
  <c r="C7" i="11" s="1"/>
  <c r="B8" i="11"/>
  <c r="C8" i="11" s="1"/>
  <c r="B9" i="11"/>
  <c r="C9" i="11" s="1"/>
  <c r="B10" i="11"/>
  <c r="C10" i="11" s="1"/>
  <c r="B11" i="11"/>
  <c r="C11" i="11" s="1"/>
  <c r="B12" i="11"/>
  <c r="C12" i="11" s="1"/>
  <c r="B13" i="11"/>
  <c r="C13" i="11" s="1"/>
  <c r="B14" i="11"/>
  <c r="C14" i="11" s="1"/>
  <c r="B15" i="11"/>
  <c r="C15" i="11" s="1"/>
  <c r="B16" i="11"/>
  <c r="C16" i="11" s="1"/>
  <c r="B17" i="11"/>
  <c r="C17" i="11" s="1"/>
  <c r="B18" i="11"/>
  <c r="C18" i="11" s="1"/>
  <c r="B19" i="11"/>
  <c r="C19" i="11" s="1"/>
  <c r="B20" i="11"/>
  <c r="C20" i="11" s="1"/>
  <c r="B21" i="11"/>
  <c r="B22" i="11"/>
  <c r="B23" i="11"/>
  <c r="B24" i="11"/>
  <c r="L24" i="11" s="1"/>
  <c r="B25" i="11"/>
  <c r="I25" i="11" s="1"/>
  <c r="B26" i="11"/>
  <c r="F26" i="11" s="1"/>
  <c r="B27" i="11"/>
  <c r="K27" i="11" s="1"/>
  <c r="B28" i="11"/>
  <c r="H28" i="11" s="1"/>
  <c r="B29" i="11"/>
  <c r="E29" i="11" s="1"/>
  <c r="B30" i="11"/>
  <c r="J30" i="11" s="1"/>
  <c r="B31" i="11"/>
  <c r="G31" i="11" s="1"/>
  <c r="B32" i="11"/>
  <c r="L32" i="11" s="1"/>
  <c r="B33" i="11"/>
  <c r="I33" i="11" s="1"/>
  <c r="B34" i="11"/>
  <c r="F34" i="11" s="1"/>
  <c r="B35" i="11"/>
  <c r="K35" i="11" s="1"/>
  <c r="B36" i="11"/>
  <c r="H36" i="11" s="1"/>
  <c r="B37" i="11"/>
  <c r="E37" i="11" s="1"/>
  <c r="B38" i="11"/>
  <c r="J38" i="11" s="1"/>
  <c r="B39" i="11"/>
  <c r="G39" i="11" s="1"/>
  <c r="B40" i="11"/>
  <c r="L40" i="11" s="1"/>
  <c r="B41" i="11"/>
  <c r="I41" i="11" s="1"/>
  <c r="B42" i="11"/>
  <c r="F42" i="11" s="1"/>
  <c r="B43" i="11"/>
  <c r="K43" i="11" s="1"/>
  <c r="B44" i="11"/>
  <c r="C44" i="11" s="1"/>
  <c r="B45" i="11"/>
  <c r="E45" i="11" s="1"/>
  <c r="B46" i="11"/>
  <c r="J46" i="11" s="1"/>
  <c r="B47" i="11"/>
  <c r="G47" i="11" s="1"/>
  <c r="B48" i="11"/>
  <c r="L48" i="11" s="1"/>
  <c r="B49" i="11"/>
  <c r="I49" i="11" s="1"/>
  <c r="B50" i="11"/>
  <c r="K50" i="11" s="1"/>
  <c r="B51" i="11"/>
  <c r="K51" i="11" s="1"/>
  <c r="B52" i="11"/>
  <c r="H52" i="11" s="1"/>
  <c r="B53" i="11"/>
  <c r="E53" i="11" s="1"/>
  <c r="B54" i="11"/>
  <c r="J54" i="11" s="1"/>
  <c r="B55" i="11"/>
  <c r="G55" i="11" s="1"/>
  <c r="B56" i="11"/>
  <c r="L56" i="11" s="1"/>
  <c r="B57" i="11"/>
  <c r="I57" i="11" s="1"/>
  <c r="B58" i="11"/>
  <c r="K58" i="11" s="1"/>
  <c r="B59" i="11"/>
  <c r="K59" i="11" s="1"/>
  <c r="B60" i="11"/>
  <c r="H60" i="11" s="1"/>
  <c r="B61" i="11"/>
  <c r="E61" i="11" s="1"/>
  <c r="B62" i="11"/>
  <c r="J62" i="11" s="1"/>
  <c r="B63" i="11"/>
  <c r="G63" i="11" s="1"/>
  <c r="B64" i="11"/>
  <c r="L64" i="11" s="1"/>
  <c r="B65" i="11"/>
  <c r="C65" i="11" s="1"/>
  <c r="B66" i="11"/>
  <c r="E66" i="11" s="1"/>
  <c r="B67" i="11"/>
  <c r="J67" i="11" s="1"/>
  <c r="B68" i="11"/>
  <c r="G68" i="11" s="1"/>
  <c r="B69" i="11"/>
  <c r="L69" i="11" s="1"/>
  <c r="B70" i="11"/>
  <c r="B71" i="11"/>
  <c r="B72" i="11"/>
  <c r="K72" i="11" s="1"/>
  <c r="B73" i="11"/>
  <c r="H73" i="11" s="1"/>
  <c r="B74" i="11"/>
  <c r="E74" i="11" s="1"/>
  <c r="B75" i="11"/>
  <c r="J75" i="11" s="1"/>
  <c r="B76" i="11"/>
  <c r="G76" i="11" s="1"/>
  <c r="B77" i="11"/>
  <c r="L77" i="11" s="1"/>
  <c r="B78" i="11"/>
  <c r="B79" i="11"/>
  <c r="B80" i="11"/>
  <c r="K80" i="11" s="1"/>
  <c r="B81" i="11"/>
  <c r="H81" i="11" s="1"/>
  <c r="B82" i="11"/>
  <c r="E82" i="11" s="1"/>
  <c r="B83" i="11"/>
  <c r="J83" i="11" s="1"/>
  <c r="B84" i="11"/>
  <c r="G84" i="11" s="1"/>
  <c r="B85" i="11"/>
  <c r="L85" i="11" s="1"/>
  <c r="B86" i="11"/>
  <c r="B87" i="11"/>
  <c r="B88" i="11"/>
  <c r="C88" i="11" s="1"/>
  <c r="B89" i="11"/>
  <c r="C89" i="11" s="1"/>
  <c r="B90" i="11"/>
  <c r="C90" i="11" s="1"/>
  <c r="B91" i="11"/>
  <c r="C91" i="11" s="1"/>
  <c r="B92" i="11"/>
  <c r="B93" i="11"/>
  <c r="B94" i="11"/>
  <c r="B95" i="11"/>
  <c r="B96" i="11"/>
  <c r="C96" i="11" s="1"/>
  <c r="B97" i="11"/>
  <c r="C97" i="11" s="1"/>
  <c r="B98" i="11"/>
  <c r="C98" i="11" s="1"/>
  <c r="B99" i="11"/>
  <c r="C99" i="11" s="1"/>
  <c r="B100" i="11"/>
  <c r="B101" i="11"/>
  <c r="B102" i="11"/>
  <c r="B103" i="11"/>
  <c r="B104" i="11"/>
  <c r="C104" i="11" s="1"/>
  <c r="B105" i="11"/>
  <c r="C105" i="11" s="1"/>
  <c r="B106" i="11"/>
  <c r="C106" i="11" s="1"/>
  <c r="B107" i="11"/>
  <c r="C107" i="11" s="1"/>
  <c r="B108" i="11"/>
  <c r="B109" i="11"/>
  <c r="B110" i="11"/>
  <c r="B111" i="11"/>
  <c r="B112" i="11"/>
  <c r="C112" i="11" s="1"/>
  <c r="B113" i="11"/>
  <c r="C113" i="11" s="1"/>
  <c r="B114" i="11"/>
  <c r="C114" i="11" s="1"/>
  <c r="B115" i="11"/>
  <c r="C115" i="11" s="1"/>
  <c r="B116" i="11"/>
  <c r="B117" i="11"/>
  <c r="B118" i="11"/>
  <c r="B119" i="11"/>
  <c r="B120" i="11"/>
  <c r="C120" i="11" s="1"/>
  <c r="B121" i="11"/>
  <c r="C121" i="11" s="1"/>
  <c r="B122" i="11"/>
  <c r="C122" i="11" s="1"/>
  <c r="B123" i="11"/>
  <c r="C123" i="11" s="1"/>
  <c r="B124" i="11"/>
  <c r="B125" i="11"/>
  <c r="B126" i="11"/>
  <c r="B127" i="11"/>
  <c r="B128" i="11"/>
  <c r="C128" i="11" s="1"/>
  <c r="B129" i="11"/>
  <c r="C129" i="11" s="1"/>
  <c r="B130" i="11"/>
  <c r="C130" i="11" s="1"/>
  <c r="B131" i="11"/>
  <c r="C131" i="11" s="1"/>
  <c r="B132" i="11"/>
  <c r="B133" i="11"/>
  <c r="B134" i="11"/>
  <c r="B135" i="11"/>
  <c r="B136" i="11"/>
  <c r="C136" i="11" s="1"/>
  <c r="B137" i="11"/>
  <c r="C137" i="11" s="1"/>
  <c r="B138" i="11"/>
  <c r="C138" i="11" s="1"/>
  <c r="B139" i="11"/>
  <c r="C139" i="11" s="1"/>
  <c r="B140" i="11"/>
  <c r="B141" i="11"/>
  <c r="B142" i="11"/>
  <c r="B143" i="11"/>
  <c r="B144" i="11"/>
  <c r="C144" i="11" s="1"/>
  <c r="B145" i="11"/>
  <c r="C145" i="11" s="1"/>
  <c r="B146" i="11"/>
  <c r="C146" i="11" s="1"/>
  <c r="B147" i="11"/>
  <c r="C147" i="11" s="1"/>
  <c r="B148" i="11"/>
  <c r="B149" i="11"/>
  <c r="B150" i="11"/>
  <c r="B151" i="11"/>
  <c r="B152" i="11"/>
  <c r="C152" i="11" s="1"/>
  <c r="B153" i="11"/>
  <c r="C153" i="11" s="1"/>
  <c r="B154" i="11"/>
  <c r="C154" i="11" s="1"/>
  <c r="B155" i="11"/>
  <c r="C155" i="11" s="1"/>
  <c r="B156" i="11"/>
  <c r="B157" i="11"/>
  <c r="B158" i="11"/>
  <c r="B159" i="11"/>
  <c r="B160" i="11"/>
  <c r="C160" i="11" s="1"/>
  <c r="B161" i="11"/>
  <c r="C161" i="11" s="1"/>
  <c r="B162" i="11"/>
  <c r="C162" i="11" s="1"/>
  <c r="B163" i="11"/>
  <c r="C163" i="11" s="1"/>
  <c r="B164" i="11"/>
  <c r="B165" i="11"/>
  <c r="B166" i="11"/>
  <c r="B167" i="11"/>
  <c r="B168" i="11"/>
  <c r="C168" i="11" s="1"/>
  <c r="B169" i="11"/>
  <c r="C169" i="11" s="1"/>
  <c r="B170" i="11"/>
  <c r="C170" i="11" s="1"/>
  <c r="B171" i="11"/>
  <c r="C171" i="11" s="1"/>
  <c r="B172" i="11"/>
  <c r="B173" i="11"/>
  <c r="B174" i="11"/>
  <c r="B175" i="11"/>
  <c r="B176" i="11"/>
  <c r="C176" i="11" s="1"/>
  <c r="B177" i="11"/>
  <c r="D177" i="11" s="1"/>
  <c r="B178" i="11"/>
  <c r="D178" i="11" s="1"/>
  <c r="B179" i="11"/>
  <c r="C179" i="11" s="1"/>
  <c r="B180" i="11"/>
  <c r="B181" i="11"/>
  <c r="B182" i="11"/>
  <c r="B183" i="11"/>
  <c r="B184" i="11"/>
  <c r="C184" i="11" s="1"/>
  <c r="B185" i="11"/>
  <c r="D185" i="11" s="1"/>
  <c r="B186" i="11"/>
  <c r="D186" i="11" s="1"/>
  <c r="B187" i="11"/>
  <c r="C187" i="11" s="1"/>
  <c r="B188" i="11"/>
  <c r="B189" i="11"/>
  <c r="B190" i="11"/>
  <c r="B191" i="11"/>
  <c r="B192" i="11"/>
  <c r="C192" i="11" s="1"/>
  <c r="B193" i="11"/>
  <c r="C193" i="11" s="1"/>
  <c r="B194" i="11"/>
  <c r="C194" i="11" s="1"/>
  <c r="B195" i="11"/>
  <c r="C195" i="11" s="1"/>
  <c r="B196" i="11"/>
  <c r="B197" i="11"/>
  <c r="B198" i="11"/>
  <c r="B199" i="11"/>
  <c r="B200" i="11"/>
  <c r="C200" i="11" s="1"/>
  <c r="B201" i="11"/>
  <c r="C201" i="11" s="1"/>
  <c r="B202" i="11"/>
  <c r="C202" i="11" s="1"/>
  <c r="B203" i="11"/>
  <c r="C203" i="11" s="1"/>
  <c r="B204" i="11"/>
  <c r="B205" i="11"/>
  <c r="B206" i="11"/>
  <c r="B207" i="11"/>
  <c r="B208" i="11"/>
  <c r="C208" i="11" s="1"/>
  <c r="B209" i="11"/>
  <c r="D209" i="11" s="1"/>
  <c r="B210" i="11"/>
  <c r="D210" i="11" s="1"/>
  <c r="B211" i="11"/>
  <c r="C211" i="11" s="1"/>
  <c r="B212" i="11"/>
  <c r="B213" i="11"/>
  <c r="B214" i="11"/>
  <c r="B215" i="11"/>
  <c r="B216" i="11"/>
  <c r="C216" i="11" s="1"/>
  <c r="B217" i="11"/>
  <c r="D217" i="11" s="1"/>
  <c r="B218" i="11"/>
  <c r="D218" i="11" s="1"/>
  <c r="B219" i="11"/>
  <c r="C219" i="11" s="1"/>
  <c r="B220" i="11"/>
  <c r="B221" i="11"/>
  <c r="B222" i="11"/>
  <c r="B223" i="11"/>
  <c r="B224" i="11"/>
  <c r="C224" i="11" s="1"/>
  <c r="B225" i="11"/>
  <c r="C225" i="11" s="1"/>
  <c r="B226" i="11"/>
  <c r="C226" i="11" s="1"/>
  <c r="B227" i="11"/>
  <c r="C227" i="11" s="1"/>
  <c r="B228" i="11"/>
  <c r="B229" i="11"/>
  <c r="B230" i="11"/>
  <c r="B231" i="11"/>
  <c r="B232" i="11"/>
  <c r="C232" i="11" s="1"/>
  <c r="B233" i="11"/>
  <c r="D233" i="11" s="1"/>
  <c r="B234" i="11"/>
  <c r="D234" i="11" s="1"/>
  <c r="B235" i="11"/>
  <c r="D235" i="11" s="1"/>
  <c r="B236" i="11"/>
  <c r="B237" i="11"/>
  <c r="B238" i="11"/>
  <c r="B239" i="11"/>
  <c r="B240" i="11"/>
  <c r="C240" i="11" s="1"/>
  <c r="B241" i="11"/>
  <c r="C241" i="11" s="1"/>
  <c r="B242" i="11"/>
  <c r="C242" i="11" s="1"/>
  <c r="B243" i="11"/>
  <c r="C243" i="11" s="1"/>
  <c r="B244" i="11"/>
  <c r="B245" i="11"/>
  <c r="B246" i="11"/>
  <c r="B247" i="11"/>
  <c r="B248" i="11"/>
  <c r="C248" i="11" s="1"/>
  <c r="B249" i="11"/>
  <c r="D249" i="11" s="1"/>
  <c r="B250" i="11"/>
  <c r="D250" i="11" s="1"/>
  <c r="B251" i="11"/>
  <c r="D251" i="11" s="1"/>
  <c r="B252" i="11"/>
  <c r="B253" i="11"/>
  <c r="B254" i="11"/>
  <c r="B255" i="11"/>
  <c r="B256" i="11"/>
  <c r="C256" i="11" s="1"/>
  <c r="B257" i="11"/>
  <c r="D257" i="11" s="1"/>
  <c r="B258" i="11"/>
  <c r="D258" i="11" s="1"/>
  <c r="B259" i="11"/>
  <c r="D259" i="11" s="1"/>
  <c r="B260" i="11"/>
  <c r="B261" i="11"/>
  <c r="B262" i="11"/>
  <c r="B263" i="11"/>
  <c r="B264" i="11"/>
  <c r="C264" i="11" s="1"/>
  <c r="B265" i="11"/>
  <c r="C265" i="11" s="1"/>
  <c r="B266" i="11"/>
  <c r="C266" i="11" s="1"/>
  <c r="B267" i="11"/>
  <c r="C267" i="11" s="1"/>
  <c r="B268" i="11"/>
  <c r="B269" i="11"/>
  <c r="B270" i="11"/>
  <c r="B271" i="11"/>
  <c r="B272" i="11"/>
  <c r="D272" i="11" s="1"/>
  <c r="B273" i="11"/>
  <c r="D273" i="11" s="1"/>
  <c r="B274" i="11"/>
  <c r="D274" i="11" s="1"/>
  <c r="B275" i="11"/>
  <c r="D275" i="11" s="1"/>
  <c r="B276" i="11"/>
  <c r="B277" i="11"/>
  <c r="B278" i="11"/>
  <c r="B279" i="11"/>
  <c r="B280" i="11"/>
  <c r="D280" i="11" s="1"/>
  <c r="B281" i="11"/>
  <c r="D281" i="11" s="1"/>
  <c r="B282" i="11"/>
  <c r="D282" i="11" s="1"/>
  <c r="B283" i="11"/>
  <c r="D283" i="11" s="1"/>
  <c r="B284" i="11"/>
  <c r="D284" i="11" s="1"/>
  <c r="B285" i="11"/>
  <c r="B286" i="11"/>
  <c r="B287" i="11"/>
  <c r="B288" i="11"/>
  <c r="D288" i="11" s="1"/>
  <c r="B289" i="11"/>
  <c r="D289" i="11" s="1"/>
  <c r="B290" i="11"/>
  <c r="D290" i="11" s="1"/>
  <c r="B291" i="11"/>
  <c r="D291" i="11" s="1"/>
  <c r="B292" i="11"/>
  <c r="D292" i="11" s="1"/>
  <c r="B293" i="11"/>
  <c r="B294" i="11"/>
  <c r="B295" i="11"/>
  <c r="B296" i="11"/>
  <c r="D296" i="11" s="1"/>
  <c r="B297" i="11"/>
  <c r="D297" i="11" s="1"/>
  <c r="B298" i="11"/>
  <c r="D298" i="11" s="1"/>
  <c r="B299" i="11"/>
  <c r="D299" i="11" s="1"/>
  <c r="B300" i="11"/>
  <c r="D300" i="11" s="1"/>
  <c r="B301" i="11"/>
  <c r="B302" i="11"/>
  <c r="B303" i="11"/>
  <c r="B304" i="11"/>
  <c r="D304" i="11" s="1"/>
  <c r="B305" i="11"/>
  <c r="D305" i="11" s="1"/>
  <c r="B306" i="11"/>
  <c r="D306" i="11" s="1"/>
  <c r="B307" i="11"/>
  <c r="D307" i="11" s="1"/>
  <c r="B308" i="11"/>
  <c r="D308" i="11" s="1"/>
  <c r="B309" i="11"/>
  <c r="B310" i="11"/>
  <c r="B311" i="11"/>
  <c r="B312" i="11"/>
  <c r="D312" i="11" s="1"/>
  <c r="B313" i="11"/>
  <c r="D313" i="11" s="1"/>
  <c r="B314" i="11"/>
  <c r="D314" i="11" s="1"/>
  <c r="B315" i="11"/>
  <c r="D315" i="11" s="1"/>
  <c r="B316" i="11"/>
  <c r="D316" i="11" s="1"/>
  <c r="B317" i="11"/>
  <c r="B318" i="11"/>
  <c r="B319" i="11"/>
  <c r="B320" i="11"/>
  <c r="D320" i="11" s="1"/>
  <c r="B321" i="11"/>
  <c r="D321" i="11" s="1"/>
  <c r="B322" i="11"/>
  <c r="D322" i="11" s="1"/>
  <c r="B323" i="11"/>
  <c r="D323" i="11" s="1"/>
  <c r="B324" i="11"/>
  <c r="D324" i="11" s="1"/>
  <c r="B325" i="11"/>
  <c r="B326" i="11"/>
  <c r="B327" i="11"/>
  <c r="B328" i="11"/>
  <c r="D328" i="11" s="1"/>
  <c r="B329" i="11"/>
  <c r="D329" i="11" s="1"/>
  <c r="B330" i="11"/>
  <c r="D330" i="11" s="1"/>
  <c r="B331" i="11"/>
  <c r="D331" i="11" s="1"/>
  <c r="B332" i="11"/>
  <c r="D332" i="11" s="1"/>
  <c r="B333" i="11"/>
  <c r="B334" i="11"/>
  <c r="B335" i="11"/>
  <c r="B336" i="11"/>
  <c r="D336" i="11" s="1"/>
  <c r="B337" i="11"/>
  <c r="D337" i="11" s="1"/>
  <c r="B338" i="11"/>
  <c r="D338" i="11" s="1"/>
  <c r="B339" i="11"/>
  <c r="D339" i="11" s="1"/>
  <c r="B340" i="11"/>
  <c r="D340" i="11" s="1"/>
  <c r="B341" i="11"/>
  <c r="B342" i="11"/>
  <c r="B343" i="11"/>
  <c r="B344" i="11"/>
  <c r="D344" i="11" s="1"/>
  <c r="B345" i="11"/>
  <c r="D345" i="11" s="1"/>
  <c r="B346" i="11"/>
  <c r="D346" i="11" s="1"/>
  <c r="B347" i="11"/>
  <c r="D347" i="11" s="1"/>
  <c r="B348" i="11"/>
  <c r="D348" i="11" s="1"/>
  <c r="B349" i="11"/>
  <c r="B350" i="11"/>
  <c r="B351" i="11"/>
  <c r="B4" i="11"/>
  <c r="C4" i="11" s="1"/>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0" i="9"/>
  <c r="A621" i="9"/>
  <c r="A622" i="9"/>
  <c r="A623" i="9"/>
  <c r="A624" i="9"/>
  <c r="A625" i="9"/>
  <c r="A626" i="9"/>
  <c r="A627" i="9"/>
  <c r="A628" i="9"/>
  <c r="A629" i="9"/>
  <c r="A630" i="9"/>
  <c r="A631" i="9"/>
  <c r="A632" i="9"/>
  <c r="A633" i="9"/>
  <c r="A634" i="9"/>
  <c r="A635" i="9"/>
  <c r="A636" i="9"/>
  <c r="A637" i="9"/>
  <c r="A638" i="9"/>
  <c r="A639" i="9"/>
  <c r="A640" i="9"/>
  <c r="A641" i="9"/>
  <c r="A642" i="9"/>
  <c r="A643" i="9"/>
  <c r="A644" i="9"/>
  <c r="A645" i="9"/>
  <c r="A646" i="9"/>
  <c r="A647" i="9"/>
  <c r="A648" i="9"/>
  <c r="A649" i="9"/>
  <c r="A650" i="9"/>
  <c r="A651" i="9"/>
  <c r="A652" i="9"/>
  <c r="A653" i="9"/>
  <c r="A654" i="9"/>
  <c r="A655" i="9"/>
  <c r="A656" i="9"/>
  <c r="A657" i="9"/>
  <c r="A658" i="9"/>
  <c r="A659" i="9"/>
  <c r="A660" i="9"/>
  <c r="A661" i="9"/>
  <c r="A662" i="9"/>
  <c r="A663" i="9"/>
  <c r="A664" i="9"/>
  <c r="A665" i="9"/>
  <c r="A666" i="9"/>
  <c r="A667" i="9"/>
  <c r="A668" i="9"/>
  <c r="A669" i="9"/>
  <c r="A670" i="9"/>
  <c r="A671" i="9"/>
  <c r="A672" i="9"/>
  <c r="A673" i="9"/>
  <c r="A674" i="9"/>
  <c r="A675" i="9"/>
  <c r="A676" i="9"/>
  <c r="A677" i="9"/>
  <c r="A678" i="9"/>
  <c r="A679" i="9"/>
  <c r="A680" i="9"/>
  <c r="A681" i="9"/>
  <c r="A682" i="9"/>
  <c r="A683" i="9"/>
  <c r="A684" i="9"/>
  <c r="A685" i="9"/>
  <c r="A686" i="9"/>
  <c r="A687" i="9"/>
  <c r="A688" i="9"/>
  <c r="A689" i="9"/>
  <c r="A690" i="9"/>
  <c r="A691" i="9"/>
  <c r="A692" i="9"/>
  <c r="A693" i="9"/>
  <c r="A694" i="9"/>
  <c r="A695" i="9"/>
  <c r="A696" i="9"/>
  <c r="A697" i="9"/>
  <c r="A698" i="9"/>
  <c r="A699" i="9"/>
  <c r="A700" i="9"/>
  <c r="A701" i="9"/>
  <c r="A702" i="9"/>
  <c r="A703" i="9"/>
  <c r="A704" i="9"/>
  <c r="A705" i="9"/>
  <c r="A706" i="9"/>
  <c r="A707" i="9"/>
  <c r="A708" i="9"/>
  <c r="A709" i="9"/>
  <c r="A710" i="9"/>
  <c r="A711" i="9"/>
  <c r="A712" i="9"/>
  <c r="A713" i="9"/>
  <c r="A714" i="9"/>
  <c r="A715" i="9"/>
  <c r="A716" i="9"/>
  <c r="A717" i="9"/>
  <c r="A718" i="9"/>
  <c r="A719" i="9"/>
  <c r="A720" i="9"/>
  <c r="A721" i="9"/>
  <c r="A722" i="9"/>
  <c r="A723" i="9"/>
  <c r="A724" i="9"/>
  <c r="A725" i="9"/>
  <c r="A726" i="9"/>
  <c r="A727" i="9"/>
  <c r="A728" i="9"/>
  <c r="A729" i="9"/>
  <c r="A730" i="9"/>
  <c r="A731" i="9"/>
  <c r="A732" i="9"/>
  <c r="A733" i="9"/>
  <c r="A734" i="9"/>
  <c r="A735" i="9"/>
  <c r="A736" i="9"/>
  <c r="A737" i="9"/>
  <c r="A738" i="9"/>
  <c r="A739" i="9"/>
  <c r="A740" i="9"/>
  <c r="A741" i="9"/>
  <c r="A742" i="9"/>
  <c r="A743" i="9"/>
  <c r="A744" i="9"/>
  <c r="A745" i="9"/>
  <c r="A746" i="9"/>
  <c r="A747" i="9"/>
  <c r="A748" i="9"/>
  <c r="A749" i="9"/>
  <c r="A750" i="9"/>
  <c r="A751" i="9"/>
  <c r="A752" i="9"/>
  <c r="A753" i="9"/>
  <c r="A754" i="9"/>
  <c r="A755" i="9"/>
  <c r="A756" i="9"/>
  <c r="A757" i="9"/>
  <c r="A758" i="9"/>
  <c r="A759" i="9"/>
  <c r="A760" i="9"/>
  <c r="A761" i="9"/>
  <c r="A762" i="9"/>
  <c r="A763" i="9"/>
  <c r="A764" i="9"/>
  <c r="A765" i="9"/>
  <c r="A766" i="9"/>
  <c r="A767" i="9"/>
  <c r="A768" i="9"/>
  <c r="A769" i="9"/>
  <c r="A770" i="9"/>
  <c r="A771" i="9"/>
  <c r="A772" i="9"/>
  <c r="A773" i="9"/>
  <c r="A774" i="9"/>
  <c r="A775" i="9"/>
  <c r="A776" i="9"/>
  <c r="A777" i="9"/>
  <c r="A778" i="9"/>
  <c r="A779" i="9"/>
  <c r="A780" i="9"/>
  <c r="A781" i="9"/>
  <c r="A782" i="9"/>
  <c r="A783" i="9"/>
  <c r="A784" i="9"/>
  <c r="A785" i="9"/>
  <c r="A786" i="9"/>
  <c r="A787" i="9"/>
  <c r="A788" i="9"/>
  <c r="A789" i="9"/>
  <c r="A790" i="9"/>
  <c r="A791" i="9"/>
  <c r="A792" i="9"/>
  <c r="A793" i="9"/>
  <c r="A794" i="9"/>
  <c r="A795" i="9"/>
  <c r="A796" i="9"/>
  <c r="A797" i="9"/>
  <c r="A798" i="9"/>
  <c r="A799" i="9"/>
  <c r="A800" i="9"/>
  <c r="A801" i="9"/>
  <c r="A802" i="9"/>
  <c r="A803" i="9"/>
  <c r="A804" i="9"/>
  <c r="A805" i="9"/>
  <c r="A806" i="9"/>
  <c r="A807" i="9"/>
  <c r="A808" i="9"/>
  <c r="A809" i="9"/>
  <c r="A810" i="9"/>
  <c r="A811" i="9"/>
  <c r="A812" i="9"/>
  <c r="A813" i="9"/>
  <c r="A814" i="9"/>
  <c r="A815" i="9"/>
  <c r="A816" i="9"/>
  <c r="A817" i="9"/>
  <c r="A818" i="9"/>
  <c r="A819" i="9"/>
  <c r="A820" i="9"/>
  <c r="A821" i="9"/>
  <c r="A822" i="9"/>
  <c r="A823" i="9"/>
  <c r="A824" i="9"/>
  <c r="A825" i="9"/>
  <c r="A826" i="9"/>
  <c r="A827" i="9"/>
  <c r="A828" i="9"/>
  <c r="A829" i="9"/>
  <c r="A830" i="9"/>
  <c r="A831" i="9"/>
  <c r="A832" i="9"/>
  <c r="A833" i="9"/>
  <c r="A834" i="9"/>
  <c r="A835" i="9"/>
  <c r="A836" i="9"/>
  <c r="A837" i="9"/>
  <c r="A838" i="9"/>
  <c r="A839" i="9"/>
  <c r="A840" i="9"/>
  <c r="A841" i="9"/>
  <c r="A842" i="9"/>
  <c r="A843" i="9"/>
  <c r="A844" i="9"/>
  <c r="A845" i="9"/>
  <c r="A846" i="9"/>
  <c r="A847" i="9"/>
  <c r="A848" i="9"/>
  <c r="A849" i="9"/>
  <c r="A850" i="9"/>
  <c r="A851" i="9"/>
  <c r="A852" i="9"/>
  <c r="A853" i="9"/>
  <c r="A854" i="9"/>
  <c r="A855" i="9"/>
  <c r="A856" i="9"/>
  <c r="A857" i="9"/>
  <c r="A858" i="9"/>
  <c r="A859" i="9"/>
  <c r="A860" i="9"/>
  <c r="A861" i="9"/>
  <c r="A862" i="9"/>
  <c r="A863" i="9"/>
  <c r="A864" i="9"/>
  <c r="A865" i="9"/>
  <c r="A866" i="9"/>
  <c r="A867" i="9"/>
  <c r="A868" i="9"/>
  <c r="A869" i="9"/>
  <c r="A870" i="9"/>
  <c r="A871" i="9"/>
  <c r="A872" i="9"/>
  <c r="A873" i="9"/>
  <c r="A874" i="9"/>
  <c r="A875" i="9"/>
  <c r="A876" i="9"/>
  <c r="A877" i="9"/>
  <c r="A878" i="9"/>
  <c r="A879" i="9"/>
  <c r="A880" i="9"/>
  <c r="A881" i="9"/>
  <c r="A882" i="9"/>
  <c r="A883" i="9"/>
  <c r="A884" i="9"/>
  <c r="A885" i="9"/>
  <c r="A886" i="9"/>
  <c r="A887" i="9"/>
  <c r="A888" i="9"/>
  <c r="A889" i="9"/>
  <c r="A890" i="9"/>
  <c r="A891" i="9"/>
  <c r="A892" i="9"/>
  <c r="A893" i="9"/>
  <c r="A894" i="9"/>
  <c r="A895" i="9"/>
  <c r="A896" i="9"/>
  <c r="A897" i="9"/>
  <c r="A898" i="9"/>
  <c r="A899" i="9"/>
  <c r="A900" i="9"/>
  <c r="A901" i="9"/>
  <c r="A902" i="9"/>
  <c r="A903" i="9"/>
  <c r="A904" i="9"/>
  <c r="A905" i="9"/>
  <c r="A906" i="9"/>
  <c r="A907" i="9"/>
  <c r="A908" i="9"/>
  <c r="A909" i="9"/>
  <c r="A910" i="9"/>
  <c r="A911" i="9"/>
  <c r="A912" i="9"/>
  <c r="A913" i="9"/>
  <c r="A914" i="9"/>
  <c r="A915" i="9"/>
  <c r="A916" i="9"/>
  <c r="A917" i="9"/>
  <c r="A918" i="9"/>
  <c r="A919" i="9"/>
  <c r="A920" i="9"/>
  <c r="A921" i="9"/>
  <c r="A922" i="9"/>
  <c r="A923" i="9"/>
  <c r="A924" i="9"/>
  <c r="A925" i="9"/>
  <c r="A926" i="9"/>
  <c r="A927" i="9"/>
  <c r="A928" i="9"/>
  <c r="A929" i="9"/>
  <c r="A930" i="9"/>
  <c r="A931" i="9"/>
  <c r="A932" i="9"/>
  <c r="A933" i="9"/>
  <c r="A934" i="9"/>
  <c r="A935" i="9"/>
  <c r="A936" i="9"/>
  <c r="A937" i="9"/>
  <c r="A938" i="9"/>
  <c r="A939" i="9"/>
  <c r="A940" i="9"/>
  <c r="A941" i="9"/>
  <c r="A942" i="9"/>
  <c r="A943" i="9"/>
  <c r="A944" i="9"/>
  <c r="A945" i="9"/>
  <c r="A946" i="9"/>
  <c r="A947" i="9"/>
  <c r="A948" i="9"/>
  <c r="A949" i="9"/>
  <c r="A950" i="9"/>
  <c r="A951" i="9"/>
  <c r="A952" i="9"/>
  <c r="A953" i="9"/>
  <c r="A954" i="9"/>
  <c r="A955" i="9"/>
  <c r="A956" i="9"/>
  <c r="A957" i="9"/>
  <c r="A958" i="9"/>
  <c r="A959" i="9"/>
  <c r="A960" i="9"/>
  <c r="A961" i="9"/>
  <c r="A962" i="9"/>
  <c r="A963" i="9"/>
  <c r="A964" i="9"/>
  <c r="A965" i="9"/>
  <c r="A966" i="9"/>
  <c r="A967" i="9"/>
  <c r="A968" i="9"/>
  <c r="A969" i="9"/>
  <c r="A970" i="9"/>
  <c r="A971" i="9"/>
  <c r="A972" i="9"/>
  <c r="A973" i="9"/>
  <c r="A974" i="9"/>
  <c r="A975" i="9"/>
  <c r="A976" i="9"/>
  <c r="A977" i="9"/>
  <c r="A978" i="9"/>
  <c r="A979" i="9"/>
  <c r="A980" i="9"/>
  <c r="A981" i="9"/>
  <c r="A982" i="9"/>
  <c r="A983" i="9"/>
  <c r="A984" i="9"/>
  <c r="A985" i="9"/>
  <c r="A986" i="9"/>
  <c r="A987" i="9"/>
  <c r="A988" i="9"/>
  <c r="A989" i="9"/>
  <c r="A990" i="9"/>
  <c r="A991" i="9"/>
  <c r="A992"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110" i="9"/>
  <c r="G111" i="9"/>
  <c r="G112" i="9"/>
  <c r="G113" i="9"/>
  <c r="G114" i="9"/>
  <c r="G115" i="9"/>
  <c r="G116" i="9"/>
  <c r="G117" i="9"/>
  <c r="G118" i="9"/>
  <c r="G119" i="9"/>
  <c r="G120" i="9"/>
  <c r="G121" i="9"/>
  <c r="G122" i="9"/>
  <c r="G123" i="9"/>
  <c r="G124" i="9"/>
  <c r="G125" i="9"/>
  <c r="G126" i="9"/>
  <c r="G127" i="9"/>
  <c r="G128" i="9"/>
  <c r="G129" i="9"/>
  <c r="G130" i="9"/>
  <c r="G131" i="9"/>
  <c r="G132" i="9"/>
  <c r="G133" i="9"/>
  <c r="G134" i="9"/>
  <c r="G135" i="9"/>
  <c r="G136" i="9"/>
  <c r="G137" i="9"/>
  <c r="G138" i="9"/>
  <c r="G139" i="9"/>
  <c r="G140" i="9"/>
  <c r="G141" i="9"/>
  <c r="G142" i="9"/>
  <c r="G143" i="9"/>
  <c r="G144" i="9"/>
  <c r="G145" i="9"/>
  <c r="G146" i="9"/>
  <c r="G147" i="9"/>
  <c r="G148" i="9"/>
  <c r="G149" i="9"/>
  <c r="G150" i="9"/>
  <c r="G151" i="9"/>
  <c r="G152" i="9"/>
  <c r="G153" i="9"/>
  <c r="G154" i="9"/>
  <c r="G155" i="9"/>
  <c r="G156" i="9"/>
  <c r="G157" i="9"/>
  <c r="G158" i="9"/>
  <c r="G159" i="9"/>
  <c r="G160" i="9"/>
  <c r="G161" i="9"/>
  <c r="G162" i="9"/>
  <c r="G163" i="9"/>
  <c r="G164" i="9"/>
  <c r="G165" i="9"/>
  <c r="G166" i="9"/>
  <c r="G167" i="9"/>
  <c r="G168" i="9"/>
  <c r="G169" i="9"/>
  <c r="G170" i="9"/>
  <c r="G171" i="9"/>
  <c r="G172" i="9"/>
  <c r="G173" i="9"/>
  <c r="G174" i="9"/>
  <c r="G175" i="9"/>
  <c r="G176" i="9"/>
  <c r="G177" i="9"/>
  <c r="G178" i="9"/>
  <c r="G179" i="9"/>
  <c r="G180" i="9"/>
  <c r="G181" i="9"/>
  <c r="G182" i="9"/>
  <c r="G183" i="9"/>
  <c r="G184" i="9"/>
  <c r="G185" i="9"/>
  <c r="G186" i="9"/>
  <c r="G187" i="9"/>
  <c r="G188" i="9"/>
  <c r="G189" i="9"/>
  <c r="G190" i="9"/>
  <c r="G191" i="9"/>
  <c r="G192" i="9"/>
  <c r="G193" i="9"/>
  <c r="G194" i="9"/>
  <c r="G195" i="9"/>
  <c r="G196" i="9"/>
  <c r="G197" i="9"/>
  <c r="G198" i="9"/>
  <c r="G199" i="9"/>
  <c r="G200" i="9"/>
  <c r="G201" i="9"/>
  <c r="G202" i="9"/>
  <c r="G203" i="9"/>
  <c r="G204" i="9"/>
  <c r="G205" i="9"/>
  <c r="G206" i="9"/>
  <c r="G207" i="9"/>
  <c r="G208" i="9"/>
  <c r="G209" i="9"/>
  <c r="G210" i="9"/>
  <c r="G211" i="9"/>
  <c r="G212" i="9"/>
  <c r="G213" i="9"/>
  <c r="G214" i="9"/>
  <c r="G215" i="9"/>
  <c r="G216" i="9"/>
  <c r="G217" i="9"/>
  <c r="G218" i="9"/>
  <c r="G219" i="9"/>
  <c r="G220" i="9"/>
  <c r="G221" i="9"/>
  <c r="G222" i="9"/>
  <c r="G223" i="9"/>
  <c r="G224" i="9"/>
  <c r="G225" i="9"/>
  <c r="G226" i="9"/>
  <c r="G227" i="9"/>
  <c r="G228" i="9"/>
  <c r="G229" i="9"/>
  <c r="G230" i="9"/>
  <c r="G231" i="9"/>
  <c r="G232" i="9"/>
  <c r="G233" i="9"/>
  <c r="G234" i="9"/>
  <c r="G235" i="9"/>
  <c r="G236" i="9"/>
  <c r="G237" i="9"/>
  <c r="G238" i="9"/>
  <c r="G239" i="9"/>
  <c r="G240" i="9"/>
  <c r="G241" i="9"/>
  <c r="G242" i="9"/>
  <c r="G243" i="9"/>
  <c r="G244" i="9"/>
  <c r="G245" i="9"/>
  <c r="G246" i="9"/>
  <c r="G247" i="9"/>
  <c r="G248" i="9"/>
  <c r="G249" i="9"/>
  <c r="G250" i="9"/>
  <c r="G251" i="9"/>
  <c r="G252" i="9"/>
  <c r="G253" i="9"/>
  <c r="G254" i="9"/>
  <c r="G255" i="9"/>
  <c r="G256" i="9"/>
  <c r="G257" i="9"/>
  <c r="G258" i="9"/>
  <c r="G259" i="9"/>
  <c r="G260" i="9"/>
  <c r="G261" i="9"/>
  <c r="G262" i="9"/>
  <c r="G263" i="9"/>
  <c r="G264" i="9"/>
  <c r="G265" i="9"/>
  <c r="G266" i="9"/>
  <c r="G267" i="9"/>
  <c r="G268" i="9"/>
  <c r="G269" i="9"/>
  <c r="G270" i="9"/>
  <c r="G271" i="9"/>
  <c r="G272" i="9"/>
  <c r="G273" i="9"/>
  <c r="G274" i="9"/>
  <c r="G275" i="9"/>
  <c r="G276" i="9"/>
  <c r="G277" i="9"/>
  <c r="G278" i="9"/>
  <c r="G279" i="9"/>
  <c r="G280" i="9"/>
  <c r="G281" i="9"/>
  <c r="G282" i="9"/>
  <c r="G283" i="9"/>
  <c r="G284" i="9"/>
  <c r="G285" i="9"/>
  <c r="G286" i="9"/>
  <c r="G287" i="9"/>
  <c r="G288" i="9"/>
  <c r="G289" i="9"/>
  <c r="G290" i="9"/>
  <c r="G291" i="9"/>
  <c r="G292" i="9"/>
  <c r="G293" i="9"/>
  <c r="G294" i="9"/>
  <c r="G295" i="9"/>
  <c r="G296" i="9"/>
  <c r="G297" i="9"/>
  <c r="G298" i="9"/>
  <c r="G299" i="9"/>
  <c r="G300" i="9"/>
  <c r="G301" i="9"/>
  <c r="G302" i="9"/>
  <c r="G303" i="9"/>
  <c r="G304" i="9"/>
  <c r="G305" i="9"/>
  <c r="G306" i="9"/>
  <c r="G307" i="9"/>
  <c r="G308" i="9"/>
  <c r="G309" i="9"/>
  <c r="G310" i="9"/>
  <c r="G311" i="9"/>
  <c r="G312" i="9"/>
  <c r="G313" i="9"/>
  <c r="G314" i="9"/>
  <c r="G315" i="9"/>
  <c r="G316" i="9"/>
  <c r="G317" i="9"/>
  <c r="G318" i="9"/>
  <c r="G319" i="9"/>
  <c r="G320" i="9"/>
  <c r="G321" i="9"/>
  <c r="G322" i="9"/>
  <c r="G323" i="9"/>
  <c r="G324" i="9"/>
  <c r="G325" i="9"/>
  <c r="G326" i="9"/>
  <c r="G327" i="9"/>
  <c r="G328" i="9"/>
  <c r="G329" i="9"/>
  <c r="G330" i="9"/>
  <c r="G331" i="9"/>
  <c r="G332" i="9"/>
  <c r="G333" i="9"/>
  <c r="G334" i="9"/>
  <c r="G335" i="9"/>
  <c r="G336" i="9"/>
  <c r="G337" i="9"/>
  <c r="G338" i="9"/>
  <c r="G339" i="9"/>
  <c r="G340" i="9"/>
  <c r="G341" i="9"/>
  <c r="G342" i="9"/>
  <c r="G343" i="9"/>
  <c r="G344" i="9"/>
  <c r="G345" i="9"/>
  <c r="G346" i="9"/>
  <c r="G347" i="9"/>
  <c r="G348" i="9"/>
  <c r="G349" i="9"/>
  <c r="G350" i="9"/>
  <c r="G351" i="9"/>
  <c r="G352" i="9"/>
  <c r="G353" i="9"/>
  <c r="G354" i="9"/>
  <c r="G355" i="9"/>
  <c r="G356" i="9"/>
  <c r="G357" i="9"/>
  <c r="G358" i="9"/>
  <c r="G359" i="9"/>
  <c r="G360" i="9"/>
  <c r="G361" i="9"/>
  <c r="G362" i="9"/>
  <c r="G363" i="9"/>
  <c r="G364" i="9"/>
  <c r="G365" i="9"/>
  <c r="G366" i="9"/>
  <c r="G367" i="9"/>
  <c r="G368" i="9"/>
  <c r="G369" i="9"/>
  <c r="G370" i="9"/>
  <c r="G371" i="9"/>
  <c r="G372" i="9"/>
  <c r="G373" i="9"/>
  <c r="G374" i="9"/>
  <c r="G375" i="9"/>
  <c r="G376" i="9"/>
  <c r="G377" i="9"/>
  <c r="G378" i="9"/>
  <c r="G379" i="9"/>
  <c r="G380" i="9"/>
  <c r="G381" i="9"/>
  <c r="G382" i="9"/>
  <c r="G383" i="9"/>
  <c r="G384" i="9"/>
  <c r="G385" i="9"/>
  <c r="G386" i="9"/>
  <c r="G387" i="9"/>
  <c r="G388" i="9"/>
  <c r="G389" i="9"/>
  <c r="G390" i="9"/>
  <c r="G391" i="9"/>
  <c r="G392" i="9"/>
  <c r="G393" i="9"/>
  <c r="G394" i="9"/>
  <c r="G395" i="9"/>
  <c r="G396" i="9"/>
  <c r="G397" i="9"/>
  <c r="G398" i="9"/>
  <c r="G399" i="9"/>
  <c r="G400" i="9"/>
  <c r="G401" i="9"/>
  <c r="G402" i="9"/>
  <c r="G403" i="9"/>
  <c r="G404" i="9"/>
  <c r="G405" i="9"/>
  <c r="G406" i="9"/>
  <c r="G407" i="9"/>
  <c r="G408" i="9"/>
  <c r="G409" i="9"/>
  <c r="G410" i="9"/>
  <c r="G411" i="9"/>
  <c r="G412" i="9"/>
  <c r="G413" i="9"/>
  <c r="G414" i="9"/>
  <c r="G415" i="9"/>
  <c r="G416" i="9"/>
  <c r="G417" i="9"/>
  <c r="G418" i="9"/>
  <c r="G419" i="9"/>
  <c r="G420" i="9"/>
  <c r="G421" i="9"/>
  <c r="G422" i="9"/>
  <c r="G423" i="9"/>
  <c r="G424" i="9"/>
  <c r="G425" i="9"/>
  <c r="G426" i="9"/>
  <c r="G427" i="9"/>
  <c r="G428" i="9"/>
  <c r="G429" i="9"/>
  <c r="G430" i="9"/>
  <c r="G431" i="9"/>
  <c r="G432" i="9"/>
  <c r="G433" i="9"/>
  <c r="G434" i="9"/>
  <c r="G435" i="9"/>
  <c r="G436" i="9"/>
  <c r="G437" i="9"/>
  <c r="G438" i="9"/>
  <c r="G439" i="9"/>
  <c r="G440" i="9"/>
  <c r="G441" i="9"/>
  <c r="G442" i="9"/>
  <c r="G443" i="9"/>
  <c r="G444" i="9"/>
  <c r="G445" i="9"/>
  <c r="G446" i="9"/>
  <c r="G447" i="9"/>
  <c r="G448" i="9"/>
  <c r="G449" i="9"/>
  <c r="G450" i="9"/>
  <c r="G451" i="9"/>
  <c r="G452" i="9"/>
  <c r="G453" i="9"/>
  <c r="G454" i="9"/>
  <c r="G455" i="9"/>
  <c r="G456" i="9"/>
  <c r="G457" i="9"/>
  <c r="G458" i="9"/>
  <c r="G459" i="9"/>
  <c r="G460" i="9"/>
  <c r="G461" i="9"/>
  <c r="G462" i="9"/>
  <c r="G463" i="9"/>
  <c r="G464" i="9"/>
  <c r="G465" i="9"/>
  <c r="G466" i="9"/>
  <c r="G467" i="9"/>
  <c r="G468" i="9"/>
  <c r="G469" i="9"/>
  <c r="G470" i="9"/>
  <c r="G471" i="9"/>
  <c r="G472" i="9"/>
  <c r="G473" i="9"/>
  <c r="G474" i="9"/>
  <c r="G475" i="9"/>
  <c r="G476" i="9"/>
  <c r="G477" i="9"/>
  <c r="G478" i="9"/>
  <c r="G479" i="9"/>
  <c r="G480" i="9"/>
  <c r="G481" i="9"/>
  <c r="G482" i="9"/>
  <c r="G483" i="9"/>
  <c r="G484" i="9"/>
  <c r="G485" i="9"/>
  <c r="G486" i="9"/>
  <c r="G487" i="9"/>
  <c r="G488" i="9"/>
  <c r="G489" i="9"/>
  <c r="G490" i="9"/>
  <c r="G491" i="9"/>
  <c r="G492" i="9"/>
  <c r="G493" i="9"/>
  <c r="G494" i="9"/>
  <c r="G495" i="9"/>
  <c r="G496" i="9"/>
  <c r="G497" i="9"/>
  <c r="G498" i="9"/>
  <c r="G499" i="9"/>
  <c r="G500" i="9"/>
  <c r="G501" i="9"/>
  <c r="G502" i="9"/>
  <c r="G503" i="9"/>
  <c r="G504" i="9"/>
  <c r="G505" i="9"/>
  <c r="G506" i="9"/>
  <c r="G507" i="9"/>
  <c r="G508" i="9"/>
  <c r="G509" i="9"/>
  <c r="G510" i="9"/>
  <c r="G511" i="9"/>
  <c r="G512" i="9"/>
  <c r="G513" i="9"/>
  <c r="G514" i="9"/>
  <c r="G515" i="9"/>
  <c r="G516" i="9"/>
  <c r="G517" i="9"/>
  <c r="G518" i="9"/>
  <c r="G519" i="9"/>
  <c r="G520" i="9"/>
  <c r="G521" i="9"/>
  <c r="G522" i="9"/>
  <c r="G523" i="9"/>
  <c r="G524" i="9"/>
  <c r="G525" i="9"/>
  <c r="G526" i="9"/>
  <c r="G527" i="9"/>
  <c r="G528" i="9"/>
  <c r="G529" i="9"/>
  <c r="G530" i="9"/>
  <c r="G531" i="9"/>
  <c r="G532" i="9"/>
  <c r="G533" i="9"/>
  <c r="G534" i="9"/>
  <c r="G535" i="9"/>
  <c r="G536" i="9"/>
  <c r="G537" i="9"/>
  <c r="G538" i="9"/>
  <c r="G539" i="9"/>
  <c r="G540" i="9"/>
  <c r="G541" i="9"/>
  <c r="G542" i="9"/>
  <c r="G543" i="9"/>
  <c r="G544" i="9"/>
  <c r="G545" i="9"/>
  <c r="G546" i="9"/>
  <c r="G547" i="9"/>
  <c r="G548" i="9"/>
  <c r="G549" i="9"/>
  <c r="G550" i="9"/>
  <c r="G551" i="9"/>
  <c r="G552" i="9"/>
  <c r="G553" i="9"/>
  <c r="G554" i="9"/>
  <c r="G555" i="9"/>
  <c r="G556" i="9"/>
  <c r="G557" i="9"/>
  <c r="G558" i="9"/>
  <c r="G559" i="9"/>
  <c r="G560" i="9"/>
  <c r="G561" i="9"/>
  <c r="G562" i="9"/>
  <c r="G563" i="9"/>
  <c r="G564" i="9"/>
  <c r="G565" i="9"/>
  <c r="G566" i="9"/>
  <c r="G567" i="9"/>
  <c r="G568" i="9"/>
  <c r="G569" i="9"/>
  <c r="G570" i="9"/>
  <c r="G571" i="9"/>
  <c r="G572" i="9"/>
  <c r="G573" i="9"/>
  <c r="G574" i="9"/>
  <c r="G575" i="9"/>
  <c r="G576" i="9"/>
  <c r="G577" i="9"/>
  <c r="G578" i="9"/>
  <c r="G579" i="9"/>
  <c r="G580" i="9"/>
  <c r="G581" i="9"/>
  <c r="G582" i="9"/>
  <c r="G583" i="9"/>
  <c r="G584" i="9"/>
  <c r="G585" i="9"/>
  <c r="G586" i="9"/>
  <c r="G587" i="9"/>
  <c r="G588" i="9"/>
  <c r="G589" i="9"/>
  <c r="G590" i="9"/>
  <c r="G591" i="9"/>
  <c r="G592" i="9"/>
  <c r="G593" i="9"/>
  <c r="G594" i="9"/>
  <c r="G595" i="9"/>
  <c r="G596" i="9"/>
  <c r="G597" i="9"/>
  <c r="G598" i="9"/>
  <c r="G599" i="9"/>
  <c r="G600" i="9"/>
  <c r="G601" i="9"/>
  <c r="G602" i="9"/>
  <c r="G603" i="9"/>
  <c r="G604" i="9"/>
  <c r="G605" i="9"/>
  <c r="G606" i="9"/>
  <c r="G607" i="9"/>
  <c r="G608" i="9"/>
  <c r="G609" i="9"/>
  <c r="G610" i="9"/>
  <c r="G611" i="9"/>
  <c r="G612" i="9"/>
  <c r="G613" i="9"/>
  <c r="G614" i="9"/>
  <c r="G615" i="9"/>
  <c r="G616" i="9"/>
  <c r="G617" i="9"/>
  <c r="G618" i="9"/>
  <c r="G619" i="9"/>
  <c r="G620" i="9"/>
  <c r="G621" i="9"/>
  <c r="G622" i="9"/>
  <c r="G623" i="9"/>
  <c r="G624" i="9"/>
  <c r="G625" i="9"/>
  <c r="G626" i="9"/>
  <c r="G627" i="9"/>
  <c r="G628" i="9"/>
  <c r="G629" i="9"/>
  <c r="G630" i="9"/>
  <c r="G631" i="9"/>
  <c r="G632" i="9"/>
  <c r="G633" i="9"/>
  <c r="G634" i="9"/>
  <c r="G635" i="9"/>
  <c r="G636" i="9"/>
  <c r="G637" i="9"/>
  <c r="G638" i="9"/>
  <c r="G639" i="9"/>
  <c r="G640" i="9"/>
  <c r="G641" i="9"/>
  <c r="G642" i="9"/>
  <c r="G643" i="9"/>
  <c r="G644" i="9"/>
  <c r="G645" i="9"/>
  <c r="G646" i="9"/>
  <c r="G647" i="9"/>
  <c r="G648" i="9"/>
  <c r="G649" i="9"/>
  <c r="G650" i="9"/>
  <c r="G651" i="9"/>
  <c r="G652" i="9"/>
  <c r="G653" i="9"/>
  <c r="G654" i="9"/>
  <c r="G655" i="9"/>
  <c r="G656" i="9"/>
  <c r="G657" i="9"/>
  <c r="G658" i="9"/>
  <c r="G659" i="9"/>
  <c r="G660" i="9"/>
  <c r="G661" i="9"/>
  <c r="G662" i="9"/>
  <c r="G663" i="9"/>
  <c r="G664" i="9"/>
  <c r="G665" i="9"/>
  <c r="G666" i="9"/>
  <c r="G667" i="9"/>
  <c r="G668" i="9"/>
  <c r="G669" i="9"/>
  <c r="G670" i="9"/>
  <c r="G671" i="9"/>
  <c r="G672" i="9"/>
  <c r="G673" i="9"/>
  <c r="G674" i="9"/>
  <c r="G675" i="9"/>
  <c r="G676" i="9"/>
  <c r="G677" i="9"/>
  <c r="G678" i="9"/>
  <c r="G679" i="9"/>
  <c r="G680" i="9"/>
  <c r="G681" i="9"/>
  <c r="G682" i="9"/>
  <c r="G683" i="9"/>
  <c r="G684" i="9"/>
  <c r="G685" i="9"/>
  <c r="G686" i="9"/>
  <c r="G687" i="9"/>
  <c r="G688" i="9"/>
  <c r="G689" i="9"/>
  <c r="G690" i="9"/>
  <c r="G691" i="9"/>
  <c r="G692" i="9"/>
  <c r="G693" i="9"/>
  <c r="G694" i="9"/>
  <c r="G695" i="9"/>
  <c r="G696" i="9"/>
  <c r="G697" i="9"/>
  <c r="G698" i="9"/>
  <c r="G699" i="9"/>
  <c r="G700" i="9"/>
  <c r="G701" i="9"/>
  <c r="G702" i="9"/>
  <c r="G703" i="9"/>
  <c r="G704" i="9"/>
  <c r="G705" i="9"/>
  <c r="G706" i="9"/>
  <c r="G707" i="9"/>
  <c r="G708" i="9"/>
  <c r="G709" i="9"/>
  <c r="G710" i="9"/>
  <c r="G711" i="9"/>
  <c r="G712" i="9"/>
  <c r="G713" i="9"/>
  <c r="G714" i="9"/>
  <c r="G715" i="9"/>
  <c r="G716" i="9"/>
  <c r="G717" i="9"/>
  <c r="G718" i="9"/>
  <c r="G719" i="9"/>
  <c r="G720" i="9"/>
  <c r="G721" i="9"/>
  <c r="G722" i="9"/>
  <c r="G723" i="9"/>
  <c r="G724" i="9"/>
  <c r="G725" i="9"/>
  <c r="G726" i="9"/>
  <c r="G727" i="9"/>
  <c r="G728" i="9"/>
  <c r="G729" i="9"/>
  <c r="G730" i="9"/>
  <c r="G731" i="9"/>
  <c r="G732" i="9"/>
  <c r="G733" i="9"/>
  <c r="G734" i="9"/>
  <c r="G735" i="9"/>
  <c r="G736" i="9"/>
  <c r="G737" i="9"/>
  <c r="G738" i="9"/>
  <c r="G739" i="9"/>
  <c r="G740" i="9"/>
  <c r="G741" i="9"/>
  <c r="G742" i="9"/>
  <c r="G743" i="9"/>
  <c r="G744" i="9"/>
  <c r="G745" i="9"/>
  <c r="G746" i="9"/>
  <c r="G747" i="9"/>
  <c r="G748" i="9"/>
  <c r="G749" i="9"/>
  <c r="G750" i="9"/>
  <c r="G751" i="9"/>
  <c r="G752" i="9"/>
  <c r="G753" i="9"/>
  <c r="G754" i="9"/>
  <c r="G755" i="9"/>
  <c r="G756" i="9"/>
  <c r="G757" i="9"/>
  <c r="G758" i="9"/>
  <c r="G759" i="9"/>
  <c r="G760" i="9"/>
  <c r="G761" i="9"/>
  <c r="G762" i="9"/>
  <c r="G763" i="9"/>
  <c r="G764" i="9"/>
  <c r="G765" i="9"/>
  <c r="G766" i="9"/>
  <c r="G767" i="9"/>
  <c r="G768" i="9"/>
  <c r="G769" i="9"/>
  <c r="G770" i="9"/>
  <c r="G771" i="9"/>
  <c r="G772" i="9"/>
  <c r="G773" i="9"/>
  <c r="G774" i="9"/>
  <c r="G775" i="9"/>
  <c r="G776" i="9"/>
  <c r="G777" i="9"/>
  <c r="G778" i="9"/>
  <c r="G779" i="9"/>
  <c r="G780" i="9"/>
  <c r="G781" i="9"/>
  <c r="G782" i="9"/>
  <c r="G783" i="9"/>
  <c r="G784" i="9"/>
  <c r="G785" i="9"/>
  <c r="G786" i="9"/>
  <c r="G787" i="9"/>
  <c r="G788" i="9"/>
  <c r="G789" i="9"/>
  <c r="G790" i="9"/>
  <c r="G791" i="9"/>
  <c r="G792" i="9"/>
  <c r="G793" i="9"/>
  <c r="G794" i="9"/>
  <c r="G795" i="9"/>
  <c r="G796" i="9"/>
  <c r="G797" i="9"/>
  <c r="G798" i="9"/>
  <c r="G799" i="9"/>
  <c r="G800" i="9"/>
  <c r="G801" i="9"/>
  <c r="G802" i="9"/>
  <c r="G803" i="9"/>
  <c r="G804" i="9"/>
  <c r="G805" i="9"/>
  <c r="G806" i="9"/>
  <c r="G807" i="9"/>
  <c r="G808" i="9"/>
  <c r="G809" i="9"/>
  <c r="G810" i="9"/>
  <c r="G811" i="9"/>
  <c r="G812" i="9"/>
  <c r="G813" i="9"/>
  <c r="G814" i="9"/>
  <c r="G815" i="9"/>
  <c r="G816" i="9"/>
  <c r="G817" i="9"/>
  <c r="G818" i="9"/>
  <c r="G819" i="9"/>
  <c r="G820" i="9"/>
  <c r="G821" i="9"/>
  <c r="G822" i="9"/>
  <c r="G823" i="9"/>
  <c r="G824" i="9"/>
  <c r="G825" i="9"/>
  <c r="G826" i="9"/>
  <c r="G827" i="9"/>
  <c r="G828" i="9"/>
  <c r="G829" i="9"/>
  <c r="G830" i="9"/>
  <c r="G831" i="9"/>
  <c r="G832" i="9"/>
  <c r="G833" i="9"/>
  <c r="G834" i="9"/>
  <c r="G835" i="9"/>
  <c r="G836" i="9"/>
  <c r="G837" i="9"/>
  <c r="G838" i="9"/>
  <c r="G839" i="9"/>
  <c r="G840" i="9"/>
  <c r="G841" i="9"/>
  <c r="G842" i="9"/>
  <c r="G843" i="9"/>
  <c r="G844" i="9"/>
  <c r="G845" i="9"/>
  <c r="G846" i="9"/>
  <c r="G847" i="9"/>
  <c r="G848" i="9"/>
  <c r="G849" i="9"/>
  <c r="G850" i="9"/>
  <c r="G851" i="9"/>
  <c r="G852" i="9"/>
  <c r="G853" i="9"/>
  <c r="G854" i="9"/>
  <c r="G855" i="9"/>
  <c r="G856" i="9"/>
  <c r="G857" i="9"/>
  <c r="G858" i="9"/>
  <c r="G859" i="9"/>
  <c r="G860" i="9"/>
  <c r="G861" i="9"/>
  <c r="G862" i="9"/>
  <c r="G863" i="9"/>
  <c r="G864" i="9"/>
  <c r="G865" i="9"/>
  <c r="G866" i="9"/>
  <c r="G867" i="9"/>
  <c r="G868" i="9"/>
  <c r="G869" i="9"/>
  <c r="G870" i="9"/>
  <c r="G871" i="9"/>
  <c r="G872" i="9"/>
  <c r="G873" i="9"/>
  <c r="G874" i="9"/>
  <c r="G875" i="9"/>
  <c r="G876" i="9"/>
  <c r="G877" i="9"/>
  <c r="G878" i="9"/>
  <c r="G879" i="9"/>
  <c r="G880" i="9"/>
  <c r="G881" i="9"/>
  <c r="G882" i="9"/>
  <c r="G883" i="9"/>
  <c r="G884" i="9"/>
  <c r="G885" i="9"/>
  <c r="G886" i="9"/>
  <c r="G887" i="9"/>
  <c r="G888" i="9"/>
  <c r="G889" i="9"/>
  <c r="G890" i="9"/>
  <c r="G891" i="9"/>
  <c r="G892" i="9"/>
  <c r="G893" i="9"/>
  <c r="G894" i="9"/>
  <c r="G895" i="9"/>
  <c r="G896" i="9"/>
  <c r="G897" i="9"/>
  <c r="G898" i="9"/>
  <c r="G899" i="9"/>
  <c r="G900" i="9"/>
  <c r="G901" i="9"/>
  <c r="G902" i="9"/>
  <c r="G903" i="9"/>
  <c r="G904" i="9"/>
  <c r="G905" i="9"/>
  <c r="G906" i="9"/>
  <c r="G907" i="9"/>
  <c r="G908" i="9"/>
  <c r="G909" i="9"/>
  <c r="G910" i="9"/>
  <c r="G911" i="9"/>
  <c r="G912" i="9"/>
  <c r="G913" i="9"/>
  <c r="G914" i="9"/>
  <c r="G915" i="9"/>
  <c r="G916" i="9"/>
  <c r="G917" i="9"/>
  <c r="G918" i="9"/>
  <c r="G919" i="9"/>
  <c r="G920" i="9"/>
  <c r="G921" i="9"/>
  <c r="G922" i="9"/>
  <c r="G923" i="9"/>
  <c r="G924" i="9"/>
  <c r="G925" i="9"/>
  <c r="G926" i="9"/>
  <c r="G927" i="9"/>
  <c r="G928" i="9"/>
  <c r="G929" i="9"/>
  <c r="G930" i="9"/>
  <c r="G931" i="9"/>
  <c r="G932" i="9"/>
  <c r="G933" i="9"/>
  <c r="G934" i="9"/>
  <c r="G935" i="9"/>
  <c r="G936" i="9"/>
  <c r="G937" i="9"/>
  <c r="G938" i="9"/>
  <c r="G939" i="9"/>
  <c r="G940" i="9"/>
  <c r="G941" i="9"/>
  <c r="G942" i="9"/>
  <c r="G943" i="9"/>
  <c r="G944" i="9"/>
  <c r="G945" i="9"/>
  <c r="G946" i="9"/>
  <c r="G947" i="9"/>
  <c r="G948" i="9"/>
  <c r="G949" i="9"/>
  <c r="G950" i="9"/>
  <c r="G951" i="9"/>
  <c r="G952" i="9"/>
  <c r="G953" i="9"/>
  <c r="G954" i="9"/>
  <c r="G955" i="9"/>
  <c r="G956" i="9"/>
  <c r="G957" i="9"/>
  <c r="G958" i="9"/>
  <c r="G959" i="9"/>
  <c r="G960" i="9"/>
  <c r="G961" i="9"/>
  <c r="G962" i="9"/>
  <c r="G963" i="9"/>
  <c r="G964" i="9"/>
  <c r="G965" i="9"/>
  <c r="G966" i="9"/>
  <c r="G967" i="9"/>
  <c r="G968" i="9"/>
  <c r="G969" i="9"/>
  <c r="G970" i="9"/>
  <c r="G971" i="9"/>
  <c r="G972" i="9"/>
  <c r="G973" i="9"/>
  <c r="G974" i="9"/>
  <c r="G975" i="9"/>
  <c r="G976" i="9"/>
  <c r="G977" i="9"/>
  <c r="G978" i="9"/>
  <c r="G979" i="9"/>
  <c r="G980" i="9"/>
  <c r="G981" i="9"/>
  <c r="G982" i="9"/>
  <c r="G983" i="9"/>
  <c r="G984" i="9"/>
  <c r="G985" i="9"/>
  <c r="G986" i="9"/>
  <c r="G987" i="9"/>
  <c r="G988" i="9"/>
  <c r="G989" i="9"/>
  <c r="G990" i="9"/>
  <c r="G991" i="9"/>
  <c r="G992" i="9"/>
  <c r="G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 r="D303" i="9"/>
  <c r="D304" i="9"/>
  <c r="D305" i="9"/>
  <c r="D306" i="9"/>
  <c r="D307" i="9"/>
  <c r="D308" i="9"/>
  <c r="D309" i="9"/>
  <c r="D310" i="9"/>
  <c r="D311" i="9"/>
  <c r="D312" i="9"/>
  <c r="D313" i="9"/>
  <c r="D314" i="9"/>
  <c r="D315" i="9"/>
  <c r="D316" i="9"/>
  <c r="D317" i="9"/>
  <c r="D318" i="9"/>
  <c r="D319" i="9"/>
  <c r="D320" i="9"/>
  <c r="D321" i="9"/>
  <c r="D322" i="9"/>
  <c r="D323" i="9"/>
  <c r="D324" i="9"/>
  <c r="D325" i="9"/>
  <c r="D326" i="9"/>
  <c r="D327" i="9"/>
  <c r="D328" i="9"/>
  <c r="D329" i="9"/>
  <c r="D330" i="9"/>
  <c r="D331" i="9"/>
  <c r="D332" i="9"/>
  <c r="D333" i="9"/>
  <c r="D334" i="9"/>
  <c r="D335" i="9"/>
  <c r="D336" i="9"/>
  <c r="D337" i="9"/>
  <c r="D338" i="9"/>
  <c r="D339" i="9"/>
  <c r="D340" i="9"/>
  <c r="D341" i="9"/>
  <c r="D342" i="9"/>
  <c r="D343" i="9"/>
  <c r="D344" i="9"/>
  <c r="D345" i="9"/>
  <c r="D346" i="9"/>
  <c r="D347" i="9"/>
  <c r="D348" i="9"/>
  <c r="D349" i="9"/>
  <c r="D350" i="9"/>
  <c r="D351" i="9"/>
  <c r="D352" i="9"/>
  <c r="D353" i="9"/>
  <c r="D354" i="9"/>
  <c r="D355" i="9"/>
  <c r="D356" i="9"/>
  <c r="D357" i="9"/>
  <c r="D358" i="9"/>
  <c r="D359" i="9"/>
  <c r="D360" i="9"/>
  <c r="D361" i="9"/>
  <c r="D362" i="9"/>
  <c r="D363" i="9"/>
  <c r="D364" i="9"/>
  <c r="D365" i="9"/>
  <c r="D366" i="9"/>
  <c r="D367" i="9"/>
  <c r="D368" i="9"/>
  <c r="D369" i="9"/>
  <c r="D370" i="9"/>
  <c r="D371" i="9"/>
  <c r="D372" i="9"/>
  <c r="D373" i="9"/>
  <c r="D374" i="9"/>
  <c r="D375" i="9"/>
  <c r="D376" i="9"/>
  <c r="D377" i="9"/>
  <c r="D378" i="9"/>
  <c r="D379" i="9"/>
  <c r="D380" i="9"/>
  <c r="D381" i="9"/>
  <c r="D382" i="9"/>
  <c r="D383" i="9"/>
  <c r="D384" i="9"/>
  <c r="D385" i="9"/>
  <c r="D386" i="9"/>
  <c r="D387" i="9"/>
  <c r="D388" i="9"/>
  <c r="D389" i="9"/>
  <c r="D390" i="9"/>
  <c r="D391" i="9"/>
  <c r="D392" i="9"/>
  <c r="D393" i="9"/>
  <c r="D394" i="9"/>
  <c r="D395" i="9"/>
  <c r="D396" i="9"/>
  <c r="D397" i="9"/>
  <c r="D398" i="9"/>
  <c r="D399" i="9"/>
  <c r="D400" i="9"/>
  <c r="D401" i="9"/>
  <c r="D402" i="9"/>
  <c r="D403" i="9"/>
  <c r="D404" i="9"/>
  <c r="D405" i="9"/>
  <c r="D406" i="9"/>
  <c r="D407" i="9"/>
  <c r="D408" i="9"/>
  <c r="D409" i="9"/>
  <c r="D410" i="9"/>
  <c r="D411" i="9"/>
  <c r="D412" i="9"/>
  <c r="D413" i="9"/>
  <c r="D414" i="9"/>
  <c r="D415" i="9"/>
  <c r="D416" i="9"/>
  <c r="D417" i="9"/>
  <c r="D418" i="9"/>
  <c r="D419" i="9"/>
  <c r="D420" i="9"/>
  <c r="D421" i="9"/>
  <c r="D422" i="9"/>
  <c r="D423" i="9"/>
  <c r="D424" i="9"/>
  <c r="D425" i="9"/>
  <c r="D426" i="9"/>
  <c r="D427" i="9"/>
  <c r="D428" i="9"/>
  <c r="D429" i="9"/>
  <c r="D430" i="9"/>
  <c r="D431" i="9"/>
  <c r="D432" i="9"/>
  <c r="D433" i="9"/>
  <c r="D434" i="9"/>
  <c r="D435" i="9"/>
  <c r="D436" i="9"/>
  <c r="D437" i="9"/>
  <c r="D438" i="9"/>
  <c r="D439" i="9"/>
  <c r="D440" i="9"/>
  <c r="D441" i="9"/>
  <c r="D442" i="9"/>
  <c r="D443" i="9"/>
  <c r="D444" i="9"/>
  <c r="D445" i="9"/>
  <c r="D446" i="9"/>
  <c r="D447" i="9"/>
  <c r="D448" i="9"/>
  <c r="D449" i="9"/>
  <c r="D450" i="9"/>
  <c r="D451" i="9"/>
  <c r="D452" i="9"/>
  <c r="D453" i="9"/>
  <c r="D454" i="9"/>
  <c r="D455" i="9"/>
  <c r="D456" i="9"/>
  <c r="D457" i="9"/>
  <c r="D458" i="9"/>
  <c r="D459" i="9"/>
  <c r="D460" i="9"/>
  <c r="D461" i="9"/>
  <c r="D462" i="9"/>
  <c r="D463" i="9"/>
  <c r="D464" i="9"/>
  <c r="D465" i="9"/>
  <c r="D466" i="9"/>
  <c r="D467" i="9"/>
  <c r="D468" i="9"/>
  <c r="D469" i="9"/>
  <c r="D470" i="9"/>
  <c r="D471" i="9"/>
  <c r="D472" i="9"/>
  <c r="D473" i="9"/>
  <c r="D474" i="9"/>
  <c r="D475" i="9"/>
  <c r="D476" i="9"/>
  <c r="D477" i="9"/>
  <c r="D478" i="9"/>
  <c r="D479" i="9"/>
  <c r="D480" i="9"/>
  <c r="D481" i="9"/>
  <c r="D482" i="9"/>
  <c r="D483" i="9"/>
  <c r="D484" i="9"/>
  <c r="D485" i="9"/>
  <c r="D486" i="9"/>
  <c r="D487" i="9"/>
  <c r="D488" i="9"/>
  <c r="D489" i="9"/>
  <c r="D490" i="9"/>
  <c r="D491" i="9"/>
  <c r="D492" i="9"/>
  <c r="D493" i="9"/>
  <c r="D494" i="9"/>
  <c r="D495" i="9"/>
  <c r="D496" i="9"/>
  <c r="D497" i="9"/>
  <c r="D498" i="9"/>
  <c r="D499" i="9"/>
  <c r="D500" i="9"/>
  <c r="D501" i="9"/>
  <c r="D502" i="9"/>
  <c r="D503" i="9"/>
  <c r="D504" i="9"/>
  <c r="D505" i="9"/>
  <c r="D506" i="9"/>
  <c r="D507" i="9"/>
  <c r="D508" i="9"/>
  <c r="D509" i="9"/>
  <c r="D510" i="9"/>
  <c r="D511" i="9"/>
  <c r="D512" i="9"/>
  <c r="D513" i="9"/>
  <c r="D514" i="9"/>
  <c r="D515" i="9"/>
  <c r="D516" i="9"/>
  <c r="D517" i="9"/>
  <c r="D518" i="9"/>
  <c r="D519" i="9"/>
  <c r="D520" i="9"/>
  <c r="D521" i="9"/>
  <c r="D522" i="9"/>
  <c r="D523" i="9"/>
  <c r="D524" i="9"/>
  <c r="D525" i="9"/>
  <c r="D526" i="9"/>
  <c r="D527" i="9"/>
  <c r="D528" i="9"/>
  <c r="D529" i="9"/>
  <c r="D530" i="9"/>
  <c r="D531" i="9"/>
  <c r="D532" i="9"/>
  <c r="D533" i="9"/>
  <c r="D534" i="9"/>
  <c r="D535" i="9"/>
  <c r="D536" i="9"/>
  <c r="D537" i="9"/>
  <c r="D538" i="9"/>
  <c r="D539" i="9"/>
  <c r="D540" i="9"/>
  <c r="D541" i="9"/>
  <c r="D542" i="9"/>
  <c r="D543" i="9"/>
  <c r="D544" i="9"/>
  <c r="D545" i="9"/>
  <c r="D546" i="9"/>
  <c r="D547" i="9"/>
  <c r="D548" i="9"/>
  <c r="D549" i="9"/>
  <c r="D550" i="9"/>
  <c r="D551" i="9"/>
  <c r="D552" i="9"/>
  <c r="D553" i="9"/>
  <c r="D554" i="9"/>
  <c r="D555" i="9"/>
  <c r="D556" i="9"/>
  <c r="D557" i="9"/>
  <c r="D558" i="9"/>
  <c r="D559" i="9"/>
  <c r="D560" i="9"/>
  <c r="D561" i="9"/>
  <c r="D562" i="9"/>
  <c r="D563" i="9"/>
  <c r="D564" i="9"/>
  <c r="D565" i="9"/>
  <c r="D566" i="9"/>
  <c r="D567" i="9"/>
  <c r="D568" i="9"/>
  <c r="D569" i="9"/>
  <c r="D570" i="9"/>
  <c r="D571" i="9"/>
  <c r="D572" i="9"/>
  <c r="D573" i="9"/>
  <c r="D574" i="9"/>
  <c r="D575" i="9"/>
  <c r="D576" i="9"/>
  <c r="D577" i="9"/>
  <c r="D578" i="9"/>
  <c r="D579" i="9"/>
  <c r="D580" i="9"/>
  <c r="D581" i="9"/>
  <c r="D582" i="9"/>
  <c r="D583" i="9"/>
  <c r="D584" i="9"/>
  <c r="D585" i="9"/>
  <c r="D586" i="9"/>
  <c r="D587" i="9"/>
  <c r="D588" i="9"/>
  <c r="D589" i="9"/>
  <c r="D590" i="9"/>
  <c r="D591" i="9"/>
  <c r="D592" i="9"/>
  <c r="D593" i="9"/>
  <c r="D594" i="9"/>
  <c r="D595" i="9"/>
  <c r="D596" i="9"/>
  <c r="D597" i="9"/>
  <c r="D598" i="9"/>
  <c r="D599" i="9"/>
  <c r="D600" i="9"/>
  <c r="D601" i="9"/>
  <c r="D602" i="9"/>
  <c r="D603" i="9"/>
  <c r="D604" i="9"/>
  <c r="D605" i="9"/>
  <c r="D606" i="9"/>
  <c r="D607" i="9"/>
  <c r="D608" i="9"/>
  <c r="D609" i="9"/>
  <c r="D610" i="9"/>
  <c r="D611" i="9"/>
  <c r="D612" i="9"/>
  <c r="D613" i="9"/>
  <c r="D614" i="9"/>
  <c r="D615" i="9"/>
  <c r="D616" i="9"/>
  <c r="D617" i="9"/>
  <c r="D618" i="9"/>
  <c r="D619" i="9"/>
  <c r="D620" i="9"/>
  <c r="D621" i="9"/>
  <c r="D622" i="9"/>
  <c r="D623" i="9"/>
  <c r="D624" i="9"/>
  <c r="D625" i="9"/>
  <c r="D626" i="9"/>
  <c r="D627" i="9"/>
  <c r="D628" i="9"/>
  <c r="D629" i="9"/>
  <c r="D630" i="9"/>
  <c r="D631" i="9"/>
  <c r="D632" i="9"/>
  <c r="D633" i="9"/>
  <c r="D634" i="9"/>
  <c r="D635" i="9"/>
  <c r="D636" i="9"/>
  <c r="D637" i="9"/>
  <c r="D638" i="9"/>
  <c r="D639" i="9"/>
  <c r="D640" i="9"/>
  <c r="D641" i="9"/>
  <c r="D642" i="9"/>
  <c r="D643" i="9"/>
  <c r="D644" i="9"/>
  <c r="D645" i="9"/>
  <c r="D646" i="9"/>
  <c r="D647" i="9"/>
  <c r="D648" i="9"/>
  <c r="D649" i="9"/>
  <c r="D650" i="9"/>
  <c r="D651" i="9"/>
  <c r="D652" i="9"/>
  <c r="D653" i="9"/>
  <c r="D654" i="9"/>
  <c r="D655" i="9"/>
  <c r="D656" i="9"/>
  <c r="D657" i="9"/>
  <c r="D658" i="9"/>
  <c r="D659" i="9"/>
  <c r="D660" i="9"/>
  <c r="D661" i="9"/>
  <c r="D662" i="9"/>
  <c r="D663" i="9"/>
  <c r="D664" i="9"/>
  <c r="D665" i="9"/>
  <c r="D666" i="9"/>
  <c r="D667" i="9"/>
  <c r="D668" i="9"/>
  <c r="D669" i="9"/>
  <c r="D670" i="9"/>
  <c r="D671" i="9"/>
  <c r="D672" i="9"/>
  <c r="D673" i="9"/>
  <c r="D674" i="9"/>
  <c r="D675" i="9"/>
  <c r="D676" i="9"/>
  <c r="D677" i="9"/>
  <c r="D678" i="9"/>
  <c r="D679" i="9"/>
  <c r="D680" i="9"/>
  <c r="D681" i="9"/>
  <c r="D682" i="9"/>
  <c r="D683" i="9"/>
  <c r="D684" i="9"/>
  <c r="D685" i="9"/>
  <c r="D686" i="9"/>
  <c r="D687" i="9"/>
  <c r="D688" i="9"/>
  <c r="D689" i="9"/>
  <c r="D690" i="9"/>
  <c r="D691" i="9"/>
  <c r="D692" i="9"/>
  <c r="D693" i="9"/>
  <c r="D694" i="9"/>
  <c r="D695" i="9"/>
  <c r="D696" i="9"/>
  <c r="D697" i="9"/>
  <c r="D698" i="9"/>
  <c r="D699" i="9"/>
  <c r="D700" i="9"/>
  <c r="D701" i="9"/>
  <c r="D702" i="9"/>
  <c r="D703" i="9"/>
  <c r="D704" i="9"/>
  <c r="D705" i="9"/>
  <c r="D706" i="9"/>
  <c r="D707" i="9"/>
  <c r="D708" i="9"/>
  <c r="D709" i="9"/>
  <c r="D710" i="9"/>
  <c r="D711" i="9"/>
  <c r="D712" i="9"/>
  <c r="D713" i="9"/>
  <c r="D714" i="9"/>
  <c r="D715" i="9"/>
  <c r="D716" i="9"/>
  <c r="D717" i="9"/>
  <c r="D718" i="9"/>
  <c r="D719" i="9"/>
  <c r="D720" i="9"/>
  <c r="D721" i="9"/>
  <c r="D722" i="9"/>
  <c r="D723" i="9"/>
  <c r="D724" i="9"/>
  <c r="D725" i="9"/>
  <c r="D726" i="9"/>
  <c r="D727" i="9"/>
  <c r="D728" i="9"/>
  <c r="D729" i="9"/>
  <c r="D730" i="9"/>
  <c r="D731" i="9"/>
  <c r="D732" i="9"/>
  <c r="D733" i="9"/>
  <c r="D734" i="9"/>
  <c r="D735" i="9"/>
  <c r="D736" i="9"/>
  <c r="D737" i="9"/>
  <c r="D738" i="9"/>
  <c r="D739" i="9"/>
  <c r="D740" i="9"/>
  <c r="D741" i="9"/>
  <c r="D742" i="9"/>
  <c r="D743" i="9"/>
  <c r="D744" i="9"/>
  <c r="D745" i="9"/>
  <c r="D746" i="9"/>
  <c r="D747" i="9"/>
  <c r="D748" i="9"/>
  <c r="D749" i="9"/>
  <c r="D750" i="9"/>
  <c r="D751" i="9"/>
  <c r="D752" i="9"/>
  <c r="D753" i="9"/>
  <c r="D754" i="9"/>
  <c r="D755" i="9"/>
  <c r="D756" i="9"/>
  <c r="D757" i="9"/>
  <c r="D758" i="9"/>
  <c r="D759" i="9"/>
  <c r="D760" i="9"/>
  <c r="D761" i="9"/>
  <c r="D762" i="9"/>
  <c r="D763" i="9"/>
  <c r="D764" i="9"/>
  <c r="D765" i="9"/>
  <c r="D766" i="9"/>
  <c r="D767" i="9"/>
  <c r="D768" i="9"/>
  <c r="D769" i="9"/>
  <c r="D770" i="9"/>
  <c r="D771" i="9"/>
  <c r="D772" i="9"/>
  <c r="D773" i="9"/>
  <c r="D774" i="9"/>
  <c r="D775" i="9"/>
  <c r="D776" i="9"/>
  <c r="D777" i="9"/>
  <c r="D778" i="9"/>
  <c r="D779" i="9"/>
  <c r="D780" i="9"/>
  <c r="D781" i="9"/>
  <c r="D782" i="9"/>
  <c r="D783" i="9"/>
  <c r="D784" i="9"/>
  <c r="D785" i="9"/>
  <c r="D786" i="9"/>
  <c r="D787" i="9"/>
  <c r="D788" i="9"/>
  <c r="D789" i="9"/>
  <c r="D790" i="9"/>
  <c r="D791" i="9"/>
  <c r="D792" i="9"/>
  <c r="D793" i="9"/>
  <c r="D794" i="9"/>
  <c r="D795" i="9"/>
  <c r="D796" i="9"/>
  <c r="D797" i="9"/>
  <c r="D798" i="9"/>
  <c r="D799" i="9"/>
  <c r="D800" i="9"/>
  <c r="D801" i="9"/>
  <c r="D802" i="9"/>
  <c r="D803" i="9"/>
  <c r="D804" i="9"/>
  <c r="D805" i="9"/>
  <c r="D806" i="9"/>
  <c r="D807" i="9"/>
  <c r="D808" i="9"/>
  <c r="D809" i="9"/>
  <c r="D810" i="9"/>
  <c r="D811" i="9"/>
  <c r="D812" i="9"/>
  <c r="D813" i="9"/>
  <c r="D814" i="9"/>
  <c r="D815" i="9"/>
  <c r="D816" i="9"/>
  <c r="D817" i="9"/>
  <c r="D818" i="9"/>
  <c r="D819" i="9"/>
  <c r="D820" i="9"/>
  <c r="D821" i="9"/>
  <c r="D822" i="9"/>
  <c r="D823" i="9"/>
  <c r="D824" i="9"/>
  <c r="D825" i="9"/>
  <c r="D826" i="9"/>
  <c r="D827" i="9"/>
  <c r="D828" i="9"/>
  <c r="D829" i="9"/>
  <c r="D830" i="9"/>
  <c r="D831" i="9"/>
  <c r="D832" i="9"/>
  <c r="D833" i="9"/>
  <c r="D834" i="9"/>
  <c r="D835" i="9"/>
  <c r="D836" i="9"/>
  <c r="D837" i="9"/>
  <c r="D838" i="9"/>
  <c r="D839" i="9"/>
  <c r="D840" i="9"/>
  <c r="D841" i="9"/>
  <c r="D842" i="9"/>
  <c r="D843" i="9"/>
  <c r="D844" i="9"/>
  <c r="D845" i="9"/>
  <c r="D846" i="9"/>
  <c r="D847" i="9"/>
  <c r="D848" i="9"/>
  <c r="D849" i="9"/>
  <c r="D850" i="9"/>
  <c r="D851" i="9"/>
  <c r="D852" i="9"/>
  <c r="D853" i="9"/>
  <c r="D854" i="9"/>
  <c r="D855" i="9"/>
  <c r="D856" i="9"/>
  <c r="D857" i="9"/>
  <c r="D858" i="9"/>
  <c r="D859" i="9"/>
  <c r="D860" i="9"/>
  <c r="D861" i="9"/>
  <c r="D862" i="9"/>
  <c r="D863" i="9"/>
  <c r="D864" i="9"/>
  <c r="D865" i="9"/>
  <c r="D866" i="9"/>
  <c r="D867" i="9"/>
  <c r="D868" i="9"/>
  <c r="D869" i="9"/>
  <c r="D870" i="9"/>
  <c r="D871" i="9"/>
  <c r="D872" i="9"/>
  <c r="D873" i="9"/>
  <c r="D874" i="9"/>
  <c r="D875" i="9"/>
  <c r="D876" i="9"/>
  <c r="D877" i="9"/>
  <c r="D878" i="9"/>
  <c r="D879" i="9"/>
  <c r="D880" i="9"/>
  <c r="D881" i="9"/>
  <c r="D882" i="9"/>
  <c r="D883" i="9"/>
  <c r="D884" i="9"/>
  <c r="D885" i="9"/>
  <c r="D886" i="9"/>
  <c r="D887" i="9"/>
  <c r="D888" i="9"/>
  <c r="D889" i="9"/>
  <c r="D890" i="9"/>
  <c r="D891" i="9"/>
  <c r="D892" i="9"/>
  <c r="D893" i="9"/>
  <c r="D894" i="9"/>
  <c r="D895" i="9"/>
  <c r="D896" i="9"/>
  <c r="D897" i="9"/>
  <c r="D898" i="9"/>
  <c r="D899" i="9"/>
  <c r="D900" i="9"/>
  <c r="D901" i="9"/>
  <c r="D902" i="9"/>
  <c r="D903" i="9"/>
  <c r="D904" i="9"/>
  <c r="D905" i="9"/>
  <c r="D906" i="9"/>
  <c r="D907" i="9"/>
  <c r="D908" i="9"/>
  <c r="D909" i="9"/>
  <c r="D910" i="9"/>
  <c r="D911" i="9"/>
  <c r="D912" i="9"/>
  <c r="D913" i="9"/>
  <c r="D914" i="9"/>
  <c r="D915" i="9"/>
  <c r="D916" i="9"/>
  <c r="D917" i="9"/>
  <c r="D918" i="9"/>
  <c r="D919" i="9"/>
  <c r="D920" i="9"/>
  <c r="D921" i="9"/>
  <c r="D922" i="9"/>
  <c r="D923" i="9"/>
  <c r="D924" i="9"/>
  <c r="D925" i="9"/>
  <c r="D926" i="9"/>
  <c r="D927" i="9"/>
  <c r="D928" i="9"/>
  <c r="D929" i="9"/>
  <c r="D930" i="9"/>
  <c r="D931" i="9"/>
  <c r="D932" i="9"/>
  <c r="D933" i="9"/>
  <c r="D934" i="9"/>
  <c r="D935" i="9"/>
  <c r="D936" i="9"/>
  <c r="D937" i="9"/>
  <c r="D938" i="9"/>
  <c r="D939" i="9"/>
  <c r="D940" i="9"/>
  <c r="D941" i="9"/>
  <c r="D942" i="9"/>
  <c r="D943" i="9"/>
  <c r="D944" i="9"/>
  <c r="D945" i="9"/>
  <c r="D946" i="9"/>
  <c r="D947" i="9"/>
  <c r="D948" i="9"/>
  <c r="D949" i="9"/>
  <c r="D950" i="9"/>
  <c r="D951" i="9"/>
  <c r="D952" i="9"/>
  <c r="D953" i="9"/>
  <c r="D954" i="9"/>
  <c r="D955" i="9"/>
  <c r="D956" i="9"/>
  <c r="D957" i="9"/>
  <c r="D958" i="9"/>
  <c r="D959" i="9"/>
  <c r="D960" i="9"/>
  <c r="D961" i="9"/>
  <c r="D962" i="9"/>
  <c r="D963" i="9"/>
  <c r="D964" i="9"/>
  <c r="D965" i="9"/>
  <c r="D966" i="9"/>
  <c r="D967" i="9"/>
  <c r="D968" i="9"/>
  <c r="D969" i="9"/>
  <c r="D970" i="9"/>
  <c r="D971" i="9"/>
  <c r="D972" i="9"/>
  <c r="D973" i="9"/>
  <c r="D974" i="9"/>
  <c r="D975" i="9"/>
  <c r="D976" i="9"/>
  <c r="D977" i="9"/>
  <c r="D978" i="9"/>
  <c r="D979" i="9"/>
  <c r="D980" i="9"/>
  <c r="D981" i="9"/>
  <c r="D982" i="9"/>
  <c r="D983" i="9"/>
  <c r="D984" i="9"/>
  <c r="D985" i="9"/>
  <c r="D986" i="9"/>
  <c r="D987" i="9"/>
  <c r="D988" i="9"/>
  <c r="D989" i="9"/>
  <c r="D990" i="9"/>
  <c r="D991" i="9"/>
  <c r="D992" i="9"/>
  <c r="D3" i="9"/>
  <c r="NU5" i="8"/>
  <c r="NT5" i="8"/>
  <c r="NS5" i="8"/>
  <c r="NR5" i="8"/>
  <c r="NQ5" i="8"/>
  <c r="NP5" i="8"/>
  <c r="NO5" i="8"/>
  <c r="NN5" i="8"/>
  <c r="NM5" i="8"/>
  <c r="NL5" i="8"/>
  <c r="G351" i="11" l="1"/>
  <c r="O351" i="11"/>
  <c r="H351" i="11"/>
  <c r="I351" i="11"/>
  <c r="J351" i="11"/>
  <c r="K351" i="11"/>
  <c r="L351" i="11"/>
  <c r="E351" i="11"/>
  <c r="M351" i="11"/>
  <c r="F351" i="11"/>
  <c r="N351" i="11"/>
  <c r="G343" i="11"/>
  <c r="O343" i="11"/>
  <c r="H343" i="11"/>
  <c r="I343" i="11"/>
  <c r="J343" i="11"/>
  <c r="K343" i="11"/>
  <c r="L343" i="11"/>
  <c r="E343" i="11"/>
  <c r="M343" i="11"/>
  <c r="F343" i="11"/>
  <c r="N343" i="11"/>
  <c r="G335" i="11"/>
  <c r="O335" i="11"/>
  <c r="H335" i="11"/>
  <c r="I335" i="11"/>
  <c r="J335" i="11"/>
  <c r="K335" i="11"/>
  <c r="L335" i="11"/>
  <c r="E335" i="11"/>
  <c r="M335" i="11"/>
  <c r="F335" i="11"/>
  <c r="N335" i="11"/>
  <c r="G327" i="11"/>
  <c r="O327" i="11"/>
  <c r="H327" i="11"/>
  <c r="I327" i="11"/>
  <c r="J327" i="11"/>
  <c r="K327" i="11"/>
  <c r="L327" i="11"/>
  <c r="E327" i="11"/>
  <c r="M327" i="11"/>
  <c r="F327" i="11"/>
  <c r="N327" i="11"/>
  <c r="E319" i="11"/>
  <c r="G319" i="11"/>
  <c r="O319" i="11"/>
  <c r="H319" i="11"/>
  <c r="I319" i="11"/>
  <c r="J319" i="11"/>
  <c r="K319" i="11"/>
  <c r="L319" i="11"/>
  <c r="M319" i="11"/>
  <c r="F319" i="11"/>
  <c r="N319" i="11"/>
  <c r="E311" i="11"/>
  <c r="M311" i="11"/>
  <c r="F311" i="11"/>
  <c r="N311" i="11"/>
  <c r="H311" i="11"/>
  <c r="I311" i="11"/>
  <c r="J311" i="11"/>
  <c r="K311" i="11"/>
  <c r="L311" i="11"/>
  <c r="O311" i="11"/>
  <c r="G311" i="11"/>
  <c r="E303" i="11"/>
  <c r="M303" i="11"/>
  <c r="F303" i="11"/>
  <c r="N303" i="11"/>
  <c r="G303" i="11"/>
  <c r="O303" i="11"/>
  <c r="H303" i="11"/>
  <c r="I303" i="11"/>
  <c r="J303" i="11"/>
  <c r="L303" i="11"/>
  <c r="K303" i="11"/>
  <c r="E295" i="11"/>
  <c r="M295" i="11"/>
  <c r="F295" i="11"/>
  <c r="N295" i="11"/>
  <c r="G295" i="11"/>
  <c r="O295" i="11"/>
  <c r="H295" i="11"/>
  <c r="I295" i="11"/>
  <c r="J295" i="11"/>
  <c r="K295" i="11"/>
  <c r="L295" i="11"/>
  <c r="E287" i="11"/>
  <c r="M287" i="11"/>
  <c r="F287" i="11"/>
  <c r="N287" i="11"/>
  <c r="G287" i="11"/>
  <c r="O287" i="11"/>
  <c r="H287" i="11"/>
  <c r="I287" i="11"/>
  <c r="J287" i="11"/>
  <c r="K287" i="11"/>
  <c r="L287" i="11"/>
  <c r="E279" i="11"/>
  <c r="M279" i="11"/>
  <c r="F279" i="11"/>
  <c r="N279" i="11"/>
  <c r="G279" i="11"/>
  <c r="O279" i="11"/>
  <c r="H279" i="11"/>
  <c r="I279" i="11"/>
  <c r="J279" i="11"/>
  <c r="K279" i="11"/>
  <c r="L279" i="11"/>
  <c r="E271" i="11"/>
  <c r="M271" i="11"/>
  <c r="F271" i="11"/>
  <c r="N271" i="11"/>
  <c r="G271" i="11"/>
  <c r="O271" i="11"/>
  <c r="H271" i="11"/>
  <c r="I271" i="11"/>
  <c r="J271" i="11"/>
  <c r="K271" i="11"/>
  <c r="L271" i="11"/>
  <c r="E263" i="11"/>
  <c r="M263" i="11"/>
  <c r="F263" i="11"/>
  <c r="N263" i="11"/>
  <c r="G263" i="11"/>
  <c r="O263" i="11"/>
  <c r="H263" i="11"/>
  <c r="I263" i="11"/>
  <c r="J263" i="11"/>
  <c r="K263" i="11"/>
  <c r="L263" i="11"/>
  <c r="F255" i="11"/>
  <c r="N255" i="11"/>
  <c r="G255" i="11"/>
  <c r="H255" i="11"/>
  <c r="I255" i="11"/>
  <c r="J255" i="11"/>
  <c r="K255" i="11"/>
  <c r="L255" i="11"/>
  <c r="M255" i="11"/>
  <c r="E255" i="11"/>
  <c r="O255" i="11"/>
  <c r="F247" i="11"/>
  <c r="N247" i="11"/>
  <c r="G247" i="11"/>
  <c r="O247" i="11"/>
  <c r="J247" i="11"/>
  <c r="H247" i="11"/>
  <c r="I247" i="11"/>
  <c r="K247" i="11"/>
  <c r="L247" i="11"/>
  <c r="M247" i="11"/>
  <c r="E247" i="11"/>
  <c r="F239" i="11"/>
  <c r="N239" i="11"/>
  <c r="G239" i="11"/>
  <c r="O239" i="11"/>
  <c r="H239" i="11"/>
  <c r="I239" i="11"/>
  <c r="J239" i="11"/>
  <c r="K239" i="11"/>
  <c r="E239" i="11"/>
  <c r="M239" i="11"/>
  <c r="L239" i="11"/>
  <c r="F231" i="11"/>
  <c r="N231" i="11"/>
  <c r="G231" i="11"/>
  <c r="O231" i="11"/>
  <c r="H231" i="11"/>
  <c r="I231" i="11"/>
  <c r="J231" i="11"/>
  <c r="K231" i="11"/>
  <c r="L231" i="11"/>
  <c r="E231" i="11"/>
  <c r="M231" i="11"/>
  <c r="F223" i="11"/>
  <c r="N223" i="11"/>
  <c r="G223" i="11"/>
  <c r="O223" i="11"/>
  <c r="H223" i="11"/>
  <c r="I223" i="11"/>
  <c r="J223" i="11"/>
  <c r="K223" i="11"/>
  <c r="L223" i="11"/>
  <c r="E223" i="11"/>
  <c r="M223" i="11"/>
  <c r="F215" i="11"/>
  <c r="N215" i="11"/>
  <c r="G215" i="11"/>
  <c r="O215" i="11"/>
  <c r="H215" i="11"/>
  <c r="I215" i="11"/>
  <c r="J215" i="11"/>
  <c r="K215" i="11"/>
  <c r="L215" i="11"/>
  <c r="E215" i="11"/>
  <c r="M215" i="11"/>
  <c r="D215" i="11"/>
  <c r="F207" i="11"/>
  <c r="N207" i="11"/>
  <c r="G207" i="11"/>
  <c r="O207" i="11"/>
  <c r="H207" i="11"/>
  <c r="I207" i="11"/>
  <c r="J207" i="11"/>
  <c r="K207" i="11"/>
  <c r="L207" i="11"/>
  <c r="E207" i="11"/>
  <c r="M207" i="11"/>
  <c r="D207" i="11"/>
  <c r="J199" i="11"/>
  <c r="H199" i="11"/>
  <c r="I199" i="11"/>
  <c r="K199" i="11"/>
  <c r="L199" i="11"/>
  <c r="M199" i="11"/>
  <c r="E199" i="11"/>
  <c r="N199" i="11"/>
  <c r="F199" i="11"/>
  <c r="O199" i="11"/>
  <c r="G199" i="11"/>
  <c r="D199" i="11"/>
  <c r="J191" i="11"/>
  <c r="K191" i="11"/>
  <c r="L191" i="11"/>
  <c r="F191" i="11"/>
  <c r="N191" i="11"/>
  <c r="O191" i="11"/>
  <c r="E191" i="11"/>
  <c r="G191" i="11"/>
  <c r="H191" i="11"/>
  <c r="I191" i="11"/>
  <c r="M191" i="11"/>
  <c r="D191" i="11"/>
  <c r="J183" i="11"/>
  <c r="K183" i="11"/>
  <c r="L183" i="11"/>
  <c r="E183" i="11"/>
  <c r="M183" i="11"/>
  <c r="F183" i="11"/>
  <c r="N183" i="11"/>
  <c r="G183" i="11"/>
  <c r="O183" i="11"/>
  <c r="H183" i="11"/>
  <c r="I183" i="11"/>
  <c r="D183" i="11"/>
  <c r="J175" i="11"/>
  <c r="K175" i="11"/>
  <c r="L175" i="11"/>
  <c r="E175" i="11"/>
  <c r="M175" i="11"/>
  <c r="F175" i="11"/>
  <c r="N175" i="11"/>
  <c r="G175" i="11"/>
  <c r="O175" i="11"/>
  <c r="H175" i="11"/>
  <c r="I175" i="11"/>
  <c r="D175" i="11"/>
  <c r="J167" i="11"/>
  <c r="K167" i="11"/>
  <c r="L167" i="11"/>
  <c r="E167" i="11"/>
  <c r="M167" i="11"/>
  <c r="F167" i="11"/>
  <c r="N167" i="11"/>
  <c r="G167" i="11"/>
  <c r="O167" i="11"/>
  <c r="H167" i="11"/>
  <c r="I167" i="11"/>
  <c r="D167" i="11"/>
  <c r="J159" i="11"/>
  <c r="K159" i="11"/>
  <c r="L159" i="11"/>
  <c r="E159" i="11"/>
  <c r="M159" i="11"/>
  <c r="F159" i="11"/>
  <c r="N159" i="11"/>
  <c r="G159" i="11"/>
  <c r="O159" i="11"/>
  <c r="H159" i="11"/>
  <c r="I159" i="11"/>
  <c r="D159" i="11"/>
  <c r="J151" i="11"/>
  <c r="K151" i="11"/>
  <c r="L151" i="11"/>
  <c r="E151" i="11"/>
  <c r="M151" i="11"/>
  <c r="F151" i="11"/>
  <c r="N151" i="11"/>
  <c r="G151" i="11"/>
  <c r="O151" i="11"/>
  <c r="H151" i="11"/>
  <c r="I151" i="11"/>
  <c r="D151" i="11"/>
  <c r="J143" i="11"/>
  <c r="K143" i="11"/>
  <c r="L143" i="11"/>
  <c r="E143" i="11"/>
  <c r="M143" i="11"/>
  <c r="F143" i="11"/>
  <c r="N143" i="11"/>
  <c r="G143" i="11"/>
  <c r="O143" i="11"/>
  <c r="H143" i="11"/>
  <c r="I143" i="11"/>
  <c r="D143" i="11"/>
  <c r="K135" i="11"/>
  <c r="L135" i="11"/>
  <c r="E135" i="11"/>
  <c r="M135" i="11"/>
  <c r="F135" i="11"/>
  <c r="N135" i="11"/>
  <c r="G135" i="11"/>
  <c r="O135" i="11"/>
  <c r="H135" i="11"/>
  <c r="I135" i="11"/>
  <c r="J135" i="11"/>
  <c r="D135" i="11"/>
  <c r="K127" i="11"/>
  <c r="L127" i="11"/>
  <c r="E127" i="11"/>
  <c r="M127" i="11"/>
  <c r="F127" i="11"/>
  <c r="N127" i="11"/>
  <c r="G127" i="11"/>
  <c r="O127" i="11"/>
  <c r="H127" i="11"/>
  <c r="I127" i="11"/>
  <c r="J127" i="11"/>
  <c r="D127" i="11"/>
  <c r="K119" i="11"/>
  <c r="L119" i="11"/>
  <c r="E119" i="11"/>
  <c r="M119" i="11"/>
  <c r="F119" i="11"/>
  <c r="N119" i="11"/>
  <c r="G119" i="11"/>
  <c r="O119" i="11"/>
  <c r="H119" i="11"/>
  <c r="I119" i="11"/>
  <c r="J119" i="11"/>
  <c r="D119" i="11"/>
  <c r="K111" i="11"/>
  <c r="L111" i="11"/>
  <c r="E111" i="11"/>
  <c r="M111" i="11"/>
  <c r="F111" i="11"/>
  <c r="N111" i="11"/>
  <c r="G111" i="11"/>
  <c r="O111" i="11"/>
  <c r="H111" i="11"/>
  <c r="I111" i="11"/>
  <c r="J111" i="11"/>
  <c r="D111" i="11"/>
  <c r="K103" i="11"/>
  <c r="L103" i="11"/>
  <c r="E103" i="11"/>
  <c r="M103" i="11"/>
  <c r="F103" i="11"/>
  <c r="N103" i="11"/>
  <c r="G103" i="11"/>
  <c r="O103" i="11"/>
  <c r="H103" i="11"/>
  <c r="I103" i="11"/>
  <c r="J103" i="11"/>
  <c r="D103" i="11"/>
  <c r="K95" i="11"/>
  <c r="L95" i="11"/>
  <c r="E95" i="11"/>
  <c r="M95" i="11"/>
  <c r="F95" i="11"/>
  <c r="N95" i="11"/>
  <c r="G95" i="11"/>
  <c r="O95" i="11"/>
  <c r="H95" i="11"/>
  <c r="I95" i="11"/>
  <c r="J95" i="11"/>
  <c r="D95" i="11"/>
  <c r="K87" i="11"/>
  <c r="L87" i="11"/>
  <c r="E87" i="11"/>
  <c r="M87" i="11"/>
  <c r="F87" i="11"/>
  <c r="N87" i="11"/>
  <c r="G87" i="11"/>
  <c r="O87" i="11"/>
  <c r="H87" i="11"/>
  <c r="I87" i="11"/>
  <c r="J87" i="11"/>
  <c r="D87" i="11"/>
  <c r="F79" i="11"/>
  <c r="D79" i="11"/>
  <c r="F71" i="11"/>
  <c r="D71" i="11"/>
  <c r="G23" i="11"/>
  <c r="O23" i="11"/>
  <c r="H23" i="11"/>
  <c r="I23" i="11"/>
  <c r="J23" i="11"/>
  <c r="K23" i="11"/>
  <c r="L23" i="11"/>
  <c r="E23" i="11"/>
  <c r="M23" i="11"/>
  <c r="F23" i="11"/>
  <c r="N23" i="11"/>
  <c r="D23" i="11"/>
  <c r="C347" i="11"/>
  <c r="C339" i="11"/>
  <c r="C331" i="11"/>
  <c r="C323" i="11"/>
  <c r="C315" i="11"/>
  <c r="C307" i="11"/>
  <c r="C299" i="11"/>
  <c r="C291" i="11"/>
  <c r="C283" i="11"/>
  <c r="C275" i="11"/>
  <c r="C259" i="11"/>
  <c r="C251" i="11"/>
  <c r="C235" i="11"/>
  <c r="D265" i="11"/>
  <c r="D239" i="11"/>
  <c r="D225" i="11"/>
  <c r="D194" i="11"/>
  <c r="J350" i="11"/>
  <c r="K350" i="11"/>
  <c r="L350" i="11"/>
  <c r="E350" i="11"/>
  <c r="M350" i="11"/>
  <c r="F350" i="11"/>
  <c r="N350" i="11"/>
  <c r="G350" i="11"/>
  <c r="O350" i="11"/>
  <c r="H350" i="11"/>
  <c r="I350" i="11"/>
  <c r="J342" i="11"/>
  <c r="K342" i="11"/>
  <c r="L342" i="11"/>
  <c r="E342" i="11"/>
  <c r="M342" i="11"/>
  <c r="F342" i="11"/>
  <c r="N342" i="11"/>
  <c r="G342" i="11"/>
  <c r="O342" i="11"/>
  <c r="H342" i="11"/>
  <c r="I342" i="11"/>
  <c r="J334" i="11"/>
  <c r="K334" i="11"/>
  <c r="L334" i="11"/>
  <c r="E334" i="11"/>
  <c r="M334" i="11"/>
  <c r="F334" i="11"/>
  <c r="N334" i="11"/>
  <c r="G334" i="11"/>
  <c r="O334" i="11"/>
  <c r="H334" i="11"/>
  <c r="I334" i="11"/>
  <c r="J326" i="11"/>
  <c r="K326" i="11"/>
  <c r="L326" i="11"/>
  <c r="E326" i="11"/>
  <c r="M326" i="11"/>
  <c r="F326" i="11"/>
  <c r="N326" i="11"/>
  <c r="G326" i="11"/>
  <c r="O326" i="11"/>
  <c r="H326" i="11"/>
  <c r="I326" i="11"/>
  <c r="H318" i="11"/>
  <c r="I318" i="11"/>
  <c r="J318" i="11"/>
  <c r="K318" i="11"/>
  <c r="L318" i="11"/>
  <c r="M318" i="11"/>
  <c r="E318" i="11"/>
  <c r="N318" i="11"/>
  <c r="F318" i="11"/>
  <c r="O318" i="11"/>
  <c r="G318" i="11"/>
  <c r="H310" i="11"/>
  <c r="I310" i="11"/>
  <c r="G310" i="11"/>
  <c r="J310" i="11"/>
  <c r="K310" i="11"/>
  <c r="L310" i="11"/>
  <c r="M310" i="11"/>
  <c r="N310" i="11"/>
  <c r="E310" i="11"/>
  <c r="O310" i="11"/>
  <c r="F310" i="11"/>
  <c r="H302" i="11"/>
  <c r="I302" i="11"/>
  <c r="J302" i="11"/>
  <c r="K302" i="11"/>
  <c r="L302" i="11"/>
  <c r="E302" i="11"/>
  <c r="M302" i="11"/>
  <c r="G302" i="11"/>
  <c r="O302" i="11"/>
  <c r="F302" i="11"/>
  <c r="N302" i="11"/>
  <c r="H294" i="11"/>
  <c r="I294" i="11"/>
  <c r="J294" i="11"/>
  <c r="K294" i="11"/>
  <c r="L294" i="11"/>
  <c r="E294" i="11"/>
  <c r="M294" i="11"/>
  <c r="F294" i="11"/>
  <c r="N294" i="11"/>
  <c r="G294" i="11"/>
  <c r="O294" i="11"/>
  <c r="H286" i="11"/>
  <c r="I286" i="11"/>
  <c r="J286" i="11"/>
  <c r="K286" i="11"/>
  <c r="L286" i="11"/>
  <c r="E286" i="11"/>
  <c r="M286" i="11"/>
  <c r="F286" i="11"/>
  <c r="N286" i="11"/>
  <c r="G286" i="11"/>
  <c r="O286" i="11"/>
  <c r="H278" i="11"/>
  <c r="I278" i="11"/>
  <c r="J278" i="11"/>
  <c r="K278" i="11"/>
  <c r="L278" i="11"/>
  <c r="E278" i="11"/>
  <c r="M278" i="11"/>
  <c r="F278" i="11"/>
  <c r="N278" i="11"/>
  <c r="G278" i="11"/>
  <c r="O278" i="11"/>
  <c r="H270" i="11"/>
  <c r="I270" i="11"/>
  <c r="J270" i="11"/>
  <c r="K270" i="11"/>
  <c r="L270" i="11"/>
  <c r="E270" i="11"/>
  <c r="M270" i="11"/>
  <c r="F270" i="11"/>
  <c r="N270" i="11"/>
  <c r="G270" i="11"/>
  <c r="O270" i="11"/>
  <c r="H262" i="11"/>
  <c r="I262" i="11"/>
  <c r="J262" i="11"/>
  <c r="K262" i="11"/>
  <c r="L262" i="11"/>
  <c r="E262" i="11"/>
  <c r="M262" i="11"/>
  <c r="F262" i="11"/>
  <c r="N262" i="11"/>
  <c r="G262" i="11"/>
  <c r="O262" i="11"/>
  <c r="I254" i="11"/>
  <c r="J254" i="11"/>
  <c r="G254" i="11"/>
  <c r="H254" i="11"/>
  <c r="K254" i="11"/>
  <c r="L254" i="11"/>
  <c r="M254" i="11"/>
  <c r="N254" i="11"/>
  <c r="E254" i="11"/>
  <c r="O254" i="11"/>
  <c r="F254" i="11"/>
  <c r="I246" i="11"/>
  <c r="J246" i="11"/>
  <c r="K246" i="11"/>
  <c r="E246" i="11"/>
  <c r="M246" i="11"/>
  <c r="F246" i="11"/>
  <c r="G246" i="11"/>
  <c r="H246" i="11"/>
  <c r="L246" i="11"/>
  <c r="N246" i="11"/>
  <c r="O246" i="11"/>
  <c r="I238" i="11"/>
  <c r="J238" i="11"/>
  <c r="K238" i="11"/>
  <c r="L238" i="11"/>
  <c r="E238" i="11"/>
  <c r="M238" i="11"/>
  <c r="F238" i="11"/>
  <c r="N238" i="11"/>
  <c r="H238" i="11"/>
  <c r="G238" i="11"/>
  <c r="O238" i="11"/>
  <c r="I230" i="11"/>
  <c r="J230" i="11"/>
  <c r="K230" i="11"/>
  <c r="L230" i="11"/>
  <c r="E230" i="11"/>
  <c r="M230" i="11"/>
  <c r="F230" i="11"/>
  <c r="N230" i="11"/>
  <c r="G230" i="11"/>
  <c r="O230" i="11"/>
  <c r="H230" i="11"/>
  <c r="D230" i="11"/>
  <c r="I222" i="11"/>
  <c r="J222" i="11"/>
  <c r="K222" i="11"/>
  <c r="L222" i="11"/>
  <c r="E222" i="11"/>
  <c r="M222" i="11"/>
  <c r="F222" i="11"/>
  <c r="N222" i="11"/>
  <c r="G222" i="11"/>
  <c r="O222" i="11"/>
  <c r="H222" i="11"/>
  <c r="D222" i="11"/>
  <c r="I214" i="11"/>
  <c r="J214" i="11"/>
  <c r="K214" i="11"/>
  <c r="L214" i="11"/>
  <c r="E214" i="11"/>
  <c r="M214" i="11"/>
  <c r="F214" i="11"/>
  <c r="N214" i="11"/>
  <c r="G214" i="11"/>
  <c r="O214" i="11"/>
  <c r="H214" i="11"/>
  <c r="D214" i="11"/>
  <c r="I206" i="11"/>
  <c r="J206" i="11"/>
  <c r="K206" i="11"/>
  <c r="L206" i="11"/>
  <c r="E206" i="11"/>
  <c r="M206" i="11"/>
  <c r="F206" i="11"/>
  <c r="N206" i="11"/>
  <c r="G206" i="11"/>
  <c r="O206" i="11"/>
  <c r="H206" i="11"/>
  <c r="D206" i="11"/>
  <c r="E198" i="11"/>
  <c r="M198" i="11"/>
  <c r="F198" i="11"/>
  <c r="N198" i="11"/>
  <c r="I198" i="11"/>
  <c r="J198" i="11"/>
  <c r="K198" i="11"/>
  <c r="L198" i="11"/>
  <c r="O198" i="11"/>
  <c r="G198" i="11"/>
  <c r="H198" i="11"/>
  <c r="D198" i="11"/>
  <c r="E190" i="11"/>
  <c r="M190" i="11"/>
  <c r="F190" i="11"/>
  <c r="N190" i="11"/>
  <c r="G190" i="11"/>
  <c r="O190" i="11"/>
  <c r="H190" i="11"/>
  <c r="I190" i="11"/>
  <c r="J190" i="11"/>
  <c r="K190" i="11"/>
  <c r="L190" i="11"/>
  <c r="D190" i="11"/>
  <c r="E182" i="11"/>
  <c r="M182" i="11"/>
  <c r="F182" i="11"/>
  <c r="N182" i="11"/>
  <c r="G182" i="11"/>
  <c r="O182" i="11"/>
  <c r="H182" i="11"/>
  <c r="I182" i="11"/>
  <c r="J182" i="11"/>
  <c r="K182" i="11"/>
  <c r="L182" i="11"/>
  <c r="D182" i="11"/>
  <c r="E174" i="11"/>
  <c r="M174" i="11"/>
  <c r="F174" i="11"/>
  <c r="N174" i="11"/>
  <c r="G174" i="11"/>
  <c r="O174" i="11"/>
  <c r="H174" i="11"/>
  <c r="I174" i="11"/>
  <c r="J174" i="11"/>
  <c r="K174" i="11"/>
  <c r="L174" i="11"/>
  <c r="D174" i="11"/>
  <c r="E166" i="11"/>
  <c r="M166" i="11"/>
  <c r="F166" i="11"/>
  <c r="N166" i="11"/>
  <c r="G166" i="11"/>
  <c r="O166" i="11"/>
  <c r="H166" i="11"/>
  <c r="I166" i="11"/>
  <c r="J166" i="11"/>
  <c r="K166" i="11"/>
  <c r="L166" i="11"/>
  <c r="D166" i="11"/>
  <c r="E158" i="11"/>
  <c r="M158" i="11"/>
  <c r="F158" i="11"/>
  <c r="N158" i="11"/>
  <c r="G158" i="11"/>
  <c r="O158" i="11"/>
  <c r="H158" i="11"/>
  <c r="I158" i="11"/>
  <c r="J158" i="11"/>
  <c r="K158" i="11"/>
  <c r="L158" i="11"/>
  <c r="D158" i="11"/>
  <c r="E150" i="11"/>
  <c r="M150" i="11"/>
  <c r="F150" i="11"/>
  <c r="N150" i="11"/>
  <c r="G150" i="11"/>
  <c r="O150" i="11"/>
  <c r="H150" i="11"/>
  <c r="I150" i="11"/>
  <c r="J150" i="11"/>
  <c r="K150" i="11"/>
  <c r="L150" i="11"/>
  <c r="D150" i="11"/>
  <c r="I142" i="11"/>
  <c r="E142" i="11"/>
  <c r="M142" i="11"/>
  <c r="N142" i="11"/>
  <c r="F142" i="11"/>
  <c r="O142" i="11"/>
  <c r="G142" i="11"/>
  <c r="H142" i="11"/>
  <c r="J142" i="11"/>
  <c r="K142" i="11"/>
  <c r="L142" i="11"/>
  <c r="D142" i="11"/>
  <c r="F134" i="11"/>
  <c r="N134" i="11"/>
  <c r="G134" i="11"/>
  <c r="O134" i="11"/>
  <c r="H134" i="11"/>
  <c r="I134" i="11"/>
  <c r="J134" i="11"/>
  <c r="K134" i="11"/>
  <c r="L134" i="11"/>
  <c r="E134" i="11"/>
  <c r="M134" i="11"/>
  <c r="D134" i="11"/>
  <c r="F126" i="11"/>
  <c r="N126" i="11"/>
  <c r="G126" i="11"/>
  <c r="O126" i="11"/>
  <c r="H126" i="11"/>
  <c r="I126" i="11"/>
  <c r="J126" i="11"/>
  <c r="K126" i="11"/>
  <c r="L126" i="11"/>
  <c r="E126" i="11"/>
  <c r="M126" i="11"/>
  <c r="D126" i="11"/>
  <c r="F118" i="11"/>
  <c r="N118" i="11"/>
  <c r="G118" i="11"/>
  <c r="O118" i="11"/>
  <c r="H118" i="11"/>
  <c r="I118" i="11"/>
  <c r="J118" i="11"/>
  <c r="K118" i="11"/>
  <c r="L118" i="11"/>
  <c r="E118" i="11"/>
  <c r="M118" i="11"/>
  <c r="D118" i="11"/>
  <c r="F110" i="11"/>
  <c r="N110" i="11"/>
  <c r="G110" i="11"/>
  <c r="O110" i="11"/>
  <c r="H110" i="11"/>
  <c r="I110" i="11"/>
  <c r="J110" i="11"/>
  <c r="K110" i="11"/>
  <c r="L110" i="11"/>
  <c r="E110" i="11"/>
  <c r="M110" i="11"/>
  <c r="D110" i="11"/>
  <c r="F102" i="11"/>
  <c r="N102" i="11"/>
  <c r="G102" i="11"/>
  <c r="O102" i="11"/>
  <c r="H102" i="11"/>
  <c r="I102" i="11"/>
  <c r="J102" i="11"/>
  <c r="K102" i="11"/>
  <c r="L102" i="11"/>
  <c r="E102" i="11"/>
  <c r="M102" i="11"/>
  <c r="D102" i="11"/>
  <c r="F94" i="11"/>
  <c r="N94" i="11"/>
  <c r="G94" i="11"/>
  <c r="O94" i="11"/>
  <c r="H94" i="11"/>
  <c r="I94" i="11"/>
  <c r="J94" i="11"/>
  <c r="K94" i="11"/>
  <c r="L94" i="11"/>
  <c r="E94" i="11"/>
  <c r="M94" i="11"/>
  <c r="D94" i="11"/>
  <c r="F86" i="11"/>
  <c r="N86" i="11"/>
  <c r="G86" i="11"/>
  <c r="O86" i="11"/>
  <c r="H86" i="11"/>
  <c r="I86" i="11"/>
  <c r="J86" i="11"/>
  <c r="K86" i="11"/>
  <c r="L86" i="11"/>
  <c r="E86" i="11"/>
  <c r="M86" i="11"/>
  <c r="D86" i="11"/>
  <c r="I78" i="11"/>
  <c r="D78" i="11"/>
  <c r="I70" i="11"/>
  <c r="D70" i="11"/>
  <c r="J22" i="11"/>
  <c r="K22" i="11"/>
  <c r="L22" i="11"/>
  <c r="E22" i="11"/>
  <c r="M22" i="11"/>
  <c r="F22" i="11"/>
  <c r="N22" i="11"/>
  <c r="G22" i="11"/>
  <c r="O22" i="11"/>
  <c r="H22" i="11"/>
  <c r="I22" i="11"/>
  <c r="D22" i="11"/>
  <c r="C346" i="11"/>
  <c r="C338" i="11"/>
  <c r="C330" i="11"/>
  <c r="C322" i="11"/>
  <c r="C314" i="11"/>
  <c r="C306" i="11"/>
  <c r="C298" i="11"/>
  <c r="C290" i="11"/>
  <c r="C282" i="11"/>
  <c r="C274" i="11"/>
  <c r="C258" i="11"/>
  <c r="C250" i="11"/>
  <c r="C234" i="11"/>
  <c r="C218" i="11"/>
  <c r="C210" i="11"/>
  <c r="C186" i="11"/>
  <c r="C178" i="11"/>
  <c r="D263" i="11"/>
  <c r="D238" i="11"/>
  <c r="D223" i="11"/>
  <c r="D193" i="11"/>
  <c r="E349" i="11"/>
  <c r="M349" i="11"/>
  <c r="F349" i="11"/>
  <c r="N349" i="11"/>
  <c r="G349" i="11"/>
  <c r="O349" i="11"/>
  <c r="H349" i="11"/>
  <c r="I349" i="11"/>
  <c r="J349" i="11"/>
  <c r="K349" i="11"/>
  <c r="L349" i="11"/>
  <c r="E341" i="11"/>
  <c r="M341" i="11"/>
  <c r="F341" i="11"/>
  <c r="N341" i="11"/>
  <c r="G341" i="11"/>
  <c r="O341" i="11"/>
  <c r="H341" i="11"/>
  <c r="I341" i="11"/>
  <c r="J341" i="11"/>
  <c r="K341" i="11"/>
  <c r="L341" i="11"/>
  <c r="E333" i="11"/>
  <c r="M333" i="11"/>
  <c r="F333" i="11"/>
  <c r="N333" i="11"/>
  <c r="G333" i="11"/>
  <c r="O333" i="11"/>
  <c r="H333" i="11"/>
  <c r="I333" i="11"/>
  <c r="J333" i="11"/>
  <c r="K333" i="11"/>
  <c r="L333" i="11"/>
  <c r="E325" i="11"/>
  <c r="M325" i="11"/>
  <c r="F325" i="11"/>
  <c r="N325" i="11"/>
  <c r="G325" i="11"/>
  <c r="O325" i="11"/>
  <c r="H325" i="11"/>
  <c r="I325" i="11"/>
  <c r="J325" i="11"/>
  <c r="K325" i="11"/>
  <c r="L325" i="11"/>
  <c r="K317" i="11"/>
  <c r="J317" i="11"/>
  <c r="L317" i="11"/>
  <c r="M317" i="11"/>
  <c r="E317" i="11"/>
  <c r="N317" i="11"/>
  <c r="F317" i="11"/>
  <c r="O317" i="11"/>
  <c r="G317" i="11"/>
  <c r="H317" i="11"/>
  <c r="I317" i="11"/>
  <c r="K309" i="11"/>
  <c r="L309" i="11"/>
  <c r="E309" i="11"/>
  <c r="H309" i="11"/>
  <c r="I309" i="11"/>
  <c r="J309" i="11"/>
  <c r="M309" i="11"/>
  <c r="N309" i="11"/>
  <c r="O309" i="11"/>
  <c r="F309" i="11"/>
  <c r="G309" i="11"/>
  <c r="K301" i="11"/>
  <c r="L301" i="11"/>
  <c r="E301" i="11"/>
  <c r="M301" i="11"/>
  <c r="F301" i="11"/>
  <c r="N301" i="11"/>
  <c r="G301" i="11"/>
  <c r="O301" i="11"/>
  <c r="H301" i="11"/>
  <c r="J301" i="11"/>
  <c r="I301" i="11"/>
  <c r="K293" i="11"/>
  <c r="L293" i="11"/>
  <c r="E293" i="11"/>
  <c r="M293" i="11"/>
  <c r="F293" i="11"/>
  <c r="N293" i="11"/>
  <c r="G293" i="11"/>
  <c r="O293" i="11"/>
  <c r="H293" i="11"/>
  <c r="I293" i="11"/>
  <c r="J293" i="11"/>
  <c r="K285" i="11"/>
  <c r="L285" i="11"/>
  <c r="E285" i="11"/>
  <c r="M285" i="11"/>
  <c r="F285" i="11"/>
  <c r="N285" i="11"/>
  <c r="G285" i="11"/>
  <c r="O285" i="11"/>
  <c r="H285" i="11"/>
  <c r="I285" i="11"/>
  <c r="J285" i="11"/>
  <c r="K277" i="11"/>
  <c r="L277" i="11"/>
  <c r="E277" i="11"/>
  <c r="M277" i="11"/>
  <c r="F277" i="11"/>
  <c r="N277" i="11"/>
  <c r="G277" i="11"/>
  <c r="O277" i="11"/>
  <c r="H277" i="11"/>
  <c r="I277" i="11"/>
  <c r="J277" i="11"/>
  <c r="K269" i="11"/>
  <c r="L269" i="11"/>
  <c r="E269" i="11"/>
  <c r="M269" i="11"/>
  <c r="F269" i="11"/>
  <c r="N269" i="11"/>
  <c r="G269" i="11"/>
  <c r="O269" i="11"/>
  <c r="H269" i="11"/>
  <c r="I269" i="11"/>
  <c r="J269" i="11"/>
  <c r="D269" i="11"/>
  <c r="K261" i="11"/>
  <c r="L261" i="11"/>
  <c r="E261" i="11"/>
  <c r="M261" i="11"/>
  <c r="F261" i="11"/>
  <c r="N261" i="11"/>
  <c r="G261" i="11"/>
  <c r="O261" i="11"/>
  <c r="H261" i="11"/>
  <c r="I261" i="11"/>
  <c r="J261" i="11"/>
  <c r="D261" i="11"/>
  <c r="L253" i="11"/>
  <c r="E253" i="11"/>
  <c r="M253" i="11"/>
  <c r="H253" i="11"/>
  <c r="I253" i="11"/>
  <c r="J253" i="11"/>
  <c r="K253" i="11"/>
  <c r="N253" i="11"/>
  <c r="O253" i="11"/>
  <c r="F253" i="11"/>
  <c r="G253" i="11"/>
  <c r="D253" i="11"/>
  <c r="L245" i="11"/>
  <c r="E245" i="11"/>
  <c r="M245" i="11"/>
  <c r="F245" i="11"/>
  <c r="N245" i="11"/>
  <c r="G245" i="11"/>
  <c r="H245" i="11"/>
  <c r="O245" i="11"/>
  <c r="I245" i="11"/>
  <c r="J245" i="11"/>
  <c r="K245" i="11"/>
  <c r="D245" i="11"/>
  <c r="L237" i="11"/>
  <c r="E237" i="11"/>
  <c r="M237" i="11"/>
  <c r="F237" i="11"/>
  <c r="N237" i="11"/>
  <c r="G237" i="11"/>
  <c r="O237" i="11"/>
  <c r="H237" i="11"/>
  <c r="I237" i="11"/>
  <c r="J237" i="11"/>
  <c r="K237" i="11"/>
  <c r="D237" i="11"/>
  <c r="L229" i="11"/>
  <c r="E229" i="11"/>
  <c r="M229" i="11"/>
  <c r="F229" i="11"/>
  <c r="N229" i="11"/>
  <c r="G229" i="11"/>
  <c r="O229" i="11"/>
  <c r="H229" i="11"/>
  <c r="I229" i="11"/>
  <c r="J229" i="11"/>
  <c r="K229" i="11"/>
  <c r="D229" i="11"/>
  <c r="L221" i="11"/>
  <c r="E221" i="11"/>
  <c r="M221" i="11"/>
  <c r="F221" i="11"/>
  <c r="N221" i="11"/>
  <c r="G221" i="11"/>
  <c r="O221" i="11"/>
  <c r="H221" i="11"/>
  <c r="I221" i="11"/>
  <c r="J221" i="11"/>
  <c r="K221" i="11"/>
  <c r="D221" i="11"/>
  <c r="L213" i="11"/>
  <c r="E213" i="11"/>
  <c r="M213" i="11"/>
  <c r="F213" i="11"/>
  <c r="N213" i="11"/>
  <c r="G213" i="11"/>
  <c r="O213" i="11"/>
  <c r="H213" i="11"/>
  <c r="I213" i="11"/>
  <c r="J213" i="11"/>
  <c r="K213" i="11"/>
  <c r="D213" i="11"/>
  <c r="L205" i="11"/>
  <c r="E205" i="11"/>
  <c r="M205" i="11"/>
  <c r="F205" i="11"/>
  <c r="N205" i="11"/>
  <c r="G205" i="11"/>
  <c r="O205" i="11"/>
  <c r="H205" i="11"/>
  <c r="I205" i="11"/>
  <c r="J205" i="11"/>
  <c r="K205" i="11"/>
  <c r="D205" i="11"/>
  <c r="H197" i="11"/>
  <c r="I197" i="11"/>
  <c r="J197" i="11"/>
  <c r="K197" i="11"/>
  <c r="L197" i="11"/>
  <c r="M197" i="11"/>
  <c r="N197" i="11"/>
  <c r="E197" i="11"/>
  <c r="O197" i="11"/>
  <c r="F197" i="11"/>
  <c r="G197" i="11"/>
  <c r="D197" i="11"/>
  <c r="H189" i="11"/>
  <c r="I189" i="11"/>
  <c r="J189" i="11"/>
  <c r="K189" i="11"/>
  <c r="L189" i="11"/>
  <c r="E189" i="11"/>
  <c r="G189" i="11"/>
  <c r="O189" i="11"/>
  <c r="F189" i="11"/>
  <c r="M189" i="11"/>
  <c r="N189" i="11"/>
  <c r="D189" i="11"/>
  <c r="H181" i="11"/>
  <c r="I181" i="11"/>
  <c r="J181" i="11"/>
  <c r="K181" i="11"/>
  <c r="L181" i="11"/>
  <c r="E181" i="11"/>
  <c r="M181" i="11"/>
  <c r="F181" i="11"/>
  <c r="N181" i="11"/>
  <c r="G181" i="11"/>
  <c r="O181" i="11"/>
  <c r="D181" i="11"/>
  <c r="H173" i="11"/>
  <c r="I173" i="11"/>
  <c r="J173" i="11"/>
  <c r="K173" i="11"/>
  <c r="L173" i="11"/>
  <c r="E173" i="11"/>
  <c r="M173" i="11"/>
  <c r="F173" i="11"/>
  <c r="N173" i="11"/>
  <c r="G173" i="11"/>
  <c r="O173" i="11"/>
  <c r="D173" i="11"/>
  <c r="H165" i="11"/>
  <c r="I165" i="11"/>
  <c r="J165" i="11"/>
  <c r="K165" i="11"/>
  <c r="L165" i="11"/>
  <c r="E165" i="11"/>
  <c r="M165" i="11"/>
  <c r="F165" i="11"/>
  <c r="N165" i="11"/>
  <c r="G165" i="11"/>
  <c r="O165" i="11"/>
  <c r="D165" i="11"/>
  <c r="H157" i="11"/>
  <c r="I157" i="11"/>
  <c r="J157" i="11"/>
  <c r="K157" i="11"/>
  <c r="L157" i="11"/>
  <c r="E157" i="11"/>
  <c r="M157" i="11"/>
  <c r="F157" i="11"/>
  <c r="N157" i="11"/>
  <c r="G157" i="11"/>
  <c r="O157" i="11"/>
  <c r="D157" i="11"/>
  <c r="H149" i="11"/>
  <c r="I149" i="11"/>
  <c r="J149" i="11"/>
  <c r="K149" i="11"/>
  <c r="L149" i="11"/>
  <c r="E149" i="11"/>
  <c r="M149" i="11"/>
  <c r="F149" i="11"/>
  <c r="N149" i="11"/>
  <c r="G149" i="11"/>
  <c r="O149" i="11"/>
  <c r="D149" i="11"/>
  <c r="I141" i="11"/>
  <c r="J141" i="11"/>
  <c r="K141" i="11"/>
  <c r="L141" i="11"/>
  <c r="E141" i="11"/>
  <c r="M141" i="11"/>
  <c r="F141" i="11"/>
  <c r="G141" i="11"/>
  <c r="H141" i="11"/>
  <c r="N141" i="11"/>
  <c r="O141" i="11"/>
  <c r="D141" i="11"/>
  <c r="I133" i="11"/>
  <c r="J133" i="11"/>
  <c r="K133" i="11"/>
  <c r="L133" i="11"/>
  <c r="E133" i="11"/>
  <c r="M133" i="11"/>
  <c r="F133" i="11"/>
  <c r="N133" i="11"/>
  <c r="G133" i="11"/>
  <c r="O133" i="11"/>
  <c r="H133" i="11"/>
  <c r="D133" i="11"/>
  <c r="I125" i="11"/>
  <c r="J125" i="11"/>
  <c r="K125" i="11"/>
  <c r="L125" i="11"/>
  <c r="E125" i="11"/>
  <c r="M125" i="11"/>
  <c r="F125" i="11"/>
  <c r="N125" i="11"/>
  <c r="G125" i="11"/>
  <c r="O125" i="11"/>
  <c r="H125" i="11"/>
  <c r="D125" i="11"/>
  <c r="I117" i="11"/>
  <c r="J117" i="11"/>
  <c r="K117" i="11"/>
  <c r="L117" i="11"/>
  <c r="E117" i="11"/>
  <c r="M117" i="11"/>
  <c r="F117" i="11"/>
  <c r="N117" i="11"/>
  <c r="G117" i="11"/>
  <c r="O117" i="11"/>
  <c r="H117" i="11"/>
  <c r="D117" i="11"/>
  <c r="I109" i="11"/>
  <c r="J109" i="11"/>
  <c r="K109" i="11"/>
  <c r="L109" i="11"/>
  <c r="E109" i="11"/>
  <c r="M109" i="11"/>
  <c r="F109" i="11"/>
  <c r="N109" i="11"/>
  <c r="G109" i="11"/>
  <c r="O109" i="11"/>
  <c r="H109" i="11"/>
  <c r="D109" i="11"/>
  <c r="I101" i="11"/>
  <c r="J101" i="11"/>
  <c r="K101" i="11"/>
  <c r="L101" i="11"/>
  <c r="E101" i="11"/>
  <c r="M101" i="11"/>
  <c r="F101" i="11"/>
  <c r="N101" i="11"/>
  <c r="G101" i="11"/>
  <c r="O101" i="11"/>
  <c r="H101" i="11"/>
  <c r="D101" i="11"/>
  <c r="I93" i="11"/>
  <c r="J93" i="11"/>
  <c r="K93" i="11"/>
  <c r="L93" i="11"/>
  <c r="E93" i="11"/>
  <c r="M93" i="11"/>
  <c r="F93" i="11"/>
  <c r="N93" i="11"/>
  <c r="G93" i="11"/>
  <c r="O93" i="11"/>
  <c r="H93" i="11"/>
  <c r="D93" i="11"/>
  <c r="E21" i="11"/>
  <c r="M21" i="11"/>
  <c r="F21" i="11"/>
  <c r="N21" i="11"/>
  <c r="G21" i="11"/>
  <c r="O21" i="11"/>
  <c r="H21" i="11"/>
  <c r="I21" i="11"/>
  <c r="J21" i="11"/>
  <c r="K21" i="11"/>
  <c r="L21" i="11"/>
  <c r="D21" i="11"/>
  <c r="C345" i="11"/>
  <c r="C337" i="11"/>
  <c r="C329" i="11"/>
  <c r="C321" i="11"/>
  <c r="C313" i="11"/>
  <c r="C305" i="11"/>
  <c r="C297" i="11"/>
  <c r="C289" i="11"/>
  <c r="C281" i="11"/>
  <c r="C273" i="11"/>
  <c r="C257" i="11"/>
  <c r="C249" i="11"/>
  <c r="C233" i="11"/>
  <c r="C217" i="11"/>
  <c r="C209" i="11"/>
  <c r="C185" i="11"/>
  <c r="C177" i="11"/>
  <c r="C23" i="11"/>
  <c r="D262" i="11"/>
  <c r="H348" i="11"/>
  <c r="I348" i="11"/>
  <c r="J348" i="11"/>
  <c r="K348" i="11"/>
  <c r="L348" i="11"/>
  <c r="E348" i="11"/>
  <c r="M348" i="11"/>
  <c r="F348" i="11"/>
  <c r="N348" i="11"/>
  <c r="G348" i="11"/>
  <c r="O348" i="11"/>
  <c r="H340" i="11"/>
  <c r="I340" i="11"/>
  <c r="J340" i="11"/>
  <c r="K340" i="11"/>
  <c r="L340" i="11"/>
  <c r="E340" i="11"/>
  <c r="M340" i="11"/>
  <c r="F340" i="11"/>
  <c r="N340" i="11"/>
  <c r="G340" i="11"/>
  <c r="O340" i="11"/>
  <c r="H332" i="11"/>
  <c r="I332" i="11"/>
  <c r="J332" i="11"/>
  <c r="K332" i="11"/>
  <c r="L332" i="11"/>
  <c r="E332" i="11"/>
  <c r="M332" i="11"/>
  <c r="F332" i="11"/>
  <c r="N332" i="11"/>
  <c r="G332" i="11"/>
  <c r="O332" i="11"/>
  <c r="H324" i="11"/>
  <c r="I324" i="11"/>
  <c r="J324" i="11"/>
  <c r="K324" i="11"/>
  <c r="L324" i="11"/>
  <c r="E324" i="11"/>
  <c r="M324" i="11"/>
  <c r="F324" i="11"/>
  <c r="N324" i="11"/>
  <c r="G324" i="11"/>
  <c r="O324" i="11"/>
  <c r="F316" i="11"/>
  <c r="N316" i="11"/>
  <c r="L316" i="11"/>
  <c r="M316" i="11"/>
  <c r="E316" i="11"/>
  <c r="O316" i="11"/>
  <c r="G316" i="11"/>
  <c r="H316" i="11"/>
  <c r="I316" i="11"/>
  <c r="J316" i="11"/>
  <c r="K316" i="11"/>
  <c r="F308" i="11"/>
  <c r="N308" i="11"/>
  <c r="G308" i="11"/>
  <c r="O308" i="11"/>
  <c r="H308" i="11"/>
  <c r="E308" i="11"/>
  <c r="I308" i="11"/>
  <c r="J308" i="11"/>
  <c r="K308" i="11"/>
  <c r="L308" i="11"/>
  <c r="M308" i="11"/>
  <c r="F300" i="11"/>
  <c r="N300" i="11"/>
  <c r="G300" i="11"/>
  <c r="O300" i="11"/>
  <c r="H300" i="11"/>
  <c r="I300" i="11"/>
  <c r="J300" i="11"/>
  <c r="K300" i="11"/>
  <c r="E300" i="11"/>
  <c r="M300" i="11"/>
  <c r="L300" i="11"/>
  <c r="F292" i="11"/>
  <c r="N292" i="11"/>
  <c r="G292" i="11"/>
  <c r="O292" i="11"/>
  <c r="H292" i="11"/>
  <c r="I292" i="11"/>
  <c r="J292" i="11"/>
  <c r="K292" i="11"/>
  <c r="L292" i="11"/>
  <c r="E292" i="11"/>
  <c r="M292" i="11"/>
  <c r="F284" i="11"/>
  <c r="N284" i="11"/>
  <c r="G284" i="11"/>
  <c r="O284" i="11"/>
  <c r="H284" i="11"/>
  <c r="I284" i="11"/>
  <c r="J284" i="11"/>
  <c r="K284" i="11"/>
  <c r="L284" i="11"/>
  <c r="E284" i="11"/>
  <c r="M284" i="11"/>
  <c r="F276" i="11"/>
  <c r="N276" i="11"/>
  <c r="G276" i="11"/>
  <c r="O276" i="11"/>
  <c r="H276" i="11"/>
  <c r="I276" i="11"/>
  <c r="J276" i="11"/>
  <c r="K276" i="11"/>
  <c r="L276" i="11"/>
  <c r="E276" i="11"/>
  <c r="M276" i="11"/>
  <c r="D276" i="11"/>
  <c r="F268" i="11"/>
  <c r="N268" i="11"/>
  <c r="G268" i="11"/>
  <c r="O268" i="11"/>
  <c r="H268" i="11"/>
  <c r="I268" i="11"/>
  <c r="J268" i="11"/>
  <c r="K268" i="11"/>
  <c r="L268" i="11"/>
  <c r="E268" i="11"/>
  <c r="M268" i="11"/>
  <c r="D268" i="11"/>
  <c r="F260" i="11"/>
  <c r="N260" i="11"/>
  <c r="G260" i="11"/>
  <c r="O260" i="11"/>
  <c r="H260" i="11"/>
  <c r="I260" i="11"/>
  <c r="J260" i="11"/>
  <c r="K260" i="11"/>
  <c r="L260" i="11"/>
  <c r="E260" i="11"/>
  <c r="M260" i="11"/>
  <c r="D260" i="11"/>
  <c r="G252" i="11"/>
  <c r="O252" i="11"/>
  <c r="H252" i="11"/>
  <c r="I252" i="11"/>
  <c r="J252" i="11"/>
  <c r="K252" i="11"/>
  <c r="L252" i="11"/>
  <c r="M252" i="11"/>
  <c r="N252" i="11"/>
  <c r="E252" i="11"/>
  <c r="F252" i="11"/>
  <c r="D252" i="11"/>
  <c r="G244" i="11"/>
  <c r="O244" i="11"/>
  <c r="H244" i="11"/>
  <c r="I244" i="11"/>
  <c r="J244" i="11"/>
  <c r="K244" i="11"/>
  <c r="F244" i="11"/>
  <c r="E244" i="11"/>
  <c r="L244" i="11"/>
  <c r="M244" i="11"/>
  <c r="N244" i="11"/>
  <c r="D244" i="11"/>
  <c r="G236" i="11"/>
  <c r="O236" i="11"/>
  <c r="H236" i="11"/>
  <c r="I236" i="11"/>
  <c r="J236" i="11"/>
  <c r="K236" i="11"/>
  <c r="L236" i="11"/>
  <c r="E236" i="11"/>
  <c r="M236" i="11"/>
  <c r="F236" i="11"/>
  <c r="N236" i="11"/>
  <c r="D236" i="11"/>
  <c r="G228" i="11"/>
  <c r="O228" i="11"/>
  <c r="H228" i="11"/>
  <c r="I228" i="11"/>
  <c r="J228" i="11"/>
  <c r="K228" i="11"/>
  <c r="L228" i="11"/>
  <c r="E228" i="11"/>
  <c r="M228" i="11"/>
  <c r="F228" i="11"/>
  <c r="N228" i="11"/>
  <c r="D228" i="11"/>
  <c r="G220" i="11"/>
  <c r="O220" i="11"/>
  <c r="H220" i="11"/>
  <c r="I220" i="11"/>
  <c r="J220" i="11"/>
  <c r="K220" i="11"/>
  <c r="L220" i="11"/>
  <c r="E220" i="11"/>
  <c r="M220" i="11"/>
  <c r="F220" i="11"/>
  <c r="N220" i="11"/>
  <c r="D220" i="11"/>
  <c r="G212" i="11"/>
  <c r="O212" i="11"/>
  <c r="H212" i="11"/>
  <c r="I212" i="11"/>
  <c r="J212" i="11"/>
  <c r="K212" i="11"/>
  <c r="L212" i="11"/>
  <c r="E212" i="11"/>
  <c r="M212" i="11"/>
  <c r="F212" i="11"/>
  <c r="N212" i="11"/>
  <c r="D212" i="11"/>
  <c r="G204" i="11"/>
  <c r="O204" i="11"/>
  <c r="H204" i="11"/>
  <c r="I204" i="11"/>
  <c r="J204" i="11"/>
  <c r="K204" i="11"/>
  <c r="L204" i="11"/>
  <c r="E204" i="11"/>
  <c r="M204" i="11"/>
  <c r="F204" i="11"/>
  <c r="N204" i="11"/>
  <c r="D204" i="11"/>
  <c r="K196" i="11"/>
  <c r="L196" i="11"/>
  <c r="I196" i="11"/>
  <c r="J196" i="11"/>
  <c r="M196" i="11"/>
  <c r="N196" i="11"/>
  <c r="E196" i="11"/>
  <c r="O196" i="11"/>
  <c r="F196" i="11"/>
  <c r="G196" i="11"/>
  <c r="H196" i="11"/>
  <c r="D196" i="11"/>
  <c r="K188" i="11"/>
  <c r="L188" i="11"/>
  <c r="E188" i="11"/>
  <c r="M188" i="11"/>
  <c r="F188" i="11"/>
  <c r="N188" i="11"/>
  <c r="G188" i="11"/>
  <c r="O188" i="11"/>
  <c r="H188" i="11"/>
  <c r="J188" i="11"/>
  <c r="I188" i="11"/>
  <c r="D188" i="11"/>
  <c r="K180" i="11"/>
  <c r="L180" i="11"/>
  <c r="E180" i="11"/>
  <c r="M180" i="11"/>
  <c r="F180" i="11"/>
  <c r="N180" i="11"/>
  <c r="G180" i="11"/>
  <c r="O180" i="11"/>
  <c r="H180" i="11"/>
  <c r="I180" i="11"/>
  <c r="J180" i="11"/>
  <c r="D180" i="11"/>
  <c r="K172" i="11"/>
  <c r="L172" i="11"/>
  <c r="E172" i="11"/>
  <c r="M172" i="11"/>
  <c r="F172" i="11"/>
  <c r="N172" i="11"/>
  <c r="G172" i="11"/>
  <c r="O172" i="11"/>
  <c r="H172" i="11"/>
  <c r="I172" i="11"/>
  <c r="J172" i="11"/>
  <c r="D172" i="11"/>
  <c r="K164" i="11"/>
  <c r="L164" i="11"/>
  <c r="E164" i="11"/>
  <c r="M164" i="11"/>
  <c r="F164" i="11"/>
  <c r="N164" i="11"/>
  <c r="G164" i="11"/>
  <c r="O164" i="11"/>
  <c r="H164" i="11"/>
  <c r="I164" i="11"/>
  <c r="J164" i="11"/>
  <c r="D164" i="11"/>
  <c r="K156" i="11"/>
  <c r="L156" i="11"/>
  <c r="E156" i="11"/>
  <c r="M156" i="11"/>
  <c r="F156" i="11"/>
  <c r="N156" i="11"/>
  <c r="G156" i="11"/>
  <c r="O156" i="11"/>
  <c r="H156" i="11"/>
  <c r="I156" i="11"/>
  <c r="J156" i="11"/>
  <c r="D156" i="11"/>
  <c r="K148" i="11"/>
  <c r="L148" i="11"/>
  <c r="E148" i="11"/>
  <c r="M148" i="11"/>
  <c r="F148" i="11"/>
  <c r="N148" i="11"/>
  <c r="G148" i="11"/>
  <c r="O148" i="11"/>
  <c r="H148" i="11"/>
  <c r="I148" i="11"/>
  <c r="J148" i="11"/>
  <c r="D148" i="11"/>
  <c r="L140" i="11"/>
  <c r="E140" i="11"/>
  <c r="M140" i="11"/>
  <c r="F140" i="11"/>
  <c r="N140" i="11"/>
  <c r="G140" i="11"/>
  <c r="O140" i="11"/>
  <c r="H140" i="11"/>
  <c r="I140" i="11"/>
  <c r="J140" i="11"/>
  <c r="K140" i="11"/>
  <c r="D140" i="11"/>
  <c r="L132" i="11"/>
  <c r="E132" i="11"/>
  <c r="M132" i="11"/>
  <c r="F132" i="11"/>
  <c r="N132" i="11"/>
  <c r="G132" i="11"/>
  <c r="O132" i="11"/>
  <c r="H132" i="11"/>
  <c r="I132" i="11"/>
  <c r="J132" i="11"/>
  <c r="K132" i="11"/>
  <c r="D132" i="11"/>
  <c r="L124" i="11"/>
  <c r="E124" i="11"/>
  <c r="M124" i="11"/>
  <c r="F124" i="11"/>
  <c r="N124" i="11"/>
  <c r="G124" i="11"/>
  <c r="O124" i="11"/>
  <c r="H124" i="11"/>
  <c r="I124" i="11"/>
  <c r="J124" i="11"/>
  <c r="K124" i="11"/>
  <c r="D124" i="11"/>
  <c r="L116" i="11"/>
  <c r="E116" i="11"/>
  <c r="M116" i="11"/>
  <c r="F116" i="11"/>
  <c r="N116" i="11"/>
  <c r="G116" i="11"/>
  <c r="O116" i="11"/>
  <c r="H116" i="11"/>
  <c r="I116" i="11"/>
  <c r="J116" i="11"/>
  <c r="K116" i="11"/>
  <c r="D116" i="11"/>
  <c r="L108" i="11"/>
  <c r="E108" i="11"/>
  <c r="M108" i="11"/>
  <c r="F108" i="11"/>
  <c r="N108" i="11"/>
  <c r="G108" i="11"/>
  <c r="O108" i="11"/>
  <c r="H108" i="11"/>
  <c r="I108" i="11"/>
  <c r="J108" i="11"/>
  <c r="K108" i="11"/>
  <c r="D108" i="11"/>
  <c r="L100" i="11"/>
  <c r="E100" i="11"/>
  <c r="M100" i="11"/>
  <c r="F100" i="11"/>
  <c r="N100" i="11"/>
  <c r="G100" i="11"/>
  <c r="O100" i="11"/>
  <c r="H100" i="11"/>
  <c r="I100" i="11"/>
  <c r="J100" i="11"/>
  <c r="K100" i="11"/>
  <c r="D100" i="11"/>
  <c r="L92" i="11"/>
  <c r="E92" i="11"/>
  <c r="M92" i="11"/>
  <c r="F92" i="11"/>
  <c r="N92" i="11"/>
  <c r="G92" i="11"/>
  <c r="O92" i="11"/>
  <c r="H92" i="11"/>
  <c r="I92" i="11"/>
  <c r="J92" i="11"/>
  <c r="K92" i="11"/>
  <c r="D92" i="11"/>
  <c r="L44" i="11"/>
  <c r="E44" i="11"/>
  <c r="M44" i="11"/>
  <c r="F44" i="11"/>
  <c r="N44" i="11"/>
  <c r="G44" i="11"/>
  <c r="O44" i="11"/>
  <c r="H44" i="11"/>
  <c r="I44" i="11"/>
  <c r="J44" i="11"/>
  <c r="K44" i="11"/>
  <c r="D44" i="11"/>
  <c r="C344" i="11"/>
  <c r="C336" i="11"/>
  <c r="C328" i="11"/>
  <c r="C320" i="11"/>
  <c r="C312" i="11"/>
  <c r="C304" i="11"/>
  <c r="C296" i="11"/>
  <c r="C288" i="11"/>
  <c r="C280" i="11"/>
  <c r="C272" i="11"/>
  <c r="C22" i="11"/>
  <c r="D247" i="11"/>
  <c r="K347" i="11"/>
  <c r="L347" i="11"/>
  <c r="E347" i="11"/>
  <c r="M347" i="11"/>
  <c r="F347" i="11"/>
  <c r="N347" i="11"/>
  <c r="G347" i="11"/>
  <c r="O347" i="11"/>
  <c r="H347" i="11"/>
  <c r="I347" i="11"/>
  <c r="J347" i="11"/>
  <c r="K339" i="11"/>
  <c r="L339" i="11"/>
  <c r="E339" i="11"/>
  <c r="M339" i="11"/>
  <c r="F339" i="11"/>
  <c r="N339" i="11"/>
  <c r="G339" i="11"/>
  <c r="O339" i="11"/>
  <c r="H339" i="11"/>
  <c r="I339" i="11"/>
  <c r="J339" i="11"/>
  <c r="K331" i="11"/>
  <c r="L331" i="11"/>
  <c r="E331" i="11"/>
  <c r="M331" i="11"/>
  <c r="F331" i="11"/>
  <c r="N331" i="11"/>
  <c r="G331" i="11"/>
  <c r="O331" i="11"/>
  <c r="H331" i="11"/>
  <c r="I331" i="11"/>
  <c r="J331" i="11"/>
  <c r="K323" i="11"/>
  <c r="L323" i="11"/>
  <c r="E323" i="11"/>
  <c r="M323" i="11"/>
  <c r="F323" i="11"/>
  <c r="N323" i="11"/>
  <c r="G323" i="11"/>
  <c r="O323" i="11"/>
  <c r="H323" i="11"/>
  <c r="I323" i="11"/>
  <c r="J323" i="11"/>
  <c r="I315" i="11"/>
  <c r="E315" i="11"/>
  <c r="N315" i="11"/>
  <c r="F315" i="11"/>
  <c r="O315" i="11"/>
  <c r="G315" i="11"/>
  <c r="H315" i="11"/>
  <c r="J315" i="11"/>
  <c r="K315" i="11"/>
  <c r="L315" i="11"/>
  <c r="M315" i="11"/>
  <c r="I307" i="11"/>
  <c r="J307" i="11"/>
  <c r="K307" i="11"/>
  <c r="E307" i="11"/>
  <c r="F307" i="11"/>
  <c r="G307" i="11"/>
  <c r="H307" i="11"/>
  <c r="L307" i="11"/>
  <c r="M307" i="11"/>
  <c r="N307" i="11"/>
  <c r="O307" i="11"/>
  <c r="I299" i="11"/>
  <c r="J299" i="11"/>
  <c r="K299" i="11"/>
  <c r="L299" i="11"/>
  <c r="E299" i="11"/>
  <c r="M299" i="11"/>
  <c r="F299" i="11"/>
  <c r="N299" i="11"/>
  <c r="H299" i="11"/>
  <c r="G299" i="11"/>
  <c r="O299" i="11"/>
  <c r="I291" i="11"/>
  <c r="J291" i="11"/>
  <c r="K291" i="11"/>
  <c r="L291" i="11"/>
  <c r="E291" i="11"/>
  <c r="M291" i="11"/>
  <c r="F291" i="11"/>
  <c r="N291" i="11"/>
  <c r="G291" i="11"/>
  <c r="O291" i="11"/>
  <c r="H291" i="11"/>
  <c r="I283" i="11"/>
  <c r="J283" i="11"/>
  <c r="K283" i="11"/>
  <c r="L283" i="11"/>
  <c r="E283" i="11"/>
  <c r="M283" i="11"/>
  <c r="F283" i="11"/>
  <c r="N283" i="11"/>
  <c r="G283" i="11"/>
  <c r="O283" i="11"/>
  <c r="H283" i="11"/>
  <c r="I275" i="11"/>
  <c r="J275" i="11"/>
  <c r="K275" i="11"/>
  <c r="L275" i="11"/>
  <c r="E275" i="11"/>
  <c r="M275" i="11"/>
  <c r="F275" i="11"/>
  <c r="N275" i="11"/>
  <c r="G275" i="11"/>
  <c r="O275" i="11"/>
  <c r="H275" i="11"/>
  <c r="I267" i="11"/>
  <c r="J267" i="11"/>
  <c r="K267" i="11"/>
  <c r="L267" i="11"/>
  <c r="E267" i="11"/>
  <c r="M267" i="11"/>
  <c r="F267" i="11"/>
  <c r="N267" i="11"/>
  <c r="G267" i="11"/>
  <c r="O267" i="11"/>
  <c r="H267" i="11"/>
  <c r="J259" i="11"/>
  <c r="H259" i="11"/>
  <c r="I259" i="11"/>
  <c r="K259" i="11"/>
  <c r="L259" i="11"/>
  <c r="M259" i="11"/>
  <c r="E259" i="11"/>
  <c r="N259" i="11"/>
  <c r="F259" i="11"/>
  <c r="O259" i="11"/>
  <c r="G259" i="11"/>
  <c r="J251" i="11"/>
  <c r="K251" i="11"/>
  <c r="H251" i="11"/>
  <c r="I251" i="11"/>
  <c r="L251" i="11"/>
  <c r="M251" i="11"/>
  <c r="N251" i="11"/>
  <c r="E251" i="11"/>
  <c r="O251" i="11"/>
  <c r="F251" i="11"/>
  <c r="G251" i="11"/>
  <c r="J243" i="11"/>
  <c r="K243" i="11"/>
  <c r="L243" i="11"/>
  <c r="E243" i="11"/>
  <c r="M243" i="11"/>
  <c r="F243" i="11"/>
  <c r="N243" i="11"/>
  <c r="G243" i="11"/>
  <c r="I243" i="11"/>
  <c r="O243" i="11"/>
  <c r="H243" i="11"/>
  <c r="J235" i="11"/>
  <c r="K235" i="11"/>
  <c r="L235" i="11"/>
  <c r="E235" i="11"/>
  <c r="M235" i="11"/>
  <c r="F235" i="11"/>
  <c r="N235" i="11"/>
  <c r="G235" i="11"/>
  <c r="O235" i="11"/>
  <c r="H235" i="11"/>
  <c r="I235" i="11"/>
  <c r="J227" i="11"/>
  <c r="K227" i="11"/>
  <c r="L227" i="11"/>
  <c r="E227" i="11"/>
  <c r="M227" i="11"/>
  <c r="F227" i="11"/>
  <c r="N227" i="11"/>
  <c r="G227" i="11"/>
  <c r="O227" i="11"/>
  <c r="H227" i="11"/>
  <c r="I227" i="11"/>
  <c r="J219" i="11"/>
  <c r="K219" i="11"/>
  <c r="L219" i="11"/>
  <c r="E219" i="11"/>
  <c r="M219" i="11"/>
  <c r="F219" i="11"/>
  <c r="N219" i="11"/>
  <c r="G219" i="11"/>
  <c r="O219" i="11"/>
  <c r="H219" i="11"/>
  <c r="I219" i="11"/>
  <c r="D219" i="11"/>
  <c r="J211" i="11"/>
  <c r="K211" i="11"/>
  <c r="L211" i="11"/>
  <c r="E211" i="11"/>
  <c r="M211" i="11"/>
  <c r="F211" i="11"/>
  <c r="N211" i="11"/>
  <c r="G211" i="11"/>
  <c r="O211" i="11"/>
  <c r="H211" i="11"/>
  <c r="I211" i="11"/>
  <c r="D211" i="11"/>
  <c r="F203" i="11"/>
  <c r="J203" i="11"/>
  <c r="K203" i="11"/>
  <c r="L203" i="11"/>
  <c r="M203" i="11"/>
  <c r="E203" i="11"/>
  <c r="N203" i="11"/>
  <c r="G203" i="11"/>
  <c r="O203" i="11"/>
  <c r="H203" i="11"/>
  <c r="I203" i="11"/>
  <c r="D203" i="11"/>
  <c r="F195" i="11"/>
  <c r="N195" i="11"/>
  <c r="G195" i="11"/>
  <c r="O195" i="11"/>
  <c r="J195" i="11"/>
  <c r="K195" i="11"/>
  <c r="L195" i="11"/>
  <c r="M195" i="11"/>
  <c r="E195" i="11"/>
  <c r="H195" i="11"/>
  <c r="I195" i="11"/>
  <c r="D195" i="11"/>
  <c r="F187" i="11"/>
  <c r="N187" i="11"/>
  <c r="G187" i="11"/>
  <c r="O187" i="11"/>
  <c r="H187" i="11"/>
  <c r="I187" i="11"/>
  <c r="J187" i="11"/>
  <c r="K187" i="11"/>
  <c r="E187" i="11"/>
  <c r="M187" i="11"/>
  <c r="L187" i="11"/>
  <c r="D187" i="11"/>
  <c r="F179" i="11"/>
  <c r="N179" i="11"/>
  <c r="G179" i="11"/>
  <c r="O179" i="11"/>
  <c r="H179" i="11"/>
  <c r="I179" i="11"/>
  <c r="J179" i="11"/>
  <c r="K179" i="11"/>
  <c r="L179" i="11"/>
  <c r="E179" i="11"/>
  <c r="M179" i="11"/>
  <c r="D179" i="11"/>
  <c r="F171" i="11"/>
  <c r="N171" i="11"/>
  <c r="G171" i="11"/>
  <c r="O171" i="11"/>
  <c r="H171" i="11"/>
  <c r="I171" i="11"/>
  <c r="J171" i="11"/>
  <c r="K171" i="11"/>
  <c r="L171" i="11"/>
  <c r="E171" i="11"/>
  <c r="M171" i="11"/>
  <c r="D171" i="11"/>
  <c r="F163" i="11"/>
  <c r="N163" i="11"/>
  <c r="G163" i="11"/>
  <c r="O163" i="11"/>
  <c r="H163" i="11"/>
  <c r="I163" i="11"/>
  <c r="J163" i="11"/>
  <c r="K163" i="11"/>
  <c r="L163" i="11"/>
  <c r="E163" i="11"/>
  <c r="M163" i="11"/>
  <c r="D163" i="11"/>
  <c r="F155" i="11"/>
  <c r="N155" i="11"/>
  <c r="G155" i="11"/>
  <c r="O155" i="11"/>
  <c r="H155" i="11"/>
  <c r="I155" i="11"/>
  <c r="J155" i="11"/>
  <c r="K155" i="11"/>
  <c r="L155" i="11"/>
  <c r="E155" i="11"/>
  <c r="M155" i="11"/>
  <c r="D155" i="11"/>
  <c r="F147" i="11"/>
  <c r="N147" i="11"/>
  <c r="G147" i="11"/>
  <c r="O147" i="11"/>
  <c r="H147" i="11"/>
  <c r="I147" i="11"/>
  <c r="J147" i="11"/>
  <c r="K147" i="11"/>
  <c r="L147" i="11"/>
  <c r="E147" i="11"/>
  <c r="M147" i="11"/>
  <c r="D147" i="11"/>
  <c r="G139" i="11"/>
  <c r="O139" i="11"/>
  <c r="H139" i="11"/>
  <c r="I139" i="11"/>
  <c r="J139" i="11"/>
  <c r="K139" i="11"/>
  <c r="L139" i="11"/>
  <c r="E139" i="11"/>
  <c r="M139" i="11"/>
  <c r="F139" i="11"/>
  <c r="N139" i="11"/>
  <c r="D139" i="11"/>
  <c r="G131" i="11"/>
  <c r="O131" i="11"/>
  <c r="H131" i="11"/>
  <c r="I131" i="11"/>
  <c r="J131" i="11"/>
  <c r="K131" i="11"/>
  <c r="L131" i="11"/>
  <c r="E131" i="11"/>
  <c r="M131" i="11"/>
  <c r="F131" i="11"/>
  <c r="N131" i="11"/>
  <c r="D131" i="11"/>
  <c r="G123" i="11"/>
  <c r="O123" i="11"/>
  <c r="H123" i="11"/>
  <c r="I123" i="11"/>
  <c r="J123" i="11"/>
  <c r="K123" i="11"/>
  <c r="L123" i="11"/>
  <c r="E123" i="11"/>
  <c r="M123" i="11"/>
  <c r="F123" i="11"/>
  <c r="N123" i="11"/>
  <c r="D123" i="11"/>
  <c r="G115" i="11"/>
  <c r="O115" i="11"/>
  <c r="H115" i="11"/>
  <c r="I115" i="11"/>
  <c r="J115" i="11"/>
  <c r="K115" i="11"/>
  <c r="L115" i="11"/>
  <c r="E115" i="11"/>
  <c r="M115" i="11"/>
  <c r="F115" i="11"/>
  <c r="N115" i="11"/>
  <c r="D115" i="11"/>
  <c r="G107" i="11"/>
  <c r="O107" i="11"/>
  <c r="H107" i="11"/>
  <c r="I107" i="11"/>
  <c r="J107" i="11"/>
  <c r="K107" i="11"/>
  <c r="L107" i="11"/>
  <c r="E107" i="11"/>
  <c r="M107" i="11"/>
  <c r="F107" i="11"/>
  <c r="N107" i="11"/>
  <c r="D107" i="11"/>
  <c r="G99" i="11"/>
  <c r="O99" i="11"/>
  <c r="H99" i="11"/>
  <c r="I99" i="11"/>
  <c r="J99" i="11"/>
  <c r="K99" i="11"/>
  <c r="L99" i="11"/>
  <c r="E99" i="11"/>
  <c r="M99" i="11"/>
  <c r="F99" i="11"/>
  <c r="N99" i="11"/>
  <c r="D99" i="11"/>
  <c r="G91" i="11"/>
  <c r="O91" i="11"/>
  <c r="H91" i="11"/>
  <c r="I91" i="11"/>
  <c r="J91" i="11"/>
  <c r="K91" i="11"/>
  <c r="L91" i="11"/>
  <c r="E91" i="11"/>
  <c r="M91" i="11"/>
  <c r="F91" i="11"/>
  <c r="N91" i="11"/>
  <c r="D91" i="11"/>
  <c r="C351" i="11"/>
  <c r="C343" i="11"/>
  <c r="C335" i="11"/>
  <c r="C327" i="11"/>
  <c r="C319" i="11"/>
  <c r="C311" i="11"/>
  <c r="C303" i="11"/>
  <c r="C295" i="11"/>
  <c r="C287" i="11"/>
  <c r="C279" i="11"/>
  <c r="C271" i="11"/>
  <c r="C263" i="11"/>
  <c r="C255" i="11"/>
  <c r="C247" i="11"/>
  <c r="C239" i="11"/>
  <c r="C231" i="11"/>
  <c r="C223" i="11"/>
  <c r="C215" i="11"/>
  <c r="C207" i="11"/>
  <c r="C199" i="11"/>
  <c r="C191" i="11"/>
  <c r="C183" i="11"/>
  <c r="C175" i="11"/>
  <c r="C167" i="11"/>
  <c r="C159" i="11"/>
  <c r="C151" i="11"/>
  <c r="C143" i="11"/>
  <c r="C135" i="11"/>
  <c r="C127" i="11"/>
  <c r="C119" i="11"/>
  <c r="C111" i="11"/>
  <c r="C103" i="11"/>
  <c r="C95" i="11"/>
  <c r="C87" i="11"/>
  <c r="C21" i="11"/>
  <c r="D271" i="11"/>
  <c r="D246" i="11"/>
  <c r="F346" i="11"/>
  <c r="N346" i="11"/>
  <c r="G346" i="11"/>
  <c r="O346" i="11"/>
  <c r="H346" i="11"/>
  <c r="I346" i="11"/>
  <c r="J346" i="11"/>
  <c r="K346" i="11"/>
  <c r="L346" i="11"/>
  <c r="E346" i="11"/>
  <c r="M346" i="11"/>
  <c r="F338" i="11"/>
  <c r="N338" i="11"/>
  <c r="G338" i="11"/>
  <c r="O338" i="11"/>
  <c r="H338" i="11"/>
  <c r="I338" i="11"/>
  <c r="J338" i="11"/>
  <c r="K338" i="11"/>
  <c r="L338" i="11"/>
  <c r="E338" i="11"/>
  <c r="M338" i="11"/>
  <c r="F330" i="11"/>
  <c r="N330" i="11"/>
  <c r="G330" i="11"/>
  <c r="O330" i="11"/>
  <c r="H330" i="11"/>
  <c r="I330" i="11"/>
  <c r="J330" i="11"/>
  <c r="K330" i="11"/>
  <c r="L330" i="11"/>
  <c r="E330" i="11"/>
  <c r="M330" i="11"/>
  <c r="F322" i="11"/>
  <c r="N322" i="11"/>
  <c r="G322" i="11"/>
  <c r="O322" i="11"/>
  <c r="H322" i="11"/>
  <c r="I322" i="11"/>
  <c r="J322" i="11"/>
  <c r="K322" i="11"/>
  <c r="L322" i="11"/>
  <c r="E322" i="11"/>
  <c r="M322" i="11"/>
  <c r="L314" i="11"/>
  <c r="E314" i="11"/>
  <c r="G314" i="11"/>
  <c r="H314" i="11"/>
  <c r="I314" i="11"/>
  <c r="J314" i="11"/>
  <c r="K314" i="11"/>
  <c r="M314" i="11"/>
  <c r="N314" i="11"/>
  <c r="F314" i="11"/>
  <c r="O314" i="11"/>
  <c r="L306" i="11"/>
  <c r="E306" i="11"/>
  <c r="M306" i="11"/>
  <c r="F306" i="11"/>
  <c r="N306" i="11"/>
  <c r="G306" i="11"/>
  <c r="H306" i="11"/>
  <c r="I306" i="11"/>
  <c r="J306" i="11"/>
  <c r="K306" i="11"/>
  <c r="O306" i="11"/>
  <c r="L298" i="11"/>
  <c r="E298" i="11"/>
  <c r="M298" i="11"/>
  <c r="F298" i="11"/>
  <c r="N298" i="11"/>
  <c r="G298" i="11"/>
  <c r="O298" i="11"/>
  <c r="H298" i="11"/>
  <c r="I298" i="11"/>
  <c r="J298" i="11"/>
  <c r="K298" i="11"/>
  <c r="L290" i="11"/>
  <c r="E290" i="11"/>
  <c r="M290" i="11"/>
  <c r="F290" i="11"/>
  <c r="N290" i="11"/>
  <c r="G290" i="11"/>
  <c r="O290" i="11"/>
  <c r="H290" i="11"/>
  <c r="I290" i="11"/>
  <c r="J290" i="11"/>
  <c r="K290" i="11"/>
  <c r="L282" i="11"/>
  <c r="E282" i="11"/>
  <c r="M282" i="11"/>
  <c r="F282" i="11"/>
  <c r="N282" i="11"/>
  <c r="G282" i="11"/>
  <c r="O282" i="11"/>
  <c r="H282" i="11"/>
  <c r="I282" i="11"/>
  <c r="J282" i="11"/>
  <c r="K282" i="11"/>
  <c r="L274" i="11"/>
  <c r="E274" i="11"/>
  <c r="M274" i="11"/>
  <c r="F274" i="11"/>
  <c r="N274" i="11"/>
  <c r="G274" i="11"/>
  <c r="O274" i="11"/>
  <c r="H274" i="11"/>
  <c r="I274" i="11"/>
  <c r="J274" i="11"/>
  <c r="K274" i="11"/>
  <c r="L266" i="11"/>
  <c r="E266" i="11"/>
  <c r="M266" i="11"/>
  <c r="F266" i="11"/>
  <c r="N266" i="11"/>
  <c r="G266" i="11"/>
  <c r="O266" i="11"/>
  <c r="H266" i="11"/>
  <c r="I266" i="11"/>
  <c r="J266" i="11"/>
  <c r="K266" i="11"/>
  <c r="E258" i="11"/>
  <c r="M258" i="11"/>
  <c r="J258" i="11"/>
  <c r="K258" i="11"/>
  <c r="L258" i="11"/>
  <c r="N258" i="11"/>
  <c r="F258" i="11"/>
  <c r="O258" i="11"/>
  <c r="G258" i="11"/>
  <c r="H258" i="11"/>
  <c r="I258" i="11"/>
  <c r="E250" i="11"/>
  <c r="M250" i="11"/>
  <c r="F250" i="11"/>
  <c r="N250" i="11"/>
  <c r="I250" i="11"/>
  <c r="J250" i="11"/>
  <c r="K250" i="11"/>
  <c r="L250" i="11"/>
  <c r="O250" i="11"/>
  <c r="G250" i="11"/>
  <c r="H250" i="11"/>
  <c r="E242" i="11"/>
  <c r="M242" i="11"/>
  <c r="F242" i="11"/>
  <c r="N242" i="11"/>
  <c r="G242" i="11"/>
  <c r="O242" i="11"/>
  <c r="H242" i="11"/>
  <c r="I242" i="11"/>
  <c r="J242" i="11"/>
  <c r="L242" i="11"/>
  <c r="K242" i="11"/>
  <c r="E234" i="11"/>
  <c r="M234" i="11"/>
  <c r="F234" i="11"/>
  <c r="N234" i="11"/>
  <c r="G234" i="11"/>
  <c r="O234" i="11"/>
  <c r="H234" i="11"/>
  <c r="I234" i="11"/>
  <c r="J234" i="11"/>
  <c r="K234" i="11"/>
  <c r="L234" i="11"/>
  <c r="E226" i="11"/>
  <c r="M226" i="11"/>
  <c r="F226" i="11"/>
  <c r="N226" i="11"/>
  <c r="G226" i="11"/>
  <c r="O226" i="11"/>
  <c r="H226" i="11"/>
  <c r="I226" i="11"/>
  <c r="J226" i="11"/>
  <c r="K226" i="11"/>
  <c r="L226" i="11"/>
  <c r="E218" i="11"/>
  <c r="M218" i="11"/>
  <c r="F218" i="11"/>
  <c r="N218" i="11"/>
  <c r="G218" i="11"/>
  <c r="O218" i="11"/>
  <c r="H218" i="11"/>
  <c r="I218" i="11"/>
  <c r="J218" i="11"/>
  <c r="K218" i="11"/>
  <c r="L218" i="11"/>
  <c r="E210" i="11"/>
  <c r="M210" i="11"/>
  <c r="F210" i="11"/>
  <c r="N210" i="11"/>
  <c r="G210" i="11"/>
  <c r="O210" i="11"/>
  <c r="H210" i="11"/>
  <c r="I210" i="11"/>
  <c r="J210" i="11"/>
  <c r="K210" i="11"/>
  <c r="L210" i="11"/>
  <c r="I202" i="11"/>
  <c r="L202" i="11"/>
  <c r="M202" i="11"/>
  <c r="E202" i="11"/>
  <c r="N202" i="11"/>
  <c r="F202" i="11"/>
  <c r="O202" i="11"/>
  <c r="G202" i="11"/>
  <c r="H202" i="11"/>
  <c r="J202" i="11"/>
  <c r="K202" i="11"/>
  <c r="I194" i="11"/>
  <c r="J194" i="11"/>
  <c r="E194" i="11"/>
  <c r="K194" i="11"/>
  <c r="L194" i="11"/>
  <c r="M194" i="11"/>
  <c r="N194" i="11"/>
  <c r="O194" i="11"/>
  <c r="F194" i="11"/>
  <c r="G194" i="11"/>
  <c r="H194" i="11"/>
  <c r="I186" i="11"/>
  <c r="J186" i="11"/>
  <c r="K186" i="11"/>
  <c r="L186" i="11"/>
  <c r="E186" i="11"/>
  <c r="M186" i="11"/>
  <c r="F186" i="11"/>
  <c r="N186" i="11"/>
  <c r="H186" i="11"/>
  <c r="G186" i="11"/>
  <c r="O186" i="11"/>
  <c r="I178" i="11"/>
  <c r="J178" i="11"/>
  <c r="K178" i="11"/>
  <c r="L178" i="11"/>
  <c r="E178" i="11"/>
  <c r="M178" i="11"/>
  <c r="F178" i="11"/>
  <c r="N178" i="11"/>
  <c r="G178" i="11"/>
  <c r="O178" i="11"/>
  <c r="H178" i="11"/>
  <c r="I170" i="11"/>
  <c r="J170" i="11"/>
  <c r="K170" i="11"/>
  <c r="L170" i="11"/>
  <c r="E170" i="11"/>
  <c r="M170" i="11"/>
  <c r="F170" i="11"/>
  <c r="N170" i="11"/>
  <c r="G170" i="11"/>
  <c r="O170" i="11"/>
  <c r="H170" i="11"/>
  <c r="I162" i="11"/>
  <c r="J162" i="11"/>
  <c r="K162" i="11"/>
  <c r="L162" i="11"/>
  <c r="E162" i="11"/>
  <c r="M162" i="11"/>
  <c r="F162" i="11"/>
  <c r="N162" i="11"/>
  <c r="G162" i="11"/>
  <c r="O162" i="11"/>
  <c r="H162" i="11"/>
  <c r="I154" i="11"/>
  <c r="J154" i="11"/>
  <c r="K154" i="11"/>
  <c r="L154" i="11"/>
  <c r="E154" i="11"/>
  <c r="M154" i="11"/>
  <c r="F154" i="11"/>
  <c r="N154" i="11"/>
  <c r="G154" i="11"/>
  <c r="O154" i="11"/>
  <c r="H154" i="11"/>
  <c r="D154" i="11"/>
  <c r="I146" i="11"/>
  <c r="J146" i="11"/>
  <c r="K146" i="11"/>
  <c r="L146" i="11"/>
  <c r="E146" i="11"/>
  <c r="M146" i="11"/>
  <c r="F146" i="11"/>
  <c r="N146" i="11"/>
  <c r="G146" i="11"/>
  <c r="O146" i="11"/>
  <c r="H146" i="11"/>
  <c r="D146" i="11"/>
  <c r="J138" i="11"/>
  <c r="K138" i="11"/>
  <c r="L138" i="11"/>
  <c r="E138" i="11"/>
  <c r="M138" i="11"/>
  <c r="F138" i="11"/>
  <c r="N138" i="11"/>
  <c r="G138" i="11"/>
  <c r="O138" i="11"/>
  <c r="H138" i="11"/>
  <c r="I138" i="11"/>
  <c r="D138" i="11"/>
  <c r="J130" i="11"/>
  <c r="K130" i="11"/>
  <c r="L130" i="11"/>
  <c r="E130" i="11"/>
  <c r="M130" i="11"/>
  <c r="F130" i="11"/>
  <c r="N130" i="11"/>
  <c r="G130" i="11"/>
  <c r="O130" i="11"/>
  <c r="H130" i="11"/>
  <c r="I130" i="11"/>
  <c r="D130" i="11"/>
  <c r="J122" i="11"/>
  <c r="K122" i="11"/>
  <c r="L122" i="11"/>
  <c r="E122" i="11"/>
  <c r="M122" i="11"/>
  <c r="F122" i="11"/>
  <c r="N122" i="11"/>
  <c r="G122" i="11"/>
  <c r="O122" i="11"/>
  <c r="H122" i="11"/>
  <c r="I122" i="11"/>
  <c r="D122" i="11"/>
  <c r="J114" i="11"/>
  <c r="K114" i="11"/>
  <c r="L114" i="11"/>
  <c r="E114" i="11"/>
  <c r="M114" i="11"/>
  <c r="F114" i="11"/>
  <c r="N114" i="11"/>
  <c r="G114" i="11"/>
  <c r="O114" i="11"/>
  <c r="H114" i="11"/>
  <c r="I114" i="11"/>
  <c r="D114" i="11"/>
  <c r="J106" i="11"/>
  <c r="K106" i="11"/>
  <c r="L106" i="11"/>
  <c r="E106" i="11"/>
  <c r="M106" i="11"/>
  <c r="F106" i="11"/>
  <c r="N106" i="11"/>
  <c r="G106" i="11"/>
  <c r="O106" i="11"/>
  <c r="H106" i="11"/>
  <c r="I106" i="11"/>
  <c r="D106" i="11"/>
  <c r="J98" i="11"/>
  <c r="K98" i="11"/>
  <c r="L98" i="11"/>
  <c r="E98" i="11"/>
  <c r="M98" i="11"/>
  <c r="F98" i="11"/>
  <c r="N98" i="11"/>
  <c r="G98" i="11"/>
  <c r="O98" i="11"/>
  <c r="H98" i="11"/>
  <c r="I98" i="11"/>
  <c r="D98" i="11"/>
  <c r="J90" i="11"/>
  <c r="K90" i="11"/>
  <c r="L90" i="11"/>
  <c r="E90" i="11"/>
  <c r="M90" i="11"/>
  <c r="F90" i="11"/>
  <c r="N90" i="11"/>
  <c r="G90" i="11"/>
  <c r="O90" i="11"/>
  <c r="H90" i="11"/>
  <c r="I90" i="11"/>
  <c r="D90" i="11"/>
  <c r="C350" i="11"/>
  <c r="C342" i="11"/>
  <c r="C334" i="11"/>
  <c r="C326" i="11"/>
  <c r="C318" i="11"/>
  <c r="C310" i="11"/>
  <c r="C302" i="11"/>
  <c r="C294" i="11"/>
  <c r="C286" i="11"/>
  <c r="C278" i="11"/>
  <c r="C270" i="11"/>
  <c r="C262" i="11"/>
  <c r="C254" i="11"/>
  <c r="C246" i="11"/>
  <c r="C238" i="11"/>
  <c r="C230" i="11"/>
  <c r="C222" i="11"/>
  <c r="C214" i="11"/>
  <c r="C206" i="11"/>
  <c r="C198" i="11"/>
  <c r="C190" i="11"/>
  <c r="C182" i="11"/>
  <c r="C174" i="11"/>
  <c r="C166" i="11"/>
  <c r="C158" i="11"/>
  <c r="C150" i="11"/>
  <c r="C142" i="11"/>
  <c r="C134" i="11"/>
  <c r="C126" i="11"/>
  <c r="C118" i="11"/>
  <c r="C110" i="11"/>
  <c r="C102" i="11"/>
  <c r="C94" i="11"/>
  <c r="C86" i="11"/>
  <c r="D351" i="11"/>
  <c r="D343" i="11"/>
  <c r="D335" i="11"/>
  <c r="D327" i="11"/>
  <c r="D319" i="11"/>
  <c r="D311" i="11"/>
  <c r="D303" i="11"/>
  <c r="D295" i="11"/>
  <c r="D287" i="11"/>
  <c r="D279" i="11"/>
  <c r="D270" i="11"/>
  <c r="D243" i="11"/>
  <c r="D231" i="11"/>
  <c r="I345" i="11"/>
  <c r="J345" i="11"/>
  <c r="K345" i="11"/>
  <c r="L345" i="11"/>
  <c r="E345" i="11"/>
  <c r="M345" i="11"/>
  <c r="F345" i="11"/>
  <c r="N345" i="11"/>
  <c r="G345" i="11"/>
  <c r="O345" i="11"/>
  <c r="H345" i="11"/>
  <c r="I337" i="11"/>
  <c r="J337" i="11"/>
  <c r="K337" i="11"/>
  <c r="L337" i="11"/>
  <c r="E337" i="11"/>
  <c r="M337" i="11"/>
  <c r="F337" i="11"/>
  <c r="N337" i="11"/>
  <c r="G337" i="11"/>
  <c r="O337" i="11"/>
  <c r="H337" i="11"/>
  <c r="I329" i="11"/>
  <c r="J329" i="11"/>
  <c r="K329" i="11"/>
  <c r="L329" i="11"/>
  <c r="E329" i="11"/>
  <c r="M329" i="11"/>
  <c r="F329" i="11"/>
  <c r="N329" i="11"/>
  <c r="G329" i="11"/>
  <c r="O329" i="11"/>
  <c r="H329" i="11"/>
  <c r="I321" i="11"/>
  <c r="J321" i="11"/>
  <c r="K321" i="11"/>
  <c r="L321" i="11"/>
  <c r="E321" i="11"/>
  <c r="M321" i="11"/>
  <c r="F321" i="11"/>
  <c r="N321" i="11"/>
  <c r="G321" i="11"/>
  <c r="O321" i="11"/>
  <c r="H321" i="11"/>
  <c r="G313" i="11"/>
  <c r="O313" i="11"/>
  <c r="H313" i="11"/>
  <c r="F313" i="11"/>
  <c r="I313" i="11"/>
  <c r="J313" i="11"/>
  <c r="K313" i="11"/>
  <c r="L313" i="11"/>
  <c r="M313" i="11"/>
  <c r="N313" i="11"/>
  <c r="E313" i="11"/>
  <c r="G305" i="11"/>
  <c r="O305" i="11"/>
  <c r="H305" i="11"/>
  <c r="I305" i="11"/>
  <c r="J305" i="11"/>
  <c r="L305" i="11"/>
  <c r="M305" i="11"/>
  <c r="N305" i="11"/>
  <c r="E305" i="11"/>
  <c r="F305" i="11"/>
  <c r="K305" i="11"/>
  <c r="G297" i="11"/>
  <c r="O297" i="11"/>
  <c r="H297" i="11"/>
  <c r="I297" i="11"/>
  <c r="J297" i="11"/>
  <c r="K297" i="11"/>
  <c r="L297" i="11"/>
  <c r="E297" i="11"/>
  <c r="M297" i="11"/>
  <c r="F297" i="11"/>
  <c r="N297" i="11"/>
  <c r="G289" i="11"/>
  <c r="O289" i="11"/>
  <c r="H289" i="11"/>
  <c r="I289" i="11"/>
  <c r="J289" i="11"/>
  <c r="K289" i="11"/>
  <c r="L289" i="11"/>
  <c r="E289" i="11"/>
  <c r="M289" i="11"/>
  <c r="F289" i="11"/>
  <c r="N289" i="11"/>
  <c r="G281" i="11"/>
  <c r="O281" i="11"/>
  <c r="H281" i="11"/>
  <c r="I281" i="11"/>
  <c r="J281" i="11"/>
  <c r="K281" i="11"/>
  <c r="L281" i="11"/>
  <c r="E281" i="11"/>
  <c r="M281" i="11"/>
  <c r="F281" i="11"/>
  <c r="N281" i="11"/>
  <c r="G273" i="11"/>
  <c r="O273" i="11"/>
  <c r="H273" i="11"/>
  <c r="I273" i="11"/>
  <c r="J273" i="11"/>
  <c r="K273" i="11"/>
  <c r="L273" i="11"/>
  <c r="E273" i="11"/>
  <c r="M273" i="11"/>
  <c r="F273" i="11"/>
  <c r="N273" i="11"/>
  <c r="G265" i="11"/>
  <c r="O265" i="11"/>
  <c r="H265" i="11"/>
  <c r="I265" i="11"/>
  <c r="J265" i="11"/>
  <c r="K265" i="11"/>
  <c r="L265" i="11"/>
  <c r="E265" i="11"/>
  <c r="M265" i="11"/>
  <c r="F265" i="11"/>
  <c r="N265" i="11"/>
  <c r="H257" i="11"/>
  <c r="L257" i="11"/>
  <c r="M257" i="11"/>
  <c r="E257" i="11"/>
  <c r="N257" i="11"/>
  <c r="F257" i="11"/>
  <c r="O257" i="11"/>
  <c r="G257" i="11"/>
  <c r="I257" i="11"/>
  <c r="J257" i="11"/>
  <c r="K257" i="11"/>
  <c r="H249" i="11"/>
  <c r="I249" i="11"/>
  <c r="J249" i="11"/>
  <c r="K249" i="11"/>
  <c r="L249" i="11"/>
  <c r="M249" i="11"/>
  <c r="N249" i="11"/>
  <c r="E249" i="11"/>
  <c r="O249" i="11"/>
  <c r="F249" i="11"/>
  <c r="G249" i="11"/>
  <c r="H241" i="11"/>
  <c r="I241" i="11"/>
  <c r="J241" i="11"/>
  <c r="K241" i="11"/>
  <c r="L241" i="11"/>
  <c r="E241" i="11"/>
  <c r="M241" i="11"/>
  <c r="G241" i="11"/>
  <c r="O241" i="11"/>
  <c r="F241" i="11"/>
  <c r="N241" i="11"/>
  <c r="H233" i="11"/>
  <c r="I233" i="11"/>
  <c r="J233" i="11"/>
  <c r="K233" i="11"/>
  <c r="L233" i="11"/>
  <c r="E233" i="11"/>
  <c r="M233" i="11"/>
  <c r="F233" i="11"/>
  <c r="N233" i="11"/>
  <c r="G233" i="11"/>
  <c r="O233" i="11"/>
  <c r="H225" i="11"/>
  <c r="I225" i="11"/>
  <c r="J225" i="11"/>
  <c r="K225" i="11"/>
  <c r="L225" i="11"/>
  <c r="E225" i="11"/>
  <c r="M225" i="11"/>
  <c r="F225" i="11"/>
  <c r="N225" i="11"/>
  <c r="G225" i="11"/>
  <c r="O225" i="11"/>
  <c r="H217" i="11"/>
  <c r="I217" i="11"/>
  <c r="J217" i="11"/>
  <c r="K217" i="11"/>
  <c r="L217" i="11"/>
  <c r="E217" i="11"/>
  <c r="M217" i="11"/>
  <c r="F217" i="11"/>
  <c r="N217" i="11"/>
  <c r="G217" i="11"/>
  <c r="O217" i="11"/>
  <c r="H209" i="11"/>
  <c r="I209" i="11"/>
  <c r="J209" i="11"/>
  <c r="K209" i="11"/>
  <c r="L209" i="11"/>
  <c r="E209" i="11"/>
  <c r="M209" i="11"/>
  <c r="F209" i="11"/>
  <c r="N209" i="11"/>
  <c r="G209" i="11"/>
  <c r="O209" i="11"/>
  <c r="L201" i="11"/>
  <c r="E201" i="11"/>
  <c r="N201" i="11"/>
  <c r="F201" i="11"/>
  <c r="O201" i="11"/>
  <c r="G201" i="11"/>
  <c r="H201" i="11"/>
  <c r="I201" i="11"/>
  <c r="J201" i="11"/>
  <c r="K201" i="11"/>
  <c r="M201" i="11"/>
  <c r="L193" i="11"/>
  <c r="E193" i="11"/>
  <c r="M193" i="11"/>
  <c r="F193" i="11"/>
  <c r="H193" i="11"/>
  <c r="I193" i="11"/>
  <c r="J193" i="11"/>
  <c r="K193" i="11"/>
  <c r="N193" i="11"/>
  <c r="O193" i="11"/>
  <c r="G193" i="11"/>
  <c r="L185" i="11"/>
  <c r="E185" i="11"/>
  <c r="M185" i="11"/>
  <c r="F185" i="11"/>
  <c r="N185" i="11"/>
  <c r="G185" i="11"/>
  <c r="O185" i="11"/>
  <c r="H185" i="11"/>
  <c r="I185" i="11"/>
  <c r="K185" i="11"/>
  <c r="J185" i="11"/>
  <c r="L177" i="11"/>
  <c r="E177" i="11"/>
  <c r="M177" i="11"/>
  <c r="F177" i="11"/>
  <c r="N177" i="11"/>
  <c r="G177" i="11"/>
  <c r="O177" i="11"/>
  <c r="H177" i="11"/>
  <c r="I177" i="11"/>
  <c r="J177" i="11"/>
  <c r="K177" i="11"/>
  <c r="L169" i="11"/>
  <c r="E169" i="11"/>
  <c r="M169" i="11"/>
  <c r="F169" i="11"/>
  <c r="N169" i="11"/>
  <c r="G169" i="11"/>
  <c r="O169" i="11"/>
  <c r="H169" i="11"/>
  <c r="I169" i="11"/>
  <c r="J169" i="11"/>
  <c r="K169" i="11"/>
  <c r="D169" i="11"/>
  <c r="L161" i="11"/>
  <c r="E161" i="11"/>
  <c r="M161" i="11"/>
  <c r="F161" i="11"/>
  <c r="N161" i="11"/>
  <c r="G161" i="11"/>
  <c r="O161" i="11"/>
  <c r="H161" i="11"/>
  <c r="I161" i="11"/>
  <c r="J161" i="11"/>
  <c r="K161" i="11"/>
  <c r="D161" i="11"/>
  <c r="L153" i="11"/>
  <c r="E153" i="11"/>
  <c r="M153" i="11"/>
  <c r="F153" i="11"/>
  <c r="N153" i="11"/>
  <c r="G153" i="11"/>
  <c r="O153" i="11"/>
  <c r="H153" i="11"/>
  <c r="I153" i="11"/>
  <c r="J153" i="11"/>
  <c r="K153" i="11"/>
  <c r="D153" i="11"/>
  <c r="L145" i="11"/>
  <c r="E145" i="11"/>
  <c r="M145" i="11"/>
  <c r="F145" i="11"/>
  <c r="N145" i="11"/>
  <c r="G145" i="11"/>
  <c r="O145" i="11"/>
  <c r="H145" i="11"/>
  <c r="I145" i="11"/>
  <c r="J145" i="11"/>
  <c r="K145" i="11"/>
  <c r="D145" i="11"/>
  <c r="E137" i="11"/>
  <c r="M137" i="11"/>
  <c r="F137" i="11"/>
  <c r="N137" i="11"/>
  <c r="G137" i="11"/>
  <c r="O137" i="11"/>
  <c r="H137" i="11"/>
  <c r="I137" i="11"/>
  <c r="J137" i="11"/>
  <c r="K137" i="11"/>
  <c r="L137" i="11"/>
  <c r="D137" i="11"/>
  <c r="E129" i="11"/>
  <c r="M129" i="11"/>
  <c r="F129" i="11"/>
  <c r="N129" i="11"/>
  <c r="G129" i="11"/>
  <c r="O129" i="11"/>
  <c r="H129" i="11"/>
  <c r="I129" i="11"/>
  <c r="J129" i="11"/>
  <c r="K129" i="11"/>
  <c r="L129" i="11"/>
  <c r="D129" i="11"/>
  <c r="E121" i="11"/>
  <c r="M121" i="11"/>
  <c r="F121" i="11"/>
  <c r="N121" i="11"/>
  <c r="G121" i="11"/>
  <c r="O121" i="11"/>
  <c r="H121" i="11"/>
  <c r="I121" i="11"/>
  <c r="J121" i="11"/>
  <c r="K121" i="11"/>
  <c r="L121" i="11"/>
  <c r="D121" i="11"/>
  <c r="E113" i="11"/>
  <c r="M113" i="11"/>
  <c r="F113" i="11"/>
  <c r="N113" i="11"/>
  <c r="G113" i="11"/>
  <c r="O113" i="11"/>
  <c r="H113" i="11"/>
  <c r="I113" i="11"/>
  <c r="J113" i="11"/>
  <c r="K113" i="11"/>
  <c r="L113" i="11"/>
  <c r="D113" i="11"/>
  <c r="E105" i="11"/>
  <c r="M105" i="11"/>
  <c r="F105" i="11"/>
  <c r="N105" i="11"/>
  <c r="G105" i="11"/>
  <c r="O105" i="11"/>
  <c r="H105" i="11"/>
  <c r="I105" i="11"/>
  <c r="J105" i="11"/>
  <c r="K105" i="11"/>
  <c r="L105" i="11"/>
  <c r="D105" i="11"/>
  <c r="E97" i="11"/>
  <c r="M97" i="11"/>
  <c r="F97" i="11"/>
  <c r="N97" i="11"/>
  <c r="G97" i="11"/>
  <c r="O97" i="11"/>
  <c r="H97" i="11"/>
  <c r="I97" i="11"/>
  <c r="J97" i="11"/>
  <c r="K97" i="11"/>
  <c r="L97" i="11"/>
  <c r="D97" i="11"/>
  <c r="E89" i="11"/>
  <c r="M89" i="11"/>
  <c r="F89" i="11"/>
  <c r="N89" i="11"/>
  <c r="G89" i="11"/>
  <c r="O89" i="11"/>
  <c r="H89" i="11"/>
  <c r="I89" i="11"/>
  <c r="J89" i="11"/>
  <c r="K89" i="11"/>
  <c r="L89" i="11"/>
  <c r="D89" i="11"/>
  <c r="I65" i="11"/>
  <c r="J65" i="11"/>
  <c r="K65" i="11"/>
  <c r="L65" i="11"/>
  <c r="E65" i="11"/>
  <c r="M65" i="11"/>
  <c r="F65" i="11"/>
  <c r="N65" i="11"/>
  <c r="G65" i="11"/>
  <c r="O65" i="11"/>
  <c r="H65" i="11"/>
  <c r="D65" i="11"/>
  <c r="C349" i="11"/>
  <c r="C341" i="11"/>
  <c r="C333" i="11"/>
  <c r="C325" i="11"/>
  <c r="C317" i="11"/>
  <c r="C309" i="11"/>
  <c r="C301" i="11"/>
  <c r="C293" i="11"/>
  <c r="C285" i="11"/>
  <c r="C277" i="11"/>
  <c r="C269" i="11"/>
  <c r="C261" i="11"/>
  <c r="C253" i="11"/>
  <c r="C245" i="11"/>
  <c r="C237" i="11"/>
  <c r="C229" i="11"/>
  <c r="C221" i="11"/>
  <c r="C213" i="11"/>
  <c r="C205" i="11"/>
  <c r="C197" i="11"/>
  <c r="C189" i="11"/>
  <c r="C181" i="11"/>
  <c r="C173" i="11"/>
  <c r="C165" i="11"/>
  <c r="C157" i="11"/>
  <c r="C149" i="11"/>
  <c r="C141" i="11"/>
  <c r="C133" i="11"/>
  <c r="C125" i="11"/>
  <c r="C117" i="11"/>
  <c r="C109" i="11"/>
  <c r="C101" i="11"/>
  <c r="C93" i="11"/>
  <c r="C75" i="11"/>
  <c r="D350" i="11"/>
  <c r="D342" i="11"/>
  <c r="D334" i="11"/>
  <c r="D326" i="11"/>
  <c r="D318" i="11"/>
  <c r="D310" i="11"/>
  <c r="D302" i="11"/>
  <c r="D294" i="11"/>
  <c r="D286" i="11"/>
  <c r="D278" i="11"/>
  <c r="D267" i="11"/>
  <c r="D255" i="11"/>
  <c r="D242" i="11"/>
  <c r="D227" i="11"/>
  <c r="D202" i="11"/>
  <c r="D170" i="11"/>
  <c r="L344" i="11"/>
  <c r="E344" i="11"/>
  <c r="M344" i="11"/>
  <c r="F344" i="11"/>
  <c r="N344" i="11"/>
  <c r="G344" i="11"/>
  <c r="O344" i="11"/>
  <c r="H344" i="11"/>
  <c r="I344" i="11"/>
  <c r="J344" i="11"/>
  <c r="K344" i="11"/>
  <c r="L336" i="11"/>
  <c r="E336" i="11"/>
  <c r="M336" i="11"/>
  <c r="F336" i="11"/>
  <c r="N336" i="11"/>
  <c r="G336" i="11"/>
  <c r="O336" i="11"/>
  <c r="H336" i="11"/>
  <c r="I336" i="11"/>
  <c r="J336" i="11"/>
  <c r="K336" i="11"/>
  <c r="L328" i="11"/>
  <c r="E328" i="11"/>
  <c r="M328" i="11"/>
  <c r="F328" i="11"/>
  <c r="N328" i="11"/>
  <c r="G328" i="11"/>
  <c r="O328" i="11"/>
  <c r="H328" i="11"/>
  <c r="I328" i="11"/>
  <c r="J328" i="11"/>
  <c r="K328" i="11"/>
  <c r="L320" i="11"/>
  <c r="E320" i="11"/>
  <c r="M320" i="11"/>
  <c r="F320" i="11"/>
  <c r="N320" i="11"/>
  <c r="G320" i="11"/>
  <c r="O320" i="11"/>
  <c r="H320" i="11"/>
  <c r="I320" i="11"/>
  <c r="J320" i="11"/>
  <c r="K320" i="11"/>
  <c r="J312" i="11"/>
  <c r="K312" i="11"/>
  <c r="G312" i="11"/>
  <c r="H312" i="11"/>
  <c r="I312" i="11"/>
  <c r="L312" i="11"/>
  <c r="M312" i="11"/>
  <c r="N312" i="11"/>
  <c r="E312" i="11"/>
  <c r="O312" i="11"/>
  <c r="F312" i="11"/>
  <c r="J304" i="11"/>
  <c r="K304" i="11"/>
  <c r="L304" i="11"/>
  <c r="E304" i="11"/>
  <c r="M304" i="11"/>
  <c r="G304" i="11"/>
  <c r="H304" i="11"/>
  <c r="I304" i="11"/>
  <c r="N304" i="11"/>
  <c r="O304" i="11"/>
  <c r="F304" i="11"/>
  <c r="J296" i="11"/>
  <c r="K296" i="11"/>
  <c r="L296" i="11"/>
  <c r="E296" i="11"/>
  <c r="M296" i="11"/>
  <c r="F296" i="11"/>
  <c r="N296" i="11"/>
  <c r="G296" i="11"/>
  <c r="O296" i="11"/>
  <c r="H296" i="11"/>
  <c r="I296" i="11"/>
  <c r="J288" i="11"/>
  <c r="K288" i="11"/>
  <c r="L288" i="11"/>
  <c r="E288" i="11"/>
  <c r="M288" i="11"/>
  <c r="F288" i="11"/>
  <c r="N288" i="11"/>
  <c r="G288" i="11"/>
  <c r="O288" i="11"/>
  <c r="H288" i="11"/>
  <c r="I288" i="11"/>
  <c r="J280" i="11"/>
  <c r="K280" i="11"/>
  <c r="L280" i="11"/>
  <c r="E280" i="11"/>
  <c r="M280" i="11"/>
  <c r="F280" i="11"/>
  <c r="N280" i="11"/>
  <c r="G280" i="11"/>
  <c r="O280" i="11"/>
  <c r="H280" i="11"/>
  <c r="I280" i="11"/>
  <c r="J272" i="11"/>
  <c r="K272" i="11"/>
  <c r="L272" i="11"/>
  <c r="E272" i="11"/>
  <c r="M272" i="11"/>
  <c r="F272" i="11"/>
  <c r="N272" i="11"/>
  <c r="G272" i="11"/>
  <c r="O272" i="11"/>
  <c r="H272" i="11"/>
  <c r="I272" i="11"/>
  <c r="J264" i="11"/>
  <c r="K264" i="11"/>
  <c r="L264" i="11"/>
  <c r="E264" i="11"/>
  <c r="M264" i="11"/>
  <c r="F264" i="11"/>
  <c r="N264" i="11"/>
  <c r="G264" i="11"/>
  <c r="O264" i="11"/>
  <c r="H264" i="11"/>
  <c r="I264" i="11"/>
  <c r="D264" i="11"/>
  <c r="K256" i="11"/>
  <c r="E256" i="11"/>
  <c r="N256" i="11"/>
  <c r="F256" i="11"/>
  <c r="O256" i="11"/>
  <c r="G256" i="11"/>
  <c r="H256" i="11"/>
  <c r="I256" i="11"/>
  <c r="J256" i="11"/>
  <c r="L256" i="11"/>
  <c r="M256" i="11"/>
  <c r="D256" i="11"/>
  <c r="K248" i="11"/>
  <c r="L248" i="11"/>
  <c r="G248" i="11"/>
  <c r="I248" i="11"/>
  <c r="J248" i="11"/>
  <c r="M248" i="11"/>
  <c r="N248" i="11"/>
  <c r="O248" i="11"/>
  <c r="E248" i="11"/>
  <c r="F248" i="11"/>
  <c r="H248" i="11"/>
  <c r="D248" i="11"/>
  <c r="K240" i="11"/>
  <c r="L240" i="11"/>
  <c r="E240" i="11"/>
  <c r="M240" i="11"/>
  <c r="F240" i="11"/>
  <c r="N240" i="11"/>
  <c r="G240" i="11"/>
  <c r="O240" i="11"/>
  <c r="H240" i="11"/>
  <c r="J240" i="11"/>
  <c r="I240" i="11"/>
  <c r="D240" i="11"/>
  <c r="K232" i="11"/>
  <c r="L232" i="11"/>
  <c r="E232" i="11"/>
  <c r="M232" i="11"/>
  <c r="F232" i="11"/>
  <c r="N232" i="11"/>
  <c r="G232" i="11"/>
  <c r="O232" i="11"/>
  <c r="H232" i="11"/>
  <c r="I232" i="11"/>
  <c r="J232" i="11"/>
  <c r="D232" i="11"/>
  <c r="K224" i="11"/>
  <c r="L224" i="11"/>
  <c r="E224" i="11"/>
  <c r="M224" i="11"/>
  <c r="F224" i="11"/>
  <c r="N224" i="11"/>
  <c r="G224" i="11"/>
  <c r="O224" i="11"/>
  <c r="H224" i="11"/>
  <c r="I224" i="11"/>
  <c r="J224" i="11"/>
  <c r="D224" i="11"/>
  <c r="K216" i="11"/>
  <c r="L216" i="11"/>
  <c r="E216" i="11"/>
  <c r="M216" i="11"/>
  <c r="F216" i="11"/>
  <c r="N216" i="11"/>
  <c r="G216" i="11"/>
  <c r="O216" i="11"/>
  <c r="H216" i="11"/>
  <c r="I216" i="11"/>
  <c r="J216" i="11"/>
  <c r="D216" i="11"/>
  <c r="K208" i="11"/>
  <c r="L208" i="11"/>
  <c r="E208" i="11"/>
  <c r="M208" i="11"/>
  <c r="F208" i="11"/>
  <c r="N208" i="11"/>
  <c r="G208" i="11"/>
  <c r="O208" i="11"/>
  <c r="H208" i="11"/>
  <c r="I208" i="11"/>
  <c r="J208" i="11"/>
  <c r="D208" i="11"/>
  <c r="G200" i="11"/>
  <c r="O200" i="11"/>
  <c r="F200" i="11"/>
  <c r="H200" i="11"/>
  <c r="I200" i="11"/>
  <c r="J200" i="11"/>
  <c r="K200" i="11"/>
  <c r="L200" i="11"/>
  <c r="M200" i="11"/>
  <c r="E200" i="11"/>
  <c r="N200" i="11"/>
  <c r="D200" i="11"/>
  <c r="G192" i="11"/>
  <c r="O192" i="11"/>
  <c r="H192" i="11"/>
  <c r="I192" i="11"/>
  <c r="K192" i="11"/>
  <c r="E192" i="11"/>
  <c r="F192" i="11"/>
  <c r="J192" i="11"/>
  <c r="L192" i="11"/>
  <c r="M192" i="11"/>
  <c r="N192" i="11"/>
  <c r="D192" i="11"/>
  <c r="G184" i="11"/>
  <c r="O184" i="11"/>
  <c r="H184" i="11"/>
  <c r="I184" i="11"/>
  <c r="J184" i="11"/>
  <c r="K184" i="11"/>
  <c r="L184" i="11"/>
  <c r="E184" i="11"/>
  <c r="M184" i="11"/>
  <c r="F184" i="11"/>
  <c r="N184" i="11"/>
  <c r="D184" i="11"/>
  <c r="G176" i="11"/>
  <c r="O176" i="11"/>
  <c r="H176" i="11"/>
  <c r="I176" i="11"/>
  <c r="J176" i="11"/>
  <c r="K176" i="11"/>
  <c r="L176" i="11"/>
  <c r="E176" i="11"/>
  <c r="M176" i="11"/>
  <c r="F176" i="11"/>
  <c r="N176" i="11"/>
  <c r="D176" i="11"/>
  <c r="G168" i="11"/>
  <c r="O168" i="11"/>
  <c r="H168" i="11"/>
  <c r="I168" i="11"/>
  <c r="J168" i="11"/>
  <c r="K168" i="11"/>
  <c r="L168" i="11"/>
  <c r="E168" i="11"/>
  <c r="M168" i="11"/>
  <c r="F168" i="11"/>
  <c r="N168" i="11"/>
  <c r="D168" i="11"/>
  <c r="G160" i="11"/>
  <c r="O160" i="11"/>
  <c r="H160" i="11"/>
  <c r="I160" i="11"/>
  <c r="J160" i="11"/>
  <c r="K160" i="11"/>
  <c r="L160" i="11"/>
  <c r="E160" i="11"/>
  <c r="M160" i="11"/>
  <c r="F160" i="11"/>
  <c r="N160" i="11"/>
  <c r="D160" i="11"/>
  <c r="G152" i="11"/>
  <c r="O152" i="11"/>
  <c r="H152" i="11"/>
  <c r="I152" i="11"/>
  <c r="J152" i="11"/>
  <c r="K152" i="11"/>
  <c r="L152" i="11"/>
  <c r="E152" i="11"/>
  <c r="M152" i="11"/>
  <c r="F152" i="11"/>
  <c r="N152" i="11"/>
  <c r="D152" i="11"/>
  <c r="G144" i="11"/>
  <c r="O144" i="11"/>
  <c r="H144" i="11"/>
  <c r="I144" i="11"/>
  <c r="J144" i="11"/>
  <c r="K144" i="11"/>
  <c r="L144" i="11"/>
  <c r="E144" i="11"/>
  <c r="M144" i="11"/>
  <c r="F144" i="11"/>
  <c r="N144" i="11"/>
  <c r="D144" i="11"/>
  <c r="H136" i="11"/>
  <c r="I136" i="11"/>
  <c r="J136" i="11"/>
  <c r="K136" i="11"/>
  <c r="L136" i="11"/>
  <c r="E136" i="11"/>
  <c r="M136" i="11"/>
  <c r="F136" i="11"/>
  <c r="N136" i="11"/>
  <c r="G136" i="11"/>
  <c r="O136" i="11"/>
  <c r="D136" i="11"/>
  <c r="H128" i="11"/>
  <c r="I128" i="11"/>
  <c r="J128" i="11"/>
  <c r="K128" i="11"/>
  <c r="L128" i="11"/>
  <c r="E128" i="11"/>
  <c r="M128" i="11"/>
  <c r="F128" i="11"/>
  <c r="N128" i="11"/>
  <c r="G128" i="11"/>
  <c r="O128" i="11"/>
  <c r="D128" i="11"/>
  <c r="H120" i="11"/>
  <c r="I120" i="11"/>
  <c r="J120" i="11"/>
  <c r="K120" i="11"/>
  <c r="L120" i="11"/>
  <c r="E120" i="11"/>
  <c r="M120" i="11"/>
  <c r="F120" i="11"/>
  <c r="N120" i="11"/>
  <c r="G120" i="11"/>
  <c r="O120" i="11"/>
  <c r="D120" i="11"/>
  <c r="H112" i="11"/>
  <c r="I112" i="11"/>
  <c r="J112" i="11"/>
  <c r="K112" i="11"/>
  <c r="L112" i="11"/>
  <c r="E112" i="11"/>
  <c r="M112" i="11"/>
  <c r="F112" i="11"/>
  <c r="N112" i="11"/>
  <c r="G112" i="11"/>
  <c r="O112" i="11"/>
  <c r="D112" i="11"/>
  <c r="H104" i="11"/>
  <c r="I104" i="11"/>
  <c r="J104" i="11"/>
  <c r="K104" i="11"/>
  <c r="L104" i="11"/>
  <c r="E104" i="11"/>
  <c r="M104" i="11"/>
  <c r="F104" i="11"/>
  <c r="N104" i="11"/>
  <c r="G104" i="11"/>
  <c r="O104" i="11"/>
  <c r="D104" i="11"/>
  <c r="H96" i="11"/>
  <c r="I96" i="11"/>
  <c r="J96" i="11"/>
  <c r="K96" i="11"/>
  <c r="L96" i="11"/>
  <c r="E96" i="11"/>
  <c r="M96" i="11"/>
  <c r="F96" i="11"/>
  <c r="N96" i="11"/>
  <c r="G96" i="11"/>
  <c r="O96" i="11"/>
  <c r="D96" i="11"/>
  <c r="H88" i="11"/>
  <c r="I88" i="11"/>
  <c r="J88" i="11"/>
  <c r="K88" i="11"/>
  <c r="L88" i="11"/>
  <c r="E88" i="11"/>
  <c r="M88" i="11"/>
  <c r="F88" i="11"/>
  <c r="N88" i="11"/>
  <c r="G88" i="11"/>
  <c r="O88" i="11"/>
  <c r="D88" i="11"/>
  <c r="C348" i="11"/>
  <c r="C340" i="11"/>
  <c r="C332" i="11"/>
  <c r="C324" i="11"/>
  <c r="C316" i="11"/>
  <c r="C308" i="11"/>
  <c r="C300" i="11"/>
  <c r="C292" i="11"/>
  <c r="C284" i="11"/>
  <c r="C276" i="11"/>
  <c r="C268" i="11"/>
  <c r="C260" i="11"/>
  <c r="C252" i="11"/>
  <c r="C244" i="11"/>
  <c r="C236" i="11"/>
  <c r="C228" i="11"/>
  <c r="C220" i="11"/>
  <c r="C212" i="11"/>
  <c r="C204" i="11"/>
  <c r="C196" i="11"/>
  <c r="C188" i="11"/>
  <c r="C180" i="11"/>
  <c r="C172" i="11"/>
  <c r="C164" i="11"/>
  <c r="C156" i="11"/>
  <c r="C148" i="11"/>
  <c r="C140" i="11"/>
  <c r="C132" i="11"/>
  <c r="C124" i="11"/>
  <c r="C116" i="11"/>
  <c r="C108" i="11"/>
  <c r="C100" i="11"/>
  <c r="C92" i="11"/>
  <c r="C70" i="11"/>
  <c r="D349" i="11"/>
  <c r="D341" i="11"/>
  <c r="D333" i="11"/>
  <c r="D325" i="11"/>
  <c r="D317" i="11"/>
  <c r="D309" i="11"/>
  <c r="D301" i="11"/>
  <c r="D293" i="11"/>
  <c r="D285" i="11"/>
  <c r="D277" i="11"/>
  <c r="D266" i="11"/>
  <c r="D254" i="11"/>
  <c r="D241" i="11"/>
  <c r="D226" i="11"/>
  <c r="D201" i="11"/>
  <c r="D162" i="11"/>
  <c r="OJ3" i="8"/>
  <c r="C84" i="11"/>
  <c r="C78" i="11"/>
  <c r="D76" i="11"/>
  <c r="C76" i="11"/>
  <c r="C73" i="11"/>
  <c r="D73" i="11"/>
  <c r="C83" i="11"/>
  <c r="C67" i="11"/>
  <c r="D84" i="11"/>
  <c r="D68" i="11"/>
  <c r="C68" i="11"/>
  <c r="C81" i="11"/>
  <c r="D81" i="11"/>
  <c r="C79" i="11"/>
  <c r="C71" i="11"/>
  <c r="D82" i="11"/>
  <c r="D74" i="11"/>
  <c r="D66" i="11"/>
  <c r="K85" i="11"/>
  <c r="N84" i="11"/>
  <c r="F84" i="11"/>
  <c r="I83" i="11"/>
  <c r="L82" i="11"/>
  <c r="O81" i="11"/>
  <c r="G81" i="11"/>
  <c r="J80" i="11"/>
  <c r="M79" i="11"/>
  <c r="E79" i="11"/>
  <c r="H78" i="11"/>
  <c r="K77" i="11"/>
  <c r="N76" i="11"/>
  <c r="F76" i="11"/>
  <c r="I75" i="11"/>
  <c r="L74" i="11"/>
  <c r="O73" i="11"/>
  <c r="G73" i="11"/>
  <c r="J72" i="11"/>
  <c r="M71" i="11"/>
  <c r="E71" i="11"/>
  <c r="H70" i="11"/>
  <c r="K69" i="11"/>
  <c r="N68" i="11"/>
  <c r="F68" i="11"/>
  <c r="I67" i="11"/>
  <c r="L66" i="11"/>
  <c r="J85" i="11"/>
  <c r="M84" i="11"/>
  <c r="E84" i="11"/>
  <c r="H83" i="11"/>
  <c r="K82" i="11"/>
  <c r="N81" i="11"/>
  <c r="F81" i="11"/>
  <c r="I80" i="11"/>
  <c r="L79" i="11"/>
  <c r="O78" i="11"/>
  <c r="G78" i="11"/>
  <c r="J77" i="11"/>
  <c r="M76" i="11"/>
  <c r="E76" i="11"/>
  <c r="H75" i="11"/>
  <c r="K74" i="11"/>
  <c r="N73" i="11"/>
  <c r="F73" i="11"/>
  <c r="I72" i="11"/>
  <c r="L71" i="11"/>
  <c r="O70" i="11"/>
  <c r="G70" i="11"/>
  <c r="J69" i="11"/>
  <c r="M68" i="11"/>
  <c r="E68" i="11"/>
  <c r="H67" i="11"/>
  <c r="K66" i="11"/>
  <c r="C85" i="11"/>
  <c r="C77" i="11"/>
  <c r="C69" i="11"/>
  <c r="D80" i="11"/>
  <c r="D72" i="11"/>
  <c r="I85" i="11"/>
  <c r="L84" i="11"/>
  <c r="O83" i="11"/>
  <c r="G83" i="11"/>
  <c r="J82" i="11"/>
  <c r="M81" i="11"/>
  <c r="E81" i="11"/>
  <c r="H80" i="11"/>
  <c r="K79" i="11"/>
  <c r="N78" i="11"/>
  <c r="F78" i="11"/>
  <c r="I77" i="11"/>
  <c r="L76" i="11"/>
  <c r="O75" i="11"/>
  <c r="G75" i="11"/>
  <c r="J74" i="11"/>
  <c r="M73" i="11"/>
  <c r="E73" i="11"/>
  <c r="H72" i="11"/>
  <c r="K71" i="11"/>
  <c r="N70" i="11"/>
  <c r="F70" i="11"/>
  <c r="I69" i="11"/>
  <c r="L68" i="11"/>
  <c r="O67" i="11"/>
  <c r="G67" i="11"/>
  <c r="J66" i="11"/>
  <c r="H85" i="11"/>
  <c r="K84" i="11"/>
  <c r="N83" i="11"/>
  <c r="F83" i="11"/>
  <c r="I82" i="11"/>
  <c r="L81" i="11"/>
  <c r="O80" i="11"/>
  <c r="G80" i="11"/>
  <c r="J79" i="11"/>
  <c r="M78" i="11"/>
  <c r="E78" i="11"/>
  <c r="H77" i="11"/>
  <c r="K76" i="11"/>
  <c r="N75" i="11"/>
  <c r="F75" i="11"/>
  <c r="I74" i="11"/>
  <c r="L73" i="11"/>
  <c r="O72" i="11"/>
  <c r="G72" i="11"/>
  <c r="J71" i="11"/>
  <c r="M70" i="11"/>
  <c r="E70" i="11"/>
  <c r="H69" i="11"/>
  <c r="K68" i="11"/>
  <c r="N67" i="11"/>
  <c r="F67" i="11"/>
  <c r="I66" i="11"/>
  <c r="O85" i="11"/>
  <c r="G85" i="11"/>
  <c r="J84" i="11"/>
  <c r="M83" i="11"/>
  <c r="E83" i="11"/>
  <c r="H82" i="11"/>
  <c r="K81" i="11"/>
  <c r="N80" i="11"/>
  <c r="F80" i="11"/>
  <c r="I79" i="11"/>
  <c r="L78" i="11"/>
  <c r="O77" i="11"/>
  <c r="G77" i="11"/>
  <c r="J76" i="11"/>
  <c r="M75" i="11"/>
  <c r="E75" i="11"/>
  <c r="H74" i="11"/>
  <c r="K73" i="11"/>
  <c r="N72" i="11"/>
  <c r="F72" i="11"/>
  <c r="I71" i="11"/>
  <c r="L70" i="11"/>
  <c r="O69" i="11"/>
  <c r="G69" i="11"/>
  <c r="J68" i="11"/>
  <c r="M67" i="11"/>
  <c r="E67" i="11"/>
  <c r="H66" i="11"/>
  <c r="C82" i="11"/>
  <c r="C74" i="11"/>
  <c r="C66" i="11"/>
  <c r="D85" i="11"/>
  <c r="D77" i="11"/>
  <c r="D69" i="11"/>
  <c r="N85" i="11"/>
  <c r="F85" i="11"/>
  <c r="I84" i="11"/>
  <c r="L83" i="11"/>
  <c r="O82" i="11"/>
  <c r="G82" i="11"/>
  <c r="J81" i="11"/>
  <c r="M80" i="11"/>
  <c r="E80" i="11"/>
  <c r="H79" i="11"/>
  <c r="K78" i="11"/>
  <c r="N77" i="11"/>
  <c r="F77" i="11"/>
  <c r="I76" i="11"/>
  <c r="L75" i="11"/>
  <c r="O74" i="11"/>
  <c r="G74" i="11"/>
  <c r="J73" i="11"/>
  <c r="M72" i="11"/>
  <c r="E72" i="11"/>
  <c r="H71" i="11"/>
  <c r="K70" i="11"/>
  <c r="N69" i="11"/>
  <c r="F69" i="11"/>
  <c r="I68" i="11"/>
  <c r="L67" i="11"/>
  <c r="O66" i="11"/>
  <c r="G66" i="11"/>
  <c r="M85" i="11"/>
  <c r="E85" i="11"/>
  <c r="H84" i="11"/>
  <c r="K83" i="11"/>
  <c r="N82" i="11"/>
  <c r="F82" i="11"/>
  <c r="I81" i="11"/>
  <c r="L80" i="11"/>
  <c r="O79" i="11"/>
  <c r="G79" i="11"/>
  <c r="J78" i="11"/>
  <c r="M77" i="11"/>
  <c r="E77" i="11"/>
  <c r="H76" i="11"/>
  <c r="K75" i="11"/>
  <c r="N74" i="11"/>
  <c r="F74" i="11"/>
  <c r="I73" i="11"/>
  <c r="L72" i="11"/>
  <c r="O71" i="11"/>
  <c r="G71" i="11"/>
  <c r="J70" i="11"/>
  <c r="M69" i="11"/>
  <c r="E69" i="11"/>
  <c r="H68" i="11"/>
  <c r="K67" i="11"/>
  <c r="N66" i="11"/>
  <c r="F66" i="11"/>
  <c r="C80" i="11"/>
  <c r="C72" i="11"/>
  <c r="D83" i="11"/>
  <c r="D75" i="11"/>
  <c r="D67" i="11"/>
  <c r="O84" i="11"/>
  <c r="M82" i="11"/>
  <c r="N79" i="11"/>
  <c r="O76" i="11"/>
  <c r="M74" i="11"/>
  <c r="N71" i="11"/>
  <c r="O68" i="11"/>
  <c r="M66" i="11"/>
  <c r="C42" i="11"/>
  <c r="D64" i="11"/>
  <c r="D58" i="11"/>
  <c r="C50" i="11"/>
  <c r="C52" i="11"/>
  <c r="C51" i="11"/>
  <c r="D56" i="11"/>
  <c r="K52" i="11"/>
  <c r="N50" i="11"/>
  <c r="D52" i="11"/>
  <c r="D45" i="11"/>
  <c r="I50" i="11"/>
  <c r="H48" i="11"/>
  <c r="K60" i="11"/>
  <c r="N58" i="11"/>
  <c r="C60" i="11"/>
  <c r="I58" i="11"/>
  <c r="H56" i="11"/>
  <c r="C26" i="11"/>
  <c r="C33" i="11"/>
  <c r="C32" i="11"/>
  <c r="C43" i="11"/>
  <c r="C27" i="11"/>
  <c r="C25" i="11"/>
  <c r="C24" i="11"/>
  <c r="C35" i="11"/>
  <c r="C41" i="11"/>
  <c r="C40" i="11"/>
  <c r="C34" i="11"/>
  <c r="J43" i="11"/>
  <c r="M42" i="11"/>
  <c r="E42" i="11"/>
  <c r="H41" i="11"/>
  <c r="K40" i="11"/>
  <c r="N39" i="11"/>
  <c r="F39" i="11"/>
  <c r="I38" i="11"/>
  <c r="L37" i="11"/>
  <c r="O36" i="11"/>
  <c r="G36" i="11"/>
  <c r="J35" i="11"/>
  <c r="M34" i="11"/>
  <c r="E34" i="11"/>
  <c r="H33" i="11"/>
  <c r="K32" i="11"/>
  <c r="N31" i="11"/>
  <c r="F31" i="11"/>
  <c r="I30" i="11"/>
  <c r="L29" i="11"/>
  <c r="O28" i="11"/>
  <c r="G28" i="11"/>
  <c r="J27" i="11"/>
  <c r="M26" i="11"/>
  <c r="E26" i="11"/>
  <c r="H25" i="11"/>
  <c r="K24" i="11"/>
  <c r="D38" i="11"/>
  <c r="D30" i="11"/>
  <c r="I43" i="11"/>
  <c r="L42" i="11"/>
  <c r="O41" i="11"/>
  <c r="G41" i="11"/>
  <c r="J40" i="11"/>
  <c r="M39" i="11"/>
  <c r="E39" i="11"/>
  <c r="H38" i="11"/>
  <c r="K37" i="11"/>
  <c r="N36" i="11"/>
  <c r="F36" i="11"/>
  <c r="I35" i="11"/>
  <c r="L34" i="11"/>
  <c r="O33" i="11"/>
  <c r="G33" i="11"/>
  <c r="J32" i="11"/>
  <c r="M31" i="11"/>
  <c r="E31" i="11"/>
  <c r="H30" i="11"/>
  <c r="K29" i="11"/>
  <c r="N28" i="11"/>
  <c r="F28" i="11"/>
  <c r="I27" i="11"/>
  <c r="L26" i="11"/>
  <c r="O25" i="11"/>
  <c r="G25" i="11"/>
  <c r="J24" i="11"/>
  <c r="D37" i="11"/>
  <c r="D29" i="11"/>
  <c r="H43" i="11"/>
  <c r="K42" i="11"/>
  <c r="N41" i="11"/>
  <c r="F41" i="11"/>
  <c r="I40" i="11"/>
  <c r="L39" i="11"/>
  <c r="O38" i="11"/>
  <c r="G38" i="11"/>
  <c r="J37" i="11"/>
  <c r="M36" i="11"/>
  <c r="E36" i="11"/>
  <c r="H35" i="11"/>
  <c r="K34" i="11"/>
  <c r="N33" i="11"/>
  <c r="F33" i="11"/>
  <c r="I32" i="11"/>
  <c r="L31" i="11"/>
  <c r="O30" i="11"/>
  <c r="G30" i="11"/>
  <c r="J29" i="11"/>
  <c r="M28" i="11"/>
  <c r="E28" i="11"/>
  <c r="H27" i="11"/>
  <c r="K26" i="11"/>
  <c r="N25" i="11"/>
  <c r="F25" i="11"/>
  <c r="I24" i="11"/>
  <c r="O43" i="11"/>
  <c r="G43" i="11"/>
  <c r="J42" i="11"/>
  <c r="M41" i="11"/>
  <c r="E41" i="11"/>
  <c r="H40" i="11"/>
  <c r="K39" i="11"/>
  <c r="N38" i="11"/>
  <c r="F38" i="11"/>
  <c r="I37" i="11"/>
  <c r="L36" i="11"/>
  <c r="O35" i="11"/>
  <c r="G35" i="11"/>
  <c r="J34" i="11"/>
  <c r="M33" i="11"/>
  <c r="E33" i="11"/>
  <c r="H32" i="11"/>
  <c r="K31" i="11"/>
  <c r="N30" i="11"/>
  <c r="F30" i="11"/>
  <c r="I29" i="11"/>
  <c r="L28" i="11"/>
  <c r="O27" i="11"/>
  <c r="G27" i="11"/>
  <c r="J26" i="11"/>
  <c r="M25" i="11"/>
  <c r="E25" i="11"/>
  <c r="H24" i="11"/>
  <c r="D31" i="11"/>
  <c r="D36" i="11"/>
  <c r="D28" i="11"/>
  <c r="C39" i="11"/>
  <c r="C31" i="11"/>
  <c r="D43" i="11"/>
  <c r="D35" i="11"/>
  <c r="D27" i="11"/>
  <c r="N43" i="11"/>
  <c r="F43" i="11"/>
  <c r="I42" i="11"/>
  <c r="L41" i="11"/>
  <c r="O40" i="11"/>
  <c r="G40" i="11"/>
  <c r="J39" i="11"/>
  <c r="M38" i="11"/>
  <c r="E38" i="11"/>
  <c r="H37" i="11"/>
  <c r="K36" i="11"/>
  <c r="N35" i="11"/>
  <c r="F35" i="11"/>
  <c r="I34" i="11"/>
  <c r="L33" i="11"/>
  <c r="O32" i="11"/>
  <c r="G32" i="11"/>
  <c r="J31" i="11"/>
  <c r="M30" i="11"/>
  <c r="E30" i="11"/>
  <c r="H29" i="11"/>
  <c r="K28" i="11"/>
  <c r="N27" i="11"/>
  <c r="F27" i="11"/>
  <c r="I26" i="11"/>
  <c r="L25" i="11"/>
  <c r="O24" i="11"/>
  <c r="G24" i="11"/>
  <c r="M43" i="11"/>
  <c r="E43" i="11"/>
  <c r="H42" i="11"/>
  <c r="K41" i="11"/>
  <c r="N40" i="11"/>
  <c r="F40" i="11"/>
  <c r="I39" i="11"/>
  <c r="L38" i="11"/>
  <c r="O37" i="11"/>
  <c r="G37" i="11"/>
  <c r="J36" i="11"/>
  <c r="M35" i="11"/>
  <c r="E35" i="11"/>
  <c r="H34" i="11"/>
  <c r="K33" i="11"/>
  <c r="N32" i="11"/>
  <c r="F32" i="11"/>
  <c r="I31" i="11"/>
  <c r="L30" i="11"/>
  <c r="O29" i="11"/>
  <c r="G29" i="11"/>
  <c r="J28" i="11"/>
  <c r="M27" i="11"/>
  <c r="E27" i="11"/>
  <c r="H26" i="11"/>
  <c r="K25" i="11"/>
  <c r="N24" i="11"/>
  <c r="F24" i="11"/>
  <c r="D39" i="11"/>
  <c r="C38" i="11"/>
  <c r="C30" i="11"/>
  <c r="D42" i="11"/>
  <c r="D26" i="11"/>
  <c r="L43" i="11"/>
  <c r="O42" i="11"/>
  <c r="G42" i="11"/>
  <c r="J41" i="11"/>
  <c r="M40" i="11"/>
  <c r="E40" i="11"/>
  <c r="H39" i="11"/>
  <c r="K38" i="11"/>
  <c r="N37" i="11"/>
  <c r="F37" i="11"/>
  <c r="I36" i="11"/>
  <c r="L35" i="11"/>
  <c r="O34" i="11"/>
  <c r="G34" i="11"/>
  <c r="J33" i="11"/>
  <c r="M32" i="11"/>
  <c r="E32" i="11"/>
  <c r="H31" i="11"/>
  <c r="K30" i="11"/>
  <c r="N29" i="11"/>
  <c r="F29" i="11"/>
  <c r="I28" i="11"/>
  <c r="L27" i="11"/>
  <c r="O26" i="11"/>
  <c r="G26" i="11"/>
  <c r="J25" i="11"/>
  <c r="M24" i="11"/>
  <c r="E24" i="11"/>
  <c r="D34" i="11"/>
  <c r="C37" i="11"/>
  <c r="C29" i="11"/>
  <c r="D41" i="11"/>
  <c r="D33" i="11"/>
  <c r="D25" i="11"/>
  <c r="C36" i="11"/>
  <c r="C28" i="11"/>
  <c r="D40" i="11"/>
  <c r="D32" i="11"/>
  <c r="D24" i="11"/>
  <c r="N42" i="11"/>
  <c r="O39" i="11"/>
  <c r="M37" i="11"/>
  <c r="N34" i="11"/>
  <c r="O31" i="11"/>
  <c r="M29" i="11"/>
  <c r="N26" i="11"/>
  <c r="D47" i="11"/>
  <c r="K63" i="11"/>
  <c r="L60" i="11"/>
  <c r="O58" i="11"/>
  <c r="E58" i="11"/>
  <c r="L52" i="11"/>
  <c r="O50" i="11"/>
  <c r="E50" i="11"/>
  <c r="J63" i="11"/>
  <c r="N62" i="11"/>
  <c r="O59" i="11"/>
  <c r="M58" i="11"/>
  <c r="K55" i="11"/>
  <c r="O51" i="11"/>
  <c r="M50" i="11"/>
  <c r="K47" i="11"/>
  <c r="D55" i="11"/>
  <c r="C61" i="11"/>
  <c r="C45" i="11"/>
  <c r="D53" i="11"/>
  <c r="M62" i="11"/>
  <c r="N59" i="11"/>
  <c r="J58" i="11"/>
  <c r="J55" i="11"/>
  <c r="N51" i="11"/>
  <c r="J50" i="11"/>
  <c r="J47" i="11"/>
  <c r="E62" i="11"/>
  <c r="J59" i="11"/>
  <c r="H58" i="11"/>
  <c r="F54" i="11"/>
  <c r="J51" i="11"/>
  <c r="H50" i="11"/>
  <c r="F46" i="11"/>
  <c r="L51" i="11"/>
  <c r="D60" i="11"/>
  <c r="D50" i="11"/>
  <c r="I61" i="11"/>
  <c r="G59" i="11"/>
  <c r="G58" i="11"/>
  <c r="I53" i="11"/>
  <c r="G51" i="11"/>
  <c r="G50" i="11"/>
  <c r="I45" i="11"/>
  <c r="D63" i="11"/>
  <c r="F62" i="11"/>
  <c r="L59" i="11"/>
  <c r="N54" i="11"/>
  <c r="N46" i="11"/>
  <c r="C59" i="11"/>
  <c r="D61" i="11"/>
  <c r="D51" i="11"/>
  <c r="C58" i="11"/>
  <c r="C53" i="11"/>
  <c r="D59" i="11"/>
  <c r="D48" i="11"/>
  <c r="H64" i="11"/>
  <c r="H61" i="11"/>
  <c r="F59" i="11"/>
  <c r="F58" i="11"/>
  <c r="H53" i="11"/>
  <c r="F51" i="11"/>
  <c r="F50" i="11"/>
  <c r="H45" i="11"/>
  <c r="E57" i="11"/>
  <c r="C57" i="11"/>
  <c r="C49" i="11"/>
  <c r="C64" i="11"/>
  <c r="C56" i="11"/>
  <c r="C48" i="11"/>
  <c r="K64" i="11"/>
  <c r="N63" i="11"/>
  <c r="I62" i="11"/>
  <c r="L61" i="11"/>
  <c r="O60" i="11"/>
  <c r="G60" i="11"/>
  <c r="K56" i="11"/>
  <c r="N55" i="11"/>
  <c r="I54" i="11"/>
  <c r="L53" i="11"/>
  <c r="O52" i="11"/>
  <c r="G52" i="11"/>
  <c r="H49" i="11"/>
  <c r="N47" i="11"/>
  <c r="F47" i="11"/>
  <c r="I46" i="11"/>
  <c r="L45" i="11"/>
  <c r="J64" i="11"/>
  <c r="M63" i="11"/>
  <c r="E63" i="11"/>
  <c r="H62" i="11"/>
  <c r="K61" i="11"/>
  <c r="N60" i="11"/>
  <c r="F60" i="11"/>
  <c r="I59" i="11"/>
  <c r="L58" i="11"/>
  <c r="O57" i="11"/>
  <c r="G57" i="11"/>
  <c r="J56" i="11"/>
  <c r="M55" i="11"/>
  <c r="E55" i="11"/>
  <c r="H54" i="11"/>
  <c r="K53" i="11"/>
  <c r="N52" i="11"/>
  <c r="F52" i="11"/>
  <c r="I51" i="11"/>
  <c r="L50" i="11"/>
  <c r="O49" i="11"/>
  <c r="G49" i="11"/>
  <c r="J48" i="11"/>
  <c r="M47" i="11"/>
  <c r="E47" i="11"/>
  <c r="H46" i="11"/>
  <c r="K45" i="11"/>
  <c r="M49" i="11"/>
  <c r="F63" i="11"/>
  <c r="H57" i="11"/>
  <c r="F55" i="11"/>
  <c r="K48" i="11"/>
  <c r="C63" i="11"/>
  <c r="C55" i="11"/>
  <c r="C47" i="11"/>
  <c r="C62" i="11"/>
  <c r="C54" i="11"/>
  <c r="C46" i="11"/>
  <c r="D57" i="11"/>
  <c r="D49" i="11"/>
  <c r="I64" i="11"/>
  <c r="L63" i="11"/>
  <c r="O62" i="11"/>
  <c r="G62" i="11"/>
  <c r="J61" i="11"/>
  <c r="M60" i="11"/>
  <c r="E60" i="11"/>
  <c r="H59" i="11"/>
  <c r="N57" i="11"/>
  <c r="F57" i="11"/>
  <c r="I56" i="11"/>
  <c r="L55" i="11"/>
  <c r="O54" i="11"/>
  <c r="G54" i="11"/>
  <c r="J53" i="11"/>
  <c r="M52" i="11"/>
  <c r="E52" i="11"/>
  <c r="H51" i="11"/>
  <c r="N49" i="11"/>
  <c r="F49" i="11"/>
  <c r="I48" i="11"/>
  <c r="L47" i="11"/>
  <c r="O46" i="11"/>
  <c r="G46" i="11"/>
  <c r="J45" i="11"/>
  <c r="M57" i="11"/>
  <c r="O64" i="11"/>
  <c r="G64" i="11"/>
  <c r="L57" i="11"/>
  <c r="O56" i="11"/>
  <c r="G56" i="11"/>
  <c r="M54" i="11"/>
  <c r="E54" i="11"/>
  <c r="L49" i="11"/>
  <c r="O48" i="11"/>
  <c r="G48" i="11"/>
  <c r="M46" i="11"/>
  <c r="E46" i="11"/>
  <c r="D62" i="11"/>
  <c r="D54" i="11"/>
  <c r="D46" i="11"/>
  <c r="N64" i="11"/>
  <c r="F64" i="11"/>
  <c r="I63" i="11"/>
  <c r="L62" i="11"/>
  <c r="O61" i="11"/>
  <c r="G61" i="11"/>
  <c r="J60" i="11"/>
  <c r="M59" i="11"/>
  <c r="E59" i="11"/>
  <c r="K57" i="11"/>
  <c r="N56" i="11"/>
  <c r="F56" i="11"/>
  <c r="I55" i="11"/>
  <c r="L54" i="11"/>
  <c r="O53" i="11"/>
  <c r="G53" i="11"/>
  <c r="J52" i="11"/>
  <c r="M51" i="11"/>
  <c r="E51" i="11"/>
  <c r="K49" i="11"/>
  <c r="N48" i="11"/>
  <c r="F48" i="11"/>
  <c r="I47" i="11"/>
  <c r="L46" i="11"/>
  <c r="O45" i="11"/>
  <c r="G45" i="11"/>
  <c r="M64" i="11"/>
  <c r="E64" i="11"/>
  <c r="H63" i="11"/>
  <c r="K62" i="11"/>
  <c r="N61" i="11"/>
  <c r="F61" i="11"/>
  <c r="I60" i="11"/>
  <c r="J57" i="11"/>
  <c r="M56" i="11"/>
  <c r="E56" i="11"/>
  <c r="H55" i="11"/>
  <c r="K54" i="11"/>
  <c r="N53" i="11"/>
  <c r="F53" i="11"/>
  <c r="I52" i="11"/>
  <c r="J49" i="11"/>
  <c r="M48" i="11"/>
  <c r="E48" i="11"/>
  <c r="H47" i="11"/>
  <c r="K46" i="11"/>
  <c r="N45" i="11"/>
  <c r="F45" i="11"/>
  <c r="E49" i="11"/>
  <c r="O63" i="11"/>
  <c r="M61" i="11"/>
  <c r="O55" i="11"/>
  <c r="M53" i="11"/>
  <c r="O47" i="11"/>
  <c r="M45" i="11"/>
  <c r="A3" i="9"/>
  <c r="A4" i="9"/>
  <c r="A5" i="9"/>
  <c r="A6" i="9"/>
  <c r="A7" i="9"/>
  <c r="A8" i="9"/>
  <c r="A9" i="9"/>
  <c r="AB3" i="8" l="1"/>
  <c r="NI5" i="8" l="1"/>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Q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I3" i="8" l="1"/>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Q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NL72" i="8" l="1"/>
  <c r="NT72" i="8"/>
  <c r="NP73" i="8"/>
  <c r="NL74" i="8"/>
  <c r="NT74" i="8"/>
  <c r="NP75" i="8"/>
  <c r="NL76" i="8"/>
  <c r="NT76" i="8"/>
  <c r="NP77" i="8"/>
  <c r="NL78" i="8"/>
  <c r="NT78" i="8"/>
  <c r="NP79" i="8"/>
  <c r="NL80" i="8"/>
  <c r="NT80" i="8"/>
  <c r="NP81" i="8"/>
  <c r="NL82" i="8"/>
  <c r="NT82" i="8"/>
  <c r="NP83" i="8"/>
  <c r="NL84" i="8"/>
  <c r="NT84" i="8"/>
  <c r="NP85" i="8"/>
  <c r="NL86" i="8"/>
  <c r="NT86" i="8"/>
  <c r="NP87" i="8"/>
  <c r="NL88" i="8"/>
  <c r="NT88" i="8"/>
  <c r="NS72" i="8"/>
  <c r="NO77" i="8"/>
  <c r="NK80" i="8" a="1"/>
  <c r="NK80" i="8" s="1"/>
  <c r="NM72" i="8"/>
  <c r="NU72" i="8"/>
  <c r="NQ73" i="8"/>
  <c r="NM74" i="8"/>
  <c r="NU74" i="8"/>
  <c r="NQ75" i="8"/>
  <c r="NM76" i="8"/>
  <c r="NU76" i="8"/>
  <c r="NQ77" i="8"/>
  <c r="NM78" i="8"/>
  <c r="NU78" i="8"/>
  <c r="NQ79" i="8"/>
  <c r="NM80" i="8"/>
  <c r="NU80" i="8"/>
  <c r="NQ81" i="8"/>
  <c r="NM82" i="8"/>
  <c r="NU82" i="8"/>
  <c r="NQ83" i="8"/>
  <c r="NM84" i="8"/>
  <c r="NU84" i="8"/>
  <c r="NQ85" i="8"/>
  <c r="NM86" i="8"/>
  <c r="NU86" i="8"/>
  <c r="NQ87" i="8"/>
  <c r="NM88" i="8"/>
  <c r="NU88" i="8"/>
  <c r="NS83" i="8"/>
  <c r="NK85" i="8" a="1"/>
  <c r="NK85" i="8" s="1"/>
  <c r="NU83" i="8"/>
  <c r="NM87" i="8"/>
  <c r="NS74" i="8"/>
  <c r="NK78" i="8" a="1"/>
  <c r="NK78" i="8" s="1"/>
  <c r="NO85" i="8"/>
  <c r="NK88" i="8" a="1"/>
  <c r="NK88" i="8" s="1"/>
  <c r="NN72" i="8"/>
  <c r="NR73" i="8"/>
  <c r="NN74" i="8"/>
  <c r="NR75" i="8"/>
  <c r="NN76" i="8"/>
  <c r="NR77" i="8"/>
  <c r="NN78" i="8"/>
  <c r="NR79" i="8"/>
  <c r="NN80" i="8"/>
  <c r="NR81" i="8"/>
  <c r="NN82" i="8"/>
  <c r="NR83" i="8"/>
  <c r="NN84" i="8"/>
  <c r="NR85" i="8"/>
  <c r="NN86" i="8"/>
  <c r="NR87" i="8"/>
  <c r="NN88" i="8"/>
  <c r="NK81" i="8" a="1"/>
  <c r="NK81" i="8" s="1"/>
  <c r="NO84" i="8"/>
  <c r="NS85" i="8"/>
  <c r="NK87" i="8" a="1"/>
  <c r="NK87" i="8" s="1"/>
  <c r="NQ86" i="8"/>
  <c r="NO73" i="8"/>
  <c r="NS76" i="8"/>
  <c r="NO79" i="8"/>
  <c r="NK82" i="8" a="1"/>
  <c r="NK82" i="8" s="1"/>
  <c r="NO72" i="8"/>
  <c r="NK73" i="8" a="1"/>
  <c r="NK73" i="8" s="1"/>
  <c r="NS73" i="8"/>
  <c r="NO74" i="8"/>
  <c r="NK75" i="8" a="1"/>
  <c r="NK75" i="8" s="1"/>
  <c r="NS75" i="8"/>
  <c r="NO76" i="8"/>
  <c r="NK77" i="8" a="1"/>
  <c r="NK77" i="8" s="1"/>
  <c r="NS77" i="8"/>
  <c r="NO78" i="8"/>
  <c r="NK79" i="8" a="1"/>
  <c r="NK79" i="8" s="1"/>
  <c r="NS79" i="8"/>
  <c r="NO80" i="8"/>
  <c r="NS81" i="8"/>
  <c r="NO82" i="8"/>
  <c r="NK83" i="8" a="1"/>
  <c r="NK83" i="8" s="1"/>
  <c r="NO86" i="8"/>
  <c r="NS87" i="8"/>
  <c r="NO88" i="8"/>
  <c r="NM85" i="8"/>
  <c r="NQ88" i="8"/>
  <c r="NK76" i="8" a="1"/>
  <c r="NK76" i="8" s="1"/>
  <c r="NK84" i="8" a="1"/>
  <c r="NK84" i="8" s="1"/>
  <c r="NP72" i="8"/>
  <c r="NL73" i="8"/>
  <c r="NT73" i="8"/>
  <c r="NP74" i="8"/>
  <c r="NL75" i="8"/>
  <c r="NT75" i="8"/>
  <c r="NP76" i="8"/>
  <c r="NL77" i="8"/>
  <c r="NT77" i="8"/>
  <c r="NP78" i="8"/>
  <c r="NL79" i="8"/>
  <c r="NT79" i="8"/>
  <c r="NP80" i="8"/>
  <c r="NL81" i="8"/>
  <c r="NT81" i="8"/>
  <c r="NP82" i="8"/>
  <c r="NL83" i="8"/>
  <c r="NT83" i="8"/>
  <c r="NP84" i="8"/>
  <c r="NL85" i="8"/>
  <c r="NT85" i="8"/>
  <c r="NP86" i="8"/>
  <c r="NL87" i="8"/>
  <c r="NT87" i="8"/>
  <c r="NP88" i="8"/>
  <c r="NQ78" i="8"/>
  <c r="NM79" i="8"/>
  <c r="NU79" i="8"/>
  <c r="NQ80" i="8"/>
  <c r="NU81" i="8"/>
  <c r="NM83" i="8"/>
  <c r="NU85" i="8"/>
  <c r="NK74" i="8" a="1"/>
  <c r="NK74" i="8" s="1"/>
  <c r="NS82" i="8"/>
  <c r="NK86" i="8" a="1"/>
  <c r="NK86" i="8" s="1"/>
  <c r="NQ72" i="8"/>
  <c r="NM73" i="8"/>
  <c r="NU73" i="8"/>
  <c r="NQ74" i="8"/>
  <c r="NM75" i="8"/>
  <c r="NU75" i="8"/>
  <c r="NQ76" i="8"/>
  <c r="NM77" i="8"/>
  <c r="NU77" i="8"/>
  <c r="NM81" i="8"/>
  <c r="NQ82" i="8"/>
  <c r="NQ84" i="8"/>
  <c r="NU87" i="8"/>
  <c r="NO75" i="8"/>
  <c r="NS78" i="8"/>
  <c r="NO81" i="8"/>
  <c r="NS84" i="8"/>
  <c r="NO87" i="8"/>
  <c r="NR72" i="8"/>
  <c r="NN73" i="8"/>
  <c r="NR74" i="8"/>
  <c r="NN75" i="8"/>
  <c r="NR76" i="8"/>
  <c r="NN77" i="8"/>
  <c r="NR78" i="8"/>
  <c r="NN79" i="8"/>
  <c r="NR80" i="8"/>
  <c r="NN81" i="8"/>
  <c r="NR82" i="8"/>
  <c r="NN83" i="8"/>
  <c r="NR84" i="8"/>
  <c r="NN85" i="8"/>
  <c r="NR86" i="8"/>
  <c r="NN87" i="8"/>
  <c r="NR88" i="8"/>
  <c r="NK72" i="8" a="1"/>
  <c r="NK72" i="8" s="1"/>
  <c r="NS80" i="8"/>
  <c r="NO83" i="8"/>
  <c r="NS86" i="8"/>
  <c r="NS88" i="8"/>
  <c r="NR28" i="8"/>
  <c r="NN29" i="8"/>
  <c r="NR30" i="8"/>
  <c r="NN31" i="8"/>
  <c r="NR32" i="8"/>
  <c r="NN33" i="8"/>
  <c r="NR34" i="8"/>
  <c r="NN35" i="8"/>
  <c r="NR36" i="8"/>
  <c r="NN37" i="8"/>
  <c r="NR38" i="8"/>
  <c r="NN39" i="8"/>
  <c r="NR40" i="8"/>
  <c r="NN41" i="8"/>
  <c r="NR42" i="8"/>
  <c r="NN43" i="8"/>
  <c r="NR44" i="8"/>
  <c r="NN45" i="8"/>
  <c r="NR46" i="8"/>
  <c r="NN47" i="8"/>
  <c r="NR48" i="8"/>
  <c r="NN49" i="8"/>
  <c r="NR50" i="8"/>
  <c r="NN51" i="8"/>
  <c r="NR52" i="8"/>
  <c r="NN53" i="8"/>
  <c r="NR54" i="8"/>
  <c r="NN55" i="8"/>
  <c r="NR56" i="8"/>
  <c r="NN57" i="8"/>
  <c r="NR58" i="8"/>
  <c r="NN59" i="8"/>
  <c r="NS42" i="8"/>
  <c r="NO43" i="8"/>
  <c r="NS44" i="8"/>
  <c r="NO45" i="8"/>
  <c r="NK46" i="8" a="1"/>
  <c r="NK46" i="8" s="1"/>
  <c r="NS48" i="8"/>
  <c r="NO49" i="8"/>
  <c r="NK50" i="8" a="1"/>
  <c r="NK50" i="8" s="1"/>
  <c r="NK52" i="8" a="1"/>
  <c r="NK52" i="8" s="1"/>
  <c r="NS54" i="8"/>
  <c r="NO55" i="8"/>
  <c r="NK56" i="8" a="1"/>
  <c r="NK56" i="8" s="1"/>
  <c r="NS58" i="8"/>
  <c r="NK28" i="8" a="1"/>
  <c r="NK28" i="8" s="1"/>
  <c r="NS28" i="8"/>
  <c r="NO29" i="8"/>
  <c r="NK30" i="8" a="1"/>
  <c r="NK30" i="8" s="1"/>
  <c r="NS30" i="8"/>
  <c r="NO31" i="8"/>
  <c r="NK32" i="8" a="1"/>
  <c r="NK32" i="8" s="1"/>
  <c r="NS32" i="8"/>
  <c r="NO33" i="8"/>
  <c r="NK34" i="8" a="1"/>
  <c r="NK34" i="8" s="1"/>
  <c r="NS34" i="8"/>
  <c r="NO35" i="8"/>
  <c r="NK36" i="8" a="1"/>
  <c r="NK36" i="8" s="1"/>
  <c r="NS36" i="8"/>
  <c r="NO37" i="8"/>
  <c r="NK38" i="8" a="1"/>
  <c r="NK38" i="8" s="1"/>
  <c r="NS38" i="8"/>
  <c r="NO39" i="8"/>
  <c r="NK40" i="8" a="1"/>
  <c r="NK40" i="8" s="1"/>
  <c r="NS40" i="8"/>
  <c r="NO41" i="8"/>
  <c r="NK42" i="8" a="1"/>
  <c r="NK42" i="8" s="1"/>
  <c r="NK44" i="8" a="1"/>
  <c r="NK44" i="8" s="1"/>
  <c r="NS46" i="8"/>
  <c r="NO47" i="8"/>
  <c r="NK48" i="8" a="1"/>
  <c r="NK48" i="8" s="1"/>
  <c r="NS50" i="8"/>
  <c r="NO51" i="8"/>
  <c r="NS52" i="8"/>
  <c r="NO53" i="8"/>
  <c r="NK54" i="8" a="1"/>
  <c r="NK54" i="8" s="1"/>
  <c r="NS56" i="8"/>
  <c r="NO57" i="8"/>
  <c r="NK58" i="8" a="1"/>
  <c r="NK58" i="8" s="1"/>
  <c r="NL28" i="8"/>
  <c r="NT28" i="8"/>
  <c r="NP29" i="8"/>
  <c r="NL30" i="8"/>
  <c r="NT30" i="8"/>
  <c r="NP31" i="8"/>
  <c r="NL32" i="8"/>
  <c r="NT32" i="8"/>
  <c r="NP33" i="8"/>
  <c r="NL34" i="8"/>
  <c r="NT34" i="8"/>
  <c r="NP35" i="8"/>
  <c r="NL36" i="8"/>
  <c r="NT36" i="8"/>
  <c r="NP37" i="8"/>
  <c r="NL38" i="8"/>
  <c r="NT38" i="8"/>
  <c r="NP39" i="8"/>
  <c r="NL40" i="8"/>
  <c r="NT40" i="8"/>
  <c r="NP41" i="8"/>
  <c r="NL42" i="8"/>
  <c r="NT42" i="8"/>
  <c r="NP43" i="8"/>
  <c r="NL44" i="8"/>
  <c r="NT44" i="8"/>
  <c r="NP45" i="8"/>
  <c r="NL46" i="8"/>
  <c r="NT46" i="8"/>
  <c r="NP47" i="8"/>
  <c r="NL48" i="8"/>
  <c r="NT48" i="8"/>
  <c r="NP49" i="8"/>
  <c r="NL50" i="8"/>
  <c r="NT50" i="8"/>
  <c r="NP51" i="8"/>
  <c r="NL52" i="8"/>
  <c r="NT52" i="8"/>
  <c r="NP53" i="8"/>
  <c r="NL54" i="8"/>
  <c r="NT54" i="8"/>
  <c r="NP55" i="8"/>
  <c r="NL56" i="8"/>
  <c r="NT56" i="8"/>
  <c r="NP57" i="8"/>
  <c r="NL58" i="8"/>
  <c r="NT58" i="8"/>
  <c r="NP59" i="8"/>
  <c r="NK51" i="8" a="1"/>
  <c r="NK51" i="8" s="1"/>
  <c r="NK57" i="8" a="1"/>
  <c r="NK57" i="8" s="1"/>
  <c r="NU41" i="8"/>
  <c r="NU45" i="8"/>
  <c r="NU49" i="8"/>
  <c r="NU53" i="8"/>
  <c r="NU57" i="8"/>
  <c r="NM28" i="8"/>
  <c r="NU28" i="8"/>
  <c r="NQ29" i="8"/>
  <c r="NM30" i="8"/>
  <c r="NU30" i="8"/>
  <c r="NQ31" i="8"/>
  <c r="NM32" i="8"/>
  <c r="NU32" i="8"/>
  <c r="NQ33" i="8"/>
  <c r="NM34" i="8"/>
  <c r="NU34" i="8"/>
  <c r="NQ35" i="8"/>
  <c r="NM36" i="8"/>
  <c r="NU36" i="8"/>
  <c r="NQ37" i="8"/>
  <c r="NM38" i="8"/>
  <c r="NU38" i="8"/>
  <c r="NQ39" i="8"/>
  <c r="NM40" i="8"/>
  <c r="NU40" i="8"/>
  <c r="NQ41" i="8"/>
  <c r="NM42" i="8"/>
  <c r="NU42" i="8"/>
  <c r="NQ43" i="8"/>
  <c r="NM44" i="8"/>
  <c r="NU44" i="8"/>
  <c r="NQ45" i="8"/>
  <c r="NM46" i="8"/>
  <c r="NU46" i="8"/>
  <c r="NQ47" i="8"/>
  <c r="NM48" i="8"/>
  <c r="NU48" i="8"/>
  <c r="NQ49" i="8"/>
  <c r="NM50" i="8"/>
  <c r="NU50" i="8"/>
  <c r="NQ51" i="8"/>
  <c r="NM52" i="8"/>
  <c r="NU52" i="8"/>
  <c r="NQ53" i="8"/>
  <c r="NM54" i="8"/>
  <c r="NU54" i="8"/>
  <c r="NQ55" i="8"/>
  <c r="NM56" i="8"/>
  <c r="NU56" i="8"/>
  <c r="NQ57" i="8"/>
  <c r="NM58" i="8"/>
  <c r="NU58" i="8"/>
  <c r="NQ59" i="8"/>
  <c r="NK49" i="8" a="1"/>
  <c r="NK49" i="8" s="1"/>
  <c r="NO54" i="8"/>
  <c r="NS55" i="8"/>
  <c r="NO56" i="8"/>
  <c r="NS57" i="8"/>
  <c r="NS59" i="8"/>
  <c r="NQ36" i="8"/>
  <c r="NM39" i="8"/>
  <c r="NQ42" i="8"/>
  <c r="NQ46" i="8"/>
  <c r="NQ50" i="8"/>
  <c r="NQ54" i="8"/>
  <c r="NQ58" i="8"/>
  <c r="NN28" i="8"/>
  <c r="NR29" i="8"/>
  <c r="NN30" i="8"/>
  <c r="NR31" i="8"/>
  <c r="NN32" i="8"/>
  <c r="NR33" i="8"/>
  <c r="NN34" i="8"/>
  <c r="NR35" i="8"/>
  <c r="NN36" i="8"/>
  <c r="NR37" i="8"/>
  <c r="NN38" i="8"/>
  <c r="NR39" i="8"/>
  <c r="NN40" i="8"/>
  <c r="NR41" i="8"/>
  <c r="NN42" i="8"/>
  <c r="NR43" i="8"/>
  <c r="NN44" i="8"/>
  <c r="NR45" i="8"/>
  <c r="NN46" i="8"/>
  <c r="NR47" i="8"/>
  <c r="NN48" i="8"/>
  <c r="NR49" i="8"/>
  <c r="NN50" i="8"/>
  <c r="NR51" i="8"/>
  <c r="NN52" i="8"/>
  <c r="NR53" i="8"/>
  <c r="NN54" i="8"/>
  <c r="NR55" i="8"/>
  <c r="NN56" i="8"/>
  <c r="NR57" i="8"/>
  <c r="NN58" i="8"/>
  <c r="NR59" i="8"/>
  <c r="NS43" i="8"/>
  <c r="NO44" i="8"/>
  <c r="NS45" i="8"/>
  <c r="NO46" i="8"/>
  <c r="NK47" i="8" a="1"/>
  <c r="NK47" i="8" s="1"/>
  <c r="NS51" i="8"/>
  <c r="NK53" i="8" a="1"/>
  <c r="NK53" i="8" s="1"/>
  <c r="NO58" i="8"/>
  <c r="NU35" i="8"/>
  <c r="NQ38" i="8"/>
  <c r="NM41" i="8"/>
  <c r="NM45" i="8"/>
  <c r="NM49" i="8"/>
  <c r="NM53" i="8"/>
  <c r="NM57" i="8"/>
  <c r="NO28" i="8"/>
  <c r="NK29" i="8" a="1"/>
  <c r="NK29" i="8" s="1"/>
  <c r="NS29" i="8"/>
  <c r="NO30" i="8"/>
  <c r="NK31" i="8" a="1"/>
  <c r="NK31" i="8" s="1"/>
  <c r="NS31" i="8"/>
  <c r="NO32" i="8"/>
  <c r="NK33" i="8" a="1"/>
  <c r="NK33" i="8" s="1"/>
  <c r="NS33" i="8"/>
  <c r="NO34" i="8"/>
  <c r="NK35" i="8" a="1"/>
  <c r="NK35" i="8" s="1"/>
  <c r="NS35" i="8"/>
  <c r="NO36" i="8"/>
  <c r="NK37" i="8" a="1"/>
  <c r="NK37" i="8" s="1"/>
  <c r="NS37" i="8"/>
  <c r="NO38" i="8"/>
  <c r="NK39" i="8" a="1"/>
  <c r="NK39" i="8" s="1"/>
  <c r="NS39" i="8"/>
  <c r="NO40" i="8"/>
  <c r="NK41" i="8" a="1"/>
  <c r="NK41" i="8" s="1"/>
  <c r="NS41" i="8"/>
  <c r="NO42" i="8"/>
  <c r="NK43" i="8" a="1"/>
  <c r="NK43" i="8" s="1"/>
  <c r="NK45" i="8" a="1"/>
  <c r="NK45" i="8" s="1"/>
  <c r="NS47" i="8"/>
  <c r="NO48" i="8"/>
  <c r="NS49" i="8"/>
  <c r="NO50" i="8"/>
  <c r="NO52" i="8"/>
  <c r="NS53" i="8"/>
  <c r="NK55" i="8" a="1"/>
  <c r="NK55" i="8" s="1"/>
  <c r="NK59" i="8" a="1"/>
  <c r="NK59" i="8" s="1"/>
  <c r="NM43" i="8"/>
  <c r="NM47" i="8"/>
  <c r="NM51" i="8"/>
  <c r="NM55" i="8"/>
  <c r="NM59" i="8"/>
  <c r="NP28" i="8"/>
  <c r="NL29" i="8"/>
  <c r="NT29" i="8"/>
  <c r="NP30" i="8"/>
  <c r="NL31" i="8"/>
  <c r="NT31" i="8"/>
  <c r="NP32" i="8"/>
  <c r="NL33" i="8"/>
  <c r="NT33" i="8"/>
  <c r="NP34" i="8"/>
  <c r="NL35" i="8"/>
  <c r="NT35" i="8"/>
  <c r="NP36" i="8"/>
  <c r="NL37" i="8"/>
  <c r="NT37" i="8"/>
  <c r="NP38" i="8"/>
  <c r="NL39" i="8"/>
  <c r="NT39" i="8"/>
  <c r="NP40" i="8"/>
  <c r="NL41" i="8"/>
  <c r="NT41" i="8"/>
  <c r="NP42" i="8"/>
  <c r="NL43" i="8"/>
  <c r="NT43" i="8"/>
  <c r="NP44" i="8"/>
  <c r="NL45" i="8"/>
  <c r="NT45" i="8"/>
  <c r="NP46" i="8"/>
  <c r="NL47" i="8"/>
  <c r="NT47" i="8"/>
  <c r="NP48" i="8"/>
  <c r="NL49" i="8"/>
  <c r="NT49" i="8"/>
  <c r="NP50" i="8"/>
  <c r="NL51" i="8"/>
  <c r="NT51" i="8"/>
  <c r="NP52" i="8"/>
  <c r="NL53" i="8"/>
  <c r="NT53" i="8"/>
  <c r="NP54" i="8"/>
  <c r="NL55" i="8"/>
  <c r="NT55" i="8"/>
  <c r="NP56" i="8"/>
  <c r="NL57" i="8"/>
  <c r="NT57" i="8"/>
  <c r="NP58" i="8"/>
  <c r="NL59" i="8"/>
  <c r="NT59" i="8"/>
  <c r="NQ28" i="8"/>
  <c r="NM29" i="8"/>
  <c r="NU29" i="8"/>
  <c r="NQ30" i="8"/>
  <c r="NM31" i="8"/>
  <c r="NU31" i="8"/>
  <c r="NQ32" i="8"/>
  <c r="NU33" i="8"/>
  <c r="NM35" i="8"/>
  <c r="NM37" i="8"/>
  <c r="NU39" i="8"/>
  <c r="NU43" i="8"/>
  <c r="NU47" i="8"/>
  <c r="NU51" i="8"/>
  <c r="NU55" i="8"/>
  <c r="NU59" i="8"/>
  <c r="NM33" i="8"/>
  <c r="NQ34" i="8"/>
  <c r="NU37" i="8"/>
  <c r="NQ40" i="8"/>
  <c r="NQ44" i="8"/>
  <c r="NQ48" i="8"/>
  <c r="NQ52" i="8"/>
  <c r="NQ56" i="8"/>
  <c r="NO59" i="8"/>
  <c r="NL27" i="8"/>
  <c r="NT27" i="8"/>
  <c r="NR60" i="8"/>
  <c r="NP61" i="8"/>
  <c r="NN62" i="8"/>
  <c r="NL63" i="8"/>
  <c r="NT63" i="8"/>
  <c r="NR64" i="8"/>
  <c r="NP65" i="8"/>
  <c r="NN66" i="8"/>
  <c r="NL67" i="8"/>
  <c r="NT67" i="8"/>
  <c r="NR68" i="8"/>
  <c r="NP69" i="8"/>
  <c r="NN70" i="8"/>
  <c r="NL71" i="8"/>
  <c r="NT71" i="8"/>
  <c r="NK65" i="8" a="1"/>
  <c r="NK65" i="8" s="1"/>
  <c r="NP60" i="8"/>
  <c r="NL62" i="8"/>
  <c r="NP64" i="8"/>
  <c r="NL70" i="8"/>
  <c r="NM27" i="8"/>
  <c r="NU27" i="8"/>
  <c r="NS60" i="8"/>
  <c r="NQ61" i="8"/>
  <c r="NO62" i="8"/>
  <c r="NM63" i="8"/>
  <c r="NU63" i="8"/>
  <c r="NS64" i="8"/>
  <c r="NQ65" i="8"/>
  <c r="NO66" i="8"/>
  <c r="NM67" i="8"/>
  <c r="NU67" i="8"/>
  <c r="NS68" i="8"/>
  <c r="NQ69" i="8"/>
  <c r="NO70" i="8"/>
  <c r="NM71" i="8"/>
  <c r="NU71" i="8"/>
  <c r="NK66" i="8" a="1"/>
  <c r="NK66" i="8" s="1"/>
  <c r="NT62" i="8"/>
  <c r="NN65" i="8"/>
  <c r="NT70" i="8"/>
  <c r="NN27" i="8"/>
  <c r="NL60" i="8"/>
  <c r="NT60" i="8"/>
  <c r="NR61" i="8"/>
  <c r="NP62" i="8"/>
  <c r="NN63" i="8"/>
  <c r="NL64" i="8"/>
  <c r="NT64" i="8"/>
  <c r="NR65" i="8"/>
  <c r="NP66" i="8"/>
  <c r="NN67" i="8"/>
  <c r="NL68" i="8"/>
  <c r="NT68" i="8"/>
  <c r="NR69" i="8"/>
  <c r="NP70" i="8"/>
  <c r="NN71" i="8"/>
  <c r="NK27" i="8" a="1"/>
  <c r="NK27" i="8" s="1"/>
  <c r="NK67" i="8" a="1"/>
  <c r="NK67" i="8" s="1"/>
  <c r="NL66" i="8"/>
  <c r="NR71" i="8"/>
  <c r="NO27" i="8"/>
  <c r="NM60" i="8"/>
  <c r="NU60" i="8"/>
  <c r="NS61" i="8"/>
  <c r="NQ62" i="8"/>
  <c r="NO63" i="8"/>
  <c r="NM64" i="8"/>
  <c r="NU64" i="8"/>
  <c r="NS65" i="8"/>
  <c r="NQ66" i="8"/>
  <c r="NO67" i="8"/>
  <c r="NM68" i="8"/>
  <c r="NU68" i="8"/>
  <c r="NS69" i="8"/>
  <c r="NQ70" i="8"/>
  <c r="NO71" i="8"/>
  <c r="NK60" i="8" a="1"/>
  <c r="NK60" i="8" s="1"/>
  <c r="NR27" i="8"/>
  <c r="NN61" i="8"/>
  <c r="NR63" i="8"/>
  <c r="NN69" i="8"/>
  <c r="NP27" i="8"/>
  <c r="NN60" i="8"/>
  <c r="NL61" i="8"/>
  <c r="NT61" i="8"/>
  <c r="NR62" i="8"/>
  <c r="NP63" i="8"/>
  <c r="NN64" i="8"/>
  <c r="NL65" i="8"/>
  <c r="NT65" i="8"/>
  <c r="NR66" i="8"/>
  <c r="NP67" i="8"/>
  <c r="NN68" i="8"/>
  <c r="NL69" i="8"/>
  <c r="NT69" i="8"/>
  <c r="NR70" i="8"/>
  <c r="NP71" i="8"/>
  <c r="NK61" i="8" a="1"/>
  <c r="NK61" i="8" s="1"/>
  <c r="NK69" i="8" a="1"/>
  <c r="NK69" i="8" s="1"/>
  <c r="NT66" i="8"/>
  <c r="NK63" i="8" a="1"/>
  <c r="NK63" i="8" s="1"/>
  <c r="NQ27" i="8"/>
  <c r="NO60" i="8"/>
  <c r="NM61" i="8"/>
  <c r="NU61" i="8"/>
  <c r="NS62" i="8"/>
  <c r="NQ63" i="8"/>
  <c r="NO64" i="8"/>
  <c r="NM65" i="8"/>
  <c r="NU65" i="8"/>
  <c r="NS66" i="8"/>
  <c r="NQ67" i="8"/>
  <c r="NO68" i="8"/>
  <c r="NM69" i="8"/>
  <c r="NU69" i="8"/>
  <c r="NS70" i="8"/>
  <c r="NQ71" i="8"/>
  <c r="NK62" i="8" a="1"/>
  <c r="NK62" i="8" s="1"/>
  <c r="NK70" i="8" a="1"/>
  <c r="NK70" i="8" s="1"/>
  <c r="NR67" i="8"/>
  <c r="NS27" i="8"/>
  <c r="NQ60" i="8"/>
  <c r="NO61" i="8"/>
  <c r="NM62" i="8"/>
  <c r="NU62" i="8"/>
  <c r="NS63" i="8"/>
  <c r="NQ64" i="8"/>
  <c r="NO65" i="8"/>
  <c r="NM66" i="8"/>
  <c r="NU66" i="8"/>
  <c r="NS67" i="8"/>
  <c r="NQ68" i="8"/>
  <c r="NO69" i="8"/>
  <c r="NM70" i="8"/>
  <c r="NU70" i="8"/>
  <c r="NS71" i="8"/>
  <c r="NK64" i="8" a="1"/>
  <c r="NK64" i="8" s="1"/>
  <c r="NK68" i="8" a="1"/>
  <c r="NK68" i="8" s="1"/>
  <c r="NP68" i="8"/>
  <c r="NK71" i="8" a="1"/>
  <c r="NK71" i="8" s="1"/>
  <c r="ME6" i="8"/>
  <c r="ME4" i="8" s="1"/>
  <c r="JU6" i="8"/>
  <c r="JU4" i="8" s="1"/>
  <c r="CQ6" i="8"/>
  <c r="CQ4" i="8" s="1"/>
  <c r="AG4" i="8"/>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X6" i="8"/>
  <c r="CX4" i="8" s="1"/>
  <c r="DN6" i="8"/>
  <c r="DN4" i="8" s="1"/>
  <c r="DV6" i="8"/>
  <c r="DV4" i="8" s="1"/>
  <c r="EH6" i="8"/>
  <c r="EH4" i="8" s="1"/>
  <c r="ET6" i="8"/>
  <c r="ET4" i="8" s="1"/>
  <c r="FF6" i="8"/>
  <c r="FF4" i="8" s="1"/>
  <c r="FR6" i="8"/>
  <c r="FR4" i="8" s="1"/>
  <c r="GD6" i="8"/>
  <c r="GD4" i="8" s="1"/>
  <c r="GP6" i="8"/>
  <c r="GP4" i="8" s="1"/>
  <c r="GX6" i="8"/>
  <c r="GX4" i="8" s="1"/>
  <c r="HN6" i="8"/>
  <c r="HN4" i="8" s="1"/>
  <c r="HZ6" i="8"/>
  <c r="HZ4" i="8" s="1"/>
  <c r="IH6" i="8"/>
  <c r="IH4" i="8" s="1"/>
  <c r="IX6" i="8"/>
  <c r="IX4" i="8" s="1"/>
  <c r="JJ6" i="8"/>
  <c r="JJ4" i="8" s="1"/>
  <c r="JV6" i="8"/>
  <c r="JV4" i="8" s="1"/>
  <c r="KH6" i="8"/>
  <c r="KH4" i="8" s="1"/>
  <c r="KT6" i="8"/>
  <c r="KT4" i="8" s="1"/>
  <c r="LF6" i="8"/>
  <c r="LF4" i="8" s="1"/>
  <c r="LR6" i="8"/>
  <c r="LR4" i="8" s="1"/>
  <c r="MD6" i="8"/>
  <c r="MD4" i="8" s="1"/>
  <c r="MH6" i="8"/>
  <c r="MH4" i="8" s="1"/>
  <c r="MT6" i="8"/>
  <c r="MT4" i="8" s="1"/>
  <c r="MX6" i="8"/>
  <c r="MX4" i="8" s="1"/>
  <c r="NB6" i="8"/>
  <c r="NB4" i="8" s="1"/>
  <c r="NF6" i="8"/>
  <c r="NF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U6" i="8"/>
  <c r="CU4" i="8" s="1"/>
  <c r="CY6" i="8"/>
  <c r="CY4" i="8" s="1"/>
  <c r="DC6" i="8"/>
  <c r="DC4" i="8" s="1"/>
  <c r="DG6" i="8"/>
  <c r="DG4" i="8" s="1"/>
  <c r="DK6" i="8"/>
  <c r="DK4" i="8" s="1"/>
  <c r="DO6" i="8"/>
  <c r="DO4" i="8" s="1"/>
  <c r="DS6" i="8"/>
  <c r="DS4" i="8" s="1"/>
  <c r="DW6" i="8"/>
  <c r="DW4" i="8" s="1"/>
  <c r="EA6" i="8"/>
  <c r="EA4" i="8" s="1"/>
  <c r="EE6" i="8"/>
  <c r="EE4" i="8" s="1"/>
  <c r="EI6" i="8"/>
  <c r="EI4" i="8" s="1"/>
  <c r="EM6" i="8"/>
  <c r="EM4" i="8" s="1"/>
  <c r="EQ6" i="8"/>
  <c r="EQ4" i="8" s="1"/>
  <c r="EU6" i="8"/>
  <c r="EU4" i="8" s="1"/>
  <c r="EY6" i="8"/>
  <c r="EY4" i="8" s="1"/>
  <c r="FC6" i="8"/>
  <c r="FC4" i="8" s="1"/>
  <c r="FG6" i="8"/>
  <c r="FG4" i="8" s="1"/>
  <c r="FK6" i="8"/>
  <c r="FK4" i="8" s="1"/>
  <c r="FO6" i="8"/>
  <c r="FO4" i="8" s="1"/>
  <c r="FS6" i="8"/>
  <c r="FS4" i="8" s="1"/>
  <c r="FW6" i="8"/>
  <c r="FW4" i="8" s="1"/>
  <c r="GA6" i="8"/>
  <c r="GA4" i="8" s="1"/>
  <c r="GE6" i="8"/>
  <c r="GE4" i="8" s="1"/>
  <c r="GI6" i="8"/>
  <c r="GI4" i="8" s="1"/>
  <c r="GM6" i="8"/>
  <c r="GM4" i="8" s="1"/>
  <c r="GQ6" i="8"/>
  <c r="GQ4" i="8" s="1"/>
  <c r="GU6" i="8"/>
  <c r="GU4" i="8" s="1"/>
  <c r="GY6" i="8"/>
  <c r="GY4" i="8" s="1"/>
  <c r="HC6" i="8"/>
  <c r="HC4" i="8" s="1"/>
  <c r="HG6" i="8"/>
  <c r="HG4" i="8" s="1"/>
  <c r="HK6" i="8"/>
  <c r="HK4" i="8" s="1"/>
  <c r="HO6" i="8"/>
  <c r="HO4" i="8" s="1"/>
  <c r="HS6" i="8"/>
  <c r="HS4" i="8" s="1"/>
  <c r="HW6" i="8"/>
  <c r="HW4" i="8" s="1"/>
  <c r="IA6" i="8"/>
  <c r="IA4" i="8" s="1"/>
  <c r="IE6" i="8"/>
  <c r="IE4" i="8" s="1"/>
  <c r="II6" i="8"/>
  <c r="II4" i="8" s="1"/>
  <c r="IM6" i="8"/>
  <c r="IM4" i="8" s="1"/>
  <c r="IQ6" i="8"/>
  <c r="IQ4" i="8" s="1"/>
  <c r="IU6" i="8"/>
  <c r="IU4" i="8" s="1"/>
  <c r="IY6" i="8"/>
  <c r="IY4" i="8" s="1"/>
  <c r="JC6" i="8"/>
  <c r="JC4" i="8" s="1"/>
  <c r="JG6" i="8"/>
  <c r="JG4" i="8" s="1"/>
  <c r="JK6" i="8"/>
  <c r="JK4" i="8" s="1"/>
  <c r="JO6" i="8"/>
  <c r="JO4" i="8" s="1"/>
  <c r="JS6" i="8"/>
  <c r="JS4" i="8" s="1"/>
  <c r="JW6" i="8"/>
  <c r="JW4" i="8" s="1"/>
  <c r="KA6" i="8"/>
  <c r="KA4" i="8" s="1"/>
  <c r="KE6" i="8"/>
  <c r="KE4" i="8" s="1"/>
  <c r="KI6" i="8"/>
  <c r="KI4" i="8" s="1"/>
  <c r="KM6" i="8"/>
  <c r="KM4" i="8" s="1"/>
  <c r="KQ6" i="8"/>
  <c r="KQ4" i="8" s="1"/>
  <c r="KU6" i="8"/>
  <c r="KU4" i="8" s="1"/>
  <c r="KY6" i="8"/>
  <c r="KY4" i="8" s="1"/>
  <c r="LC6" i="8"/>
  <c r="LC4" i="8" s="1"/>
  <c r="LG6" i="8"/>
  <c r="LG4" i="8" s="1"/>
  <c r="LK6" i="8"/>
  <c r="LK4" i="8" s="1"/>
  <c r="LO6" i="8"/>
  <c r="LO4" i="8" s="1"/>
  <c r="LS6" i="8"/>
  <c r="LS4" i="8" s="1"/>
  <c r="LW6" i="8"/>
  <c r="LW4" i="8" s="1"/>
  <c r="MA6" i="8"/>
  <c r="MA4" i="8" s="1"/>
  <c r="MI6" i="8"/>
  <c r="MI4" i="8" s="1"/>
  <c r="MM6" i="8"/>
  <c r="MM4" i="8" s="1"/>
  <c r="MQ6" i="8"/>
  <c r="MQ4" i="8" s="1"/>
  <c r="MU6" i="8"/>
  <c r="MU4" i="8" s="1"/>
  <c r="MY6" i="8"/>
  <c r="MY4" i="8" s="1"/>
  <c r="NC6" i="8"/>
  <c r="NC4" i="8" s="1"/>
  <c r="NG6" i="8"/>
  <c r="NG4" i="8" s="1"/>
  <c r="AH6" i="8"/>
  <c r="AH4" i="8" s="1"/>
  <c r="AX6" i="8"/>
  <c r="AX4" i="8" s="1"/>
  <c r="BJ6" i="8"/>
  <c r="BJ4" i="8" s="1"/>
  <c r="BV6" i="8"/>
  <c r="BV4" i="8" s="1"/>
  <c r="CH6" i="8"/>
  <c r="CH4" i="8" s="1"/>
  <c r="CT6" i="8"/>
  <c r="CT4" i="8" s="1"/>
  <c r="DF6" i="8"/>
  <c r="DF4" i="8" s="1"/>
  <c r="DR6" i="8"/>
  <c r="DR4" i="8" s="1"/>
  <c r="ED6" i="8"/>
  <c r="ED4" i="8" s="1"/>
  <c r="EP6" i="8"/>
  <c r="EP4" i="8" s="1"/>
  <c r="FB6" i="8"/>
  <c r="FB4" i="8" s="1"/>
  <c r="FN6" i="8"/>
  <c r="FN4" i="8" s="1"/>
  <c r="FZ6" i="8"/>
  <c r="FZ4" i="8" s="1"/>
  <c r="GL6" i="8"/>
  <c r="GL4" i="8" s="1"/>
  <c r="HB6" i="8"/>
  <c r="HB4" i="8" s="1"/>
  <c r="HJ6" i="8"/>
  <c r="HJ4" i="8" s="1"/>
  <c r="ID6" i="8"/>
  <c r="ID4" i="8" s="1"/>
  <c r="IP6" i="8"/>
  <c r="IP4" i="8" s="1"/>
  <c r="JB6" i="8"/>
  <c r="JB4" i="8" s="1"/>
  <c r="JN6" i="8"/>
  <c r="JN4" i="8" s="1"/>
  <c r="JZ6" i="8"/>
  <c r="JZ4" i="8" s="1"/>
  <c r="KL6" i="8"/>
  <c r="KL4" i="8" s="1"/>
  <c r="KX6" i="8"/>
  <c r="KX4" i="8" s="1"/>
  <c r="LJ6" i="8"/>
  <c r="LJ4" i="8" s="1"/>
  <c r="LZ6" i="8"/>
  <c r="LZ4" i="8" s="1"/>
  <c r="MP6" i="8"/>
  <c r="MP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R6" i="8"/>
  <c r="CR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F6" i="8"/>
  <c r="MF4" i="8" s="1"/>
  <c r="MJ6" i="8"/>
  <c r="MJ4" i="8" s="1"/>
  <c r="MN6" i="8"/>
  <c r="MN4" i="8" s="1"/>
  <c r="MR6" i="8"/>
  <c r="MR4" i="8" s="1"/>
  <c r="MV6" i="8"/>
  <c r="MV4" i="8" s="1"/>
  <c r="MZ6" i="8"/>
  <c r="MZ4" i="8" s="1"/>
  <c r="ND6" i="8"/>
  <c r="ND4" i="8" s="1"/>
  <c r="NH6" i="8"/>
  <c r="NH4" i="8" s="1"/>
  <c r="V6" i="8"/>
  <c r="V4" i="8" s="1"/>
  <c r="AL6" i="8"/>
  <c r="AL4" i="8" s="1"/>
  <c r="AT6" i="8"/>
  <c r="AT4" i="8" s="1"/>
  <c r="BF6" i="8"/>
  <c r="BF4" i="8" s="1"/>
  <c r="BN6" i="8"/>
  <c r="BN4" i="8" s="1"/>
  <c r="BZ6" i="8"/>
  <c r="BZ4" i="8" s="1"/>
  <c r="CL6" i="8"/>
  <c r="CL4" i="8" s="1"/>
  <c r="DB6" i="8"/>
  <c r="DB4" i="8" s="1"/>
  <c r="DJ6" i="8"/>
  <c r="DJ4" i="8" s="1"/>
  <c r="DZ6" i="8"/>
  <c r="DZ4" i="8" s="1"/>
  <c r="EL6" i="8"/>
  <c r="EL4" i="8" s="1"/>
  <c r="EX6" i="8"/>
  <c r="EX4" i="8" s="1"/>
  <c r="FJ6" i="8"/>
  <c r="FJ4" i="8" s="1"/>
  <c r="FV6" i="8"/>
  <c r="FV4" i="8" s="1"/>
  <c r="GH6" i="8"/>
  <c r="GH4" i="8" s="1"/>
  <c r="GT6" i="8"/>
  <c r="GT4" i="8" s="1"/>
  <c r="HF6" i="8"/>
  <c r="HF4" i="8" s="1"/>
  <c r="HR6" i="8"/>
  <c r="HR4" i="8" s="1"/>
  <c r="HV6" i="8"/>
  <c r="HV4" i="8" s="1"/>
  <c r="IL6" i="8"/>
  <c r="IL4" i="8" s="1"/>
  <c r="IT6" i="8"/>
  <c r="IT4" i="8" s="1"/>
  <c r="JF6" i="8"/>
  <c r="JF4" i="8" s="1"/>
  <c r="JR6" i="8"/>
  <c r="JR4" i="8" s="1"/>
  <c r="KD6" i="8"/>
  <c r="KD4" i="8" s="1"/>
  <c r="KP6" i="8"/>
  <c r="KP4" i="8" s="1"/>
  <c r="LB6" i="8"/>
  <c r="LB4" i="8" s="1"/>
  <c r="LN6" i="8"/>
  <c r="LN4" i="8" s="1"/>
  <c r="LV6" i="8"/>
  <c r="LV4" i="8" s="1"/>
  <c r="ML6" i="8"/>
  <c r="ML4" i="8" s="1"/>
  <c r="X6" i="8"/>
  <c r="X4" i="8" s="1"/>
  <c r="AF6" i="8"/>
  <c r="AF4" i="8" s="1"/>
  <c r="U6" i="8"/>
  <c r="U4" i="8" s="1"/>
  <c r="NK9" i="8" s="1" a="1"/>
  <c r="NK9" i="8" s="1"/>
  <c r="E5" i="11"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AD7" i="8"/>
  <c r="NJ86" i="8" l="1" a="1"/>
  <c r="NJ86" i="8" s="1"/>
  <c r="NJ87" i="8" a="1"/>
  <c r="NJ87" i="8" s="1"/>
  <c r="NJ84" i="8" a="1"/>
  <c r="NJ84" i="8" s="1"/>
  <c r="NJ85" i="8" a="1"/>
  <c r="NJ85" i="8" s="1"/>
  <c r="NJ82" i="8" a="1"/>
  <c r="NJ82" i="8" s="1"/>
  <c r="NJ83" i="8" a="1"/>
  <c r="NJ83" i="8" s="1"/>
  <c r="NJ80" i="8" a="1"/>
  <c r="NJ80" i="8" s="1"/>
  <c r="NJ81" i="8" a="1"/>
  <c r="NJ81" i="8" s="1"/>
  <c r="NJ78" i="8" a="1"/>
  <c r="NJ78" i="8" s="1"/>
  <c r="NJ79" i="8" a="1"/>
  <c r="NJ79" i="8" s="1"/>
  <c r="NJ76" i="8" a="1"/>
  <c r="NJ76" i="8" s="1"/>
  <c r="NJ77" i="8" a="1"/>
  <c r="NJ77" i="8" s="1"/>
  <c r="NJ74" i="8" a="1"/>
  <c r="NJ74" i="8" s="1"/>
  <c r="NJ75" i="8" a="1"/>
  <c r="NJ75" i="8" s="1"/>
  <c r="NJ88" i="8" a="1"/>
  <c r="NJ88" i="8" s="1"/>
  <c r="NJ72" i="8" a="1"/>
  <c r="NJ72" i="8" s="1"/>
  <c r="NJ73" i="8" a="1"/>
  <c r="NJ73" i="8" s="1"/>
  <c r="NJ59" i="8" a="1"/>
  <c r="NJ59" i="8" s="1"/>
  <c r="NJ43" i="8" a="1"/>
  <c r="NJ43" i="8" s="1"/>
  <c r="NJ58" i="8" a="1"/>
  <c r="NJ58" i="8" s="1"/>
  <c r="NJ42" i="8" a="1"/>
  <c r="NJ42" i="8" s="1"/>
  <c r="NJ57" i="8" a="1"/>
  <c r="NJ57" i="8" s="1"/>
  <c r="NJ41" i="8" a="1"/>
  <c r="NJ41" i="8" s="1"/>
  <c r="NJ56" i="8" a="1"/>
  <c r="NJ56" i="8" s="1"/>
  <c r="NJ40" i="8" a="1"/>
  <c r="NJ40" i="8" s="1"/>
  <c r="NJ55" i="8" a="1"/>
  <c r="NJ55" i="8" s="1"/>
  <c r="NJ39" i="8" a="1"/>
  <c r="NJ39" i="8" s="1"/>
  <c r="NJ54" i="8" a="1"/>
  <c r="NJ54" i="8" s="1"/>
  <c r="NJ38" i="8" a="1"/>
  <c r="NJ38" i="8" s="1"/>
  <c r="NJ53" i="8" a="1"/>
  <c r="NJ53" i="8" s="1"/>
  <c r="NJ37" i="8" a="1"/>
  <c r="NJ37" i="8" s="1"/>
  <c r="NJ52" i="8" a="1"/>
  <c r="NJ52" i="8" s="1"/>
  <c r="NJ36" i="8" a="1"/>
  <c r="NJ36" i="8" s="1"/>
  <c r="NJ51" i="8" a="1"/>
  <c r="NJ51" i="8" s="1"/>
  <c r="NJ35" i="8" a="1"/>
  <c r="NJ35" i="8" s="1"/>
  <c r="NJ50" i="8" a="1"/>
  <c r="NJ50" i="8" s="1"/>
  <c r="NJ34" i="8" a="1"/>
  <c r="NJ34" i="8" s="1"/>
  <c r="NJ49" i="8" a="1"/>
  <c r="NJ49" i="8" s="1"/>
  <c r="NJ33" i="8" a="1"/>
  <c r="NJ33" i="8" s="1"/>
  <c r="NJ48" i="8" a="1"/>
  <c r="NJ48" i="8" s="1"/>
  <c r="NJ32" i="8" a="1"/>
  <c r="NJ32" i="8" s="1"/>
  <c r="NJ47" i="8" a="1"/>
  <c r="NJ47" i="8" s="1"/>
  <c r="NJ31" i="8" a="1"/>
  <c r="NJ31" i="8" s="1"/>
  <c r="NJ46" i="8" a="1"/>
  <c r="NJ46" i="8" s="1"/>
  <c r="NJ30" i="8" a="1"/>
  <c r="NJ30" i="8" s="1"/>
  <c r="NJ45" i="8" a="1"/>
  <c r="NJ45" i="8" s="1"/>
  <c r="NJ29" i="8" a="1"/>
  <c r="NJ29" i="8" s="1"/>
  <c r="NJ44" i="8" a="1"/>
  <c r="NJ44" i="8" s="1"/>
  <c r="NJ28" i="8" a="1"/>
  <c r="NJ28" i="8" s="1"/>
  <c r="NJ62" i="8" a="1"/>
  <c r="NJ62" i="8" s="1"/>
  <c r="NJ64" i="8" a="1"/>
  <c r="NJ64" i="8" s="1"/>
  <c r="NJ60" i="8" a="1"/>
  <c r="NJ60" i="8" s="1"/>
  <c r="NJ67" i="8" a="1"/>
  <c r="NJ67" i="8" s="1"/>
  <c r="NJ63" i="8" a="1"/>
  <c r="NJ63" i="8" s="1"/>
  <c r="NJ69" i="8" a="1"/>
  <c r="NJ69" i="8" s="1"/>
  <c r="NJ27" i="8" a="1"/>
  <c r="NJ27" i="8" s="1"/>
  <c r="NJ65" i="8" a="1"/>
  <c r="NJ65" i="8" s="1"/>
  <c r="NJ70" i="8" a="1"/>
  <c r="NJ70" i="8" s="1"/>
  <c r="NJ61" i="8" a="1"/>
  <c r="NJ61" i="8" s="1"/>
  <c r="NJ66" i="8" a="1"/>
  <c r="NJ66" i="8" s="1"/>
  <c r="NJ68" i="8" a="1"/>
  <c r="NJ68" i="8" s="1"/>
  <c r="NJ71" i="8" a="1"/>
  <c r="NJ71" i="8" s="1"/>
  <c r="NL25" i="8"/>
  <c r="NP20" i="8"/>
  <c r="J16" i="11" s="1"/>
  <c r="NQ8" i="8"/>
  <c r="K4" i="11" s="1"/>
  <c r="NK20" i="8" a="1"/>
  <c r="NK20" i="8" s="1"/>
  <c r="E16" i="11" s="1"/>
  <c r="NM12" i="8"/>
  <c r="G8" i="11" s="1"/>
  <c r="NU22" i="8"/>
  <c r="O18" i="11" s="1"/>
  <c r="NP23" i="8"/>
  <c r="J19" i="11" s="1"/>
  <c r="NM10" i="8"/>
  <c r="G6" i="11" s="1"/>
  <c r="NN11" i="8"/>
  <c r="H7" i="11" s="1"/>
  <c r="NT21" i="8"/>
  <c r="N17" i="11" s="1"/>
  <c r="NU21" i="8"/>
  <c r="O17" i="11" s="1"/>
  <c r="NN13" i="8"/>
  <c r="H9" i="11" s="1"/>
  <c r="NR24" i="8"/>
  <c r="L20" i="11" s="1"/>
  <c r="NS12" i="8"/>
  <c r="M8" i="11" s="1"/>
  <c r="NO10" i="8"/>
  <c r="I6" i="11" s="1"/>
  <c r="NO26" i="8"/>
  <c r="NP14" i="8"/>
  <c r="J10" i="11" s="1"/>
  <c r="NK12" i="8" a="1"/>
  <c r="NK12" i="8" s="1"/>
  <c r="E8" i="11" s="1"/>
  <c r="NM9" i="8"/>
  <c r="G5" i="11" s="1"/>
  <c r="NS23" i="8"/>
  <c r="M19" i="11" s="1"/>
  <c r="NT23" i="8"/>
  <c r="N19" i="11" s="1"/>
  <c r="NN14" i="8"/>
  <c r="H10" i="11" s="1"/>
  <c r="NP21" i="8"/>
  <c r="J17" i="11" s="1"/>
  <c r="NQ21" i="8"/>
  <c r="K17" i="11" s="1"/>
  <c r="NO11" i="8"/>
  <c r="I7" i="11" s="1"/>
  <c r="NS22" i="8"/>
  <c r="M18" i="11" s="1"/>
  <c r="NT10" i="8"/>
  <c r="N6" i="11" s="1"/>
  <c r="NM23" i="8"/>
  <c r="G19" i="11" s="1"/>
  <c r="NR12" i="8"/>
  <c r="L8" i="11" s="1"/>
  <c r="NR22" i="8"/>
  <c r="L18" i="11" s="1"/>
  <c r="NL26" i="8"/>
  <c r="NN26" i="8"/>
  <c r="NQ15" i="8"/>
  <c r="K11" i="11" s="1"/>
  <c r="NR15" i="8"/>
  <c r="L11" i="11" s="1"/>
  <c r="NN20" i="8"/>
  <c r="H16" i="11" s="1"/>
  <c r="NO22" i="8"/>
  <c r="I18" i="11" s="1"/>
  <c r="NO24" i="8"/>
  <c r="I20" i="11" s="1"/>
  <c r="NK21" i="8" a="1"/>
  <c r="NK21" i="8" s="1"/>
  <c r="E17" i="11" s="1"/>
  <c r="NP11" i="8"/>
  <c r="J7" i="11" s="1"/>
  <c r="NT16" i="8"/>
  <c r="N12" i="11" s="1"/>
  <c r="NT26" i="8"/>
  <c r="NL9" i="8"/>
  <c r="F5" i="11" s="1"/>
  <c r="NQ18" i="8"/>
  <c r="K14" i="11" s="1"/>
  <c r="NQ24" i="8"/>
  <c r="K20" i="11" s="1"/>
  <c r="NK8" i="8" a="1"/>
  <c r="NK8" i="8" s="1"/>
  <c r="E4" i="11" s="1"/>
  <c r="NN23" i="8"/>
  <c r="H19" i="11" s="1"/>
  <c r="NU15" i="8"/>
  <c r="O11" i="11" s="1"/>
  <c r="NK15" i="8" a="1"/>
  <c r="NK15" i="8" s="1"/>
  <c r="E11" i="11" s="1"/>
  <c r="NO89" i="8"/>
  <c r="NR13" i="8"/>
  <c r="L9" i="11" s="1"/>
  <c r="NS13" i="8"/>
  <c r="M9" i="11" s="1"/>
  <c r="NL12" i="8"/>
  <c r="F8" i="11" s="1"/>
  <c r="NU14" i="8"/>
  <c r="O10" i="11" s="1"/>
  <c r="NU20" i="8"/>
  <c r="O16" i="11" s="1"/>
  <c r="NO15" i="8"/>
  <c r="I11" i="11" s="1"/>
  <c r="NS26" i="8"/>
  <c r="NT14" i="8"/>
  <c r="N10" i="11" s="1"/>
  <c r="NN8" i="8"/>
  <c r="H4" i="11" s="1"/>
  <c r="NL23" i="8"/>
  <c r="F19" i="11" s="1"/>
  <c r="NR25" i="8"/>
  <c r="NS25" i="8"/>
  <c r="NL17" i="8"/>
  <c r="F13" i="11" s="1"/>
  <c r="NQ10" i="8"/>
  <c r="K6" i="11" s="1"/>
  <c r="NQ16" i="8"/>
  <c r="K12" i="11" s="1"/>
  <c r="NK18" i="8" a="1"/>
  <c r="NK18" i="8" s="1"/>
  <c r="E14" i="11" s="1"/>
  <c r="NM20" i="8"/>
  <c r="G16" i="11" s="1"/>
  <c r="NP9" i="8"/>
  <c r="J5" i="11" s="1"/>
  <c r="NQ9" i="8"/>
  <c r="K5" i="11" s="1"/>
  <c r="NN17" i="8"/>
  <c r="H13" i="11" s="1"/>
  <c r="NS10" i="8"/>
  <c r="M6" i="11" s="1"/>
  <c r="NS16" i="8"/>
  <c r="M12" i="11" s="1"/>
  <c r="NO14" i="8"/>
  <c r="I10" i="11" s="1"/>
  <c r="NP8" i="8"/>
  <c r="J4" i="11" s="1"/>
  <c r="NP18" i="8"/>
  <c r="J14" i="11" s="1"/>
  <c r="NK89" i="8" a="1"/>
  <c r="NK89" i="8" s="1"/>
  <c r="NM13" i="8"/>
  <c r="G9" i="11" s="1"/>
  <c r="NS89" i="8"/>
  <c r="NT89" i="8"/>
  <c r="NN18" i="8"/>
  <c r="H14" i="11" s="1"/>
  <c r="NP25" i="8"/>
  <c r="NQ25" i="8"/>
  <c r="NM8" i="8"/>
  <c r="G4" i="11" s="1"/>
  <c r="NU18" i="8"/>
  <c r="O14" i="11" s="1"/>
  <c r="NU24" i="8"/>
  <c r="O20" i="11" s="1"/>
  <c r="NL10" i="8"/>
  <c r="F6" i="11" s="1"/>
  <c r="NM25" i="8"/>
  <c r="NT17" i="8"/>
  <c r="N13" i="11" s="1"/>
  <c r="NU17" i="8"/>
  <c r="O13" i="11" s="1"/>
  <c r="NN9" i="8"/>
  <c r="H5" i="11" s="1"/>
  <c r="NR20" i="8"/>
  <c r="L16" i="11" s="1"/>
  <c r="NS8" i="8"/>
  <c r="M4" i="11" s="1"/>
  <c r="NM18" i="8"/>
  <c r="G14" i="11" s="1"/>
  <c r="NO12" i="8"/>
  <c r="I8" i="11" s="1"/>
  <c r="NQ23" i="8"/>
  <c r="K19" i="11" s="1"/>
  <c r="NR23" i="8"/>
  <c r="L19" i="11" s="1"/>
  <c r="NL24" i="8"/>
  <c r="F20" i="11" s="1"/>
  <c r="NT20" i="8"/>
  <c r="N16" i="11" s="1"/>
  <c r="NU8" i="8"/>
  <c r="O4" i="11" s="1"/>
  <c r="NM11" i="8"/>
  <c r="G7" i="11" s="1"/>
  <c r="NQ22" i="8"/>
  <c r="K18" i="11" s="1"/>
  <c r="NR10" i="8"/>
  <c r="L6" i="11" s="1"/>
  <c r="NK25" i="8" a="1"/>
  <c r="NK25" i="8" s="1"/>
  <c r="NN89" i="8"/>
  <c r="NU19" i="8"/>
  <c r="O15" i="11" s="1"/>
  <c r="NK23" i="8" a="1"/>
  <c r="NK23" i="8" s="1"/>
  <c r="E19" i="11" s="1"/>
  <c r="NP15" i="8"/>
  <c r="J11" i="11" s="1"/>
  <c r="NR17" i="8"/>
  <c r="L13" i="11" s="1"/>
  <c r="NS17" i="8"/>
  <c r="M13" i="11" s="1"/>
  <c r="NL8" i="8"/>
  <c r="F4" i="11" s="1"/>
  <c r="NN22" i="8"/>
  <c r="H18" i="11" s="1"/>
  <c r="NQ11" i="8"/>
  <c r="K7" i="11" s="1"/>
  <c r="NR11" i="8"/>
  <c r="L7" i="11" s="1"/>
  <c r="NN16" i="8"/>
  <c r="H12" i="11" s="1"/>
  <c r="NO17" i="8"/>
  <c r="I13" i="11" s="1"/>
  <c r="NO20" i="8"/>
  <c r="I16" i="11" s="1"/>
  <c r="NK24" i="8" a="1"/>
  <c r="NK24" i="8" s="1"/>
  <c r="E20" i="11" s="1"/>
  <c r="NO25" i="8"/>
  <c r="NT12" i="8"/>
  <c r="N8" i="11" s="1"/>
  <c r="NT22" i="8"/>
  <c r="N18" i="11" s="1"/>
  <c r="NL18" i="8"/>
  <c r="F14" i="11" s="1"/>
  <c r="NL15" i="8"/>
  <c r="F11" i="11" s="1"/>
  <c r="NS15" i="8"/>
  <c r="M11" i="11" s="1"/>
  <c r="NT15" i="8"/>
  <c r="N11" i="11" s="1"/>
  <c r="NM24" i="8"/>
  <c r="G20" i="11" s="1"/>
  <c r="NP13" i="8"/>
  <c r="J9" i="11" s="1"/>
  <c r="NQ13" i="8"/>
  <c r="K9" i="11" s="1"/>
  <c r="NN21" i="8"/>
  <c r="H17" i="11" s="1"/>
  <c r="NS14" i="8"/>
  <c r="M10" i="11" s="1"/>
  <c r="NS20" i="8"/>
  <c r="M16" i="11" s="1"/>
  <c r="NM26" i="8"/>
  <c r="NP12" i="8"/>
  <c r="J8" i="11" s="1"/>
  <c r="NP22" i="8"/>
  <c r="J18" i="11" s="1"/>
  <c r="NK19" i="8" a="1"/>
  <c r="NK19" i="8" s="1"/>
  <c r="E15" i="11" s="1"/>
  <c r="NM17" i="8"/>
  <c r="G13" i="11" s="1"/>
  <c r="NT9" i="8"/>
  <c r="N5" i="11" s="1"/>
  <c r="NU9" i="8"/>
  <c r="O5" i="11" s="1"/>
  <c r="NO18" i="8"/>
  <c r="I14" i="11" s="1"/>
  <c r="NL89" i="8"/>
  <c r="NR21" i="8"/>
  <c r="L17" i="11" s="1"/>
  <c r="NS21" i="8"/>
  <c r="M17" i="11" s="1"/>
  <c r="NL21" i="8"/>
  <c r="F17" i="11" s="1"/>
  <c r="NP24" i="8"/>
  <c r="J20" i="11" s="1"/>
  <c r="NQ12" i="8"/>
  <c r="K8" i="11" s="1"/>
  <c r="NK26" i="8" a="1"/>
  <c r="NK26" i="8" s="1"/>
  <c r="NM16" i="8"/>
  <c r="G12" i="11" s="1"/>
  <c r="NU26" i="8"/>
  <c r="NP89" i="8"/>
  <c r="NM14" i="8"/>
  <c r="G10" i="11" s="1"/>
  <c r="NN15" i="8"/>
  <c r="H11" i="11" s="1"/>
  <c r="NT25" i="8"/>
  <c r="NU25" i="8"/>
  <c r="NO16" i="8"/>
  <c r="I12" i="11" s="1"/>
  <c r="NQ89" i="8"/>
  <c r="NR89" i="8"/>
  <c r="NL20" i="8"/>
  <c r="F16" i="11" s="1"/>
  <c r="NT24" i="8"/>
  <c r="N20" i="11" s="1"/>
  <c r="NU12" i="8"/>
  <c r="O8" i="11" s="1"/>
  <c r="NM15" i="8"/>
  <c r="G11" i="11" s="1"/>
  <c r="NQ26" i="8"/>
  <c r="NR14" i="8"/>
  <c r="L10" i="11" s="1"/>
  <c r="NK17" i="8" a="1"/>
  <c r="NK17" i="8" s="1"/>
  <c r="E13" i="11" s="1"/>
  <c r="NO9" i="8"/>
  <c r="I5" i="11" s="1"/>
  <c r="NU23" i="8"/>
  <c r="O19" i="11" s="1"/>
  <c r="NK22" i="8" a="1"/>
  <c r="NK22" i="8" s="1"/>
  <c r="E18" i="11" s="1"/>
  <c r="NL14" i="8"/>
  <c r="F10" i="11" s="1"/>
  <c r="NM21" i="8"/>
  <c r="G17" i="11" s="1"/>
  <c r="NT13" i="8"/>
  <c r="N9" i="11" s="1"/>
  <c r="NU13" i="8"/>
  <c r="O9" i="11" s="1"/>
  <c r="NM89" i="8"/>
  <c r="NR16" i="8"/>
  <c r="L12" i="11" s="1"/>
  <c r="NR26" i="8"/>
  <c r="NM22" i="8"/>
  <c r="G18" i="11" s="1"/>
  <c r="NO8" i="8"/>
  <c r="I4" i="11" s="1"/>
  <c r="NQ19" i="8"/>
  <c r="K15" i="11" s="1"/>
  <c r="NR19" i="8"/>
  <c r="L15" i="11" s="1"/>
  <c r="NN24" i="8"/>
  <c r="H20" i="11" s="1"/>
  <c r="NP19" i="8"/>
  <c r="J15" i="11" s="1"/>
  <c r="NP10" i="8"/>
  <c r="J6" i="11" s="1"/>
  <c r="NK13" i="8" a="1"/>
  <c r="NK13" i="8" s="1"/>
  <c r="E9" i="11" s="1"/>
  <c r="NL11" i="8"/>
  <c r="F7" i="11" s="1"/>
  <c r="NS19" i="8"/>
  <c r="M15" i="11" s="1"/>
  <c r="NT19" i="8"/>
  <c r="N15" i="11" s="1"/>
  <c r="NN10" i="8"/>
  <c r="H6" i="11" s="1"/>
  <c r="NP17" i="8"/>
  <c r="J13" i="11" s="1"/>
  <c r="NQ17" i="8"/>
  <c r="K13" i="11" s="1"/>
  <c r="NN25" i="8"/>
  <c r="NS18" i="8"/>
  <c r="M14" i="11" s="1"/>
  <c r="NS24" i="8"/>
  <c r="M20" i="11" s="1"/>
  <c r="NL22" i="8"/>
  <c r="F18" i="11" s="1"/>
  <c r="NP16" i="8"/>
  <c r="J12" i="11" s="1"/>
  <c r="NP26" i="8"/>
  <c r="NK11" i="8" a="1"/>
  <c r="NK11" i="8" s="1"/>
  <c r="E7" i="11" s="1"/>
  <c r="NN12" i="8"/>
  <c r="H8" i="11" s="1"/>
  <c r="NO13" i="8"/>
  <c r="I9" i="11" s="1"/>
  <c r="NU89" i="8"/>
  <c r="NK14" i="8" a="1"/>
  <c r="NK14" i="8" s="1"/>
  <c r="E10" i="11" s="1"/>
  <c r="NO19" i="8"/>
  <c r="I15" i="11" s="1"/>
  <c r="NT8" i="8"/>
  <c r="N4" i="11" s="1"/>
  <c r="NT18" i="8"/>
  <c r="N14" i="11" s="1"/>
  <c r="NO23" i="8"/>
  <c r="I19" i="11" s="1"/>
  <c r="NL19" i="8"/>
  <c r="F15" i="11" s="1"/>
  <c r="NS11" i="8"/>
  <c r="M7" i="11" s="1"/>
  <c r="NT11" i="8"/>
  <c r="N7" i="11" s="1"/>
  <c r="NL13" i="8"/>
  <c r="F9" i="11" s="1"/>
  <c r="NQ14" i="8"/>
  <c r="K10" i="11" s="1"/>
  <c r="NQ20" i="8"/>
  <c r="K16" i="11" s="1"/>
  <c r="NK10" i="8" a="1"/>
  <c r="NK10" i="8" s="1"/>
  <c r="E6" i="11" s="1"/>
  <c r="NN19" i="8"/>
  <c r="H15" i="11" s="1"/>
  <c r="NU11" i="8"/>
  <c r="O7" i="11" s="1"/>
  <c r="NK16" i="8" a="1"/>
  <c r="NK16" i="8" s="1"/>
  <c r="E12" i="11" s="1"/>
  <c r="NO21" i="8"/>
  <c r="I17" i="11" s="1"/>
  <c r="NR9" i="8"/>
  <c r="L5" i="11" s="1"/>
  <c r="NS9" i="8"/>
  <c r="M5" i="11" s="1"/>
  <c r="NL16" i="8"/>
  <c r="F12" i="11" s="1"/>
  <c r="NU10" i="8"/>
  <c r="O6" i="11" s="1"/>
  <c r="NU16" i="8"/>
  <c r="O12" i="11" s="1"/>
  <c r="NM19" i="8"/>
  <c r="G15" i="11" s="1"/>
  <c r="NR8" i="8"/>
  <c r="L4" i="11" s="1"/>
  <c r="NR18" i="8"/>
  <c r="L14" i="11" s="1"/>
  <c r="NJ12" i="8" a="1"/>
  <c r="NJ12" i="8" s="1"/>
  <c r="D8" i="11" s="1"/>
  <c r="NJ17" i="8" a="1"/>
  <c r="NJ17" i="8" s="1"/>
  <c r="D13" i="11" s="1"/>
  <c r="NJ23" i="8" a="1"/>
  <c r="NJ23" i="8" s="1"/>
  <c r="D19" i="11" s="1"/>
  <c r="NJ13" i="8" a="1"/>
  <c r="NJ13" i="8" s="1"/>
  <c r="D9" i="11" s="1"/>
  <c r="NJ25" i="8" a="1"/>
  <c r="NJ25" i="8" s="1"/>
  <c r="NJ26" i="8" a="1"/>
  <c r="NJ26" i="8" s="1"/>
  <c r="NJ18" i="8" a="1"/>
  <c r="NJ18" i="8" s="1"/>
  <c r="D14" i="11" s="1"/>
  <c r="NJ9" i="8" a="1"/>
  <c r="NJ9" i="8" s="1"/>
  <c r="D5" i="11" s="1"/>
  <c r="NJ10" i="8" a="1"/>
  <c r="NJ10" i="8" s="1"/>
  <c r="D6" i="11" s="1"/>
  <c r="NJ16" i="8" a="1"/>
  <c r="NJ16" i="8" s="1"/>
  <c r="D12" i="11" s="1"/>
  <c r="NJ22" i="8" a="1"/>
  <c r="NJ22" i="8" s="1"/>
  <c r="D18" i="11" s="1"/>
  <c r="NJ15" i="8" a="1"/>
  <c r="NJ15" i="8" s="1"/>
  <c r="D11" i="11" s="1"/>
  <c r="NJ89" i="8" a="1"/>
  <c r="NJ89" i="8" s="1"/>
  <c r="NJ14" i="8" a="1"/>
  <c r="NJ14" i="8" s="1"/>
  <c r="D10" i="11" s="1"/>
  <c r="NJ8" i="8" a="1"/>
  <c r="NJ8" i="8" s="1"/>
  <c r="D4" i="11" s="1"/>
  <c r="NJ19" i="8" a="1"/>
  <c r="NJ19" i="8" s="1"/>
  <c r="D15" i="11" s="1"/>
  <c r="NJ21" i="8" a="1"/>
  <c r="NJ21" i="8" s="1"/>
  <c r="D17" i="11" s="1"/>
  <c r="NJ24" i="8" a="1"/>
  <c r="NJ24" i="8" s="1"/>
  <c r="D20" i="11" s="1"/>
  <c r="NJ20" i="8" a="1"/>
  <c r="NJ20" i="8" s="1"/>
  <c r="D16" i="11" s="1"/>
  <c r="NJ11" i="8" a="1"/>
  <c r="NJ11" i="8" s="1"/>
  <c r="D7" i="11" s="1"/>
  <c r="V7" i="8"/>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52F7C0-8CD9-491E-91D3-B5F45384E9B6}" keepAlive="1" name="Query - tracker" description="Connection to the 'tracker' query in the workbook." type="5" refreshedVersion="6" background="1" saveData="1">
    <dbPr connection="Provider=Microsoft.Mashup.OleDb.1;Data Source=$Workbook$;Location=tracker;Extended Properties=&quot;&quot;" command="SELECT * FROM [tracker]"/>
  </connection>
</connections>
</file>

<file path=xl/sharedStrings.xml><?xml version="1.0" encoding="utf-8"?>
<sst xmlns="http://schemas.openxmlformats.org/spreadsheetml/2006/main" count="840" uniqueCount="159">
  <si>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</si>
  <si>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</si>
  <si>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</si>
  <si>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</si>
  <si>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</si>
  <si>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</si>
  <si>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</si>
  <si>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</si>
  <si>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</si>
  <si>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</si>
  <si>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</si>
  <si>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</si>
  <si>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</si>
  <si>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</si>
  <si>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</si>
  <si>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</si>
  <si>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</si>
  <si>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</si>
  <si>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</si>
  <si>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</si>
  <si>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</si>
  <si>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</si>
  <si>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Easter</t>
  </si>
  <si>
    <t>Labor Day</t>
  </si>
  <si>
    <t>Thanksgiving Day</t>
  </si>
  <si>
    <t>Christmas Day</t>
  </si>
  <si>
    <t>Sick Leave</t>
  </si>
  <si>
    <t>Casual Leave</t>
  </si>
  <si>
    <t>S</t>
  </si>
  <si>
    <t>M</t>
  </si>
  <si>
    <t>C</t>
  </si>
  <si>
    <t>Employee 1</t>
  </si>
  <si>
    <t>Employee 2</t>
  </si>
  <si>
    <t>Employee 3</t>
  </si>
  <si>
    <t>Employee 4</t>
  </si>
  <si>
    <t>Employee 5</t>
  </si>
  <si>
    <t>Employee 6</t>
  </si>
  <si>
    <t>Employee 7</t>
  </si>
  <si>
    <t>Employee 8</t>
  </si>
  <si>
    <t>Employee 9</t>
  </si>
  <si>
    <t>Employee 10</t>
  </si>
  <si>
    <t>No</t>
  </si>
  <si>
    <t>Yes</t>
  </si>
  <si>
    <t>Employee 11</t>
  </si>
  <si>
    <t>Employee 12</t>
  </si>
  <si>
    <t>Employee 13</t>
  </si>
  <si>
    <t>Employee 14</t>
  </si>
  <si>
    <t>Employee 15</t>
  </si>
  <si>
    <t>Employee 16</t>
  </si>
  <si>
    <t>Employee 17</t>
  </si>
  <si>
    <t>Employee 18</t>
  </si>
  <si>
    <t>Employee 19</t>
  </si>
  <si>
    <t>Employee 20</t>
  </si>
  <si>
    <t>Paternity Leave</t>
  </si>
  <si>
    <t>P</t>
  </si>
  <si>
    <t>Code</t>
  </si>
  <si>
    <t>Co</t>
  </si>
  <si>
    <t>W</t>
  </si>
  <si>
    <t>Work from Home</t>
  </si>
  <si>
    <t>O</t>
  </si>
  <si>
    <t>Employees</t>
  </si>
  <si>
    <t>Yearly Leaves</t>
  </si>
  <si>
    <t>Leave Categories</t>
  </si>
  <si>
    <t>Employee Names</t>
  </si>
  <si>
    <t>Department</t>
  </si>
  <si>
    <t>Working Days</t>
  </si>
  <si>
    <t>Select</t>
  </si>
  <si>
    <t>Years</t>
  </si>
  <si>
    <t>Modified Lists "You can add more items"</t>
  </si>
  <si>
    <t>Fixed List "You can only change available items"</t>
  </si>
  <si>
    <t>Departments</t>
  </si>
  <si>
    <t>Quality</t>
  </si>
  <si>
    <t>Production</t>
  </si>
  <si>
    <t>HR</t>
  </si>
  <si>
    <t>Finance</t>
  </si>
  <si>
    <t>Warehouse</t>
  </si>
  <si>
    <t>Planning</t>
  </si>
  <si>
    <t>New Year</t>
  </si>
  <si>
    <t>Revolution Day</t>
  </si>
  <si>
    <t>Mother Day</t>
  </si>
  <si>
    <t>Arafaa Day</t>
  </si>
  <si>
    <t>A</t>
  </si>
  <si>
    <t>Ramadan</t>
  </si>
  <si>
    <t>Company OFF</t>
  </si>
  <si>
    <t>Millitary Service</t>
  </si>
  <si>
    <t>Late Permission</t>
  </si>
  <si>
    <t>Early Leave</t>
  </si>
  <si>
    <t>E</t>
  </si>
  <si>
    <t>L</t>
  </si>
  <si>
    <t>Employee</t>
  </si>
  <si>
    <t>Current Month Leaves</t>
  </si>
  <si>
    <t>Normal Leave</t>
  </si>
  <si>
    <t>Compensate</t>
  </si>
  <si>
    <t>CO</t>
  </si>
  <si>
    <t>Sick</t>
  </si>
  <si>
    <t>Normal</t>
  </si>
  <si>
    <t>Millitary</t>
  </si>
  <si>
    <t>Paternity</t>
  </si>
  <si>
    <t>Casual</t>
  </si>
  <si>
    <t>Work From Home</t>
  </si>
  <si>
    <t>Company Off</t>
  </si>
  <si>
    <t>Row Labels</t>
  </si>
  <si>
    <t>Grand Total</t>
  </si>
  <si>
    <t>Sum of Yearly Leaves</t>
  </si>
  <si>
    <t>Navigation</t>
  </si>
  <si>
    <t>Title</t>
  </si>
  <si>
    <t>Content</t>
  </si>
  <si>
    <t>Customization difficulty (1-3)</t>
  </si>
  <si>
    <t>Explanation of sheets</t>
  </si>
  <si>
    <t>How to customize</t>
  </si>
  <si>
    <t>1)</t>
  </si>
  <si>
    <t>2)</t>
  </si>
  <si>
    <t>3)</t>
  </si>
  <si>
    <t>4)</t>
  </si>
  <si>
    <t>5)</t>
  </si>
  <si>
    <t>6)</t>
  </si>
  <si>
    <t>7)</t>
  </si>
  <si>
    <t>8)</t>
  </si>
  <si>
    <t>9)</t>
  </si>
  <si>
    <t>10)</t>
  </si>
  <si>
    <t>Total Employees</t>
  </si>
  <si>
    <t>Yearly Leave Tracker</t>
  </si>
  <si>
    <t>Database</t>
  </si>
  <si>
    <t>Monthly Leave</t>
  </si>
  <si>
    <t>Yearly Leave</t>
  </si>
  <si>
    <t>Leave Type</t>
  </si>
  <si>
    <t>Attribute</t>
  </si>
  <si>
    <t>Value</t>
  </si>
  <si>
    <t>Sum of Value</t>
  </si>
  <si>
    <t>Column Labels</t>
  </si>
  <si>
    <t>Sum of Current Month Leaves</t>
  </si>
  <si>
    <t>You can navigate between months using left and right arrows in top area</t>
  </si>
  <si>
    <t>Yearly Leave Tracker is designed to track and manage employees leave</t>
  </si>
  <si>
    <t>This sheet will guide you to track your employees leave using a dynamic calender by inputing leave codes that will reflect all calculations with smart dashboard</t>
  </si>
  <si>
    <t>Add and adjust leave setting and your organization standards that automatically reflect in the smart calendar</t>
  </si>
  <si>
    <t>Starting from Database sheet, adjust organization standards and leave setting for the current active calendar</t>
  </si>
  <si>
    <t xml:space="preserve">Add holiday names and dates that match your country culture </t>
  </si>
  <si>
    <t>Add Employee Names and Related Department for each employee</t>
  </si>
  <si>
    <t xml:space="preserve">Select your organization working days using drop down list Yes/No options </t>
  </si>
  <si>
    <t>Add all years that you will use in the dynamic calendar</t>
  </si>
  <si>
    <t>In the top left area of the Yearly Leave Tracker sheet, select the current year and month to track your employees leave</t>
  </si>
  <si>
    <t>At calendar form, record employee leave according to leave code mentioned in database</t>
  </si>
  <si>
    <t>Leave data for the overall year and current selection month will be calculated automatically at right table of the calendar with leave type categorization</t>
  </si>
  <si>
    <t>To increase number of employees, you can use expand sign in left bar</t>
  </si>
  <si>
    <t>By scrolling on the right side, you can see the dynamic dashboard that can be manipulated using above slicers</t>
  </si>
  <si>
    <t>To update raw data so that it reflects on the dashboard, click the Refresh button</t>
  </si>
  <si>
    <t>To maximize screen view, click the Full Screen</t>
  </si>
  <si>
    <t>You can clear the calendar and leave data using the Clear Data button</t>
  </si>
  <si>
    <t>Related To Online Templates</t>
  </si>
  <si>
    <t>Our templates is compatible with online service but some templates that including macros feature is still not supported with Excel Online</t>
  </si>
  <si>
    <t>Here is some hints that replace our macros in case of using Online Template</t>
  </si>
  <si>
    <t>Referesh / Update Data</t>
  </si>
  <si>
    <r>
      <t xml:space="preserve">Some of our templates include </t>
    </r>
    <r>
      <rPr>
        <b/>
        <sz val="10"/>
        <color theme="1"/>
        <rFont val="Arial"/>
        <family val="2"/>
      </rPr>
      <t xml:space="preserve">Referesh/Update data </t>
    </r>
    <r>
      <rPr>
        <sz val="10"/>
        <color theme="1"/>
        <rFont val="Arial"/>
        <family val="2"/>
      </rPr>
      <t>macro button that can be replaced with Referesh All tool in Excel Online ribbon</t>
    </r>
  </si>
  <si>
    <t>Full Screen</t>
  </si>
  <si>
    <r>
      <t xml:space="preserve">Some of our templates have </t>
    </r>
    <r>
      <rPr>
        <b/>
        <sz val="10"/>
        <color theme="1"/>
        <rFont val="Arial"/>
        <family val="2"/>
      </rPr>
      <t xml:space="preserve">Full Screen </t>
    </r>
    <r>
      <rPr>
        <sz val="10"/>
        <color theme="1"/>
        <rFont val="Arial"/>
        <family val="2"/>
      </rPr>
      <t xml:space="preserve">macro button that can be replaced with the itself web browser full screen tool </t>
    </r>
  </si>
  <si>
    <t>Other Macros / Buttons</t>
  </si>
  <si>
    <r>
      <t xml:space="preserve">Other macros is applied on less than ~15% of our templats can be overcome by transferring to Desktop App </t>
    </r>
    <r>
      <rPr>
        <b/>
        <sz val="10"/>
        <color theme="1"/>
        <rFont val="Arial"/>
        <family val="2"/>
      </rPr>
      <t>"Open in Desktop App"</t>
    </r>
    <r>
      <rPr>
        <sz val="10"/>
        <color theme="1"/>
        <rFont val="Arial"/>
        <family val="2"/>
      </rPr>
      <t xml:space="preserve"> button</t>
    </r>
  </si>
  <si>
    <t>Open in Desktop App</t>
  </si>
  <si>
    <t>To open online template using Desktop App be sure that you signed in to your Microsoft account / Onedrive account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</si>
</sst>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dd"/>
    <numFmt numFmtId="166" formatCode=";;;"/>
    <numFmt numFmtId="167" formatCode="dd\ mmm\,\ yyyy"/>
    <numFmt numFmtId="168" formatCode="General;General;"/>
    <numFmt numFmtId="169" formatCode="_(* #,##0_);_(* \(#,##0\);_(* &quot;-&quot;??_);_(@_)"/>
  </numFmts>
  <fonts count="33" x14ac:knownFonts="1">
    <font>
      <sz val="11"/>
      <color theme="1"/>
      <name val="Calibri"/>
      <family val="2"/>
      <scheme val="minor"/>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sz val="10"/>
      <color theme="0"/>
      <name val="Arial"/>
      <family val="2"/>
    </font>
    <font>
      <sz val="11"/>
      <name val="Calibri"/>
      <family val="2"/>
      <scheme val="minor"/>
    </font>
    <font>
      <sz val="9"/>
      <color theme="3" tint="0.39997558519241921"/>
      <name val="Calibri"/>
      <family val="2"/>
      <scheme val="minor"/>
    </font>
    <font>
      <sz val="10"/>
      <color theme="1" tint="0.249977111117893"/>
      <name val="Arial"/>
      <family val="2"/>
    </font>
    <font>
      <b/>
      <sz val="12"/>
      <color theme="1" tint="0.499984740745262"/>
      <name val="Arial"/>
      <family val="2"/>
    </font>
    <font>
      <sz val="10"/>
      <color theme="1" tint="0.499984740745262"/>
      <name val="Arial"/>
      <family val="2"/>
    </font>
    <font>
      <sz val="8"/>
      <color theme="0"/>
      <name val="Arial"/>
      <family val="2"/>
    </font>
    <font>
      <b/>
      <sz val="10"/>
      <color theme="0"/>
      <name val="Arial"/>
      <family val="2"/>
    </font>
    <font>
      <sz val="8"/>
      <color theme="1"/>
      <name val="Arial"/>
      <family val="2"/>
    </font>
    <font>
      <b/>
      <sz val="8"/>
      <name val="Arial"/>
      <family val="2"/>
    </font>
    <font>
      <b/>
      <sz val="8"/>
      <color theme="1"/>
      <name val="Arial"/>
      <family val="2"/>
    </font>
    <font>
      <sz val="11"/>
      <color theme="1"/>
      <name val="Calibri"/>
      <family val="2"/>
      <scheme val="minor"/>
    </font>
    <font>
      <sz val="11"/>
      <color theme="0"/>
      <name val="Calibri"/>
      <family val="2"/>
      <scheme val="minor"/>
    </font>
    <font>
      <sz val="11"/>
      <color theme="1" tint="0.34998626667073579"/>
      <name val="Calibri"/>
      <family val="2"/>
      <scheme val="minor"/>
    </font>
    <font>
      <sz val="12"/>
      <color theme="1"/>
      <name val="Calibri"/>
      <family val="2"/>
      <scheme val="minor"/>
    </font>
    <font>
      <sz val="12"/>
      <color theme="1"/>
      <name val="Arial"/>
      <family val="2"/>
    </font>
    <font>
      <u/>
      <sz val="10"/>
      <color theme="10"/>
      <name val="Arial"/>
      <family val="2"/>
    </font>
    <font>
      <u/>
      <sz val="10"/>
      <color theme="0"/>
      <name val="Arial"/>
      <family val="2"/>
    </font>
    <font>
      <b/>
      <sz val="10"/>
      <color theme="0" tint="-0.34998626667073579"/>
      <name val="Arial"/>
      <family val="2"/>
    </font>
    <font>
      <sz val="10"/>
      <color theme="0" tint="-0.34998626667073579"/>
      <name val="Arial"/>
      <family val="2"/>
    </font>
    <font>
      <sz val="12"/>
      <color theme="0"/>
      <name val="Arial"/>
      <family val="2"/>
    </font>
    <font>
      <b/>
      <u/>
      <sz val="10"/>
      <color theme="1"/>
      <name val="Arial"/>
      <family val="2"/>
    </font>
    <font>
      <u/>
      <sz val="11"/>
      <color theme="10"/>
      <name val="Calibri"/>
      <family val="2"/>
      <scheme val="minor"/>
    </font>
    <font>
      <u/>
      <sz val="11"/>
      <color theme="0"/>
      <name val="Calibri"/>
      <family val="2"/>
      <scheme val="minor"/>
    </font>
    <font>
      <sz val="8"/>
      <name val="Calibri"/>
      <family val="2"/>
      <scheme val="minor"/>
    </font>
    <font>
      <sz val="28"/>
      <color theme="1" tint="0.499984740745262"/>
      <name val="Arial"/>
      <family val="2"/>
    </font>
    <font>
      <sz val="28"/>
      <color theme="0"/>
      <name val="Arial"/>
      <family val="2"/>
    </font>
    <font>
      <sz val="11"/>
      <color rgb="FF000000"/>
      <name val="Calibri"/>
      <family val="2"/>
    </font>
  </fonts>
  <fills count="15">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rgb="FF8FCFAD"/>
        <bgColor indexed="64"/>
      </patternFill>
    </fill>
    <fill>
      <patternFill patternType="solid">
        <fgColor theme="0"/>
        <bgColor indexed="64"/>
      </patternFill>
    </fill>
    <fill>
      <patternFill patternType="solid">
        <fgColor theme="0" tint="-0.34998626667073579"/>
        <bgColor indexed="64"/>
      </patternFill>
    </fill>
    <fill>
      <patternFill patternType="solid">
        <fgColor rgb="FFFFFF85"/>
        <bgColor indexed="64"/>
      </patternFill>
    </fill>
    <fill>
      <patternFill patternType="solid">
        <fgColor rgb="FF50B47F"/>
        <bgColor indexed="64"/>
      </patternFill>
    </fill>
    <fill>
      <patternFill patternType="solid">
        <fgColor theme="0" tint="-0.14999847407452621"/>
        <bgColor indexed="64"/>
      </patternFill>
    </fill>
    <fill>
      <patternFill patternType="solid">
        <fgColor rgb="FFFFECAF"/>
        <bgColor indexed="64"/>
      </patternFill>
    </fill>
    <fill>
      <patternFill patternType="solid">
        <fgColor theme="5" tint="0.79998168889431442"/>
        <bgColor indexed="64"/>
      </patternFill>
    </fill>
    <fill>
      <patternFill patternType="solid">
        <fgColor theme="0" tint="-0.249977111117893"/>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right/>
      <top style="thin">
        <color theme="0" tint="-0.24994659260841701"/>
      </top>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top/>
      <bottom style="thin">
        <color theme="0" tint="-0.34998626667073579"/>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bottom style="thin">
        <color theme="0" tint="-0.14996795556505021"/>
      </bottom>
      <diagonal/>
    </border>
    <border>
      <left style="thin">
        <color theme="0" tint="-0.24994659260841701"/>
      </left>
      <right style="thin">
        <color theme="0" tint="-0.24994659260841701"/>
      </right>
      <top/>
      <bottom style="thin">
        <color theme="0" tint="-0.24994659260841701"/>
      </bottom>
      <diagonal/>
    </border>
    <border>
      <left style="thin">
        <color theme="0" tint="-0.499984740745262"/>
      </left>
      <right style="thin">
        <color theme="0" tint="-0.499984740745262"/>
      </right>
      <top/>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style="thin">
        <color theme="0" tint="-0.14996795556505021"/>
      </left>
      <right style="thin">
        <color theme="0" tint="-0.14996795556505021"/>
      </right>
      <top/>
      <bottom style="thin">
        <color theme="0" tint="-0.14996795556505021"/>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indexed="64"/>
      </left>
      <right/>
      <top/>
      <bottom/>
      <diagonal/>
    </border>
    <border>
      <left/>
      <right style="thin">
        <color theme="0" tint="-4.9989318521683403E-2"/>
      </right>
      <top style="thin">
        <color theme="0" tint="-4.9989318521683403E-2"/>
      </top>
      <bottom/>
      <diagonal/>
    </border>
    <border>
      <left/>
      <right style="thin">
        <color theme="0" tint="-4.9989318521683403E-2"/>
      </right>
      <top/>
      <bottom style="thin">
        <color theme="0" tint="-4.9989318521683403E-2"/>
      </bottom>
      <diagonal/>
    </border>
    <border>
      <left/>
      <right/>
      <top style="thin">
        <color theme="0" tint="-4.9989318521683403E-2"/>
      </top>
      <bottom/>
      <diagonal/>
    </border>
    <border>
      <left/>
      <right/>
      <top/>
      <bottom style="thin">
        <color theme="0" tint="-4.9989318521683403E-2"/>
      </bottom>
      <diagonal/>
    </border>
    <border>
      <left/>
      <right/>
      <top style="thin">
        <color theme="0" tint="-4.9989318521683403E-2"/>
      </top>
      <bottom style="double">
        <color theme="0"/>
      </bottom>
      <diagonal/>
    </border>
    <border>
      <left/>
      <right style="double">
        <color theme="0"/>
      </right>
      <top style="thin">
        <color theme="0" tint="-4.9989318521683403E-2"/>
      </top>
      <bottom style="double">
        <color theme="0"/>
      </bottom>
      <diagonal/>
    </border>
  </borders>
  <cellStyleXfs count="9">
    <xf numFmtId="0" fontId="0" fillId="0" borderId="0"/>
    <xf numFmtId="0" fontId="19" fillId="0" borderId="0"/>
    <xf numFmtId="0" fontId="3" fillId="0" borderId="0"/>
    <xf numFmtId="0" fontId="21" fillId="0" borderId="0" applyNumberFormat="0" applyFill="0" applyBorder="0" applyAlignment="0" applyProtection="0"/>
    <xf numFmtId="0" fontId="16" fillId="0" borderId="0"/>
    <xf numFmtId="9" fontId="16" fillId="0" borderId="0" applyFont="0" applyFill="0" applyBorder="0" applyAlignment="0" applyProtection="0"/>
    <xf numFmtId="164" fontId="3" fillId="0" borderId="0" applyFont="0" applyFill="0" applyBorder="0" applyAlignment="0" applyProtection="0"/>
    <xf numFmtId="164" fontId="16" fillId="0" borderId="0" applyFont="0" applyFill="0" applyBorder="0" applyAlignment="0" applyProtection="0"/>
    <xf numFmtId="0" fontId="27" fillId="0" borderId="0" applyNumberFormat="0" applyFill="0" applyBorder="0" applyAlignment="0" applyProtection="0"/>
  </cellStyleXfs>
  <cellXfs count="96">
    <xf numFmtId="0" fontId="0" fillId="0" borderId="0" xfId="0"/>
    <xf numFmtId="0" fontId="0" fillId="0" borderId="1" xfId="0" applyBorder="1"/>
    <xf numFmtId="14" fontId="0" fillId="0" borderId="0" xfId="0" applyNumberFormat="1"/>
    <xf numFmtId="0" fontId="3" fillId="0" borderId="0" xfId="0" applyFont="1"/>
    <xf numFmtId="0" fontId="7" fillId="0" borderId="0" xfId="0" applyFont="1" applyAlignment="1">
      <alignment horizontal="left" indent="1"/>
    </xf>
    <xf numFmtId="166" fontId="6" fillId="0" borderId="0" xfId="0" applyNumberFormat="1" applyFont="1" applyAlignment="1">
      <alignment horizontal="center" vertical="center"/>
    </xf>
    <xf numFmtId="166" fontId="0" fillId="0" borderId="0" xfId="0" applyNumberFormat="1"/>
    <xf numFmtId="0" fontId="0" fillId="0" borderId="0" xfId="0" applyAlignment="1">
      <alignment horizontal="center" vertical="center"/>
    </xf>
    <xf numFmtId="0" fontId="4" fillId="7" borderId="3" xfId="0" applyFont="1" applyFill="1" applyBorder="1" applyAlignment="1">
      <alignment horizontal="center"/>
    </xf>
    <xf numFmtId="0" fontId="8" fillId="0" borderId="3" xfId="0" applyFont="1" applyBorder="1"/>
    <xf numFmtId="0" fontId="8" fillId="0" borderId="0" xfId="0" applyFont="1"/>
    <xf numFmtId="14" fontId="8" fillId="0" borderId="3" xfId="0" applyNumberFormat="1" applyFont="1" applyBorder="1"/>
    <xf numFmtId="0" fontId="8" fillId="0" borderId="3" xfId="0" applyFont="1" applyBorder="1" applyAlignment="1">
      <alignment horizontal="center"/>
    </xf>
    <xf numFmtId="0" fontId="8" fillId="0" borderId="5" xfId="0" applyFont="1" applyBorder="1"/>
    <xf numFmtId="0" fontId="3" fillId="0" borderId="0" xfId="0" applyFont="1" applyAlignment="1">
      <alignment horizontal="center" vertical="center"/>
    </xf>
    <xf numFmtId="0" fontId="9" fillId="0" borderId="0" xfId="0" applyFont="1" applyAlignment="1">
      <alignment vertical="center"/>
    </xf>
    <xf numFmtId="0" fontId="10" fillId="0" borderId="0" xfId="0" applyFont="1"/>
    <xf numFmtId="0" fontId="8" fillId="0" borderId="8" xfId="0" applyFont="1" applyBorder="1"/>
    <xf numFmtId="167" fontId="8" fillId="0" borderId="9" xfId="0" applyNumberFormat="1" applyFont="1" applyBorder="1"/>
    <xf numFmtId="0" fontId="8" fillId="0" borderId="10" xfId="0" applyFont="1" applyBorder="1"/>
    <xf numFmtId="0" fontId="13" fillId="0" borderId="0" xfId="0" applyFont="1"/>
    <xf numFmtId="168" fontId="0" fillId="4" borderId="2" xfId="0" applyNumberFormat="1" applyFill="1" applyBorder="1" applyAlignment="1">
      <alignment horizontal="center"/>
    </xf>
    <xf numFmtId="0" fontId="6" fillId="9" borderId="2" xfId="0" applyFont="1" applyFill="1" applyBorder="1" applyAlignment="1">
      <alignment horizontal="center"/>
    </xf>
    <xf numFmtId="0" fontId="0" fillId="6" borderId="2" xfId="0" applyFill="1" applyBorder="1" applyAlignment="1">
      <alignment horizontal="center"/>
    </xf>
    <xf numFmtId="0" fontId="0" fillId="0" borderId="2" xfId="0" applyBorder="1"/>
    <xf numFmtId="0" fontId="3" fillId="0" borderId="12" xfId="0" applyFont="1" applyBorder="1"/>
    <xf numFmtId="0" fontId="0" fillId="0" borderId="13" xfId="0" applyBorder="1"/>
    <xf numFmtId="165" fontId="11" fillId="8" borderId="2" xfId="0" applyNumberFormat="1" applyFont="1" applyFill="1" applyBorder="1" applyAlignment="1">
      <alignment horizontal="center" vertical="center"/>
    </xf>
    <xf numFmtId="16" fontId="11" fillId="8" borderId="2" xfId="0" applyNumberFormat="1" applyFont="1" applyFill="1" applyBorder="1" applyAlignment="1">
      <alignment horizontal="center" vertical="center"/>
    </xf>
    <xf numFmtId="1" fontId="1" fillId="3" borderId="2" xfId="0" applyNumberFormat="1" applyFont="1" applyFill="1" applyBorder="1" applyAlignment="1">
      <alignment horizontal="center" vertical="center"/>
    </xf>
    <xf numFmtId="0" fontId="8" fillId="0" borderId="9" xfId="0" applyFont="1" applyBorder="1"/>
    <xf numFmtId="0" fontId="8" fillId="0" borderId="11" xfId="0" applyFont="1" applyBorder="1"/>
    <xf numFmtId="0" fontId="8" fillId="0" borderId="0" xfId="0" applyFont="1" applyAlignment="1">
      <alignment horizontal="center"/>
    </xf>
    <xf numFmtId="0" fontId="5" fillId="6" borderId="6" xfId="0" applyFont="1" applyFill="1" applyBorder="1" applyAlignment="1">
      <alignment horizontal="center" vertical="center"/>
    </xf>
    <xf numFmtId="0" fontId="5" fillId="6" borderId="7" xfId="0" applyFont="1" applyFill="1" applyBorder="1" applyAlignment="1">
      <alignment horizontal="center" vertical="center"/>
    </xf>
    <xf numFmtId="0" fontId="5" fillId="8" borderId="16" xfId="0" applyFont="1" applyFill="1" applyBorder="1" applyAlignment="1">
      <alignment horizontal="center" vertical="center"/>
    </xf>
    <xf numFmtId="0" fontId="5" fillId="8" borderId="17" xfId="0" applyFont="1" applyFill="1" applyBorder="1" applyAlignment="1">
      <alignment horizontal="center" vertical="center" wrapText="1"/>
    </xf>
    <xf numFmtId="0" fontId="5" fillId="8" borderId="17" xfId="0" applyFont="1" applyFill="1" applyBorder="1" applyAlignment="1">
      <alignment horizontal="center" vertical="center"/>
    </xf>
    <xf numFmtId="0" fontId="12" fillId="10" borderId="0" xfId="0" applyFont="1" applyFill="1" applyAlignment="1">
      <alignment horizontal="center" vertical="center"/>
    </xf>
    <xf numFmtId="0" fontId="5" fillId="6" borderId="18" xfId="0" applyFont="1" applyFill="1" applyBorder="1" applyAlignment="1">
      <alignment horizontal="center" vertical="center"/>
    </xf>
    <xf numFmtId="0" fontId="8" fillId="0" borderId="19" xfId="0" applyFont="1" applyBorder="1"/>
    <xf numFmtId="0" fontId="3" fillId="11" borderId="0" xfId="0" applyFont="1" applyFill="1"/>
    <xf numFmtId="0" fontId="3" fillId="11" borderId="0" xfId="0" applyFont="1" applyFill="1" applyAlignment="1">
      <alignment horizontal="center" vertical="center"/>
    </xf>
    <xf numFmtId="0" fontId="8" fillId="11" borderId="0" xfId="0" applyFont="1" applyFill="1"/>
    <xf numFmtId="0" fontId="0" fillId="0" borderId="0" xfId="0" applyAlignment="1">
      <alignment horizontal="center" vertical="center" wrapText="1"/>
    </xf>
    <xf numFmtId="0" fontId="17" fillId="10" borderId="20" xfId="0" applyFont="1" applyFill="1" applyBorder="1" applyAlignment="1">
      <alignment horizontal="center" vertical="center" wrapText="1"/>
    </xf>
    <xf numFmtId="0" fontId="18" fillId="12" borderId="20" xfId="0" applyFont="1" applyFill="1" applyBorder="1" applyAlignment="1">
      <alignment horizontal="center" vertical="center" wrapText="1"/>
    </xf>
    <xf numFmtId="0" fontId="0" fillId="0" borderId="0" xfId="0" pivotButton="1"/>
    <xf numFmtId="0" fontId="0" fillId="0" borderId="0" xfId="0" applyAlignment="1">
      <alignment horizontal="left"/>
    </xf>
    <xf numFmtId="0" fontId="20" fillId="0" borderId="0" xfId="1" applyFont="1"/>
    <xf numFmtId="0" fontId="3" fillId="0" borderId="0" xfId="2"/>
    <xf numFmtId="0" fontId="12" fillId="10" borderId="0" xfId="1" applyFont="1" applyFill="1"/>
    <xf numFmtId="0" fontId="4" fillId="0" borderId="0" xfId="2" applyFont="1"/>
    <xf numFmtId="0" fontId="22" fillId="10" borderId="0" xfId="3" applyFont="1" applyFill="1"/>
    <xf numFmtId="0" fontId="23" fillId="0" borderId="0" xfId="2" quotePrefix="1" applyFont="1" applyAlignment="1">
      <alignment horizontal="right"/>
    </xf>
    <xf numFmtId="0" fontId="24" fillId="0" borderId="0" xfId="2" applyFont="1"/>
    <xf numFmtId="0" fontId="25" fillId="10" borderId="0" xfId="1" applyFont="1" applyFill="1"/>
    <xf numFmtId="0" fontId="26" fillId="0" borderId="0" xfId="2" quotePrefix="1" applyFont="1" applyAlignment="1">
      <alignment horizontal="right"/>
    </xf>
    <xf numFmtId="0" fontId="4" fillId="0" borderId="0" xfId="2" quotePrefix="1" applyFont="1" applyAlignment="1">
      <alignment horizontal="right"/>
    </xf>
    <xf numFmtId="0" fontId="21" fillId="0" borderId="0" xfId="3"/>
    <xf numFmtId="169" fontId="0" fillId="0" borderId="0" xfId="0" applyNumberFormat="1"/>
    <xf numFmtId="0" fontId="0" fillId="11" borderId="2" xfId="0" applyFill="1" applyBorder="1" applyAlignment="1">
      <alignment horizontal="centerContinuous" vertical="center"/>
    </xf>
    <xf numFmtId="0" fontId="0" fillId="11" borderId="2" xfId="0" applyFill="1" applyBorder="1"/>
    <xf numFmtId="168" fontId="0" fillId="11" borderId="2" xfId="0" applyNumberFormat="1" applyFill="1" applyBorder="1" applyAlignment="1">
      <alignment horizontal="center"/>
    </xf>
    <xf numFmtId="0" fontId="0" fillId="10" borderId="0" xfId="0" applyFill="1"/>
    <xf numFmtId="0" fontId="28" fillId="10" borderId="0" xfId="8" applyFont="1" applyFill="1"/>
    <xf numFmtId="0" fontId="2" fillId="2" borderId="22" xfId="0" applyFont="1" applyFill="1" applyBorder="1"/>
    <xf numFmtId="0" fontId="12" fillId="8" borderId="21" xfId="0" applyFont="1" applyFill="1" applyBorder="1"/>
    <xf numFmtId="0" fontId="3" fillId="0" borderId="2" xfId="0" applyFont="1" applyBorder="1" applyAlignment="1">
      <alignment horizontal="center" vertical="center"/>
    </xf>
    <xf numFmtId="0" fontId="6" fillId="12" borderId="2" xfId="0" applyFont="1" applyFill="1" applyBorder="1"/>
    <xf numFmtId="0" fontId="6" fillId="12" borderId="2" xfId="0" applyFont="1" applyFill="1" applyBorder="1" applyAlignment="1">
      <alignment horizontal="center"/>
    </xf>
    <xf numFmtId="0" fontId="0" fillId="13" borderId="2" xfId="0" applyFill="1" applyBorder="1"/>
    <xf numFmtId="0" fontId="0" fillId="13" borderId="2" xfId="0" applyFill="1" applyBorder="1" applyAlignment="1">
      <alignment horizontal="center"/>
    </xf>
    <xf numFmtId="169" fontId="0" fillId="0" borderId="0" xfId="0" applyNumberFormat="1" applyAlignment="1">
      <alignment horizontal="left"/>
    </xf>
    <xf numFmtId="0" fontId="20" fillId="0" borderId="0" xfId="0" applyFont="1" applyAlignment="1">
      <alignment vertical="center" wrapText="1"/>
    </xf>
    <xf numFmtId="0" fontId="30" fillId="0" borderId="0" xfId="0" applyFont="1" applyAlignment="1">
      <alignment vertical="center"/>
    </xf>
    <xf numFmtId="0" fontId="0" fillId="14" borderId="0" xfId="0" applyFill="1"/>
    <xf numFmtId="0" fontId="13" fillId="14" borderId="0" xfId="0" applyFont="1" applyFill="1"/>
    <xf numFmtId="0" fontId="4" fillId="0" borderId="0" xfId="0" applyFont="1"/>
    <xf numFmtId="0" fontId="3" fillId="0" borderId="0" xfId="0" applyFont="1" applyAlignment="1">
      <alignment horizontal="right"/>
    </xf>
    <xf numFmtId="0" fontId="3" fillId="0" borderId="0" xfId="0" applyFont="1" applyAlignment="1">
      <alignment horizontal="left"/>
    </xf>
    <xf numFmtId="0" fontId="4" fillId="0" borderId="0" xfId="0" applyFont="1" applyAlignment="1">
      <alignment horizontal="right"/>
    </xf>
    <xf numFmtId="0" fontId="31" fillId="10" borderId="27" xfId="0" applyFont="1" applyFill="1" applyBorder="1" applyAlignment="1">
      <alignment horizontal="center" vertical="center"/>
    </xf>
    <xf numFmtId="0" fontId="31" fillId="10" borderId="28" xfId="0" applyFont="1" applyFill="1" applyBorder="1" applyAlignment="1">
      <alignment horizontal="center" vertical="center"/>
    </xf>
    <xf numFmtId="0" fontId="20" fillId="11" borderId="25" xfId="0" applyFont="1" applyFill="1" applyBorder="1" applyAlignment="1">
      <alignment horizontal="center" vertical="center" wrapText="1"/>
    </xf>
    <xf numFmtId="0" fontId="20" fillId="11" borderId="23" xfId="0" applyFont="1" applyFill="1" applyBorder="1" applyAlignment="1">
      <alignment horizontal="center" vertical="center" wrapText="1"/>
    </xf>
    <xf numFmtId="0" fontId="20" fillId="11" borderId="26" xfId="0" applyFont="1" applyFill="1" applyBorder="1" applyAlignment="1">
      <alignment horizontal="center" vertical="center" wrapText="1"/>
    </xf>
    <xf numFmtId="0" fontId="20" fillId="11" borderId="24" xfId="0" applyFont="1" applyFill="1" applyBorder="1" applyAlignment="1">
      <alignment horizontal="center" vertical="center" wrapText="1"/>
    </xf>
    <xf numFmtId="0" fontId="14" fillId="12" borderId="4" xfId="0" applyFont="1" applyFill="1" applyBorder="1" applyAlignment="1">
      <alignment horizontal="center" vertical="center" wrapText="1"/>
    </xf>
    <xf numFmtId="0" fontId="14" fillId="12" borderId="14" xfId="0" applyFont="1" applyFill="1" applyBorder="1" applyAlignment="1">
      <alignment horizontal="center" vertical="center" wrapText="1"/>
    </xf>
    <xf numFmtId="0" fontId="15" fillId="13" borderId="4" xfId="0" applyFont="1" applyFill="1" applyBorder="1" applyAlignment="1">
      <alignment horizontal="center" vertical="center" wrapText="1"/>
    </xf>
    <xf numFmtId="0" fontId="15" fillId="13" borderId="14" xfId="0" applyFont="1" applyFill="1" applyBorder="1" applyAlignment="1">
      <alignment horizontal="center" vertical="center" wrapText="1"/>
    </xf>
    <xf numFmtId="0" fontId="15" fillId="11" borderId="4" xfId="0" applyFont="1" applyFill="1" applyBorder="1" applyAlignment="1">
      <alignment horizontal="center" vertical="center" wrapText="1"/>
    </xf>
    <xf numFmtId="0" fontId="15" fillId="11" borderId="14" xfId="0" applyFont="1" applyFill="1" applyBorder="1" applyAlignment="1">
      <alignment horizontal="center" vertical="center" wrapText="1"/>
    </xf>
    <xf numFmtId="0" fontId="12" fillId="10" borderId="15" xfId="0" applyFont="1" applyFill="1" applyBorder="1" applyAlignment="1">
      <alignment horizontal="center" vertical="center"/>
    </xf>
    <xf numFmtId="0" fontId="5" fillId="5" borderId="15" xfId="0" applyFont="1" applyFill="1" applyBorder="1" applyAlignment="1">
      <alignment horizontal="center" vertical="center"/>
    </xf>
  </cellXfs>
  <cellStyles count="9">
    <cellStyle name="Comma 2" xfId="6" xr:uid="{C2152BB9-51B5-4C12-B917-0E664DE1F008}"/>
    <cellStyle name="Comma 5" xfId="7" xr:uid="{345F0643-848E-4010-A099-A83744D95BC9}"/>
    <cellStyle name="Hyperlink" xfId="8" builtinId="8"/>
    <cellStyle name="Hyperlink 2" xfId="3" xr:uid="{2E525904-8CE0-4BFF-BA9B-FFB0A4E9E40F}"/>
    <cellStyle name="Normal" xfId="0" builtinId="0"/>
    <cellStyle name="Normal 2" xfId="1" xr:uid="{81F39564-0719-421E-8AD8-279EDA2A8373}"/>
    <cellStyle name="Normal 2 2" xfId="2" xr:uid="{E0C62479-D43A-4117-9057-367A91479A8A}"/>
    <cellStyle name="Normal 6" xfId="4" xr:uid="{EF0CBB8C-3688-40A9-90CD-A63F4A3D9029}"/>
    <cellStyle name="Percent 5" xfId="5" xr:uid="{B9B0AA49-D41E-4094-B451-425DAE1A1B8C}"/>
  </cellStyles>
  <dxfs count="37">
    <dxf>
      <numFmt numFmtId="169" formatCode="_(* #,##0_);_(* \(#,##0\);_(* &quot;-&quot;??_);_(@_)"/>
    </dxf>
    <dxf>
      <numFmt numFmtId="169" formatCode="_(* #,##0_);_(* \(#,##0\);_(* &quot;-&quot;??_);_(@_)"/>
    </dxf>
    <dxf>
      <numFmt numFmtId="169" formatCode="_(* #,##0_);_(* \(#,##0\);_(* &quot;-&quot;??_);_(@_)"/>
    </dxf>
    <dxf>
      <numFmt numFmtId="169" formatCode="_(* #,##0_);_(* \(#,##0\);_(* &quot;-&quot;??_);_(@_)"/>
    </dxf>
    <dxf>
      <numFmt numFmtId="0" formatCode="General"/>
    </dxf>
    <dxf>
      <numFmt numFmtId="0" formatCode="General"/>
    </dxf>
    <dxf>
      <numFmt numFmtId="0" formatCode="General"/>
    </dxf>
    <dxf>
      <border outline="0">
        <top style="thin">
          <color theme="0" tint="-0.14996795556505021"/>
        </top>
      </border>
    </dxf>
    <dxf>
      <border outline="0">
        <bottom style="thin">
          <color theme="0" tint="-0.14996795556505021"/>
        </bottom>
      </border>
    </dxf>
    <dxf>
      <font>
        <b val="0"/>
        <i val="0"/>
        <strike val="0"/>
        <condense val="0"/>
        <extend val="0"/>
        <outline val="0"/>
        <shadow val="0"/>
        <u val="none"/>
        <vertAlign val="baseline"/>
        <sz val="11"/>
        <color theme="1" tint="0.34998626667073579"/>
        <name val="Calibri"/>
        <family val="2"/>
        <scheme val="minor"/>
      </font>
      <fill>
        <patternFill patternType="solid">
          <fgColor indexed="64"/>
          <bgColor rgb="FFFFECAF"/>
        </patternFill>
      </fill>
      <alignment horizontal="center" vertical="center" textRotation="0" wrapText="1" indent="0" justifyLastLine="0" shrinkToFit="0" readingOrder="0"/>
      <border diagonalUp="0" diagonalDown="0" outline="0">
        <left style="thin">
          <color theme="0" tint="-0.14996795556505021"/>
        </left>
        <right style="thin">
          <color theme="0" tint="-0.14996795556505021"/>
        </right>
        <top/>
        <bottom/>
      </border>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border diagonalUp="0" diagonalDown="0">
        <left/>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double">
          <color theme="0" tint="-0.24994659260841701"/>
        </bottom>
      </border>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dxf>
    <dxf>
      <border>
        <bottom style="thin">
          <color theme="0" tint="-0.24994659260841701"/>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0"/>
        <color theme="1" tint="0.249977111117893"/>
        <name val="Arial"/>
        <family val="2"/>
        <scheme val="none"/>
      </font>
      <fill>
        <patternFill patternType="none">
          <fgColor indexed="64"/>
          <bgColor indexed="65"/>
        </patternFill>
      </fill>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double">
          <color theme="0" tint="-0.24994659260841701"/>
        </bottom>
      </border>
    </dxf>
    <dxf>
      <border>
        <bottom style="thin">
          <color theme="0" tint="-0.24994659260841701"/>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0" indent="0" justifyLastLine="0" shrinkToFit="0" readingOrder="0"/>
      <border diagonalUp="0" diagonalDown="0" outline="0">
        <left style="thin">
          <color theme="0" tint="-0.24994659260841701"/>
        </left>
        <right style="thin">
          <color theme="0" tint="-0.24994659260841701"/>
        </right>
        <top/>
        <bottom/>
      </border>
    </dxf>
    <dxf>
      <font>
        <b val="0"/>
        <i val="0"/>
        <strike val="0"/>
        <condense val="0"/>
        <extend val="0"/>
        <outline val="0"/>
        <shadow val="0"/>
        <u val="none"/>
        <vertAlign val="baseline"/>
        <sz val="10"/>
        <color theme="1" tint="0.249977111117893"/>
        <name val="Arial"/>
        <family val="2"/>
        <scheme val="none"/>
      </font>
      <numFmt numFmtId="167" formatCode="dd\ mmm\,\ yyyy"/>
      <fill>
        <patternFill patternType="none">
          <fgColor indexed="64"/>
          <bgColor auto="1"/>
        </patternFill>
      </fill>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10"/>
        <color theme="1" tint="0.249977111117893"/>
        <name val="Arial"/>
        <family val="2"/>
        <scheme val="none"/>
      </font>
      <fill>
        <patternFill patternType="none">
          <fgColor indexed="64"/>
          <bgColor auto="1"/>
        </patternFill>
      </fill>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double">
          <color theme="0" tint="-0.24994659260841701"/>
        </bottom>
      </border>
    </dxf>
    <dxf>
      <font>
        <strike val="0"/>
        <outline val="0"/>
        <shadow val="0"/>
        <u val="none"/>
        <vertAlign val="baseline"/>
        <sz val="10"/>
        <color theme="1" tint="0.249977111117893"/>
        <name val="Arial"/>
        <family val="2"/>
        <scheme val="none"/>
      </font>
      <fill>
        <patternFill patternType="none">
          <fgColor indexed="64"/>
          <bgColor auto="1"/>
        </patternFill>
      </fill>
    </dxf>
    <dxf>
      <border>
        <bottom style="thin">
          <color theme="0" tint="-0.24994659260841701"/>
        </bottom>
      </border>
    </dxf>
    <dxf>
      <font>
        <b val="0"/>
        <i val="0"/>
        <strike val="0"/>
        <condense val="0"/>
        <extend val="0"/>
        <outline val="0"/>
        <shadow val="0"/>
        <u val="none"/>
        <vertAlign val="baseline"/>
        <sz val="10"/>
        <color theme="0"/>
        <name val="Arial"/>
        <family val="2"/>
        <scheme val="none"/>
      </font>
      <fill>
        <patternFill patternType="solid">
          <fgColor indexed="64"/>
          <bgColor rgb="FF8FCFAD"/>
        </patternFill>
      </fill>
      <alignment horizontal="center" vertical="center" textRotation="0" wrapText="0" indent="0" justifyLastLine="0" shrinkToFit="0" readingOrder="0"/>
      <border diagonalUp="0" diagonalDown="0" outline="0">
        <left style="thin">
          <color theme="0" tint="-0.24994659260841701"/>
        </left>
        <right style="thin">
          <color theme="0" tint="-0.24994659260841701"/>
        </right>
        <top/>
        <bottom/>
      </border>
    </dxf>
    <dxf>
      <font>
        <color rgb="FFC00000"/>
      </font>
    </dxf>
    <dxf>
      <fill>
        <gradientFill degree="90">
          <stop position="0">
            <color rgb="FFFFE389"/>
          </stop>
          <stop position="1">
            <color rgb="FFFFE389"/>
          </stop>
        </gradientFill>
      </fill>
    </dxf>
    <dxf>
      <font>
        <b/>
        <i val="0"/>
        <color theme="1"/>
      </font>
      <fill>
        <patternFill>
          <bgColor theme="5" tint="0.59996337778862885"/>
        </patternFill>
      </fill>
    </dxf>
    <dxf>
      <fill>
        <patternFill>
          <bgColor theme="0" tint="-0.14996795556505021"/>
        </patternFill>
      </fill>
      <border>
        <left style="dashed">
          <color rgb="FFC00000"/>
        </left>
        <right style="dashed">
          <color rgb="FFC00000"/>
        </right>
        <top style="dashed">
          <color rgb="FFC00000"/>
        </top>
        <bottom style="dashed">
          <color rgb="FFC00000"/>
        </bottom>
      </border>
    </dxf>
    <dxf>
      <font>
        <b/>
        <i val="0"/>
        <color theme="5"/>
      </font>
    </dxf>
    <dxf>
      <fill>
        <gradientFill degree="90">
          <stop position="0">
            <color rgb="FF8FCFAD"/>
          </stop>
          <stop position="1">
            <color rgb="FF8FCFAD"/>
          </stop>
        </gradientFill>
      </fill>
    </dxf>
    <dxf>
      <border diagonalUp="0" diagonalDown="0">
        <left/>
        <right/>
        <top/>
        <bottom/>
        <vertical/>
        <horizontal/>
      </border>
    </dxf>
    <dxf>
      <border>
        <left style="thin">
          <color theme="0" tint="-0.34998626667073579"/>
        </left>
        <right style="thin">
          <color theme="0" tint="-0.34998626667073579"/>
        </right>
        <top style="thin">
          <color theme="0" tint="-0.34998626667073579"/>
        </top>
        <bottom style="thin">
          <color theme="0" tint="-0.34998626667073579"/>
        </bottom>
      </border>
    </dxf>
  </dxfs>
  <tableStyles count="3" defaultTableStyle="TableStyleMedium2" defaultPivotStyle="PivotStyleLight16">
    <tableStyle name="Invisible" pivot="0" table="0" count="0" xr9:uid="{C3A495A9-26B2-4CD7-BDC5-4D3328464635}"/>
    <tableStyle name="Slicer Style 1" pivot="0" table="0" count="8" xr9:uid="{768FE18A-CE1B-4458-8C4A-1E9B81EEEF18}">
      <tableStyleElement type="wholeTable" dxfId="36"/>
    </tableStyle>
    <tableStyle name="Slicer Style 1 2" pivot="0" table="0" count="8" xr9:uid="{5697A48B-E0A7-433B-97E0-69447E922B9C}">
      <tableStyleElement type="wholeTable" dxfId="35"/>
    </tableStyle>
  </tableStyles>
  <colors>
    <mruColors>
      <color rgb="FF8FCFAD"/>
      <color rgb="FFFFECAF"/>
      <color rgb="FF50B47F"/>
      <color rgb="FFFFE389"/>
      <color rgb="FFFFFF85"/>
      <color rgb="FF008080"/>
    </mruColors>
  </colors>
  <extLst>
    <ext xmlns:x14="http://schemas.microsoft.com/office/spreadsheetml/2009/9/main" uri="{46F421CA-312F-682f-3DD2-61675219B42D}">
      <x14:dxfs count="14">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dxf>
          <fill>
            <patternFill patternType="none">
              <bgColor auto="1"/>
            </patternFill>
          </fill>
        </dxf>
        <dxf>
          <font>
            <color theme="0"/>
          </font>
          <fill>
            <patternFill>
              <bgColor rgb="FF50B47F"/>
            </patternFill>
          </fill>
        </dxf>
        <dxf>
          <fill>
            <patternFill>
              <bgColor rgb="FF50B47F"/>
            </patternFill>
          </fill>
        </dxf>
        <dxf>
          <fill>
            <patternFill>
              <bgColor theme="0" tint="-0.24994659260841701"/>
            </patternFill>
          </fill>
        </dxf>
        <dxf>
          <fill>
            <patternFill>
              <bgColor rgb="FF8FCFAD"/>
            </patternFill>
          </fill>
        </dxf>
        <dxf>
          <fill>
            <patternFill>
              <bgColor theme="0" tint="-0.2499465926084170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3"/>
            <x14:slicerStyleElement type="unselectedItemWithNoData" dxfId="12"/>
            <x14:slicerStyleElement type="selectedItemWithData" dxfId="11"/>
            <x14:slicerStyleElement type="selectedItemWithNoData" dxfId="10"/>
            <x14:slicerStyleElement type="hoveredUnselectedItemWithData" dxfId="9"/>
            <x14:slicerStyleElement type="hoveredSelectedItemWithData" dxfId="8"/>
            <x14:slicerStyleElement type="hoveredSelectedItemWithNoData" dxfId="7"/>
          </x14:slicerStyleElements>
        </x14:slicerStyle>
        <x14:slicerStyle name="Slicer Style 1 2">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 Leave Tracker.xlsm]Sheet3!EMP</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solidFill>
          <a:ln>
            <a:noFill/>
          </a:ln>
          <a:effectLst/>
        </c:spPr>
        <c:marker>
          <c:symbol val="none"/>
        </c:marker>
      </c:pivotFmt>
      <c:pivotFmt>
        <c:idx val="36"/>
        <c:spPr>
          <a:solidFill>
            <a:schemeClr val="accent6"/>
          </a:solidFill>
          <a:ln>
            <a:noFill/>
          </a:ln>
          <a:effectLst/>
        </c:spPr>
        <c:marker>
          <c:symbol val="none"/>
        </c:marker>
      </c:pivotFmt>
      <c:pivotFmt>
        <c:idx val="37"/>
        <c:spPr>
          <a:solidFill>
            <a:schemeClr val="accent6"/>
          </a:solidFill>
          <a:ln>
            <a:noFill/>
          </a:ln>
          <a:effectLst/>
        </c:spPr>
        <c:marker>
          <c:symbol val="none"/>
        </c:marker>
      </c:pivotFmt>
      <c:pivotFmt>
        <c:idx val="38"/>
        <c:spPr>
          <a:solidFill>
            <a:schemeClr val="accent6"/>
          </a:solidFill>
          <a:ln>
            <a:noFill/>
          </a:ln>
          <a:effectLst/>
        </c:spPr>
        <c:marker>
          <c:symbol val="none"/>
        </c:marker>
      </c:pivotFmt>
      <c:pivotFmt>
        <c:idx val="39"/>
        <c:spPr>
          <a:solidFill>
            <a:schemeClr val="accent6"/>
          </a:solidFill>
          <a:ln>
            <a:noFill/>
          </a:ln>
          <a:effectLst/>
        </c:spPr>
        <c:marker>
          <c:symbol val="none"/>
        </c:marker>
      </c:pivotFmt>
    </c:pivotFmts>
    <c:plotArea>
      <c:layout>
        <c:manualLayout>
          <c:layoutTarget val="inner"/>
          <c:xMode val="edge"/>
          <c:yMode val="edge"/>
          <c:x val="0.22864515120508849"/>
          <c:y val="0.13382791856900239"/>
          <c:w val="0.74822130898742145"/>
          <c:h val="0.84152222148702005"/>
        </c:manualLayout>
      </c:layout>
      <c:barChart>
        <c:barDir val="bar"/>
        <c:grouping val="stacked"/>
        <c:varyColors val="0"/>
        <c:ser>
          <c:idx val="0"/>
          <c:order val="0"/>
          <c:tx>
            <c:strRef>
              <c:f>Sheet3!$D$3:$D$4</c:f>
              <c:strCache>
                <c:ptCount val="1"/>
                <c:pt idx="0">
                  <c:v>Casual</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Sheet3!$D$5:$D$22</c:f>
              <c:numCache>
                <c:formatCode>_(* #,##0_);_(* \(#,##0\);_(* "-"??_);_(@_)</c:formatCode>
                <c:ptCount val="17"/>
                <c:pt idx="0">
                  <c:v>0</c:v>
                </c:pt>
                <c:pt idx="1">
                  <c:v>1</c:v>
                </c:pt>
                <c:pt idx="2">
                  <c:v>0</c:v>
                </c:pt>
                <c:pt idx="3">
                  <c:v>0</c:v>
                </c:pt>
                <c:pt idx="4">
                  <c:v>1</c:v>
                </c:pt>
                <c:pt idx="5">
                  <c:v>1</c:v>
                </c:pt>
                <c:pt idx="6">
                  <c:v>0</c:v>
                </c:pt>
                <c:pt idx="7">
                  <c:v>0</c:v>
                </c:pt>
                <c:pt idx="8">
                  <c:v>1</c:v>
                </c:pt>
                <c:pt idx="9">
                  <c:v>1</c:v>
                </c:pt>
                <c:pt idx="10">
                  <c:v>2</c:v>
                </c:pt>
                <c:pt idx="11">
                  <c:v>1</c:v>
                </c:pt>
                <c:pt idx="12">
                  <c:v>0</c:v>
                </c:pt>
                <c:pt idx="13">
                  <c:v>0</c:v>
                </c:pt>
                <c:pt idx="14">
                  <c:v>1</c:v>
                </c:pt>
                <c:pt idx="15">
                  <c:v>0</c:v>
                </c:pt>
                <c:pt idx="16">
                  <c:v>0</c:v>
                </c:pt>
              </c:numCache>
            </c:numRef>
          </c:val>
          <c:extLst>
            <c:ext xmlns:c16="http://schemas.microsoft.com/office/drawing/2014/chart" uri="{C3380CC4-5D6E-409C-BE32-E72D297353CC}">
              <c16:uniqueId val="{00000000-0E68-4136-9990-C53DED5F3ECE}"/>
            </c:ext>
          </c:extLst>
        </c:ser>
        <c:ser>
          <c:idx val="1"/>
          <c:order val="1"/>
          <c:tx>
            <c:strRef>
              <c:f>Sheet3!$E$3:$E$4</c:f>
              <c:strCache>
                <c:ptCount val="1"/>
                <c:pt idx="0">
                  <c:v>Company Off</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Sheet3!$E$5:$E$22</c:f>
              <c:numCache>
                <c:formatCode>_(* #,##0_);_(* \(#,##0\);_(* "-"??_);_(@_)</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numCache>
            </c:numRef>
          </c:val>
          <c:extLst>
            <c:ext xmlns:c16="http://schemas.microsoft.com/office/drawing/2014/chart" uri="{C3380CC4-5D6E-409C-BE32-E72D297353CC}">
              <c16:uniqueId val="{00000001-D5E4-41BD-AC5E-220DA2D4EB40}"/>
            </c:ext>
          </c:extLst>
        </c:ser>
        <c:ser>
          <c:idx val="2"/>
          <c:order val="2"/>
          <c:tx>
            <c:strRef>
              <c:f>Sheet3!$F$3:$F$4</c:f>
              <c:strCache>
                <c:ptCount val="1"/>
                <c:pt idx="0">
                  <c:v>Compensate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Sheet3!$F$5:$F$22</c:f>
              <c:numCache>
                <c:formatCode>_(* #,##0_);_(* \(#,##0\);_(* "-"??_);_(@_)</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c:v>
                </c:pt>
              </c:numCache>
            </c:numRef>
          </c:val>
          <c:extLst>
            <c:ext xmlns:c16="http://schemas.microsoft.com/office/drawing/2014/chart" uri="{C3380CC4-5D6E-409C-BE32-E72D297353CC}">
              <c16:uniqueId val="{00000002-D5E4-41BD-AC5E-220DA2D4EB40}"/>
            </c:ext>
          </c:extLst>
        </c:ser>
        <c:ser>
          <c:idx val="3"/>
          <c:order val="3"/>
          <c:tx>
            <c:strRef>
              <c:f>Sheet3!$G$3:$G$4</c:f>
              <c:strCache>
                <c:ptCount val="1"/>
                <c:pt idx="0">
                  <c:v>Early Leave</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Sheet3!$G$5:$G$22</c:f>
              <c:numCache>
                <c:formatCode>_(* #,##0_);_(* \(#,##0\);_(* "-"??_);_(@_)</c:formatCode>
                <c:ptCount val="17"/>
                <c:pt idx="0">
                  <c:v>0</c:v>
                </c:pt>
                <c:pt idx="1">
                  <c:v>0</c:v>
                </c:pt>
                <c:pt idx="2">
                  <c:v>0</c:v>
                </c:pt>
                <c:pt idx="3">
                  <c:v>1</c:v>
                </c:pt>
                <c:pt idx="4">
                  <c:v>0</c:v>
                </c:pt>
                <c:pt idx="5">
                  <c:v>0</c:v>
                </c:pt>
                <c:pt idx="6">
                  <c:v>1</c:v>
                </c:pt>
                <c:pt idx="7">
                  <c:v>1</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3-D5E4-41BD-AC5E-220DA2D4EB40}"/>
            </c:ext>
          </c:extLst>
        </c:ser>
        <c:ser>
          <c:idx val="4"/>
          <c:order val="4"/>
          <c:tx>
            <c:strRef>
              <c:f>Sheet3!$H$3:$H$4</c:f>
              <c:strCache>
                <c:ptCount val="1"/>
                <c:pt idx="0">
                  <c:v>Late Permission</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Sheet3!$H$5:$H$22</c:f>
              <c:numCache>
                <c:formatCode>_(* #,##0_);_(* \(#,##0\);_(* "-"??_);_(@_)</c:formatCode>
                <c:ptCount val="17"/>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1</c:v>
                </c:pt>
              </c:numCache>
            </c:numRef>
          </c:val>
          <c:extLst>
            <c:ext xmlns:c16="http://schemas.microsoft.com/office/drawing/2014/chart" uri="{C3380CC4-5D6E-409C-BE32-E72D297353CC}">
              <c16:uniqueId val="{00000004-D5E4-41BD-AC5E-220DA2D4EB40}"/>
            </c:ext>
          </c:extLst>
        </c:ser>
        <c:ser>
          <c:idx val="5"/>
          <c:order val="5"/>
          <c:tx>
            <c:strRef>
              <c:f>Sheet3!$I$3:$I$4</c:f>
              <c:strCache>
                <c:ptCount val="1"/>
                <c:pt idx="0">
                  <c:v>Millitary</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Sheet3!$I$5:$I$22</c:f>
              <c:numCache>
                <c:formatCode>_(* #,##0_);_(* \(#,##0\);_(* "-"??_);_(@_)</c:formatCode>
                <c:ptCount val="17"/>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0</c:v>
                </c:pt>
                <c:pt idx="15">
                  <c:v>0</c:v>
                </c:pt>
                <c:pt idx="16">
                  <c:v>1</c:v>
                </c:pt>
              </c:numCache>
            </c:numRef>
          </c:val>
          <c:extLst>
            <c:ext xmlns:c16="http://schemas.microsoft.com/office/drawing/2014/chart" uri="{C3380CC4-5D6E-409C-BE32-E72D297353CC}">
              <c16:uniqueId val="{00000005-D5E4-41BD-AC5E-220DA2D4EB40}"/>
            </c:ext>
          </c:extLst>
        </c:ser>
        <c:ser>
          <c:idx val="6"/>
          <c:order val="6"/>
          <c:tx>
            <c:strRef>
              <c:f>Sheet3!$J$3:$J$4</c:f>
              <c:strCache>
                <c:ptCount val="1"/>
                <c:pt idx="0">
                  <c:v>Normal</c:v>
                </c:pt>
              </c:strCache>
            </c:strRef>
          </c:tx>
          <c:spPr>
            <a:solidFill>
              <a:schemeClr val="accent6">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Sheet3!$J$5:$J$22</c:f>
              <c:numCache>
                <c:formatCode>_(* #,##0_);_(* \(#,##0\);_(* "-"??_);_(@_)</c:formatCode>
                <c:ptCount val="17"/>
                <c:pt idx="0">
                  <c:v>0</c:v>
                </c:pt>
                <c:pt idx="1">
                  <c:v>0</c:v>
                </c:pt>
                <c:pt idx="2">
                  <c:v>0</c:v>
                </c:pt>
                <c:pt idx="3">
                  <c:v>0</c:v>
                </c:pt>
                <c:pt idx="4">
                  <c:v>0</c:v>
                </c:pt>
                <c:pt idx="5">
                  <c:v>0</c:v>
                </c:pt>
                <c:pt idx="6">
                  <c:v>0</c:v>
                </c:pt>
                <c:pt idx="7">
                  <c:v>0</c:v>
                </c:pt>
                <c:pt idx="8">
                  <c:v>1</c:v>
                </c:pt>
                <c:pt idx="9">
                  <c:v>2</c:v>
                </c:pt>
                <c:pt idx="10">
                  <c:v>2</c:v>
                </c:pt>
                <c:pt idx="11">
                  <c:v>0</c:v>
                </c:pt>
                <c:pt idx="12">
                  <c:v>1</c:v>
                </c:pt>
                <c:pt idx="13">
                  <c:v>0</c:v>
                </c:pt>
                <c:pt idx="14">
                  <c:v>2</c:v>
                </c:pt>
                <c:pt idx="15">
                  <c:v>1</c:v>
                </c:pt>
                <c:pt idx="16">
                  <c:v>1</c:v>
                </c:pt>
              </c:numCache>
            </c:numRef>
          </c:val>
          <c:extLst>
            <c:ext xmlns:c16="http://schemas.microsoft.com/office/drawing/2014/chart" uri="{C3380CC4-5D6E-409C-BE32-E72D297353CC}">
              <c16:uniqueId val="{00000006-D5E4-41BD-AC5E-220DA2D4EB40}"/>
            </c:ext>
          </c:extLst>
        </c:ser>
        <c:ser>
          <c:idx val="7"/>
          <c:order val="7"/>
          <c:tx>
            <c:strRef>
              <c:f>Sheet3!$K$3:$K$4</c:f>
              <c:strCache>
                <c:ptCount val="1"/>
                <c:pt idx="0">
                  <c:v>Paternity</c:v>
                </c:pt>
              </c:strCache>
            </c:strRef>
          </c:tx>
          <c:spPr>
            <a:solidFill>
              <a:schemeClr val="accent5">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Sheet3!$K$5:$K$22</c:f>
              <c:numCache>
                <c:formatCode>_(* #,##0_);_(* \(#,##0\);_(* "-"??_);_(@_)</c:formatCode>
                <c:ptCount val="17"/>
                <c:pt idx="0">
                  <c:v>0</c:v>
                </c:pt>
                <c:pt idx="1">
                  <c:v>0</c:v>
                </c:pt>
                <c:pt idx="2">
                  <c:v>1</c:v>
                </c:pt>
                <c:pt idx="3">
                  <c:v>1</c:v>
                </c:pt>
                <c:pt idx="4">
                  <c:v>0</c:v>
                </c:pt>
                <c:pt idx="5">
                  <c:v>1</c:v>
                </c:pt>
                <c:pt idx="6">
                  <c:v>0</c:v>
                </c:pt>
                <c:pt idx="7">
                  <c:v>0</c:v>
                </c:pt>
                <c:pt idx="8">
                  <c:v>0</c:v>
                </c:pt>
                <c:pt idx="9">
                  <c:v>0</c:v>
                </c:pt>
                <c:pt idx="10">
                  <c:v>0</c:v>
                </c:pt>
                <c:pt idx="11">
                  <c:v>0</c:v>
                </c:pt>
                <c:pt idx="12">
                  <c:v>1</c:v>
                </c:pt>
                <c:pt idx="13">
                  <c:v>0</c:v>
                </c:pt>
                <c:pt idx="14">
                  <c:v>0</c:v>
                </c:pt>
                <c:pt idx="15">
                  <c:v>0</c:v>
                </c:pt>
                <c:pt idx="16">
                  <c:v>0</c:v>
                </c:pt>
              </c:numCache>
            </c:numRef>
          </c:val>
          <c:extLst>
            <c:ext xmlns:c16="http://schemas.microsoft.com/office/drawing/2014/chart" uri="{C3380CC4-5D6E-409C-BE32-E72D297353CC}">
              <c16:uniqueId val="{00000007-D5E4-41BD-AC5E-220DA2D4EB40}"/>
            </c:ext>
          </c:extLst>
        </c:ser>
        <c:ser>
          <c:idx val="8"/>
          <c:order val="8"/>
          <c:tx>
            <c:strRef>
              <c:f>Sheet3!$L$3:$L$4</c:f>
              <c:strCache>
                <c:ptCount val="1"/>
                <c:pt idx="0">
                  <c:v>Sick</c:v>
                </c:pt>
              </c:strCache>
            </c:strRef>
          </c:tx>
          <c:spPr>
            <a:solidFill>
              <a:schemeClr val="accent4">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Sheet3!$L$5:$L$22</c:f>
              <c:numCache>
                <c:formatCode>_(* #,##0_);_(* \(#,##0\);_(* "-"??_);_(@_)</c:formatCode>
                <c:ptCount val="17"/>
                <c:pt idx="0">
                  <c:v>0</c:v>
                </c:pt>
                <c:pt idx="1">
                  <c:v>0</c:v>
                </c:pt>
                <c:pt idx="2">
                  <c:v>1</c:v>
                </c:pt>
                <c:pt idx="3">
                  <c:v>0</c:v>
                </c:pt>
                <c:pt idx="4">
                  <c:v>0</c:v>
                </c:pt>
                <c:pt idx="5">
                  <c:v>1</c:v>
                </c:pt>
                <c:pt idx="6">
                  <c:v>0</c:v>
                </c:pt>
                <c:pt idx="7">
                  <c:v>0</c:v>
                </c:pt>
                <c:pt idx="8">
                  <c:v>0</c:v>
                </c:pt>
                <c:pt idx="9">
                  <c:v>0</c:v>
                </c:pt>
                <c:pt idx="10">
                  <c:v>0</c:v>
                </c:pt>
                <c:pt idx="11">
                  <c:v>2</c:v>
                </c:pt>
                <c:pt idx="12">
                  <c:v>1</c:v>
                </c:pt>
                <c:pt idx="13">
                  <c:v>0</c:v>
                </c:pt>
                <c:pt idx="14">
                  <c:v>0</c:v>
                </c:pt>
                <c:pt idx="15">
                  <c:v>0</c:v>
                </c:pt>
                <c:pt idx="16">
                  <c:v>0</c:v>
                </c:pt>
              </c:numCache>
            </c:numRef>
          </c:val>
          <c:extLst>
            <c:ext xmlns:c16="http://schemas.microsoft.com/office/drawing/2014/chart" uri="{C3380CC4-5D6E-409C-BE32-E72D297353CC}">
              <c16:uniqueId val="{00000008-D5E4-41BD-AC5E-220DA2D4EB40}"/>
            </c:ext>
          </c:extLst>
        </c:ser>
        <c:ser>
          <c:idx val="9"/>
          <c:order val="9"/>
          <c:tx>
            <c:strRef>
              <c:f>Sheet3!$M$3:$M$4</c:f>
              <c:strCache>
                <c:ptCount val="1"/>
                <c:pt idx="0">
                  <c:v>Work From Home</c:v>
                </c:pt>
              </c:strCache>
            </c:strRef>
          </c:tx>
          <c:spPr>
            <a:solidFill>
              <a:schemeClr val="accent6">
                <a:lumMod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solidFill>
                    <a:latin typeface="Arial" panose="020B0604020202020204" pitchFamily="34" charset="0"/>
                    <a:ea typeface="+mn-ea"/>
                    <a:cs typeface="Arial" panose="020B060402020202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Sheet3!$C$5:$C$22</c:f>
              <c:strCache>
                <c:ptCount val="17"/>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2</c:v>
                </c:pt>
                <c:pt idx="10">
                  <c:v>Employee 3</c:v>
                </c:pt>
                <c:pt idx="11">
                  <c:v>Employee 4</c:v>
                </c:pt>
                <c:pt idx="12">
                  <c:v>Employee 5</c:v>
                </c:pt>
                <c:pt idx="13">
                  <c:v>Employee 6</c:v>
                </c:pt>
                <c:pt idx="14">
                  <c:v>Employee 7</c:v>
                </c:pt>
                <c:pt idx="15">
                  <c:v>Employee 8</c:v>
                </c:pt>
                <c:pt idx="16">
                  <c:v>Employee 9</c:v>
                </c:pt>
              </c:strCache>
            </c:strRef>
          </c:cat>
          <c:val>
            <c:numRef>
              <c:f>Sheet3!$M$5:$M$22</c:f>
              <c:numCache>
                <c:formatCode>_(* #,##0_);_(* \(#,##0\);_(* "-"??_);_(@_)</c:formatCode>
                <c:ptCount val="17"/>
                <c:pt idx="0">
                  <c:v>0</c:v>
                </c:pt>
                <c:pt idx="1">
                  <c:v>3</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9-D5E4-41BD-AC5E-220DA2D4EB40}"/>
            </c:ext>
          </c:extLst>
        </c:ser>
        <c:dLbls>
          <c:dLblPos val="ctr"/>
          <c:showLegendKey val="0"/>
          <c:showVal val="1"/>
          <c:showCatName val="0"/>
          <c:showSerName val="0"/>
          <c:showPercent val="0"/>
          <c:showBubbleSize val="0"/>
        </c:dLbls>
        <c:gapWidth val="79"/>
        <c:overlap val="100"/>
        <c:axId val="1087399648"/>
        <c:axId val="1087400064"/>
      </c:barChart>
      <c:catAx>
        <c:axId val="108739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087400064"/>
        <c:crosses val="autoZero"/>
        <c:auto val="1"/>
        <c:lblAlgn val="ctr"/>
        <c:lblOffset val="100"/>
        <c:noMultiLvlLbl val="0"/>
      </c:catAx>
      <c:valAx>
        <c:axId val="1087400064"/>
        <c:scaling>
          <c:orientation val="minMax"/>
        </c:scaling>
        <c:delete val="1"/>
        <c:axPos val="b"/>
        <c:numFmt formatCode="_(* #,##0_);_(* \(#,##0\);_(* &quot;-&quot;??_);_(@_)" sourceLinked="1"/>
        <c:majorTickMark val="none"/>
        <c:minorTickMark val="none"/>
        <c:tickLblPos val="nextTo"/>
        <c:crossAx val="1087399648"/>
        <c:crosses val="autoZero"/>
        <c:crossBetween val="between"/>
      </c:valAx>
      <c:spPr>
        <a:noFill/>
        <a:ln>
          <a:noFill/>
        </a:ln>
        <a:effectLst/>
      </c:spPr>
    </c:plotArea>
    <c:legend>
      <c:legendPos val="t"/>
      <c:layout>
        <c:manualLayout>
          <c:xMode val="edge"/>
          <c:yMode val="edge"/>
          <c:x val="5.0148281519116801E-2"/>
          <c:y val="1.3445378151260505E-2"/>
          <c:w val="0.88180665597153729"/>
          <c:h val="0.1066684151369026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sz="8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 Leave Tracker.xlsm]Sheet3!Department</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400">
                <a:latin typeface="Arial" panose="020B0604020202020204" pitchFamily="34" charset="0"/>
                <a:cs typeface="Arial" panose="020B0604020202020204" pitchFamily="34" charset="0"/>
              </a:rPr>
              <a:t>Leave % Per Department</a:t>
            </a:r>
          </a:p>
        </c:rich>
      </c:tx>
      <c:layout>
        <c:manualLayout>
          <c:xMode val="edge"/>
          <c:yMode val="edge"/>
          <c:x val="0.26867654496848853"/>
          <c:y val="2.21275818783521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manualLayout>
          <c:layoutTarget val="inner"/>
          <c:xMode val="edge"/>
          <c:yMode val="edge"/>
          <c:x val="0.21342682812485556"/>
          <c:y val="0.15529324051884819"/>
          <c:w val="0.57730157814829597"/>
          <c:h val="0.79818235764007761"/>
        </c:manualLayout>
      </c:layout>
      <c:doughnutChart>
        <c:varyColors val="1"/>
        <c:ser>
          <c:idx val="0"/>
          <c:order val="0"/>
          <c:tx>
            <c:strRef>
              <c:f>Sheet3!$U$4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AF9-464D-8A2C-B670513991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AF9-464D-8A2C-B670513991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AF9-464D-8A2C-B670513991A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AF9-464D-8A2C-B670513991A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AF9-464D-8A2C-B670513991A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AF9-464D-8A2C-B670513991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Sheet3!$T$5:$T$11</c:f>
              <c:strCache>
                <c:ptCount val="6"/>
                <c:pt idx="0">
                  <c:v>Finance</c:v>
                </c:pt>
                <c:pt idx="1">
                  <c:v>HR</c:v>
                </c:pt>
                <c:pt idx="2">
                  <c:v>Planning</c:v>
                </c:pt>
                <c:pt idx="3">
                  <c:v>Production</c:v>
                </c:pt>
                <c:pt idx="4">
                  <c:v>Quality</c:v>
                </c:pt>
                <c:pt idx="5">
                  <c:v>Warehouse</c:v>
                </c:pt>
              </c:strCache>
            </c:strRef>
          </c:cat>
          <c:val>
            <c:numRef>
              <c:f>Sheet3!$U$5:$U$11</c:f>
              <c:numCache>
                <c:formatCode>_(* #,##0_);_(* \(#,##0\);_(* "-"??_);_(@_)</c:formatCode>
                <c:ptCount val="6"/>
                <c:pt idx="0">
                  <c:v>5</c:v>
                </c:pt>
                <c:pt idx="1">
                  <c:v>5</c:v>
                </c:pt>
                <c:pt idx="2">
                  <c:v>4</c:v>
                </c:pt>
                <c:pt idx="3">
                  <c:v>11</c:v>
                </c:pt>
                <c:pt idx="4">
                  <c:v>14</c:v>
                </c:pt>
                <c:pt idx="5">
                  <c:v>2</c:v>
                </c:pt>
              </c:numCache>
            </c:numRef>
          </c:val>
          <c:extLst>
            <c:ext xmlns:c16="http://schemas.microsoft.com/office/drawing/2014/chart" uri="{C3380CC4-5D6E-409C-BE32-E72D297353CC}">
              <c16:uniqueId val="{0000000C-1AF9-464D-8A2C-B670513991A2}"/>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[Yearly Leave Tracker.xlsm]Sheet3!Category</c:name>
    <c:fmtId val="2"/>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a:latin typeface="Arial" panose="020B0604020202020204" pitchFamily="34" charset="0"/>
                <a:cs typeface="Arial" panose="020B0604020202020204" pitchFamily="34" charset="0"/>
              </a:rPr>
              <a:t>Leave</a:t>
            </a:r>
            <a:r>
              <a:rPr lang="en-US" sz="1200" baseline="0">
                <a:latin typeface="Arial" panose="020B0604020202020204" pitchFamily="34" charset="0"/>
                <a:cs typeface="Arial" panose="020B0604020202020204" pitchFamily="34" charset="0"/>
              </a:rPr>
              <a:t> Category Analysis</a:t>
            </a:r>
            <a:endParaRPr lang="en-US" sz="1200">
              <a:latin typeface="Arial" panose="020B0604020202020204" pitchFamily="34" charset="0"/>
              <a:cs typeface="Arial" panose="020B060402020202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8FCF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Sheet3!$X$4</c:f>
              <c:strCache>
                <c:ptCount val="1"/>
                <c:pt idx="0">
                  <c:v>Total</c:v>
                </c:pt>
              </c:strCache>
            </c:strRef>
          </c:tx>
          <c:spPr>
            <a:solidFill>
              <a:srgbClr val="8FCF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Sheet3!$W$5:$W$15</c:f>
              <c:strCache>
                <c:ptCount val="10"/>
                <c:pt idx="0">
                  <c:v>Casual</c:v>
                </c:pt>
                <c:pt idx="1">
                  <c:v>Company Off</c:v>
                </c:pt>
                <c:pt idx="2">
                  <c:v>Compensate</c:v>
                </c:pt>
                <c:pt idx="3">
                  <c:v>Early Leave</c:v>
                </c:pt>
                <c:pt idx="4">
                  <c:v>Late Permission</c:v>
                </c:pt>
                <c:pt idx="5">
                  <c:v>Millitary</c:v>
                </c:pt>
                <c:pt idx="6">
                  <c:v>Normal</c:v>
                </c:pt>
                <c:pt idx="7">
                  <c:v>Paternity</c:v>
                </c:pt>
                <c:pt idx="8">
                  <c:v>Sick</c:v>
                </c:pt>
                <c:pt idx="9">
                  <c:v>Work From Home</c:v>
                </c:pt>
              </c:strCache>
            </c:strRef>
          </c:cat>
          <c:val>
            <c:numRef>
              <c:f>Sheet3!$X$5:$X$15</c:f>
              <c:numCache>
                <c:formatCode>General</c:formatCode>
                <c:ptCount val="10"/>
                <c:pt idx="0">
                  <c:v>9</c:v>
                </c:pt>
                <c:pt idx="1">
                  <c:v>1</c:v>
                </c:pt>
                <c:pt idx="2">
                  <c:v>2</c:v>
                </c:pt>
                <c:pt idx="3">
                  <c:v>3</c:v>
                </c:pt>
                <c:pt idx="4">
                  <c:v>2</c:v>
                </c:pt>
                <c:pt idx="5">
                  <c:v>2</c:v>
                </c:pt>
                <c:pt idx="6">
                  <c:v>10</c:v>
                </c:pt>
                <c:pt idx="7">
                  <c:v>4</c:v>
                </c:pt>
                <c:pt idx="8">
                  <c:v>5</c:v>
                </c:pt>
                <c:pt idx="9">
                  <c:v>3</c:v>
                </c:pt>
              </c:numCache>
            </c:numRef>
          </c:val>
          <c:extLst>
            <c:ext xmlns:c16="http://schemas.microsoft.com/office/drawing/2014/chart" uri="{C3380CC4-5D6E-409C-BE32-E72D297353CC}">
              <c16:uniqueId val="{00000000-6800-4830-B452-CD1688300B37}"/>
            </c:ext>
          </c:extLst>
        </c:ser>
        <c:dLbls>
          <c:showLegendKey val="0"/>
          <c:showVal val="0"/>
          <c:showCatName val="0"/>
          <c:showSerName val="0"/>
          <c:showPercent val="0"/>
          <c:showBubbleSize val="0"/>
        </c:dLbls>
        <c:gapWidth val="219"/>
        <c:overlap val="-27"/>
        <c:axId val="1461680176"/>
        <c:axId val="1461678512"/>
      </c:barChart>
      <c:catAx>
        <c:axId val="146168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678512"/>
        <c:crosses val="autoZero"/>
        <c:auto val="1"/>
        <c:lblAlgn val="ctr"/>
        <c:lblOffset val="100"/>
        <c:noMultiLvlLbl val="0"/>
      </c:catAx>
      <c:valAx>
        <c:axId val="14616785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680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4.svg"/><Relationship Id="rId1" Type="http://schemas.openxmlformats.org/officeDocument/2006/relationships/image" Target="../media/image3.pn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47624</xdr:colOff>
      <xdr:row>40</xdr:row>
      <xdr:rowOff>19050</xdr:rowOff>
    </xdr:from>
    <xdr:to>
      <xdr:col>12</xdr:col>
      <xdr:colOff>437029</xdr:colOff>
      <xdr:row>44</xdr:row>
      <xdr:rowOff>38100</xdr:rowOff>
    </xdr:to>
    <xdr:grpSp>
      <xdr:nvGrpSpPr>
        <xdr:cNvPr id="3" name="Group 2">
          <a:extLst>
            <a:ext uri="{FF2B5EF4-FFF2-40B4-BE49-F238E27FC236}">
              <a16:creationId xmlns:a16="http://schemas.microsoft.com/office/drawing/2014/main" id="{CC9439D2-1388-4A14-B43A-968756FF723C}"/>
            </a:ext>
          </a:extLst>
        </xdr:cNvPr>
        <xdr:cNvGrpSpPr/>
      </xdr:nvGrpSpPr>
      <xdr:grpSpPr>
        <a:xfrm>
          <a:off x="4843742" y="6440021"/>
          <a:ext cx="6440581" cy="781050"/>
          <a:chOff x="4257674" y="8324850"/>
          <a:chExt cx="7353301" cy="666750"/>
        </a:xfrm>
      </xdr:grpSpPr>
      <xdr:pic>
        <xdr:nvPicPr>
          <xdr:cNvPr id="4" name="Picture 3">
            <a:extLst>
              <a:ext uri="{FF2B5EF4-FFF2-40B4-BE49-F238E27FC236}">
                <a16:creationId xmlns:a16="http://schemas.microsoft.com/office/drawing/2014/main" id="{0D492A45-2B4C-4A66-AA38-D9300CF715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4" y="8324850"/>
            <a:ext cx="7353301" cy="666750"/>
          </a:xfrm>
          <a:prstGeom prst="rect">
            <a:avLst/>
          </a:prstGeom>
        </xdr:spPr>
      </xdr:pic>
      <xdr:sp macro="" textlink="">
        <xdr:nvSpPr>
          <xdr:cNvPr id="5" name="Rectangle 4">
            <a:extLst>
              <a:ext uri="{FF2B5EF4-FFF2-40B4-BE49-F238E27FC236}">
                <a16:creationId xmlns:a16="http://schemas.microsoft.com/office/drawing/2014/main" id="{9DB9D67C-1BFA-49DE-820F-32A06C1EFEE9}"/>
              </a:ext>
            </a:extLst>
          </xdr:cNvPr>
          <xdr:cNvSpPr/>
        </xdr:nvSpPr>
        <xdr:spPr>
          <a:xfrm>
            <a:off x="4333875" y="8572500"/>
            <a:ext cx="819150" cy="2095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F1D4F3A8-F35E-476E-8F51-2D9390499346}"/>
              </a:ext>
            </a:extLst>
          </xdr:cNvPr>
          <xdr:cNvSpPr/>
        </xdr:nvSpPr>
        <xdr:spPr>
          <a:xfrm>
            <a:off x="7248525" y="8429625"/>
            <a:ext cx="361950" cy="17145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66674</xdr:colOff>
      <xdr:row>48</xdr:row>
      <xdr:rowOff>95250</xdr:rowOff>
    </xdr:from>
    <xdr:to>
      <xdr:col>12</xdr:col>
      <xdr:colOff>456079</xdr:colOff>
      <xdr:row>52</xdr:row>
      <xdr:rowOff>114300</xdr:rowOff>
    </xdr:to>
    <xdr:grpSp>
      <xdr:nvGrpSpPr>
        <xdr:cNvPr id="7" name="Group 6">
          <a:extLst>
            <a:ext uri="{FF2B5EF4-FFF2-40B4-BE49-F238E27FC236}">
              <a16:creationId xmlns:a16="http://schemas.microsoft.com/office/drawing/2014/main" id="{E1892CB5-E8C7-428E-BB7F-B69C0AA95C18}"/>
            </a:ext>
          </a:extLst>
        </xdr:cNvPr>
        <xdr:cNvGrpSpPr/>
      </xdr:nvGrpSpPr>
      <xdr:grpSpPr>
        <a:xfrm>
          <a:off x="4862792" y="8040221"/>
          <a:ext cx="6440581" cy="781050"/>
          <a:chOff x="4276724" y="9696450"/>
          <a:chExt cx="7353301" cy="666750"/>
        </a:xfrm>
      </xdr:grpSpPr>
      <xdr:pic>
        <xdr:nvPicPr>
          <xdr:cNvPr id="8" name="Picture 7">
            <a:extLst>
              <a:ext uri="{FF2B5EF4-FFF2-40B4-BE49-F238E27FC236}">
                <a16:creationId xmlns:a16="http://schemas.microsoft.com/office/drawing/2014/main" id="{BF2395F3-92C1-40C4-BC57-14F1C7E5DC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76724" y="9696450"/>
            <a:ext cx="7353301" cy="666750"/>
          </a:xfrm>
          <a:prstGeom prst="rect">
            <a:avLst/>
          </a:prstGeom>
        </xdr:spPr>
      </xdr:pic>
      <xdr:sp macro="" textlink="">
        <xdr:nvSpPr>
          <xdr:cNvPr id="9" name="Rectangle 8">
            <a:extLst>
              <a:ext uri="{FF2B5EF4-FFF2-40B4-BE49-F238E27FC236}">
                <a16:creationId xmlns:a16="http://schemas.microsoft.com/office/drawing/2014/main" id="{63986CE4-077B-48E5-A428-B6E446E322D1}"/>
              </a:ext>
            </a:extLst>
          </xdr:cNvPr>
          <xdr:cNvSpPr/>
        </xdr:nvSpPr>
        <xdr:spPr>
          <a:xfrm>
            <a:off x="9782174" y="9791700"/>
            <a:ext cx="923926" cy="180975"/>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85725</xdr:colOff>
      <xdr:row>54</xdr:row>
      <xdr:rowOff>47625</xdr:rowOff>
    </xdr:from>
    <xdr:to>
      <xdr:col>12</xdr:col>
      <xdr:colOff>420024</xdr:colOff>
      <xdr:row>58</xdr:row>
      <xdr:rowOff>133350</xdr:rowOff>
    </xdr:to>
    <xdr:grpSp>
      <xdr:nvGrpSpPr>
        <xdr:cNvPr id="10" name="Group 9">
          <a:extLst>
            <a:ext uri="{FF2B5EF4-FFF2-40B4-BE49-F238E27FC236}">
              <a16:creationId xmlns:a16="http://schemas.microsoft.com/office/drawing/2014/main" id="{BC2BD837-D582-4E71-B42B-854EAAD12745}"/>
            </a:ext>
          </a:extLst>
        </xdr:cNvPr>
        <xdr:cNvGrpSpPr/>
      </xdr:nvGrpSpPr>
      <xdr:grpSpPr>
        <a:xfrm>
          <a:off x="4881843" y="9135596"/>
          <a:ext cx="6385475" cy="847725"/>
          <a:chOff x="4295775" y="10620375"/>
          <a:chExt cx="7334250" cy="733425"/>
        </a:xfrm>
      </xdr:grpSpPr>
      <xdr:pic>
        <xdr:nvPicPr>
          <xdr:cNvPr id="11" name="Picture 10">
            <a:extLst>
              <a:ext uri="{FF2B5EF4-FFF2-40B4-BE49-F238E27FC236}">
                <a16:creationId xmlns:a16="http://schemas.microsoft.com/office/drawing/2014/main" id="{D4B73F0A-A4F2-4D76-A6AF-14022A0F16C5}"/>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8333"/>
          <a:stretch/>
        </xdr:blipFill>
        <xdr:spPr>
          <a:xfrm>
            <a:off x="4295775" y="10620375"/>
            <a:ext cx="7334250" cy="733425"/>
          </a:xfrm>
          <a:prstGeom prst="rect">
            <a:avLst/>
          </a:prstGeom>
        </xdr:spPr>
      </xdr:pic>
      <xdr:sp macro="" textlink="">
        <xdr:nvSpPr>
          <xdr:cNvPr id="12" name="Rectangle 11">
            <a:extLst>
              <a:ext uri="{FF2B5EF4-FFF2-40B4-BE49-F238E27FC236}">
                <a16:creationId xmlns:a16="http://schemas.microsoft.com/office/drawing/2014/main" id="{51E41DF1-D5AF-4402-BBFC-122C090D3957}"/>
              </a:ext>
            </a:extLst>
          </xdr:cNvPr>
          <xdr:cNvSpPr/>
        </xdr:nvSpPr>
        <xdr:spPr>
          <a:xfrm>
            <a:off x="10848975" y="10648949"/>
            <a:ext cx="762000" cy="2381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131446</xdr:colOff>
      <xdr:row>0</xdr:row>
      <xdr:rowOff>91441</xdr:rowOff>
    </xdr:from>
    <xdr:to>
      <xdr:col>22</xdr:col>
      <xdr:colOff>133350</xdr:colOff>
      <xdr:row>2</xdr:row>
      <xdr:rowOff>438375</xdr:rowOff>
    </xdr:to>
    <xdr:sp macro="" textlink="'Helper sheet'!G2">
      <xdr:nvSpPr>
        <xdr:cNvPr id="3" name="Rectangle 2">
          <a:extLst>
            <a:ext uri="{FF2B5EF4-FFF2-40B4-BE49-F238E27FC236}">
              <a16:creationId xmlns:a16="http://schemas.microsoft.com/office/drawing/2014/main" id="{00000000-0008-0000-0100-000003000000}"/>
            </a:ext>
          </a:extLst>
        </xdr:cNvPr>
        <xdr:cNvSpPr/>
      </xdr:nvSpPr>
      <xdr:spPr>
        <a:xfrm>
          <a:off x="4076701" y="85726"/>
          <a:ext cx="2466974" cy="723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000" b="1" i="1" u="none" strike="noStrike">
              <a:solidFill>
                <a:sysClr val="windowText" lastClr="000000"/>
              </a:solidFill>
              <a:latin typeface="Arial" panose="020B0604020202020204" pitchFamily="34" charset="0"/>
              <a:cs typeface="Arial" panose="020B0604020202020204" pitchFamily="34" charset="0"/>
            </a:rPr>
            <a:pPr algn="ctr"/>
            <a:t>January 2021</a:t>
          </a:fld>
          <a:endParaRPr lang="en-US" sz="2000" b="1" i="1" u="sng">
            <a:solidFill>
              <a:sysClr val="windowText" lastClr="000000"/>
            </a:solidFill>
            <a:latin typeface="Arial" panose="020B0604020202020204" pitchFamily="34" charset="0"/>
            <a:cs typeface="Arial" panose="020B0604020202020204" pitchFamily="34" charset="0"/>
          </a:endParaRPr>
        </a:p>
      </xdr:txBody>
    </xdr:sp>
    <xdr:clientData/>
  </xdr:twoCellAnchor>
  <xdr:twoCellAnchor editAs="absolute">
    <xdr:from>
      <xdr:col>21</xdr:col>
      <xdr:colOff>211454</xdr:colOff>
      <xdr:row>1</xdr:row>
      <xdr:rowOff>35455</xdr:rowOff>
    </xdr:from>
    <xdr:to>
      <xdr:col>23</xdr:col>
      <xdr:colOff>57149</xdr:colOff>
      <xdr:row>2</xdr:row>
      <xdr:rowOff>268088</xdr:rowOff>
    </xdr:to>
    <xdr:pic macro="[0]!NextMonth">
      <xdr:nvPicPr>
        <xdr:cNvPr id="7" name="Graphic 6" descr="Play">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362699" y="225955"/>
          <a:ext cx="352425" cy="424814"/>
        </a:xfrm>
        <a:prstGeom prst="rect">
          <a:avLst/>
        </a:prstGeom>
      </xdr:spPr>
    </xdr:pic>
    <xdr:clientData/>
  </xdr:twoCellAnchor>
  <xdr:twoCellAnchor editAs="absolute">
    <xdr:from>
      <xdr:col>11</xdr:col>
      <xdr:colOff>190500</xdr:colOff>
      <xdr:row>1</xdr:row>
      <xdr:rowOff>54505</xdr:rowOff>
    </xdr:from>
    <xdr:to>
      <xdr:col>13</xdr:col>
      <xdr:colOff>94827</xdr:colOff>
      <xdr:row>2</xdr:row>
      <xdr:rowOff>283328</xdr:rowOff>
    </xdr:to>
    <xdr:pic macro="[0]!PreviousMonth">
      <xdr:nvPicPr>
        <xdr:cNvPr id="9" name="Graphic 8" descr="Play">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876675" y="235480"/>
          <a:ext cx="414867" cy="424814"/>
        </a:xfrm>
        <a:prstGeom prst="rect">
          <a:avLst/>
        </a:prstGeom>
      </xdr:spPr>
    </xdr:pic>
    <xdr:clientData/>
  </xdr:twoCellAnchor>
  <mc:AlternateContent xmlns:mc="http://schemas.openxmlformats.org/markup-compatibility/2006">
    <mc:Choice xmlns:a14="http://schemas.microsoft.com/office/drawing/2010/main" Requires="a14">
      <xdr:twoCellAnchor>
        <xdr:from>
          <xdr:col>380</xdr:col>
          <xdr:colOff>142875</xdr:colOff>
          <xdr:row>1</xdr:row>
          <xdr:rowOff>28575</xdr:rowOff>
        </xdr:from>
        <xdr:to>
          <xdr:col>384</xdr:col>
          <xdr:colOff>257175</xdr:colOff>
          <xdr:row>2</xdr:row>
          <xdr:rowOff>38100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457200</xdr:rowOff>
        </xdr:from>
        <xdr:to>
          <xdr:col>0</xdr:col>
          <xdr:colOff>1190625</xdr:colOff>
          <xdr:row>3</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3</xdr:row>
          <xdr:rowOff>171450</xdr:rowOff>
        </xdr:from>
        <xdr:to>
          <xdr:col>0</xdr:col>
          <xdr:colOff>1190625</xdr:colOff>
          <xdr:row>4</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Clear Data</a:t>
              </a:r>
            </a:p>
          </xdr:txBody>
        </xdr:sp>
        <xdr:clientData fPrintsWithSheet="0"/>
      </xdr:twoCellAnchor>
    </mc:Choice>
    <mc:Fallback/>
  </mc:AlternateContent>
  <xdr:twoCellAnchor>
    <xdr:from>
      <xdr:col>385</xdr:col>
      <xdr:colOff>28574</xdr:colOff>
      <xdr:row>3</xdr:row>
      <xdr:rowOff>9524</xdr:rowOff>
    </xdr:from>
    <xdr:to>
      <xdr:col>393</xdr:col>
      <xdr:colOff>304800</xdr:colOff>
      <xdr:row>26</xdr:row>
      <xdr:rowOff>104775</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385</xdr:col>
      <xdr:colOff>28575</xdr:colOff>
      <xdr:row>0</xdr:row>
      <xdr:rowOff>0</xdr:rowOff>
    </xdr:from>
    <xdr:to>
      <xdr:col>389</xdr:col>
      <xdr:colOff>209550</xdr:colOff>
      <xdr:row>3</xdr:row>
      <xdr:rowOff>1904</xdr:rowOff>
    </xdr:to>
    <mc:AlternateContent xmlns:mc="http://schemas.openxmlformats.org/markup-compatibility/2006" xmlns:a14="http://schemas.microsoft.com/office/drawing/2010/main">
      <mc:Choice Requires="a14">
        <xdr:graphicFrame macro="">
          <xdr:nvGraphicFramePr>
            <xdr:cNvPr id="16" name="Attribut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Attribute"/>
            </a:graphicData>
          </a:graphic>
        </xdr:graphicFrame>
      </mc:Choice>
      <mc:Fallback xmlns="">
        <xdr:sp macro="" textlink="">
          <xdr:nvSpPr>
            <xdr:cNvPr id="0" name=""/>
            <xdr:cNvSpPr>
              <a:spLocks noTextEdit="1"/>
            </xdr:cNvSpPr>
          </xdr:nvSpPr>
          <xdr:spPr>
            <a:xfrm>
              <a:off x="12725400" y="0"/>
              <a:ext cx="259080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389</xdr:col>
      <xdr:colOff>219076</xdr:colOff>
      <xdr:row>0</xdr:row>
      <xdr:rowOff>0</xdr:rowOff>
    </xdr:from>
    <xdr:to>
      <xdr:col>394</xdr:col>
      <xdr:colOff>245746</xdr:colOff>
      <xdr:row>3</xdr:row>
      <xdr:rowOff>0</xdr:rowOff>
    </xdr:to>
    <mc:AlternateContent xmlns:mc="http://schemas.openxmlformats.org/markup-compatibility/2006" xmlns:a14="http://schemas.microsoft.com/office/drawing/2010/main">
      <mc:Choice Requires="a14">
        <xdr:graphicFrame macro="">
          <xdr:nvGraphicFramePr>
            <xdr:cNvPr id="17" name="Department">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5325726" y="0"/>
              <a:ext cx="30861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393</xdr:col>
      <xdr:colOff>323850</xdr:colOff>
      <xdr:row>3</xdr:row>
      <xdr:rowOff>9524</xdr:rowOff>
    </xdr:from>
    <xdr:to>
      <xdr:col>400</xdr:col>
      <xdr:colOff>600076</xdr:colOff>
      <xdr:row>18</xdr:row>
      <xdr:rowOff>133349</xdr:rowOff>
    </xdr:to>
    <xdr:graphicFrame macro="">
      <xdr:nvGraphicFramePr>
        <xdr:cNvPr id="18" name="Chart 17">
          <a:extLst>
            <a:ext uri="{FF2B5EF4-FFF2-40B4-BE49-F238E27FC236}">
              <a16:creationId xmlns:a16="http://schemas.microsoft.com/office/drawing/2014/main" id="{00000000-0008-0000-0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393</xdr:col>
      <xdr:colOff>323850</xdr:colOff>
      <xdr:row>18</xdr:row>
      <xdr:rowOff>152400</xdr:rowOff>
    </xdr:from>
    <xdr:to>
      <xdr:col>401</xdr:col>
      <xdr:colOff>19050</xdr:colOff>
      <xdr:row>26</xdr:row>
      <xdr:rowOff>104775</xdr:rowOff>
    </xdr:to>
    <xdr:graphicFrame macro="">
      <xdr:nvGraphicFramePr>
        <xdr:cNvPr id="19" name="Chart 18">
          <a:extLst>
            <a:ext uri="{FF2B5EF4-FFF2-40B4-BE49-F238E27FC236}">
              <a16:creationId xmlns:a16="http://schemas.microsoft.com/office/drawing/2014/main" id="{00000000-0008-0000-0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0</xdr:col>
          <xdr:colOff>9525</xdr:colOff>
          <xdr:row>2</xdr:row>
          <xdr:rowOff>219075</xdr:rowOff>
        </xdr:from>
        <xdr:to>
          <xdr:col>0</xdr:col>
          <xdr:colOff>1190625</xdr:colOff>
          <xdr:row>2</xdr:row>
          <xdr:rowOff>419100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380</xdr:col>
          <xdr:colOff>133350</xdr:colOff>
          <xdr:row>2</xdr:row>
          <xdr:rowOff>66675</xdr:rowOff>
        </xdr:from>
        <xdr:to>
          <xdr:col>384</xdr:col>
          <xdr:colOff>257175</xdr:colOff>
          <xdr:row>2</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Full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380</xdr:col>
          <xdr:colOff>133350</xdr:colOff>
          <xdr:row>2</xdr:row>
          <xdr:rowOff>304800</xdr:rowOff>
        </xdr:from>
        <xdr:to>
          <xdr:col>384</xdr:col>
          <xdr:colOff>257175</xdr:colOff>
          <xdr:row>2</xdr:row>
          <xdr:rowOff>504825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Clear Data</a:t>
              </a:r>
            </a:p>
          </xdr:txBody>
        </xdr:sp>
        <xdr:clientData fPrintsWithSheet="0"/>
      </xdr:twoCellAnchor>
    </mc:Choice>
    <mc:Fallback/>
  </mc:AlternateContent>
  <xdr:twoCellAnchor editAs="oneCell">
    <xdr:from>
      <xdr:col>394</xdr:col>
      <xdr:colOff>266700</xdr:colOff>
      <xdr:row>0</xdr:row>
      <xdr:rowOff>0</xdr:rowOff>
    </xdr:from>
    <xdr:to>
      <xdr:col>398</xdr:col>
      <xdr:colOff>588645</xdr:colOff>
      <xdr:row>3</xdr:row>
      <xdr:rowOff>0</xdr:rowOff>
    </xdr:to>
    <mc:AlternateContent xmlns:mc="http://schemas.openxmlformats.org/markup-compatibility/2006" xmlns:a14="http://schemas.microsoft.com/office/drawing/2010/main">
      <mc:Choice Requires="a14">
        <xdr:graphicFrame macro="">
          <xdr:nvGraphicFramePr>
            <xdr:cNvPr id="22" name="Employee">
              <a:extLst>
                <a:ext uri="{FF2B5EF4-FFF2-40B4-BE49-F238E27FC236}">
                  <a16:creationId xmlns:a16="http://schemas.microsoft.com/office/drawing/2014/main" id="{00000000-0008-0000-0100-000016000000}"/>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8421350" y="0"/>
              <a:ext cx="2771775"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eem mostafa" refreshedDate="44289.550574537039" createdVersion="6" refreshedVersion="6" minRefreshableVersion="3" recordCount="170" xr:uid="{58CE9716-1859-4E22-929C-763D98F9C2EF}">
  <cacheSource type="worksheet">
    <worksheetSource name="track"/>
  </cacheSource>
  <cacheFields count="6">
    <cacheField name="Employee" numFmtId="0">
      <sharedItems count="17">
        <s v="Employee 1"/>
        <s v="Employee 2"/>
        <s v="Employee 3"/>
        <s v="Employee 4"/>
        <s v="Employee 5"/>
        <s v="Employee 6"/>
        <s v="Employee 7"/>
        <s v="Employee 8"/>
        <s v="Employee 9"/>
        <s v="Employee 10"/>
        <s v="Employee 11"/>
        <s v="Employee 12"/>
        <s v="Employee 13"/>
        <s v="Employee 14"/>
        <s v="Employee 15"/>
        <s v="Employee 16"/>
        <s v="Employee 17"/>
      </sharedItems>
    </cacheField>
    <cacheField name="Department" numFmtId="0">
      <sharedItems count="6">
        <s v="Production"/>
        <s v="Quality"/>
        <s v="Finance"/>
        <s v="HR"/>
        <s v="Planning"/>
        <s v="Warehouse"/>
      </sharedItems>
    </cacheField>
    <cacheField name="Current Month Leaves" numFmtId="0">
      <sharedItems containsSemiMixedTypes="0" containsString="0" containsNumber="1" containsInteger="1" minValue="0" maxValue="2"/>
    </cacheField>
    <cacheField name="Yearly Leaves" numFmtId="0">
      <sharedItems containsSemiMixedTypes="0" containsString="0" containsNumber="1" minValue="0" maxValue="4.5"/>
    </cacheField>
    <cacheField name="Attribute" numFmtId="0">
      <sharedItems count="10">
        <s v="Sick"/>
        <s v="Normal"/>
        <s v="Millitary"/>
        <s v="Paternity"/>
        <s v="Casual"/>
        <s v="Compensate"/>
        <s v="Work From Home"/>
        <s v="Company Off"/>
        <s v="Late Permission"/>
        <s v="Early Leave"/>
      </sharedItems>
    </cacheField>
    <cacheField name="Value"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03465292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0">
  <r>
    <x v="0"/>
    <x v="0"/>
    <n v="0"/>
    <n v="0"/>
    <x v="0"/>
    <n v="0"/>
  </r>
  <r>
    <x v="0"/>
    <x v="0"/>
    <n v="0"/>
    <n v="0"/>
    <x v="1"/>
    <n v="0"/>
  </r>
  <r>
    <x v="0"/>
    <x v="0"/>
    <n v="0"/>
    <n v="0"/>
    <x v="2"/>
    <n v="0"/>
  </r>
  <r>
    <x v="0"/>
    <x v="0"/>
    <n v="0"/>
    <n v="0"/>
    <x v="3"/>
    <n v="0"/>
  </r>
  <r>
    <x v="0"/>
    <x v="0"/>
    <n v="0"/>
    <n v="0"/>
    <x v="4"/>
    <n v="0"/>
  </r>
  <r>
    <x v="0"/>
    <x v="0"/>
    <n v="0"/>
    <n v="0"/>
    <x v="5"/>
    <n v="0"/>
  </r>
  <r>
    <x v="0"/>
    <x v="0"/>
    <n v="0"/>
    <n v="0"/>
    <x v="6"/>
    <n v="0"/>
  </r>
  <r>
    <x v="0"/>
    <x v="0"/>
    <n v="0"/>
    <n v="0"/>
    <x v="7"/>
    <n v="0"/>
  </r>
  <r>
    <x v="0"/>
    <x v="0"/>
    <n v="0"/>
    <n v="0"/>
    <x v="8"/>
    <n v="0"/>
  </r>
  <r>
    <x v="0"/>
    <x v="0"/>
    <n v="0"/>
    <n v="0"/>
    <x v="9"/>
    <n v="0"/>
  </r>
  <r>
    <x v="1"/>
    <x v="0"/>
    <n v="2"/>
    <n v="3"/>
    <x v="0"/>
    <n v="0"/>
  </r>
  <r>
    <x v="1"/>
    <x v="0"/>
    <n v="2"/>
    <n v="3"/>
    <x v="1"/>
    <n v="2"/>
  </r>
  <r>
    <x v="1"/>
    <x v="0"/>
    <n v="2"/>
    <n v="3"/>
    <x v="2"/>
    <n v="0"/>
  </r>
  <r>
    <x v="1"/>
    <x v="0"/>
    <n v="2"/>
    <n v="3"/>
    <x v="3"/>
    <n v="0"/>
  </r>
  <r>
    <x v="1"/>
    <x v="0"/>
    <n v="2"/>
    <n v="3"/>
    <x v="4"/>
    <n v="1"/>
  </r>
  <r>
    <x v="1"/>
    <x v="0"/>
    <n v="2"/>
    <n v="3"/>
    <x v="5"/>
    <n v="0"/>
  </r>
  <r>
    <x v="1"/>
    <x v="0"/>
    <n v="2"/>
    <n v="3"/>
    <x v="6"/>
    <n v="0"/>
  </r>
  <r>
    <x v="1"/>
    <x v="0"/>
    <n v="2"/>
    <n v="3"/>
    <x v="7"/>
    <n v="0"/>
  </r>
  <r>
    <x v="1"/>
    <x v="0"/>
    <n v="2"/>
    <n v="3"/>
    <x v="8"/>
    <n v="0"/>
  </r>
  <r>
    <x v="1"/>
    <x v="0"/>
    <n v="2"/>
    <n v="3"/>
    <x v="9"/>
    <n v="0"/>
  </r>
  <r>
    <x v="2"/>
    <x v="1"/>
    <n v="0"/>
    <n v="4"/>
    <x v="0"/>
    <n v="0"/>
  </r>
  <r>
    <x v="2"/>
    <x v="1"/>
    <n v="0"/>
    <n v="4"/>
    <x v="1"/>
    <n v="2"/>
  </r>
  <r>
    <x v="2"/>
    <x v="1"/>
    <n v="0"/>
    <n v="4"/>
    <x v="2"/>
    <n v="0"/>
  </r>
  <r>
    <x v="2"/>
    <x v="1"/>
    <n v="0"/>
    <n v="4"/>
    <x v="3"/>
    <n v="0"/>
  </r>
  <r>
    <x v="2"/>
    <x v="1"/>
    <n v="0"/>
    <n v="4"/>
    <x v="4"/>
    <n v="2"/>
  </r>
  <r>
    <x v="2"/>
    <x v="1"/>
    <n v="0"/>
    <n v="4"/>
    <x v="5"/>
    <n v="0"/>
  </r>
  <r>
    <x v="2"/>
    <x v="1"/>
    <n v="0"/>
    <n v="4"/>
    <x v="6"/>
    <n v="0"/>
  </r>
  <r>
    <x v="2"/>
    <x v="1"/>
    <n v="0"/>
    <n v="4"/>
    <x v="7"/>
    <n v="0"/>
  </r>
  <r>
    <x v="2"/>
    <x v="1"/>
    <n v="0"/>
    <n v="4"/>
    <x v="8"/>
    <n v="0"/>
  </r>
  <r>
    <x v="2"/>
    <x v="1"/>
    <n v="0"/>
    <n v="4"/>
    <x v="9"/>
    <n v="0"/>
  </r>
  <r>
    <x v="3"/>
    <x v="2"/>
    <n v="1"/>
    <n v="3"/>
    <x v="0"/>
    <n v="2"/>
  </r>
  <r>
    <x v="3"/>
    <x v="2"/>
    <n v="1"/>
    <n v="3"/>
    <x v="1"/>
    <n v="0"/>
  </r>
  <r>
    <x v="3"/>
    <x v="2"/>
    <n v="1"/>
    <n v="3"/>
    <x v="2"/>
    <n v="0"/>
  </r>
  <r>
    <x v="3"/>
    <x v="2"/>
    <n v="1"/>
    <n v="3"/>
    <x v="3"/>
    <n v="0"/>
  </r>
  <r>
    <x v="3"/>
    <x v="2"/>
    <n v="1"/>
    <n v="3"/>
    <x v="4"/>
    <n v="1"/>
  </r>
  <r>
    <x v="3"/>
    <x v="2"/>
    <n v="1"/>
    <n v="3"/>
    <x v="5"/>
    <n v="0"/>
  </r>
  <r>
    <x v="3"/>
    <x v="2"/>
    <n v="1"/>
    <n v="3"/>
    <x v="6"/>
    <n v="0"/>
  </r>
  <r>
    <x v="3"/>
    <x v="2"/>
    <n v="1"/>
    <n v="3"/>
    <x v="7"/>
    <n v="0"/>
  </r>
  <r>
    <x v="3"/>
    <x v="2"/>
    <n v="1"/>
    <n v="3"/>
    <x v="8"/>
    <n v="0"/>
  </r>
  <r>
    <x v="3"/>
    <x v="2"/>
    <n v="1"/>
    <n v="3"/>
    <x v="9"/>
    <n v="0"/>
  </r>
  <r>
    <x v="4"/>
    <x v="1"/>
    <n v="1"/>
    <n v="3"/>
    <x v="0"/>
    <n v="1"/>
  </r>
  <r>
    <x v="4"/>
    <x v="1"/>
    <n v="1"/>
    <n v="3"/>
    <x v="1"/>
    <n v="1"/>
  </r>
  <r>
    <x v="4"/>
    <x v="1"/>
    <n v="1"/>
    <n v="3"/>
    <x v="2"/>
    <n v="0"/>
  </r>
  <r>
    <x v="4"/>
    <x v="1"/>
    <n v="1"/>
    <n v="3"/>
    <x v="3"/>
    <n v="1"/>
  </r>
  <r>
    <x v="4"/>
    <x v="1"/>
    <n v="1"/>
    <n v="3"/>
    <x v="4"/>
    <n v="0"/>
  </r>
  <r>
    <x v="4"/>
    <x v="1"/>
    <n v="1"/>
    <n v="3"/>
    <x v="5"/>
    <n v="0"/>
  </r>
  <r>
    <x v="4"/>
    <x v="1"/>
    <n v="1"/>
    <n v="3"/>
    <x v="6"/>
    <n v="0"/>
  </r>
  <r>
    <x v="4"/>
    <x v="1"/>
    <n v="1"/>
    <n v="3"/>
    <x v="7"/>
    <n v="0"/>
  </r>
  <r>
    <x v="4"/>
    <x v="1"/>
    <n v="1"/>
    <n v="3"/>
    <x v="8"/>
    <n v="0"/>
  </r>
  <r>
    <x v="4"/>
    <x v="1"/>
    <n v="1"/>
    <n v="3"/>
    <x v="9"/>
    <n v="0"/>
  </r>
  <r>
    <x v="5"/>
    <x v="2"/>
    <n v="0"/>
    <n v="0"/>
    <x v="0"/>
    <n v="0"/>
  </r>
  <r>
    <x v="5"/>
    <x v="2"/>
    <n v="0"/>
    <n v="0"/>
    <x v="1"/>
    <n v="0"/>
  </r>
  <r>
    <x v="5"/>
    <x v="2"/>
    <n v="0"/>
    <n v="0"/>
    <x v="2"/>
    <n v="0"/>
  </r>
  <r>
    <x v="5"/>
    <x v="2"/>
    <n v="0"/>
    <n v="0"/>
    <x v="3"/>
    <n v="0"/>
  </r>
  <r>
    <x v="5"/>
    <x v="2"/>
    <n v="0"/>
    <n v="0"/>
    <x v="4"/>
    <n v="0"/>
  </r>
  <r>
    <x v="5"/>
    <x v="2"/>
    <n v="0"/>
    <n v="0"/>
    <x v="5"/>
    <n v="0"/>
  </r>
  <r>
    <x v="5"/>
    <x v="2"/>
    <n v="0"/>
    <n v="0"/>
    <x v="6"/>
    <n v="0"/>
  </r>
  <r>
    <x v="5"/>
    <x v="2"/>
    <n v="0"/>
    <n v="0"/>
    <x v="7"/>
    <n v="0"/>
  </r>
  <r>
    <x v="5"/>
    <x v="2"/>
    <n v="0"/>
    <n v="0"/>
    <x v="8"/>
    <n v="0"/>
  </r>
  <r>
    <x v="5"/>
    <x v="2"/>
    <n v="0"/>
    <n v="0"/>
    <x v="9"/>
    <n v="0"/>
  </r>
  <r>
    <x v="6"/>
    <x v="3"/>
    <n v="1"/>
    <n v="3"/>
    <x v="0"/>
    <n v="0"/>
  </r>
  <r>
    <x v="6"/>
    <x v="3"/>
    <n v="1"/>
    <n v="3"/>
    <x v="1"/>
    <n v="2"/>
  </r>
  <r>
    <x v="6"/>
    <x v="3"/>
    <n v="1"/>
    <n v="3"/>
    <x v="2"/>
    <n v="0"/>
  </r>
  <r>
    <x v="6"/>
    <x v="3"/>
    <n v="1"/>
    <n v="3"/>
    <x v="3"/>
    <n v="0"/>
  </r>
  <r>
    <x v="6"/>
    <x v="3"/>
    <n v="1"/>
    <n v="3"/>
    <x v="4"/>
    <n v="1"/>
  </r>
  <r>
    <x v="6"/>
    <x v="3"/>
    <n v="1"/>
    <n v="3"/>
    <x v="5"/>
    <n v="0"/>
  </r>
  <r>
    <x v="6"/>
    <x v="3"/>
    <n v="1"/>
    <n v="3"/>
    <x v="6"/>
    <n v="0"/>
  </r>
  <r>
    <x v="6"/>
    <x v="3"/>
    <n v="1"/>
    <n v="3"/>
    <x v="7"/>
    <n v="0"/>
  </r>
  <r>
    <x v="6"/>
    <x v="3"/>
    <n v="1"/>
    <n v="3"/>
    <x v="8"/>
    <n v="0"/>
  </r>
  <r>
    <x v="6"/>
    <x v="3"/>
    <n v="1"/>
    <n v="3"/>
    <x v="9"/>
    <n v="0"/>
  </r>
  <r>
    <x v="7"/>
    <x v="0"/>
    <n v="1"/>
    <n v="2"/>
    <x v="0"/>
    <n v="0"/>
  </r>
  <r>
    <x v="7"/>
    <x v="0"/>
    <n v="1"/>
    <n v="2"/>
    <x v="1"/>
    <n v="1"/>
  </r>
  <r>
    <x v="7"/>
    <x v="0"/>
    <n v="1"/>
    <n v="2"/>
    <x v="2"/>
    <n v="0"/>
  </r>
  <r>
    <x v="7"/>
    <x v="0"/>
    <n v="1"/>
    <n v="2"/>
    <x v="3"/>
    <n v="0"/>
  </r>
  <r>
    <x v="7"/>
    <x v="0"/>
    <n v="1"/>
    <n v="2"/>
    <x v="4"/>
    <n v="0"/>
  </r>
  <r>
    <x v="7"/>
    <x v="0"/>
    <n v="1"/>
    <n v="2"/>
    <x v="5"/>
    <n v="0"/>
  </r>
  <r>
    <x v="7"/>
    <x v="0"/>
    <n v="1"/>
    <n v="2"/>
    <x v="6"/>
    <n v="0"/>
  </r>
  <r>
    <x v="7"/>
    <x v="0"/>
    <n v="1"/>
    <n v="2"/>
    <x v="7"/>
    <n v="1"/>
  </r>
  <r>
    <x v="7"/>
    <x v="0"/>
    <n v="1"/>
    <n v="2"/>
    <x v="8"/>
    <n v="0"/>
  </r>
  <r>
    <x v="7"/>
    <x v="0"/>
    <n v="1"/>
    <n v="2"/>
    <x v="9"/>
    <n v="0"/>
  </r>
  <r>
    <x v="8"/>
    <x v="0"/>
    <n v="2"/>
    <n v="4.5"/>
    <x v="0"/>
    <n v="0"/>
  </r>
  <r>
    <x v="8"/>
    <x v="0"/>
    <n v="2"/>
    <n v="4.5"/>
    <x v="1"/>
    <n v="1"/>
  </r>
  <r>
    <x v="8"/>
    <x v="0"/>
    <n v="2"/>
    <n v="4.5"/>
    <x v="2"/>
    <n v="1"/>
  </r>
  <r>
    <x v="8"/>
    <x v="0"/>
    <n v="2"/>
    <n v="4.5"/>
    <x v="3"/>
    <n v="0"/>
  </r>
  <r>
    <x v="8"/>
    <x v="0"/>
    <n v="2"/>
    <n v="4.5"/>
    <x v="4"/>
    <n v="0"/>
  </r>
  <r>
    <x v="8"/>
    <x v="0"/>
    <n v="2"/>
    <n v="4.5"/>
    <x v="5"/>
    <n v="2"/>
  </r>
  <r>
    <x v="8"/>
    <x v="0"/>
    <n v="2"/>
    <n v="4.5"/>
    <x v="6"/>
    <n v="0"/>
  </r>
  <r>
    <x v="8"/>
    <x v="0"/>
    <n v="2"/>
    <n v="4.5"/>
    <x v="7"/>
    <n v="0"/>
  </r>
  <r>
    <x v="8"/>
    <x v="0"/>
    <n v="2"/>
    <n v="4.5"/>
    <x v="8"/>
    <n v="1"/>
  </r>
  <r>
    <x v="8"/>
    <x v="0"/>
    <n v="2"/>
    <n v="4.5"/>
    <x v="9"/>
    <n v="0"/>
  </r>
  <r>
    <x v="9"/>
    <x v="4"/>
    <n v="1"/>
    <n v="4"/>
    <x v="0"/>
    <n v="0"/>
  </r>
  <r>
    <x v="9"/>
    <x v="4"/>
    <n v="1"/>
    <n v="4"/>
    <x v="1"/>
    <n v="0"/>
  </r>
  <r>
    <x v="9"/>
    <x v="4"/>
    <n v="1"/>
    <n v="4"/>
    <x v="2"/>
    <n v="0"/>
  </r>
  <r>
    <x v="9"/>
    <x v="4"/>
    <n v="1"/>
    <n v="4"/>
    <x v="3"/>
    <n v="0"/>
  </r>
  <r>
    <x v="9"/>
    <x v="4"/>
    <n v="1"/>
    <n v="4"/>
    <x v="4"/>
    <n v="1"/>
  </r>
  <r>
    <x v="9"/>
    <x v="4"/>
    <n v="1"/>
    <n v="4"/>
    <x v="5"/>
    <n v="0"/>
  </r>
  <r>
    <x v="9"/>
    <x v="4"/>
    <n v="1"/>
    <n v="4"/>
    <x v="6"/>
    <n v="3"/>
  </r>
  <r>
    <x v="9"/>
    <x v="4"/>
    <n v="1"/>
    <n v="4"/>
    <x v="7"/>
    <n v="0"/>
  </r>
  <r>
    <x v="9"/>
    <x v="4"/>
    <n v="1"/>
    <n v="4"/>
    <x v="8"/>
    <n v="0"/>
  </r>
  <r>
    <x v="9"/>
    <x v="4"/>
    <n v="1"/>
    <n v="4"/>
    <x v="9"/>
    <n v="0"/>
  </r>
  <r>
    <x v="10"/>
    <x v="1"/>
    <n v="1"/>
    <n v="2"/>
    <x v="0"/>
    <n v="1"/>
  </r>
  <r>
    <x v="10"/>
    <x v="1"/>
    <n v="1"/>
    <n v="2"/>
    <x v="1"/>
    <n v="0"/>
  </r>
  <r>
    <x v="10"/>
    <x v="1"/>
    <n v="1"/>
    <n v="2"/>
    <x v="2"/>
    <n v="0"/>
  </r>
  <r>
    <x v="10"/>
    <x v="1"/>
    <n v="1"/>
    <n v="2"/>
    <x v="3"/>
    <n v="1"/>
  </r>
  <r>
    <x v="10"/>
    <x v="1"/>
    <n v="1"/>
    <n v="2"/>
    <x v="4"/>
    <n v="0"/>
  </r>
  <r>
    <x v="10"/>
    <x v="1"/>
    <n v="1"/>
    <n v="2"/>
    <x v="5"/>
    <n v="0"/>
  </r>
  <r>
    <x v="10"/>
    <x v="1"/>
    <n v="1"/>
    <n v="2"/>
    <x v="6"/>
    <n v="0"/>
  </r>
  <r>
    <x v="10"/>
    <x v="1"/>
    <n v="1"/>
    <n v="2"/>
    <x v="7"/>
    <n v="0"/>
  </r>
  <r>
    <x v="10"/>
    <x v="1"/>
    <n v="1"/>
    <n v="2"/>
    <x v="8"/>
    <n v="0"/>
  </r>
  <r>
    <x v="10"/>
    <x v="1"/>
    <n v="1"/>
    <n v="2"/>
    <x v="9"/>
    <n v="0"/>
  </r>
  <r>
    <x v="11"/>
    <x v="2"/>
    <n v="0"/>
    <n v="1.5"/>
    <x v="0"/>
    <n v="0"/>
  </r>
  <r>
    <x v="11"/>
    <x v="2"/>
    <n v="0"/>
    <n v="1.5"/>
    <x v="1"/>
    <n v="0"/>
  </r>
  <r>
    <x v="11"/>
    <x v="2"/>
    <n v="0"/>
    <n v="1.5"/>
    <x v="2"/>
    <n v="0"/>
  </r>
  <r>
    <x v="11"/>
    <x v="2"/>
    <n v="0"/>
    <n v="1.5"/>
    <x v="3"/>
    <n v="1"/>
  </r>
  <r>
    <x v="11"/>
    <x v="2"/>
    <n v="0"/>
    <n v="1.5"/>
    <x v="4"/>
    <n v="0"/>
  </r>
  <r>
    <x v="11"/>
    <x v="2"/>
    <n v="0"/>
    <n v="1.5"/>
    <x v="5"/>
    <n v="0"/>
  </r>
  <r>
    <x v="11"/>
    <x v="2"/>
    <n v="0"/>
    <n v="1.5"/>
    <x v="6"/>
    <n v="0"/>
  </r>
  <r>
    <x v="11"/>
    <x v="2"/>
    <n v="0"/>
    <n v="1.5"/>
    <x v="7"/>
    <n v="0"/>
  </r>
  <r>
    <x v="11"/>
    <x v="2"/>
    <n v="0"/>
    <n v="1.5"/>
    <x v="8"/>
    <n v="0"/>
  </r>
  <r>
    <x v="11"/>
    <x v="2"/>
    <n v="0"/>
    <n v="1.5"/>
    <x v="9"/>
    <n v="1"/>
  </r>
  <r>
    <x v="12"/>
    <x v="5"/>
    <n v="0"/>
    <n v="1"/>
    <x v="0"/>
    <n v="0"/>
  </r>
  <r>
    <x v="12"/>
    <x v="5"/>
    <n v="0"/>
    <n v="1"/>
    <x v="1"/>
    <n v="0"/>
  </r>
  <r>
    <x v="12"/>
    <x v="5"/>
    <n v="0"/>
    <n v="1"/>
    <x v="2"/>
    <n v="0"/>
  </r>
  <r>
    <x v="12"/>
    <x v="5"/>
    <n v="0"/>
    <n v="1"/>
    <x v="3"/>
    <n v="0"/>
  </r>
  <r>
    <x v="12"/>
    <x v="5"/>
    <n v="0"/>
    <n v="1"/>
    <x v="4"/>
    <n v="1"/>
  </r>
  <r>
    <x v="12"/>
    <x v="5"/>
    <n v="0"/>
    <n v="1"/>
    <x v="5"/>
    <n v="0"/>
  </r>
  <r>
    <x v="12"/>
    <x v="5"/>
    <n v="0"/>
    <n v="1"/>
    <x v="6"/>
    <n v="0"/>
  </r>
  <r>
    <x v="12"/>
    <x v="5"/>
    <n v="0"/>
    <n v="1"/>
    <x v="7"/>
    <n v="0"/>
  </r>
  <r>
    <x v="12"/>
    <x v="5"/>
    <n v="0"/>
    <n v="1"/>
    <x v="8"/>
    <n v="0"/>
  </r>
  <r>
    <x v="12"/>
    <x v="5"/>
    <n v="0"/>
    <n v="1"/>
    <x v="9"/>
    <n v="0"/>
  </r>
  <r>
    <x v="13"/>
    <x v="1"/>
    <n v="1"/>
    <n v="4.5"/>
    <x v="0"/>
    <n v="1"/>
  </r>
  <r>
    <x v="13"/>
    <x v="1"/>
    <n v="1"/>
    <n v="4.5"/>
    <x v="1"/>
    <n v="0"/>
  </r>
  <r>
    <x v="13"/>
    <x v="1"/>
    <n v="1"/>
    <n v="4.5"/>
    <x v="2"/>
    <n v="1"/>
  </r>
  <r>
    <x v="13"/>
    <x v="1"/>
    <n v="1"/>
    <n v="4.5"/>
    <x v="3"/>
    <n v="1"/>
  </r>
  <r>
    <x v="13"/>
    <x v="1"/>
    <n v="1"/>
    <n v="4.5"/>
    <x v="4"/>
    <n v="1"/>
  </r>
  <r>
    <x v="13"/>
    <x v="1"/>
    <n v="1"/>
    <n v="4.5"/>
    <x v="5"/>
    <n v="0"/>
  </r>
  <r>
    <x v="13"/>
    <x v="1"/>
    <n v="1"/>
    <n v="4.5"/>
    <x v="6"/>
    <n v="0"/>
  </r>
  <r>
    <x v="13"/>
    <x v="1"/>
    <n v="1"/>
    <n v="4.5"/>
    <x v="7"/>
    <n v="0"/>
  </r>
  <r>
    <x v="13"/>
    <x v="1"/>
    <n v="1"/>
    <n v="4.5"/>
    <x v="8"/>
    <n v="1"/>
  </r>
  <r>
    <x v="13"/>
    <x v="1"/>
    <n v="1"/>
    <n v="4.5"/>
    <x v="9"/>
    <n v="0"/>
  </r>
  <r>
    <x v="14"/>
    <x v="5"/>
    <n v="0"/>
    <n v="0.5"/>
    <x v="0"/>
    <n v="0"/>
  </r>
  <r>
    <x v="14"/>
    <x v="5"/>
    <n v="0"/>
    <n v="0.5"/>
    <x v="1"/>
    <n v="0"/>
  </r>
  <r>
    <x v="14"/>
    <x v="5"/>
    <n v="0"/>
    <n v="0.5"/>
    <x v="2"/>
    <n v="0"/>
  </r>
  <r>
    <x v="14"/>
    <x v="5"/>
    <n v="0"/>
    <n v="0.5"/>
    <x v="3"/>
    <n v="0"/>
  </r>
  <r>
    <x v="14"/>
    <x v="5"/>
    <n v="0"/>
    <n v="0.5"/>
    <x v="4"/>
    <n v="0"/>
  </r>
  <r>
    <x v="14"/>
    <x v="5"/>
    <n v="0"/>
    <n v="0.5"/>
    <x v="5"/>
    <n v="0"/>
  </r>
  <r>
    <x v="14"/>
    <x v="5"/>
    <n v="0"/>
    <n v="0.5"/>
    <x v="6"/>
    <n v="0"/>
  </r>
  <r>
    <x v="14"/>
    <x v="5"/>
    <n v="0"/>
    <n v="0.5"/>
    <x v="7"/>
    <n v="0"/>
  </r>
  <r>
    <x v="14"/>
    <x v="5"/>
    <n v="0"/>
    <n v="0.5"/>
    <x v="8"/>
    <n v="0"/>
  </r>
  <r>
    <x v="14"/>
    <x v="5"/>
    <n v="0"/>
    <n v="0.5"/>
    <x v="9"/>
    <n v="1"/>
  </r>
  <r>
    <x v="15"/>
    <x v="0"/>
    <n v="0"/>
    <n v="0.5"/>
    <x v="0"/>
    <n v="0"/>
  </r>
  <r>
    <x v="15"/>
    <x v="0"/>
    <n v="0"/>
    <n v="0.5"/>
    <x v="1"/>
    <n v="0"/>
  </r>
  <r>
    <x v="15"/>
    <x v="0"/>
    <n v="0"/>
    <n v="0.5"/>
    <x v="2"/>
    <n v="0"/>
  </r>
  <r>
    <x v="15"/>
    <x v="0"/>
    <n v="0"/>
    <n v="0.5"/>
    <x v="3"/>
    <n v="0"/>
  </r>
  <r>
    <x v="15"/>
    <x v="0"/>
    <n v="0"/>
    <n v="0.5"/>
    <x v="4"/>
    <n v="0"/>
  </r>
  <r>
    <x v="15"/>
    <x v="0"/>
    <n v="0"/>
    <n v="0.5"/>
    <x v="5"/>
    <n v="0"/>
  </r>
  <r>
    <x v="15"/>
    <x v="0"/>
    <n v="0"/>
    <n v="0.5"/>
    <x v="6"/>
    <n v="0"/>
  </r>
  <r>
    <x v="15"/>
    <x v="0"/>
    <n v="0"/>
    <n v="0.5"/>
    <x v="7"/>
    <n v="0"/>
  </r>
  <r>
    <x v="15"/>
    <x v="0"/>
    <n v="0"/>
    <n v="0.5"/>
    <x v="8"/>
    <n v="0"/>
  </r>
  <r>
    <x v="15"/>
    <x v="0"/>
    <n v="0"/>
    <n v="0.5"/>
    <x v="9"/>
    <n v="1"/>
  </r>
  <r>
    <x v="16"/>
    <x v="3"/>
    <n v="1"/>
    <n v="2"/>
    <x v="0"/>
    <n v="0"/>
  </r>
  <r>
    <x v="16"/>
    <x v="3"/>
    <n v="1"/>
    <n v="2"/>
    <x v="1"/>
    <n v="1"/>
  </r>
  <r>
    <x v="16"/>
    <x v="3"/>
    <n v="1"/>
    <n v="2"/>
    <x v="2"/>
    <n v="0"/>
  </r>
  <r>
    <x v="16"/>
    <x v="3"/>
    <n v="1"/>
    <n v="2"/>
    <x v="3"/>
    <n v="0"/>
  </r>
  <r>
    <x v="16"/>
    <x v="3"/>
    <n v="1"/>
    <n v="2"/>
    <x v="4"/>
    <n v="1"/>
  </r>
  <r>
    <x v="16"/>
    <x v="3"/>
    <n v="1"/>
    <n v="2"/>
    <x v="5"/>
    <n v="0"/>
  </r>
  <r>
    <x v="16"/>
    <x v="3"/>
    <n v="1"/>
    <n v="2"/>
    <x v="6"/>
    <n v="0"/>
  </r>
  <r>
    <x v="16"/>
    <x v="3"/>
    <n v="1"/>
    <n v="2"/>
    <x v="7"/>
    <n v="0"/>
  </r>
  <r>
    <x v="16"/>
    <x v="3"/>
    <n v="1"/>
    <n v="2"/>
    <x v="8"/>
    <n v="0"/>
  </r>
  <r>
    <x v="16"/>
    <x v="3"/>
    <n v="1"/>
    <n v="2"/>
    <x v="9"/>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CA053E-8352-4902-B9AD-028DC20D3254}" name="Department"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T4:U11" firstHeaderRow="1" firstDataRow="1" firstDataCol="1"/>
  <pivotFields count="6">
    <pivotField showAll="0">
      <items count="18">
        <item x="0"/>
        <item x="9"/>
        <item x="10"/>
        <item x="11"/>
        <item x="12"/>
        <item x="13"/>
        <item x="14"/>
        <item x="15"/>
        <item x="16"/>
        <item x="1"/>
        <item x="2"/>
        <item x="3"/>
        <item x="4"/>
        <item x="5"/>
        <item x="6"/>
        <item x="7"/>
        <item x="8"/>
        <item t="default"/>
      </items>
    </pivotField>
    <pivotField axis="axisRow" showAll="0">
      <items count="7">
        <item x="2"/>
        <item x="3"/>
        <item x="4"/>
        <item x="0"/>
        <item x="1"/>
        <item x="5"/>
        <item t="default"/>
      </items>
    </pivotField>
    <pivotField showAll="0"/>
    <pivotField showAll="0"/>
    <pivotField showAll="0">
      <items count="11">
        <item x="4"/>
        <item x="7"/>
        <item x="5"/>
        <item x="9"/>
        <item x="8"/>
        <item x="2"/>
        <item x="1"/>
        <item x="3"/>
        <item x="0"/>
        <item x="6"/>
        <item t="default"/>
      </items>
    </pivotField>
    <pivotField dataField="1" showAll="0"/>
  </pivotFields>
  <rowFields count="1">
    <field x="1"/>
  </rowFields>
  <rowItems count="7">
    <i>
      <x/>
    </i>
    <i>
      <x v="1"/>
    </i>
    <i>
      <x v="2"/>
    </i>
    <i>
      <x v="3"/>
    </i>
    <i>
      <x v="4"/>
    </i>
    <i>
      <x v="5"/>
    </i>
    <i t="grand">
      <x/>
    </i>
  </rowItems>
  <colItems count="1">
    <i/>
  </colItems>
  <dataFields count="1">
    <dataField name="Sum of Value" fld="5" baseField="0" baseItem="0" numFmtId="169"/>
  </dataFields>
  <formats count="3">
    <format dxfId="2">
      <pivotArea outline="0" collapsedLevelsAreSubtotals="1" fieldPosition="0"/>
    </format>
    <format dxfId="1">
      <pivotArea dataOnly="0" labelOnly="1" fieldPosition="0">
        <references count="1">
          <reference field="1" count="0"/>
        </references>
      </pivotArea>
    </format>
    <format dxfId="0">
      <pivotArea dataOnly="0" labelOnly="1" grandRow="1" outline="0" fieldPosition="0"/>
    </format>
  </formats>
  <chartFormats count="7">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1" count="1" selected="0">
            <x v="0"/>
          </reference>
        </references>
      </pivotArea>
    </chartFormat>
    <chartFormat chart="2" format="10">
      <pivotArea type="data" outline="0" fieldPosition="0">
        <references count="2">
          <reference field="4294967294" count="1" selected="0">
            <x v="0"/>
          </reference>
          <reference field="1" count="1" selected="0">
            <x v="1"/>
          </reference>
        </references>
      </pivotArea>
    </chartFormat>
    <chartFormat chart="2" format="11">
      <pivotArea type="data" outline="0" fieldPosition="0">
        <references count="2">
          <reference field="4294967294" count="1" selected="0">
            <x v="0"/>
          </reference>
          <reference field="1" count="1" selected="0">
            <x v="2"/>
          </reference>
        </references>
      </pivotArea>
    </chartFormat>
    <chartFormat chart="2" format="12">
      <pivotArea type="data" outline="0" fieldPosition="0">
        <references count="2">
          <reference field="4294967294" count="1" selected="0">
            <x v="0"/>
          </reference>
          <reference field="1" count="1" selected="0">
            <x v="3"/>
          </reference>
        </references>
      </pivotArea>
    </chartFormat>
    <chartFormat chart="2" format="13">
      <pivotArea type="data" outline="0" fieldPosition="0">
        <references count="2">
          <reference field="4294967294" count="1" selected="0">
            <x v="0"/>
          </reference>
          <reference field="1" count="1" selected="0">
            <x v="4"/>
          </reference>
        </references>
      </pivotArea>
    </chartFormat>
    <chartFormat chart="2" format="14">
      <pivotArea type="data" outline="0" fieldPosition="0">
        <references count="2">
          <reference field="4294967294" count="1" selected="0">
            <x v="0"/>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930E10-96EA-4DE4-9876-5DAE90C735A0}" name="statistics"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P4:R22" firstHeaderRow="0" firstDataRow="1" firstDataCol="1"/>
  <pivotFields count="6">
    <pivotField axis="axisRow" showAll="0">
      <items count="18">
        <item x="0"/>
        <item x="9"/>
        <item x="10"/>
        <item x="11"/>
        <item x="12"/>
        <item x="13"/>
        <item x="14"/>
        <item x="15"/>
        <item x="16"/>
        <item x="1"/>
        <item x="2"/>
        <item x="3"/>
        <item x="4"/>
        <item x="5"/>
        <item x="6"/>
        <item x="7"/>
        <item x="8"/>
        <item t="default"/>
      </items>
    </pivotField>
    <pivotField showAll="0">
      <items count="7">
        <item x="2"/>
        <item x="3"/>
        <item x="4"/>
        <item x="0"/>
        <item x="1"/>
        <item x="5"/>
        <item t="default"/>
      </items>
    </pivotField>
    <pivotField dataField="1" showAll="0"/>
    <pivotField dataField="1" showAll="0"/>
    <pivotField showAll="0">
      <items count="11">
        <item x="4"/>
        <item x="7"/>
        <item x="5"/>
        <item x="9"/>
        <item x="8"/>
        <item x="2"/>
        <item x="1"/>
        <item x="3"/>
        <item x="0"/>
        <item x="6"/>
        <item t="default"/>
      </items>
    </pivotField>
    <pivotField showAll="0"/>
  </pivotFields>
  <rowFields count="1">
    <field x="0"/>
  </rowFields>
  <rowItems count="18">
    <i>
      <x/>
    </i>
    <i>
      <x v="1"/>
    </i>
    <i>
      <x v="2"/>
    </i>
    <i>
      <x v="3"/>
    </i>
    <i>
      <x v="4"/>
    </i>
    <i>
      <x v="5"/>
    </i>
    <i>
      <x v="6"/>
    </i>
    <i>
      <x v="7"/>
    </i>
    <i>
      <x v="8"/>
    </i>
    <i>
      <x v="9"/>
    </i>
    <i>
      <x v="10"/>
    </i>
    <i>
      <x v="11"/>
    </i>
    <i>
      <x v="12"/>
    </i>
    <i>
      <x v="13"/>
    </i>
    <i>
      <x v="14"/>
    </i>
    <i>
      <x v="15"/>
    </i>
    <i>
      <x v="16"/>
    </i>
    <i t="grand">
      <x/>
    </i>
  </rowItems>
  <colFields count="1">
    <field x="-2"/>
  </colFields>
  <colItems count="2">
    <i>
      <x/>
    </i>
    <i i="1">
      <x v="1"/>
    </i>
  </colItems>
  <dataFields count="2">
    <dataField name="Sum of Yearly Leaves" fld="3" baseField="0" baseItem="0"/>
    <dataField name="Sum of Current Month Leave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4C503-2184-4C1C-BF8A-9B473D5AD66D}" name="EMP"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C3:N22" firstHeaderRow="1" firstDataRow="2" firstDataCol="1"/>
  <pivotFields count="6">
    <pivotField axis="axisRow" showAll="0">
      <items count="18">
        <item x="0"/>
        <item x="9"/>
        <item x="10"/>
        <item x="11"/>
        <item x="12"/>
        <item x="13"/>
        <item x="14"/>
        <item x="15"/>
        <item x="16"/>
        <item x="1"/>
        <item x="2"/>
        <item x="3"/>
        <item x="4"/>
        <item x="5"/>
        <item x="6"/>
        <item x="7"/>
        <item x="8"/>
        <item t="default"/>
      </items>
    </pivotField>
    <pivotField showAll="0">
      <items count="7">
        <item x="2"/>
        <item x="3"/>
        <item x="4"/>
        <item x="0"/>
        <item x="1"/>
        <item x="5"/>
        <item t="default"/>
      </items>
    </pivotField>
    <pivotField showAll="0"/>
    <pivotField showAll="0"/>
    <pivotField axis="axisCol" showAll="0">
      <items count="11">
        <item x="4"/>
        <item x="7"/>
        <item x="5"/>
        <item x="9"/>
        <item x="8"/>
        <item x="2"/>
        <item x="1"/>
        <item x="3"/>
        <item x="0"/>
        <item x="6"/>
        <item t="default"/>
      </items>
    </pivotField>
    <pivotField dataField="1" showAll="0"/>
  </pivotFields>
  <rowFields count="1">
    <field x="0"/>
  </rowFields>
  <rowItems count="18">
    <i>
      <x/>
    </i>
    <i>
      <x v="1"/>
    </i>
    <i>
      <x v="2"/>
    </i>
    <i>
      <x v="3"/>
    </i>
    <i>
      <x v="4"/>
    </i>
    <i>
      <x v="5"/>
    </i>
    <i>
      <x v="6"/>
    </i>
    <i>
      <x v="7"/>
    </i>
    <i>
      <x v="8"/>
    </i>
    <i>
      <x v="9"/>
    </i>
    <i>
      <x v="10"/>
    </i>
    <i>
      <x v="11"/>
    </i>
    <i>
      <x v="12"/>
    </i>
    <i>
      <x v="13"/>
    </i>
    <i>
      <x v="14"/>
    </i>
    <i>
      <x v="15"/>
    </i>
    <i>
      <x v="16"/>
    </i>
    <i t="grand">
      <x/>
    </i>
  </rowItems>
  <colFields count="1">
    <field x="4"/>
  </colFields>
  <colItems count="11">
    <i>
      <x/>
    </i>
    <i>
      <x v="1"/>
    </i>
    <i>
      <x v="2"/>
    </i>
    <i>
      <x v="3"/>
    </i>
    <i>
      <x v="4"/>
    </i>
    <i>
      <x v="5"/>
    </i>
    <i>
      <x v="6"/>
    </i>
    <i>
      <x v="7"/>
    </i>
    <i>
      <x v="8"/>
    </i>
    <i>
      <x v="9"/>
    </i>
    <i t="grand">
      <x/>
    </i>
  </colItems>
  <dataFields count="1">
    <dataField name="Sum of Value" fld="5" baseField="0" baseItem="0" numFmtId="169"/>
  </dataFields>
  <formats count="1">
    <format dxfId="3">
      <pivotArea outline="0" collapsedLevelsAreSubtotals="1" fieldPosition="0"/>
    </format>
  </formats>
  <chartFormats count="10">
    <chartFormat chart="2" format="20" series="1">
      <pivotArea type="data" outline="0" fieldPosition="0">
        <references count="2">
          <reference field="4294967294" count="1" selected="0">
            <x v="0"/>
          </reference>
          <reference field="4" count="1" selected="0">
            <x v="0"/>
          </reference>
        </references>
      </pivotArea>
    </chartFormat>
    <chartFormat chart="2" format="21" series="1">
      <pivotArea type="data" outline="0" fieldPosition="0">
        <references count="2">
          <reference field="4294967294" count="1" selected="0">
            <x v="0"/>
          </reference>
          <reference field="4" count="1" selected="0">
            <x v="1"/>
          </reference>
        </references>
      </pivotArea>
    </chartFormat>
    <chartFormat chart="2" format="22" series="1">
      <pivotArea type="data" outline="0" fieldPosition="0">
        <references count="2">
          <reference field="4294967294" count="1" selected="0">
            <x v="0"/>
          </reference>
          <reference field="4" count="1" selected="0">
            <x v="2"/>
          </reference>
        </references>
      </pivotArea>
    </chartFormat>
    <chartFormat chart="2" format="23" series="1">
      <pivotArea type="data" outline="0" fieldPosition="0">
        <references count="2">
          <reference field="4294967294" count="1" selected="0">
            <x v="0"/>
          </reference>
          <reference field="4" count="1" selected="0">
            <x v="3"/>
          </reference>
        </references>
      </pivotArea>
    </chartFormat>
    <chartFormat chart="2" format="24" series="1">
      <pivotArea type="data" outline="0" fieldPosition="0">
        <references count="2">
          <reference field="4294967294" count="1" selected="0">
            <x v="0"/>
          </reference>
          <reference field="4" count="1" selected="0">
            <x v="4"/>
          </reference>
        </references>
      </pivotArea>
    </chartFormat>
    <chartFormat chart="2" format="25" series="1">
      <pivotArea type="data" outline="0" fieldPosition="0">
        <references count="2">
          <reference field="4294967294" count="1" selected="0">
            <x v="0"/>
          </reference>
          <reference field="4" count="1" selected="0">
            <x v="5"/>
          </reference>
        </references>
      </pivotArea>
    </chartFormat>
    <chartFormat chart="2" format="26" series="1">
      <pivotArea type="data" outline="0" fieldPosition="0">
        <references count="2">
          <reference field="4294967294" count="1" selected="0">
            <x v="0"/>
          </reference>
          <reference field="4" count="1" selected="0">
            <x v="6"/>
          </reference>
        </references>
      </pivotArea>
    </chartFormat>
    <chartFormat chart="2" format="27" series="1">
      <pivotArea type="data" outline="0" fieldPosition="0">
        <references count="2">
          <reference field="4294967294" count="1" selected="0">
            <x v="0"/>
          </reference>
          <reference field="4" count="1" selected="0">
            <x v="7"/>
          </reference>
        </references>
      </pivotArea>
    </chartFormat>
    <chartFormat chart="2" format="28" series="1">
      <pivotArea type="data" outline="0" fieldPosition="0">
        <references count="2">
          <reference field="4294967294" count="1" selected="0">
            <x v="0"/>
          </reference>
          <reference field="4" count="1" selected="0">
            <x v="8"/>
          </reference>
        </references>
      </pivotArea>
    </chartFormat>
    <chartFormat chart="2" format="29" series="1">
      <pivotArea type="data" outline="0" fieldPosition="0">
        <references count="2">
          <reference field="4294967294" count="1" selected="0">
            <x v="0"/>
          </reference>
          <reference field="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019EA4-A497-4FBB-9E92-AF1868CCB912}" name="Category"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W4:X15" firstHeaderRow="1" firstDataRow="1" firstDataCol="1"/>
  <pivotFields count="6">
    <pivotField showAll="0">
      <items count="18">
        <item x="0"/>
        <item x="9"/>
        <item x="10"/>
        <item x="11"/>
        <item x="12"/>
        <item x="13"/>
        <item x="14"/>
        <item x="15"/>
        <item x="16"/>
        <item x="1"/>
        <item x="2"/>
        <item x="3"/>
        <item x="4"/>
        <item x="5"/>
        <item x="6"/>
        <item x="7"/>
        <item x="8"/>
        <item t="default"/>
      </items>
    </pivotField>
    <pivotField showAll="0">
      <items count="7">
        <item x="2"/>
        <item x="3"/>
        <item x="4"/>
        <item x="0"/>
        <item x="1"/>
        <item x="5"/>
        <item t="default"/>
      </items>
    </pivotField>
    <pivotField showAll="0"/>
    <pivotField showAll="0"/>
    <pivotField axis="axisRow" showAll="0">
      <items count="11">
        <item x="4"/>
        <item x="7"/>
        <item x="5"/>
        <item x="9"/>
        <item x="8"/>
        <item x="2"/>
        <item x="1"/>
        <item x="3"/>
        <item x="0"/>
        <item x="6"/>
        <item t="default"/>
      </items>
    </pivotField>
    <pivotField dataField="1" showAll="0"/>
  </pivotFields>
  <rowFields count="1">
    <field x="4"/>
  </rowFields>
  <rowItems count="11">
    <i>
      <x/>
    </i>
    <i>
      <x v="1"/>
    </i>
    <i>
      <x v="2"/>
    </i>
    <i>
      <x v="3"/>
    </i>
    <i>
      <x v="4"/>
    </i>
    <i>
      <x v="5"/>
    </i>
    <i>
      <x v="6"/>
    </i>
    <i>
      <x v="7"/>
    </i>
    <i>
      <x v="8"/>
    </i>
    <i>
      <x v="9"/>
    </i>
    <i t="grand">
      <x/>
    </i>
  </rowItems>
  <colItems count="1">
    <i/>
  </colItems>
  <dataFields count="1">
    <dataField name="Sum of Value" fld="5"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A507F98-38E2-484E-82DF-436A1D59EF65}" autoFormatId="16" applyNumberFormats="0" applyBorderFormats="0" applyFontFormats="0" applyPatternFormats="0" applyAlignmentFormats="0" applyWidthHeightFormats="0">
  <queryTableRefresh nextId="7">
    <queryTableFields count="6">
      <queryTableField id="1" name="Employee" tableColumnId="7"/>
      <queryTableField id="2" name="Department" tableColumnId="2"/>
      <queryTableField id="3" name="Current Month Leaves" tableColumnId="3"/>
      <queryTableField id="4" name="Yearly Leaves" tableColumnId="4"/>
      <queryTableField id="5" name="Attribute" tableColumnId="5"/>
      <queryTableField id="6" name="Value"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 xr10:uid="{7F3C9D07-8D85-45FC-A339-A26E655461A0}" sourceName="Attribute">
  <pivotTables>
    <pivotTable tabId="15" name="EMP"/>
    <pivotTable tabId="15" name="statistics"/>
    <pivotTable tabId="15" name="Department"/>
  </pivotTables>
  <data>
    <tabular pivotCacheId="2034652922">
      <items count="10">
        <i x="4" s="1"/>
        <i x="7" s="1"/>
        <i x="5" s="1"/>
        <i x="9" s="1"/>
        <i x="8" s="1"/>
        <i x="2" s="1"/>
        <i x="1" s="1"/>
        <i x="3" s="1"/>
        <i x="0"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6245C25A-01F4-442A-8649-46AA4131E6F9}" sourceName="Department">
  <pivotTables>
    <pivotTable tabId="15" name="EMP"/>
    <pivotTable tabId="15" name="statistics"/>
    <pivotTable tabId="15" name="Category"/>
  </pivotTables>
  <data>
    <tabular pivotCacheId="2034652922">
      <items count="6">
        <i x="2" s="1"/>
        <i x="3" s="1"/>
        <i x="4" s="1"/>
        <i x="0" s="1"/>
        <i x="1" s="1"/>
        <i x="5"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4E0E2138-D122-4817-A570-E548CFE2189D}" sourceName="Employee">
  <pivotTables>
    <pivotTable tabId="15" name="EMP"/>
    <pivotTable tabId="15" name="Category"/>
    <pivotTable tabId="15" name="statistics"/>
    <pivotTable tabId="15" name="Department"/>
  </pivotTables>
  <data>
    <tabular pivotCacheId="2034652922">
      <items count="17">
        <i x="0" s="1"/>
        <i x="9" s="1"/>
        <i x="10" s="1"/>
        <i x="11" s="1"/>
        <i x="12" s="1"/>
        <i x="13" s="1"/>
        <i x="14" s="1"/>
        <i x="15" s="1"/>
        <i x="16" s="1"/>
        <i x="1" s="1"/>
        <i x="2" s="1"/>
        <i x="3" s="1"/>
        <i x="4" s="1"/>
        <i x="5" s="1"/>
        <i x="6" s="1"/>
        <i x="7"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ttribute" xr10:uid="{6670F485-A856-41B0-8BFB-80822FBB55E7}" cache="Slicer_Attribute" caption="Leave Category" columnCount="2" style="Slicer Style 1" rowHeight="241300"/>
  <slicer name="Department" xr10:uid="{2F996F8B-0124-4510-A027-AB91D637F2D0}" cache="Slicer_Department" caption="Department" columnCount="2" style="Slicer Style 1" rowHeight="241300"/>
  <slicer name="Employee" xr10:uid="{E93EB0BE-F55D-4C12-840D-4D7E26B1728F}" cache="Slicer_Employee" caption="Employee" columnCount="2" style="Slicer Style 1" rowHeight="2413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lidayList" displayName="HolidayList" ref="B2:C11" totalsRowShown="0" headerRowDxfId="28" dataDxfId="26" headerRowBorderDxfId="27" tableBorderDxfId="25" totalsRowBorderDxfId="24">
  <tableColumns count="2">
    <tableColumn id="1" xr3:uid="{00000000-0010-0000-0000-000001000000}" name="Holiday" dataDxfId="23"/>
    <tableColumn id="2" xr3:uid="{00000000-0010-0000-0000-000002000000}" name="Date" dataDxfId="22"/>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A4B34B-2617-454A-9391-D4EF693CEF28}" name="EMP" displayName="EMP" ref="E2:F22" totalsRowShown="0" headerRowDxfId="21" headerRowBorderDxfId="20" tableBorderDxfId="19" totalsRowBorderDxfId="18">
  <tableColumns count="2">
    <tableColumn id="1" xr3:uid="{5E14D845-78C5-44A5-97C3-81776A648AB8}" name="Employee Names" dataDxfId="17"/>
    <tableColumn id="2" xr3:uid="{FFF58CA1-0D31-4474-A00F-8F8C310A339A}" name="Department" dataDxfId="16"/>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B6C7EE-30CE-4EA8-BF3F-2A0306DC57E5}" name="Table3" displayName="Table3" ref="H2:H8" totalsRowShown="0" headerRowDxfId="15" dataDxfId="13" headerRowBorderDxfId="14" tableBorderDxfId="12" totalsRowBorderDxfId="11">
  <tableColumns count="1">
    <tableColumn id="1" xr3:uid="{49A76762-8E45-4575-90CF-7F21ACEC8453}" name="Departments" dataDxfId="1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6E2806-B2D7-4D6E-9BAE-3AF457B26DCA}" name="tracker" displayName="tracker" ref="B3:O351" totalsRowShown="0" headerRowDxfId="9" headerRowBorderDxfId="8" tableBorderDxfId="7">
  <autoFilter ref="B3:O351" xr:uid="{7E09F43E-1B16-4150-94C1-629D31CA5C26}"/>
  <tableColumns count="14">
    <tableColumn id="1" xr3:uid="{D011F170-6703-4AAE-9A35-FE00FE65DFA1}" name="Employee">
      <calculatedColumnFormula>IFERROR(IF('Yearly Leave Tracker'!A8="","",'Yearly Leave Tracker'!A8),"")</calculatedColumnFormula>
    </tableColumn>
    <tableColumn id="2" xr3:uid="{F5E3773F-7C95-494E-BC01-1FC8F74B1BAE}" name="Department">
      <calculatedColumnFormula>IFERROR(VLOOKUP(B4,Database!E:F,2,0),"")</calculatedColumnFormula>
    </tableColumn>
    <tableColumn id="3" xr3:uid="{1D1702D5-65BE-4397-A2B6-B0971401EDBE}" name="Current Month Leaves">
      <calculatedColumnFormula>IFERROR(VLOOKUP(B4,'Yearly Leave Tracker'!A:NU,374,0),"")</calculatedColumnFormula>
    </tableColumn>
    <tableColumn id="4" xr3:uid="{3AF2E6F7-9DAB-4E2E-AACD-896EBA744E09}" name="Yearly Leaves">
      <calculatedColumnFormula>IFERROR(VLOOKUP(B4,'Yearly Leave Tracker'!A:NU,375,0),"")</calculatedColumnFormula>
    </tableColumn>
    <tableColumn id="5" xr3:uid="{F3F96F77-F2D4-477F-A623-F7F5DB02652E}" name="Sick">
      <calculatedColumnFormula>IFERROR(VLOOKUP(B4,'Yearly Leave Tracker'!A:NU,376,0),"")</calculatedColumnFormula>
    </tableColumn>
    <tableColumn id="6" xr3:uid="{CFCCD24E-749C-4853-9AE2-117A059B2D0F}" name="Normal">
      <calculatedColumnFormula>IFERROR(VLOOKUP(B4,'Yearly Leave Tracker'!A:NU,377,0),"")</calculatedColumnFormula>
    </tableColumn>
    <tableColumn id="7" xr3:uid="{18D6874C-1133-4833-9A45-BF091F780297}" name="Millitary">
      <calculatedColumnFormula>IFERROR(VLOOKUP(B4,'Yearly Leave Tracker'!A:NU,378,0),"")</calculatedColumnFormula>
    </tableColumn>
    <tableColumn id="8" xr3:uid="{BE9B22BC-125C-4519-99E8-E5351A860E69}" name="Paternity">
      <calculatedColumnFormula>IFERROR(VLOOKUP(B4,'Yearly Leave Tracker'!A:NU,379,0),"")</calculatedColumnFormula>
    </tableColumn>
    <tableColumn id="9" xr3:uid="{8BBB24F4-2C24-419F-95CD-622B8B778CC7}" name="Casual">
      <calculatedColumnFormula>IFERROR(VLOOKUP(B4,'Yearly Leave Tracker'!A:NU,380,0),"")</calculatedColumnFormula>
    </tableColumn>
    <tableColumn id="10" xr3:uid="{50088070-7CFD-4C27-9045-E4E50E9D09BF}" name="Compensate">
      <calculatedColumnFormula>IFERROR(VLOOKUP(B4,'Yearly Leave Tracker'!A:NU,381,0),"")</calculatedColumnFormula>
    </tableColumn>
    <tableColumn id="11" xr3:uid="{40FD37F8-21F3-4C6E-A912-D0016BC2ACA6}" name="Work From Home">
      <calculatedColumnFormula>IFERROR(VLOOKUP(B4,'Yearly Leave Tracker'!A:NU,382,0),"")</calculatedColumnFormula>
    </tableColumn>
    <tableColumn id="12" xr3:uid="{944A9695-7D01-4E96-A3EF-588E1216B81F}" name="Company Off">
      <calculatedColumnFormula>IFERROR(VLOOKUP(B4,'Yearly Leave Tracker'!A:NU,383,0),"")</calculatedColumnFormula>
    </tableColumn>
    <tableColumn id="13" xr3:uid="{82A9565D-9FBB-4C76-A3C9-D16D20EABAF4}" name="Late Permission">
      <calculatedColumnFormula>IFERROR(VLOOKUP(B4,'Yearly Leave Tracker'!A:NU,384,0),"")</calculatedColumnFormula>
    </tableColumn>
    <tableColumn id="14" xr3:uid="{126A5114-777C-4851-B679-2702D62B3D82}" name="Early Leave">
      <calculatedColumnFormula>IFERROR(VLOOKUP(B4,'Yearly Leave Tracker'!A:NU,385,0),"")</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3400B12-1962-467F-96DF-ED4DAEA4AA26}" name="track" displayName="track" ref="A1:F171" tableType="queryTable" totalsRowShown="0">
  <autoFilter ref="A1:F171" xr:uid="{23D108F7-3414-42A5-BB0A-A03B1E566B38}"/>
  <tableColumns count="6">
    <tableColumn id="7" xr3:uid="{B2CA5FF1-18E9-4AF5-8778-1677F4E7DC78}" uniqueName="7" name="Employee" queryTableFieldId="1" dataDxfId="6"/>
    <tableColumn id="2" xr3:uid="{8DDAE432-53DC-48BE-B941-2CF5D0E24E37}" uniqueName="2" name="Department" queryTableFieldId="2" dataDxfId="5"/>
    <tableColumn id="3" xr3:uid="{D6E7E822-5353-4EE1-A40D-29693353B189}" uniqueName="3" name="Current Month Leaves" queryTableFieldId="3"/>
    <tableColumn id="4" xr3:uid="{99B0232E-EF28-4BFD-B82A-7F2E63FDEF54}" uniqueName="4" name="Yearly Leaves" queryTableFieldId="4"/>
    <tableColumn id="5" xr3:uid="{1B132E0A-19F0-481B-B0DB-FB6A9ECEA5FA}" uniqueName="5" name="Attribute" queryTableFieldId="5" dataDxfId="4"/>
    <tableColumn id="6" xr3:uid="{C25987C3-50EB-496E-8D4D-AF49538777C3}" uniqueName="6" name="Value" queryTableFieldId="6"/>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7D35-72BB-41E9-9FB3-53C7EDFC530F}">
  <sheetPr codeName="Sheet3">
    <tabColor theme="0"/>
  </sheetPr>
  <dimension ref="A1:G65"/>
  <sheetViews>
    <sheetView showGridLines="0" showRowColHeaders="0" tabSelected="1" topLeftCell="A32" zoomScale="85" zoomScaleNormal="85" workbookViewId="0">
      <pane xSplit="3" topLeftCell="D1" activePane="topRight" state="frozen"/>
      <selection pane="topRight" activeCell="C61" sqref="C61:I68"/>
    </sheetView>
  </sheetViews>
  <sheetFormatPr defaultColWidth="10.140625" defaultRowHeight="15" x14ac:dyDescent="0.2"/>
  <cols>
    <col min="1" max="1" width="22.42578125" style="56" customWidth="1"/>
    <col min="2" max="2" width="22.85546875" style="50" customWidth="1"/>
    <col min="3" max="3" width="26.7109375" style="50" customWidth="1"/>
    <col min="4" max="16384" width="10.140625" style="50"/>
  </cols>
  <sheetData>
    <row r="1" spans="1:4" x14ac:dyDescent="0.2">
      <c r="A1" s="49"/>
    </row>
    <row r="2" spans="1:4" x14ac:dyDescent="0.2">
      <c r="A2" s="49"/>
    </row>
    <row r="3" spans="1:4" x14ac:dyDescent="0.2">
      <c r="A3" s="49"/>
    </row>
    <row r="4" spans="1:4" ht="3.6" customHeight="1" x14ac:dyDescent="0.2">
      <c r="A4" s="49"/>
    </row>
    <row r="5" spans="1:4" ht="12.75" x14ac:dyDescent="0.2">
      <c r="A5" s="51" t="s">
        <v>104</v>
      </c>
      <c r="B5" s="52" t="s">
        <v>105</v>
      </c>
      <c r="D5" s="52" t="s">
        <v>121</v>
      </c>
    </row>
    <row r="7" spans="1:4" ht="12.75" x14ac:dyDescent="0.2">
      <c r="A7" s="53"/>
      <c r="B7" s="52" t="s">
        <v>106</v>
      </c>
      <c r="D7" s="50" t="s">
        <v>132</v>
      </c>
    </row>
    <row r="8" spans="1:4" x14ac:dyDescent="0.25">
      <c r="A8" s="65" t="s">
        <v>121</v>
      </c>
    </row>
    <row r="9" spans="1:4" x14ac:dyDescent="0.25">
      <c r="A9" s="65" t="s">
        <v>122</v>
      </c>
    </row>
    <row r="10" spans="1:4" x14ac:dyDescent="0.25">
      <c r="A10" s="64"/>
    </row>
    <row r="11" spans="1:4" ht="12.75" x14ac:dyDescent="0.2">
      <c r="A11" s="53"/>
    </row>
    <row r="12" spans="1:4" ht="12.75" x14ac:dyDescent="0.2">
      <c r="A12" s="53"/>
      <c r="B12" s="52" t="s">
        <v>107</v>
      </c>
      <c r="D12" s="52">
        <v>2</v>
      </c>
    </row>
    <row r="13" spans="1:4" ht="12.75" x14ac:dyDescent="0.2">
      <c r="A13" s="53"/>
    </row>
    <row r="14" spans="1:4" ht="12.75" x14ac:dyDescent="0.2">
      <c r="A14" s="53"/>
      <c r="B14" s="52" t="s">
        <v>108</v>
      </c>
      <c r="C14" s="54"/>
      <c r="D14" s="55"/>
    </row>
    <row r="15" spans="1:4" x14ac:dyDescent="0.2">
      <c r="B15" s="52"/>
      <c r="C15" s="57" t="s">
        <v>121</v>
      </c>
      <c r="D15" s="50" t="s">
        <v>133</v>
      </c>
    </row>
    <row r="16" spans="1:4" ht="12.75" x14ac:dyDescent="0.2">
      <c r="A16" s="53"/>
      <c r="B16" s="52"/>
      <c r="C16" s="57" t="s">
        <v>122</v>
      </c>
      <c r="D16" s="50" t="s">
        <v>134</v>
      </c>
    </row>
    <row r="17" spans="1:4" ht="12.75" x14ac:dyDescent="0.2">
      <c r="A17" s="53"/>
      <c r="B17" s="52"/>
      <c r="C17" s="57"/>
    </row>
    <row r="18" spans="1:4" ht="12.75" x14ac:dyDescent="0.2">
      <c r="A18" s="53"/>
      <c r="C18" s="58"/>
    </row>
    <row r="19" spans="1:4" ht="12.75" x14ac:dyDescent="0.2">
      <c r="A19" s="53"/>
      <c r="B19" s="52" t="s">
        <v>109</v>
      </c>
      <c r="C19" s="58" t="s">
        <v>110</v>
      </c>
      <c r="D19" s="50" t="s">
        <v>135</v>
      </c>
    </row>
    <row r="20" spans="1:4" ht="12.75" x14ac:dyDescent="0.2">
      <c r="A20" s="53"/>
      <c r="C20" s="58"/>
      <c r="D20" s="50" t="s">
        <v>136</v>
      </c>
    </row>
    <row r="21" spans="1:4" ht="12.75" x14ac:dyDescent="0.2">
      <c r="A21" s="53"/>
      <c r="C21" s="58"/>
      <c r="D21" s="50" t="s">
        <v>137</v>
      </c>
    </row>
    <row r="22" spans="1:4" ht="12.75" x14ac:dyDescent="0.2">
      <c r="A22" s="53"/>
      <c r="C22" s="58"/>
      <c r="D22" s="50" t="s">
        <v>138</v>
      </c>
    </row>
    <row r="23" spans="1:4" ht="12.75" customHeight="1" x14ac:dyDescent="0.2">
      <c r="C23" s="58"/>
      <c r="D23" s="50" t="s">
        <v>139</v>
      </c>
    </row>
    <row r="24" spans="1:4" ht="12.75" customHeight="1" x14ac:dyDescent="0.2">
      <c r="C24" s="58" t="s">
        <v>111</v>
      </c>
      <c r="D24" s="50" t="s">
        <v>140</v>
      </c>
    </row>
    <row r="25" spans="1:4" ht="12.75" customHeight="1" x14ac:dyDescent="0.2">
      <c r="C25" s="58" t="s">
        <v>112</v>
      </c>
      <c r="D25" s="50" t="s">
        <v>141</v>
      </c>
    </row>
    <row r="26" spans="1:4" ht="12.75" customHeight="1" x14ac:dyDescent="0.2">
      <c r="C26" s="58" t="s">
        <v>113</v>
      </c>
      <c r="D26" s="50" t="s">
        <v>131</v>
      </c>
    </row>
    <row r="27" spans="1:4" ht="12.75" customHeight="1" x14ac:dyDescent="0.2">
      <c r="C27" s="58" t="s">
        <v>114</v>
      </c>
      <c r="D27" s="50" t="s">
        <v>142</v>
      </c>
    </row>
    <row r="28" spans="1:4" ht="12.75" customHeight="1" x14ac:dyDescent="0.2">
      <c r="C28" s="58" t="s">
        <v>115</v>
      </c>
      <c r="D28" s="50" t="s">
        <v>143</v>
      </c>
    </row>
    <row r="29" spans="1:4" ht="12.75" customHeight="1" x14ac:dyDescent="0.2">
      <c r="C29" s="58" t="s">
        <v>116</v>
      </c>
      <c r="D29" s="50" t="s">
        <v>144</v>
      </c>
    </row>
    <row r="30" spans="1:4" ht="12.75" customHeight="1" x14ac:dyDescent="0.2">
      <c r="C30" s="58" t="s">
        <v>117</v>
      </c>
      <c r="D30" s="50" t="s">
        <v>145</v>
      </c>
    </row>
    <row r="31" spans="1:4" ht="12.75" customHeight="1" x14ac:dyDescent="0.2">
      <c r="C31" s="58" t="s">
        <v>118</v>
      </c>
      <c r="D31" s="50" t="s">
        <v>146</v>
      </c>
    </row>
    <row r="32" spans="1:4" ht="12.75" customHeight="1" x14ac:dyDescent="0.2">
      <c r="C32" s="58" t="s">
        <v>119</v>
      </c>
      <c r="D32" s="50" t="s">
        <v>147</v>
      </c>
    </row>
    <row r="33" spans="2:7" ht="12.75" customHeight="1" x14ac:dyDescent="0.2"/>
    <row r="34" spans="2:7" ht="12.75" customHeight="1" x14ac:dyDescent="0.2"/>
    <row r="35" spans="2:7" ht="12.75" customHeight="1" x14ac:dyDescent="0.2"/>
    <row r="36" spans="2:7" ht="12.75" customHeight="1" x14ac:dyDescent="0.2">
      <c r="C36" s="58"/>
    </row>
    <row r="37" spans="2:7" ht="12.75" customHeight="1" x14ac:dyDescent="0.2">
      <c r="B37" s="78" t="s">
        <v>148</v>
      </c>
      <c r="C37" s="79"/>
      <c r="D37" s="80" t="s">
        <v>149</v>
      </c>
      <c r="E37" s="3"/>
      <c r="F37" s="3"/>
      <c r="G37" s="3"/>
    </row>
    <row r="38" spans="2:7" ht="12.75" customHeight="1" x14ac:dyDescent="0.2">
      <c r="B38" s="3"/>
      <c r="C38" s="3"/>
      <c r="D38" s="80" t="s">
        <v>150</v>
      </c>
      <c r="E38" s="3"/>
      <c r="F38" s="3"/>
      <c r="G38" s="3"/>
    </row>
    <row r="39" spans="2:7" ht="12.75" customHeight="1" x14ac:dyDescent="0.2">
      <c r="B39" s="3"/>
      <c r="C39" s="3"/>
      <c r="D39" s="3"/>
      <c r="E39" s="3"/>
      <c r="F39" s="3"/>
      <c r="G39" s="3"/>
    </row>
    <row r="40" spans="2:7" ht="12.75" customHeight="1" x14ac:dyDescent="0.2">
      <c r="B40" s="3"/>
      <c r="C40" s="81" t="s">
        <v>151</v>
      </c>
      <c r="D40" s="3" t="s">
        <v>152</v>
      </c>
      <c r="E40" s="3"/>
      <c r="F40" s="3"/>
      <c r="G40" s="3"/>
    </row>
    <row r="41" spans="2:7" x14ac:dyDescent="0.2">
      <c r="B41" s="3"/>
      <c r="C41" s="3"/>
      <c r="D41" s="79"/>
      <c r="E41" s="3"/>
      <c r="F41" s="3"/>
      <c r="G41" s="3"/>
    </row>
    <row r="42" spans="2:7" x14ac:dyDescent="0.2">
      <c r="B42" s="3"/>
      <c r="C42" s="3"/>
      <c r="D42" s="79"/>
      <c r="E42" s="3"/>
      <c r="F42" s="3"/>
      <c r="G42" s="3"/>
    </row>
    <row r="43" spans="2:7" x14ac:dyDescent="0.2">
      <c r="B43" s="3"/>
      <c r="C43" s="3"/>
      <c r="D43" s="79"/>
      <c r="E43" s="3"/>
      <c r="F43" s="3"/>
      <c r="G43" s="3"/>
    </row>
    <row r="44" spans="2:7" x14ac:dyDescent="0.2">
      <c r="B44" s="3"/>
      <c r="C44" s="3"/>
      <c r="D44" s="79"/>
      <c r="E44" s="3"/>
      <c r="F44" s="3"/>
      <c r="G44" s="3"/>
    </row>
    <row r="45" spans="2:7" x14ac:dyDescent="0.2">
      <c r="B45" s="3"/>
      <c r="C45" s="3"/>
      <c r="D45" s="79"/>
      <c r="E45" s="3"/>
      <c r="F45" s="3"/>
      <c r="G45" s="3"/>
    </row>
    <row r="46" spans="2:7" x14ac:dyDescent="0.2">
      <c r="B46" s="3"/>
      <c r="C46" s="81" t="s">
        <v>153</v>
      </c>
      <c r="D46" s="3" t="s">
        <v>154</v>
      </c>
      <c r="E46" s="3"/>
      <c r="F46" s="3"/>
      <c r="G46" s="3"/>
    </row>
    <row r="47" spans="2:7" x14ac:dyDescent="0.2">
      <c r="B47" s="3"/>
      <c r="C47" s="3"/>
      <c r="D47" s="3"/>
      <c r="E47" s="3"/>
      <c r="F47" s="3"/>
      <c r="G47" s="3"/>
    </row>
    <row r="48" spans="2:7" x14ac:dyDescent="0.2">
      <c r="B48" s="3"/>
      <c r="C48" s="81" t="s">
        <v>155</v>
      </c>
      <c r="D48" s="3" t="s">
        <v>156</v>
      </c>
      <c r="E48" s="3"/>
      <c r="F48" s="3"/>
      <c r="G48" s="3"/>
    </row>
    <row r="49" spans="2:7" x14ac:dyDescent="0.2">
      <c r="B49" s="3"/>
      <c r="C49" s="3"/>
      <c r="D49" s="3"/>
      <c r="E49" s="3"/>
      <c r="F49" s="3"/>
      <c r="G49" s="3"/>
    </row>
    <row r="50" spans="2:7" x14ac:dyDescent="0.2">
      <c r="B50" s="3"/>
      <c r="C50" s="3"/>
      <c r="D50" s="3"/>
      <c r="E50" s="3"/>
      <c r="F50" s="3"/>
      <c r="G50" s="3"/>
    </row>
    <row r="51" spans="2:7" x14ac:dyDescent="0.2">
      <c r="B51" s="3"/>
      <c r="C51" s="3"/>
      <c r="D51" s="3"/>
      <c r="E51" s="3"/>
      <c r="F51" s="3"/>
      <c r="G51" s="3"/>
    </row>
    <row r="52" spans="2:7" x14ac:dyDescent="0.2">
      <c r="B52" s="3"/>
      <c r="C52" s="3"/>
      <c r="D52" s="3"/>
      <c r="E52" s="3"/>
      <c r="F52" s="3"/>
      <c r="G52" s="3"/>
    </row>
    <row r="53" spans="2:7" x14ac:dyDescent="0.2">
      <c r="B53" s="3"/>
      <c r="C53" s="3"/>
      <c r="D53" s="3"/>
      <c r="E53" s="3"/>
      <c r="F53" s="3"/>
      <c r="G53" s="3"/>
    </row>
    <row r="54" spans="2:7" x14ac:dyDescent="0.2">
      <c r="B54" s="3"/>
      <c r="C54" s="81" t="s">
        <v>157</v>
      </c>
      <c r="D54" s="3" t="s">
        <v>158</v>
      </c>
      <c r="E54" s="3"/>
      <c r="F54" s="3"/>
      <c r="G54" s="3"/>
    </row>
    <row r="55" spans="2:7" x14ac:dyDescent="0.2">
      <c r="B55" s="3"/>
      <c r="C55" s="3"/>
      <c r="D55" s="3"/>
      <c r="E55" s="3"/>
      <c r="F55" s="3"/>
      <c r="G55" s="3"/>
    </row>
    <row r="56" spans="2:7" x14ac:dyDescent="0.2">
      <c r="B56" s="3"/>
      <c r="C56" s="3"/>
      <c r="D56" s="3"/>
      <c r="E56" s="3"/>
      <c r="F56" s="3"/>
      <c r="G56" s="3"/>
    </row>
    <row r="57" spans="2:7" x14ac:dyDescent="0.2">
      <c r="B57" s="3"/>
      <c r="C57" s="3"/>
      <c r="D57" s="3"/>
      <c r="E57" s="3"/>
      <c r="F57" s="3"/>
      <c r="G57" s="3"/>
    </row>
    <row r="58" spans="2:7" x14ac:dyDescent="0.2">
      <c r="B58" s="3"/>
      <c r="C58" s="3"/>
      <c r="D58" s="3"/>
      <c r="E58" s="3"/>
      <c r="F58" s="3"/>
      <c r="G58" s="3"/>
    </row>
    <row r="59" spans="2:7" x14ac:dyDescent="0.2">
      <c r="B59" s="3"/>
      <c r="C59" s="3"/>
      <c r="D59" s="3"/>
      <c r="E59" s="3"/>
      <c r="F59" s="3"/>
      <c r="G59" s="3"/>
    </row>
    <row r="60" spans="2:7" x14ac:dyDescent="0.2">
      <c r="B60" s="3"/>
      <c r="C60" s="3"/>
      <c r="D60" s="80"/>
      <c r="E60" s="3"/>
      <c r="F60" s="3"/>
      <c r="G60" s="3"/>
    </row>
    <row r="61" spans="2:7" x14ac:dyDescent="0.2">
      <c r="B61" s="3"/>
      <c r="C61" s="3"/>
      <c r="E61" s="3"/>
      <c r="F61" s="3"/>
      <c r="G61" s="3"/>
    </row>
    <row r="62" spans="2:7" x14ac:dyDescent="0.2">
      <c r="B62" s="3"/>
      <c r="C62" s="3"/>
      <c r="D62" s="59"/>
      <c r="E62" s="3"/>
      <c r="F62" s="3"/>
      <c r="G62" s="3"/>
    </row>
    <row r="63" spans="2:7" x14ac:dyDescent="0.2">
      <c r="B63" s="3"/>
      <c r="C63" s="3"/>
      <c r="E63" s="3"/>
      <c r="F63" s="3"/>
      <c r="G63" s="3"/>
    </row>
    <row r="64" spans="2:7" x14ac:dyDescent="0.2">
      <c r="B64" s="3"/>
      <c r="C64" s="3"/>
      <c r="E64" s="3"/>
      <c r="F64" s="3"/>
      <c r="G64" s="3"/>
    </row>
    <row r="65" spans="2:7" x14ac:dyDescent="0.2">
      <c r="B65" s="3"/>
      <c r="C65" s="3"/>
      <c r="E65" s="3"/>
      <c r="F65" s="3"/>
      <c r="G65" s="3"/>
    </row>
  </sheetData>
  <conditionalFormatting sqref="D12">
    <cfRule type="iconSet" priority="1">
      <iconSet reverse="1">
        <cfvo type="percent" val="0"/>
        <cfvo type="num" val="1" gte="0"/>
        <cfvo type="num" val="2" gte="0"/>
      </iconSet>
    </cfRule>
  </conditionalFormatting>
  <hyperlinks>
    <hyperlink ref="A8" location="'Yearly Leave Tracker'!A1" display="Yearly Leave Tracker" xr:uid="{B4F5639C-7AF9-493A-899C-884C72F604F2}"/>
    <hyperlink ref="A9" location="Database!A1" display="Database" xr:uid="{3A3EA653-56F5-42D4-A01F-6865C0D9EE57}"/>
  </hyperlink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aveTracker">
    <tabColor rgb="FF50B47F"/>
  </sheetPr>
  <dimension ref="A1:ACG90"/>
  <sheetViews>
    <sheetView showGridLines="0" showRowColHeaders="0" showWhiteSpace="0" zoomScaleNormal="100" zoomScaleSheetLayoutView="100" workbookViewId="0">
      <selection activeCell="G15" sqref="G15"/>
    </sheetView>
  </sheetViews>
  <sheetFormatPr defaultColWidth="0" defaultRowHeight="15" outlineLevelRow="1" x14ac:dyDescent="0.25"/>
  <cols>
    <col min="1" max="1" width="18.140625" customWidth="1"/>
    <col min="2" max="32" width="3.7109375" customWidth="1"/>
    <col min="33" max="373" width="3.7109375" hidden="1" customWidth="1"/>
    <col min="374" max="375" width="8.5703125" customWidth="1"/>
    <col min="376" max="385" width="4" customWidth="1"/>
    <col min="386" max="386" width="1.140625" customWidth="1"/>
    <col min="387" max="387" width="15.7109375" customWidth="1"/>
    <col min="388" max="388" width="10.140625" customWidth="1"/>
    <col min="389" max="401" width="9.140625" customWidth="1"/>
    <col min="402" max="402" width="1.42578125" customWidth="1"/>
    <col min="403" max="761" width="0" style="76" hidden="1" customWidth="1"/>
    <col min="762" max="16384" width="9.140625" style="76" hidden="1"/>
  </cols>
  <sheetData>
    <row r="1" spans="1:402" ht="15" customHeight="1" x14ac:dyDescent="0.25">
      <c r="A1" s="8">
        <v>1</v>
      </c>
      <c r="B1" s="4"/>
      <c r="OF1" s="74"/>
      <c r="OG1" s="74"/>
      <c r="OH1" s="74"/>
      <c r="OI1" s="74"/>
      <c r="OJ1" s="84" t="s">
        <v>120</v>
      </c>
      <c r="OK1" s="85"/>
    </row>
    <row r="2" spans="1:402" x14ac:dyDescent="0.25">
      <c r="A2" s="8">
        <v>2021</v>
      </c>
      <c r="B2" s="4"/>
      <c r="OF2" s="74"/>
      <c r="OG2" s="74"/>
      <c r="OH2" s="74"/>
      <c r="OI2" s="74"/>
      <c r="OJ2" s="86"/>
      <c r="OK2" s="87"/>
    </row>
    <row r="3" spans="1:402" ht="41.25" customHeight="1" thickBot="1" x14ac:dyDescent="0.3">
      <c r="A3" s="5">
        <v>1</v>
      </c>
      <c r="B3" s="6" t="b">
        <f>AND(NOT(ISNUMBER(MATCH(DATE($A$2,INT((COLUMN()-1)/31.001)+$A$1,ROUNDUP(MOD(COLUMN()-1,31.001),0)),HolidayList[Date],0))),(VLOOKUP(VLOOKUP(WEEKDAY(DATE($A$2,INT((COLUMN()-1)/31.001)+$A$1,ROUNDUP(MOD(COLUMN()-1,31.001),0)),2),'Helper sheet'!$D$1:$E$7,2,0),Database!$M$3:$N$9,2,0)="Yes"))</f>
        <v>0</v>
      </c>
      <c r="C3" s="6" t="b">
        <f>AND(NOT(ISNUMBER(MATCH(DATE($A$2,INT((COLUMN()-1)/31.001)+$A$1,ROUNDUP(MOD(COLUMN()-1,31.001),0)),HolidayList[Date],0))),(VLOOKUP(VLOOKUP(WEEKDAY(DATE($A$2,INT((COLUMN()-1)/31.001)+$A$1,ROUNDUP(MOD(COLUMN()-1,31.001),0)),2),'Helper sheet'!$D$1:$E$7,2,0),Database!$M$3:$N$9,2,0)="Yes"))</f>
        <v>0</v>
      </c>
      <c r="D3" s="6" t="b">
        <f>AND(NOT(ISNUMBER(MATCH(DATE($A$2,INT((COLUMN()-1)/31.001)+$A$1,ROUNDUP(MOD(COLUMN()-1,31.001),0)),HolidayList[Date],0))),(VLOOKUP(VLOOKUP(WEEKDAY(DATE($A$2,INT((COLUMN()-1)/31.001)+$A$1,ROUNDUP(MOD(COLUMN()-1,31.001),0)),2),'Helper sheet'!$D$1:$E$7,2,0),Database!$M$3:$N$9,2,0)="Yes"))</f>
        <v>1</v>
      </c>
      <c r="E3" s="6" t="b">
        <f>AND(NOT(ISNUMBER(MATCH(DATE($A$2,INT((COLUMN()-1)/31.001)+$A$1,ROUNDUP(MOD(COLUMN()-1,31.001),0)),HolidayList[Date],0))),(VLOOKUP(VLOOKUP(WEEKDAY(DATE($A$2,INT((COLUMN()-1)/31.001)+$A$1,ROUNDUP(MOD(COLUMN()-1,31.001),0)),2),'Helper sheet'!$D$1:$E$7,2,0),Database!$M$3:$N$9,2,0)="Yes"))</f>
        <v>1</v>
      </c>
      <c r="F3" s="6" t="b">
        <f>AND(NOT(ISNUMBER(MATCH(DATE($A$2,INT((COLUMN()-1)/31.001)+$A$1,ROUNDUP(MOD(COLUMN()-1,31.001),0)),HolidayList[Date],0))),(VLOOKUP(VLOOKUP(WEEKDAY(DATE($A$2,INT((COLUMN()-1)/31.001)+$A$1,ROUNDUP(MOD(COLUMN()-1,31.001),0)),2),'Helper sheet'!$D$1:$E$7,2,0),Database!$M$3:$N$9,2,0)="Yes"))</f>
        <v>1</v>
      </c>
      <c r="G3" s="6" t="b">
        <f>AND(NOT(ISNUMBER(MATCH(DATE($A$2,INT((COLUMN()-1)/31.001)+$A$1,ROUNDUP(MOD(COLUMN()-1,31.001),0)),HolidayList[Date],0))),(VLOOKUP(VLOOKUP(WEEKDAY(DATE($A$2,INT((COLUMN()-1)/31.001)+$A$1,ROUNDUP(MOD(COLUMN()-1,31.001),0)),2),'Helper sheet'!$D$1:$E$7,2,0),Database!$M$3:$N$9,2,0)="Yes"))</f>
        <v>1</v>
      </c>
      <c r="H3" s="6" t="b">
        <f>AND(NOT(ISNUMBER(MATCH(DATE($A$2,INT((COLUMN()-1)/31.001)+$A$1,ROUNDUP(MOD(COLUMN()-1,31.001),0)),HolidayList[Date],0))),(VLOOKUP(VLOOKUP(WEEKDAY(DATE($A$2,INT((COLUMN()-1)/31.001)+$A$1,ROUNDUP(MOD(COLUMN()-1,31.001),0)),2),'Helper sheet'!$D$1:$E$7,2,0),Database!$M$3:$N$9,2,0)="Yes"))</f>
        <v>1</v>
      </c>
      <c r="I3" s="6" t="b">
        <f>AND(NOT(ISNUMBER(MATCH(DATE($A$2,INT((COLUMN()-1)/31.001)+$A$1,ROUNDUP(MOD(COLUMN()-1,31.001),0)),HolidayList[Date],0))),(VLOOKUP(VLOOKUP(WEEKDAY(DATE($A$2,INT((COLUMN()-1)/31.001)+$A$1,ROUNDUP(MOD(COLUMN()-1,31.001),0)),2),'Helper sheet'!$D$1:$E$7,2,0),Database!$M$3:$N$9,2,0)="Yes"))</f>
        <v>0</v>
      </c>
      <c r="J3" s="6" t="b">
        <f>AND(NOT(ISNUMBER(MATCH(DATE($A$2,INT((COLUMN()-1)/31.001)+$A$1,ROUNDUP(MOD(COLUMN()-1,31.001),0)),HolidayList[Date],0))),(VLOOKUP(VLOOKUP(WEEKDAY(DATE($A$2,INT((COLUMN()-1)/31.001)+$A$1,ROUNDUP(MOD(COLUMN()-1,31.001),0)),2),'Helper sheet'!$D$1:$E$7,2,0),Database!$M$3:$N$9,2,0)="Yes"))</f>
        <v>0</v>
      </c>
      <c r="K3" s="6" t="b">
        <f>AND(NOT(ISNUMBER(MATCH(DATE($A$2,INT((COLUMN()-1)/31.001)+$A$1,ROUNDUP(MOD(COLUMN()-1,31.001),0)),HolidayList[Date],0))),(VLOOKUP(VLOOKUP(WEEKDAY(DATE($A$2,INT((COLUMN()-1)/31.001)+$A$1,ROUNDUP(MOD(COLUMN()-1,31.001),0)),2),'Helper sheet'!$D$1:$E$7,2,0),Database!$M$3:$N$9,2,0)="Yes"))</f>
        <v>1</v>
      </c>
      <c r="L3" s="6" t="b">
        <f>AND(NOT(ISNUMBER(MATCH(DATE($A$2,INT((COLUMN()-1)/31.001)+$A$1,ROUNDUP(MOD(COLUMN()-1,31.001),0)),HolidayList[Date],0))),(VLOOKUP(VLOOKUP(WEEKDAY(DATE($A$2,INT((COLUMN()-1)/31.001)+$A$1,ROUNDUP(MOD(COLUMN()-1,31.001),0)),2),'Helper sheet'!$D$1:$E$7,2,0),Database!$M$3:$N$9,2,0)="Yes"))</f>
        <v>1</v>
      </c>
      <c r="M3" s="6" t="b">
        <f>AND(NOT(ISNUMBER(MATCH(DATE($A$2,INT((COLUMN()-1)/31.001)+$A$1,ROUNDUP(MOD(COLUMN()-1,31.001),0)),HolidayList[Date],0))),(VLOOKUP(VLOOKUP(WEEKDAY(DATE($A$2,INT((COLUMN()-1)/31.001)+$A$1,ROUNDUP(MOD(COLUMN()-1,31.001),0)),2),'Helper sheet'!$D$1:$E$7,2,0),Database!$M$3:$N$9,2,0)="Yes"))</f>
        <v>1</v>
      </c>
      <c r="N3" s="6" t="b">
        <f>AND(NOT(ISNUMBER(MATCH(DATE($A$2,INT((COLUMN()-1)/31.001)+$A$1,ROUNDUP(MOD(COLUMN()-1,31.001),0)),HolidayList[Date],0))),(VLOOKUP(VLOOKUP(WEEKDAY(DATE($A$2,INT((COLUMN()-1)/31.001)+$A$1,ROUNDUP(MOD(COLUMN()-1,31.001),0)),2),'Helper sheet'!$D$1:$E$7,2,0),Database!$M$3:$N$9,2,0)="Yes"))</f>
        <v>1</v>
      </c>
      <c r="O3" s="6" t="b">
        <f>AND(NOT(ISNUMBER(MATCH(DATE($A$2,INT((COLUMN()-1)/31.001)+$A$1,ROUNDUP(MOD(COLUMN()-1,31.001),0)),HolidayList[Date],0))),(VLOOKUP(VLOOKUP(WEEKDAY(DATE($A$2,INT((COLUMN()-1)/31.001)+$A$1,ROUNDUP(MOD(COLUMN()-1,31.001),0)),2),'Helper sheet'!$D$1:$E$7,2,0),Database!$M$3:$N$9,2,0)="Yes"))</f>
        <v>1</v>
      </c>
      <c r="P3" s="6" t="b">
        <f>AND(NOT(ISNUMBER(MATCH(DATE($A$2,INT((COLUMN()-1)/31.001)+$A$1,ROUNDUP(MOD(COLUMN()-1,31.001),0)),HolidayList[Date],0))),(VLOOKUP(VLOOKUP(WEEKDAY(DATE($A$2,INT((COLUMN()-1)/31.001)+$A$1,ROUNDUP(MOD(COLUMN()-1,31.001),0)),2),'Helper sheet'!$D$1:$E$7,2,0),Database!$M$3:$N$9,2,0)="Yes"))</f>
        <v>0</v>
      </c>
      <c r="Q3" s="6" t="b">
        <f>AND(NOT(ISNUMBER(MATCH(DATE($A$2,INT((COLUMN()-1)/31.001)+$A$1,ROUNDUP(MOD(COLUMN()-1,31.001),0)),HolidayList[Date],0))),(VLOOKUP(VLOOKUP(WEEKDAY(DATE($A$2,INT((COLUMN()-1)/31.001)+$A$1,ROUNDUP(MOD(COLUMN()-1,31.001),0)),2),'Helper sheet'!$D$1:$E$7,2,0),Database!$M$3:$N$9,2,0)="Yes"))</f>
        <v>0</v>
      </c>
      <c r="R3" s="6" t="b">
        <f>AND(NOT(ISNUMBER(MATCH(DATE($A$2,INT((COLUMN()-1)/31.001)+$A$1,ROUNDUP(MOD(COLUMN()-1,31.001),0)),HolidayList[Date],0))),(VLOOKUP(VLOOKUP(WEEKDAY(DATE($A$2,INT((COLUMN()-1)/31.001)+$A$1,ROUNDUP(MOD(COLUMN()-1,31.001),0)),2),'Helper sheet'!$D$1:$E$7,2,0),Database!$M$3:$N$9,2,0)="Yes"))</f>
        <v>1</v>
      </c>
      <c r="S3" s="6" t="b">
        <f>AND(NOT(ISNUMBER(MATCH(DATE($A$2,INT((COLUMN()-1)/31.001)+$A$1,ROUNDUP(MOD(COLUMN()-1,31.001),0)),HolidayList[Date],0))),(VLOOKUP(VLOOKUP(WEEKDAY(DATE($A$2,INT((COLUMN()-1)/31.001)+$A$1,ROUNDUP(MOD(COLUMN()-1,31.001),0)),2),'Helper sheet'!$D$1:$E$7,2,0),Database!$M$3:$N$9,2,0)="Yes"))</f>
        <v>1</v>
      </c>
      <c r="T3" s="6" t="b">
        <f>AND(NOT(ISNUMBER(MATCH(DATE($A$2,INT((COLUMN()-1)/31.001)+$A$1,ROUNDUP(MOD(COLUMN()-1,31.001),0)),HolidayList[Date],0))),(VLOOKUP(VLOOKUP(WEEKDAY(DATE($A$2,INT((COLUMN()-1)/31.001)+$A$1,ROUNDUP(MOD(COLUMN()-1,31.001),0)),2),'Helper sheet'!$D$1:$E$7,2,0),Database!$M$3:$N$9,2,0)="Yes"))</f>
        <v>1</v>
      </c>
      <c r="U3" s="6" t="b">
        <f>AND(NOT(ISNUMBER(MATCH(DATE($A$2,INT((COLUMN()-1)/31.001)+$A$1,ROUNDUP(MOD(COLUMN()-1,31.001),0)),HolidayList[Date],0))),(VLOOKUP(VLOOKUP(WEEKDAY(DATE($A$2,INT((COLUMN()-1)/31.001)+$A$1,ROUNDUP(MOD(COLUMN()-1,31.001),0)),2),'Helper sheet'!$D$1:$E$7,2,0),Database!$M$3:$N$9,2,0)="Yes"))</f>
        <v>1</v>
      </c>
      <c r="V3" s="6" t="b">
        <f>AND(NOT(ISNUMBER(MATCH(DATE($A$2,INT((COLUMN()-1)/31.001)+$A$1,ROUNDUP(MOD(COLUMN()-1,31.001),0)),HolidayList[Date],0))),(VLOOKUP(VLOOKUP(WEEKDAY(DATE($A$2,INT((COLUMN()-1)/31.001)+$A$1,ROUNDUP(MOD(COLUMN()-1,31.001),0)),2),'Helper sheet'!$D$1:$E$7,2,0),Database!$M$3:$N$9,2,0)="Yes"))</f>
        <v>1</v>
      </c>
      <c r="W3" s="6" t="b">
        <f>AND(NOT(ISNUMBER(MATCH(DATE($A$2,INT((COLUMN()-1)/31.001)+$A$1,ROUNDUP(MOD(COLUMN()-1,31.001),0)),HolidayList[Date],0))),(VLOOKUP(VLOOKUP(WEEKDAY(DATE($A$2,INT((COLUMN()-1)/31.001)+$A$1,ROUNDUP(MOD(COLUMN()-1,31.001),0)),2),'Helper sheet'!$D$1:$E$7,2,0),Database!$M$3:$N$9,2,0)="Yes"))</f>
        <v>0</v>
      </c>
      <c r="X3" s="6" t="b">
        <f>AND(NOT(ISNUMBER(MATCH(DATE($A$2,INT((COLUMN()-1)/31.001)+$A$1,ROUNDUP(MOD(COLUMN()-1,31.001),0)),HolidayList[Date],0))),(VLOOKUP(VLOOKUP(WEEKDAY(DATE($A$2,INT((COLUMN()-1)/31.001)+$A$1,ROUNDUP(MOD(COLUMN()-1,31.001),0)),2),'Helper sheet'!$D$1:$E$7,2,0),Database!$M$3:$N$9,2,0)="Yes"))</f>
        <v>0</v>
      </c>
      <c r="Y3" s="6" t="b">
        <f>AND(NOT(ISNUMBER(MATCH(DATE($A$2,INT((COLUMN()-1)/31.001)+$A$1,ROUNDUP(MOD(COLUMN()-1,31.001),0)),HolidayList[Date],0))),(VLOOKUP(VLOOKUP(WEEKDAY(DATE($A$2,INT((COLUMN()-1)/31.001)+$A$1,ROUNDUP(MOD(COLUMN()-1,31.001),0)),2),'Helper sheet'!$D$1:$E$7,2,0),Database!$M$3:$N$9,2,0)="Yes"))</f>
        <v>1</v>
      </c>
      <c r="Z3" s="6" t="b">
        <f>AND(NOT(ISNUMBER(MATCH(DATE($A$2,INT((COLUMN()-1)/31.001)+$A$1,ROUNDUP(MOD(COLUMN()-1,31.001),0)),HolidayList[Date],0))),(VLOOKUP(VLOOKUP(WEEKDAY(DATE($A$2,INT((COLUMN()-1)/31.001)+$A$1,ROUNDUP(MOD(COLUMN()-1,31.001),0)),2),'Helper sheet'!$D$1:$E$7,2,0),Database!$M$3:$N$9,2,0)="Yes"))</f>
        <v>0</v>
      </c>
      <c r="AA3" s="6" t="b">
        <f>AND(NOT(ISNUMBER(MATCH(DATE($A$2,INT((COLUMN()-1)/31.001)+$A$1,ROUNDUP(MOD(COLUMN()-1,31.001),0)),HolidayList[Date],0))),(VLOOKUP(VLOOKUP(WEEKDAY(DATE($A$2,INT((COLUMN()-1)/31.001)+$A$1,ROUNDUP(MOD(COLUMN()-1,31.001),0)),2),'Helper sheet'!$D$1:$E$7,2,0),Database!$M$3:$N$9,2,0)="Yes"))</f>
        <v>1</v>
      </c>
      <c r="AB3" s="6" t="b">
        <f>AND(NOT(ISNUMBER(MATCH(DATE($A$2,INT((COLUMN()-1)/31.001)+$A$1,ROUNDUP(MOD(COLUMN()-1,31.001),0)),HolidayList[Date],0))),(VLOOKUP(VLOOKUP(WEEKDAY(DATE($A$2,INT((COLUMN()-1)/31.001)+$A$1,ROUNDUP(MOD(COLUMN()-1,31.001),0)),2),'Helper sheet'!$D$1:$E$7,2,0),Database!$M$3:$N$9,2,0)="Yes"))</f>
        <v>1</v>
      </c>
      <c r="AC3" s="6" t="b">
        <f>AND(NOT(ISNUMBER(MATCH(DATE($A$2,INT((COLUMN()-1)/31.001)+$A$1,ROUNDUP(MOD(COLUMN()-1,31.001),0)),HolidayList[Date],0))),(VLOOKUP(VLOOKUP(WEEKDAY(DATE($A$2,INT((COLUMN()-1)/31.001)+$A$1,ROUNDUP(MOD(COLUMN()-1,31.001),0)),2),'Helper sheet'!$D$1:$E$7,2,0),Database!$M$3:$N$9,2,0)="Yes"))</f>
        <v>1</v>
      </c>
      <c r="AD3" s="6" t="b">
        <f>AND(NOT(ISNUMBER(MATCH(DATE($A$2,INT((COLUMN()-1)/31.001)+$A$1,ROUNDUP(MOD(COLUMN()-1,31.001),0)),HolidayList[Date],0))),(VLOOKUP(VLOOKUP(WEEKDAY(DATE($A$2,INT((COLUMN()-1)/31.001)+$A$1,ROUNDUP(MOD(COLUMN()-1,31.001),0)),2),'Helper sheet'!$D$1:$E$7,2,0),Database!$M$3:$N$9,2,0)="Yes"))</f>
        <v>0</v>
      </c>
      <c r="AE3" s="6" t="b">
        <f>AND(NOT(ISNUMBER(MATCH(DATE($A$2,INT((COLUMN()-1)/31.001)+$A$1,ROUNDUP(MOD(COLUMN()-1,31.001),0)),HolidayList[Date],0))),(VLOOKUP(VLOOKUP(WEEKDAY(DATE($A$2,INT((COLUMN()-1)/31.001)+$A$1,ROUNDUP(MOD(COLUMN()-1,31.001),0)),2),'Helper sheet'!$D$1:$E$7,2,0),Database!$M$3:$N$9,2,0)="Yes"))</f>
        <v>0</v>
      </c>
      <c r="AF3" s="6" t="b">
        <f>AND(NOT(ISNUMBER(MATCH(DATE($A$2,INT((COLUMN()-1)/31.001)+$A$1,ROUNDUP(MOD(COLUMN()-1,31.001),0)),HolidayList[Date],0))),(VLOOKUP(VLOOKUP(WEEKDAY(DATE($A$2,INT((COLUMN()-1)/31.001)+$A$1,ROUNDUP(MOD(COLUMN()-1,31.001),0)),2),'Helper sheet'!$D$1:$E$7,2,0),Database!$M$3:$N$9,2,0)="Yes"))</f>
        <v>1</v>
      </c>
      <c r="AG3" s="6" t="b">
        <f>AND(NOT(ISNUMBER(MATCH(DATE($A$2,INT((COLUMN()-1)/31.001)+$A$1,ROUNDUP(MOD(COLUMN()-1,31.001),0)),HolidayList[Date],0))),(VLOOKUP(VLOOKUP(WEEKDAY(DATE($A$2,INT((COLUMN()-1)/31.001)+$A$1,ROUNDUP(MOD(COLUMN()-1,31.001),0)),2),'Helper sheet'!$D$1:$E$7,2,0),Database!$M$3:$N$9,2,0)="Yes"))</f>
        <v>1</v>
      </c>
      <c r="AH3" s="6" t="b">
        <f>AND(NOT(ISNUMBER(MATCH(DATE($A$2,INT((COLUMN()-1)/31.001)+$A$1,ROUNDUP(MOD(COLUMN()-1,31.001),0)),HolidayList[Date],0))),(VLOOKUP(VLOOKUP(WEEKDAY(DATE($A$2,INT((COLUMN()-1)/31.001)+$A$1,ROUNDUP(MOD(COLUMN()-1,31.001),0)),2),'Helper sheet'!$D$1:$E$7,2,0),Database!$M$3:$N$9,2,0)="Yes"))</f>
        <v>1</v>
      </c>
      <c r="AI3" s="6" t="b">
        <f>AND(NOT(ISNUMBER(MATCH(DATE($A$2,INT((COLUMN()-1)/31.001)+$A$1,ROUNDUP(MOD(COLUMN()-1,31.001),0)),HolidayList[Date],0))),(VLOOKUP(VLOOKUP(WEEKDAY(DATE($A$2,INT((COLUMN()-1)/31.001)+$A$1,ROUNDUP(MOD(COLUMN()-1,31.001),0)),2),'Helper sheet'!$D$1:$E$7,2,0),Database!$M$3:$N$9,2,0)="Yes"))</f>
        <v>1</v>
      </c>
      <c r="AJ3" s="6" t="b">
        <f>AND(NOT(ISNUMBER(MATCH(DATE($A$2,INT((COLUMN()-1)/31.001)+$A$1,ROUNDUP(MOD(COLUMN()-1,31.001),0)),HolidayList[Date],0))),(VLOOKUP(VLOOKUP(WEEKDAY(DATE($A$2,INT((COLUMN()-1)/31.001)+$A$1,ROUNDUP(MOD(COLUMN()-1,31.001),0)),2),'Helper sheet'!$D$1:$E$7,2,0),Database!$M$3:$N$9,2,0)="Yes"))</f>
        <v>1</v>
      </c>
      <c r="AK3" s="6" t="b">
        <f>AND(NOT(ISNUMBER(MATCH(DATE($A$2,INT((COLUMN()-1)/31.001)+$A$1,ROUNDUP(MOD(COLUMN()-1,31.001),0)),HolidayList[Date],0))),(VLOOKUP(VLOOKUP(WEEKDAY(DATE($A$2,INT((COLUMN()-1)/31.001)+$A$1,ROUNDUP(MOD(COLUMN()-1,31.001),0)),2),'Helper sheet'!$D$1:$E$7,2,0),Database!$M$3:$N$9,2,0)="Yes"))</f>
        <v>0</v>
      </c>
      <c r="AL3" s="6" t="b">
        <f>AND(NOT(ISNUMBER(MATCH(DATE($A$2,INT((COLUMN()-1)/31.001)+$A$1,ROUNDUP(MOD(COLUMN()-1,31.001),0)),HolidayList[Date],0))),(VLOOKUP(VLOOKUP(WEEKDAY(DATE($A$2,INT((COLUMN()-1)/31.001)+$A$1,ROUNDUP(MOD(COLUMN()-1,31.001),0)),2),'Helper sheet'!$D$1:$E$7,2,0),Database!$M$3:$N$9,2,0)="Yes"))</f>
        <v>0</v>
      </c>
      <c r="AM3" s="6" t="b">
        <f>AND(NOT(ISNUMBER(MATCH(DATE($A$2,INT((COLUMN()-1)/31.001)+$A$1,ROUNDUP(MOD(COLUMN()-1,31.001),0)),HolidayList[Date],0))),(VLOOKUP(VLOOKUP(WEEKDAY(DATE($A$2,INT((COLUMN()-1)/31.001)+$A$1,ROUNDUP(MOD(COLUMN()-1,31.001),0)),2),'Helper sheet'!$D$1:$E$7,2,0),Database!$M$3:$N$9,2,0)="Yes"))</f>
        <v>1</v>
      </c>
      <c r="AN3" s="6" t="b">
        <f>AND(NOT(ISNUMBER(MATCH(DATE($A$2,INT((COLUMN()-1)/31.001)+$A$1,ROUNDUP(MOD(COLUMN()-1,31.001),0)),HolidayList[Date],0))),(VLOOKUP(VLOOKUP(WEEKDAY(DATE($A$2,INT((COLUMN()-1)/31.001)+$A$1,ROUNDUP(MOD(COLUMN()-1,31.001),0)),2),'Helper sheet'!$D$1:$E$7,2,0),Database!$M$3:$N$9,2,0)="Yes"))</f>
        <v>1</v>
      </c>
      <c r="AO3" s="6" t="b">
        <f>AND(NOT(ISNUMBER(MATCH(DATE($A$2,INT((COLUMN()-1)/31.001)+$A$1,ROUNDUP(MOD(COLUMN()-1,31.001),0)),HolidayList[Date],0))),(VLOOKUP(VLOOKUP(WEEKDAY(DATE($A$2,INT((COLUMN()-1)/31.001)+$A$1,ROUNDUP(MOD(COLUMN()-1,31.001),0)),2),'Helper sheet'!$D$1:$E$7,2,0),Database!$M$3:$N$9,2,0)="Yes"))</f>
        <v>1</v>
      </c>
      <c r="AP3" s="6" t="b">
        <f>AND(NOT(ISNUMBER(MATCH(DATE($A$2,INT((COLUMN()-1)/31.001)+$A$1,ROUNDUP(MOD(COLUMN()-1,31.001),0)),HolidayList[Date],0))),(VLOOKUP(VLOOKUP(WEEKDAY(DATE($A$2,INT((COLUMN()-1)/31.001)+$A$1,ROUNDUP(MOD(COLUMN()-1,31.001),0)),2),'Helper sheet'!$D$1:$E$7,2,0),Database!$M$3:$N$9,2,0)="Yes"))</f>
        <v>1</v>
      </c>
      <c r="AQ3" s="6" t="b">
        <f>AND(NOT(ISNUMBER(MATCH(DATE($A$2,INT((COLUMN()-1)/31.001)+$A$1,ROUNDUP(MOD(COLUMN()-1,31.001),0)),HolidayList[Date],0))),(VLOOKUP(VLOOKUP(WEEKDAY(DATE($A$2,INT((COLUMN()-1)/31.001)+$A$1,ROUNDUP(MOD(COLUMN()-1,31.001),0)),2),'Helper sheet'!$D$1:$E$7,2,0),Database!$M$3:$N$9,2,0)="Yes"))</f>
        <v>1</v>
      </c>
      <c r="AR3" s="6" t="b">
        <f>AND(NOT(ISNUMBER(MATCH(DATE($A$2,INT((COLUMN()-1)/31.001)+$A$1,ROUNDUP(MOD(COLUMN()-1,31.001),0)),HolidayList[Date],0))),(VLOOKUP(VLOOKUP(WEEKDAY(DATE($A$2,INT((COLUMN()-1)/31.001)+$A$1,ROUNDUP(MOD(COLUMN()-1,31.001),0)),2),'Helper sheet'!$D$1:$E$7,2,0),Database!$M$3:$N$9,2,0)="Yes"))</f>
        <v>0</v>
      </c>
      <c r="AS3" s="6" t="b">
        <f>AND(NOT(ISNUMBER(MATCH(DATE($A$2,INT((COLUMN()-1)/31.001)+$A$1,ROUNDUP(MOD(COLUMN()-1,31.001),0)),HolidayList[Date],0))),(VLOOKUP(VLOOKUP(WEEKDAY(DATE($A$2,INT((COLUMN()-1)/31.001)+$A$1,ROUNDUP(MOD(COLUMN()-1,31.001),0)),2),'Helper sheet'!$D$1:$E$7,2,0),Database!$M$3:$N$9,2,0)="Yes"))</f>
        <v>0</v>
      </c>
      <c r="AT3" s="6" t="b">
        <f>AND(NOT(ISNUMBER(MATCH(DATE($A$2,INT((COLUMN()-1)/31.001)+$A$1,ROUNDUP(MOD(COLUMN()-1,31.001),0)),HolidayList[Date],0))),(VLOOKUP(VLOOKUP(WEEKDAY(DATE($A$2,INT((COLUMN()-1)/31.001)+$A$1,ROUNDUP(MOD(COLUMN()-1,31.001),0)),2),'Helper sheet'!$D$1:$E$7,2,0),Database!$M$3:$N$9,2,0)="Yes"))</f>
        <v>1</v>
      </c>
      <c r="AU3" s="6" t="b">
        <f>AND(NOT(ISNUMBER(MATCH(DATE($A$2,INT((COLUMN()-1)/31.001)+$A$1,ROUNDUP(MOD(COLUMN()-1,31.001),0)),HolidayList[Date],0))),(VLOOKUP(VLOOKUP(WEEKDAY(DATE($A$2,INT((COLUMN()-1)/31.001)+$A$1,ROUNDUP(MOD(COLUMN()-1,31.001),0)),2),'Helper sheet'!$D$1:$E$7,2,0),Database!$M$3:$N$9,2,0)="Yes"))</f>
        <v>1</v>
      </c>
      <c r="AV3" s="6" t="b">
        <f>AND(NOT(ISNUMBER(MATCH(DATE($A$2,INT((COLUMN()-1)/31.001)+$A$1,ROUNDUP(MOD(COLUMN()-1,31.001),0)),HolidayList[Date],0))),(VLOOKUP(VLOOKUP(WEEKDAY(DATE($A$2,INT((COLUMN()-1)/31.001)+$A$1,ROUNDUP(MOD(COLUMN()-1,31.001),0)),2),'Helper sheet'!$D$1:$E$7,2,0),Database!$M$3:$N$9,2,0)="Yes"))</f>
        <v>1</v>
      </c>
      <c r="AW3" s="6" t="b">
        <f>AND(NOT(ISNUMBER(MATCH(DATE($A$2,INT((COLUMN()-1)/31.001)+$A$1,ROUNDUP(MOD(COLUMN()-1,31.001),0)),HolidayList[Date],0))),(VLOOKUP(VLOOKUP(WEEKDAY(DATE($A$2,INT((COLUMN()-1)/31.001)+$A$1,ROUNDUP(MOD(COLUMN()-1,31.001),0)),2),'Helper sheet'!$D$1:$E$7,2,0),Database!$M$3:$N$9,2,0)="Yes"))</f>
        <v>1</v>
      </c>
      <c r="AX3" s="6" t="b">
        <f>AND(NOT(ISNUMBER(MATCH(DATE($A$2,INT((COLUMN()-1)/31.001)+$A$1,ROUNDUP(MOD(COLUMN()-1,31.001),0)),HolidayList[Date],0))),(VLOOKUP(VLOOKUP(WEEKDAY(DATE($A$2,INT((COLUMN()-1)/31.001)+$A$1,ROUNDUP(MOD(COLUMN()-1,31.001),0)),2),'Helper sheet'!$D$1:$E$7,2,0),Database!$M$3:$N$9,2,0)="Yes"))</f>
        <v>1</v>
      </c>
      <c r="AY3" s="6" t="b">
        <f>AND(NOT(ISNUMBER(MATCH(DATE($A$2,INT((COLUMN()-1)/31.001)+$A$1,ROUNDUP(MOD(COLUMN()-1,31.001),0)),HolidayList[Date],0))),(VLOOKUP(VLOOKUP(WEEKDAY(DATE($A$2,INT((COLUMN()-1)/31.001)+$A$1,ROUNDUP(MOD(COLUMN()-1,31.001),0)),2),'Helper sheet'!$D$1:$E$7,2,0),Database!$M$3:$N$9,2,0)="Yes"))</f>
        <v>0</v>
      </c>
      <c r="AZ3" s="6" t="b">
        <f>AND(NOT(ISNUMBER(MATCH(DATE($A$2,INT((COLUMN()-1)/31.001)+$A$1,ROUNDUP(MOD(COLUMN()-1,31.001),0)),HolidayList[Date],0))),(VLOOKUP(VLOOKUP(WEEKDAY(DATE($A$2,INT((COLUMN()-1)/31.001)+$A$1,ROUNDUP(MOD(COLUMN()-1,31.001),0)),2),'Helper sheet'!$D$1:$E$7,2,0),Database!$M$3:$N$9,2,0)="Yes"))</f>
        <v>0</v>
      </c>
      <c r="BA3" s="6" t="b">
        <f>AND(NOT(ISNUMBER(MATCH(DATE($A$2,INT((COLUMN()-1)/31.001)+$A$1,ROUNDUP(MOD(COLUMN()-1,31.001),0)),HolidayList[Date],0))),(VLOOKUP(VLOOKUP(WEEKDAY(DATE($A$2,INT((COLUMN()-1)/31.001)+$A$1,ROUNDUP(MOD(COLUMN()-1,31.001),0)),2),'Helper sheet'!$D$1:$E$7,2,0),Database!$M$3:$N$9,2,0)="Yes"))</f>
        <v>1</v>
      </c>
      <c r="BB3" s="6" t="b">
        <f>AND(NOT(ISNUMBER(MATCH(DATE($A$2,INT((COLUMN()-1)/31.001)+$A$1,ROUNDUP(MOD(COLUMN()-1,31.001),0)),HolidayList[Date],0))),(VLOOKUP(VLOOKUP(WEEKDAY(DATE($A$2,INT((COLUMN()-1)/31.001)+$A$1,ROUNDUP(MOD(COLUMN()-1,31.001),0)),2),'Helper sheet'!$D$1:$E$7,2,0),Database!$M$3:$N$9,2,0)="Yes"))</f>
        <v>1</v>
      </c>
      <c r="BC3" s="6" t="b">
        <f>AND(NOT(ISNUMBER(MATCH(DATE($A$2,INT((COLUMN()-1)/31.001)+$A$1,ROUNDUP(MOD(COLUMN()-1,31.001),0)),HolidayList[Date],0))),(VLOOKUP(VLOOKUP(WEEKDAY(DATE($A$2,INT((COLUMN()-1)/31.001)+$A$1,ROUNDUP(MOD(COLUMN()-1,31.001),0)),2),'Helper sheet'!$D$1:$E$7,2,0),Database!$M$3:$N$9,2,0)="Yes"))</f>
        <v>1</v>
      </c>
      <c r="BD3" s="6" t="b">
        <f>AND(NOT(ISNUMBER(MATCH(DATE($A$2,INT((COLUMN()-1)/31.001)+$A$1,ROUNDUP(MOD(COLUMN()-1,31.001),0)),HolidayList[Date],0))),(VLOOKUP(VLOOKUP(WEEKDAY(DATE($A$2,INT((COLUMN()-1)/31.001)+$A$1,ROUNDUP(MOD(COLUMN()-1,31.001),0)),2),'Helper sheet'!$D$1:$E$7,2,0),Database!$M$3:$N$9,2,0)="Yes"))</f>
        <v>1</v>
      </c>
      <c r="BE3" s="6" t="b">
        <f>AND(NOT(ISNUMBER(MATCH(DATE($A$2,INT((COLUMN()-1)/31.001)+$A$1,ROUNDUP(MOD(COLUMN()-1,31.001),0)),HolidayList[Date],0))),(VLOOKUP(VLOOKUP(WEEKDAY(DATE($A$2,INT((COLUMN()-1)/31.001)+$A$1,ROUNDUP(MOD(COLUMN()-1,31.001),0)),2),'Helper sheet'!$D$1:$E$7,2,0),Database!$M$3:$N$9,2,0)="Yes"))</f>
        <v>1</v>
      </c>
      <c r="BF3" s="6" t="b">
        <f>AND(NOT(ISNUMBER(MATCH(DATE($A$2,INT((COLUMN()-1)/31.001)+$A$1,ROUNDUP(MOD(COLUMN()-1,31.001),0)),HolidayList[Date],0))),(VLOOKUP(VLOOKUP(WEEKDAY(DATE($A$2,INT((COLUMN()-1)/31.001)+$A$1,ROUNDUP(MOD(COLUMN()-1,31.001),0)),2),'Helper sheet'!$D$1:$E$7,2,0),Database!$M$3:$N$9,2,0)="Yes"))</f>
        <v>0</v>
      </c>
      <c r="BG3" s="6" t="b">
        <f>AND(NOT(ISNUMBER(MATCH(DATE($A$2,INT((COLUMN()-1)/31.001)+$A$1,ROUNDUP(MOD(COLUMN()-1,31.001),0)),HolidayList[Date],0))),(VLOOKUP(VLOOKUP(WEEKDAY(DATE($A$2,INT((COLUMN()-1)/31.001)+$A$1,ROUNDUP(MOD(COLUMN()-1,31.001),0)),2),'Helper sheet'!$D$1:$E$7,2,0),Database!$M$3:$N$9,2,0)="Yes"))</f>
        <v>0</v>
      </c>
      <c r="BH3" s="6" t="b">
        <f>AND(NOT(ISNUMBER(MATCH(DATE($A$2,INT((COLUMN()-1)/31.001)+$A$1,ROUNDUP(MOD(COLUMN()-1,31.001),0)),HolidayList[Date],0))),(VLOOKUP(VLOOKUP(WEEKDAY(DATE($A$2,INT((COLUMN()-1)/31.001)+$A$1,ROUNDUP(MOD(COLUMN()-1,31.001),0)),2),'Helper sheet'!$D$1:$E$7,2,0),Database!$M$3:$N$9,2,0)="Yes"))</f>
        <v>1</v>
      </c>
      <c r="BI3" s="6" t="b">
        <f>AND(NOT(ISNUMBER(MATCH(DATE($A$2,INT((COLUMN()-1)/31.001)+$A$1,ROUNDUP(MOD(COLUMN()-1,31.001),0)),HolidayList[Date],0))),(VLOOKUP(VLOOKUP(WEEKDAY(DATE($A$2,INT((COLUMN()-1)/31.001)+$A$1,ROUNDUP(MOD(COLUMN()-1,31.001),0)),2),'Helper sheet'!$D$1:$E$7,2,0),Database!$M$3:$N$9,2,0)="Yes"))</f>
        <v>1</v>
      </c>
      <c r="BJ3" s="6" t="b">
        <f>AND(NOT(ISNUMBER(MATCH(DATE($A$2,INT((COLUMN()-1)/31.001)+$A$1,ROUNDUP(MOD(COLUMN()-1,31.001),0)),HolidayList[Date],0))),(VLOOKUP(VLOOKUP(WEEKDAY(DATE($A$2,INT((COLUMN()-1)/31.001)+$A$1,ROUNDUP(MOD(COLUMN()-1,31.001),0)),2),'Helper sheet'!$D$1:$E$7,2,0),Database!$M$3:$N$9,2,0)="Yes"))</f>
        <v>1</v>
      </c>
      <c r="BK3" s="6" t="b">
        <f>AND(NOT(ISNUMBER(MATCH(DATE($A$2,INT((COLUMN()-1)/31.001)+$A$1,ROUNDUP(MOD(COLUMN()-1,31.001),0)),HolidayList[Date],0))),(VLOOKUP(VLOOKUP(WEEKDAY(DATE($A$2,INT((COLUMN()-1)/31.001)+$A$1,ROUNDUP(MOD(COLUMN()-1,31.001),0)),2),'Helper sheet'!$D$1:$E$7,2,0),Database!$M$3:$N$9,2,0)="Yes"))</f>
        <v>1</v>
      </c>
      <c r="BL3" s="6" t="b">
        <f>AND(NOT(ISNUMBER(MATCH(DATE($A$2,INT((COLUMN()-1)/31.001)+$A$1,ROUNDUP(MOD(COLUMN()-1,31.001),0)),HolidayList[Date],0))),(VLOOKUP(VLOOKUP(WEEKDAY(DATE($A$2,INT((COLUMN()-1)/31.001)+$A$1,ROUNDUP(MOD(COLUMN()-1,31.001),0)),2),'Helper sheet'!$D$1:$E$7,2,0),Database!$M$3:$N$9,2,0)="Yes"))</f>
        <v>1</v>
      </c>
      <c r="BM3" s="6" t="b">
        <f>AND(NOT(ISNUMBER(MATCH(DATE($A$2,INT((COLUMN()-1)/31.001)+$A$1,ROUNDUP(MOD(COLUMN()-1,31.001),0)),HolidayList[Date],0))),(VLOOKUP(VLOOKUP(WEEKDAY(DATE($A$2,INT((COLUMN()-1)/31.001)+$A$1,ROUNDUP(MOD(COLUMN()-1,31.001),0)),2),'Helper sheet'!$D$1:$E$7,2,0),Database!$M$3:$N$9,2,0)="Yes"))</f>
        <v>1</v>
      </c>
      <c r="BN3" s="6" t="b">
        <f>AND(NOT(ISNUMBER(MATCH(DATE($A$2,INT((COLUMN()-1)/31.001)+$A$1,ROUNDUP(MOD(COLUMN()-1,31.001),0)),HolidayList[Date],0))),(VLOOKUP(VLOOKUP(WEEKDAY(DATE($A$2,INT((COLUMN()-1)/31.001)+$A$1,ROUNDUP(MOD(COLUMN()-1,31.001),0)),2),'Helper sheet'!$D$1:$E$7,2,0),Database!$M$3:$N$9,2,0)="Yes"))</f>
        <v>1</v>
      </c>
      <c r="BO3" s="6" t="b">
        <f>AND(NOT(ISNUMBER(MATCH(DATE($A$2,INT((COLUMN()-1)/31.001)+$A$1,ROUNDUP(MOD(COLUMN()-1,31.001),0)),HolidayList[Date],0))),(VLOOKUP(VLOOKUP(WEEKDAY(DATE($A$2,INT((COLUMN()-1)/31.001)+$A$1,ROUNDUP(MOD(COLUMN()-1,31.001),0)),2),'Helper sheet'!$D$1:$E$7,2,0),Database!$M$3:$N$9,2,0)="Yes"))</f>
        <v>1</v>
      </c>
      <c r="BP3" s="6" t="b">
        <f>AND(NOT(ISNUMBER(MATCH(DATE($A$2,INT((COLUMN()-1)/31.001)+$A$1,ROUNDUP(MOD(COLUMN()-1,31.001),0)),HolidayList[Date],0))),(VLOOKUP(VLOOKUP(WEEKDAY(DATE($A$2,INT((COLUMN()-1)/31.001)+$A$1,ROUNDUP(MOD(COLUMN()-1,31.001),0)),2),'Helper sheet'!$D$1:$E$7,2,0),Database!$M$3:$N$9,2,0)="Yes"))</f>
        <v>0</v>
      </c>
      <c r="BQ3" s="6" t="b">
        <f>AND(NOT(ISNUMBER(MATCH(DATE($A$2,INT((COLUMN()-1)/31.001)+$A$1,ROUNDUP(MOD(COLUMN()-1,31.001),0)),HolidayList[Date],0))),(VLOOKUP(VLOOKUP(WEEKDAY(DATE($A$2,INT((COLUMN()-1)/31.001)+$A$1,ROUNDUP(MOD(COLUMN()-1,31.001),0)),2),'Helper sheet'!$D$1:$E$7,2,0),Database!$M$3:$N$9,2,0)="Yes"))</f>
        <v>0</v>
      </c>
      <c r="BR3" s="6" t="b">
        <f>AND(NOT(ISNUMBER(MATCH(DATE($A$2,INT((COLUMN()-1)/31.001)+$A$1,ROUNDUP(MOD(COLUMN()-1,31.001),0)),HolidayList[Date],0))),(VLOOKUP(VLOOKUP(WEEKDAY(DATE($A$2,INT((COLUMN()-1)/31.001)+$A$1,ROUNDUP(MOD(COLUMN()-1,31.001),0)),2),'Helper sheet'!$D$1:$E$7,2,0),Database!$M$3:$N$9,2,0)="Yes"))</f>
        <v>1</v>
      </c>
      <c r="BS3" s="6" t="b">
        <f>AND(NOT(ISNUMBER(MATCH(DATE($A$2,INT((COLUMN()-1)/31.001)+$A$1,ROUNDUP(MOD(COLUMN()-1,31.001),0)),HolidayList[Date],0))),(VLOOKUP(VLOOKUP(WEEKDAY(DATE($A$2,INT((COLUMN()-1)/31.001)+$A$1,ROUNDUP(MOD(COLUMN()-1,31.001),0)),2),'Helper sheet'!$D$1:$E$7,2,0),Database!$M$3:$N$9,2,0)="Yes"))</f>
        <v>1</v>
      </c>
      <c r="BT3" s="6" t="b">
        <f>AND(NOT(ISNUMBER(MATCH(DATE($A$2,INT((COLUMN()-1)/31.001)+$A$1,ROUNDUP(MOD(COLUMN()-1,31.001),0)),HolidayList[Date],0))),(VLOOKUP(VLOOKUP(WEEKDAY(DATE($A$2,INT((COLUMN()-1)/31.001)+$A$1,ROUNDUP(MOD(COLUMN()-1,31.001),0)),2),'Helper sheet'!$D$1:$E$7,2,0),Database!$M$3:$N$9,2,0)="Yes"))</f>
        <v>1</v>
      </c>
      <c r="BU3" s="6" t="b">
        <f>AND(NOT(ISNUMBER(MATCH(DATE($A$2,INT((COLUMN()-1)/31.001)+$A$1,ROUNDUP(MOD(COLUMN()-1,31.001),0)),HolidayList[Date],0))),(VLOOKUP(VLOOKUP(WEEKDAY(DATE($A$2,INT((COLUMN()-1)/31.001)+$A$1,ROUNDUP(MOD(COLUMN()-1,31.001),0)),2),'Helper sheet'!$D$1:$E$7,2,0),Database!$M$3:$N$9,2,0)="Yes"))</f>
        <v>1</v>
      </c>
      <c r="BV3" s="6" t="b">
        <f>AND(NOT(ISNUMBER(MATCH(DATE($A$2,INT((COLUMN()-1)/31.001)+$A$1,ROUNDUP(MOD(COLUMN()-1,31.001),0)),HolidayList[Date],0))),(VLOOKUP(VLOOKUP(WEEKDAY(DATE($A$2,INT((COLUMN()-1)/31.001)+$A$1,ROUNDUP(MOD(COLUMN()-1,31.001),0)),2),'Helper sheet'!$D$1:$E$7,2,0),Database!$M$3:$N$9,2,0)="Yes"))</f>
        <v>1</v>
      </c>
      <c r="BW3" s="6" t="b">
        <f>AND(NOT(ISNUMBER(MATCH(DATE($A$2,INT((COLUMN()-1)/31.001)+$A$1,ROUNDUP(MOD(COLUMN()-1,31.001),0)),HolidayList[Date],0))),(VLOOKUP(VLOOKUP(WEEKDAY(DATE($A$2,INT((COLUMN()-1)/31.001)+$A$1,ROUNDUP(MOD(COLUMN()-1,31.001),0)),2),'Helper sheet'!$D$1:$E$7,2,0),Database!$M$3:$N$9,2,0)="Yes"))</f>
        <v>0</v>
      </c>
      <c r="BX3" s="6" t="b">
        <f>AND(NOT(ISNUMBER(MATCH(DATE($A$2,INT((COLUMN()-1)/31.001)+$A$1,ROUNDUP(MOD(COLUMN()-1,31.001),0)),HolidayList[Date],0))),(VLOOKUP(VLOOKUP(WEEKDAY(DATE($A$2,INT((COLUMN()-1)/31.001)+$A$1,ROUNDUP(MOD(COLUMN()-1,31.001),0)),2),'Helper sheet'!$D$1:$E$7,2,0),Database!$M$3:$N$9,2,0)="Yes"))</f>
        <v>0</v>
      </c>
      <c r="BY3" s="6" t="b">
        <f>AND(NOT(ISNUMBER(MATCH(DATE($A$2,INT((COLUMN()-1)/31.001)+$A$1,ROUNDUP(MOD(COLUMN()-1,31.001),0)),HolidayList[Date],0))),(VLOOKUP(VLOOKUP(WEEKDAY(DATE($A$2,INT((COLUMN()-1)/31.001)+$A$1,ROUNDUP(MOD(COLUMN()-1,31.001),0)),2),'Helper sheet'!$D$1:$E$7,2,0),Database!$M$3:$N$9,2,0)="Yes"))</f>
        <v>1</v>
      </c>
      <c r="BZ3" s="6" t="b">
        <f>AND(NOT(ISNUMBER(MATCH(DATE($A$2,INT((COLUMN()-1)/31.001)+$A$1,ROUNDUP(MOD(COLUMN()-1,31.001),0)),HolidayList[Date],0))),(VLOOKUP(VLOOKUP(WEEKDAY(DATE($A$2,INT((COLUMN()-1)/31.001)+$A$1,ROUNDUP(MOD(COLUMN()-1,31.001),0)),2),'Helper sheet'!$D$1:$E$7,2,0),Database!$M$3:$N$9,2,0)="Yes"))</f>
        <v>1</v>
      </c>
      <c r="CA3" s="6" t="b">
        <f>AND(NOT(ISNUMBER(MATCH(DATE($A$2,INT((COLUMN()-1)/31.001)+$A$1,ROUNDUP(MOD(COLUMN()-1,31.001),0)),HolidayList[Date],0))),(VLOOKUP(VLOOKUP(WEEKDAY(DATE($A$2,INT((COLUMN()-1)/31.001)+$A$1,ROUNDUP(MOD(COLUMN()-1,31.001),0)),2),'Helper sheet'!$D$1:$E$7,2,0),Database!$M$3:$N$9,2,0)="Yes"))</f>
        <v>1</v>
      </c>
      <c r="CB3" s="6" t="b">
        <f>AND(NOT(ISNUMBER(MATCH(DATE($A$2,INT((COLUMN()-1)/31.001)+$A$1,ROUNDUP(MOD(COLUMN()-1,31.001),0)),HolidayList[Date],0))),(VLOOKUP(VLOOKUP(WEEKDAY(DATE($A$2,INT((COLUMN()-1)/31.001)+$A$1,ROUNDUP(MOD(COLUMN()-1,31.001),0)),2),'Helper sheet'!$D$1:$E$7,2,0),Database!$M$3:$N$9,2,0)="Yes"))</f>
        <v>1</v>
      </c>
      <c r="CC3" s="6" t="b">
        <f>AND(NOT(ISNUMBER(MATCH(DATE($A$2,INT((COLUMN()-1)/31.001)+$A$1,ROUNDUP(MOD(COLUMN()-1,31.001),0)),HolidayList[Date],0))),(VLOOKUP(VLOOKUP(WEEKDAY(DATE($A$2,INT((COLUMN()-1)/31.001)+$A$1,ROUNDUP(MOD(COLUMN()-1,31.001),0)),2),'Helper sheet'!$D$1:$E$7,2,0),Database!$M$3:$N$9,2,0)="Yes"))</f>
        <v>1</v>
      </c>
      <c r="CD3" s="6" t="b">
        <f>AND(NOT(ISNUMBER(MATCH(DATE($A$2,INT((COLUMN()-1)/31.001)+$A$1,ROUNDUP(MOD(COLUMN()-1,31.001),0)),HolidayList[Date],0))),(VLOOKUP(VLOOKUP(WEEKDAY(DATE($A$2,INT((COLUMN()-1)/31.001)+$A$1,ROUNDUP(MOD(COLUMN()-1,31.001),0)),2),'Helper sheet'!$D$1:$E$7,2,0),Database!$M$3:$N$9,2,0)="Yes"))</f>
        <v>0</v>
      </c>
      <c r="CE3" s="6" t="b">
        <f>AND(NOT(ISNUMBER(MATCH(DATE($A$2,INT((COLUMN()-1)/31.001)+$A$1,ROUNDUP(MOD(COLUMN()-1,31.001),0)),HolidayList[Date],0))),(VLOOKUP(VLOOKUP(WEEKDAY(DATE($A$2,INT((COLUMN()-1)/31.001)+$A$1,ROUNDUP(MOD(COLUMN()-1,31.001),0)),2),'Helper sheet'!$D$1:$E$7,2,0),Database!$M$3:$N$9,2,0)="Yes"))</f>
        <v>0</v>
      </c>
      <c r="CF3" s="6" t="b">
        <f>AND(NOT(ISNUMBER(MATCH(DATE($A$2,INT((COLUMN()-1)/31.001)+$A$1,ROUNDUP(MOD(COLUMN()-1,31.001),0)),HolidayList[Date],0))),(VLOOKUP(VLOOKUP(WEEKDAY(DATE($A$2,INT((COLUMN()-1)/31.001)+$A$1,ROUNDUP(MOD(COLUMN()-1,31.001),0)),2),'Helper sheet'!$D$1:$E$7,2,0),Database!$M$3:$N$9,2,0)="Yes"))</f>
        <v>0</v>
      </c>
      <c r="CG3" s="6" t="b">
        <f>AND(NOT(ISNUMBER(MATCH(DATE($A$2,INT((COLUMN()-1)/31.001)+$A$1,ROUNDUP(MOD(COLUMN()-1,31.001),0)),HolidayList[Date],0))),(VLOOKUP(VLOOKUP(WEEKDAY(DATE($A$2,INT((COLUMN()-1)/31.001)+$A$1,ROUNDUP(MOD(COLUMN()-1,31.001),0)),2),'Helper sheet'!$D$1:$E$7,2,0),Database!$M$3:$N$9,2,0)="Yes"))</f>
        <v>1</v>
      </c>
      <c r="CH3" s="6" t="b">
        <f>AND(NOT(ISNUMBER(MATCH(DATE($A$2,INT((COLUMN()-1)/31.001)+$A$1,ROUNDUP(MOD(COLUMN()-1,31.001),0)),HolidayList[Date],0))),(VLOOKUP(VLOOKUP(WEEKDAY(DATE($A$2,INT((COLUMN()-1)/31.001)+$A$1,ROUNDUP(MOD(COLUMN()-1,31.001),0)),2),'Helper sheet'!$D$1:$E$7,2,0),Database!$M$3:$N$9,2,0)="Yes"))</f>
        <v>1</v>
      </c>
      <c r="CI3" s="6" t="b">
        <f>AND(NOT(ISNUMBER(MATCH(DATE($A$2,INT((COLUMN()-1)/31.001)+$A$1,ROUNDUP(MOD(COLUMN()-1,31.001),0)),HolidayList[Date],0))),(VLOOKUP(VLOOKUP(WEEKDAY(DATE($A$2,INT((COLUMN()-1)/31.001)+$A$1,ROUNDUP(MOD(COLUMN()-1,31.001),0)),2),'Helper sheet'!$D$1:$E$7,2,0),Database!$M$3:$N$9,2,0)="Yes"))</f>
        <v>1</v>
      </c>
      <c r="CJ3" s="6" t="b">
        <f>AND(NOT(ISNUMBER(MATCH(DATE($A$2,INT((COLUMN()-1)/31.001)+$A$1,ROUNDUP(MOD(COLUMN()-1,31.001),0)),HolidayList[Date],0))),(VLOOKUP(VLOOKUP(WEEKDAY(DATE($A$2,INT((COLUMN()-1)/31.001)+$A$1,ROUNDUP(MOD(COLUMN()-1,31.001),0)),2),'Helper sheet'!$D$1:$E$7,2,0),Database!$M$3:$N$9,2,0)="Yes"))</f>
        <v>1</v>
      </c>
      <c r="CK3" s="6" t="b">
        <f>AND(NOT(ISNUMBER(MATCH(DATE($A$2,INT((COLUMN()-1)/31.001)+$A$1,ROUNDUP(MOD(COLUMN()-1,31.001),0)),HolidayList[Date],0))),(VLOOKUP(VLOOKUP(WEEKDAY(DATE($A$2,INT((COLUMN()-1)/31.001)+$A$1,ROUNDUP(MOD(COLUMN()-1,31.001),0)),2),'Helper sheet'!$D$1:$E$7,2,0),Database!$M$3:$N$9,2,0)="Yes"))</f>
        <v>0</v>
      </c>
      <c r="CL3" s="6" t="b">
        <f>AND(NOT(ISNUMBER(MATCH(DATE($A$2,INT((COLUMN()-1)/31.001)+$A$1,ROUNDUP(MOD(COLUMN()-1,31.001),0)),HolidayList[Date],0))),(VLOOKUP(VLOOKUP(WEEKDAY(DATE($A$2,INT((COLUMN()-1)/31.001)+$A$1,ROUNDUP(MOD(COLUMN()-1,31.001),0)),2),'Helper sheet'!$D$1:$E$7,2,0),Database!$M$3:$N$9,2,0)="Yes"))</f>
        <v>0</v>
      </c>
      <c r="CM3" s="6" t="b">
        <f>AND(NOT(ISNUMBER(MATCH(DATE($A$2,INT((COLUMN()-1)/31.001)+$A$1,ROUNDUP(MOD(COLUMN()-1,31.001),0)),HolidayList[Date],0))),(VLOOKUP(VLOOKUP(WEEKDAY(DATE($A$2,INT((COLUMN()-1)/31.001)+$A$1,ROUNDUP(MOD(COLUMN()-1,31.001),0)),2),'Helper sheet'!$D$1:$E$7,2,0),Database!$M$3:$N$9,2,0)="Yes"))</f>
        <v>1</v>
      </c>
      <c r="CN3" s="6" t="b">
        <f>AND(NOT(ISNUMBER(MATCH(DATE($A$2,INT((COLUMN()-1)/31.001)+$A$1,ROUNDUP(MOD(COLUMN()-1,31.001),0)),HolidayList[Date],0))),(VLOOKUP(VLOOKUP(WEEKDAY(DATE($A$2,INT((COLUMN()-1)/31.001)+$A$1,ROUNDUP(MOD(COLUMN()-1,31.001),0)),2),'Helper sheet'!$D$1:$E$7,2,0),Database!$M$3:$N$9,2,0)="Yes"))</f>
        <v>1</v>
      </c>
      <c r="CO3" s="6" t="b">
        <f>AND(NOT(ISNUMBER(MATCH(DATE($A$2,INT((COLUMN()-1)/31.001)+$A$1,ROUNDUP(MOD(COLUMN()-1,31.001),0)),HolidayList[Date],0))),(VLOOKUP(VLOOKUP(WEEKDAY(DATE($A$2,INT((COLUMN()-1)/31.001)+$A$1,ROUNDUP(MOD(COLUMN()-1,31.001),0)),2),'Helper sheet'!$D$1:$E$7,2,0),Database!$M$3:$N$9,2,0)="Yes"))</f>
        <v>1</v>
      </c>
      <c r="CP3" s="6" t="b">
        <f>AND(NOT(ISNUMBER(MATCH(DATE($A$2,INT((COLUMN()-1)/31.001)+$A$1,ROUNDUP(MOD(COLUMN()-1,31.001),0)),HolidayList[Date],0))),(VLOOKUP(VLOOKUP(WEEKDAY(DATE($A$2,INT((COLUMN()-1)/31.001)+$A$1,ROUNDUP(MOD(COLUMN()-1,31.001),0)),2),'Helper sheet'!$D$1:$E$7,2,0),Database!$M$3:$N$9,2,0)="Yes"))</f>
        <v>1</v>
      </c>
      <c r="CQ3" s="6" t="b">
        <f>AND(NOT(ISNUMBER(MATCH(DATE($A$2,INT((COLUMN()-1)/31.001)+$A$1,ROUNDUP(MOD(COLUMN()-1,31.001),0)),HolidayList[Date],0))),(VLOOKUP(VLOOKUP(WEEKDAY(DATE($A$2,INT((COLUMN()-1)/31.001)+$A$1,ROUNDUP(MOD(COLUMN()-1,31.001),0)),2),'Helper sheet'!$D$1:$E$7,2,0),Database!$M$3:$N$9,2,0)="Yes"))</f>
        <v>1</v>
      </c>
      <c r="CR3" s="6" t="b">
        <f>AND(NOT(ISNUMBER(MATCH(DATE($A$2,INT((COLUMN()-1)/31.001)+$A$1,ROUNDUP(MOD(COLUMN()-1,31.001),0)),HolidayList[Date],0))),(VLOOKUP(VLOOKUP(WEEKDAY(DATE($A$2,INT((COLUMN()-1)/31.001)+$A$1,ROUNDUP(MOD(COLUMN()-1,31.001),0)),2),'Helper sheet'!$D$1:$E$7,2,0),Database!$M$3:$N$9,2,0)="Yes"))</f>
        <v>0</v>
      </c>
      <c r="CS3" s="6" t="b">
        <f>AND(NOT(ISNUMBER(MATCH(DATE($A$2,INT((COLUMN()-1)/31.001)+$A$1,ROUNDUP(MOD(COLUMN()-1,31.001),0)),HolidayList[Date],0))),(VLOOKUP(VLOOKUP(WEEKDAY(DATE($A$2,INT((COLUMN()-1)/31.001)+$A$1,ROUNDUP(MOD(COLUMN()-1,31.001),0)),2),'Helper sheet'!$D$1:$E$7,2,0),Database!$M$3:$N$9,2,0)="Yes"))</f>
        <v>0</v>
      </c>
      <c r="CT3" s="6" t="b">
        <f>AND(NOT(ISNUMBER(MATCH(DATE($A$2,INT((COLUMN()-1)/31.001)+$A$1,ROUNDUP(MOD(COLUMN()-1,31.001),0)),HolidayList[Date],0))),(VLOOKUP(VLOOKUP(WEEKDAY(DATE($A$2,INT((COLUMN()-1)/31.001)+$A$1,ROUNDUP(MOD(COLUMN()-1,31.001),0)),2),'Helper sheet'!$D$1:$E$7,2,0),Database!$M$3:$N$9,2,0)="Yes"))</f>
        <v>1</v>
      </c>
      <c r="CU3" s="6" t="b">
        <f>AND(NOT(ISNUMBER(MATCH(DATE($A$2,INT((COLUMN()-1)/31.001)+$A$1,ROUNDUP(MOD(COLUMN()-1,31.001),0)),HolidayList[Date],0))),(VLOOKUP(VLOOKUP(WEEKDAY(DATE($A$2,INT((COLUMN()-1)/31.001)+$A$1,ROUNDUP(MOD(COLUMN()-1,31.001),0)),2),'Helper sheet'!$D$1:$E$7,2,0),Database!$M$3:$N$9,2,0)="Yes"))</f>
        <v>1</v>
      </c>
      <c r="CV3" s="6" t="b">
        <f>AND(NOT(ISNUMBER(MATCH(DATE($A$2,INT((COLUMN()-1)/31.001)+$A$1,ROUNDUP(MOD(COLUMN()-1,31.001),0)),HolidayList[Date],0))),(VLOOKUP(VLOOKUP(WEEKDAY(DATE($A$2,INT((COLUMN()-1)/31.001)+$A$1,ROUNDUP(MOD(COLUMN()-1,31.001),0)),2),'Helper sheet'!$D$1:$E$7,2,0),Database!$M$3:$N$9,2,0)="Yes"))</f>
        <v>1</v>
      </c>
      <c r="CW3" s="6" t="b">
        <f>AND(NOT(ISNUMBER(MATCH(DATE($A$2,INT((COLUMN()-1)/31.001)+$A$1,ROUNDUP(MOD(COLUMN()-1,31.001),0)),HolidayList[Date],0))),(VLOOKUP(VLOOKUP(WEEKDAY(DATE($A$2,INT((COLUMN()-1)/31.001)+$A$1,ROUNDUP(MOD(COLUMN()-1,31.001),0)),2),'Helper sheet'!$D$1:$E$7,2,0),Database!$M$3:$N$9,2,0)="Yes"))</f>
        <v>1</v>
      </c>
      <c r="CX3" s="6" t="b">
        <f>AND(NOT(ISNUMBER(MATCH(DATE($A$2,INT((COLUMN()-1)/31.001)+$A$1,ROUNDUP(MOD(COLUMN()-1,31.001),0)),HolidayList[Date],0))),(VLOOKUP(VLOOKUP(WEEKDAY(DATE($A$2,INT((COLUMN()-1)/31.001)+$A$1,ROUNDUP(MOD(COLUMN()-1,31.001),0)),2),'Helper sheet'!$D$1:$E$7,2,0),Database!$M$3:$N$9,2,0)="Yes"))</f>
        <v>1</v>
      </c>
      <c r="CY3" s="6" t="b">
        <f>AND(NOT(ISNUMBER(MATCH(DATE($A$2,INT((COLUMN()-1)/31.001)+$A$1,ROUNDUP(MOD(COLUMN()-1,31.001),0)),HolidayList[Date],0))),(VLOOKUP(VLOOKUP(WEEKDAY(DATE($A$2,INT((COLUMN()-1)/31.001)+$A$1,ROUNDUP(MOD(COLUMN()-1,31.001),0)),2),'Helper sheet'!$D$1:$E$7,2,0),Database!$M$3:$N$9,2,0)="Yes"))</f>
        <v>0</v>
      </c>
      <c r="CZ3" s="6" t="b">
        <f>AND(NOT(ISNUMBER(MATCH(DATE($A$2,INT((COLUMN()-1)/31.001)+$A$1,ROUNDUP(MOD(COLUMN()-1,31.001),0)),HolidayList[Date],0))),(VLOOKUP(VLOOKUP(WEEKDAY(DATE($A$2,INT((COLUMN()-1)/31.001)+$A$1,ROUNDUP(MOD(COLUMN()-1,31.001),0)),2),'Helper sheet'!$D$1:$E$7,2,0),Database!$M$3:$N$9,2,0)="Yes"))</f>
        <v>0</v>
      </c>
      <c r="DA3" s="6" t="b">
        <f>AND(NOT(ISNUMBER(MATCH(DATE($A$2,INT((COLUMN()-1)/31.001)+$A$1,ROUNDUP(MOD(COLUMN()-1,31.001),0)),HolidayList[Date],0))),(VLOOKUP(VLOOKUP(WEEKDAY(DATE($A$2,INT((COLUMN()-1)/31.001)+$A$1,ROUNDUP(MOD(COLUMN()-1,31.001),0)),2),'Helper sheet'!$D$1:$E$7,2,0),Database!$M$3:$N$9,2,0)="Yes"))</f>
        <v>1</v>
      </c>
      <c r="DB3" s="6" t="b">
        <f>AND(NOT(ISNUMBER(MATCH(DATE($A$2,INT((COLUMN()-1)/31.001)+$A$1,ROUNDUP(MOD(COLUMN()-1,31.001),0)),HolidayList[Date],0))),(VLOOKUP(VLOOKUP(WEEKDAY(DATE($A$2,INT((COLUMN()-1)/31.001)+$A$1,ROUNDUP(MOD(COLUMN()-1,31.001),0)),2),'Helper sheet'!$D$1:$E$7,2,0),Database!$M$3:$N$9,2,0)="Yes"))</f>
        <v>0</v>
      </c>
      <c r="DC3" s="6" t="b">
        <f>AND(NOT(ISNUMBER(MATCH(DATE($A$2,INT((COLUMN()-1)/31.001)+$A$1,ROUNDUP(MOD(COLUMN()-1,31.001),0)),HolidayList[Date],0))),(VLOOKUP(VLOOKUP(WEEKDAY(DATE($A$2,INT((COLUMN()-1)/31.001)+$A$1,ROUNDUP(MOD(COLUMN()-1,31.001),0)),2),'Helper sheet'!$D$1:$E$7,2,0),Database!$M$3:$N$9,2,0)="Yes"))</f>
        <v>1</v>
      </c>
      <c r="DD3" s="6" t="b">
        <f>AND(NOT(ISNUMBER(MATCH(DATE($A$2,INT((COLUMN()-1)/31.001)+$A$1,ROUNDUP(MOD(COLUMN()-1,31.001),0)),HolidayList[Date],0))),(VLOOKUP(VLOOKUP(WEEKDAY(DATE($A$2,INT((COLUMN()-1)/31.001)+$A$1,ROUNDUP(MOD(COLUMN()-1,31.001),0)),2),'Helper sheet'!$D$1:$E$7,2,0),Database!$M$3:$N$9,2,0)="Yes"))</f>
        <v>1</v>
      </c>
      <c r="DE3" s="6" t="b">
        <f>AND(NOT(ISNUMBER(MATCH(DATE($A$2,INT((COLUMN()-1)/31.001)+$A$1,ROUNDUP(MOD(COLUMN()-1,31.001),0)),HolidayList[Date],0))),(VLOOKUP(VLOOKUP(WEEKDAY(DATE($A$2,INT((COLUMN()-1)/31.001)+$A$1,ROUNDUP(MOD(COLUMN()-1,31.001),0)),2),'Helper sheet'!$D$1:$E$7,2,0),Database!$M$3:$N$9,2,0)="Yes"))</f>
        <v>1</v>
      </c>
      <c r="DF3" s="6" t="b">
        <f>AND(NOT(ISNUMBER(MATCH(DATE($A$2,INT((COLUMN()-1)/31.001)+$A$1,ROUNDUP(MOD(COLUMN()-1,31.001),0)),HolidayList[Date],0))),(VLOOKUP(VLOOKUP(WEEKDAY(DATE($A$2,INT((COLUMN()-1)/31.001)+$A$1,ROUNDUP(MOD(COLUMN()-1,31.001),0)),2),'Helper sheet'!$D$1:$E$7,2,0),Database!$M$3:$N$9,2,0)="Yes"))</f>
        <v>0</v>
      </c>
      <c r="DG3" s="6" t="b">
        <f>AND(NOT(ISNUMBER(MATCH(DATE($A$2,INT((COLUMN()-1)/31.001)+$A$1,ROUNDUP(MOD(COLUMN()-1,31.001),0)),HolidayList[Date],0))),(VLOOKUP(VLOOKUP(WEEKDAY(DATE($A$2,INT((COLUMN()-1)/31.001)+$A$1,ROUNDUP(MOD(COLUMN()-1,31.001),0)),2),'Helper sheet'!$D$1:$E$7,2,0),Database!$M$3:$N$9,2,0)="Yes"))</f>
        <v>0</v>
      </c>
      <c r="DH3" s="6" t="b">
        <f>AND(NOT(ISNUMBER(MATCH(DATE($A$2,INT((COLUMN()-1)/31.001)+$A$1,ROUNDUP(MOD(COLUMN()-1,31.001),0)),HolidayList[Date],0))),(VLOOKUP(VLOOKUP(WEEKDAY(DATE($A$2,INT((COLUMN()-1)/31.001)+$A$1,ROUNDUP(MOD(COLUMN()-1,31.001),0)),2),'Helper sheet'!$D$1:$E$7,2,0),Database!$M$3:$N$9,2,0)="Yes"))</f>
        <v>1</v>
      </c>
      <c r="DI3" s="6" t="b">
        <f>AND(NOT(ISNUMBER(MATCH(DATE($A$2,INT((COLUMN()-1)/31.001)+$A$1,ROUNDUP(MOD(COLUMN()-1,31.001),0)),HolidayList[Date],0))),(VLOOKUP(VLOOKUP(WEEKDAY(DATE($A$2,INT((COLUMN()-1)/31.001)+$A$1,ROUNDUP(MOD(COLUMN()-1,31.001),0)),2),'Helper sheet'!$D$1:$E$7,2,0),Database!$M$3:$N$9,2,0)="Yes"))</f>
        <v>1</v>
      </c>
      <c r="DJ3" s="6" t="b">
        <f>AND(NOT(ISNUMBER(MATCH(DATE($A$2,INT((COLUMN()-1)/31.001)+$A$1,ROUNDUP(MOD(COLUMN()-1,31.001),0)),HolidayList[Date],0))),(VLOOKUP(VLOOKUP(WEEKDAY(DATE($A$2,INT((COLUMN()-1)/31.001)+$A$1,ROUNDUP(MOD(COLUMN()-1,31.001),0)),2),'Helper sheet'!$D$1:$E$7,2,0),Database!$M$3:$N$9,2,0)="Yes"))</f>
        <v>1</v>
      </c>
      <c r="DK3" s="6" t="b">
        <f>AND(NOT(ISNUMBER(MATCH(DATE($A$2,INT((COLUMN()-1)/31.001)+$A$1,ROUNDUP(MOD(COLUMN()-1,31.001),0)),HolidayList[Date],0))),(VLOOKUP(VLOOKUP(WEEKDAY(DATE($A$2,INT((COLUMN()-1)/31.001)+$A$1,ROUNDUP(MOD(COLUMN()-1,31.001),0)),2),'Helper sheet'!$D$1:$E$7,2,0),Database!$M$3:$N$9,2,0)="Yes"))</f>
        <v>0</v>
      </c>
      <c r="DL3" s="6" t="b">
        <f>AND(NOT(ISNUMBER(MATCH(DATE($A$2,INT((COLUMN()-1)/31.001)+$A$1,ROUNDUP(MOD(COLUMN()-1,31.001),0)),HolidayList[Date],0))),(VLOOKUP(VLOOKUP(WEEKDAY(DATE($A$2,INT((COLUMN()-1)/31.001)+$A$1,ROUNDUP(MOD(COLUMN()-1,31.001),0)),2),'Helper sheet'!$D$1:$E$7,2,0),Database!$M$3:$N$9,2,0)="Yes"))</f>
        <v>1</v>
      </c>
      <c r="DM3" s="6" t="b">
        <f>AND(NOT(ISNUMBER(MATCH(DATE($A$2,INT((COLUMN()-1)/31.001)+$A$1,ROUNDUP(MOD(COLUMN()-1,31.001),0)),HolidayList[Date],0))),(VLOOKUP(VLOOKUP(WEEKDAY(DATE($A$2,INT((COLUMN()-1)/31.001)+$A$1,ROUNDUP(MOD(COLUMN()-1,31.001),0)),2),'Helper sheet'!$D$1:$E$7,2,0),Database!$M$3:$N$9,2,0)="Yes"))</f>
        <v>0</v>
      </c>
      <c r="DN3" s="6" t="b">
        <f>AND(NOT(ISNUMBER(MATCH(DATE($A$2,INT((COLUMN()-1)/31.001)+$A$1,ROUNDUP(MOD(COLUMN()-1,31.001),0)),HolidayList[Date],0))),(VLOOKUP(VLOOKUP(WEEKDAY(DATE($A$2,INT((COLUMN()-1)/31.001)+$A$1,ROUNDUP(MOD(COLUMN()-1,31.001),0)),2),'Helper sheet'!$D$1:$E$7,2,0),Database!$M$3:$N$9,2,0)="Yes"))</f>
        <v>0</v>
      </c>
      <c r="DO3" s="6" t="b">
        <f>AND(NOT(ISNUMBER(MATCH(DATE($A$2,INT((COLUMN()-1)/31.001)+$A$1,ROUNDUP(MOD(COLUMN()-1,31.001),0)),HolidayList[Date],0))),(VLOOKUP(VLOOKUP(WEEKDAY(DATE($A$2,INT((COLUMN()-1)/31.001)+$A$1,ROUNDUP(MOD(COLUMN()-1,31.001),0)),2),'Helper sheet'!$D$1:$E$7,2,0),Database!$M$3:$N$9,2,0)="Yes"))</f>
        <v>1</v>
      </c>
      <c r="DP3" s="6" t="b">
        <f>AND(NOT(ISNUMBER(MATCH(DATE($A$2,INT((COLUMN()-1)/31.001)+$A$1,ROUNDUP(MOD(COLUMN()-1,31.001),0)),HolidayList[Date],0))),(VLOOKUP(VLOOKUP(WEEKDAY(DATE($A$2,INT((COLUMN()-1)/31.001)+$A$1,ROUNDUP(MOD(COLUMN()-1,31.001),0)),2),'Helper sheet'!$D$1:$E$7,2,0),Database!$M$3:$N$9,2,0)="Yes"))</f>
        <v>1</v>
      </c>
      <c r="DQ3" s="6" t="b">
        <f>AND(NOT(ISNUMBER(MATCH(DATE($A$2,INT((COLUMN()-1)/31.001)+$A$1,ROUNDUP(MOD(COLUMN()-1,31.001),0)),HolidayList[Date],0))),(VLOOKUP(VLOOKUP(WEEKDAY(DATE($A$2,INT((COLUMN()-1)/31.001)+$A$1,ROUNDUP(MOD(COLUMN()-1,31.001),0)),2),'Helper sheet'!$D$1:$E$7,2,0),Database!$M$3:$N$9,2,0)="Yes"))</f>
        <v>1</v>
      </c>
      <c r="DR3" s="6" t="b">
        <f>AND(NOT(ISNUMBER(MATCH(DATE($A$2,INT((COLUMN()-1)/31.001)+$A$1,ROUNDUP(MOD(COLUMN()-1,31.001),0)),HolidayList[Date],0))),(VLOOKUP(VLOOKUP(WEEKDAY(DATE($A$2,INT((COLUMN()-1)/31.001)+$A$1,ROUNDUP(MOD(COLUMN()-1,31.001),0)),2),'Helper sheet'!$D$1:$E$7,2,0),Database!$M$3:$N$9,2,0)="Yes"))</f>
        <v>1</v>
      </c>
      <c r="DS3" s="6" t="b">
        <f>AND(NOT(ISNUMBER(MATCH(DATE($A$2,INT((COLUMN()-1)/31.001)+$A$1,ROUNDUP(MOD(COLUMN()-1,31.001),0)),HolidayList[Date],0))),(VLOOKUP(VLOOKUP(WEEKDAY(DATE($A$2,INT((COLUMN()-1)/31.001)+$A$1,ROUNDUP(MOD(COLUMN()-1,31.001),0)),2),'Helper sheet'!$D$1:$E$7,2,0),Database!$M$3:$N$9,2,0)="Yes"))</f>
        <v>1</v>
      </c>
      <c r="DT3" s="6" t="b">
        <f>AND(NOT(ISNUMBER(MATCH(DATE($A$2,INT((COLUMN()-1)/31.001)+$A$1,ROUNDUP(MOD(COLUMN()-1,31.001),0)),HolidayList[Date],0))),(VLOOKUP(VLOOKUP(WEEKDAY(DATE($A$2,INT((COLUMN()-1)/31.001)+$A$1,ROUNDUP(MOD(COLUMN()-1,31.001),0)),2),'Helper sheet'!$D$1:$E$7,2,0),Database!$M$3:$N$9,2,0)="Yes"))</f>
        <v>0</v>
      </c>
      <c r="DU3" s="6" t="b">
        <f>AND(NOT(ISNUMBER(MATCH(DATE($A$2,INT((COLUMN()-1)/31.001)+$A$1,ROUNDUP(MOD(COLUMN()-1,31.001),0)),HolidayList[Date],0))),(VLOOKUP(VLOOKUP(WEEKDAY(DATE($A$2,INT((COLUMN()-1)/31.001)+$A$1,ROUNDUP(MOD(COLUMN()-1,31.001),0)),2),'Helper sheet'!$D$1:$E$7,2,0),Database!$M$3:$N$9,2,0)="Yes"))</f>
        <v>0</v>
      </c>
      <c r="DV3" s="6" t="b">
        <f>AND(NOT(ISNUMBER(MATCH(DATE($A$2,INT((COLUMN()-1)/31.001)+$A$1,ROUNDUP(MOD(COLUMN()-1,31.001),0)),HolidayList[Date],0))),(VLOOKUP(VLOOKUP(WEEKDAY(DATE($A$2,INT((COLUMN()-1)/31.001)+$A$1,ROUNDUP(MOD(COLUMN()-1,31.001),0)),2),'Helper sheet'!$D$1:$E$7,2,0),Database!$M$3:$N$9,2,0)="Yes"))</f>
        <v>0</v>
      </c>
      <c r="DW3" s="6" t="b">
        <f>AND(NOT(ISNUMBER(MATCH(DATE($A$2,INT((COLUMN()-1)/31.001)+$A$1,ROUNDUP(MOD(COLUMN()-1,31.001),0)),HolidayList[Date],0))),(VLOOKUP(VLOOKUP(WEEKDAY(DATE($A$2,INT((COLUMN()-1)/31.001)+$A$1,ROUNDUP(MOD(COLUMN()-1,31.001),0)),2),'Helper sheet'!$D$1:$E$7,2,0),Database!$M$3:$N$9,2,0)="Yes"))</f>
        <v>1</v>
      </c>
      <c r="DX3" s="6" t="b">
        <f>AND(NOT(ISNUMBER(MATCH(DATE($A$2,INT((COLUMN()-1)/31.001)+$A$1,ROUNDUP(MOD(COLUMN()-1,31.001),0)),HolidayList[Date],0))),(VLOOKUP(VLOOKUP(WEEKDAY(DATE($A$2,INT((COLUMN()-1)/31.001)+$A$1,ROUNDUP(MOD(COLUMN()-1,31.001),0)),2),'Helper sheet'!$D$1:$E$7,2,0),Database!$M$3:$N$9,2,0)="Yes"))</f>
        <v>1</v>
      </c>
      <c r="DY3" s="6" t="b">
        <f>AND(NOT(ISNUMBER(MATCH(DATE($A$2,INT((COLUMN()-1)/31.001)+$A$1,ROUNDUP(MOD(COLUMN()-1,31.001),0)),HolidayList[Date],0))),(VLOOKUP(VLOOKUP(WEEKDAY(DATE($A$2,INT((COLUMN()-1)/31.001)+$A$1,ROUNDUP(MOD(COLUMN()-1,31.001),0)),2),'Helper sheet'!$D$1:$E$7,2,0),Database!$M$3:$N$9,2,0)="Yes"))</f>
        <v>1</v>
      </c>
      <c r="DZ3" s="6" t="b">
        <f>AND(NOT(ISNUMBER(MATCH(DATE($A$2,INT((COLUMN()-1)/31.001)+$A$1,ROUNDUP(MOD(COLUMN()-1,31.001),0)),HolidayList[Date],0))),(VLOOKUP(VLOOKUP(WEEKDAY(DATE($A$2,INT((COLUMN()-1)/31.001)+$A$1,ROUNDUP(MOD(COLUMN()-1,31.001),0)),2),'Helper sheet'!$D$1:$E$7,2,0),Database!$M$3:$N$9,2,0)="Yes"))</f>
        <v>1</v>
      </c>
      <c r="EA3" s="6" t="b">
        <f>AND(NOT(ISNUMBER(MATCH(DATE($A$2,INT((COLUMN()-1)/31.001)+$A$1,ROUNDUP(MOD(COLUMN()-1,31.001),0)),HolidayList[Date],0))),(VLOOKUP(VLOOKUP(WEEKDAY(DATE($A$2,INT((COLUMN()-1)/31.001)+$A$1,ROUNDUP(MOD(COLUMN()-1,31.001),0)),2),'Helper sheet'!$D$1:$E$7,2,0),Database!$M$3:$N$9,2,0)="Yes"))</f>
        <v>1</v>
      </c>
      <c r="EB3" s="6" t="b">
        <f>AND(NOT(ISNUMBER(MATCH(DATE($A$2,INT((COLUMN()-1)/31.001)+$A$1,ROUNDUP(MOD(COLUMN()-1,31.001),0)),HolidayList[Date],0))),(VLOOKUP(VLOOKUP(WEEKDAY(DATE($A$2,INT((COLUMN()-1)/31.001)+$A$1,ROUNDUP(MOD(COLUMN()-1,31.001),0)),2),'Helper sheet'!$D$1:$E$7,2,0),Database!$M$3:$N$9,2,0)="Yes"))</f>
        <v>0</v>
      </c>
      <c r="EC3" s="6" t="b">
        <f>AND(NOT(ISNUMBER(MATCH(DATE($A$2,INT((COLUMN()-1)/31.001)+$A$1,ROUNDUP(MOD(COLUMN()-1,31.001),0)),HolidayList[Date],0))),(VLOOKUP(VLOOKUP(WEEKDAY(DATE($A$2,INT((COLUMN()-1)/31.001)+$A$1,ROUNDUP(MOD(COLUMN()-1,31.001),0)),2),'Helper sheet'!$D$1:$E$7,2,0),Database!$M$3:$N$9,2,0)="Yes"))</f>
        <v>0</v>
      </c>
      <c r="ED3" s="6" t="b">
        <f>AND(NOT(ISNUMBER(MATCH(DATE($A$2,INT((COLUMN()-1)/31.001)+$A$1,ROUNDUP(MOD(COLUMN()-1,31.001),0)),HolidayList[Date],0))),(VLOOKUP(VLOOKUP(WEEKDAY(DATE($A$2,INT((COLUMN()-1)/31.001)+$A$1,ROUNDUP(MOD(COLUMN()-1,31.001),0)),2),'Helper sheet'!$D$1:$E$7,2,0),Database!$M$3:$N$9,2,0)="Yes"))</f>
        <v>1</v>
      </c>
      <c r="EE3" s="6" t="b">
        <f>AND(NOT(ISNUMBER(MATCH(DATE($A$2,INT((COLUMN()-1)/31.001)+$A$1,ROUNDUP(MOD(COLUMN()-1,31.001),0)),HolidayList[Date],0))),(VLOOKUP(VLOOKUP(WEEKDAY(DATE($A$2,INT((COLUMN()-1)/31.001)+$A$1,ROUNDUP(MOD(COLUMN()-1,31.001),0)),2),'Helper sheet'!$D$1:$E$7,2,0),Database!$M$3:$N$9,2,0)="Yes"))</f>
        <v>1</v>
      </c>
      <c r="EF3" s="6" t="b">
        <f>AND(NOT(ISNUMBER(MATCH(DATE($A$2,INT((COLUMN()-1)/31.001)+$A$1,ROUNDUP(MOD(COLUMN()-1,31.001),0)),HolidayList[Date],0))),(VLOOKUP(VLOOKUP(WEEKDAY(DATE($A$2,INT((COLUMN()-1)/31.001)+$A$1,ROUNDUP(MOD(COLUMN()-1,31.001),0)),2),'Helper sheet'!$D$1:$E$7,2,0),Database!$M$3:$N$9,2,0)="Yes"))</f>
        <v>1</v>
      </c>
      <c r="EG3" s="6" t="b">
        <f>AND(NOT(ISNUMBER(MATCH(DATE($A$2,INT((COLUMN()-1)/31.001)+$A$1,ROUNDUP(MOD(COLUMN()-1,31.001),0)),HolidayList[Date],0))),(VLOOKUP(VLOOKUP(WEEKDAY(DATE($A$2,INT((COLUMN()-1)/31.001)+$A$1,ROUNDUP(MOD(COLUMN()-1,31.001),0)),2),'Helper sheet'!$D$1:$E$7,2,0),Database!$M$3:$N$9,2,0)="Yes"))</f>
        <v>1</v>
      </c>
      <c r="EH3" s="6" t="b">
        <f>AND(NOT(ISNUMBER(MATCH(DATE($A$2,INT((COLUMN()-1)/31.001)+$A$1,ROUNDUP(MOD(COLUMN()-1,31.001),0)),HolidayList[Date],0))),(VLOOKUP(VLOOKUP(WEEKDAY(DATE($A$2,INT((COLUMN()-1)/31.001)+$A$1,ROUNDUP(MOD(COLUMN()-1,31.001),0)),2),'Helper sheet'!$D$1:$E$7,2,0),Database!$M$3:$N$9,2,0)="Yes"))</f>
        <v>1</v>
      </c>
      <c r="EI3" s="6" t="b">
        <f>AND(NOT(ISNUMBER(MATCH(DATE($A$2,INT((COLUMN()-1)/31.001)+$A$1,ROUNDUP(MOD(COLUMN()-1,31.001),0)),HolidayList[Date],0))),(VLOOKUP(VLOOKUP(WEEKDAY(DATE($A$2,INT((COLUMN()-1)/31.001)+$A$1,ROUNDUP(MOD(COLUMN()-1,31.001),0)),2),'Helper sheet'!$D$1:$E$7,2,0),Database!$M$3:$N$9,2,0)="Yes"))</f>
        <v>0</v>
      </c>
      <c r="EJ3" s="6" t="b">
        <f>AND(NOT(ISNUMBER(MATCH(DATE($A$2,INT((COLUMN()-1)/31.001)+$A$1,ROUNDUP(MOD(COLUMN()-1,31.001),0)),HolidayList[Date],0))),(VLOOKUP(VLOOKUP(WEEKDAY(DATE($A$2,INT((COLUMN()-1)/31.001)+$A$1,ROUNDUP(MOD(COLUMN()-1,31.001),0)),2),'Helper sheet'!$D$1:$E$7,2,0),Database!$M$3:$N$9,2,0)="Yes"))</f>
        <v>0</v>
      </c>
      <c r="EK3" s="6" t="b">
        <f>AND(NOT(ISNUMBER(MATCH(DATE($A$2,INT((COLUMN()-1)/31.001)+$A$1,ROUNDUP(MOD(COLUMN()-1,31.001),0)),HolidayList[Date],0))),(VLOOKUP(VLOOKUP(WEEKDAY(DATE($A$2,INT((COLUMN()-1)/31.001)+$A$1,ROUNDUP(MOD(COLUMN()-1,31.001),0)),2),'Helper sheet'!$D$1:$E$7,2,0),Database!$M$3:$N$9,2,0)="Yes"))</f>
        <v>1</v>
      </c>
      <c r="EL3" s="6" t="b">
        <f>AND(NOT(ISNUMBER(MATCH(DATE($A$2,INT((COLUMN()-1)/31.001)+$A$1,ROUNDUP(MOD(COLUMN()-1,31.001),0)),HolidayList[Date],0))),(VLOOKUP(VLOOKUP(WEEKDAY(DATE($A$2,INT((COLUMN()-1)/31.001)+$A$1,ROUNDUP(MOD(COLUMN()-1,31.001),0)),2),'Helper sheet'!$D$1:$E$7,2,0),Database!$M$3:$N$9,2,0)="Yes"))</f>
        <v>1</v>
      </c>
      <c r="EM3" s="6" t="b">
        <f>AND(NOT(ISNUMBER(MATCH(DATE($A$2,INT((COLUMN()-1)/31.001)+$A$1,ROUNDUP(MOD(COLUMN()-1,31.001),0)),HolidayList[Date],0))),(VLOOKUP(VLOOKUP(WEEKDAY(DATE($A$2,INT((COLUMN()-1)/31.001)+$A$1,ROUNDUP(MOD(COLUMN()-1,31.001),0)),2),'Helper sheet'!$D$1:$E$7,2,0),Database!$M$3:$N$9,2,0)="Yes"))</f>
        <v>1</v>
      </c>
      <c r="EN3" s="6" t="b">
        <f>AND(NOT(ISNUMBER(MATCH(DATE($A$2,INT((COLUMN()-1)/31.001)+$A$1,ROUNDUP(MOD(COLUMN()-1,31.001),0)),HolidayList[Date],0))),(VLOOKUP(VLOOKUP(WEEKDAY(DATE($A$2,INT((COLUMN()-1)/31.001)+$A$1,ROUNDUP(MOD(COLUMN()-1,31.001),0)),2),'Helper sheet'!$D$1:$E$7,2,0),Database!$M$3:$N$9,2,0)="Yes"))</f>
        <v>1</v>
      </c>
      <c r="EO3" s="6" t="b">
        <f>AND(NOT(ISNUMBER(MATCH(DATE($A$2,INT((COLUMN()-1)/31.001)+$A$1,ROUNDUP(MOD(COLUMN()-1,31.001),0)),HolidayList[Date],0))),(VLOOKUP(VLOOKUP(WEEKDAY(DATE($A$2,INT((COLUMN()-1)/31.001)+$A$1,ROUNDUP(MOD(COLUMN()-1,31.001),0)),2),'Helper sheet'!$D$1:$E$7,2,0),Database!$M$3:$N$9,2,0)="Yes"))</f>
        <v>1</v>
      </c>
      <c r="EP3" s="6" t="b">
        <f>AND(NOT(ISNUMBER(MATCH(DATE($A$2,INT((COLUMN()-1)/31.001)+$A$1,ROUNDUP(MOD(COLUMN()-1,31.001),0)),HolidayList[Date],0))),(VLOOKUP(VLOOKUP(WEEKDAY(DATE($A$2,INT((COLUMN()-1)/31.001)+$A$1,ROUNDUP(MOD(COLUMN()-1,31.001),0)),2),'Helper sheet'!$D$1:$E$7,2,0),Database!$M$3:$N$9,2,0)="Yes"))</f>
        <v>0</v>
      </c>
      <c r="EQ3" s="6" t="b">
        <f>AND(NOT(ISNUMBER(MATCH(DATE($A$2,INT((COLUMN()-1)/31.001)+$A$1,ROUNDUP(MOD(COLUMN()-1,31.001),0)),HolidayList[Date],0))),(VLOOKUP(VLOOKUP(WEEKDAY(DATE($A$2,INT((COLUMN()-1)/31.001)+$A$1,ROUNDUP(MOD(COLUMN()-1,31.001),0)),2),'Helper sheet'!$D$1:$E$7,2,0),Database!$M$3:$N$9,2,0)="Yes"))</f>
        <v>0</v>
      </c>
      <c r="ER3" s="6" t="b">
        <f>AND(NOT(ISNUMBER(MATCH(DATE($A$2,INT((COLUMN()-1)/31.001)+$A$1,ROUNDUP(MOD(COLUMN()-1,31.001),0)),HolidayList[Date],0))),(VLOOKUP(VLOOKUP(WEEKDAY(DATE($A$2,INT((COLUMN()-1)/31.001)+$A$1,ROUNDUP(MOD(COLUMN()-1,31.001),0)),2),'Helper sheet'!$D$1:$E$7,2,0),Database!$M$3:$N$9,2,0)="Yes"))</f>
        <v>1</v>
      </c>
      <c r="ES3" s="6" t="b">
        <f>AND(NOT(ISNUMBER(MATCH(DATE($A$2,INT((COLUMN()-1)/31.001)+$A$1,ROUNDUP(MOD(COLUMN()-1,31.001),0)),HolidayList[Date],0))),(VLOOKUP(VLOOKUP(WEEKDAY(DATE($A$2,INT((COLUMN()-1)/31.001)+$A$1,ROUNDUP(MOD(COLUMN()-1,31.001),0)),2),'Helper sheet'!$D$1:$E$7,2,0),Database!$M$3:$N$9,2,0)="Yes"))</f>
        <v>1</v>
      </c>
      <c r="ET3" s="6" t="b">
        <f>AND(NOT(ISNUMBER(MATCH(DATE($A$2,INT((COLUMN()-1)/31.001)+$A$1,ROUNDUP(MOD(COLUMN()-1,31.001),0)),HolidayList[Date],0))),(VLOOKUP(VLOOKUP(WEEKDAY(DATE($A$2,INT((COLUMN()-1)/31.001)+$A$1,ROUNDUP(MOD(COLUMN()-1,31.001),0)),2),'Helper sheet'!$D$1:$E$7,2,0),Database!$M$3:$N$9,2,0)="Yes"))</f>
        <v>1</v>
      </c>
      <c r="EU3" s="6" t="b">
        <f>AND(NOT(ISNUMBER(MATCH(DATE($A$2,INT((COLUMN()-1)/31.001)+$A$1,ROUNDUP(MOD(COLUMN()-1,31.001),0)),HolidayList[Date],0))),(VLOOKUP(VLOOKUP(WEEKDAY(DATE($A$2,INT((COLUMN()-1)/31.001)+$A$1,ROUNDUP(MOD(COLUMN()-1,31.001),0)),2),'Helper sheet'!$D$1:$E$7,2,0),Database!$M$3:$N$9,2,0)="Yes"))</f>
        <v>1</v>
      </c>
      <c r="EV3" s="6" t="b">
        <f>AND(NOT(ISNUMBER(MATCH(DATE($A$2,INT((COLUMN()-1)/31.001)+$A$1,ROUNDUP(MOD(COLUMN()-1,31.001),0)),HolidayList[Date],0))),(VLOOKUP(VLOOKUP(WEEKDAY(DATE($A$2,INT((COLUMN()-1)/31.001)+$A$1,ROUNDUP(MOD(COLUMN()-1,31.001),0)),2),'Helper sheet'!$D$1:$E$7,2,0),Database!$M$3:$N$9,2,0)="Yes"))</f>
        <v>1</v>
      </c>
      <c r="EW3" s="6" t="b">
        <f>AND(NOT(ISNUMBER(MATCH(DATE($A$2,INT((COLUMN()-1)/31.001)+$A$1,ROUNDUP(MOD(COLUMN()-1,31.001),0)),HolidayList[Date],0))),(VLOOKUP(VLOOKUP(WEEKDAY(DATE($A$2,INT((COLUMN()-1)/31.001)+$A$1,ROUNDUP(MOD(COLUMN()-1,31.001),0)),2),'Helper sheet'!$D$1:$E$7,2,0),Database!$M$3:$N$9,2,0)="Yes"))</f>
        <v>0</v>
      </c>
      <c r="EX3" s="6" t="b">
        <f>AND(NOT(ISNUMBER(MATCH(DATE($A$2,INT((COLUMN()-1)/31.001)+$A$1,ROUNDUP(MOD(COLUMN()-1,31.001),0)),HolidayList[Date],0))),(VLOOKUP(VLOOKUP(WEEKDAY(DATE($A$2,INT((COLUMN()-1)/31.001)+$A$1,ROUNDUP(MOD(COLUMN()-1,31.001),0)),2),'Helper sheet'!$D$1:$E$7,2,0),Database!$M$3:$N$9,2,0)="Yes"))</f>
        <v>0</v>
      </c>
      <c r="EY3" s="6" t="b">
        <f>AND(NOT(ISNUMBER(MATCH(DATE($A$2,INT((COLUMN()-1)/31.001)+$A$1,ROUNDUP(MOD(COLUMN()-1,31.001),0)),HolidayList[Date],0))),(VLOOKUP(VLOOKUP(WEEKDAY(DATE($A$2,INT((COLUMN()-1)/31.001)+$A$1,ROUNDUP(MOD(COLUMN()-1,31.001),0)),2),'Helper sheet'!$D$1:$E$7,2,0),Database!$M$3:$N$9,2,0)="Yes"))</f>
        <v>1</v>
      </c>
      <c r="EZ3" s="6" t="b">
        <f>AND(NOT(ISNUMBER(MATCH(DATE($A$2,INT((COLUMN()-1)/31.001)+$A$1,ROUNDUP(MOD(COLUMN()-1,31.001),0)),HolidayList[Date],0))),(VLOOKUP(VLOOKUP(WEEKDAY(DATE($A$2,INT((COLUMN()-1)/31.001)+$A$1,ROUNDUP(MOD(COLUMN()-1,31.001),0)),2),'Helper sheet'!$D$1:$E$7,2,0),Database!$M$3:$N$9,2,0)="Yes"))</f>
        <v>1</v>
      </c>
      <c r="FA3" s="6" t="b">
        <f>AND(NOT(ISNUMBER(MATCH(DATE($A$2,INT((COLUMN()-1)/31.001)+$A$1,ROUNDUP(MOD(COLUMN()-1,31.001),0)),HolidayList[Date],0))),(VLOOKUP(VLOOKUP(WEEKDAY(DATE($A$2,INT((COLUMN()-1)/31.001)+$A$1,ROUNDUP(MOD(COLUMN()-1,31.001),0)),2),'Helper sheet'!$D$1:$E$7,2,0),Database!$M$3:$N$9,2,0)="Yes"))</f>
        <v>1</v>
      </c>
      <c r="FB3" s="6" t="b">
        <f>AND(NOT(ISNUMBER(MATCH(DATE($A$2,INT((COLUMN()-1)/31.001)+$A$1,ROUNDUP(MOD(COLUMN()-1,31.001),0)),HolidayList[Date],0))),(VLOOKUP(VLOOKUP(WEEKDAY(DATE($A$2,INT((COLUMN()-1)/31.001)+$A$1,ROUNDUP(MOD(COLUMN()-1,31.001),0)),2),'Helper sheet'!$D$1:$E$7,2,0),Database!$M$3:$N$9,2,0)="Yes"))</f>
        <v>1</v>
      </c>
      <c r="FC3" s="6" t="b">
        <f>AND(NOT(ISNUMBER(MATCH(DATE($A$2,INT((COLUMN()-1)/31.001)+$A$1,ROUNDUP(MOD(COLUMN()-1,31.001),0)),HolidayList[Date],0))),(VLOOKUP(VLOOKUP(WEEKDAY(DATE($A$2,INT((COLUMN()-1)/31.001)+$A$1,ROUNDUP(MOD(COLUMN()-1,31.001),0)),2),'Helper sheet'!$D$1:$E$7,2,0),Database!$M$3:$N$9,2,0)="Yes"))</f>
        <v>1</v>
      </c>
      <c r="FD3" s="6" t="b">
        <f>AND(NOT(ISNUMBER(MATCH(DATE($A$2,INT((COLUMN()-1)/31.001)+$A$1,ROUNDUP(MOD(COLUMN()-1,31.001),0)),HolidayList[Date],0))),(VLOOKUP(VLOOKUP(WEEKDAY(DATE($A$2,INT((COLUMN()-1)/31.001)+$A$1,ROUNDUP(MOD(COLUMN()-1,31.001),0)),2),'Helper sheet'!$D$1:$E$7,2,0),Database!$M$3:$N$9,2,0)="Yes"))</f>
        <v>0</v>
      </c>
      <c r="FE3" s="6" t="b">
        <f>AND(NOT(ISNUMBER(MATCH(DATE($A$2,INT((COLUMN()-1)/31.001)+$A$1,ROUNDUP(MOD(COLUMN()-1,31.001),0)),HolidayList[Date],0))),(VLOOKUP(VLOOKUP(WEEKDAY(DATE($A$2,INT((COLUMN()-1)/31.001)+$A$1,ROUNDUP(MOD(COLUMN()-1,31.001),0)),2),'Helper sheet'!$D$1:$E$7,2,0),Database!$M$3:$N$9,2,0)="Yes"))</f>
        <v>0</v>
      </c>
      <c r="FF3" s="6" t="b">
        <f>AND(NOT(ISNUMBER(MATCH(DATE($A$2,INT((COLUMN()-1)/31.001)+$A$1,ROUNDUP(MOD(COLUMN()-1,31.001),0)),HolidayList[Date],0))),(VLOOKUP(VLOOKUP(WEEKDAY(DATE($A$2,INT((COLUMN()-1)/31.001)+$A$1,ROUNDUP(MOD(COLUMN()-1,31.001),0)),2),'Helper sheet'!$D$1:$E$7,2,0),Database!$M$3:$N$9,2,0)="Yes"))</f>
        <v>1</v>
      </c>
      <c r="FG3" s="6" t="b">
        <f>AND(NOT(ISNUMBER(MATCH(DATE($A$2,INT((COLUMN()-1)/31.001)+$A$1,ROUNDUP(MOD(COLUMN()-1,31.001),0)),HolidayList[Date],0))),(VLOOKUP(VLOOKUP(WEEKDAY(DATE($A$2,INT((COLUMN()-1)/31.001)+$A$1,ROUNDUP(MOD(COLUMN()-1,31.001),0)),2),'Helper sheet'!$D$1:$E$7,2,0),Database!$M$3:$N$9,2,0)="Yes"))</f>
        <v>1</v>
      </c>
      <c r="FH3" s="6" t="b">
        <f>AND(NOT(ISNUMBER(MATCH(DATE($A$2,INT((COLUMN()-1)/31.001)+$A$1,ROUNDUP(MOD(COLUMN()-1,31.001),0)),HolidayList[Date],0))),(VLOOKUP(VLOOKUP(WEEKDAY(DATE($A$2,INT((COLUMN()-1)/31.001)+$A$1,ROUNDUP(MOD(COLUMN()-1,31.001),0)),2),'Helper sheet'!$D$1:$E$7,2,0),Database!$M$3:$N$9,2,0)="Yes"))</f>
        <v>1</v>
      </c>
      <c r="FI3" s="6" t="b">
        <f>AND(NOT(ISNUMBER(MATCH(DATE($A$2,INT((COLUMN()-1)/31.001)+$A$1,ROUNDUP(MOD(COLUMN()-1,31.001),0)),HolidayList[Date],0))),(VLOOKUP(VLOOKUP(WEEKDAY(DATE($A$2,INT((COLUMN()-1)/31.001)+$A$1,ROUNDUP(MOD(COLUMN()-1,31.001),0)),2),'Helper sheet'!$D$1:$E$7,2,0),Database!$M$3:$N$9,2,0)="Yes"))</f>
        <v>1</v>
      </c>
      <c r="FJ3" s="6" t="b">
        <f>AND(NOT(ISNUMBER(MATCH(DATE($A$2,INT((COLUMN()-1)/31.001)+$A$1,ROUNDUP(MOD(COLUMN()-1,31.001),0)),HolidayList[Date],0))),(VLOOKUP(VLOOKUP(WEEKDAY(DATE($A$2,INT((COLUMN()-1)/31.001)+$A$1,ROUNDUP(MOD(COLUMN()-1,31.001),0)),2),'Helper sheet'!$D$1:$E$7,2,0),Database!$M$3:$N$9,2,0)="Yes"))</f>
        <v>1</v>
      </c>
      <c r="FK3" s="6" t="b">
        <f>AND(NOT(ISNUMBER(MATCH(DATE($A$2,INT((COLUMN()-1)/31.001)+$A$1,ROUNDUP(MOD(COLUMN()-1,31.001),0)),HolidayList[Date],0))),(VLOOKUP(VLOOKUP(WEEKDAY(DATE($A$2,INT((COLUMN()-1)/31.001)+$A$1,ROUNDUP(MOD(COLUMN()-1,31.001),0)),2),'Helper sheet'!$D$1:$E$7,2,0),Database!$M$3:$N$9,2,0)="Yes"))</f>
        <v>0</v>
      </c>
      <c r="FL3" s="6" t="b">
        <f>AND(NOT(ISNUMBER(MATCH(DATE($A$2,INT((COLUMN()-1)/31.001)+$A$1,ROUNDUP(MOD(COLUMN()-1,31.001),0)),HolidayList[Date],0))),(VLOOKUP(VLOOKUP(WEEKDAY(DATE($A$2,INT((COLUMN()-1)/31.001)+$A$1,ROUNDUP(MOD(COLUMN()-1,31.001),0)),2),'Helper sheet'!$D$1:$E$7,2,0),Database!$M$3:$N$9,2,0)="Yes"))</f>
        <v>0</v>
      </c>
      <c r="FM3" s="6" t="b">
        <f>AND(NOT(ISNUMBER(MATCH(DATE($A$2,INT((COLUMN()-1)/31.001)+$A$1,ROUNDUP(MOD(COLUMN()-1,31.001),0)),HolidayList[Date],0))),(VLOOKUP(VLOOKUP(WEEKDAY(DATE($A$2,INT((COLUMN()-1)/31.001)+$A$1,ROUNDUP(MOD(COLUMN()-1,31.001),0)),2),'Helper sheet'!$D$1:$E$7,2,0),Database!$M$3:$N$9,2,0)="Yes"))</f>
        <v>1</v>
      </c>
      <c r="FN3" s="6" t="b">
        <f>AND(NOT(ISNUMBER(MATCH(DATE($A$2,INT((COLUMN()-1)/31.001)+$A$1,ROUNDUP(MOD(COLUMN()-1,31.001),0)),HolidayList[Date],0))),(VLOOKUP(VLOOKUP(WEEKDAY(DATE($A$2,INT((COLUMN()-1)/31.001)+$A$1,ROUNDUP(MOD(COLUMN()-1,31.001),0)),2),'Helper sheet'!$D$1:$E$7,2,0),Database!$M$3:$N$9,2,0)="Yes"))</f>
        <v>1</v>
      </c>
      <c r="FO3" s="6" t="b">
        <f>AND(NOT(ISNUMBER(MATCH(DATE($A$2,INT((COLUMN()-1)/31.001)+$A$1,ROUNDUP(MOD(COLUMN()-1,31.001),0)),HolidayList[Date],0))),(VLOOKUP(VLOOKUP(WEEKDAY(DATE($A$2,INT((COLUMN()-1)/31.001)+$A$1,ROUNDUP(MOD(COLUMN()-1,31.001),0)),2),'Helper sheet'!$D$1:$E$7,2,0),Database!$M$3:$N$9,2,0)="Yes"))</f>
        <v>1</v>
      </c>
      <c r="FP3" s="6" t="b">
        <f>AND(NOT(ISNUMBER(MATCH(DATE($A$2,INT((COLUMN()-1)/31.001)+$A$1,ROUNDUP(MOD(COLUMN()-1,31.001),0)),HolidayList[Date],0))),(VLOOKUP(VLOOKUP(WEEKDAY(DATE($A$2,INT((COLUMN()-1)/31.001)+$A$1,ROUNDUP(MOD(COLUMN()-1,31.001),0)),2),'Helper sheet'!$D$1:$E$7,2,0),Database!$M$3:$N$9,2,0)="Yes"))</f>
        <v>1</v>
      </c>
      <c r="FQ3" s="6" t="b">
        <f>AND(NOT(ISNUMBER(MATCH(DATE($A$2,INT((COLUMN()-1)/31.001)+$A$1,ROUNDUP(MOD(COLUMN()-1,31.001),0)),HolidayList[Date],0))),(VLOOKUP(VLOOKUP(WEEKDAY(DATE($A$2,INT((COLUMN()-1)/31.001)+$A$1,ROUNDUP(MOD(COLUMN()-1,31.001),0)),2),'Helper sheet'!$D$1:$E$7,2,0),Database!$M$3:$N$9,2,0)="Yes"))</f>
        <v>1</v>
      </c>
      <c r="FR3" s="6" t="b">
        <f>AND(NOT(ISNUMBER(MATCH(DATE($A$2,INT((COLUMN()-1)/31.001)+$A$1,ROUNDUP(MOD(COLUMN()-1,31.001),0)),HolidayList[Date],0))),(VLOOKUP(VLOOKUP(WEEKDAY(DATE($A$2,INT((COLUMN()-1)/31.001)+$A$1,ROUNDUP(MOD(COLUMN()-1,31.001),0)),2),'Helper sheet'!$D$1:$E$7,2,0),Database!$M$3:$N$9,2,0)="Yes"))</f>
        <v>0</v>
      </c>
      <c r="FS3" s="6" t="b">
        <f>AND(NOT(ISNUMBER(MATCH(DATE($A$2,INT((COLUMN()-1)/31.001)+$A$1,ROUNDUP(MOD(COLUMN()-1,31.001),0)),HolidayList[Date],0))),(VLOOKUP(VLOOKUP(WEEKDAY(DATE($A$2,INT((COLUMN()-1)/31.001)+$A$1,ROUNDUP(MOD(COLUMN()-1,31.001),0)),2),'Helper sheet'!$D$1:$E$7,2,0),Database!$M$3:$N$9,2,0)="Yes"))</f>
        <v>0</v>
      </c>
      <c r="FT3" s="6" t="b">
        <f>AND(NOT(ISNUMBER(MATCH(DATE($A$2,INT((COLUMN()-1)/31.001)+$A$1,ROUNDUP(MOD(COLUMN()-1,31.001),0)),HolidayList[Date],0))),(VLOOKUP(VLOOKUP(WEEKDAY(DATE($A$2,INT((COLUMN()-1)/31.001)+$A$1,ROUNDUP(MOD(COLUMN()-1,31.001),0)),2),'Helper sheet'!$D$1:$E$7,2,0),Database!$M$3:$N$9,2,0)="Yes"))</f>
        <v>1</v>
      </c>
      <c r="FU3" s="6" t="b">
        <f>AND(NOT(ISNUMBER(MATCH(DATE($A$2,INT((COLUMN()-1)/31.001)+$A$1,ROUNDUP(MOD(COLUMN()-1,31.001),0)),HolidayList[Date],0))),(VLOOKUP(VLOOKUP(WEEKDAY(DATE($A$2,INT((COLUMN()-1)/31.001)+$A$1,ROUNDUP(MOD(COLUMN()-1,31.001),0)),2),'Helper sheet'!$D$1:$E$7,2,0),Database!$M$3:$N$9,2,0)="Yes"))</f>
        <v>1</v>
      </c>
      <c r="FV3" s="6" t="b">
        <f>AND(NOT(ISNUMBER(MATCH(DATE($A$2,INT((COLUMN()-1)/31.001)+$A$1,ROUNDUP(MOD(COLUMN()-1,31.001),0)),HolidayList[Date],0))),(VLOOKUP(VLOOKUP(WEEKDAY(DATE($A$2,INT((COLUMN()-1)/31.001)+$A$1,ROUNDUP(MOD(COLUMN()-1,31.001),0)),2),'Helper sheet'!$D$1:$E$7,2,0),Database!$M$3:$N$9,2,0)="Yes"))</f>
        <v>1</v>
      </c>
      <c r="FW3" s="6" t="b">
        <f>AND(NOT(ISNUMBER(MATCH(DATE($A$2,INT((COLUMN()-1)/31.001)+$A$1,ROUNDUP(MOD(COLUMN()-1,31.001),0)),HolidayList[Date],0))),(VLOOKUP(VLOOKUP(WEEKDAY(DATE($A$2,INT((COLUMN()-1)/31.001)+$A$1,ROUNDUP(MOD(COLUMN()-1,31.001),0)),2),'Helper sheet'!$D$1:$E$7,2,0),Database!$M$3:$N$9,2,0)="Yes"))</f>
        <v>1</v>
      </c>
      <c r="FX3" s="6" t="b">
        <f>AND(NOT(ISNUMBER(MATCH(DATE($A$2,INT((COLUMN()-1)/31.001)+$A$1,ROUNDUP(MOD(COLUMN()-1,31.001),0)),HolidayList[Date],0))),(VLOOKUP(VLOOKUP(WEEKDAY(DATE($A$2,INT((COLUMN()-1)/31.001)+$A$1,ROUNDUP(MOD(COLUMN()-1,31.001),0)),2),'Helper sheet'!$D$1:$E$7,2,0),Database!$M$3:$N$9,2,0)="Yes"))</f>
        <v>1</v>
      </c>
      <c r="FY3" s="6" t="b">
        <f>AND(NOT(ISNUMBER(MATCH(DATE($A$2,INT((COLUMN()-1)/31.001)+$A$1,ROUNDUP(MOD(COLUMN()-1,31.001),0)),HolidayList[Date],0))),(VLOOKUP(VLOOKUP(WEEKDAY(DATE($A$2,INT((COLUMN()-1)/31.001)+$A$1,ROUNDUP(MOD(COLUMN()-1,31.001),0)),2),'Helper sheet'!$D$1:$E$7,2,0),Database!$M$3:$N$9,2,0)="Yes"))</f>
        <v>0</v>
      </c>
      <c r="FZ3" s="6" t="b">
        <f>AND(NOT(ISNUMBER(MATCH(DATE($A$2,INT((COLUMN()-1)/31.001)+$A$1,ROUNDUP(MOD(COLUMN()-1,31.001),0)),HolidayList[Date],0))),(VLOOKUP(VLOOKUP(WEEKDAY(DATE($A$2,INT((COLUMN()-1)/31.001)+$A$1,ROUNDUP(MOD(COLUMN()-1,31.001),0)),2),'Helper sheet'!$D$1:$E$7,2,0),Database!$M$3:$N$9,2,0)="Yes"))</f>
        <v>0</v>
      </c>
      <c r="GA3" s="6" t="b">
        <f>AND(NOT(ISNUMBER(MATCH(DATE($A$2,INT((COLUMN()-1)/31.001)+$A$1,ROUNDUP(MOD(COLUMN()-1,31.001),0)),HolidayList[Date],0))),(VLOOKUP(VLOOKUP(WEEKDAY(DATE($A$2,INT((COLUMN()-1)/31.001)+$A$1,ROUNDUP(MOD(COLUMN()-1,31.001),0)),2),'Helper sheet'!$D$1:$E$7,2,0),Database!$M$3:$N$9,2,0)="Yes"))</f>
        <v>1</v>
      </c>
      <c r="GB3" s="6" t="b">
        <f>AND(NOT(ISNUMBER(MATCH(DATE($A$2,INT((COLUMN()-1)/31.001)+$A$1,ROUNDUP(MOD(COLUMN()-1,31.001),0)),HolidayList[Date],0))),(VLOOKUP(VLOOKUP(WEEKDAY(DATE($A$2,INT((COLUMN()-1)/31.001)+$A$1,ROUNDUP(MOD(COLUMN()-1,31.001),0)),2),'Helper sheet'!$D$1:$E$7,2,0),Database!$M$3:$N$9,2,0)="Yes"))</f>
        <v>1</v>
      </c>
      <c r="GC3" s="6" t="b">
        <f>AND(NOT(ISNUMBER(MATCH(DATE($A$2,INT((COLUMN()-1)/31.001)+$A$1,ROUNDUP(MOD(COLUMN()-1,31.001),0)),HolidayList[Date],0))),(VLOOKUP(VLOOKUP(WEEKDAY(DATE($A$2,INT((COLUMN()-1)/31.001)+$A$1,ROUNDUP(MOD(COLUMN()-1,31.001),0)),2),'Helper sheet'!$D$1:$E$7,2,0),Database!$M$3:$N$9,2,0)="Yes"))</f>
        <v>1</v>
      </c>
      <c r="GD3" s="6" t="b">
        <f>AND(NOT(ISNUMBER(MATCH(DATE($A$2,INT((COLUMN()-1)/31.001)+$A$1,ROUNDUP(MOD(COLUMN()-1,31.001),0)),HolidayList[Date],0))),(VLOOKUP(VLOOKUP(WEEKDAY(DATE($A$2,INT((COLUMN()-1)/31.001)+$A$1,ROUNDUP(MOD(COLUMN()-1,31.001),0)),2),'Helper sheet'!$D$1:$E$7,2,0),Database!$M$3:$N$9,2,0)="Yes"))</f>
        <v>0</v>
      </c>
      <c r="GE3" s="6" t="b">
        <f>AND(NOT(ISNUMBER(MATCH(DATE($A$2,INT((COLUMN()-1)/31.001)+$A$1,ROUNDUP(MOD(COLUMN()-1,31.001),0)),HolidayList[Date],0))),(VLOOKUP(VLOOKUP(WEEKDAY(DATE($A$2,INT((COLUMN()-1)/31.001)+$A$1,ROUNDUP(MOD(COLUMN()-1,31.001),0)),2),'Helper sheet'!$D$1:$E$7,2,0),Database!$M$3:$N$9,2,0)="Yes"))</f>
        <v>1</v>
      </c>
      <c r="GF3" s="6" t="b">
        <f>AND(NOT(ISNUMBER(MATCH(DATE($A$2,INT((COLUMN()-1)/31.001)+$A$1,ROUNDUP(MOD(COLUMN()-1,31.001),0)),HolidayList[Date],0))),(VLOOKUP(VLOOKUP(WEEKDAY(DATE($A$2,INT((COLUMN()-1)/31.001)+$A$1,ROUNDUP(MOD(COLUMN()-1,31.001),0)),2),'Helper sheet'!$D$1:$E$7,2,0),Database!$M$3:$N$9,2,0)="Yes"))</f>
        <v>1</v>
      </c>
      <c r="GG3" s="6" t="b">
        <f>AND(NOT(ISNUMBER(MATCH(DATE($A$2,INT((COLUMN()-1)/31.001)+$A$1,ROUNDUP(MOD(COLUMN()-1,31.001),0)),HolidayList[Date],0))),(VLOOKUP(VLOOKUP(WEEKDAY(DATE($A$2,INT((COLUMN()-1)/31.001)+$A$1,ROUNDUP(MOD(COLUMN()-1,31.001),0)),2),'Helper sheet'!$D$1:$E$7,2,0),Database!$M$3:$N$9,2,0)="Yes"))</f>
        <v>0</v>
      </c>
      <c r="GH3" s="6" t="b">
        <f>AND(NOT(ISNUMBER(MATCH(DATE($A$2,INT((COLUMN()-1)/31.001)+$A$1,ROUNDUP(MOD(COLUMN()-1,31.001),0)),HolidayList[Date],0))),(VLOOKUP(VLOOKUP(WEEKDAY(DATE($A$2,INT((COLUMN()-1)/31.001)+$A$1,ROUNDUP(MOD(COLUMN()-1,31.001),0)),2),'Helper sheet'!$D$1:$E$7,2,0),Database!$M$3:$N$9,2,0)="Yes"))</f>
        <v>0</v>
      </c>
      <c r="GI3" s="6" t="b">
        <f>AND(NOT(ISNUMBER(MATCH(DATE($A$2,INT((COLUMN()-1)/31.001)+$A$1,ROUNDUP(MOD(COLUMN()-1,31.001),0)),HolidayList[Date],0))),(VLOOKUP(VLOOKUP(WEEKDAY(DATE($A$2,INT((COLUMN()-1)/31.001)+$A$1,ROUNDUP(MOD(COLUMN()-1,31.001),0)),2),'Helper sheet'!$D$1:$E$7,2,0),Database!$M$3:$N$9,2,0)="Yes"))</f>
        <v>1</v>
      </c>
      <c r="GJ3" s="6" t="b">
        <f>AND(NOT(ISNUMBER(MATCH(DATE($A$2,INT((COLUMN()-1)/31.001)+$A$1,ROUNDUP(MOD(COLUMN()-1,31.001),0)),HolidayList[Date],0))),(VLOOKUP(VLOOKUP(WEEKDAY(DATE($A$2,INT((COLUMN()-1)/31.001)+$A$1,ROUNDUP(MOD(COLUMN()-1,31.001),0)),2),'Helper sheet'!$D$1:$E$7,2,0),Database!$M$3:$N$9,2,0)="Yes"))</f>
        <v>1</v>
      </c>
      <c r="GK3" s="6" t="b">
        <f>AND(NOT(ISNUMBER(MATCH(DATE($A$2,INT((COLUMN()-1)/31.001)+$A$1,ROUNDUP(MOD(COLUMN()-1,31.001),0)),HolidayList[Date],0))),(VLOOKUP(VLOOKUP(WEEKDAY(DATE($A$2,INT((COLUMN()-1)/31.001)+$A$1,ROUNDUP(MOD(COLUMN()-1,31.001),0)),2),'Helper sheet'!$D$1:$E$7,2,0),Database!$M$3:$N$9,2,0)="Yes"))</f>
        <v>1</v>
      </c>
      <c r="GL3" s="6" t="b">
        <f>AND(NOT(ISNUMBER(MATCH(DATE($A$2,INT((COLUMN()-1)/31.001)+$A$1,ROUNDUP(MOD(COLUMN()-1,31.001),0)),HolidayList[Date],0))),(VLOOKUP(VLOOKUP(WEEKDAY(DATE($A$2,INT((COLUMN()-1)/31.001)+$A$1,ROUNDUP(MOD(COLUMN()-1,31.001),0)),2),'Helper sheet'!$D$1:$E$7,2,0),Database!$M$3:$N$9,2,0)="Yes"))</f>
        <v>1</v>
      </c>
      <c r="GM3" s="6" t="b">
        <f>AND(NOT(ISNUMBER(MATCH(DATE($A$2,INT((COLUMN()-1)/31.001)+$A$1,ROUNDUP(MOD(COLUMN()-1,31.001),0)),HolidayList[Date],0))),(VLOOKUP(VLOOKUP(WEEKDAY(DATE($A$2,INT((COLUMN()-1)/31.001)+$A$1,ROUNDUP(MOD(COLUMN()-1,31.001),0)),2),'Helper sheet'!$D$1:$E$7,2,0),Database!$M$3:$N$9,2,0)="Yes"))</f>
        <v>1</v>
      </c>
      <c r="GN3" s="6" t="b">
        <f>AND(NOT(ISNUMBER(MATCH(DATE($A$2,INT((COLUMN()-1)/31.001)+$A$1,ROUNDUP(MOD(COLUMN()-1,31.001),0)),HolidayList[Date],0))),(VLOOKUP(VLOOKUP(WEEKDAY(DATE($A$2,INT((COLUMN()-1)/31.001)+$A$1,ROUNDUP(MOD(COLUMN()-1,31.001),0)),2),'Helper sheet'!$D$1:$E$7,2,0),Database!$M$3:$N$9,2,0)="Yes"))</f>
        <v>0</v>
      </c>
      <c r="GO3" s="6" t="b">
        <f>AND(NOT(ISNUMBER(MATCH(DATE($A$2,INT((COLUMN()-1)/31.001)+$A$1,ROUNDUP(MOD(COLUMN()-1,31.001),0)),HolidayList[Date],0))),(VLOOKUP(VLOOKUP(WEEKDAY(DATE($A$2,INT((COLUMN()-1)/31.001)+$A$1,ROUNDUP(MOD(COLUMN()-1,31.001),0)),2),'Helper sheet'!$D$1:$E$7,2,0),Database!$M$3:$N$9,2,0)="Yes"))</f>
        <v>0</v>
      </c>
      <c r="GP3" s="6" t="b">
        <f>AND(NOT(ISNUMBER(MATCH(DATE($A$2,INT((COLUMN()-1)/31.001)+$A$1,ROUNDUP(MOD(COLUMN()-1,31.001),0)),HolidayList[Date],0))),(VLOOKUP(VLOOKUP(WEEKDAY(DATE($A$2,INT((COLUMN()-1)/31.001)+$A$1,ROUNDUP(MOD(COLUMN()-1,31.001),0)),2),'Helper sheet'!$D$1:$E$7,2,0),Database!$M$3:$N$9,2,0)="Yes"))</f>
        <v>1</v>
      </c>
      <c r="GQ3" s="6" t="b">
        <f>AND(NOT(ISNUMBER(MATCH(DATE($A$2,INT((COLUMN()-1)/31.001)+$A$1,ROUNDUP(MOD(COLUMN()-1,31.001),0)),HolidayList[Date],0))),(VLOOKUP(VLOOKUP(WEEKDAY(DATE($A$2,INT((COLUMN()-1)/31.001)+$A$1,ROUNDUP(MOD(COLUMN()-1,31.001),0)),2),'Helper sheet'!$D$1:$E$7,2,0),Database!$M$3:$N$9,2,0)="Yes"))</f>
        <v>1</v>
      </c>
      <c r="GR3" s="6" t="b">
        <f>AND(NOT(ISNUMBER(MATCH(DATE($A$2,INT((COLUMN()-1)/31.001)+$A$1,ROUNDUP(MOD(COLUMN()-1,31.001),0)),HolidayList[Date],0))),(VLOOKUP(VLOOKUP(WEEKDAY(DATE($A$2,INT((COLUMN()-1)/31.001)+$A$1,ROUNDUP(MOD(COLUMN()-1,31.001),0)),2),'Helper sheet'!$D$1:$E$7,2,0),Database!$M$3:$N$9,2,0)="Yes"))</f>
        <v>1</v>
      </c>
      <c r="GS3" s="6" t="b">
        <f>AND(NOT(ISNUMBER(MATCH(DATE($A$2,INT((COLUMN()-1)/31.001)+$A$1,ROUNDUP(MOD(COLUMN()-1,31.001),0)),HolidayList[Date],0))),(VLOOKUP(VLOOKUP(WEEKDAY(DATE($A$2,INT((COLUMN()-1)/31.001)+$A$1,ROUNDUP(MOD(COLUMN()-1,31.001),0)),2),'Helper sheet'!$D$1:$E$7,2,0),Database!$M$3:$N$9,2,0)="Yes"))</f>
        <v>1</v>
      </c>
      <c r="GT3" s="6" t="b">
        <f>AND(NOT(ISNUMBER(MATCH(DATE($A$2,INT((COLUMN()-1)/31.001)+$A$1,ROUNDUP(MOD(COLUMN()-1,31.001),0)),HolidayList[Date],0))),(VLOOKUP(VLOOKUP(WEEKDAY(DATE($A$2,INT((COLUMN()-1)/31.001)+$A$1,ROUNDUP(MOD(COLUMN()-1,31.001),0)),2),'Helper sheet'!$D$1:$E$7,2,0),Database!$M$3:$N$9,2,0)="Yes"))</f>
        <v>1</v>
      </c>
      <c r="GU3" s="6" t="b">
        <f>AND(NOT(ISNUMBER(MATCH(DATE($A$2,INT((COLUMN()-1)/31.001)+$A$1,ROUNDUP(MOD(COLUMN()-1,31.001),0)),HolidayList[Date],0))),(VLOOKUP(VLOOKUP(WEEKDAY(DATE($A$2,INT((COLUMN()-1)/31.001)+$A$1,ROUNDUP(MOD(COLUMN()-1,31.001),0)),2),'Helper sheet'!$D$1:$E$7,2,0),Database!$M$3:$N$9,2,0)="Yes"))</f>
        <v>0</v>
      </c>
      <c r="GV3" s="6" t="b">
        <f>AND(NOT(ISNUMBER(MATCH(DATE($A$2,INT((COLUMN()-1)/31.001)+$A$1,ROUNDUP(MOD(COLUMN()-1,31.001),0)),HolidayList[Date],0))),(VLOOKUP(VLOOKUP(WEEKDAY(DATE($A$2,INT((COLUMN()-1)/31.001)+$A$1,ROUNDUP(MOD(COLUMN()-1,31.001),0)),2),'Helper sheet'!$D$1:$E$7,2,0),Database!$M$3:$N$9,2,0)="Yes"))</f>
        <v>0</v>
      </c>
      <c r="GW3" s="6" t="b">
        <f>AND(NOT(ISNUMBER(MATCH(DATE($A$2,INT((COLUMN()-1)/31.001)+$A$1,ROUNDUP(MOD(COLUMN()-1,31.001),0)),HolidayList[Date],0))),(VLOOKUP(VLOOKUP(WEEKDAY(DATE($A$2,INT((COLUMN()-1)/31.001)+$A$1,ROUNDUP(MOD(COLUMN()-1,31.001),0)),2),'Helper sheet'!$D$1:$E$7,2,0),Database!$M$3:$N$9,2,0)="Yes"))</f>
        <v>1</v>
      </c>
      <c r="GX3" s="6" t="b">
        <f>AND(NOT(ISNUMBER(MATCH(DATE($A$2,INT((COLUMN()-1)/31.001)+$A$1,ROUNDUP(MOD(COLUMN()-1,31.001),0)),HolidayList[Date],0))),(VLOOKUP(VLOOKUP(WEEKDAY(DATE($A$2,INT((COLUMN()-1)/31.001)+$A$1,ROUNDUP(MOD(COLUMN()-1,31.001),0)),2),'Helper sheet'!$D$1:$E$7,2,0),Database!$M$3:$N$9,2,0)="Yes"))</f>
        <v>1</v>
      </c>
      <c r="GY3" s="6" t="b">
        <f>AND(NOT(ISNUMBER(MATCH(DATE($A$2,INT((COLUMN()-1)/31.001)+$A$1,ROUNDUP(MOD(COLUMN()-1,31.001),0)),HolidayList[Date],0))),(VLOOKUP(VLOOKUP(WEEKDAY(DATE($A$2,INT((COLUMN()-1)/31.001)+$A$1,ROUNDUP(MOD(COLUMN()-1,31.001),0)),2),'Helper sheet'!$D$1:$E$7,2,0),Database!$M$3:$N$9,2,0)="Yes"))</f>
        <v>1</v>
      </c>
      <c r="GZ3" s="6" t="b">
        <f>AND(NOT(ISNUMBER(MATCH(DATE($A$2,INT((COLUMN()-1)/31.001)+$A$1,ROUNDUP(MOD(COLUMN()-1,31.001),0)),HolidayList[Date],0))),(VLOOKUP(VLOOKUP(WEEKDAY(DATE($A$2,INT((COLUMN()-1)/31.001)+$A$1,ROUNDUP(MOD(COLUMN()-1,31.001),0)),2),'Helper sheet'!$D$1:$E$7,2,0),Database!$M$3:$N$9,2,0)="Yes"))</f>
        <v>1</v>
      </c>
      <c r="HA3" s="6" t="b">
        <f>AND(NOT(ISNUMBER(MATCH(DATE($A$2,INT((COLUMN()-1)/31.001)+$A$1,ROUNDUP(MOD(COLUMN()-1,31.001),0)),HolidayList[Date],0))),(VLOOKUP(VLOOKUP(WEEKDAY(DATE($A$2,INT((COLUMN()-1)/31.001)+$A$1,ROUNDUP(MOD(COLUMN()-1,31.001),0)),2),'Helper sheet'!$D$1:$E$7,2,0),Database!$M$3:$N$9,2,0)="Yes"))</f>
        <v>1</v>
      </c>
      <c r="HB3" s="6" t="b">
        <f>AND(NOT(ISNUMBER(MATCH(DATE($A$2,INT((COLUMN()-1)/31.001)+$A$1,ROUNDUP(MOD(COLUMN()-1,31.001),0)),HolidayList[Date],0))),(VLOOKUP(VLOOKUP(WEEKDAY(DATE($A$2,INT((COLUMN()-1)/31.001)+$A$1,ROUNDUP(MOD(COLUMN()-1,31.001),0)),2),'Helper sheet'!$D$1:$E$7,2,0),Database!$M$3:$N$9,2,0)="Yes"))</f>
        <v>0</v>
      </c>
      <c r="HC3" s="6" t="b">
        <f>AND(NOT(ISNUMBER(MATCH(DATE($A$2,INT((COLUMN()-1)/31.001)+$A$1,ROUNDUP(MOD(COLUMN()-1,31.001),0)),HolidayList[Date],0))),(VLOOKUP(VLOOKUP(WEEKDAY(DATE($A$2,INT((COLUMN()-1)/31.001)+$A$1,ROUNDUP(MOD(COLUMN()-1,31.001),0)),2),'Helper sheet'!$D$1:$E$7,2,0),Database!$M$3:$N$9,2,0)="Yes"))</f>
        <v>0</v>
      </c>
      <c r="HD3" s="6" t="b">
        <f>AND(NOT(ISNUMBER(MATCH(DATE($A$2,INT((COLUMN()-1)/31.001)+$A$1,ROUNDUP(MOD(COLUMN()-1,31.001),0)),HolidayList[Date],0))),(VLOOKUP(VLOOKUP(WEEKDAY(DATE($A$2,INT((COLUMN()-1)/31.001)+$A$1,ROUNDUP(MOD(COLUMN()-1,31.001),0)),2),'Helper sheet'!$D$1:$E$7,2,0),Database!$M$3:$N$9,2,0)="Yes"))</f>
        <v>1</v>
      </c>
      <c r="HE3" s="6" t="b">
        <f>AND(NOT(ISNUMBER(MATCH(DATE($A$2,INT((COLUMN()-1)/31.001)+$A$1,ROUNDUP(MOD(COLUMN()-1,31.001),0)),HolidayList[Date],0))),(VLOOKUP(VLOOKUP(WEEKDAY(DATE($A$2,INT((COLUMN()-1)/31.001)+$A$1,ROUNDUP(MOD(COLUMN()-1,31.001),0)),2),'Helper sheet'!$D$1:$E$7,2,0),Database!$M$3:$N$9,2,0)="Yes"))</f>
        <v>1</v>
      </c>
      <c r="HF3" s="6" t="b">
        <f>AND(NOT(ISNUMBER(MATCH(DATE($A$2,INT((COLUMN()-1)/31.001)+$A$1,ROUNDUP(MOD(COLUMN()-1,31.001),0)),HolidayList[Date],0))),(VLOOKUP(VLOOKUP(WEEKDAY(DATE($A$2,INT((COLUMN()-1)/31.001)+$A$1,ROUNDUP(MOD(COLUMN()-1,31.001),0)),2),'Helper sheet'!$D$1:$E$7,2,0),Database!$M$3:$N$9,2,0)="Yes"))</f>
        <v>1</v>
      </c>
      <c r="HG3" s="6" t="b">
        <f>AND(NOT(ISNUMBER(MATCH(DATE($A$2,INT((COLUMN()-1)/31.001)+$A$1,ROUNDUP(MOD(COLUMN()-1,31.001),0)),HolidayList[Date],0))),(VLOOKUP(VLOOKUP(WEEKDAY(DATE($A$2,INT((COLUMN()-1)/31.001)+$A$1,ROUNDUP(MOD(COLUMN()-1,31.001),0)),2),'Helper sheet'!$D$1:$E$7,2,0),Database!$M$3:$N$9,2,0)="Yes"))</f>
        <v>1</v>
      </c>
      <c r="HH3" s="6" t="b">
        <f>AND(NOT(ISNUMBER(MATCH(DATE($A$2,INT((COLUMN()-1)/31.001)+$A$1,ROUNDUP(MOD(COLUMN()-1,31.001),0)),HolidayList[Date],0))),(VLOOKUP(VLOOKUP(WEEKDAY(DATE($A$2,INT((COLUMN()-1)/31.001)+$A$1,ROUNDUP(MOD(COLUMN()-1,31.001),0)),2),'Helper sheet'!$D$1:$E$7,2,0),Database!$M$3:$N$9,2,0)="Yes"))</f>
        <v>1</v>
      </c>
      <c r="HI3" s="6" t="b">
        <f>AND(NOT(ISNUMBER(MATCH(DATE($A$2,INT((COLUMN()-1)/31.001)+$A$1,ROUNDUP(MOD(COLUMN()-1,31.001),0)),HolidayList[Date],0))),(VLOOKUP(VLOOKUP(WEEKDAY(DATE($A$2,INT((COLUMN()-1)/31.001)+$A$1,ROUNDUP(MOD(COLUMN()-1,31.001),0)),2),'Helper sheet'!$D$1:$E$7,2,0),Database!$M$3:$N$9,2,0)="Yes"))</f>
        <v>0</v>
      </c>
      <c r="HJ3" s="6" t="b">
        <f>AND(NOT(ISNUMBER(MATCH(DATE($A$2,INT((COLUMN()-1)/31.001)+$A$1,ROUNDUP(MOD(COLUMN()-1,31.001),0)),HolidayList[Date],0))),(VLOOKUP(VLOOKUP(WEEKDAY(DATE($A$2,INT((COLUMN()-1)/31.001)+$A$1,ROUNDUP(MOD(COLUMN()-1,31.001),0)),2),'Helper sheet'!$D$1:$E$7,2,0),Database!$M$3:$N$9,2,0)="Yes"))</f>
        <v>0</v>
      </c>
      <c r="HK3" s="6" t="b">
        <f>AND(NOT(ISNUMBER(MATCH(DATE($A$2,INT((COLUMN()-1)/31.001)+$A$1,ROUNDUP(MOD(COLUMN()-1,31.001),0)),HolidayList[Date],0))),(VLOOKUP(VLOOKUP(WEEKDAY(DATE($A$2,INT((COLUMN()-1)/31.001)+$A$1,ROUNDUP(MOD(COLUMN()-1,31.001),0)),2),'Helper sheet'!$D$1:$E$7,2,0),Database!$M$3:$N$9,2,0)="Yes"))</f>
        <v>1</v>
      </c>
      <c r="HL3" s="6" t="b">
        <f>AND(NOT(ISNUMBER(MATCH(DATE($A$2,INT((COLUMN()-1)/31.001)+$A$1,ROUNDUP(MOD(COLUMN()-1,31.001),0)),HolidayList[Date],0))),(VLOOKUP(VLOOKUP(WEEKDAY(DATE($A$2,INT((COLUMN()-1)/31.001)+$A$1,ROUNDUP(MOD(COLUMN()-1,31.001),0)),2),'Helper sheet'!$D$1:$E$7,2,0),Database!$M$3:$N$9,2,0)="Yes"))</f>
        <v>1</v>
      </c>
      <c r="HM3" s="6" t="b">
        <f>AND(NOT(ISNUMBER(MATCH(DATE($A$2,INT((COLUMN()-1)/31.001)+$A$1,ROUNDUP(MOD(COLUMN()-1,31.001),0)),HolidayList[Date],0))),(VLOOKUP(VLOOKUP(WEEKDAY(DATE($A$2,INT((COLUMN()-1)/31.001)+$A$1,ROUNDUP(MOD(COLUMN()-1,31.001),0)),2),'Helper sheet'!$D$1:$E$7,2,0),Database!$M$3:$N$9,2,0)="Yes"))</f>
        <v>1</v>
      </c>
      <c r="HN3" s="6" t="b">
        <f>AND(NOT(ISNUMBER(MATCH(DATE($A$2,INT((COLUMN()-1)/31.001)+$A$1,ROUNDUP(MOD(COLUMN()-1,31.001),0)),HolidayList[Date],0))),(VLOOKUP(VLOOKUP(WEEKDAY(DATE($A$2,INT((COLUMN()-1)/31.001)+$A$1,ROUNDUP(MOD(COLUMN()-1,31.001),0)),2),'Helper sheet'!$D$1:$E$7,2,0),Database!$M$3:$N$9,2,0)="Yes"))</f>
        <v>1</v>
      </c>
      <c r="HO3" s="6" t="b">
        <f>AND(NOT(ISNUMBER(MATCH(DATE($A$2,INT((COLUMN()-1)/31.001)+$A$1,ROUNDUP(MOD(COLUMN()-1,31.001),0)),HolidayList[Date],0))),(VLOOKUP(VLOOKUP(WEEKDAY(DATE($A$2,INT((COLUMN()-1)/31.001)+$A$1,ROUNDUP(MOD(COLUMN()-1,31.001),0)),2),'Helper sheet'!$D$1:$E$7,2,0),Database!$M$3:$N$9,2,0)="Yes"))</f>
        <v>1</v>
      </c>
      <c r="HP3" s="6" t="b">
        <f>AND(NOT(ISNUMBER(MATCH(DATE($A$2,INT((COLUMN()-1)/31.001)+$A$1,ROUNDUP(MOD(COLUMN()-1,31.001),0)),HolidayList[Date],0))),(VLOOKUP(VLOOKUP(WEEKDAY(DATE($A$2,INT((COLUMN()-1)/31.001)+$A$1,ROUNDUP(MOD(COLUMN()-1,31.001),0)),2),'Helper sheet'!$D$1:$E$7,2,0),Database!$M$3:$N$9,2,0)="Yes"))</f>
        <v>0</v>
      </c>
      <c r="HQ3" s="6" t="b">
        <f>AND(NOT(ISNUMBER(MATCH(DATE($A$2,INT((COLUMN()-1)/31.001)+$A$1,ROUNDUP(MOD(COLUMN()-1,31.001),0)),HolidayList[Date],0))),(VLOOKUP(VLOOKUP(WEEKDAY(DATE($A$2,INT((COLUMN()-1)/31.001)+$A$1,ROUNDUP(MOD(COLUMN()-1,31.001),0)),2),'Helper sheet'!$D$1:$E$7,2,0),Database!$M$3:$N$9,2,0)="Yes"))</f>
        <v>0</v>
      </c>
      <c r="HR3" s="6" t="b">
        <f>AND(NOT(ISNUMBER(MATCH(DATE($A$2,INT((COLUMN()-1)/31.001)+$A$1,ROUNDUP(MOD(COLUMN()-1,31.001),0)),HolidayList[Date],0))),(VLOOKUP(VLOOKUP(WEEKDAY(DATE($A$2,INT((COLUMN()-1)/31.001)+$A$1,ROUNDUP(MOD(COLUMN()-1,31.001),0)),2),'Helper sheet'!$D$1:$E$7,2,0),Database!$M$3:$N$9,2,0)="Yes"))</f>
        <v>1</v>
      </c>
      <c r="HS3" s="6" t="b">
        <f>AND(NOT(ISNUMBER(MATCH(DATE($A$2,INT((COLUMN()-1)/31.001)+$A$1,ROUNDUP(MOD(COLUMN()-1,31.001),0)),HolidayList[Date],0))),(VLOOKUP(VLOOKUP(WEEKDAY(DATE($A$2,INT((COLUMN()-1)/31.001)+$A$1,ROUNDUP(MOD(COLUMN()-1,31.001),0)),2),'Helper sheet'!$D$1:$E$7,2,0),Database!$M$3:$N$9,2,0)="Yes"))</f>
        <v>1</v>
      </c>
      <c r="HT3" s="6" t="b">
        <f>AND(NOT(ISNUMBER(MATCH(DATE($A$2,INT((COLUMN()-1)/31.001)+$A$1,ROUNDUP(MOD(COLUMN()-1,31.001),0)),HolidayList[Date],0))),(VLOOKUP(VLOOKUP(WEEKDAY(DATE($A$2,INT((COLUMN()-1)/31.001)+$A$1,ROUNDUP(MOD(COLUMN()-1,31.001),0)),2),'Helper sheet'!$D$1:$E$7,2,0),Database!$M$3:$N$9,2,0)="Yes"))</f>
        <v>1</v>
      </c>
      <c r="HU3" s="6" t="b">
        <f>AND(NOT(ISNUMBER(MATCH(DATE($A$2,INT((COLUMN()-1)/31.001)+$A$1,ROUNDUP(MOD(COLUMN()-1,31.001),0)),HolidayList[Date],0))),(VLOOKUP(VLOOKUP(WEEKDAY(DATE($A$2,INT((COLUMN()-1)/31.001)+$A$1,ROUNDUP(MOD(COLUMN()-1,31.001),0)),2),'Helper sheet'!$D$1:$E$7,2,0),Database!$M$3:$N$9,2,0)="Yes"))</f>
        <v>1</v>
      </c>
      <c r="HV3" s="6" t="b">
        <f>AND(NOT(ISNUMBER(MATCH(DATE($A$2,INT((COLUMN()-1)/31.001)+$A$1,ROUNDUP(MOD(COLUMN()-1,31.001),0)),HolidayList[Date],0))),(VLOOKUP(VLOOKUP(WEEKDAY(DATE($A$2,INT((COLUMN()-1)/31.001)+$A$1,ROUNDUP(MOD(COLUMN()-1,31.001),0)),2),'Helper sheet'!$D$1:$E$7,2,0),Database!$M$3:$N$9,2,0)="Yes"))</f>
        <v>1</v>
      </c>
      <c r="HW3" s="6" t="b">
        <f>AND(NOT(ISNUMBER(MATCH(DATE($A$2,INT((COLUMN()-1)/31.001)+$A$1,ROUNDUP(MOD(COLUMN()-1,31.001),0)),HolidayList[Date],0))),(VLOOKUP(VLOOKUP(WEEKDAY(DATE($A$2,INT((COLUMN()-1)/31.001)+$A$1,ROUNDUP(MOD(COLUMN()-1,31.001),0)),2),'Helper sheet'!$D$1:$E$7,2,0),Database!$M$3:$N$9,2,0)="Yes"))</f>
        <v>0</v>
      </c>
      <c r="HX3" s="6" t="b">
        <f>AND(NOT(ISNUMBER(MATCH(DATE($A$2,INT((COLUMN()-1)/31.001)+$A$1,ROUNDUP(MOD(COLUMN()-1,31.001),0)),HolidayList[Date],0))),(VLOOKUP(VLOOKUP(WEEKDAY(DATE($A$2,INT((COLUMN()-1)/31.001)+$A$1,ROUNDUP(MOD(COLUMN()-1,31.001),0)),2),'Helper sheet'!$D$1:$E$7,2,0),Database!$M$3:$N$9,2,0)="Yes"))</f>
        <v>0</v>
      </c>
      <c r="HY3" s="6" t="b">
        <f>AND(NOT(ISNUMBER(MATCH(DATE($A$2,INT((COLUMN()-1)/31.001)+$A$1,ROUNDUP(MOD(COLUMN()-1,31.001),0)),HolidayList[Date],0))),(VLOOKUP(VLOOKUP(WEEKDAY(DATE($A$2,INT((COLUMN()-1)/31.001)+$A$1,ROUNDUP(MOD(COLUMN()-1,31.001),0)),2),'Helper sheet'!$D$1:$E$7,2,0),Database!$M$3:$N$9,2,0)="Yes"))</f>
        <v>1</v>
      </c>
      <c r="HZ3" s="6" t="b">
        <f>AND(NOT(ISNUMBER(MATCH(DATE($A$2,INT((COLUMN()-1)/31.001)+$A$1,ROUNDUP(MOD(COLUMN()-1,31.001),0)),HolidayList[Date],0))),(VLOOKUP(VLOOKUP(WEEKDAY(DATE($A$2,INT((COLUMN()-1)/31.001)+$A$1,ROUNDUP(MOD(COLUMN()-1,31.001),0)),2),'Helper sheet'!$D$1:$E$7,2,0),Database!$M$3:$N$9,2,0)="Yes"))</f>
        <v>1</v>
      </c>
      <c r="IA3" s="6" t="b">
        <f>AND(NOT(ISNUMBER(MATCH(DATE($A$2,INT((COLUMN()-1)/31.001)+$A$1,ROUNDUP(MOD(COLUMN()-1,31.001),0)),HolidayList[Date],0))),(VLOOKUP(VLOOKUP(WEEKDAY(DATE($A$2,INT((COLUMN()-1)/31.001)+$A$1,ROUNDUP(MOD(COLUMN()-1,31.001),0)),2),'Helper sheet'!$D$1:$E$7,2,0),Database!$M$3:$N$9,2,0)="Yes"))</f>
        <v>1</v>
      </c>
      <c r="IB3" s="6" t="b">
        <f>AND(NOT(ISNUMBER(MATCH(DATE($A$2,INT((COLUMN()-1)/31.001)+$A$1,ROUNDUP(MOD(COLUMN()-1,31.001),0)),HolidayList[Date],0))),(VLOOKUP(VLOOKUP(WEEKDAY(DATE($A$2,INT((COLUMN()-1)/31.001)+$A$1,ROUNDUP(MOD(COLUMN()-1,31.001),0)),2),'Helper sheet'!$D$1:$E$7,2,0),Database!$M$3:$N$9,2,0)="Yes"))</f>
        <v>1</v>
      </c>
      <c r="IC3" s="6" t="b">
        <f>AND(NOT(ISNUMBER(MATCH(DATE($A$2,INT((COLUMN()-1)/31.001)+$A$1,ROUNDUP(MOD(COLUMN()-1,31.001),0)),HolidayList[Date],0))),(VLOOKUP(VLOOKUP(WEEKDAY(DATE($A$2,INT((COLUMN()-1)/31.001)+$A$1,ROUNDUP(MOD(COLUMN()-1,31.001),0)),2),'Helper sheet'!$D$1:$E$7,2,0),Database!$M$3:$N$9,2,0)="Yes"))</f>
        <v>1</v>
      </c>
      <c r="ID3" s="6" t="b">
        <f>AND(NOT(ISNUMBER(MATCH(DATE($A$2,INT((COLUMN()-1)/31.001)+$A$1,ROUNDUP(MOD(COLUMN()-1,31.001),0)),HolidayList[Date],0))),(VLOOKUP(VLOOKUP(WEEKDAY(DATE($A$2,INT((COLUMN()-1)/31.001)+$A$1,ROUNDUP(MOD(COLUMN()-1,31.001),0)),2),'Helper sheet'!$D$1:$E$7,2,0),Database!$M$3:$N$9,2,0)="Yes"))</f>
        <v>0</v>
      </c>
      <c r="IE3" s="6" t="b">
        <f>AND(NOT(ISNUMBER(MATCH(DATE($A$2,INT((COLUMN()-1)/31.001)+$A$1,ROUNDUP(MOD(COLUMN()-1,31.001),0)),HolidayList[Date],0))),(VLOOKUP(VLOOKUP(WEEKDAY(DATE($A$2,INT((COLUMN()-1)/31.001)+$A$1,ROUNDUP(MOD(COLUMN()-1,31.001),0)),2),'Helper sheet'!$D$1:$E$7,2,0),Database!$M$3:$N$9,2,0)="Yes"))</f>
        <v>0</v>
      </c>
      <c r="IF3" s="6" t="b">
        <f>AND(NOT(ISNUMBER(MATCH(DATE($A$2,INT((COLUMN()-1)/31.001)+$A$1,ROUNDUP(MOD(COLUMN()-1,31.001),0)),HolidayList[Date],0))),(VLOOKUP(VLOOKUP(WEEKDAY(DATE($A$2,INT((COLUMN()-1)/31.001)+$A$1,ROUNDUP(MOD(COLUMN()-1,31.001),0)),2),'Helper sheet'!$D$1:$E$7,2,0),Database!$M$3:$N$9,2,0)="Yes"))</f>
        <v>1</v>
      </c>
      <c r="IG3" s="6" t="b">
        <f>AND(NOT(ISNUMBER(MATCH(DATE($A$2,INT((COLUMN()-1)/31.001)+$A$1,ROUNDUP(MOD(COLUMN()-1,31.001),0)),HolidayList[Date],0))),(VLOOKUP(VLOOKUP(WEEKDAY(DATE($A$2,INT((COLUMN()-1)/31.001)+$A$1,ROUNDUP(MOD(COLUMN()-1,31.001),0)),2),'Helper sheet'!$D$1:$E$7,2,0),Database!$M$3:$N$9,2,0)="Yes"))</f>
        <v>1</v>
      </c>
      <c r="IH3" s="6" t="b">
        <f>AND(NOT(ISNUMBER(MATCH(DATE($A$2,INT((COLUMN()-1)/31.001)+$A$1,ROUNDUP(MOD(COLUMN()-1,31.001),0)),HolidayList[Date],0))),(VLOOKUP(VLOOKUP(WEEKDAY(DATE($A$2,INT((COLUMN()-1)/31.001)+$A$1,ROUNDUP(MOD(COLUMN()-1,31.001),0)),2),'Helper sheet'!$D$1:$E$7,2,0),Database!$M$3:$N$9,2,0)="Yes"))</f>
        <v>1</v>
      </c>
      <c r="II3" s="6" t="b">
        <f>AND(NOT(ISNUMBER(MATCH(DATE($A$2,INT((COLUMN()-1)/31.001)+$A$1,ROUNDUP(MOD(COLUMN()-1,31.001),0)),HolidayList[Date],0))),(VLOOKUP(VLOOKUP(WEEKDAY(DATE($A$2,INT((COLUMN()-1)/31.001)+$A$1,ROUNDUP(MOD(COLUMN()-1,31.001),0)),2),'Helper sheet'!$D$1:$E$7,2,0),Database!$M$3:$N$9,2,0)="Yes"))</f>
        <v>1</v>
      </c>
      <c r="IJ3" s="6" t="b">
        <f>AND(NOT(ISNUMBER(MATCH(DATE($A$2,INT((COLUMN()-1)/31.001)+$A$1,ROUNDUP(MOD(COLUMN()-1,31.001),0)),HolidayList[Date],0))),(VLOOKUP(VLOOKUP(WEEKDAY(DATE($A$2,INT((COLUMN()-1)/31.001)+$A$1,ROUNDUP(MOD(COLUMN()-1,31.001),0)),2),'Helper sheet'!$D$1:$E$7,2,0),Database!$M$3:$N$9,2,0)="Yes"))</f>
        <v>1</v>
      </c>
      <c r="IK3" s="6" t="b">
        <f>AND(NOT(ISNUMBER(MATCH(DATE($A$2,INT((COLUMN()-1)/31.001)+$A$1,ROUNDUP(MOD(COLUMN()-1,31.001),0)),HolidayList[Date],0))),(VLOOKUP(VLOOKUP(WEEKDAY(DATE($A$2,INT((COLUMN()-1)/31.001)+$A$1,ROUNDUP(MOD(COLUMN()-1,31.001),0)),2),'Helper sheet'!$D$1:$E$7,2,0),Database!$M$3:$N$9,2,0)="Yes"))</f>
        <v>0</v>
      </c>
      <c r="IL3" s="6" t="b">
        <f>AND(NOT(ISNUMBER(MATCH(DATE($A$2,INT((COLUMN()-1)/31.001)+$A$1,ROUNDUP(MOD(COLUMN()-1,31.001),0)),HolidayList[Date],0))),(VLOOKUP(VLOOKUP(WEEKDAY(DATE($A$2,INT((COLUMN()-1)/31.001)+$A$1,ROUNDUP(MOD(COLUMN()-1,31.001),0)),2),'Helper sheet'!$D$1:$E$7,2,0),Database!$M$3:$N$9,2,0)="Yes"))</f>
        <v>0</v>
      </c>
      <c r="IM3" s="6" t="b">
        <f>AND(NOT(ISNUMBER(MATCH(DATE($A$2,INT((COLUMN()-1)/31.001)+$A$1,ROUNDUP(MOD(COLUMN()-1,31.001),0)),HolidayList[Date],0))),(VLOOKUP(VLOOKUP(WEEKDAY(DATE($A$2,INT((COLUMN()-1)/31.001)+$A$1,ROUNDUP(MOD(COLUMN()-1,31.001),0)),2),'Helper sheet'!$D$1:$E$7,2,0),Database!$M$3:$N$9,2,0)="Yes"))</f>
        <v>1</v>
      </c>
      <c r="IN3" s="6" t="b">
        <f>AND(NOT(ISNUMBER(MATCH(DATE($A$2,INT((COLUMN()-1)/31.001)+$A$1,ROUNDUP(MOD(COLUMN()-1,31.001),0)),HolidayList[Date],0))),(VLOOKUP(VLOOKUP(WEEKDAY(DATE($A$2,INT((COLUMN()-1)/31.001)+$A$1,ROUNDUP(MOD(COLUMN()-1,31.001),0)),2),'Helper sheet'!$D$1:$E$7,2,0),Database!$M$3:$N$9,2,0)="Yes"))</f>
        <v>1</v>
      </c>
      <c r="IO3" s="6" t="b">
        <f>AND(NOT(ISNUMBER(MATCH(DATE($A$2,INT((COLUMN()-1)/31.001)+$A$1,ROUNDUP(MOD(COLUMN()-1,31.001),0)),HolidayList[Date],0))),(VLOOKUP(VLOOKUP(WEEKDAY(DATE($A$2,INT((COLUMN()-1)/31.001)+$A$1,ROUNDUP(MOD(COLUMN()-1,31.001),0)),2),'Helper sheet'!$D$1:$E$7,2,0),Database!$M$3:$N$9,2,0)="Yes"))</f>
        <v>1</v>
      </c>
      <c r="IP3" s="6" t="b">
        <f>AND(NOT(ISNUMBER(MATCH(DATE($A$2,INT((COLUMN()-1)/31.001)+$A$1,ROUNDUP(MOD(COLUMN()-1,31.001),0)),HolidayList[Date],0))),(VLOOKUP(VLOOKUP(WEEKDAY(DATE($A$2,INT((COLUMN()-1)/31.001)+$A$1,ROUNDUP(MOD(COLUMN()-1,31.001),0)),2),'Helper sheet'!$D$1:$E$7,2,0),Database!$M$3:$N$9,2,0)="Yes"))</f>
        <v>1</v>
      </c>
      <c r="IQ3" s="6" t="b">
        <f>AND(NOT(ISNUMBER(MATCH(DATE($A$2,INT((COLUMN()-1)/31.001)+$A$1,ROUNDUP(MOD(COLUMN()-1,31.001),0)),HolidayList[Date],0))),(VLOOKUP(VLOOKUP(WEEKDAY(DATE($A$2,INT((COLUMN()-1)/31.001)+$A$1,ROUNDUP(MOD(COLUMN()-1,31.001),0)),2),'Helper sheet'!$D$1:$E$7,2,0),Database!$M$3:$N$9,2,0)="Yes"))</f>
        <v>1</v>
      </c>
      <c r="IR3" s="6" t="b">
        <f>AND(NOT(ISNUMBER(MATCH(DATE($A$2,INT((COLUMN()-1)/31.001)+$A$1,ROUNDUP(MOD(COLUMN()-1,31.001),0)),HolidayList[Date],0))),(VLOOKUP(VLOOKUP(WEEKDAY(DATE($A$2,INT((COLUMN()-1)/31.001)+$A$1,ROUNDUP(MOD(COLUMN()-1,31.001),0)),2),'Helper sheet'!$D$1:$E$7,2,0),Database!$M$3:$N$9,2,0)="Yes"))</f>
        <v>0</v>
      </c>
      <c r="IS3" s="6" t="b">
        <f>AND(NOT(ISNUMBER(MATCH(DATE($A$2,INT((COLUMN()-1)/31.001)+$A$1,ROUNDUP(MOD(COLUMN()-1,31.001),0)),HolidayList[Date],0))),(VLOOKUP(VLOOKUP(WEEKDAY(DATE($A$2,INT((COLUMN()-1)/31.001)+$A$1,ROUNDUP(MOD(COLUMN()-1,31.001),0)),2),'Helper sheet'!$D$1:$E$7,2,0),Database!$M$3:$N$9,2,0)="Yes"))</f>
        <v>0</v>
      </c>
      <c r="IT3" s="6" t="b">
        <f>AND(NOT(ISNUMBER(MATCH(DATE($A$2,INT((COLUMN()-1)/31.001)+$A$1,ROUNDUP(MOD(COLUMN()-1,31.001),0)),HolidayList[Date],0))),(VLOOKUP(VLOOKUP(WEEKDAY(DATE($A$2,INT((COLUMN()-1)/31.001)+$A$1,ROUNDUP(MOD(COLUMN()-1,31.001),0)),2),'Helper sheet'!$D$1:$E$7,2,0),Database!$M$3:$N$9,2,0)="Yes"))</f>
        <v>1</v>
      </c>
      <c r="IU3" s="6" t="b">
        <f>AND(NOT(ISNUMBER(MATCH(DATE($A$2,INT((COLUMN()-1)/31.001)+$A$1,ROUNDUP(MOD(COLUMN()-1,31.001),0)),HolidayList[Date],0))),(VLOOKUP(VLOOKUP(WEEKDAY(DATE($A$2,INT((COLUMN()-1)/31.001)+$A$1,ROUNDUP(MOD(COLUMN()-1,31.001),0)),2),'Helper sheet'!$D$1:$E$7,2,0),Database!$M$3:$N$9,2,0)="Yes"))</f>
        <v>1</v>
      </c>
      <c r="IV3" s="6" t="b">
        <f>AND(NOT(ISNUMBER(MATCH(DATE($A$2,INT((COLUMN()-1)/31.001)+$A$1,ROUNDUP(MOD(COLUMN()-1,31.001),0)),HolidayList[Date],0))),(VLOOKUP(VLOOKUP(WEEKDAY(DATE($A$2,INT((COLUMN()-1)/31.001)+$A$1,ROUNDUP(MOD(COLUMN()-1,31.001),0)),2),'Helper sheet'!$D$1:$E$7,2,0),Database!$M$3:$N$9,2,0)="Yes"))</f>
        <v>1</v>
      </c>
      <c r="IW3" s="6" t="b">
        <f>AND(NOT(ISNUMBER(MATCH(DATE($A$2,INT((COLUMN()-1)/31.001)+$A$1,ROUNDUP(MOD(COLUMN()-1,31.001),0)),HolidayList[Date],0))),(VLOOKUP(VLOOKUP(WEEKDAY(DATE($A$2,INT((COLUMN()-1)/31.001)+$A$1,ROUNDUP(MOD(COLUMN()-1,31.001),0)),2),'Helper sheet'!$D$1:$E$7,2,0),Database!$M$3:$N$9,2,0)="Yes"))</f>
        <v>1</v>
      </c>
      <c r="IX3" s="6" t="b">
        <f>AND(NOT(ISNUMBER(MATCH(DATE($A$2,INT((COLUMN()-1)/31.001)+$A$1,ROUNDUP(MOD(COLUMN()-1,31.001),0)),HolidayList[Date],0))),(VLOOKUP(VLOOKUP(WEEKDAY(DATE($A$2,INT((COLUMN()-1)/31.001)+$A$1,ROUNDUP(MOD(COLUMN()-1,31.001),0)),2),'Helper sheet'!$D$1:$E$7,2,0),Database!$M$3:$N$9,2,0)="Yes"))</f>
        <v>1</v>
      </c>
      <c r="IY3" s="6" t="b">
        <f>AND(NOT(ISNUMBER(MATCH(DATE($A$2,INT((COLUMN()-1)/31.001)+$A$1,ROUNDUP(MOD(COLUMN()-1,31.001),0)),HolidayList[Date],0))),(VLOOKUP(VLOOKUP(WEEKDAY(DATE($A$2,INT((COLUMN()-1)/31.001)+$A$1,ROUNDUP(MOD(COLUMN()-1,31.001),0)),2),'Helper sheet'!$D$1:$E$7,2,0),Database!$M$3:$N$9,2,0)="Yes"))</f>
        <v>0</v>
      </c>
      <c r="IZ3" s="6" t="b">
        <f>AND(NOT(ISNUMBER(MATCH(DATE($A$2,INT((COLUMN()-1)/31.001)+$A$1,ROUNDUP(MOD(COLUMN()-1,31.001),0)),HolidayList[Date],0))),(VLOOKUP(VLOOKUP(WEEKDAY(DATE($A$2,INT((COLUMN()-1)/31.001)+$A$1,ROUNDUP(MOD(COLUMN()-1,31.001),0)),2),'Helper sheet'!$D$1:$E$7,2,0),Database!$M$3:$N$9,2,0)="Yes"))</f>
        <v>0</v>
      </c>
      <c r="JA3" s="6" t="b">
        <f>AND(NOT(ISNUMBER(MATCH(DATE($A$2,INT((COLUMN()-1)/31.001)+$A$1,ROUNDUP(MOD(COLUMN()-1,31.001),0)),HolidayList[Date],0))),(VLOOKUP(VLOOKUP(WEEKDAY(DATE($A$2,INT((COLUMN()-1)/31.001)+$A$1,ROUNDUP(MOD(COLUMN()-1,31.001),0)),2),'Helper sheet'!$D$1:$E$7,2,0),Database!$M$3:$N$9,2,0)="Yes"))</f>
        <v>1</v>
      </c>
      <c r="JB3" s="6" t="b">
        <f>AND(NOT(ISNUMBER(MATCH(DATE($A$2,INT((COLUMN()-1)/31.001)+$A$1,ROUNDUP(MOD(COLUMN()-1,31.001),0)),HolidayList[Date],0))),(VLOOKUP(VLOOKUP(WEEKDAY(DATE($A$2,INT((COLUMN()-1)/31.001)+$A$1,ROUNDUP(MOD(COLUMN()-1,31.001),0)),2),'Helper sheet'!$D$1:$E$7,2,0),Database!$M$3:$N$9,2,0)="Yes"))</f>
        <v>1</v>
      </c>
      <c r="JC3" s="6" t="b">
        <f>AND(NOT(ISNUMBER(MATCH(DATE($A$2,INT((COLUMN()-1)/31.001)+$A$1,ROUNDUP(MOD(COLUMN()-1,31.001),0)),HolidayList[Date],0))),(VLOOKUP(VLOOKUP(WEEKDAY(DATE($A$2,INT((COLUMN()-1)/31.001)+$A$1,ROUNDUP(MOD(COLUMN()-1,31.001),0)),2),'Helper sheet'!$D$1:$E$7,2,0),Database!$M$3:$N$9,2,0)="Yes"))</f>
        <v>1</v>
      </c>
      <c r="JD3" s="6" t="b">
        <f>AND(NOT(ISNUMBER(MATCH(DATE($A$2,INT((COLUMN()-1)/31.001)+$A$1,ROUNDUP(MOD(COLUMN()-1,31.001),0)),HolidayList[Date],0))),(VLOOKUP(VLOOKUP(WEEKDAY(DATE($A$2,INT((COLUMN()-1)/31.001)+$A$1,ROUNDUP(MOD(COLUMN()-1,31.001),0)),2),'Helper sheet'!$D$1:$E$7,2,0),Database!$M$3:$N$9,2,0)="Yes"))</f>
        <v>1</v>
      </c>
      <c r="JE3" s="6" t="b">
        <f>AND(NOT(ISNUMBER(MATCH(DATE($A$2,INT((COLUMN()-1)/31.001)+$A$1,ROUNDUP(MOD(COLUMN()-1,31.001),0)),HolidayList[Date],0))),(VLOOKUP(VLOOKUP(WEEKDAY(DATE($A$2,INT((COLUMN()-1)/31.001)+$A$1,ROUNDUP(MOD(COLUMN()-1,31.001),0)),2),'Helper sheet'!$D$1:$E$7,2,0),Database!$M$3:$N$9,2,0)="Yes"))</f>
        <v>1</v>
      </c>
      <c r="JF3" s="6" t="b">
        <f>AND(NOT(ISNUMBER(MATCH(DATE($A$2,INT((COLUMN()-1)/31.001)+$A$1,ROUNDUP(MOD(COLUMN()-1,31.001),0)),HolidayList[Date],0))),(VLOOKUP(VLOOKUP(WEEKDAY(DATE($A$2,INT((COLUMN()-1)/31.001)+$A$1,ROUNDUP(MOD(COLUMN()-1,31.001),0)),2),'Helper sheet'!$D$1:$E$7,2,0),Database!$M$3:$N$9,2,0)="Yes"))</f>
        <v>0</v>
      </c>
      <c r="JG3" s="6" t="b">
        <f>AND(NOT(ISNUMBER(MATCH(DATE($A$2,INT((COLUMN()-1)/31.001)+$A$1,ROUNDUP(MOD(COLUMN()-1,31.001),0)),HolidayList[Date],0))),(VLOOKUP(VLOOKUP(WEEKDAY(DATE($A$2,INT((COLUMN()-1)/31.001)+$A$1,ROUNDUP(MOD(COLUMN()-1,31.001),0)),2),'Helper sheet'!$D$1:$E$7,2,0),Database!$M$3:$N$9,2,0)="Yes"))</f>
        <v>0</v>
      </c>
      <c r="JH3" s="6" t="b">
        <f>AND(NOT(ISNUMBER(MATCH(DATE($A$2,INT((COLUMN()-1)/31.001)+$A$1,ROUNDUP(MOD(COLUMN()-1,31.001),0)),HolidayList[Date],0))),(VLOOKUP(VLOOKUP(WEEKDAY(DATE($A$2,INT((COLUMN()-1)/31.001)+$A$1,ROUNDUP(MOD(COLUMN()-1,31.001),0)),2),'Helper sheet'!$D$1:$E$7,2,0),Database!$M$3:$N$9,2,0)="Yes"))</f>
        <v>1</v>
      </c>
      <c r="JI3" s="6" t="b">
        <f>AND(NOT(ISNUMBER(MATCH(DATE($A$2,INT((COLUMN()-1)/31.001)+$A$1,ROUNDUP(MOD(COLUMN()-1,31.001),0)),HolidayList[Date],0))),(VLOOKUP(VLOOKUP(WEEKDAY(DATE($A$2,INT((COLUMN()-1)/31.001)+$A$1,ROUNDUP(MOD(COLUMN()-1,31.001),0)),2),'Helper sheet'!$D$1:$E$7,2,0),Database!$M$3:$N$9,2,0)="Yes"))</f>
        <v>1</v>
      </c>
      <c r="JJ3" s="6" t="b">
        <f>AND(NOT(ISNUMBER(MATCH(DATE($A$2,INT((COLUMN()-1)/31.001)+$A$1,ROUNDUP(MOD(COLUMN()-1,31.001),0)),HolidayList[Date],0))),(VLOOKUP(VLOOKUP(WEEKDAY(DATE($A$2,INT((COLUMN()-1)/31.001)+$A$1,ROUNDUP(MOD(COLUMN()-1,31.001),0)),2),'Helper sheet'!$D$1:$E$7,2,0),Database!$M$3:$N$9,2,0)="Yes"))</f>
        <v>1</v>
      </c>
      <c r="JK3" s="6" t="b">
        <f>AND(NOT(ISNUMBER(MATCH(DATE($A$2,INT((COLUMN()-1)/31.001)+$A$1,ROUNDUP(MOD(COLUMN()-1,31.001),0)),HolidayList[Date],0))),(VLOOKUP(VLOOKUP(WEEKDAY(DATE($A$2,INT((COLUMN()-1)/31.001)+$A$1,ROUNDUP(MOD(COLUMN()-1,31.001),0)),2),'Helper sheet'!$D$1:$E$7,2,0),Database!$M$3:$N$9,2,0)="Yes"))</f>
        <v>1</v>
      </c>
      <c r="JL3" s="6" t="b">
        <f>AND(NOT(ISNUMBER(MATCH(DATE($A$2,INT((COLUMN()-1)/31.001)+$A$1,ROUNDUP(MOD(COLUMN()-1,31.001),0)),HolidayList[Date],0))),(VLOOKUP(VLOOKUP(WEEKDAY(DATE($A$2,INT((COLUMN()-1)/31.001)+$A$1,ROUNDUP(MOD(COLUMN()-1,31.001),0)),2),'Helper sheet'!$D$1:$E$7,2,0),Database!$M$3:$N$9,2,0)="Yes"))</f>
        <v>1</v>
      </c>
      <c r="JM3" s="6" t="b">
        <f>AND(NOT(ISNUMBER(MATCH(DATE($A$2,INT((COLUMN()-1)/31.001)+$A$1,ROUNDUP(MOD(COLUMN()-1,31.001),0)),HolidayList[Date],0))),(VLOOKUP(VLOOKUP(WEEKDAY(DATE($A$2,INT((COLUMN()-1)/31.001)+$A$1,ROUNDUP(MOD(COLUMN()-1,31.001),0)),2),'Helper sheet'!$D$1:$E$7,2,0),Database!$M$3:$N$9,2,0)="Yes"))</f>
        <v>0</v>
      </c>
      <c r="JN3" s="6" t="b">
        <f>AND(NOT(ISNUMBER(MATCH(DATE($A$2,INT((COLUMN()-1)/31.001)+$A$1,ROUNDUP(MOD(COLUMN()-1,31.001),0)),HolidayList[Date],0))),(VLOOKUP(VLOOKUP(WEEKDAY(DATE($A$2,INT((COLUMN()-1)/31.001)+$A$1,ROUNDUP(MOD(COLUMN()-1,31.001),0)),2),'Helper sheet'!$D$1:$E$7,2,0),Database!$M$3:$N$9,2,0)="Yes"))</f>
        <v>0</v>
      </c>
      <c r="JO3" s="6" t="b">
        <f>AND(NOT(ISNUMBER(MATCH(DATE($A$2,INT((COLUMN()-1)/31.001)+$A$1,ROUNDUP(MOD(COLUMN()-1,31.001),0)),HolidayList[Date],0))),(VLOOKUP(VLOOKUP(WEEKDAY(DATE($A$2,INT((COLUMN()-1)/31.001)+$A$1,ROUNDUP(MOD(COLUMN()-1,31.001),0)),2),'Helper sheet'!$D$1:$E$7,2,0),Database!$M$3:$N$9,2,0)="Yes"))</f>
        <v>1</v>
      </c>
      <c r="JP3" s="6" t="b">
        <f>AND(NOT(ISNUMBER(MATCH(DATE($A$2,INT((COLUMN()-1)/31.001)+$A$1,ROUNDUP(MOD(COLUMN()-1,31.001),0)),HolidayList[Date],0))),(VLOOKUP(VLOOKUP(WEEKDAY(DATE($A$2,INT((COLUMN()-1)/31.001)+$A$1,ROUNDUP(MOD(COLUMN()-1,31.001),0)),2),'Helper sheet'!$D$1:$E$7,2,0),Database!$M$3:$N$9,2,0)="Yes"))</f>
        <v>1</v>
      </c>
      <c r="JQ3" s="6" t="b">
        <f>AND(NOT(ISNUMBER(MATCH(DATE($A$2,INT((COLUMN()-1)/31.001)+$A$1,ROUNDUP(MOD(COLUMN()-1,31.001),0)),HolidayList[Date],0))),(VLOOKUP(VLOOKUP(WEEKDAY(DATE($A$2,INT((COLUMN()-1)/31.001)+$A$1,ROUNDUP(MOD(COLUMN()-1,31.001),0)),2),'Helper sheet'!$D$1:$E$7,2,0),Database!$M$3:$N$9,2,0)="Yes"))</f>
        <v>1</v>
      </c>
      <c r="JR3" s="6" t="b">
        <f>AND(NOT(ISNUMBER(MATCH(DATE($A$2,INT((COLUMN()-1)/31.001)+$A$1,ROUNDUP(MOD(COLUMN()-1,31.001),0)),HolidayList[Date],0))),(VLOOKUP(VLOOKUP(WEEKDAY(DATE($A$2,INT((COLUMN()-1)/31.001)+$A$1,ROUNDUP(MOD(COLUMN()-1,31.001),0)),2),'Helper sheet'!$D$1:$E$7,2,0),Database!$M$3:$N$9,2,0)="Yes"))</f>
        <v>1</v>
      </c>
      <c r="JS3" s="6" t="b">
        <f>AND(NOT(ISNUMBER(MATCH(DATE($A$2,INT((COLUMN()-1)/31.001)+$A$1,ROUNDUP(MOD(COLUMN()-1,31.001),0)),HolidayList[Date],0))),(VLOOKUP(VLOOKUP(WEEKDAY(DATE($A$2,INT((COLUMN()-1)/31.001)+$A$1,ROUNDUP(MOD(COLUMN()-1,31.001),0)),2),'Helper sheet'!$D$1:$E$7,2,0),Database!$M$3:$N$9,2,0)="Yes"))</f>
        <v>1</v>
      </c>
      <c r="JT3" s="6" t="b">
        <f>AND(NOT(ISNUMBER(MATCH(DATE($A$2,INT((COLUMN()-1)/31.001)+$A$1,ROUNDUP(MOD(COLUMN()-1,31.001),0)),HolidayList[Date],0))),(VLOOKUP(VLOOKUP(WEEKDAY(DATE($A$2,INT((COLUMN()-1)/31.001)+$A$1,ROUNDUP(MOD(COLUMN()-1,31.001),0)),2),'Helper sheet'!$D$1:$E$7,2,0),Database!$M$3:$N$9,2,0)="Yes"))</f>
        <v>0</v>
      </c>
      <c r="JU3" s="6" t="b">
        <f>AND(NOT(ISNUMBER(MATCH(DATE($A$2,INT((COLUMN()-1)/31.001)+$A$1,ROUNDUP(MOD(COLUMN()-1,31.001),0)),HolidayList[Date],0))),(VLOOKUP(VLOOKUP(WEEKDAY(DATE($A$2,INT((COLUMN()-1)/31.001)+$A$1,ROUNDUP(MOD(COLUMN()-1,31.001),0)),2),'Helper sheet'!$D$1:$E$7,2,0),Database!$M$3:$N$9,2,0)="Yes"))</f>
        <v>0</v>
      </c>
      <c r="JV3" s="6" t="b">
        <f>AND(NOT(ISNUMBER(MATCH(DATE($A$2,INT((COLUMN()-1)/31.001)+$A$1,ROUNDUP(MOD(COLUMN()-1,31.001),0)),HolidayList[Date],0))),(VLOOKUP(VLOOKUP(WEEKDAY(DATE($A$2,INT((COLUMN()-1)/31.001)+$A$1,ROUNDUP(MOD(COLUMN()-1,31.001),0)),2),'Helper sheet'!$D$1:$E$7,2,0),Database!$M$3:$N$9,2,0)="Yes"))</f>
        <v>0</v>
      </c>
      <c r="JW3" s="6" t="b">
        <f>AND(NOT(ISNUMBER(MATCH(DATE($A$2,INT((COLUMN()-1)/31.001)+$A$1,ROUNDUP(MOD(COLUMN()-1,31.001),0)),HolidayList[Date],0))),(VLOOKUP(VLOOKUP(WEEKDAY(DATE($A$2,INT((COLUMN()-1)/31.001)+$A$1,ROUNDUP(MOD(COLUMN()-1,31.001),0)),2),'Helper sheet'!$D$1:$E$7,2,0),Database!$M$3:$N$9,2,0)="Yes"))</f>
        <v>1</v>
      </c>
      <c r="JX3" s="6" t="b">
        <f>AND(NOT(ISNUMBER(MATCH(DATE($A$2,INT((COLUMN()-1)/31.001)+$A$1,ROUNDUP(MOD(COLUMN()-1,31.001),0)),HolidayList[Date],0))),(VLOOKUP(VLOOKUP(WEEKDAY(DATE($A$2,INT((COLUMN()-1)/31.001)+$A$1,ROUNDUP(MOD(COLUMN()-1,31.001),0)),2),'Helper sheet'!$D$1:$E$7,2,0),Database!$M$3:$N$9,2,0)="Yes"))</f>
        <v>1</v>
      </c>
      <c r="JY3" s="6" t="b">
        <f>AND(NOT(ISNUMBER(MATCH(DATE($A$2,INT((COLUMN()-1)/31.001)+$A$1,ROUNDUP(MOD(COLUMN()-1,31.001),0)),HolidayList[Date],0))),(VLOOKUP(VLOOKUP(WEEKDAY(DATE($A$2,INT((COLUMN()-1)/31.001)+$A$1,ROUNDUP(MOD(COLUMN()-1,31.001),0)),2),'Helper sheet'!$D$1:$E$7,2,0),Database!$M$3:$N$9,2,0)="Yes"))</f>
        <v>1</v>
      </c>
      <c r="JZ3" s="6" t="b">
        <f>AND(NOT(ISNUMBER(MATCH(DATE($A$2,INT((COLUMN()-1)/31.001)+$A$1,ROUNDUP(MOD(COLUMN()-1,31.001),0)),HolidayList[Date],0))),(VLOOKUP(VLOOKUP(WEEKDAY(DATE($A$2,INT((COLUMN()-1)/31.001)+$A$1,ROUNDUP(MOD(COLUMN()-1,31.001),0)),2),'Helper sheet'!$D$1:$E$7,2,0),Database!$M$3:$N$9,2,0)="Yes"))</f>
        <v>1</v>
      </c>
      <c r="KA3" s="6" t="b">
        <f>AND(NOT(ISNUMBER(MATCH(DATE($A$2,INT((COLUMN()-1)/31.001)+$A$1,ROUNDUP(MOD(COLUMN()-1,31.001),0)),HolidayList[Date],0))),(VLOOKUP(VLOOKUP(WEEKDAY(DATE($A$2,INT((COLUMN()-1)/31.001)+$A$1,ROUNDUP(MOD(COLUMN()-1,31.001),0)),2),'Helper sheet'!$D$1:$E$7,2,0),Database!$M$3:$N$9,2,0)="Yes"))</f>
        <v>1</v>
      </c>
      <c r="KB3" s="6" t="b">
        <f>AND(NOT(ISNUMBER(MATCH(DATE($A$2,INT((COLUMN()-1)/31.001)+$A$1,ROUNDUP(MOD(COLUMN()-1,31.001),0)),HolidayList[Date],0))),(VLOOKUP(VLOOKUP(WEEKDAY(DATE($A$2,INT((COLUMN()-1)/31.001)+$A$1,ROUNDUP(MOD(COLUMN()-1,31.001),0)),2),'Helper sheet'!$D$1:$E$7,2,0),Database!$M$3:$N$9,2,0)="Yes"))</f>
        <v>0</v>
      </c>
      <c r="KC3" s="6" t="b">
        <f>AND(NOT(ISNUMBER(MATCH(DATE($A$2,INT((COLUMN()-1)/31.001)+$A$1,ROUNDUP(MOD(COLUMN()-1,31.001),0)),HolidayList[Date],0))),(VLOOKUP(VLOOKUP(WEEKDAY(DATE($A$2,INT((COLUMN()-1)/31.001)+$A$1,ROUNDUP(MOD(COLUMN()-1,31.001),0)),2),'Helper sheet'!$D$1:$E$7,2,0),Database!$M$3:$N$9,2,0)="Yes"))</f>
        <v>0</v>
      </c>
      <c r="KD3" s="6" t="b">
        <f>AND(NOT(ISNUMBER(MATCH(DATE($A$2,INT((COLUMN()-1)/31.001)+$A$1,ROUNDUP(MOD(COLUMN()-1,31.001),0)),HolidayList[Date],0))),(VLOOKUP(VLOOKUP(WEEKDAY(DATE($A$2,INT((COLUMN()-1)/31.001)+$A$1,ROUNDUP(MOD(COLUMN()-1,31.001),0)),2),'Helper sheet'!$D$1:$E$7,2,0),Database!$M$3:$N$9,2,0)="Yes"))</f>
        <v>1</v>
      </c>
      <c r="KE3" s="6" t="b">
        <f>AND(NOT(ISNUMBER(MATCH(DATE($A$2,INT((COLUMN()-1)/31.001)+$A$1,ROUNDUP(MOD(COLUMN()-1,31.001),0)),HolidayList[Date],0))),(VLOOKUP(VLOOKUP(WEEKDAY(DATE($A$2,INT((COLUMN()-1)/31.001)+$A$1,ROUNDUP(MOD(COLUMN()-1,31.001),0)),2),'Helper sheet'!$D$1:$E$7,2,0),Database!$M$3:$N$9,2,0)="Yes"))</f>
        <v>1</v>
      </c>
      <c r="KF3" s="6" t="b">
        <f>AND(NOT(ISNUMBER(MATCH(DATE($A$2,INT((COLUMN()-1)/31.001)+$A$1,ROUNDUP(MOD(COLUMN()-1,31.001),0)),HolidayList[Date],0))),(VLOOKUP(VLOOKUP(WEEKDAY(DATE($A$2,INT((COLUMN()-1)/31.001)+$A$1,ROUNDUP(MOD(COLUMN()-1,31.001),0)),2),'Helper sheet'!$D$1:$E$7,2,0),Database!$M$3:$N$9,2,0)="Yes"))</f>
        <v>1</v>
      </c>
      <c r="KG3" s="6" t="b">
        <f>AND(NOT(ISNUMBER(MATCH(DATE($A$2,INT((COLUMN()-1)/31.001)+$A$1,ROUNDUP(MOD(COLUMN()-1,31.001),0)),HolidayList[Date],0))),(VLOOKUP(VLOOKUP(WEEKDAY(DATE($A$2,INT((COLUMN()-1)/31.001)+$A$1,ROUNDUP(MOD(COLUMN()-1,31.001),0)),2),'Helper sheet'!$D$1:$E$7,2,0),Database!$M$3:$N$9,2,0)="Yes"))</f>
        <v>1</v>
      </c>
      <c r="KH3" s="6" t="b">
        <f>AND(NOT(ISNUMBER(MATCH(DATE($A$2,INT((COLUMN()-1)/31.001)+$A$1,ROUNDUP(MOD(COLUMN()-1,31.001),0)),HolidayList[Date],0))),(VLOOKUP(VLOOKUP(WEEKDAY(DATE($A$2,INT((COLUMN()-1)/31.001)+$A$1,ROUNDUP(MOD(COLUMN()-1,31.001),0)),2),'Helper sheet'!$D$1:$E$7,2,0),Database!$M$3:$N$9,2,0)="Yes"))</f>
        <v>1</v>
      </c>
      <c r="KI3" s="6" t="b">
        <f>AND(NOT(ISNUMBER(MATCH(DATE($A$2,INT((COLUMN()-1)/31.001)+$A$1,ROUNDUP(MOD(COLUMN()-1,31.001),0)),HolidayList[Date],0))),(VLOOKUP(VLOOKUP(WEEKDAY(DATE($A$2,INT((COLUMN()-1)/31.001)+$A$1,ROUNDUP(MOD(COLUMN()-1,31.001),0)),2),'Helper sheet'!$D$1:$E$7,2,0),Database!$M$3:$N$9,2,0)="Yes"))</f>
        <v>0</v>
      </c>
      <c r="KJ3" s="6" t="b">
        <f>AND(NOT(ISNUMBER(MATCH(DATE($A$2,INT((COLUMN()-1)/31.001)+$A$1,ROUNDUP(MOD(COLUMN()-1,31.001),0)),HolidayList[Date],0))),(VLOOKUP(VLOOKUP(WEEKDAY(DATE($A$2,INT((COLUMN()-1)/31.001)+$A$1,ROUNDUP(MOD(COLUMN()-1,31.001),0)),2),'Helper sheet'!$D$1:$E$7,2,0),Database!$M$3:$N$9,2,0)="Yes"))</f>
        <v>0</v>
      </c>
      <c r="KK3" s="6" t="b">
        <f>AND(NOT(ISNUMBER(MATCH(DATE($A$2,INT((COLUMN()-1)/31.001)+$A$1,ROUNDUP(MOD(COLUMN()-1,31.001),0)),HolidayList[Date],0))),(VLOOKUP(VLOOKUP(WEEKDAY(DATE($A$2,INT((COLUMN()-1)/31.001)+$A$1,ROUNDUP(MOD(COLUMN()-1,31.001),0)),2),'Helper sheet'!$D$1:$E$7,2,0),Database!$M$3:$N$9,2,0)="Yes"))</f>
        <v>1</v>
      </c>
      <c r="KL3" s="6" t="b">
        <f>AND(NOT(ISNUMBER(MATCH(DATE($A$2,INT((COLUMN()-1)/31.001)+$A$1,ROUNDUP(MOD(COLUMN()-1,31.001),0)),HolidayList[Date],0))),(VLOOKUP(VLOOKUP(WEEKDAY(DATE($A$2,INT((COLUMN()-1)/31.001)+$A$1,ROUNDUP(MOD(COLUMN()-1,31.001),0)),2),'Helper sheet'!$D$1:$E$7,2,0),Database!$M$3:$N$9,2,0)="Yes"))</f>
        <v>1</v>
      </c>
      <c r="KM3" s="6" t="b">
        <f>AND(NOT(ISNUMBER(MATCH(DATE($A$2,INT((COLUMN()-1)/31.001)+$A$1,ROUNDUP(MOD(COLUMN()-1,31.001),0)),HolidayList[Date],0))),(VLOOKUP(VLOOKUP(WEEKDAY(DATE($A$2,INT((COLUMN()-1)/31.001)+$A$1,ROUNDUP(MOD(COLUMN()-1,31.001),0)),2),'Helper sheet'!$D$1:$E$7,2,0),Database!$M$3:$N$9,2,0)="Yes"))</f>
        <v>1</v>
      </c>
      <c r="KN3" s="6" t="b">
        <f>AND(NOT(ISNUMBER(MATCH(DATE($A$2,INT((COLUMN()-1)/31.001)+$A$1,ROUNDUP(MOD(COLUMN()-1,31.001),0)),HolidayList[Date],0))),(VLOOKUP(VLOOKUP(WEEKDAY(DATE($A$2,INT((COLUMN()-1)/31.001)+$A$1,ROUNDUP(MOD(COLUMN()-1,31.001),0)),2),'Helper sheet'!$D$1:$E$7,2,0),Database!$M$3:$N$9,2,0)="Yes"))</f>
        <v>1</v>
      </c>
      <c r="KO3" s="6" t="b">
        <f>AND(NOT(ISNUMBER(MATCH(DATE($A$2,INT((COLUMN()-1)/31.001)+$A$1,ROUNDUP(MOD(COLUMN()-1,31.001),0)),HolidayList[Date],0))),(VLOOKUP(VLOOKUP(WEEKDAY(DATE($A$2,INT((COLUMN()-1)/31.001)+$A$1,ROUNDUP(MOD(COLUMN()-1,31.001),0)),2),'Helper sheet'!$D$1:$E$7,2,0),Database!$M$3:$N$9,2,0)="Yes"))</f>
        <v>1</v>
      </c>
      <c r="KP3" s="6" t="b">
        <f>AND(NOT(ISNUMBER(MATCH(DATE($A$2,INT((COLUMN()-1)/31.001)+$A$1,ROUNDUP(MOD(COLUMN()-1,31.001),0)),HolidayList[Date],0))),(VLOOKUP(VLOOKUP(WEEKDAY(DATE($A$2,INT((COLUMN()-1)/31.001)+$A$1,ROUNDUP(MOD(COLUMN()-1,31.001),0)),2),'Helper sheet'!$D$1:$E$7,2,0),Database!$M$3:$N$9,2,0)="Yes"))</f>
        <v>0</v>
      </c>
      <c r="KQ3" s="6" t="b">
        <f>AND(NOT(ISNUMBER(MATCH(DATE($A$2,INT((COLUMN()-1)/31.001)+$A$1,ROUNDUP(MOD(COLUMN()-1,31.001),0)),HolidayList[Date],0))),(VLOOKUP(VLOOKUP(WEEKDAY(DATE($A$2,INT((COLUMN()-1)/31.001)+$A$1,ROUNDUP(MOD(COLUMN()-1,31.001),0)),2),'Helper sheet'!$D$1:$E$7,2,0),Database!$M$3:$N$9,2,0)="Yes"))</f>
        <v>0</v>
      </c>
      <c r="KR3" s="6" t="b">
        <f>AND(NOT(ISNUMBER(MATCH(DATE($A$2,INT((COLUMN()-1)/31.001)+$A$1,ROUNDUP(MOD(COLUMN()-1,31.001),0)),HolidayList[Date],0))),(VLOOKUP(VLOOKUP(WEEKDAY(DATE($A$2,INT((COLUMN()-1)/31.001)+$A$1,ROUNDUP(MOD(COLUMN()-1,31.001),0)),2),'Helper sheet'!$D$1:$E$7,2,0),Database!$M$3:$N$9,2,0)="Yes"))</f>
        <v>1</v>
      </c>
      <c r="KS3" s="6" t="b">
        <f>AND(NOT(ISNUMBER(MATCH(DATE($A$2,INT((COLUMN()-1)/31.001)+$A$1,ROUNDUP(MOD(COLUMN()-1,31.001),0)),HolidayList[Date],0))),(VLOOKUP(VLOOKUP(WEEKDAY(DATE($A$2,INT((COLUMN()-1)/31.001)+$A$1,ROUNDUP(MOD(COLUMN()-1,31.001),0)),2),'Helper sheet'!$D$1:$E$7,2,0),Database!$M$3:$N$9,2,0)="Yes"))</f>
        <v>1</v>
      </c>
      <c r="KT3" s="6" t="b">
        <f>AND(NOT(ISNUMBER(MATCH(DATE($A$2,INT((COLUMN()-1)/31.001)+$A$1,ROUNDUP(MOD(COLUMN()-1,31.001),0)),HolidayList[Date],0))),(VLOOKUP(VLOOKUP(WEEKDAY(DATE($A$2,INT((COLUMN()-1)/31.001)+$A$1,ROUNDUP(MOD(COLUMN()-1,31.001),0)),2),'Helper sheet'!$D$1:$E$7,2,0),Database!$M$3:$N$9,2,0)="Yes"))</f>
        <v>1</v>
      </c>
      <c r="KU3" s="6" t="b">
        <f>AND(NOT(ISNUMBER(MATCH(DATE($A$2,INT((COLUMN()-1)/31.001)+$A$1,ROUNDUP(MOD(COLUMN()-1,31.001),0)),HolidayList[Date],0))),(VLOOKUP(VLOOKUP(WEEKDAY(DATE($A$2,INT((COLUMN()-1)/31.001)+$A$1,ROUNDUP(MOD(COLUMN()-1,31.001),0)),2),'Helper sheet'!$D$1:$E$7,2,0),Database!$M$3:$N$9,2,0)="Yes"))</f>
        <v>1</v>
      </c>
      <c r="KV3" s="6" t="b">
        <f>AND(NOT(ISNUMBER(MATCH(DATE($A$2,INT((COLUMN()-1)/31.001)+$A$1,ROUNDUP(MOD(COLUMN()-1,31.001),0)),HolidayList[Date],0))),(VLOOKUP(VLOOKUP(WEEKDAY(DATE($A$2,INT((COLUMN()-1)/31.001)+$A$1,ROUNDUP(MOD(COLUMN()-1,31.001),0)),2),'Helper sheet'!$D$1:$E$7,2,0),Database!$M$3:$N$9,2,0)="Yes"))</f>
        <v>1</v>
      </c>
      <c r="KW3" s="6" t="b">
        <f>AND(NOT(ISNUMBER(MATCH(DATE($A$2,INT((COLUMN()-1)/31.001)+$A$1,ROUNDUP(MOD(COLUMN()-1,31.001),0)),HolidayList[Date],0))),(VLOOKUP(VLOOKUP(WEEKDAY(DATE($A$2,INT((COLUMN()-1)/31.001)+$A$1,ROUNDUP(MOD(COLUMN()-1,31.001),0)),2),'Helper sheet'!$D$1:$E$7,2,0),Database!$M$3:$N$9,2,0)="Yes"))</f>
        <v>0</v>
      </c>
      <c r="KX3" s="6" t="b">
        <f>AND(NOT(ISNUMBER(MATCH(DATE($A$2,INT((COLUMN()-1)/31.001)+$A$1,ROUNDUP(MOD(COLUMN()-1,31.001),0)),HolidayList[Date],0))),(VLOOKUP(VLOOKUP(WEEKDAY(DATE($A$2,INT((COLUMN()-1)/31.001)+$A$1,ROUNDUP(MOD(COLUMN()-1,31.001),0)),2),'Helper sheet'!$D$1:$E$7,2,0),Database!$M$3:$N$9,2,0)="Yes"))</f>
        <v>0</v>
      </c>
      <c r="KY3" s="6" t="b">
        <f>AND(NOT(ISNUMBER(MATCH(DATE($A$2,INT((COLUMN()-1)/31.001)+$A$1,ROUNDUP(MOD(COLUMN()-1,31.001),0)),HolidayList[Date],0))),(VLOOKUP(VLOOKUP(WEEKDAY(DATE($A$2,INT((COLUMN()-1)/31.001)+$A$1,ROUNDUP(MOD(COLUMN()-1,31.001),0)),2),'Helper sheet'!$D$1:$E$7,2,0),Database!$M$3:$N$9,2,0)="Yes"))</f>
        <v>1</v>
      </c>
      <c r="KZ3" s="6" t="b">
        <f>AND(NOT(ISNUMBER(MATCH(DATE($A$2,INT((COLUMN()-1)/31.001)+$A$1,ROUNDUP(MOD(COLUMN()-1,31.001),0)),HolidayList[Date],0))),(VLOOKUP(VLOOKUP(WEEKDAY(DATE($A$2,INT((COLUMN()-1)/31.001)+$A$1,ROUNDUP(MOD(COLUMN()-1,31.001),0)),2),'Helper sheet'!$D$1:$E$7,2,0),Database!$M$3:$N$9,2,0)="Yes"))</f>
        <v>1</v>
      </c>
      <c r="LA3" s="6" t="b">
        <f>AND(NOT(ISNUMBER(MATCH(DATE($A$2,INT((COLUMN()-1)/31.001)+$A$1,ROUNDUP(MOD(COLUMN()-1,31.001),0)),HolidayList[Date],0))),(VLOOKUP(VLOOKUP(WEEKDAY(DATE($A$2,INT((COLUMN()-1)/31.001)+$A$1,ROUNDUP(MOD(COLUMN()-1,31.001),0)),2),'Helper sheet'!$D$1:$E$7,2,0),Database!$M$3:$N$9,2,0)="Yes"))</f>
        <v>1</v>
      </c>
      <c r="LB3" s="6" t="b">
        <f>AND(NOT(ISNUMBER(MATCH(DATE($A$2,INT((COLUMN()-1)/31.001)+$A$1,ROUNDUP(MOD(COLUMN()-1,31.001),0)),HolidayList[Date],0))),(VLOOKUP(VLOOKUP(WEEKDAY(DATE($A$2,INT((COLUMN()-1)/31.001)+$A$1,ROUNDUP(MOD(COLUMN()-1,31.001),0)),2),'Helper sheet'!$D$1:$E$7,2,0),Database!$M$3:$N$9,2,0)="Yes"))</f>
        <v>1</v>
      </c>
      <c r="LC3" s="6" t="b">
        <f>AND(NOT(ISNUMBER(MATCH(DATE($A$2,INT((COLUMN()-1)/31.001)+$A$1,ROUNDUP(MOD(COLUMN()-1,31.001),0)),HolidayList[Date],0))),(VLOOKUP(VLOOKUP(WEEKDAY(DATE($A$2,INT((COLUMN()-1)/31.001)+$A$1,ROUNDUP(MOD(COLUMN()-1,31.001),0)),2),'Helper sheet'!$D$1:$E$7,2,0),Database!$M$3:$N$9,2,0)="Yes"))</f>
        <v>1</v>
      </c>
      <c r="LD3" s="6" t="b">
        <f>AND(NOT(ISNUMBER(MATCH(DATE($A$2,INT((COLUMN()-1)/31.001)+$A$1,ROUNDUP(MOD(COLUMN()-1,31.001),0)),HolidayList[Date],0))),(VLOOKUP(VLOOKUP(WEEKDAY(DATE($A$2,INT((COLUMN()-1)/31.001)+$A$1,ROUNDUP(MOD(COLUMN()-1,31.001),0)),2),'Helper sheet'!$D$1:$E$7,2,0),Database!$M$3:$N$9,2,0)="Yes"))</f>
        <v>0</v>
      </c>
      <c r="LE3" s="6" t="b">
        <f>AND(NOT(ISNUMBER(MATCH(DATE($A$2,INT((COLUMN()-1)/31.001)+$A$1,ROUNDUP(MOD(COLUMN()-1,31.001),0)),HolidayList[Date],0))),(VLOOKUP(VLOOKUP(WEEKDAY(DATE($A$2,INT((COLUMN()-1)/31.001)+$A$1,ROUNDUP(MOD(COLUMN()-1,31.001),0)),2),'Helper sheet'!$D$1:$E$7,2,0),Database!$M$3:$N$9,2,0)="Yes"))</f>
        <v>0</v>
      </c>
      <c r="LF3" s="6" t="b">
        <f>AND(NOT(ISNUMBER(MATCH(DATE($A$2,INT((COLUMN()-1)/31.001)+$A$1,ROUNDUP(MOD(COLUMN()-1,31.001),0)),HolidayList[Date],0))),(VLOOKUP(VLOOKUP(WEEKDAY(DATE($A$2,INT((COLUMN()-1)/31.001)+$A$1,ROUNDUP(MOD(COLUMN()-1,31.001),0)),2),'Helper sheet'!$D$1:$E$7,2,0),Database!$M$3:$N$9,2,0)="Yes"))</f>
        <v>1</v>
      </c>
      <c r="LG3" s="6" t="b">
        <f>AND(NOT(ISNUMBER(MATCH(DATE($A$2,INT((COLUMN()-1)/31.001)+$A$1,ROUNDUP(MOD(COLUMN()-1,31.001),0)),HolidayList[Date],0))),(VLOOKUP(VLOOKUP(WEEKDAY(DATE($A$2,INT((COLUMN()-1)/31.001)+$A$1,ROUNDUP(MOD(COLUMN()-1,31.001),0)),2),'Helper sheet'!$D$1:$E$7,2,0),Database!$M$3:$N$9,2,0)="Yes"))</f>
        <v>1</v>
      </c>
      <c r="LH3" s="6" t="b">
        <f>AND(NOT(ISNUMBER(MATCH(DATE($A$2,INT((COLUMN()-1)/31.001)+$A$1,ROUNDUP(MOD(COLUMN()-1,31.001),0)),HolidayList[Date],0))),(VLOOKUP(VLOOKUP(WEEKDAY(DATE($A$2,INT((COLUMN()-1)/31.001)+$A$1,ROUNDUP(MOD(COLUMN()-1,31.001),0)),2),'Helper sheet'!$D$1:$E$7,2,0),Database!$M$3:$N$9,2,0)="Yes"))</f>
        <v>1</v>
      </c>
      <c r="LI3" s="6" t="b">
        <f>AND(NOT(ISNUMBER(MATCH(DATE($A$2,INT((COLUMN()-1)/31.001)+$A$1,ROUNDUP(MOD(COLUMN()-1,31.001),0)),HolidayList[Date],0))),(VLOOKUP(VLOOKUP(WEEKDAY(DATE($A$2,INT((COLUMN()-1)/31.001)+$A$1,ROUNDUP(MOD(COLUMN()-1,31.001),0)),2),'Helper sheet'!$D$1:$E$7,2,0),Database!$M$3:$N$9,2,0)="Yes"))</f>
        <v>1</v>
      </c>
      <c r="LJ3" s="6" t="b">
        <f>AND(NOT(ISNUMBER(MATCH(DATE($A$2,INT((COLUMN()-1)/31.001)+$A$1,ROUNDUP(MOD(COLUMN()-1,31.001),0)),HolidayList[Date],0))),(VLOOKUP(VLOOKUP(WEEKDAY(DATE($A$2,INT((COLUMN()-1)/31.001)+$A$1,ROUNDUP(MOD(COLUMN()-1,31.001),0)),2),'Helper sheet'!$D$1:$E$7,2,0),Database!$M$3:$N$9,2,0)="Yes"))</f>
        <v>1</v>
      </c>
      <c r="LK3" s="6" t="b">
        <f>AND(NOT(ISNUMBER(MATCH(DATE($A$2,INT((COLUMN()-1)/31.001)+$A$1,ROUNDUP(MOD(COLUMN()-1,31.001),0)),HolidayList[Date],0))),(VLOOKUP(VLOOKUP(WEEKDAY(DATE($A$2,INT((COLUMN()-1)/31.001)+$A$1,ROUNDUP(MOD(COLUMN()-1,31.001),0)),2),'Helper sheet'!$D$1:$E$7,2,0),Database!$M$3:$N$9,2,0)="Yes"))</f>
        <v>0</v>
      </c>
      <c r="LL3" s="6" t="b">
        <f>AND(NOT(ISNUMBER(MATCH(DATE($A$2,INT((COLUMN()-1)/31.001)+$A$1,ROUNDUP(MOD(COLUMN()-1,31.001),0)),HolidayList[Date],0))),(VLOOKUP(VLOOKUP(WEEKDAY(DATE($A$2,INT((COLUMN()-1)/31.001)+$A$1,ROUNDUP(MOD(COLUMN()-1,31.001),0)),2),'Helper sheet'!$D$1:$E$7,2,0),Database!$M$3:$N$9,2,0)="Yes"))</f>
        <v>0</v>
      </c>
      <c r="LM3" s="6" t="b">
        <f>AND(NOT(ISNUMBER(MATCH(DATE($A$2,INT((COLUMN()-1)/31.001)+$A$1,ROUNDUP(MOD(COLUMN()-1,31.001),0)),HolidayList[Date],0))),(VLOOKUP(VLOOKUP(WEEKDAY(DATE($A$2,INT((COLUMN()-1)/31.001)+$A$1,ROUNDUP(MOD(COLUMN()-1,31.001),0)),2),'Helper sheet'!$D$1:$E$7,2,0),Database!$M$3:$N$9,2,0)="Yes"))</f>
        <v>1</v>
      </c>
      <c r="LN3" s="6" t="b">
        <f>AND(NOT(ISNUMBER(MATCH(DATE($A$2,INT((COLUMN()-1)/31.001)+$A$1,ROUNDUP(MOD(COLUMN()-1,31.001),0)),HolidayList[Date],0))),(VLOOKUP(VLOOKUP(WEEKDAY(DATE($A$2,INT((COLUMN()-1)/31.001)+$A$1,ROUNDUP(MOD(COLUMN()-1,31.001),0)),2),'Helper sheet'!$D$1:$E$7,2,0),Database!$M$3:$N$9,2,0)="Yes"))</f>
        <v>1</v>
      </c>
      <c r="LO3" s="6" t="b">
        <f>AND(NOT(ISNUMBER(MATCH(DATE($A$2,INT((COLUMN()-1)/31.001)+$A$1,ROUNDUP(MOD(COLUMN()-1,31.001),0)),HolidayList[Date],0))),(VLOOKUP(VLOOKUP(WEEKDAY(DATE($A$2,INT((COLUMN()-1)/31.001)+$A$1,ROUNDUP(MOD(COLUMN()-1,31.001),0)),2),'Helper sheet'!$D$1:$E$7,2,0),Database!$M$3:$N$9,2,0)="Yes"))</f>
        <v>1</v>
      </c>
      <c r="LP3" s="6" t="b">
        <f>AND(NOT(ISNUMBER(MATCH(DATE($A$2,INT((COLUMN()-1)/31.001)+$A$1,ROUNDUP(MOD(COLUMN()-1,31.001),0)),HolidayList[Date],0))),(VLOOKUP(VLOOKUP(WEEKDAY(DATE($A$2,INT((COLUMN()-1)/31.001)+$A$1,ROUNDUP(MOD(COLUMN()-1,31.001),0)),2),'Helper sheet'!$D$1:$E$7,2,0),Database!$M$3:$N$9,2,0)="Yes"))</f>
        <v>1</v>
      </c>
      <c r="LQ3" s="6" t="b">
        <f>AND(NOT(ISNUMBER(MATCH(DATE($A$2,INT((COLUMN()-1)/31.001)+$A$1,ROUNDUP(MOD(COLUMN()-1,31.001),0)),HolidayList[Date],0))),(VLOOKUP(VLOOKUP(WEEKDAY(DATE($A$2,INT((COLUMN()-1)/31.001)+$A$1,ROUNDUP(MOD(COLUMN()-1,31.001),0)),2),'Helper sheet'!$D$1:$E$7,2,0),Database!$M$3:$N$9,2,0)="Yes"))</f>
        <v>1</v>
      </c>
      <c r="LR3" s="6" t="b">
        <f>AND(NOT(ISNUMBER(MATCH(DATE($A$2,INT((COLUMN()-1)/31.001)+$A$1,ROUNDUP(MOD(COLUMN()-1,31.001),0)),HolidayList[Date],0))),(VLOOKUP(VLOOKUP(WEEKDAY(DATE($A$2,INT((COLUMN()-1)/31.001)+$A$1,ROUNDUP(MOD(COLUMN()-1,31.001),0)),2),'Helper sheet'!$D$1:$E$7,2,0),Database!$M$3:$N$9,2,0)="Yes"))</f>
        <v>0</v>
      </c>
      <c r="LS3" s="6" t="b">
        <f>AND(NOT(ISNUMBER(MATCH(DATE($A$2,INT((COLUMN()-1)/31.001)+$A$1,ROUNDUP(MOD(COLUMN()-1,31.001),0)),HolidayList[Date],0))),(VLOOKUP(VLOOKUP(WEEKDAY(DATE($A$2,INT((COLUMN()-1)/31.001)+$A$1,ROUNDUP(MOD(COLUMN()-1,31.001),0)),2),'Helper sheet'!$D$1:$E$7,2,0),Database!$M$3:$N$9,2,0)="Yes"))</f>
        <v>0</v>
      </c>
      <c r="LT3" s="6" t="b">
        <f>AND(NOT(ISNUMBER(MATCH(DATE($A$2,INT((COLUMN()-1)/31.001)+$A$1,ROUNDUP(MOD(COLUMN()-1,31.001),0)),HolidayList[Date],0))),(VLOOKUP(VLOOKUP(WEEKDAY(DATE($A$2,INT((COLUMN()-1)/31.001)+$A$1,ROUNDUP(MOD(COLUMN()-1,31.001),0)),2),'Helper sheet'!$D$1:$E$7,2,0),Database!$M$3:$N$9,2,0)="Yes"))</f>
        <v>1</v>
      </c>
      <c r="LU3" s="6" t="b">
        <f>AND(NOT(ISNUMBER(MATCH(DATE($A$2,INT((COLUMN()-1)/31.001)+$A$1,ROUNDUP(MOD(COLUMN()-1,31.001),0)),HolidayList[Date],0))),(VLOOKUP(VLOOKUP(WEEKDAY(DATE($A$2,INT((COLUMN()-1)/31.001)+$A$1,ROUNDUP(MOD(COLUMN()-1,31.001),0)),2),'Helper sheet'!$D$1:$E$7,2,0),Database!$M$3:$N$9,2,0)="Yes"))</f>
        <v>1</v>
      </c>
      <c r="LV3" s="6" t="b">
        <f>AND(NOT(ISNUMBER(MATCH(DATE($A$2,INT((COLUMN()-1)/31.001)+$A$1,ROUNDUP(MOD(COLUMN()-1,31.001),0)),HolidayList[Date],0))),(VLOOKUP(VLOOKUP(WEEKDAY(DATE($A$2,INT((COLUMN()-1)/31.001)+$A$1,ROUNDUP(MOD(COLUMN()-1,31.001),0)),2),'Helper sheet'!$D$1:$E$7,2,0),Database!$M$3:$N$9,2,0)="Yes"))</f>
        <v>1</v>
      </c>
      <c r="LW3" s="6" t="b">
        <f>AND(NOT(ISNUMBER(MATCH(DATE($A$2,INT((COLUMN()-1)/31.001)+$A$1,ROUNDUP(MOD(COLUMN()-1,31.001),0)),HolidayList[Date],0))),(VLOOKUP(VLOOKUP(WEEKDAY(DATE($A$2,INT((COLUMN()-1)/31.001)+$A$1,ROUNDUP(MOD(COLUMN()-1,31.001),0)),2),'Helper sheet'!$D$1:$E$7,2,0),Database!$M$3:$N$9,2,0)="Yes"))</f>
        <v>1</v>
      </c>
      <c r="LX3" s="6" t="b">
        <f>AND(NOT(ISNUMBER(MATCH(DATE($A$2,INT((COLUMN()-1)/31.001)+$A$1,ROUNDUP(MOD(COLUMN()-1,31.001),0)),HolidayList[Date],0))),(VLOOKUP(VLOOKUP(WEEKDAY(DATE($A$2,INT((COLUMN()-1)/31.001)+$A$1,ROUNDUP(MOD(COLUMN()-1,31.001),0)),2),'Helper sheet'!$D$1:$E$7,2,0),Database!$M$3:$N$9,2,0)="Yes"))</f>
        <v>0</v>
      </c>
      <c r="LY3" s="6" t="b">
        <f>AND(NOT(ISNUMBER(MATCH(DATE($A$2,INT((COLUMN()-1)/31.001)+$A$1,ROUNDUP(MOD(COLUMN()-1,31.001),0)),HolidayList[Date],0))),(VLOOKUP(VLOOKUP(WEEKDAY(DATE($A$2,INT((COLUMN()-1)/31.001)+$A$1,ROUNDUP(MOD(COLUMN()-1,31.001),0)),2),'Helper sheet'!$D$1:$E$7,2,0),Database!$M$3:$N$9,2,0)="Yes"))</f>
        <v>0</v>
      </c>
      <c r="LZ3" s="6" t="b">
        <f>AND(NOT(ISNUMBER(MATCH(DATE($A$2,INT((COLUMN()-1)/31.001)+$A$1,ROUNDUP(MOD(COLUMN()-1,31.001),0)),HolidayList[Date],0))),(VLOOKUP(VLOOKUP(WEEKDAY(DATE($A$2,INT((COLUMN()-1)/31.001)+$A$1,ROUNDUP(MOD(COLUMN()-1,31.001),0)),2),'Helper sheet'!$D$1:$E$7,2,0),Database!$M$3:$N$9,2,0)="Yes"))</f>
        <v>0</v>
      </c>
      <c r="MA3" s="6" t="b">
        <f>AND(NOT(ISNUMBER(MATCH(DATE($A$2,INT((COLUMN()-1)/31.001)+$A$1,ROUNDUP(MOD(COLUMN()-1,31.001),0)),HolidayList[Date],0))),(VLOOKUP(VLOOKUP(WEEKDAY(DATE($A$2,INT((COLUMN()-1)/31.001)+$A$1,ROUNDUP(MOD(COLUMN()-1,31.001),0)),2),'Helper sheet'!$D$1:$E$7,2,0),Database!$M$3:$N$9,2,0)="Yes"))</f>
        <v>1</v>
      </c>
      <c r="MB3" s="6" t="b">
        <f>AND(NOT(ISNUMBER(MATCH(DATE($A$2,INT((COLUMN()-1)/31.001)+$A$1,ROUNDUP(MOD(COLUMN()-1,31.001),0)),HolidayList[Date],0))),(VLOOKUP(VLOOKUP(WEEKDAY(DATE($A$2,INT((COLUMN()-1)/31.001)+$A$1,ROUNDUP(MOD(COLUMN()-1,31.001),0)),2),'Helper sheet'!$D$1:$E$7,2,0),Database!$M$3:$N$9,2,0)="Yes"))</f>
        <v>1</v>
      </c>
      <c r="MC3" s="6" t="b">
        <f>AND(NOT(ISNUMBER(MATCH(DATE($A$2,INT((COLUMN()-1)/31.001)+$A$1,ROUNDUP(MOD(COLUMN()-1,31.001),0)),HolidayList[Date],0))),(VLOOKUP(VLOOKUP(WEEKDAY(DATE($A$2,INT((COLUMN()-1)/31.001)+$A$1,ROUNDUP(MOD(COLUMN()-1,31.001),0)),2),'Helper sheet'!$D$1:$E$7,2,0),Database!$M$3:$N$9,2,0)="Yes"))</f>
        <v>1</v>
      </c>
      <c r="MD3" s="6" t="b">
        <f>AND(NOT(ISNUMBER(MATCH(DATE($A$2,INT((COLUMN()-1)/31.001)+$A$1,ROUNDUP(MOD(COLUMN()-1,31.001),0)),HolidayList[Date],0))),(VLOOKUP(VLOOKUP(WEEKDAY(DATE($A$2,INT((COLUMN()-1)/31.001)+$A$1,ROUNDUP(MOD(COLUMN()-1,31.001),0)),2),'Helper sheet'!$D$1:$E$7,2,0),Database!$M$3:$N$9,2,0)="Yes"))</f>
        <v>1</v>
      </c>
      <c r="ME3" s="6" t="b">
        <f>AND(NOT(ISNUMBER(MATCH(DATE($A$2,INT((COLUMN()-1)/31.001)+$A$1,ROUNDUP(MOD(COLUMN()-1,31.001),0)),HolidayList[Date],0))),(VLOOKUP(VLOOKUP(WEEKDAY(DATE($A$2,INT((COLUMN()-1)/31.001)+$A$1,ROUNDUP(MOD(COLUMN()-1,31.001),0)),2),'Helper sheet'!$D$1:$E$7,2,0),Database!$M$3:$N$9,2,0)="Yes"))</f>
        <v>1</v>
      </c>
      <c r="MF3" s="6" t="b">
        <f>AND(NOT(ISNUMBER(MATCH(DATE($A$2,INT((COLUMN()-1)/31.001)+$A$1,ROUNDUP(MOD(COLUMN()-1,31.001),0)),HolidayList[Date],0))),(VLOOKUP(VLOOKUP(WEEKDAY(DATE($A$2,INT((COLUMN()-1)/31.001)+$A$1,ROUNDUP(MOD(COLUMN()-1,31.001),0)),2),'Helper sheet'!$D$1:$E$7,2,0),Database!$M$3:$N$9,2,0)="Yes"))</f>
        <v>1</v>
      </c>
      <c r="MG3" s="6" t="b">
        <f>AND(NOT(ISNUMBER(MATCH(DATE($A$2,INT((COLUMN()-1)/31.001)+$A$1,ROUNDUP(MOD(COLUMN()-1,31.001),0)),HolidayList[Date],0))),(VLOOKUP(VLOOKUP(WEEKDAY(DATE($A$2,INT((COLUMN()-1)/31.001)+$A$1,ROUNDUP(MOD(COLUMN()-1,31.001),0)),2),'Helper sheet'!$D$1:$E$7,2,0),Database!$M$3:$N$9,2,0)="Yes"))</f>
        <v>0</v>
      </c>
      <c r="MH3" s="6" t="b">
        <f>AND(NOT(ISNUMBER(MATCH(DATE($A$2,INT((COLUMN()-1)/31.001)+$A$1,ROUNDUP(MOD(COLUMN()-1,31.001),0)),HolidayList[Date],0))),(VLOOKUP(VLOOKUP(WEEKDAY(DATE($A$2,INT((COLUMN()-1)/31.001)+$A$1,ROUNDUP(MOD(COLUMN()-1,31.001),0)),2),'Helper sheet'!$D$1:$E$7,2,0),Database!$M$3:$N$9,2,0)="Yes"))</f>
        <v>0</v>
      </c>
      <c r="MI3" s="6" t="b">
        <f>AND(NOT(ISNUMBER(MATCH(DATE($A$2,INT((COLUMN()-1)/31.001)+$A$1,ROUNDUP(MOD(COLUMN()-1,31.001),0)),HolidayList[Date],0))),(VLOOKUP(VLOOKUP(WEEKDAY(DATE($A$2,INT((COLUMN()-1)/31.001)+$A$1,ROUNDUP(MOD(COLUMN()-1,31.001),0)),2),'Helper sheet'!$D$1:$E$7,2,0),Database!$M$3:$N$9,2,0)="Yes"))</f>
        <v>1</v>
      </c>
      <c r="MJ3" s="6" t="b">
        <f>AND(NOT(ISNUMBER(MATCH(DATE($A$2,INT((COLUMN()-1)/31.001)+$A$1,ROUNDUP(MOD(COLUMN()-1,31.001),0)),HolidayList[Date],0))),(VLOOKUP(VLOOKUP(WEEKDAY(DATE($A$2,INT((COLUMN()-1)/31.001)+$A$1,ROUNDUP(MOD(COLUMN()-1,31.001),0)),2),'Helper sheet'!$D$1:$E$7,2,0),Database!$M$3:$N$9,2,0)="Yes"))</f>
        <v>1</v>
      </c>
      <c r="MK3" s="6" t="b">
        <f>AND(NOT(ISNUMBER(MATCH(DATE($A$2,INT((COLUMN()-1)/31.001)+$A$1,ROUNDUP(MOD(COLUMN()-1,31.001),0)),HolidayList[Date],0))),(VLOOKUP(VLOOKUP(WEEKDAY(DATE($A$2,INT((COLUMN()-1)/31.001)+$A$1,ROUNDUP(MOD(COLUMN()-1,31.001),0)),2),'Helper sheet'!$D$1:$E$7,2,0),Database!$M$3:$N$9,2,0)="Yes"))</f>
        <v>1</v>
      </c>
      <c r="ML3" s="6" t="b">
        <f>AND(NOT(ISNUMBER(MATCH(DATE($A$2,INT((COLUMN()-1)/31.001)+$A$1,ROUNDUP(MOD(COLUMN()-1,31.001),0)),HolidayList[Date],0))),(VLOOKUP(VLOOKUP(WEEKDAY(DATE($A$2,INT((COLUMN()-1)/31.001)+$A$1,ROUNDUP(MOD(COLUMN()-1,31.001),0)),2),'Helper sheet'!$D$1:$E$7,2,0),Database!$M$3:$N$9,2,0)="Yes"))</f>
        <v>1</v>
      </c>
      <c r="MM3" s="6" t="b">
        <f>AND(NOT(ISNUMBER(MATCH(DATE($A$2,INT((COLUMN()-1)/31.001)+$A$1,ROUNDUP(MOD(COLUMN()-1,31.001),0)),HolidayList[Date],0))),(VLOOKUP(VLOOKUP(WEEKDAY(DATE($A$2,INT((COLUMN()-1)/31.001)+$A$1,ROUNDUP(MOD(COLUMN()-1,31.001),0)),2),'Helper sheet'!$D$1:$E$7,2,0),Database!$M$3:$N$9,2,0)="Yes"))</f>
        <v>1</v>
      </c>
      <c r="MN3" s="6" t="b">
        <f>AND(NOT(ISNUMBER(MATCH(DATE($A$2,INT((COLUMN()-1)/31.001)+$A$1,ROUNDUP(MOD(COLUMN()-1,31.001),0)),HolidayList[Date],0))),(VLOOKUP(VLOOKUP(WEEKDAY(DATE($A$2,INT((COLUMN()-1)/31.001)+$A$1,ROUNDUP(MOD(COLUMN()-1,31.001),0)),2),'Helper sheet'!$D$1:$E$7,2,0),Database!$M$3:$N$9,2,0)="Yes"))</f>
        <v>0</v>
      </c>
      <c r="MO3" s="6" t="b">
        <f>AND(NOT(ISNUMBER(MATCH(DATE($A$2,INT((COLUMN()-1)/31.001)+$A$1,ROUNDUP(MOD(COLUMN()-1,31.001),0)),HolidayList[Date],0))),(VLOOKUP(VLOOKUP(WEEKDAY(DATE($A$2,INT((COLUMN()-1)/31.001)+$A$1,ROUNDUP(MOD(COLUMN()-1,31.001),0)),2),'Helper sheet'!$D$1:$E$7,2,0),Database!$M$3:$N$9,2,0)="Yes"))</f>
        <v>0</v>
      </c>
      <c r="MP3" s="6" t="b">
        <f>AND(NOT(ISNUMBER(MATCH(DATE($A$2,INT((COLUMN()-1)/31.001)+$A$1,ROUNDUP(MOD(COLUMN()-1,31.001),0)),HolidayList[Date],0))),(VLOOKUP(VLOOKUP(WEEKDAY(DATE($A$2,INT((COLUMN()-1)/31.001)+$A$1,ROUNDUP(MOD(COLUMN()-1,31.001),0)),2),'Helper sheet'!$D$1:$E$7,2,0),Database!$M$3:$N$9,2,0)="Yes"))</f>
        <v>1</v>
      </c>
      <c r="MQ3" s="6" t="b">
        <f>AND(NOT(ISNUMBER(MATCH(DATE($A$2,INT((COLUMN()-1)/31.001)+$A$1,ROUNDUP(MOD(COLUMN()-1,31.001),0)),HolidayList[Date],0))),(VLOOKUP(VLOOKUP(WEEKDAY(DATE($A$2,INT((COLUMN()-1)/31.001)+$A$1,ROUNDUP(MOD(COLUMN()-1,31.001),0)),2),'Helper sheet'!$D$1:$E$7,2,0),Database!$M$3:$N$9,2,0)="Yes"))</f>
        <v>1</v>
      </c>
      <c r="MR3" s="6" t="b">
        <f>AND(NOT(ISNUMBER(MATCH(DATE($A$2,INT((COLUMN()-1)/31.001)+$A$1,ROUNDUP(MOD(COLUMN()-1,31.001),0)),HolidayList[Date],0))),(VLOOKUP(VLOOKUP(WEEKDAY(DATE($A$2,INT((COLUMN()-1)/31.001)+$A$1,ROUNDUP(MOD(COLUMN()-1,31.001),0)),2),'Helper sheet'!$D$1:$E$7,2,0),Database!$M$3:$N$9,2,0)="Yes"))</f>
        <v>1</v>
      </c>
      <c r="MS3" s="6" t="b">
        <f>AND(NOT(ISNUMBER(MATCH(DATE($A$2,INT((COLUMN()-1)/31.001)+$A$1,ROUNDUP(MOD(COLUMN()-1,31.001),0)),HolidayList[Date],0))),(VLOOKUP(VLOOKUP(WEEKDAY(DATE($A$2,INT((COLUMN()-1)/31.001)+$A$1,ROUNDUP(MOD(COLUMN()-1,31.001),0)),2),'Helper sheet'!$D$1:$E$7,2,0),Database!$M$3:$N$9,2,0)="Yes"))</f>
        <v>1</v>
      </c>
      <c r="MT3" s="6" t="b">
        <f>AND(NOT(ISNUMBER(MATCH(DATE($A$2,INT((COLUMN()-1)/31.001)+$A$1,ROUNDUP(MOD(COLUMN()-1,31.001),0)),HolidayList[Date],0))),(VLOOKUP(VLOOKUP(WEEKDAY(DATE($A$2,INT((COLUMN()-1)/31.001)+$A$1,ROUNDUP(MOD(COLUMN()-1,31.001),0)),2),'Helper sheet'!$D$1:$E$7,2,0),Database!$M$3:$N$9,2,0)="Yes"))</f>
        <v>1</v>
      </c>
      <c r="MU3" s="6" t="b">
        <f>AND(NOT(ISNUMBER(MATCH(DATE($A$2,INT((COLUMN()-1)/31.001)+$A$1,ROUNDUP(MOD(COLUMN()-1,31.001),0)),HolidayList[Date],0))),(VLOOKUP(VLOOKUP(WEEKDAY(DATE($A$2,INT((COLUMN()-1)/31.001)+$A$1,ROUNDUP(MOD(COLUMN()-1,31.001),0)),2),'Helper sheet'!$D$1:$E$7,2,0),Database!$M$3:$N$9,2,0)="Yes"))</f>
        <v>0</v>
      </c>
      <c r="MV3" s="6" t="b">
        <f>AND(NOT(ISNUMBER(MATCH(DATE($A$2,INT((COLUMN()-1)/31.001)+$A$1,ROUNDUP(MOD(COLUMN()-1,31.001),0)),HolidayList[Date],0))),(VLOOKUP(VLOOKUP(WEEKDAY(DATE($A$2,INT((COLUMN()-1)/31.001)+$A$1,ROUNDUP(MOD(COLUMN()-1,31.001),0)),2),'Helper sheet'!$D$1:$E$7,2,0),Database!$M$3:$N$9,2,0)="Yes"))</f>
        <v>0</v>
      </c>
      <c r="MW3" s="6" t="b">
        <f>AND(NOT(ISNUMBER(MATCH(DATE($A$2,INT((COLUMN()-1)/31.001)+$A$1,ROUNDUP(MOD(COLUMN()-1,31.001),0)),HolidayList[Date],0))),(VLOOKUP(VLOOKUP(WEEKDAY(DATE($A$2,INT((COLUMN()-1)/31.001)+$A$1,ROUNDUP(MOD(COLUMN()-1,31.001),0)),2),'Helper sheet'!$D$1:$E$7,2,0),Database!$M$3:$N$9,2,0)="Yes"))</f>
        <v>1</v>
      </c>
      <c r="MX3" s="6" t="b">
        <f>AND(NOT(ISNUMBER(MATCH(DATE($A$2,INT((COLUMN()-1)/31.001)+$A$1,ROUNDUP(MOD(COLUMN()-1,31.001),0)),HolidayList[Date],0))),(VLOOKUP(VLOOKUP(WEEKDAY(DATE($A$2,INT((COLUMN()-1)/31.001)+$A$1,ROUNDUP(MOD(COLUMN()-1,31.001),0)),2),'Helper sheet'!$D$1:$E$7,2,0),Database!$M$3:$N$9,2,0)="Yes"))</f>
        <v>1</v>
      </c>
      <c r="MY3" s="6" t="b">
        <f>AND(NOT(ISNUMBER(MATCH(DATE($A$2,INT((COLUMN()-1)/31.001)+$A$1,ROUNDUP(MOD(COLUMN()-1,31.001),0)),HolidayList[Date],0))),(VLOOKUP(VLOOKUP(WEEKDAY(DATE($A$2,INT((COLUMN()-1)/31.001)+$A$1,ROUNDUP(MOD(COLUMN()-1,31.001),0)),2),'Helper sheet'!$D$1:$E$7,2,0),Database!$M$3:$N$9,2,0)="Yes"))</f>
        <v>1</v>
      </c>
      <c r="MZ3" s="6" t="b">
        <f>AND(NOT(ISNUMBER(MATCH(DATE($A$2,INT((COLUMN()-1)/31.001)+$A$1,ROUNDUP(MOD(COLUMN()-1,31.001),0)),HolidayList[Date],0))),(VLOOKUP(VLOOKUP(WEEKDAY(DATE($A$2,INT((COLUMN()-1)/31.001)+$A$1,ROUNDUP(MOD(COLUMN()-1,31.001),0)),2),'Helper sheet'!$D$1:$E$7,2,0),Database!$M$3:$N$9,2,0)="Yes"))</f>
        <v>1</v>
      </c>
      <c r="NA3" s="6" t="b">
        <f>AND(NOT(ISNUMBER(MATCH(DATE($A$2,INT((COLUMN()-1)/31.001)+$A$1,ROUNDUP(MOD(COLUMN()-1,31.001),0)),HolidayList[Date],0))),(VLOOKUP(VLOOKUP(WEEKDAY(DATE($A$2,INT((COLUMN()-1)/31.001)+$A$1,ROUNDUP(MOD(COLUMN()-1,31.001),0)),2),'Helper sheet'!$D$1:$E$7,2,0),Database!$M$3:$N$9,2,0)="Yes"))</f>
        <v>1</v>
      </c>
      <c r="NB3" s="6" t="b">
        <f>AND(NOT(ISNUMBER(MATCH(DATE($A$2,INT((COLUMN()-1)/31.001)+$A$1,ROUNDUP(MOD(COLUMN()-1,31.001),0)),HolidayList[Date],0))),(VLOOKUP(VLOOKUP(WEEKDAY(DATE($A$2,INT((COLUMN()-1)/31.001)+$A$1,ROUNDUP(MOD(COLUMN()-1,31.001),0)),2),'Helper sheet'!$D$1:$E$7,2,0),Database!$M$3:$N$9,2,0)="Yes"))</f>
        <v>0</v>
      </c>
      <c r="NC3" s="6" t="b">
        <f>AND(NOT(ISNUMBER(MATCH(DATE($A$2,INT((COLUMN()-1)/31.001)+$A$1,ROUNDUP(MOD(COLUMN()-1,31.001),0)),HolidayList[Date],0))),(VLOOKUP(VLOOKUP(WEEKDAY(DATE($A$2,INT((COLUMN()-1)/31.001)+$A$1,ROUNDUP(MOD(COLUMN()-1,31.001),0)),2),'Helper sheet'!$D$1:$E$7,2,0),Database!$M$3:$N$9,2,0)="Yes"))</f>
        <v>0</v>
      </c>
      <c r="ND3" s="6" t="b">
        <f>AND(NOT(ISNUMBER(MATCH(DATE($A$2,INT((COLUMN()-1)/31.001)+$A$1,ROUNDUP(MOD(COLUMN()-1,31.001),0)),HolidayList[Date],0))),(VLOOKUP(VLOOKUP(WEEKDAY(DATE($A$2,INT((COLUMN()-1)/31.001)+$A$1,ROUNDUP(MOD(COLUMN()-1,31.001),0)),2),'Helper sheet'!$D$1:$E$7,2,0),Database!$M$3:$N$9,2,0)="Yes"))</f>
        <v>1</v>
      </c>
      <c r="NE3" s="6" t="b">
        <f>AND(NOT(ISNUMBER(MATCH(DATE($A$2,INT((COLUMN()-1)/31.001)+$A$1,ROUNDUP(MOD(COLUMN()-1,31.001),0)),HolidayList[Date],0))),(VLOOKUP(VLOOKUP(WEEKDAY(DATE($A$2,INT((COLUMN()-1)/31.001)+$A$1,ROUNDUP(MOD(COLUMN()-1,31.001),0)),2),'Helper sheet'!$D$1:$E$7,2,0),Database!$M$3:$N$9,2,0)="Yes"))</f>
        <v>1</v>
      </c>
      <c r="NF3" s="6" t="b">
        <f>AND(NOT(ISNUMBER(MATCH(DATE($A$2,INT((COLUMN()-1)/31.001)+$A$1,ROUNDUP(MOD(COLUMN()-1,31.001),0)),HolidayList[Date],0))),(VLOOKUP(VLOOKUP(WEEKDAY(DATE($A$2,INT((COLUMN()-1)/31.001)+$A$1,ROUNDUP(MOD(COLUMN()-1,31.001),0)),2),'Helper sheet'!$D$1:$E$7,2,0),Database!$M$3:$N$9,2,0)="Yes"))</f>
        <v>1</v>
      </c>
      <c r="NG3" s="6" t="b">
        <f>AND(NOT(ISNUMBER(MATCH(DATE($A$2,INT((COLUMN()-1)/31.001)+$A$1,ROUNDUP(MOD(COLUMN()-1,31.001),0)),HolidayList[Date],0))),(VLOOKUP(VLOOKUP(WEEKDAY(DATE($A$2,INT((COLUMN()-1)/31.001)+$A$1,ROUNDUP(MOD(COLUMN()-1,31.001),0)),2),'Helper sheet'!$D$1:$E$7,2,0),Database!$M$3:$N$9,2,0)="Yes"))</f>
        <v>1</v>
      </c>
      <c r="NH3" s="6" t="b">
        <f>AND(NOT(ISNUMBER(MATCH(DATE($A$2,INT((COLUMN()-1)/31.001)+$A$1,ROUNDUP(MOD(COLUMN()-1,31.001),0)),HolidayList[Date],0))),(VLOOKUP(VLOOKUP(WEEKDAY(DATE($A$2,INT((COLUMN()-1)/31.001)+$A$1,ROUNDUP(MOD(COLUMN()-1,31.001),0)),2),'Helper sheet'!$D$1:$E$7,2,0),Database!$M$3:$N$9,2,0)="Yes"))</f>
        <v>1</v>
      </c>
      <c r="NI3" s="6" t="b">
        <f>AND(NOT(ISNUMBER(MATCH(DATE($A$2,INT((COLUMN()-1)/31.001)+$A$1,ROUNDUP(MOD(COLUMN()-1,31.001),0)),HolidayList[Date],0))),(VLOOKUP(VLOOKUP(WEEKDAY(DATE($A$2,INT((COLUMN()-1)/31.001)+$A$1,ROUNDUP(MOD(COLUMN()-1,31.001),0)),2),'Helper sheet'!$D$1:$E$7,2,0),Database!$M$3:$N$9,2,0)="Yes"))</f>
        <v>0</v>
      </c>
      <c r="OF3" s="75"/>
      <c r="OG3" s="75"/>
      <c r="OH3" s="75"/>
      <c r="OI3" s="75"/>
      <c r="OJ3" s="82">
        <f>IFERROR(SUM(Sheet3!B:B),"")</f>
        <v>17</v>
      </c>
      <c r="OK3" s="83"/>
    </row>
    <row r="4" spans="1:402" ht="15.75" thickTop="1" x14ac:dyDescent="0.25">
      <c r="A4" s="7"/>
      <c r="B4" s="6" t="b">
        <f>IFERROR(IF(AND(VLOOKUP(B6,Database!$M$3:$N$9,2,0)="Yes",NOT(ISNUMBER(VLOOKUP(DATE($A$2,$A$3+$A$1-1,B5),HolidayList[Date],1,0)))),TRUE,FALSE),FALSE)</f>
        <v>0</v>
      </c>
      <c r="C4" s="6" t="b">
        <f>IFERROR(IF(AND(VLOOKUP(C6,Database!$M$3:$N$9,2,0)="Yes",NOT(ISNUMBER(VLOOKUP(DATE($A$2,$A$3+$A$1-1,C5),HolidayList[Date],1,0)))),TRUE,FALSE),FALSE)</f>
        <v>0</v>
      </c>
      <c r="D4" s="6" t="b">
        <f>IFERROR(IF(AND(VLOOKUP(D6,Database!$M$3:$N$9,2,0)="Yes",NOT(ISNUMBER(VLOOKUP(DATE($A$2,$A$3+$A$1-1,D5),HolidayList[Date],1,0)))),TRUE,FALSE),FALSE)</f>
        <v>1</v>
      </c>
      <c r="E4" s="6" t="b">
        <f>IFERROR(IF(AND(VLOOKUP(E6,Database!$M$3:$N$9,2,0)="Yes",NOT(ISNUMBER(VLOOKUP(DATE($A$2,$A$3+$A$1-1,E5),HolidayList[Date],1,0)))),TRUE,FALSE),FALSE)</f>
        <v>1</v>
      </c>
      <c r="F4" s="6" t="b">
        <f>IFERROR(IF(AND(VLOOKUP(F6,Database!$M$3:$N$9,2,0)="Yes",NOT(ISNUMBER(VLOOKUP(DATE($A$2,$A$3+$A$1-1,F5),HolidayList[Date],1,0)))),TRUE,FALSE),FALSE)</f>
        <v>1</v>
      </c>
      <c r="G4" s="6" t="b">
        <f>IFERROR(IF(AND(VLOOKUP(G6,Database!$M$3:$N$9,2,0)="Yes",NOT(ISNUMBER(VLOOKUP(DATE($A$2,$A$3+$A$1-1,G5),HolidayList[Date],1,0)))),TRUE,FALSE),FALSE)</f>
        <v>1</v>
      </c>
      <c r="H4" s="6" t="b">
        <f>IFERROR(IF(AND(VLOOKUP(H6,Database!$M$3:$N$9,2,0)="Yes",NOT(ISNUMBER(VLOOKUP(DATE($A$2,$A$3+$A$1-1,H5),HolidayList[Date],1,0)))),TRUE,FALSE),FALSE)</f>
        <v>1</v>
      </c>
      <c r="I4" s="6" t="b">
        <f>IFERROR(IF(AND(VLOOKUP(I6,Database!$M$3:$N$9,2,0)="Yes",NOT(ISNUMBER(VLOOKUP(DATE($A$2,$A$3+$A$1-1,I5),HolidayList[Date],1,0)))),TRUE,FALSE),FALSE)</f>
        <v>0</v>
      </c>
      <c r="J4" s="6" t="b">
        <f>IFERROR(IF(AND(VLOOKUP(J6,Database!$M$3:$N$9,2,0)="Yes",NOT(ISNUMBER(VLOOKUP(DATE($A$2,$A$3+$A$1-1,J5),HolidayList[Date],1,0)))),TRUE,FALSE),FALSE)</f>
        <v>0</v>
      </c>
      <c r="K4" s="6" t="b">
        <f>IFERROR(IF(AND(VLOOKUP(K6,Database!$M$3:$N$9,2,0)="Yes",NOT(ISNUMBER(VLOOKUP(DATE($A$2,$A$3+$A$1-1,K5),HolidayList[Date],1,0)))),TRUE,FALSE),FALSE)</f>
        <v>1</v>
      </c>
      <c r="L4" s="6" t="b">
        <f>IFERROR(IF(AND(VLOOKUP(L6,Database!$M$3:$N$9,2,0)="Yes",NOT(ISNUMBER(VLOOKUP(DATE($A$2,$A$3+$A$1-1,L5),HolidayList[Date],1,0)))),TRUE,FALSE),FALSE)</f>
        <v>1</v>
      </c>
      <c r="M4" s="6" t="b">
        <f>IFERROR(IF(AND(VLOOKUP(M6,Database!$M$3:$N$9,2,0)="Yes",NOT(ISNUMBER(VLOOKUP(DATE($A$2,$A$3+$A$1-1,M5),HolidayList[Date],1,0)))),TRUE,FALSE),FALSE)</f>
        <v>1</v>
      </c>
      <c r="N4" s="6" t="b">
        <f>IFERROR(IF(AND(VLOOKUP(N6,Database!$M$3:$N$9,2,0)="Yes",NOT(ISNUMBER(VLOOKUP(DATE($A$2,$A$3+$A$1-1,N5),HolidayList[Date],1,0)))),TRUE,FALSE),FALSE)</f>
        <v>1</v>
      </c>
      <c r="O4" s="6" t="b">
        <f>IFERROR(IF(AND(VLOOKUP(O6,Database!$M$3:$N$9,2,0)="Yes",NOT(ISNUMBER(VLOOKUP(DATE($A$2,$A$3+$A$1-1,O5),HolidayList[Date],1,0)))),TRUE,FALSE),FALSE)</f>
        <v>1</v>
      </c>
      <c r="P4" s="6" t="b">
        <f>IFERROR(IF(AND(VLOOKUP(P6,Database!$M$3:$N$9,2,0)="Yes",NOT(ISNUMBER(VLOOKUP(DATE($A$2,$A$3+$A$1-1,P5),HolidayList[Date],1,0)))),TRUE,FALSE),FALSE)</f>
        <v>0</v>
      </c>
      <c r="Q4" s="6" t="b">
        <f>IFERROR(IF(AND(VLOOKUP(Q6,Database!$M$3:$N$9,2,0)="Yes",NOT(ISNUMBER(VLOOKUP(DATE($A$2,$A$3+$A$1-1,Q5),HolidayList[Date],1,0)))),TRUE,FALSE),FALSE)</f>
        <v>0</v>
      </c>
      <c r="R4" s="6" t="b">
        <f>IFERROR(IF(AND(VLOOKUP(R6,Database!$M$3:$N$9,2,0)="Yes",NOT(ISNUMBER(VLOOKUP(DATE($A$2,$A$3+$A$1-1,R5),HolidayList[Date],1,0)))),TRUE,FALSE),FALSE)</f>
        <v>1</v>
      </c>
      <c r="S4" s="6" t="b">
        <f>IFERROR(IF(AND(VLOOKUP(S6,Database!$M$3:$N$9,2,0)="Yes",NOT(ISNUMBER(VLOOKUP(DATE($A$2,$A$3+$A$1-1,S5),HolidayList[Date],1,0)))),TRUE,FALSE),FALSE)</f>
        <v>1</v>
      </c>
      <c r="T4" s="6" t="b">
        <f>IFERROR(IF(AND(VLOOKUP(T6,Database!$M$3:$N$9,2,0)="Yes",NOT(ISNUMBER(VLOOKUP(DATE($A$2,$A$3+$A$1-1,T5),HolidayList[Date],1,0)))),TRUE,FALSE),FALSE)</f>
        <v>1</v>
      </c>
      <c r="U4" s="6" t="b">
        <f>IFERROR(IF(AND(VLOOKUP(U6,Database!$M$3:$N$9,2,0)="Yes",NOT(ISNUMBER(VLOOKUP(DATE($A$2,$A$3+$A$1-1,U5),HolidayList[Date],1,0)))),TRUE,FALSE),FALSE)</f>
        <v>1</v>
      </c>
      <c r="V4" s="6" t="b">
        <f>IFERROR(IF(AND(VLOOKUP(V6,Database!$M$3:$N$9,2,0)="Yes",NOT(ISNUMBER(VLOOKUP(DATE($A$2,$A$3+$A$1-1,V5),HolidayList[Date],1,0)))),TRUE,FALSE),FALSE)</f>
        <v>1</v>
      </c>
      <c r="W4" s="6" t="b">
        <f>IFERROR(IF(AND(VLOOKUP(W6,Database!$M$3:$N$9,2,0)="Yes",NOT(ISNUMBER(VLOOKUP(DATE($A$2,$A$3+$A$1-1,W5),HolidayList[Date],1,0)))),TRUE,FALSE),FALSE)</f>
        <v>0</v>
      </c>
      <c r="X4" s="6" t="b">
        <f>IFERROR(IF(AND(VLOOKUP(X6,Database!$M$3:$N$9,2,0)="Yes",NOT(ISNUMBER(VLOOKUP(DATE($A$2,$A$3+$A$1-1,X5),HolidayList[Date],1,0)))),TRUE,FALSE),FALSE)</f>
        <v>0</v>
      </c>
      <c r="Y4" s="6" t="b">
        <f>IFERROR(IF(AND(VLOOKUP(Y6,Database!$M$3:$N$9,2,0)="Yes",NOT(ISNUMBER(VLOOKUP(DATE($A$2,$A$3+$A$1-1,Y5),HolidayList[Date],1,0)))),TRUE,FALSE),FALSE)</f>
        <v>1</v>
      </c>
      <c r="Z4" s="6" t="b">
        <f>IFERROR(IF(AND(VLOOKUP(Z6,Database!$M$3:$N$9,2,0)="Yes",NOT(ISNUMBER(VLOOKUP(DATE($A$2,$A$3+$A$1-1,Z5),HolidayList[Date],1,0)))),TRUE,FALSE),FALSE)</f>
        <v>0</v>
      </c>
      <c r="AA4" s="6" t="b">
        <f>IFERROR(IF(AND(VLOOKUP(AA6,Database!$M$3:$N$9,2,0)="Yes",NOT(ISNUMBER(VLOOKUP(DATE($A$2,$A$3+$A$1-1,AA5),HolidayList[Date],1,0)))),TRUE,FALSE),FALSE)</f>
        <v>1</v>
      </c>
      <c r="AB4" s="6" t="b">
        <f>IFERROR(IF(AND(VLOOKUP(AB6,Database!$M$3:$N$9,2,0)="Yes",NOT(ISNUMBER(VLOOKUP(DATE($A$2,$A$3+$A$1-1,AB5),HolidayList[Date],1,0)))),TRUE,FALSE),FALSE)</f>
        <v>1</v>
      </c>
      <c r="AC4" s="6" t="b">
        <f>IFERROR(IF(AND(VLOOKUP(AC6,Database!$M$3:$N$9,2,0)="Yes",NOT(ISNUMBER(VLOOKUP(DATE($A$2,$A$3+$A$1-1,AC5),HolidayList[Date],1,0)))),TRUE,FALSE),FALSE)</f>
        <v>1</v>
      </c>
      <c r="AD4" s="6" t="b">
        <f>IFERROR(IF(AND(VLOOKUP(AD6,Database!$M$3:$N$9,2,0)="Yes",NOT(ISNUMBER(VLOOKUP(DATE($A$2,$A$3+$A$1-1,AD5),HolidayList[Date],1,0)))),TRUE,FALSE),FALSE)</f>
        <v>0</v>
      </c>
      <c r="AE4" s="6" t="b">
        <f>IFERROR(IF(AND(VLOOKUP(AE6,Database!$M$3:$N$9,2,0)="Yes",NOT(ISNUMBER(VLOOKUP(DATE($A$2,$A$3+$A$1-1,AE5),HolidayList[Date],1,0)))),TRUE,FALSE),FALSE)</f>
        <v>0</v>
      </c>
      <c r="AF4" s="6" t="b">
        <f>IFERROR(IF(AND(VLOOKUP(AF6,Database!$M$3:$N$9,2,0)="Yes",NOT(ISNUMBER(VLOOKUP(DATE($A$2,$A$3+$A$1-1,AF5),HolidayList[Date],1,0)))),TRUE,FALSE),FALSE)</f>
        <v>1</v>
      </c>
      <c r="AG4" s="6" t="b">
        <f>IFERROR(IF(AND(VLOOKUP(AG6,Database!$M$3:$N$9,2,0)="Yes",NOT(ISNUMBER(VLOOKUP(DATE($A$2,$A$3+$A$1-1,AG5),HolidayList[Date],1,0)))),TRUE,FALSE),FALSE)</f>
        <v>0</v>
      </c>
      <c r="AH4" s="6" t="b">
        <f>IFERROR(IF(AND(VLOOKUP(AH6,Database!$M$3:$N$9,2,0)="Yes",NOT(ISNUMBER(VLOOKUP(DATE($A$2,$A$3+$A$1-1,AH5),HolidayList[Date],1,0)))),TRUE,FALSE),FALSE)</f>
        <v>0</v>
      </c>
      <c r="AI4" s="6" t="b">
        <f>IFERROR(IF(AND(VLOOKUP(AI6,Database!$M$3:$N$9,2,0)="Yes",NOT(ISNUMBER(VLOOKUP(DATE($A$2,$A$3+$A$1-1,AI5),HolidayList[Date],1,0)))),TRUE,FALSE),FALSE)</f>
        <v>0</v>
      </c>
      <c r="AJ4" s="6" t="b">
        <f>IFERROR(IF(AND(VLOOKUP(AJ6,Database!$M$3:$N$9,2,0)="Yes",NOT(ISNUMBER(VLOOKUP(DATE($A$2,$A$3+$A$1-1,AJ5),HolidayList[Date],1,0)))),TRUE,FALSE),FALSE)</f>
        <v>0</v>
      </c>
      <c r="AK4" s="6" t="b">
        <f>IFERROR(IF(AND(VLOOKUP(AK6,Database!$M$3:$N$9,2,0)="Yes",NOT(ISNUMBER(VLOOKUP(DATE($A$2,$A$3+$A$1-1,AK5),HolidayList[Date],1,0)))),TRUE,FALSE),FALSE)</f>
        <v>0</v>
      </c>
      <c r="AL4" s="6" t="b">
        <f>IFERROR(IF(AND(VLOOKUP(AL6,Database!$M$3:$N$9,2,0)="Yes",NOT(ISNUMBER(VLOOKUP(DATE($A$2,$A$3+$A$1-1,AL5),HolidayList[Date],1,0)))),TRUE,FALSE),FALSE)</f>
        <v>0</v>
      </c>
      <c r="AM4" s="6" t="b">
        <f>IFERROR(IF(AND(VLOOKUP(AM6,Database!$M$3:$N$9,2,0)="Yes",NOT(ISNUMBER(VLOOKUP(DATE($A$2,$A$3+$A$1-1,AM5),HolidayList[Date],1,0)))),TRUE,FALSE),FALSE)</f>
        <v>0</v>
      </c>
      <c r="AN4" s="6" t="b">
        <f>IFERROR(IF(AND(VLOOKUP(AN6,Database!$M$3:$N$9,2,0)="Yes",NOT(ISNUMBER(VLOOKUP(DATE($A$2,$A$3+$A$1-1,AN5),HolidayList[Date],1,0)))),TRUE,FALSE),FALSE)</f>
        <v>0</v>
      </c>
      <c r="AO4" s="6" t="b">
        <f>IFERROR(IF(AND(VLOOKUP(AO6,Database!$M$3:$N$9,2,0)="Yes",NOT(ISNUMBER(VLOOKUP(DATE($A$2,$A$3+$A$1-1,AO5),HolidayList[Date],1,0)))),TRUE,FALSE),FALSE)</f>
        <v>0</v>
      </c>
      <c r="AP4" s="6" t="b">
        <f>IFERROR(IF(AND(VLOOKUP(AP6,Database!$M$3:$N$9,2,0)="Yes",NOT(ISNUMBER(VLOOKUP(DATE($A$2,$A$3+$A$1-1,AP5),HolidayList[Date],1,0)))),TRUE,FALSE),FALSE)</f>
        <v>0</v>
      </c>
      <c r="AQ4" s="6" t="b">
        <f>IFERROR(IF(AND(VLOOKUP(AQ6,Database!$M$3:$N$9,2,0)="Yes",NOT(ISNUMBER(VLOOKUP(DATE($A$2,$A$3+$A$1-1,AQ5),HolidayList[Date],1,0)))),TRUE,FALSE),FALSE)</f>
        <v>0</v>
      </c>
      <c r="AR4" s="6" t="b">
        <f>IFERROR(IF(AND(VLOOKUP(AR6,Database!$M$3:$N$9,2,0)="Yes",NOT(ISNUMBER(VLOOKUP(DATE($A$2,$A$3+$A$1-1,AR5),HolidayList[Date],1,0)))),TRUE,FALSE),FALSE)</f>
        <v>0</v>
      </c>
      <c r="AS4" s="6" t="b">
        <f>IFERROR(IF(AND(VLOOKUP(AS6,Database!$M$3:$N$9,2,0)="Yes",NOT(ISNUMBER(VLOOKUP(DATE($A$2,$A$3+$A$1-1,AS5),HolidayList[Date],1,0)))),TRUE,FALSE),FALSE)</f>
        <v>0</v>
      </c>
      <c r="AT4" s="6" t="b">
        <f>IFERROR(IF(AND(VLOOKUP(AT6,Database!$M$3:$N$9,2,0)="Yes",NOT(ISNUMBER(VLOOKUP(DATE($A$2,$A$3+$A$1-1,AT5),HolidayList[Date],1,0)))),TRUE,FALSE),FALSE)</f>
        <v>0</v>
      </c>
      <c r="AU4" s="6" t="b">
        <f>IFERROR(IF(AND(VLOOKUP(AU6,Database!$M$3:$N$9,2,0)="Yes",NOT(ISNUMBER(VLOOKUP(DATE($A$2,$A$3+$A$1-1,AU5),HolidayList[Date],1,0)))),TRUE,FALSE),FALSE)</f>
        <v>0</v>
      </c>
      <c r="AV4" s="6" t="b">
        <f>IFERROR(IF(AND(VLOOKUP(AV6,Database!$M$3:$N$9,2,0)="Yes",NOT(ISNUMBER(VLOOKUP(DATE($A$2,$A$3+$A$1-1,AV5),HolidayList[Date],1,0)))),TRUE,FALSE),FALSE)</f>
        <v>0</v>
      </c>
      <c r="AW4" s="6" t="b">
        <f>IFERROR(IF(AND(VLOOKUP(AW6,Database!$M$3:$N$9,2,0)="Yes",NOT(ISNUMBER(VLOOKUP(DATE($A$2,$A$3+$A$1-1,AW5),HolidayList[Date],1,0)))),TRUE,FALSE),FALSE)</f>
        <v>0</v>
      </c>
      <c r="AX4" s="6" t="b">
        <f>IFERROR(IF(AND(VLOOKUP(AX6,Database!$M$3:$N$9,2,0)="Yes",NOT(ISNUMBER(VLOOKUP(DATE($A$2,$A$3+$A$1-1,AX5),HolidayList[Date],1,0)))),TRUE,FALSE),FALSE)</f>
        <v>0</v>
      </c>
      <c r="AY4" s="6" t="b">
        <f>IFERROR(IF(AND(VLOOKUP(AY6,Database!$M$3:$N$9,2,0)="Yes",NOT(ISNUMBER(VLOOKUP(DATE($A$2,$A$3+$A$1-1,AY5),HolidayList[Date],1,0)))),TRUE,FALSE),FALSE)</f>
        <v>0</v>
      </c>
      <c r="AZ4" s="6" t="b">
        <f>IFERROR(IF(AND(VLOOKUP(AZ6,Database!$M$3:$N$9,2,0)="Yes",NOT(ISNUMBER(VLOOKUP(DATE($A$2,$A$3+$A$1-1,AZ5),HolidayList[Date],1,0)))),TRUE,FALSE),FALSE)</f>
        <v>0</v>
      </c>
      <c r="BA4" s="6" t="b">
        <f>IFERROR(IF(AND(VLOOKUP(BA6,Database!$M$3:$N$9,2,0)="Yes",NOT(ISNUMBER(VLOOKUP(DATE($A$2,$A$3+$A$1-1,BA5),HolidayList[Date],1,0)))),TRUE,FALSE),FALSE)</f>
        <v>0</v>
      </c>
      <c r="BB4" s="6" t="b">
        <f>IFERROR(IF(AND(VLOOKUP(BB6,Database!$M$3:$N$9,2,0)="Yes",NOT(ISNUMBER(VLOOKUP(DATE($A$2,$A$3+$A$1-1,BB5),HolidayList[Date],1,0)))),TRUE,FALSE),FALSE)</f>
        <v>0</v>
      </c>
      <c r="BC4" s="6" t="b">
        <f>IFERROR(IF(AND(VLOOKUP(BC6,Database!$M$3:$N$9,2,0)="Yes",NOT(ISNUMBER(VLOOKUP(DATE($A$2,$A$3+$A$1-1,BC5),HolidayList[Date],1,0)))),TRUE,FALSE),FALSE)</f>
        <v>0</v>
      </c>
      <c r="BD4" s="6" t="b">
        <f>IFERROR(IF(AND(VLOOKUP(BD6,Database!$M$3:$N$9,2,0)="Yes",NOT(ISNUMBER(VLOOKUP(DATE($A$2,$A$3+$A$1-1,BD5),HolidayList[Date],1,0)))),TRUE,FALSE),FALSE)</f>
        <v>0</v>
      </c>
      <c r="BE4" s="6" t="b">
        <f>IFERROR(IF(AND(VLOOKUP(BE6,Database!$M$3:$N$9,2,0)="Yes",NOT(ISNUMBER(VLOOKUP(DATE($A$2,$A$3+$A$1-1,BE5),HolidayList[Date],1,0)))),TRUE,FALSE),FALSE)</f>
        <v>0</v>
      </c>
      <c r="BF4" s="6" t="b">
        <f>IFERROR(IF(AND(VLOOKUP(BF6,Database!$M$3:$N$9,2,0)="Yes",NOT(ISNUMBER(VLOOKUP(DATE($A$2,$A$3+$A$1-1,BF5),HolidayList[Date],1,0)))),TRUE,FALSE),FALSE)</f>
        <v>0</v>
      </c>
      <c r="BG4" s="6" t="b">
        <f>IFERROR(IF(AND(VLOOKUP(BG6,Database!$M$3:$N$9,2,0)="Yes",NOT(ISNUMBER(VLOOKUP(DATE($A$2,$A$3+$A$1-1,BG5),HolidayList[Date],1,0)))),TRUE,FALSE),FALSE)</f>
        <v>0</v>
      </c>
      <c r="BH4" s="6" t="b">
        <f>IFERROR(IF(AND(VLOOKUP(BH6,Database!$M$3:$N$9,2,0)="Yes",NOT(ISNUMBER(VLOOKUP(DATE($A$2,$A$3+$A$1-1,BH5),HolidayList[Date],1,0)))),TRUE,FALSE),FALSE)</f>
        <v>0</v>
      </c>
      <c r="BI4" s="6" t="b">
        <f>IFERROR(IF(AND(VLOOKUP(BI6,Database!$M$3:$N$9,2,0)="Yes",NOT(ISNUMBER(VLOOKUP(DATE($A$2,$A$3+$A$1-1,BI5),HolidayList[Date],1,0)))),TRUE,FALSE),FALSE)</f>
        <v>0</v>
      </c>
      <c r="BJ4" s="6" t="b">
        <f>IFERROR(IF(AND(VLOOKUP(BJ6,Database!$M$3:$N$9,2,0)="Yes",NOT(ISNUMBER(VLOOKUP(DATE($A$2,$A$3+$A$1-1,BJ5),HolidayList[Date],1,0)))),TRUE,FALSE),FALSE)</f>
        <v>0</v>
      </c>
      <c r="BK4" s="6" t="b">
        <f>IFERROR(IF(AND(VLOOKUP(BK6,Database!$M$3:$N$9,2,0)="Yes",NOT(ISNUMBER(VLOOKUP(DATE($A$2,$A$3+$A$1-1,BK5),HolidayList[Date],1,0)))),TRUE,FALSE),FALSE)</f>
        <v>0</v>
      </c>
      <c r="BL4" s="6" t="b">
        <f>IFERROR(IF(AND(VLOOKUP(BL6,Database!$M$3:$N$9,2,0)="Yes",NOT(ISNUMBER(VLOOKUP(DATE($A$2,$A$3+$A$1-1,BL5),HolidayList[Date],1,0)))),TRUE,FALSE),FALSE)</f>
        <v>0</v>
      </c>
      <c r="BM4" s="6" t="b">
        <f>IFERROR(IF(AND(VLOOKUP(BM6,Database!$M$3:$N$9,2,0)="Yes",NOT(ISNUMBER(VLOOKUP(DATE($A$2,$A$3+$A$1-1,BM5),HolidayList[Date],1,0)))),TRUE,FALSE),FALSE)</f>
        <v>0</v>
      </c>
      <c r="BN4" s="6" t="b">
        <f>IFERROR(IF(AND(VLOOKUP(BN6,Database!$M$3:$N$9,2,0)="Yes",NOT(ISNUMBER(VLOOKUP(DATE($A$2,$A$3+$A$1-1,BN5),HolidayList[Date],1,0)))),TRUE,FALSE),FALSE)</f>
        <v>0</v>
      </c>
      <c r="BO4" s="6" t="b">
        <f>IFERROR(IF(AND(VLOOKUP(BO6,Database!$M$3:$N$9,2,0)="Yes",NOT(ISNUMBER(VLOOKUP(DATE($A$2,$A$3+$A$1-1,BO5),HolidayList[Date],1,0)))),TRUE,FALSE),FALSE)</f>
        <v>0</v>
      </c>
      <c r="BP4" s="6" t="b">
        <f>IFERROR(IF(AND(VLOOKUP(BP6,Database!$M$3:$N$9,2,0)="Yes",NOT(ISNUMBER(VLOOKUP(DATE($A$2,$A$3+$A$1-1,BP5),HolidayList[Date],1,0)))),TRUE,FALSE),FALSE)</f>
        <v>0</v>
      </c>
      <c r="BQ4" s="6" t="b">
        <f>IFERROR(IF(AND(VLOOKUP(BQ6,Database!$M$3:$N$9,2,0)="Yes",NOT(ISNUMBER(VLOOKUP(DATE($A$2,$A$3+$A$1-1,BQ5),HolidayList[Date],1,0)))),TRUE,FALSE),FALSE)</f>
        <v>0</v>
      </c>
      <c r="BR4" s="6" t="b">
        <f>IFERROR(IF(AND(VLOOKUP(BR6,Database!$M$3:$N$9,2,0)="Yes",NOT(ISNUMBER(VLOOKUP(DATE($A$2,$A$3+$A$1-1,BR5),HolidayList[Date],1,0)))),TRUE,FALSE),FALSE)</f>
        <v>0</v>
      </c>
      <c r="BS4" s="6" t="b">
        <f>IFERROR(IF(AND(VLOOKUP(BS6,Database!$M$3:$N$9,2,0)="Yes",NOT(ISNUMBER(VLOOKUP(DATE($A$2,$A$3+$A$1-1,BS5),HolidayList[Date],1,0)))),TRUE,FALSE),FALSE)</f>
        <v>0</v>
      </c>
      <c r="BT4" s="6" t="b">
        <f>IFERROR(IF(AND(VLOOKUP(BT6,Database!$M$3:$N$9,2,0)="Yes",NOT(ISNUMBER(VLOOKUP(DATE($A$2,$A$3+$A$1-1,BT5),HolidayList[Date],1,0)))),TRUE,FALSE),FALSE)</f>
        <v>0</v>
      </c>
      <c r="BU4" s="6" t="b">
        <f>IFERROR(IF(AND(VLOOKUP(BU6,Database!$M$3:$N$9,2,0)="Yes",NOT(ISNUMBER(VLOOKUP(DATE($A$2,$A$3+$A$1-1,BU5),HolidayList[Date],1,0)))),TRUE,FALSE),FALSE)</f>
        <v>0</v>
      </c>
      <c r="BV4" s="6" t="b">
        <f>IFERROR(IF(AND(VLOOKUP(BV6,Database!$M$3:$N$9,2,0)="Yes",NOT(ISNUMBER(VLOOKUP(DATE($A$2,$A$3+$A$1-1,BV5),HolidayList[Date],1,0)))),TRUE,FALSE),FALSE)</f>
        <v>0</v>
      </c>
      <c r="BW4" s="6" t="b">
        <f>IFERROR(IF(AND(VLOOKUP(BW6,Database!$M$3:$N$9,2,0)="Yes",NOT(ISNUMBER(VLOOKUP(DATE($A$2,$A$3+$A$1-1,BW5),HolidayList[Date],1,0)))),TRUE,FALSE),FALSE)</f>
        <v>0</v>
      </c>
      <c r="BX4" s="6" t="b">
        <f>IFERROR(IF(AND(VLOOKUP(BX6,Database!$M$3:$N$9,2,0)="Yes",NOT(ISNUMBER(VLOOKUP(DATE($A$2,$A$3+$A$1-1,BX5),HolidayList[Date],1,0)))),TRUE,FALSE),FALSE)</f>
        <v>0</v>
      </c>
      <c r="BY4" s="6" t="b">
        <f>IFERROR(IF(AND(VLOOKUP(BY6,Database!$M$3:$N$9,2,0)="Yes",NOT(ISNUMBER(VLOOKUP(DATE($A$2,$A$3+$A$1-1,BY5),HolidayList[Date],1,0)))),TRUE,FALSE),FALSE)</f>
        <v>0</v>
      </c>
      <c r="BZ4" s="6" t="b">
        <f>IFERROR(IF(AND(VLOOKUP(BZ6,Database!$M$3:$N$9,2,0)="Yes",NOT(ISNUMBER(VLOOKUP(DATE($A$2,$A$3+$A$1-1,BZ5),HolidayList[Date],1,0)))),TRUE,FALSE),FALSE)</f>
        <v>0</v>
      </c>
      <c r="CA4" s="6" t="b">
        <f>IFERROR(IF(AND(VLOOKUP(CA6,Database!$M$3:$N$9,2,0)="Yes",NOT(ISNUMBER(VLOOKUP(DATE($A$2,$A$3+$A$1-1,CA5),HolidayList[Date],1,0)))),TRUE,FALSE),FALSE)</f>
        <v>0</v>
      </c>
      <c r="CB4" s="6" t="b">
        <f>IFERROR(IF(AND(VLOOKUP(CB6,Database!$M$3:$N$9,2,0)="Yes",NOT(ISNUMBER(VLOOKUP(DATE($A$2,$A$3+$A$1-1,CB5),HolidayList[Date],1,0)))),TRUE,FALSE),FALSE)</f>
        <v>0</v>
      </c>
      <c r="CC4" s="6" t="b">
        <f>IFERROR(IF(AND(VLOOKUP(CC6,Database!$M$3:$N$9,2,0)="Yes",NOT(ISNUMBER(VLOOKUP(DATE($A$2,$A$3+$A$1-1,CC5),HolidayList[Date],1,0)))),TRUE,FALSE),FALSE)</f>
        <v>0</v>
      </c>
      <c r="CD4" s="6" t="b">
        <f>IFERROR(IF(AND(VLOOKUP(CD6,Database!$M$3:$N$9,2,0)="Yes",NOT(ISNUMBER(VLOOKUP(DATE($A$2,$A$3+$A$1-1,CD5),HolidayList[Date],1,0)))),TRUE,FALSE),FALSE)</f>
        <v>0</v>
      </c>
      <c r="CE4" s="6" t="b">
        <f>IFERROR(IF(AND(VLOOKUP(CE6,Database!$M$3:$N$9,2,0)="Yes",NOT(ISNUMBER(VLOOKUP(DATE($A$2,$A$3+$A$1-1,CE5),HolidayList[Date],1,0)))),TRUE,FALSE),FALSE)</f>
        <v>0</v>
      </c>
      <c r="CF4" s="6" t="b">
        <f>IFERROR(IF(AND(VLOOKUP(CF6,Database!$M$3:$N$9,2,0)="Yes",NOT(ISNUMBER(VLOOKUP(DATE($A$2,$A$3+$A$1-1,CF5),HolidayList[Date],1,0)))),TRUE,FALSE),FALSE)</f>
        <v>0</v>
      </c>
      <c r="CG4" s="6" t="b">
        <f>IFERROR(IF(AND(VLOOKUP(CG6,Database!$M$3:$N$9,2,0)="Yes",NOT(ISNUMBER(VLOOKUP(DATE($A$2,$A$3+$A$1-1,CG5),HolidayList[Date],1,0)))),TRUE,FALSE),FALSE)</f>
        <v>0</v>
      </c>
      <c r="CH4" s="6" t="b">
        <f>IFERROR(IF(AND(VLOOKUP(CH6,Database!$M$3:$N$9,2,0)="Yes",NOT(ISNUMBER(VLOOKUP(DATE($A$2,$A$3+$A$1-1,CH5),HolidayList[Date],1,0)))),TRUE,FALSE),FALSE)</f>
        <v>0</v>
      </c>
      <c r="CI4" s="6" t="b">
        <f>IFERROR(IF(AND(VLOOKUP(CI6,Database!$M$3:$N$9,2,0)="Yes",NOT(ISNUMBER(VLOOKUP(DATE($A$2,$A$3+$A$1-1,CI5),HolidayList[Date],1,0)))),TRUE,FALSE),FALSE)</f>
        <v>0</v>
      </c>
      <c r="CJ4" s="6" t="b">
        <f>IFERROR(IF(AND(VLOOKUP(CJ6,Database!$M$3:$N$9,2,0)="Yes",NOT(ISNUMBER(VLOOKUP(DATE($A$2,$A$3+$A$1-1,CJ5),HolidayList[Date],1,0)))),TRUE,FALSE),FALSE)</f>
        <v>0</v>
      </c>
      <c r="CK4" s="6" t="b">
        <f>IFERROR(IF(AND(VLOOKUP(CK6,Database!$M$3:$N$9,2,0)="Yes",NOT(ISNUMBER(VLOOKUP(DATE($A$2,$A$3+$A$1-1,CK5),HolidayList[Date],1,0)))),TRUE,FALSE),FALSE)</f>
        <v>0</v>
      </c>
      <c r="CL4" s="6" t="b">
        <f>IFERROR(IF(AND(VLOOKUP(CL6,Database!$M$3:$N$9,2,0)="Yes",NOT(ISNUMBER(VLOOKUP(DATE($A$2,$A$3+$A$1-1,CL5),HolidayList[Date],1,0)))),TRUE,FALSE),FALSE)</f>
        <v>0</v>
      </c>
      <c r="CM4" s="6" t="b">
        <f>IFERROR(IF(AND(VLOOKUP(CM6,Database!$M$3:$N$9,2,0)="Yes",NOT(ISNUMBER(VLOOKUP(DATE($A$2,$A$3+$A$1-1,CM5),HolidayList[Date],1,0)))),TRUE,FALSE),FALSE)</f>
        <v>0</v>
      </c>
      <c r="CN4" s="6" t="b">
        <f>IFERROR(IF(AND(VLOOKUP(CN6,Database!$M$3:$N$9,2,0)="Yes",NOT(ISNUMBER(VLOOKUP(DATE($A$2,$A$3+$A$1-1,CN5),HolidayList[Date],1,0)))),TRUE,FALSE),FALSE)</f>
        <v>0</v>
      </c>
      <c r="CO4" s="6" t="b">
        <f>IFERROR(IF(AND(VLOOKUP(CO6,Database!$M$3:$N$9,2,0)="Yes",NOT(ISNUMBER(VLOOKUP(DATE($A$2,$A$3+$A$1-1,CO5),HolidayList[Date],1,0)))),TRUE,FALSE),FALSE)</f>
        <v>0</v>
      </c>
      <c r="CP4" s="6" t="b">
        <f>IFERROR(IF(AND(VLOOKUP(CP6,Database!$M$3:$N$9,2,0)="Yes",NOT(ISNUMBER(VLOOKUP(DATE($A$2,$A$3+$A$1-1,CP5),HolidayList[Date],1,0)))),TRUE,FALSE),FALSE)</f>
        <v>0</v>
      </c>
      <c r="CQ4" s="6" t="b">
        <f>IFERROR(IF(AND(VLOOKUP(CQ6,Database!$M$3:$N$9,2,0)="Yes",NOT(ISNUMBER(VLOOKUP(DATE($A$2,$A$3+$A$1-1,CQ5),HolidayList[Date],1,0)))),TRUE,FALSE),FALSE)</f>
        <v>0</v>
      </c>
      <c r="CR4" s="6" t="b">
        <f>IFERROR(IF(AND(VLOOKUP(CR6,Database!$M$3:$N$9,2,0)="Yes",NOT(ISNUMBER(VLOOKUP(DATE($A$2,$A$3+$A$1-1,CR5),HolidayList[Date],1,0)))),TRUE,FALSE),FALSE)</f>
        <v>0</v>
      </c>
      <c r="CS4" s="6" t="b">
        <f>IFERROR(IF(AND(VLOOKUP(CS6,Database!$M$3:$N$9,2,0)="Yes",NOT(ISNUMBER(VLOOKUP(DATE($A$2,$A$3+$A$1-1,CS5),HolidayList[Date],1,0)))),TRUE,FALSE),FALSE)</f>
        <v>0</v>
      </c>
      <c r="CT4" s="6" t="b">
        <f>IFERROR(IF(AND(VLOOKUP(CT6,Database!$M$3:$N$9,2,0)="Yes",NOT(ISNUMBER(VLOOKUP(DATE($A$2,$A$3+$A$1-1,CT5),HolidayList[Date],1,0)))),TRUE,FALSE),FALSE)</f>
        <v>0</v>
      </c>
      <c r="CU4" s="6" t="b">
        <f>IFERROR(IF(AND(VLOOKUP(CU6,Database!$M$3:$N$9,2,0)="Yes",NOT(ISNUMBER(VLOOKUP(DATE($A$2,$A$3+$A$1-1,CU5),HolidayList[Date],1,0)))),TRUE,FALSE),FALSE)</f>
        <v>0</v>
      </c>
      <c r="CV4" s="6" t="b">
        <f>IFERROR(IF(AND(VLOOKUP(CV6,Database!$M$3:$N$9,2,0)="Yes",NOT(ISNUMBER(VLOOKUP(DATE($A$2,$A$3+$A$1-1,CV5),HolidayList[Date],1,0)))),TRUE,FALSE),FALSE)</f>
        <v>0</v>
      </c>
      <c r="CW4" s="6" t="b">
        <f>IFERROR(IF(AND(VLOOKUP(CW6,Database!$M$3:$N$9,2,0)="Yes",NOT(ISNUMBER(VLOOKUP(DATE($A$2,$A$3+$A$1-1,CW5),HolidayList[Date],1,0)))),TRUE,FALSE),FALSE)</f>
        <v>0</v>
      </c>
      <c r="CX4" s="6" t="b">
        <f>IFERROR(IF(AND(VLOOKUP(CX6,Database!$M$3:$N$9,2,0)="Yes",NOT(ISNUMBER(VLOOKUP(DATE($A$2,$A$3+$A$1-1,CX5),HolidayList[Date],1,0)))),TRUE,FALSE),FALSE)</f>
        <v>0</v>
      </c>
      <c r="CY4" s="6" t="b">
        <f>IFERROR(IF(AND(VLOOKUP(CY6,Database!$M$3:$N$9,2,0)="Yes",NOT(ISNUMBER(VLOOKUP(DATE($A$2,$A$3+$A$1-1,CY5),HolidayList[Date],1,0)))),TRUE,FALSE),FALSE)</f>
        <v>0</v>
      </c>
      <c r="CZ4" s="6" t="b">
        <f>IFERROR(IF(AND(VLOOKUP(CZ6,Database!$M$3:$N$9,2,0)="Yes",NOT(ISNUMBER(VLOOKUP(DATE($A$2,$A$3+$A$1-1,CZ5),HolidayList[Date],1,0)))),TRUE,FALSE),FALSE)</f>
        <v>0</v>
      </c>
      <c r="DA4" s="6" t="b">
        <f>IFERROR(IF(AND(VLOOKUP(DA6,Database!$M$3:$N$9,2,0)="Yes",NOT(ISNUMBER(VLOOKUP(DATE($A$2,$A$3+$A$1-1,DA5),HolidayList[Date],1,0)))),TRUE,FALSE),FALSE)</f>
        <v>0</v>
      </c>
      <c r="DB4" s="6" t="b">
        <f>IFERROR(IF(AND(VLOOKUP(DB6,Database!$M$3:$N$9,2,0)="Yes",NOT(ISNUMBER(VLOOKUP(DATE($A$2,$A$3+$A$1-1,DB5),HolidayList[Date],1,0)))),TRUE,FALSE),FALSE)</f>
        <v>0</v>
      </c>
      <c r="DC4" s="6" t="b">
        <f>IFERROR(IF(AND(VLOOKUP(DC6,Database!$M$3:$N$9,2,0)="Yes",NOT(ISNUMBER(VLOOKUP(DATE($A$2,$A$3+$A$1-1,DC5),HolidayList[Date],1,0)))),TRUE,FALSE),FALSE)</f>
        <v>0</v>
      </c>
      <c r="DD4" s="6" t="b">
        <f>IFERROR(IF(AND(VLOOKUP(DD6,Database!$M$3:$N$9,2,0)="Yes",NOT(ISNUMBER(VLOOKUP(DATE($A$2,$A$3+$A$1-1,DD5),HolidayList[Date],1,0)))),TRUE,FALSE),FALSE)</f>
        <v>0</v>
      </c>
      <c r="DE4" s="6" t="b">
        <f>IFERROR(IF(AND(VLOOKUP(DE6,Database!$M$3:$N$9,2,0)="Yes",NOT(ISNUMBER(VLOOKUP(DATE($A$2,$A$3+$A$1-1,DE5),HolidayList[Date],1,0)))),TRUE,FALSE),FALSE)</f>
        <v>0</v>
      </c>
      <c r="DF4" s="6" t="b">
        <f>IFERROR(IF(AND(VLOOKUP(DF6,Database!$M$3:$N$9,2,0)="Yes",NOT(ISNUMBER(VLOOKUP(DATE($A$2,$A$3+$A$1-1,DF5),HolidayList[Date],1,0)))),TRUE,FALSE),FALSE)</f>
        <v>0</v>
      </c>
      <c r="DG4" s="6" t="b">
        <f>IFERROR(IF(AND(VLOOKUP(DG6,Database!$M$3:$N$9,2,0)="Yes",NOT(ISNUMBER(VLOOKUP(DATE($A$2,$A$3+$A$1-1,DG5),HolidayList[Date],1,0)))),TRUE,FALSE),FALSE)</f>
        <v>0</v>
      </c>
      <c r="DH4" s="6" t="b">
        <f>IFERROR(IF(AND(VLOOKUP(DH6,Database!$M$3:$N$9,2,0)="Yes",NOT(ISNUMBER(VLOOKUP(DATE($A$2,$A$3+$A$1-1,DH5),HolidayList[Date],1,0)))),TRUE,FALSE),FALSE)</f>
        <v>0</v>
      </c>
      <c r="DI4" s="6" t="b">
        <f>IFERROR(IF(AND(VLOOKUP(DI6,Database!$M$3:$N$9,2,0)="Yes",NOT(ISNUMBER(VLOOKUP(DATE($A$2,$A$3+$A$1-1,DI5),HolidayList[Date],1,0)))),TRUE,FALSE),FALSE)</f>
        <v>0</v>
      </c>
      <c r="DJ4" s="6" t="b">
        <f>IFERROR(IF(AND(VLOOKUP(DJ6,Database!$M$3:$N$9,2,0)="Yes",NOT(ISNUMBER(VLOOKUP(DATE($A$2,$A$3+$A$1-1,DJ5),HolidayList[Date],1,0)))),TRUE,FALSE),FALSE)</f>
        <v>0</v>
      </c>
      <c r="DK4" s="6" t="b">
        <f>IFERROR(IF(AND(VLOOKUP(DK6,Database!$M$3:$N$9,2,0)="Yes",NOT(ISNUMBER(VLOOKUP(DATE($A$2,$A$3+$A$1-1,DK5),HolidayList[Date],1,0)))),TRUE,FALSE),FALSE)</f>
        <v>0</v>
      </c>
      <c r="DL4" s="6" t="b">
        <f>IFERROR(IF(AND(VLOOKUP(DL6,Database!$M$3:$N$9,2,0)="Yes",NOT(ISNUMBER(VLOOKUP(DATE($A$2,$A$3+$A$1-1,DL5),HolidayList[Date],1,0)))),TRUE,FALSE),FALSE)</f>
        <v>0</v>
      </c>
      <c r="DM4" s="6" t="b">
        <f>IFERROR(IF(AND(VLOOKUP(DM6,Database!$M$3:$N$9,2,0)="Yes",NOT(ISNUMBER(VLOOKUP(DATE($A$2,$A$3+$A$1-1,DM5),HolidayList[Date],1,0)))),TRUE,FALSE),FALSE)</f>
        <v>0</v>
      </c>
      <c r="DN4" s="6" t="b">
        <f>IFERROR(IF(AND(VLOOKUP(DN6,Database!$M$3:$N$9,2,0)="Yes",NOT(ISNUMBER(VLOOKUP(DATE($A$2,$A$3+$A$1-1,DN5),HolidayList[Date],1,0)))),TRUE,FALSE),FALSE)</f>
        <v>0</v>
      </c>
      <c r="DO4" s="6" t="b">
        <f>IFERROR(IF(AND(VLOOKUP(DO6,Database!$M$3:$N$9,2,0)="Yes",NOT(ISNUMBER(VLOOKUP(DATE($A$2,$A$3+$A$1-1,DO5),HolidayList[Date],1,0)))),TRUE,FALSE),FALSE)</f>
        <v>0</v>
      </c>
      <c r="DP4" s="6" t="b">
        <f>IFERROR(IF(AND(VLOOKUP(DP6,Database!$M$3:$N$9,2,0)="Yes",NOT(ISNUMBER(VLOOKUP(DATE($A$2,$A$3+$A$1-1,DP5),HolidayList[Date],1,0)))),TRUE,FALSE),FALSE)</f>
        <v>0</v>
      </c>
      <c r="DQ4" s="6" t="b">
        <f>IFERROR(IF(AND(VLOOKUP(DQ6,Database!$M$3:$N$9,2,0)="Yes",NOT(ISNUMBER(VLOOKUP(DATE($A$2,$A$3+$A$1-1,DQ5),HolidayList[Date],1,0)))),TRUE,FALSE),FALSE)</f>
        <v>0</v>
      </c>
      <c r="DR4" s="6" t="b">
        <f>IFERROR(IF(AND(VLOOKUP(DR6,Database!$M$3:$N$9,2,0)="Yes",NOT(ISNUMBER(VLOOKUP(DATE($A$2,$A$3+$A$1-1,DR5),HolidayList[Date],1,0)))),TRUE,FALSE),FALSE)</f>
        <v>0</v>
      </c>
      <c r="DS4" s="6" t="b">
        <f>IFERROR(IF(AND(VLOOKUP(DS6,Database!$M$3:$N$9,2,0)="Yes",NOT(ISNUMBER(VLOOKUP(DATE($A$2,$A$3+$A$1-1,DS5),HolidayList[Date],1,0)))),TRUE,FALSE),FALSE)</f>
        <v>0</v>
      </c>
      <c r="DT4" s="6" t="b">
        <f>IFERROR(IF(AND(VLOOKUP(DT6,Database!$M$3:$N$9,2,0)="Yes",NOT(ISNUMBER(VLOOKUP(DATE($A$2,$A$3+$A$1-1,DT5),HolidayList[Date],1,0)))),TRUE,FALSE),FALSE)</f>
        <v>0</v>
      </c>
      <c r="DU4" s="6" t="b">
        <f>IFERROR(IF(AND(VLOOKUP(DU6,Database!$M$3:$N$9,2,0)="Yes",NOT(ISNUMBER(VLOOKUP(DATE($A$2,$A$3+$A$1-1,DU5),HolidayList[Date],1,0)))),TRUE,FALSE),FALSE)</f>
        <v>0</v>
      </c>
      <c r="DV4" s="6" t="b">
        <f>IFERROR(IF(AND(VLOOKUP(DV6,Database!$M$3:$N$9,2,0)="Yes",NOT(ISNUMBER(VLOOKUP(DATE($A$2,$A$3+$A$1-1,DV5),HolidayList[Date],1,0)))),TRUE,FALSE),FALSE)</f>
        <v>0</v>
      </c>
      <c r="DW4" s="6" t="b">
        <f>IFERROR(IF(AND(VLOOKUP(DW6,Database!$M$3:$N$9,2,0)="Yes",NOT(ISNUMBER(VLOOKUP(DATE($A$2,$A$3+$A$1-1,DW5),HolidayList[Date],1,0)))),TRUE,FALSE),FALSE)</f>
        <v>0</v>
      </c>
      <c r="DX4" s="6" t="b">
        <f>IFERROR(IF(AND(VLOOKUP(DX6,Database!$M$3:$N$9,2,0)="Yes",NOT(ISNUMBER(VLOOKUP(DATE($A$2,$A$3+$A$1-1,DX5),HolidayList[Date],1,0)))),TRUE,FALSE),FALSE)</f>
        <v>0</v>
      </c>
      <c r="DY4" s="6" t="b">
        <f>IFERROR(IF(AND(VLOOKUP(DY6,Database!$M$3:$N$9,2,0)="Yes",NOT(ISNUMBER(VLOOKUP(DATE($A$2,$A$3+$A$1-1,DY5),HolidayList[Date],1,0)))),TRUE,FALSE),FALSE)</f>
        <v>0</v>
      </c>
      <c r="DZ4" s="6" t="b">
        <f>IFERROR(IF(AND(VLOOKUP(DZ6,Database!$M$3:$N$9,2,0)="Yes",NOT(ISNUMBER(VLOOKUP(DATE($A$2,$A$3+$A$1-1,DZ5),HolidayList[Date],1,0)))),TRUE,FALSE),FALSE)</f>
        <v>0</v>
      </c>
      <c r="EA4" s="6" t="b">
        <f>IFERROR(IF(AND(VLOOKUP(EA6,Database!$M$3:$N$9,2,0)="Yes",NOT(ISNUMBER(VLOOKUP(DATE($A$2,$A$3+$A$1-1,EA5),HolidayList[Date],1,0)))),TRUE,FALSE),FALSE)</f>
        <v>0</v>
      </c>
      <c r="EB4" s="6" t="b">
        <f>IFERROR(IF(AND(VLOOKUP(EB6,Database!$M$3:$N$9,2,0)="Yes",NOT(ISNUMBER(VLOOKUP(DATE($A$2,$A$3+$A$1-1,EB5),HolidayList[Date],1,0)))),TRUE,FALSE),FALSE)</f>
        <v>0</v>
      </c>
      <c r="EC4" s="6" t="b">
        <f>IFERROR(IF(AND(VLOOKUP(EC6,Database!$M$3:$N$9,2,0)="Yes",NOT(ISNUMBER(VLOOKUP(DATE($A$2,$A$3+$A$1-1,EC5),HolidayList[Date],1,0)))),TRUE,FALSE),FALSE)</f>
        <v>0</v>
      </c>
      <c r="ED4" s="6" t="b">
        <f>IFERROR(IF(AND(VLOOKUP(ED6,Database!$M$3:$N$9,2,0)="Yes",NOT(ISNUMBER(VLOOKUP(DATE($A$2,$A$3+$A$1-1,ED5),HolidayList[Date],1,0)))),TRUE,FALSE),FALSE)</f>
        <v>0</v>
      </c>
      <c r="EE4" s="6" t="b">
        <f>IFERROR(IF(AND(VLOOKUP(EE6,Database!$M$3:$N$9,2,0)="Yes",NOT(ISNUMBER(VLOOKUP(DATE($A$2,$A$3+$A$1-1,EE5),HolidayList[Date],1,0)))),TRUE,FALSE),FALSE)</f>
        <v>0</v>
      </c>
      <c r="EF4" s="6" t="b">
        <f>IFERROR(IF(AND(VLOOKUP(EF6,Database!$M$3:$N$9,2,0)="Yes",NOT(ISNUMBER(VLOOKUP(DATE($A$2,$A$3+$A$1-1,EF5),HolidayList[Date],1,0)))),TRUE,FALSE),FALSE)</f>
        <v>0</v>
      </c>
      <c r="EG4" s="6" t="b">
        <f>IFERROR(IF(AND(VLOOKUP(EG6,Database!$M$3:$N$9,2,0)="Yes",NOT(ISNUMBER(VLOOKUP(DATE($A$2,$A$3+$A$1-1,EG5),HolidayList[Date],1,0)))),TRUE,FALSE),FALSE)</f>
        <v>0</v>
      </c>
      <c r="EH4" s="6" t="b">
        <f>IFERROR(IF(AND(VLOOKUP(EH6,Database!$M$3:$N$9,2,0)="Yes",NOT(ISNUMBER(VLOOKUP(DATE($A$2,$A$3+$A$1-1,EH5),HolidayList[Date],1,0)))),TRUE,FALSE),FALSE)</f>
        <v>0</v>
      </c>
      <c r="EI4" s="6" t="b">
        <f>IFERROR(IF(AND(VLOOKUP(EI6,Database!$M$3:$N$9,2,0)="Yes",NOT(ISNUMBER(VLOOKUP(DATE($A$2,$A$3+$A$1-1,EI5),HolidayList[Date],1,0)))),TRUE,FALSE),FALSE)</f>
        <v>0</v>
      </c>
      <c r="EJ4" s="6" t="b">
        <f>IFERROR(IF(AND(VLOOKUP(EJ6,Database!$M$3:$N$9,2,0)="Yes",NOT(ISNUMBER(VLOOKUP(DATE($A$2,$A$3+$A$1-1,EJ5),HolidayList[Date],1,0)))),TRUE,FALSE),FALSE)</f>
        <v>0</v>
      </c>
      <c r="EK4" s="6" t="b">
        <f>IFERROR(IF(AND(VLOOKUP(EK6,Database!$M$3:$N$9,2,0)="Yes",NOT(ISNUMBER(VLOOKUP(DATE($A$2,$A$3+$A$1-1,EK5),HolidayList[Date],1,0)))),TRUE,FALSE),FALSE)</f>
        <v>0</v>
      </c>
      <c r="EL4" s="6" t="b">
        <f>IFERROR(IF(AND(VLOOKUP(EL6,Database!$M$3:$N$9,2,0)="Yes",NOT(ISNUMBER(VLOOKUP(DATE($A$2,$A$3+$A$1-1,EL5),HolidayList[Date],1,0)))),TRUE,FALSE),FALSE)</f>
        <v>0</v>
      </c>
      <c r="EM4" s="6" t="b">
        <f>IFERROR(IF(AND(VLOOKUP(EM6,Database!$M$3:$N$9,2,0)="Yes",NOT(ISNUMBER(VLOOKUP(DATE($A$2,$A$3+$A$1-1,EM5),HolidayList[Date],1,0)))),TRUE,FALSE),FALSE)</f>
        <v>0</v>
      </c>
      <c r="EN4" s="6" t="b">
        <f>IFERROR(IF(AND(VLOOKUP(EN6,Database!$M$3:$N$9,2,0)="Yes",NOT(ISNUMBER(VLOOKUP(DATE($A$2,$A$3+$A$1-1,EN5),HolidayList[Date],1,0)))),TRUE,FALSE),FALSE)</f>
        <v>0</v>
      </c>
      <c r="EO4" s="6" t="b">
        <f>IFERROR(IF(AND(VLOOKUP(EO6,Database!$M$3:$N$9,2,0)="Yes",NOT(ISNUMBER(VLOOKUP(DATE($A$2,$A$3+$A$1-1,EO5),HolidayList[Date],1,0)))),TRUE,FALSE),FALSE)</f>
        <v>0</v>
      </c>
      <c r="EP4" s="6" t="b">
        <f>IFERROR(IF(AND(VLOOKUP(EP6,Database!$M$3:$N$9,2,0)="Yes",NOT(ISNUMBER(VLOOKUP(DATE($A$2,$A$3+$A$1-1,EP5),HolidayList[Date],1,0)))),TRUE,FALSE),FALSE)</f>
        <v>0</v>
      </c>
      <c r="EQ4" s="6" t="b">
        <f>IFERROR(IF(AND(VLOOKUP(EQ6,Database!$M$3:$N$9,2,0)="Yes",NOT(ISNUMBER(VLOOKUP(DATE($A$2,$A$3+$A$1-1,EQ5),HolidayList[Date],1,0)))),TRUE,FALSE),FALSE)</f>
        <v>0</v>
      </c>
      <c r="ER4" s="6" t="b">
        <f>IFERROR(IF(AND(VLOOKUP(ER6,Database!$M$3:$N$9,2,0)="Yes",NOT(ISNUMBER(VLOOKUP(DATE($A$2,$A$3+$A$1-1,ER5),HolidayList[Date],1,0)))),TRUE,FALSE),FALSE)</f>
        <v>0</v>
      </c>
      <c r="ES4" s="6" t="b">
        <f>IFERROR(IF(AND(VLOOKUP(ES6,Database!$M$3:$N$9,2,0)="Yes",NOT(ISNUMBER(VLOOKUP(DATE($A$2,$A$3+$A$1-1,ES5),HolidayList[Date],1,0)))),TRUE,FALSE),FALSE)</f>
        <v>0</v>
      </c>
      <c r="ET4" s="6" t="b">
        <f>IFERROR(IF(AND(VLOOKUP(ET6,Database!$M$3:$N$9,2,0)="Yes",NOT(ISNUMBER(VLOOKUP(DATE($A$2,$A$3+$A$1-1,ET5),HolidayList[Date],1,0)))),TRUE,FALSE),FALSE)</f>
        <v>0</v>
      </c>
      <c r="EU4" s="6" t="b">
        <f>IFERROR(IF(AND(VLOOKUP(EU6,Database!$M$3:$N$9,2,0)="Yes",NOT(ISNUMBER(VLOOKUP(DATE($A$2,$A$3+$A$1-1,EU5),HolidayList[Date],1,0)))),TRUE,FALSE),FALSE)</f>
        <v>0</v>
      </c>
      <c r="EV4" s="6" t="b">
        <f>IFERROR(IF(AND(VLOOKUP(EV6,Database!$M$3:$N$9,2,0)="Yes",NOT(ISNUMBER(VLOOKUP(DATE($A$2,$A$3+$A$1-1,EV5),HolidayList[Date],1,0)))),TRUE,FALSE),FALSE)</f>
        <v>0</v>
      </c>
      <c r="EW4" s="6" t="b">
        <f>IFERROR(IF(AND(VLOOKUP(EW6,Database!$M$3:$N$9,2,0)="Yes",NOT(ISNUMBER(VLOOKUP(DATE($A$2,$A$3+$A$1-1,EW5),HolidayList[Date],1,0)))),TRUE,FALSE),FALSE)</f>
        <v>0</v>
      </c>
      <c r="EX4" s="6" t="b">
        <f>IFERROR(IF(AND(VLOOKUP(EX6,Database!$M$3:$N$9,2,0)="Yes",NOT(ISNUMBER(VLOOKUP(DATE($A$2,$A$3+$A$1-1,EX5),HolidayList[Date],1,0)))),TRUE,FALSE),FALSE)</f>
        <v>0</v>
      </c>
      <c r="EY4" s="6" t="b">
        <f>IFERROR(IF(AND(VLOOKUP(EY6,Database!$M$3:$N$9,2,0)="Yes",NOT(ISNUMBER(VLOOKUP(DATE($A$2,$A$3+$A$1-1,EY5),HolidayList[Date],1,0)))),TRUE,FALSE),FALSE)</f>
        <v>0</v>
      </c>
      <c r="EZ4" s="6" t="b">
        <f>IFERROR(IF(AND(VLOOKUP(EZ6,Database!$M$3:$N$9,2,0)="Yes",NOT(ISNUMBER(VLOOKUP(DATE($A$2,$A$3+$A$1-1,EZ5),HolidayList[Date],1,0)))),TRUE,FALSE),FALSE)</f>
        <v>0</v>
      </c>
      <c r="FA4" s="6" t="b">
        <f>IFERROR(IF(AND(VLOOKUP(FA6,Database!$M$3:$N$9,2,0)="Yes",NOT(ISNUMBER(VLOOKUP(DATE($A$2,$A$3+$A$1-1,FA5),HolidayList[Date],1,0)))),TRUE,FALSE),FALSE)</f>
        <v>0</v>
      </c>
      <c r="FB4" s="6" t="b">
        <f>IFERROR(IF(AND(VLOOKUP(FB6,Database!$M$3:$N$9,2,0)="Yes",NOT(ISNUMBER(VLOOKUP(DATE($A$2,$A$3+$A$1-1,FB5),HolidayList[Date],1,0)))),TRUE,FALSE),FALSE)</f>
        <v>0</v>
      </c>
      <c r="FC4" s="6" t="b">
        <f>IFERROR(IF(AND(VLOOKUP(FC6,Database!$M$3:$N$9,2,0)="Yes",NOT(ISNUMBER(VLOOKUP(DATE($A$2,$A$3+$A$1-1,FC5),HolidayList[Date],1,0)))),TRUE,FALSE),FALSE)</f>
        <v>0</v>
      </c>
      <c r="FD4" s="6" t="b">
        <f>IFERROR(IF(AND(VLOOKUP(FD6,Database!$M$3:$N$9,2,0)="Yes",NOT(ISNUMBER(VLOOKUP(DATE($A$2,$A$3+$A$1-1,FD5),HolidayList[Date],1,0)))),TRUE,FALSE),FALSE)</f>
        <v>0</v>
      </c>
      <c r="FE4" s="6" t="b">
        <f>IFERROR(IF(AND(VLOOKUP(FE6,Database!$M$3:$N$9,2,0)="Yes",NOT(ISNUMBER(VLOOKUP(DATE($A$2,$A$3+$A$1-1,FE5),HolidayList[Date],1,0)))),TRUE,FALSE),FALSE)</f>
        <v>0</v>
      </c>
      <c r="FF4" s="6" t="b">
        <f>IFERROR(IF(AND(VLOOKUP(FF6,Database!$M$3:$N$9,2,0)="Yes",NOT(ISNUMBER(VLOOKUP(DATE($A$2,$A$3+$A$1-1,FF5),HolidayList[Date],1,0)))),TRUE,FALSE),FALSE)</f>
        <v>0</v>
      </c>
      <c r="FG4" s="6" t="b">
        <f>IFERROR(IF(AND(VLOOKUP(FG6,Database!$M$3:$N$9,2,0)="Yes",NOT(ISNUMBER(VLOOKUP(DATE($A$2,$A$3+$A$1-1,FG5),HolidayList[Date],1,0)))),TRUE,FALSE),FALSE)</f>
        <v>0</v>
      </c>
      <c r="FH4" s="6" t="b">
        <f>IFERROR(IF(AND(VLOOKUP(FH6,Database!$M$3:$N$9,2,0)="Yes",NOT(ISNUMBER(VLOOKUP(DATE($A$2,$A$3+$A$1-1,FH5),HolidayList[Date],1,0)))),TRUE,FALSE),FALSE)</f>
        <v>0</v>
      </c>
      <c r="FI4" s="6" t="b">
        <f>IFERROR(IF(AND(VLOOKUP(FI6,Database!$M$3:$N$9,2,0)="Yes",NOT(ISNUMBER(VLOOKUP(DATE($A$2,$A$3+$A$1-1,FI5),HolidayList[Date],1,0)))),TRUE,FALSE),FALSE)</f>
        <v>0</v>
      </c>
      <c r="FJ4" s="6" t="b">
        <f>IFERROR(IF(AND(VLOOKUP(FJ6,Database!$M$3:$N$9,2,0)="Yes",NOT(ISNUMBER(VLOOKUP(DATE($A$2,$A$3+$A$1-1,FJ5),HolidayList[Date],1,0)))),TRUE,FALSE),FALSE)</f>
        <v>0</v>
      </c>
      <c r="FK4" s="6" t="b">
        <f>IFERROR(IF(AND(VLOOKUP(FK6,Database!$M$3:$N$9,2,0)="Yes",NOT(ISNUMBER(VLOOKUP(DATE($A$2,$A$3+$A$1-1,FK5),HolidayList[Date],1,0)))),TRUE,FALSE),FALSE)</f>
        <v>0</v>
      </c>
      <c r="FL4" s="6" t="b">
        <f>IFERROR(IF(AND(VLOOKUP(FL6,Database!$M$3:$N$9,2,0)="Yes",NOT(ISNUMBER(VLOOKUP(DATE($A$2,$A$3+$A$1-1,FL5),HolidayList[Date],1,0)))),TRUE,FALSE),FALSE)</f>
        <v>0</v>
      </c>
      <c r="FM4" s="6" t="b">
        <f>IFERROR(IF(AND(VLOOKUP(FM6,Database!$M$3:$N$9,2,0)="Yes",NOT(ISNUMBER(VLOOKUP(DATE($A$2,$A$3+$A$1-1,FM5),HolidayList[Date],1,0)))),TRUE,FALSE),FALSE)</f>
        <v>0</v>
      </c>
      <c r="FN4" s="6" t="b">
        <f>IFERROR(IF(AND(VLOOKUP(FN6,Database!$M$3:$N$9,2,0)="Yes",NOT(ISNUMBER(VLOOKUP(DATE($A$2,$A$3+$A$1-1,FN5),HolidayList[Date],1,0)))),TRUE,FALSE),FALSE)</f>
        <v>0</v>
      </c>
      <c r="FO4" s="6" t="b">
        <f>IFERROR(IF(AND(VLOOKUP(FO6,Database!$M$3:$N$9,2,0)="Yes",NOT(ISNUMBER(VLOOKUP(DATE($A$2,$A$3+$A$1-1,FO5),HolidayList[Date],1,0)))),TRUE,FALSE),FALSE)</f>
        <v>0</v>
      </c>
      <c r="FP4" s="6" t="b">
        <f>IFERROR(IF(AND(VLOOKUP(FP6,Database!$M$3:$N$9,2,0)="Yes",NOT(ISNUMBER(VLOOKUP(DATE($A$2,$A$3+$A$1-1,FP5),HolidayList[Date],1,0)))),TRUE,FALSE),FALSE)</f>
        <v>0</v>
      </c>
      <c r="FQ4" s="6" t="b">
        <f>IFERROR(IF(AND(VLOOKUP(FQ6,Database!$M$3:$N$9,2,0)="Yes",NOT(ISNUMBER(VLOOKUP(DATE($A$2,$A$3+$A$1-1,FQ5),HolidayList[Date],1,0)))),TRUE,FALSE),FALSE)</f>
        <v>0</v>
      </c>
      <c r="FR4" s="6" t="b">
        <f>IFERROR(IF(AND(VLOOKUP(FR6,Database!$M$3:$N$9,2,0)="Yes",NOT(ISNUMBER(VLOOKUP(DATE($A$2,$A$3+$A$1-1,FR5),HolidayList[Date],1,0)))),TRUE,FALSE),FALSE)</f>
        <v>0</v>
      </c>
      <c r="FS4" s="6" t="b">
        <f>IFERROR(IF(AND(VLOOKUP(FS6,Database!$M$3:$N$9,2,0)="Yes",NOT(ISNUMBER(VLOOKUP(DATE($A$2,$A$3+$A$1-1,FS5),HolidayList[Date],1,0)))),TRUE,FALSE),FALSE)</f>
        <v>0</v>
      </c>
      <c r="FT4" s="6" t="b">
        <f>IFERROR(IF(AND(VLOOKUP(FT6,Database!$M$3:$N$9,2,0)="Yes",NOT(ISNUMBER(VLOOKUP(DATE($A$2,$A$3+$A$1-1,FT5),HolidayList[Date],1,0)))),TRUE,FALSE),FALSE)</f>
        <v>0</v>
      </c>
      <c r="FU4" s="6" t="b">
        <f>IFERROR(IF(AND(VLOOKUP(FU6,Database!$M$3:$N$9,2,0)="Yes",NOT(ISNUMBER(VLOOKUP(DATE($A$2,$A$3+$A$1-1,FU5),HolidayList[Date],1,0)))),TRUE,FALSE),FALSE)</f>
        <v>0</v>
      </c>
      <c r="FV4" s="6" t="b">
        <f>IFERROR(IF(AND(VLOOKUP(FV6,Database!$M$3:$N$9,2,0)="Yes",NOT(ISNUMBER(VLOOKUP(DATE($A$2,$A$3+$A$1-1,FV5),HolidayList[Date],1,0)))),TRUE,FALSE),FALSE)</f>
        <v>0</v>
      </c>
      <c r="FW4" s="6" t="b">
        <f>IFERROR(IF(AND(VLOOKUP(FW6,Database!$M$3:$N$9,2,0)="Yes",NOT(ISNUMBER(VLOOKUP(DATE($A$2,$A$3+$A$1-1,FW5),HolidayList[Date],1,0)))),TRUE,FALSE),FALSE)</f>
        <v>0</v>
      </c>
      <c r="FX4" s="6" t="b">
        <f>IFERROR(IF(AND(VLOOKUP(FX6,Database!$M$3:$N$9,2,0)="Yes",NOT(ISNUMBER(VLOOKUP(DATE($A$2,$A$3+$A$1-1,FX5),HolidayList[Date],1,0)))),TRUE,FALSE),FALSE)</f>
        <v>0</v>
      </c>
      <c r="FY4" s="6" t="b">
        <f>IFERROR(IF(AND(VLOOKUP(FY6,Database!$M$3:$N$9,2,0)="Yes",NOT(ISNUMBER(VLOOKUP(DATE($A$2,$A$3+$A$1-1,FY5),HolidayList[Date],1,0)))),TRUE,FALSE),FALSE)</f>
        <v>0</v>
      </c>
      <c r="FZ4" s="6" t="b">
        <f>IFERROR(IF(AND(VLOOKUP(FZ6,Database!$M$3:$N$9,2,0)="Yes",NOT(ISNUMBER(VLOOKUP(DATE($A$2,$A$3+$A$1-1,FZ5),HolidayList[Date],1,0)))),TRUE,FALSE),FALSE)</f>
        <v>0</v>
      </c>
      <c r="GA4" s="6" t="b">
        <f>IFERROR(IF(AND(VLOOKUP(GA6,Database!$M$3:$N$9,2,0)="Yes",NOT(ISNUMBER(VLOOKUP(DATE($A$2,$A$3+$A$1-1,GA5),HolidayList[Date],1,0)))),TRUE,FALSE),FALSE)</f>
        <v>0</v>
      </c>
      <c r="GB4" s="6" t="b">
        <f>IFERROR(IF(AND(VLOOKUP(GB6,Database!$M$3:$N$9,2,0)="Yes",NOT(ISNUMBER(VLOOKUP(DATE($A$2,$A$3+$A$1-1,GB5),HolidayList[Date],1,0)))),TRUE,FALSE),FALSE)</f>
        <v>0</v>
      </c>
      <c r="GC4" s="6" t="b">
        <f>IFERROR(IF(AND(VLOOKUP(GC6,Database!$M$3:$N$9,2,0)="Yes",NOT(ISNUMBER(VLOOKUP(DATE($A$2,$A$3+$A$1-1,GC5),HolidayList[Date],1,0)))),TRUE,FALSE),FALSE)</f>
        <v>0</v>
      </c>
      <c r="GD4" s="6" t="b">
        <f>IFERROR(IF(AND(VLOOKUP(GD6,Database!$M$3:$N$9,2,0)="Yes",NOT(ISNUMBER(VLOOKUP(DATE($A$2,$A$3+$A$1-1,GD5),HolidayList[Date],1,0)))),TRUE,FALSE),FALSE)</f>
        <v>0</v>
      </c>
      <c r="GE4" s="6" t="b">
        <f>IFERROR(IF(AND(VLOOKUP(GE6,Database!$M$3:$N$9,2,0)="Yes",NOT(ISNUMBER(VLOOKUP(DATE($A$2,$A$3+$A$1-1,GE5),HolidayList[Date],1,0)))),TRUE,FALSE),FALSE)</f>
        <v>0</v>
      </c>
      <c r="GF4" s="6" t="b">
        <f>IFERROR(IF(AND(VLOOKUP(GF6,Database!$M$3:$N$9,2,0)="Yes",NOT(ISNUMBER(VLOOKUP(DATE($A$2,$A$3+$A$1-1,GF5),HolidayList[Date],1,0)))),TRUE,FALSE),FALSE)</f>
        <v>0</v>
      </c>
      <c r="GG4" s="6" t="b">
        <f>IFERROR(IF(AND(VLOOKUP(GG6,Database!$M$3:$N$9,2,0)="Yes",NOT(ISNUMBER(VLOOKUP(DATE($A$2,$A$3+$A$1-1,GG5),HolidayList[Date],1,0)))),TRUE,FALSE),FALSE)</f>
        <v>0</v>
      </c>
      <c r="GH4" s="6" t="b">
        <f>IFERROR(IF(AND(VLOOKUP(GH6,Database!$M$3:$N$9,2,0)="Yes",NOT(ISNUMBER(VLOOKUP(DATE($A$2,$A$3+$A$1-1,GH5),HolidayList[Date],1,0)))),TRUE,FALSE),FALSE)</f>
        <v>0</v>
      </c>
      <c r="GI4" s="6" t="b">
        <f>IFERROR(IF(AND(VLOOKUP(GI6,Database!$M$3:$N$9,2,0)="Yes",NOT(ISNUMBER(VLOOKUP(DATE($A$2,$A$3+$A$1-1,GI5),HolidayList[Date],1,0)))),TRUE,FALSE),FALSE)</f>
        <v>0</v>
      </c>
      <c r="GJ4" s="6" t="b">
        <f>IFERROR(IF(AND(VLOOKUP(GJ6,Database!$M$3:$N$9,2,0)="Yes",NOT(ISNUMBER(VLOOKUP(DATE($A$2,$A$3+$A$1-1,GJ5),HolidayList[Date],1,0)))),TRUE,FALSE),FALSE)</f>
        <v>0</v>
      </c>
      <c r="GK4" s="6" t="b">
        <f>IFERROR(IF(AND(VLOOKUP(GK6,Database!$M$3:$N$9,2,0)="Yes",NOT(ISNUMBER(VLOOKUP(DATE($A$2,$A$3+$A$1-1,GK5),HolidayList[Date],1,0)))),TRUE,FALSE),FALSE)</f>
        <v>0</v>
      </c>
      <c r="GL4" s="6" t="b">
        <f>IFERROR(IF(AND(VLOOKUP(GL6,Database!$M$3:$N$9,2,0)="Yes",NOT(ISNUMBER(VLOOKUP(DATE($A$2,$A$3+$A$1-1,GL5),HolidayList[Date],1,0)))),TRUE,FALSE),FALSE)</f>
        <v>0</v>
      </c>
      <c r="GM4" s="6" t="b">
        <f>IFERROR(IF(AND(VLOOKUP(GM6,Database!$M$3:$N$9,2,0)="Yes",NOT(ISNUMBER(VLOOKUP(DATE($A$2,$A$3+$A$1-1,GM5),HolidayList[Date],1,0)))),TRUE,FALSE),FALSE)</f>
        <v>0</v>
      </c>
      <c r="GN4" s="6" t="b">
        <f>IFERROR(IF(AND(VLOOKUP(GN6,Database!$M$3:$N$9,2,0)="Yes",NOT(ISNUMBER(VLOOKUP(DATE($A$2,$A$3+$A$1-1,GN5),HolidayList[Date],1,0)))),TRUE,FALSE),FALSE)</f>
        <v>0</v>
      </c>
      <c r="GO4" s="6" t="b">
        <f>IFERROR(IF(AND(VLOOKUP(GO6,Database!$M$3:$N$9,2,0)="Yes",NOT(ISNUMBER(VLOOKUP(DATE($A$2,$A$3+$A$1-1,GO5),HolidayList[Date],1,0)))),TRUE,FALSE),FALSE)</f>
        <v>0</v>
      </c>
      <c r="GP4" s="6" t="b">
        <f>IFERROR(IF(AND(VLOOKUP(GP6,Database!$M$3:$N$9,2,0)="Yes",NOT(ISNUMBER(VLOOKUP(DATE($A$2,$A$3+$A$1-1,GP5),HolidayList[Date],1,0)))),TRUE,FALSE),FALSE)</f>
        <v>0</v>
      </c>
      <c r="GQ4" s="6" t="b">
        <f>IFERROR(IF(AND(VLOOKUP(GQ6,Database!$M$3:$N$9,2,0)="Yes",NOT(ISNUMBER(VLOOKUP(DATE($A$2,$A$3+$A$1-1,GQ5),HolidayList[Date],1,0)))),TRUE,FALSE),FALSE)</f>
        <v>0</v>
      </c>
      <c r="GR4" s="6" t="b">
        <f>IFERROR(IF(AND(VLOOKUP(GR6,Database!$M$3:$N$9,2,0)="Yes",NOT(ISNUMBER(VLOOKUP(DATE($A$2,$A$3+$A$1-1,GR5),HolidayList[Date],1,0)))),TRUE,FALSE),FALSE)</f>
        <v>0</v>
      </c>
      <c r="GS4" s="6" t="b">
        <f>IFERROR(IF(AND(VLOOKUP(GS6,Database!$M$3:$N$9,2,0)="Yes",NOT(ISNUMBER(VLOOKUP(DATE($A$2,$A$3+$A$1-1,GS5),HolidayList[Date],1,0)))),TRUE,FALSE),FALSE)</f>
        <v>0</v>
      </c>
      <c r="GT4" s="6" t="b">
        <f>IFERROR(IF(AND(VLOOKUP(GT6,Database!$M$3:$N$9,2,0)="Yes",NOT(ISNUMBER(VLOOKUP(DATE($A$2,$A$3+$A$1-1,GT5),HolidayList[Date],1,0)))),TRUE,FALSE),FALSE)</f>
        <v>0</v>
      </c>
      <c r="GU4" s="6" t="b">
        <f>IFERROR(IF(AND(VLOOKUP(GU6,Database!$M$3:$N$9,2,0)="Yes",NOT(ISNUMBER(VLOOKUP(DATE($A$2,$A$3+$A$1-1,GU5),HolidayList[Date],1,0)))),TRUE,FALSE),FALSE)</f>
        <v>0</v>
      </c>
      <c r="GV4" s="6" t="b">
        <f>IFERROR(IF(AND(VLOOKUP(GV6,Database!$M$3:$N$9,2,0)="Yes",NOT(ISNUMBER(VLOOKUP(DATE($A$2,$A$3+$A$1-1,GV5),HolidayList[Date],1,0)))),TRUE,FALSE),FALSE)</f>
        <v>0</v>
      </c>
      <c r="GW4" s="6" t="b">
        <f>IFERROR(IF(AND(VLOOKUP(GW6,Database!$M$3:$N$9,2,0)="Yes",NOT(ISNUMBER(VLOOKUP(DATE($A$2,$A$3+$A$1-1,GW5),HolidayList[Date],1,0)))),TRUE,FALSE),FALSE)</f>
        <v>0</v>
      </c>
      <c r="GX4" s="6" t="b">
        <f>IFERROR(IF(AND(VLOOKUP(GX6,Database!$M$3:$N$9,2,0)="Yes",NOT(ISNUMBER(VLOOKUP(DATE($A$2,$A$3+$A$1-1,GX5),HolidayList[Date],1,0)))),TRUE,FALSE),FALSE)</f>
        <v>0</v>
      </c>
      <c r="GY4" s="6" t="b">
        <f>IFERROR(IF(AND(VLOOKUP(GY6,Database!$M$3:$N$9,2,0)="Yes",NOT(ISNUMBER(VLOOKUP(DATE($A$2,$A$3+$A$1-1,GY5),HolidayList[Date],1,0)))),TRUE,FALSE),FALSE)</f>
        <v>0</v>
      </c>
      <c r="GZ4" s="6" t="b">
        <f>IFERROR(IF(AND(VLOOKUP(GZ6,Database!$M$3:$N$9,2,0)="Yes",NOT(ISNUMBER(VLOOKUP(DATE($A$2,$A$3+$A$1-1,GZ5),HolidayList[Date],1,0)))),TRUE,FALSE),FALSE)</f>
        <v>0</v>
      </c>
      <c r="HA4" s="6" t="b">
        <f>IFERROR(IF(AND(VLOOKUP(HA6,Database!$M$3:$N$9,2,0)="Yes",NOT(ISNUMBER(VLOOKUP(DATE($A$2,$A$3+$A$1-1,HA5),HolidayList[Date],1,0)))),TRUE,FALSE),FALSE)</f>
        <v>0</v>
      </c>
      <c r="HB4" s="6" t="b">
        <f>IFERROR(IF(AND(VLOOKUP(HB6,Database!$M$3:$N$9,2,0)="Yes",NOT(ISNUMBER(VLOOKUP(DATE($A$2,$A$3+$A$1-1,HB5),HolidayList[Date],1,0)))),TRUE,FALSE),FALSE)</f>
        <v>0</v>
      </c>
      <c r="HC4" s="6" t="b">
        <f>IFERROR(IF(AND(VLOOKUP(HC6,Database!$M$3:$N$9,2,0)="Yes",NOT(ISNUMBER(VLOOKUP(DATE($A$2,$A$3+$A$1-1,HC5),HolidayList[Date],1,0)))),TRUE,FALSE),FALSE)</f>
        <v>0</v>
      </c>
      <c r="HD4" s="6" t="b">
        <f>IFERROR(IF(AND(VLOOKUP(HD6,Database!$M$3:$N$9,2,0)="Yes",NOT(ISNUMBER(VLOOKUP(DATE($A$2,$A$3+$A$1-1,HD5),HolidayList[Date],1,0)))),TRUE,FALSE),FALSE)</f>
        <v>0</v>
      </c>
      <c r="HE4" s="6" t="b">
        <f>IFERROR(IF(AND(VLOOKUP(HE6,Database!$M$3:$N$9,2,0)="Yes",NOT(ISNUMBER(VLOOKUP(DATE($A$2,$A$3+$A$1-1,HE5),HolidayList[Date],1,0)))),TRUE,FALSE),FALSE)</f>
        <v>0</v>
      </c>
      <c r="HF4" s="6" t="b">
        <f>IFERROR(IF(AND(VLOOKUP(HF6,Database!$M$3:$N$9,2,0)="Yes",NOT(ISNUMBER(VLOOKUP(DATE($A$2,$A$3+$A$1-1,HF5),HolidayList[Date],1,0)))),TRUE,FALSE),FALSE)</f>
        <v>0</v>
      </c>
      <c r="HG4" s="6" t="b">
        <f>IFERROR(IF(AND(VLOOKUP(HG6,Database!$M$3:$N$9,2,0)="Yes",NOT(ISNUMBER(VLOOKUP(DATE($A$2,$A$3+$A$1-1,HG5),HolidayList[Date],1,0)))),TRUE,FALSE),FALSE)</f>
        <v>0</v>
      </c>
      <c r="HH4" s="6" t="b">
        <f>IFERROR(IF(AND(VLOOKUP(HH6,Database!$M$3:$N$9,2,0)="Yes",NOT(ISNUMBER(VLOOKUP(DATE($A$2,$A$3+$A$1-1,HH5),HolidayList[Date],1,0)))),TRUE,FALSE),FALSE)</f>
        <v>0</v>
      </c>
      <c r="HI4" s="6" t="b">
        <f>IFERROR(IF(AND(VLOOKUP(HI6,Database!$M$3:$N$9,2,0)="Yes",NOT(ISNUMBER(VLOOKUP(DATE($A$2,$A$3+$A$1-1,HI5),HolidayList[Date],1,0)))),TRUE,FALSE),FALSE)</f>
        <v>0</v>
      </c>
      <c r="HJ4" s="6" t="b">
        <f>IFERROR(IF(AND(VLOOKUP(HJ6,Database!$M$3:$N$9,2,0)="Yes",NOT(ISNUMBER(VLOOKUP(DATE($A$2,$A$3+$A$1-1,HJ5),HolidayList[Date],1,0)))),TRUE,FALSE),FALSE)</f>
        <v>0</v>
      </c>
      <c r="HK4" s="6" t="b">
        <f>IFERROR(IF(AND(VLOOKUP(HK6,Database!$M$3:$N$9,2,0)="Yes",NOT(ISNUMBER(VLOOKUP(DATE($A$2,$A$3+$A$1-1,HK5),HolidayList[Date],1,0)))),TRUE,FALSE),FALSE)</f>
        <v>0</v>
      </c>
      <c r="HL4" s="6" t="b">
        <f>IFERROR(IF(AND(VLOOKUP(HL6,Database!$M$3:$N$9,2,0)="Yes",NOT(ISNUMBER(VLOOKUP(DATE($A$2,$A$3+$A$1-1,HL5),HolidayList[Date],1,0)))),TRUE,FALSE),FALSE)</f>
        <v>0</v>
      </c>
      <c r="HM4" s="6" t="b">
        <f>IFERROR(IF(AND(VLOOKUP(HM6,Database!$M$3:$N$9,2,0)="Yes",NOT(ISNUMBER(VLOOKUP(DATE($A$2,$A$3+$A$1-1,HM5),HolidayList[Date],1,0)))),TRUE,FALSE),FALSE)</f>
        <v>0</v>
      </c>
      <c r="HN4" s="6" t="b">
        <f>IFERROR(IF(AND(VLOOKUP(HN6,Database!$M$3:$N$9,2,0)="Yes",NOT(ISNUMBER(VLOOKUP(DATE($A$2,$A$3+$A$1-1,HN5),HolidayList[Date],1,0)))),TRUE,FALSE),FALSE)</f>
        <v>0</v>
      </c>
      <c r="HO4" s="6" t="b">
        <f>IFERROR(IF(AND(VLOOKUP(HO6,Database!$M$3:$N$9,2,0)="Yes",NOT(ISNUMBER(VLOOKUP(DATE($A$2,$A$3+$A$1-1,HO5),HolidayList[Date],1,0)))),TRUE,FALSE),FALSE)</f>
        <v>0</v>
      </c>
      <c r="HP4" s="6" t="b">
        <f>IFERROR(IF(AND(VLOOKUP(HP6,Database!$M$3:$N$9,2,0)="Yes",NOT(ISNUMBER(VLOOKUP(DATE($A$2,$A$3+$A$1-1,HP5),HolidayList[Date],1,0)))),TRUE,FALSE),FALSE)</f>
        <v>0</v>
      </c>
      <c r="HQ4" s="6" t="b">
        <f>IFERROR(IF(AND(VLOOKUP(HQ6,Database!$M$3:$N$9,2,0)="Yes",NOT(ISNUMBER(VLOOKUP(DATE($A$2,$A$3+$A$1-1,HQ5),HolidayList[Date],1,0)))),TRUE,FALSE),FALSE)</f>
        <v>0</v>
      </c>
      <c r="HR4" s="6" t="b">
        <f>IFERROR(IF(AND(VLOOKUP(HR6,Database!$M$3:$N$9,2,0)="Yes",NOT(ISNUMBER(VLOOKUP(DATE($A$2,$A$3+$A$1-1,HR5),HolidayList[Date],1,0)))),TRUE,FALSE),FALSE)</f>
        <v>0</v>
      </c>
      <c r="HS4" s="6" t="b">
        <f>IFERROR(IF(AND(VLOOKUP(HS6,Database!$M$3:$N$9,2,0)="Yes",NOT(ISNUMBER(VLOOKUP(DATE($A$2,$A$3+$A$1-1,HS5),HolidayList[Date],1,0)))),TRUE,FALSE),FALSE)</f>
        <v>0</v>
      </c>
      <c r="HT4" s="6" t="b">
        <f>IFERROR(IF(AND(VLOOKUP(HT6,Database!$M$3:$N$9,2,0)="Yes",NOT(ISNUMBER(VLOOKUP(DATE($A$2,$A$3+$A$1-1,HT5),HolidayList[Date],1,0)))),TRUE,FALSE),FALSE)</f>
        <v>0</v>
      </c>
      <c r="HU4" s="6" t="b">
        <f>IFERROR(IF(AND(VLOOKUP(HU6,Database!$M$3:$N$9,2,0)="Yes",NOT(ISNUMBER(VLOOKUP(DATE($A$2,$A$3+$A$1-1,HU5),HolidayList[Date],1,0)))),TRUE,FALSE),FALSE)</f>
        <v>0</v>
      </c>
      <c r="HV4" s="6" t="b">
        <f>IFERROR(IF(AND(VLOOKUP(HV6,Database!$M$3:$N$9,2,0)="Yes",NOT(ISNUMBER(VLOOKUP(DATE($A$2,$A$3+$A$1-1,HV5),HolidayList[Date],1,0)))),TRUE,FALSE),FALSE)</f>
        <v>0</v>
      </c>
      <c r="HW4" s="6" t="b">
        <f>IFERROR(IF(AND(VLOOKUP(HW6,Database!$M$3:$N$9,2,0)="Yes",NOT(ISNUMBER(VLOOKUP(DATE($A$2,$A$3+$A$1-1,HW5),HolidayList[Date],1,0)))),TRUE,FALSE),FALSE)</f>
        <v>0</v>
      </c>
      <c r="HX4" s="6" t="b">
        <f>IFERROR(IF(AND(VLOOKUP(HX6,Database!$M$3:$N$9,2,0)="Yes",NOT(ISNUMBER(VLOOKUP(DATE($A$2,$A$3+$A$1-1,HX5),HolidayList[Date],1,0)))),TRUE,FALSE),FALSE)</f>
        <v>0</v>
      </c>
      <c r="HY4" s="6" t="b">
        <f>IFERROR(IF(AND(VLOOKUP(HY6,Database!$M$3:$N$9,2,0)="Yes",NOT(ISNUMBER(VLOOKUP(DATE($A$2,$A$3+$A$1-1,HY5),HolidayList[Date],1,0)))),TRUE,FALSE),FALSE)</f>
        <v>0</v>
      </c>
      <c r="HZ4" s="6" t="b">
        <f>IFERROR(IF(AND(VLOOKUP(HZ6,Database!$M$3:$N$9,2,0)="Yes",NOT(ISNUMBER(VLOOKUP(DATE($A$2,$A$3+$A$1-1,HZ5),HolidayList[Date],1,0)))),TRUE,FALSE),FALSE)</f>
        <v>0</v>
      </c>
      <c r="IA4" s="6" t="b">
        <f>IFERROR(IF(AND(VLOOKUP(IA6,Database!$M$3:$N$9,2,0)="Yes",NOT(ISNUMBER(VLOOKUP(DATE($A$2,$A$3+$A$1-1,IA5),HolidayList[Date],1,0)))),TRUE,FALSE),FALSE)</f>
        <v>0</v>
      </c>
      <c r="IB4" s="6" t="b">
        <f>IFERROR(IF(AND(VLOOKUP(IB6,Database!$M$3:$N$9,2,0)="Yes",NOT(ISNUMBER(VLOOKUP(DATE($A$2,$A$3+$A$1-1,IB5),HolidayList[Date],1,0)))),TRUE,FALSE),FALSE)</f>
        <v>0</v>
      </c>
      <c r="IC4" s="6" t="b">
        <f>IFERROR(IF(AND(VLOOKUP(IC6,Database!$M$3:$N$9,2,0)="Yes",NOT(ISNUMBER(VLOOKUP(DATE($A$2,$A$3+$A$1-1,IC5),HolidayList[Date],1,0)))),TRUE,FALSE),FALSE)</f>
        <v>0</v>
      </c>
      <c r="ID4" s="6" t="b">
        <f>IFERROR(IF(AND(VLOOKUP(ID6,Database!$M$3:$N$9,2,0)="Yes",NOT(ISNUMBER(VLOOKUP(DATE($A$2,$A$3+$A$1-1,ID5),HolidayList[Date],1,0)))),TRUE,FALSE),FALSE)</f>
        <v>0</v>
      </c>
      <c r="IE4" s="6" t="b">
        <f>IFERROR(IF(AND(VLOOKUP(IE6,Database!$M$3:$N$9,2,0)="Yes",NOT(ISNUMBER(VLOOKUP(DATE($A$2,$A$3+$A$1-1,IE5),HolidayList[Date],1,0)))),TRUE,FALSE),FALSE)</f>
        <v>0</v>
      </c>
      <c r="IF4" s="6" t="b">
        <f>IFERROR(IF(AND(VLOOKUP(IF6,Database!$M$3:$N$9,2,0)="Yes",NOT(ISNUMBER(VLOOKUP(DATE($A$2,$A$3+$A$1-1,IF5),HolidayList[Date],1,0)))),TRUE,FALSE),FALSE)</f>
        <v>0</v>
      </c>
      <c r="IG4" s="6" t="b">
        <f>IFERROR(IF(AND(VLOOKUP(IG6,Database!$M$3:$N$9,2,0)="Yes",NOT(ISNUMBER(VLOOKUP(DATE($A$2,$A$3+$A$1-1,IG5),HolidayList[Date],1,0)))),TRUE,FALSE),FALSE)</f>
        <v>0</v>
      </c>
      <c r="IH4" s="6" t="b">
        <f>IFERROR(IF(AND(VLOOKUP(IH6,Database!$M$3:$N$9,2,0)="Yes",NOT(ISNUMBER(VLOOKUP(DATE($A$2,$A$3+$A$1-1,IH5),HolidayList[Date],1,0)))),TRUE,FALSE),FALSE)</f>
        <v>0</v>
      </c>
      <c r="II4" s="6" t="b">
        <f>IFERROR(IF(AND(VLOOKUP(II6,Database!$M$3:$N$9,2,0)="Yes",NOT(ISNUMBER(VLOOKUP(DATE($A$2,$A$3+$A$1-1,II5),HolidayList[Date],1,0)))),TRUE,FALSE),FALSE)</f>
        <v>0</v>
      </c>
      <c r="IJ4" s="6" t="b">
        <f>IFERROR(IF(AND(VLOOKUP(IJ6,Database!$M$3:$N$9,2,0)="Yes",NOT(ISNUMBER(VLOOKUP(DATE($A$2,$A$3+$A$1-1,IJ5),HolidayList[Date],1,0)))),TRUE,FALSE),FALSE)</f>
        <v>0</v>
      </c>
      <c r="IK4" s="6" t="b">
        <f>IFERROR(IF(AND(VLOOKUP(IK6,Database!$M$3:$N$9,2,0)="Yes",NOT(ISNUMBER(VLOOKUP(DATE($A$2,$A$3+$A$1-1,IK5),HolidayList[Date],1,0)))),TRUE,FALSE),FALSE)</f>
        <v>0</v>
      </c>
      <c r="IL4" s="6" t="b">
        <f>IFERROR(IF(AND(VLOOKUP(IL6,Database!$M$3:$N$9,2,0)="Yes",NOT(ISNUMBER(VLOOKUP(DATE($A$2,$A$3+$A$1-1,IL5),HolidayList[Date],1,0)))),TRUE,FALSE),FALSE)</f>
        <v>0</v>
      </c>
      <c r="IM4" s="6" t="b">
        <f>IFERROR(IF(AND(VLOOKUP(IM6,Database!$M$3:$N$9,2,0)="Yes",NOT(ISNUMBER(VLOOKUP(DATE($A$2,$A$3+$A$1-1,IM5),HolidayList[Date],1,0)))),TRUE,FALSE),FALSE)</f>
        <v>0</v>
      </c>
      <c r="IN4" s="6" t="b">
        <f>IFERROR(IF(AND(VLOOKUP(IN6,Database!$M$3:$N$9,2,0)="Yes",NOT(ISNUMBER(VLOOKUP(DATE($A$2,$A$3+$A$1-1,IN5),HolidayList[Date],1,0)))),TRUE,FALSE),FALSE)</f>
        <v>0</v>
      </c>
      <c r="IO4" s="6" t="b">
        <f>IFERROR(IF(AND(VLOOKUP(IO6,Database!$M$3:$N$9,2,0)="Yes",NOT(ISNUMBER(VLOOKUP(DATE($A$2,$A$3+$A$1-1,IO5),HolidayList[Date],1,0)))),TRUE,FALSE),FALSE)</f>
        <v>0</v>
      </c>
      <c r="IP4" s="6" t="b">
        <f>IFERROR(IF(AND(VLOOKUP(IP6,Database!$M$3:$N$9,2,0)="Yes",NOT(ISNUMBER(VLOOKUP(DATE($A$2,$A$3+$A$1-1,IP5),HolidayList[Date],1,0)))),TRUE,FALSE),FALSE)</f>
        <v>0</v>
      </c>
      <c r="IQ4" s="6" t="b">
        <f>IFERROR(IF(AND(VLOOKUP(IQ6,Database!$M$3:$N$9,2,0)="Yes",NOT(ISNUMBER(VLOOKUP(DATE($A$2,$A$3+$A$1-1,IQ5),HolidayList[Date],1,0)))),TRUE,FALSE),FALSE)</f>
        <v>0</v>
      </c>
      <c r="IR4" s="6" t="b">
        <f>IFERROR(IF(AND(VLOOKUP(IR6,Database!$M$3:$N$9,2,0)="Yes",NOT(ISNUMBER(VLOOKUP(DATE($A$2,$A$3+$A$1-1,IR5),HolidayList[Date],1,0)))),TRUE,FALSE),FALSE)</f>
        <v>0</v>
      </c>
      <c r="IS4" s="6" t="b">
        <f>IFERROR(IF(AND(VLOOKUP(IS6,Database!$M$3:$N$9,2,0)="Yes",NOT(ISNUMBER(VLOOKUP(DATE($A$2,$A$3+$A$1-1,IS5),HolidayList[Date],1,0)))),TRUE,FALSE),FALSE)</f>
        <v>0</v>
      </c>
      <c r="IT4" s="6" t="b">
        <f>IFERROR(IF(AND(VLOOKUP(IT6,Database!$M$3:$N$9,2,0)="Yes",NOT(ISNUMBER(VLOOKUP(DATE($A$2,$A$3+$A$1-1,IT5),HolidayList[Date],1,0)))),TRUE,FALSE),FALSE)</f>
        <v>0</v>
      </c>
      <c r="IU4" s="6" t="b">
        <f>IFERROR(IF(AND(VLOOKUP(IU6,Database!$M$3:$N$9,2,0)="Yes",NOT(ISNUMBER(VLOOKUP(DATE($A$2,$A$3+$A$1-1,IU5),HolidayList[Date],1,0)))),TRUE,FALSE),FALSE)</f>
        <v>0</v>
      </c>
      <c r="IV4" s="6" t="b">
        <f>IFERROR(IF(AND(VLOOKUP(IV6,Database!$M$3:$N$9,2,0)="Yes",NOT(ISNUMBER(VLOOKUP(DATE($A$2,$A$3+$A$1-1,IV5),HolidayList[Date],1,0)))),TRUE,FALSE),FALSE)</f>
        <v>0</v>
      </c>
      <c r="IW4" s="6" t="b">
        <f>IFERROR(IF(AND(VLOOKUP(IW6,Database!$M$3:$N$9,2,0)="Yes",NOT(ISNUMBER(VLOOKUP(DATE($A$2,$A$3+$A$1-1,IW5),HolidayList[Date],1,0)))),TRUE,FALSE),FALSE)</f>
        <v>0</v>
      </c>
      <c r="IX4" s="6" t="b">
        <f>IFERROR(IF(AND(VLOOKUP(IX6,Database!$M$3:$N$9,2,0)="Yes",NOT(ISNUMBER(VLOOKUP(DATE($A$2,$A$3+$A$1-1,IX5),HolidayList[Date],1,0)))),TRUE,FALSE),FALSE)</f>
        <v>0</v>
      </c>
      <c r="IY4" s="6" t="b">
        <f>IFERROR(IF(AND(VLOOKUP(IY6,Database!$M$3:$N$9,2,0)="Yes",NOT(ISNUMBER(VLOOKUP(DATE($A$2,$A$3+$A$1-1,IY5),HolidayList[Date],1,0)))),TRUE,FALSE),FALSE)</f>
        <v>0</v>
      </c>
      <c r="IZ4" s="6" t="b">
        <f>IFERROR(IF(AND(VLOOKUP(IZ6,Database!$M$3:$N$9,2,0)="Yes",NOT(ISNUMBER(VLOOKUP(DATE($A$2,$A$3+$A$1-1,IZ5),HolidayList[Date],1,0)))),TRUE,FALSE),FALSE)</f>
        <v>0</v>
      </c>
      <c r="JA4" s="6" t="b">
        <f>IFERROR(IF(AND(VLOOKUP(JA6,Database!$M$3:$N$9,2,0)="Yes",NOT(ISNUMBER(VLOOKUP(DATE($A$2,$A$3+$A$1-1,JA5),HolidayList[Date],1,0)))),TRUE,FALSE),FALSE)</f>
        <v>0</v>
      </c>
      <c r="JB4" s="6" t="b">
        <f>IFERROR(IF(AND(VLOOKUP(JB6,Database!$M$3:$N$9,2,0)="Yes",NOT(ISNUMBER(VLOOKUP(DATE($A$2,$A$3+$A$1-1,JB5),HolidayList[Date],1,0)))),TRUE,FALSE),FALSE)</f>
        <v>0</v>
      </c>
      <c r="JC4" s="6" t="b">
        <f>IFERROR(IF(AND(VLOOKUP(JC6,Database!$M$3:$N$9,2,0)="Yes",NOT(ISNUMBER(VLOOKUP(DATE($A$2,$A$3+$A$1-1,JC5),HolidayList[Date],1,0)))),TRUE,FALSE),FALSE)</f>
        <v>0</v>
      </c>
      <c r="JD4" s="6" t="b">
        <f>IFERROR(IF(AND(VLOOKUP(JD6,Database!$M$3:$N$9,2,0)="Yes",NOT(ISNUMBER(VLOOKUP(DATE($A$2,$A$3+$A$1-1,JD5),HolidayList[Date],1,0)))),TRUE,FALSE),FALSE)</f>
        <v>0</v>
      </c>
      <c r="JE4" s="6" t="b">
        <f>IFERROR(IF(AND(VLOOKUP(JE6,Database!$M$3:$N$9,2,0)="Yes",NOT(ISNUMBER(VLOOKUP(DATE($A$2,$A$3+$A$1-1,JE5),HolidayList[Date],1,0)))),TRUE,FALSE),FALSE)</f>
        <v>0</v>
      </c>
      <c r="JF4" s="6" t="b">
        <f>IFERROR(IF(AND(VLOOKUP(JF6,Database!$M$3:$N$9,2,0)="Yes",NOT(ISNUMBER(VLOOKUP(DATE($A$2,$A$3+$A$1-1,JF5),HolidayList[Date],1,0)))),TRUE,FALSE),FALSE)</f>
        <v>0</v>
      </c>
      <c r="JG4" s="6" t="b">
        <f>IFERROR(IF(AND(VLOOKUP(JG6,Database!$M$3:$N$9,2,0)="Yes",NOT(ISNUMBER(VLOOKUP(DATE($A$2,$A$3+$A$1-1,JG5),HolidayList[Date],1,0)))),TRUE,FALSE),FALSE)</f>
        <v>0</v>
      </c>
      <c r="JH4" s="6" t="b">
        <f>IFERROR(IF(AND(VLOOKUP(JH6,Database!$M$3:$N$9,2,0)="Yes",NOT(ISNUMBER(VLOOKUP(DATE($A$2,$A$3+$A$1-1,JH5),HolidayList[Date],1,0)))),TRUE,FALSE),FALSE)</f>
        <v>0</v>
      </c>
      <c r="JI4" s="6" t="b">
        <f>IFERROR(IF(AND(VLOOKUP(JI6,Database!$M$3:$N$9,2,0)="Yes",NOT(ISNUMBER(VLOOKUP(DATE($A$2,$A$3+$A$1-1,JI5),HolidayList[Date],1,0)))),TRUE,FALSE),FALSE)</f>
        <v>0</v>
      </c>
      <c r="JJ4" s="6" t="b">
        <f>IFERROR(IF(AND(VLOOKUP(JJ6,Database!$M$3:$N$9,2,0)="Yes",NOT(ISNUMBER(VLOOKUP(DATE($A$2,$A$3+$A$1-1,JJ5),HolidayList[Date],1,0)))),TRUE,FALSE),FALSE)</f>
        <v>0</v>
      </c>
      <c r="JK4" s="6" t="b">
        <f>IFERROR(IF(AND(VLOOKUP(JK6,Database!$M$3:$N$9,2,0)="Yes",NOT(ISNUMBER(VLOOKUP(DATE($A$2,$A$3+$A$1-1,JK5),HolidayList[Date],1,0)))),TRUE,FALSE),FALSE)</f>
        <v>0</v>
      </c>
      <c r="JL4" s="6" t="b">
        <f>IFERROR(IF(AND(VLOOKUP(JL6,Database!$M$3:$N$9,2,0)="Yes",NOT(ISNUMBER(VLOOKUP(DATE($A$2,$A$3+$A$1-1,JL5),HolidayList[Date],1,0)))),TRUE,FALSE),FALSE)</f>
        <v>0</v>
      </c>
      <c r="JM4" s="6" t="b">
        <f>IFERROR(IF(AND(VLOOKUP(JM6,Database!$M$3:$N$9,2,0)="Yes",NOT(ISNUMBER(VLOOKUP(DATE($A$2,$A$3+$A$1-1,JM5),HolidayList[Date],1,0)))),TRUE,FALSE),FALSE)</f>
        <v>0</v>
      </c>
      <c r="JN4" s="6" t="b">
        <f>IFERROR(IF(AND(VLOOKUP(JN6,Database!$M$3:$N$9,2,0)="Yes",NOT(ISNUMBER(VLOOKUP(DATE($A$2,$A$3+$A$1-1,JN5),HolidayList[Date],1,0)))),TRUE,FALSE),FALSE)</f>
        <v>0</v>
      </c>
      <c r="JO4" s="6" t="b">
        <f>IFERROR(IF(AND(VLOOKUP(JO6,Database!$M$3:$N$9,2,0)="Yes",NOT(ISNUMBER(VLOOKUP(DATE($A$2,$A$3+$A$1-1,JO5),HolidayList[Date],1,0)))),TRUE,FALSE),FALSE)</f>
        <v>0</v>
      </c>
      <c r="JP4" s="6" t="b">
        <f>IFERROR(IF(AND(VLOOKUP(JP6,Database!$M$3:$N$9,2,0)="Yes",NOT(ISNUMBER(VLOOKUP(DATE($A$2,$A$3+$A$1-1,JP5),HolidayList[Date],1,0)))),TRUE,FALSE),FALSE)</f>
        <v>0</v>
      </c>
      <c r="JQ4" s="6" t="b">
        <f>IFERROR(IF(AND(VLOOKUP(JQ6,Database!$M$3:$N$9,2,0)="Yes",NOT(ISNUMBER(VLOOKUP(DATE($A$2,$A$3+$A$1-1,JQ5),HolidayList[Date],1,0)))),TRUE,FALSE),FALSE)</f>
        <v>0</v>
      </c>
      <c r="JR4" s="6" t="b">
        <f>IFERROR(IF(AND(VLOOKUP(JR6,Database!$M$3:$N$9,2,0)="Yes",NOT(ISNUMBER(VLOOKUP(DATE($A$2,$A$3+$A$1-1,JR5),HolidayList[Date],1,0)))),TRUE,FALSE),FALSE)</f>
        <v>0</v>
      </c>
      <c r="JS4" s="6" t="b">
        <f>IFERROR(IF(AND(VLOOKUP(JS6,Database!$M$3:$N$9,2,0)="Yes",NOT(ISNUMBER(VLOOKUP(DATE($A$2,$A$3+$A$1-1,JS5),HolidayList[Date],1,0)))),TRUE,FALSE),FALSE)</f>
        <v>0</v>
      </c>
      <c r="JT4" s="6" t="b">
        <f>IFERROR(IF(AND(VLOOKUP(JT6,Database!$M$3:$N$9,2,0)="Yes",NOT(ISNUMBER(VLOOKUP(DATE($A$2,$A$3+$A$1-1,JT5),HolidayList[Date],1,0)))),TRUE,FALSE),FALSE)</f>
        <v>0</v>
      </c>
      <c r="JU4" s="6" t="b">
        <f>IFERROR(IF(AND(VLOOKUP(JU6,Database!$M$3:$N$9,2,0)="Yes",NOT(ISNUMBER(VLOOKUP(DATE($A$2,$A$3+$A$1-1,JU5),HolidayList[Date],1,0)))),TRUE,FALSE),FALSE)</f>
        <v>0</v>
      </c>
      <c r="JV4" s="6" t="b">
        <f>IFERROR(IF(AND(VLOOKUP(JV6,Database!$M$3:$N$9,2,0)="Yes",NOT(ISNUMBER(VLOOKUP(DATE($A$2,$A$3+$A$1-1,JV5),HolidayList[Date],1,0)))),TRUE,FALSE),FALSE)</f>
        <v>0</v>
      </c>
      <c r="JW4" s="6" t="b">
        <f>IFERROR(IF(AND(VLOOKUP(JW6,Database!$M$3:$N$9,2,0)="Yes",NOT(ISNUMBER(VLOOKUP(DATE($A$2,$A$3+$A$1-1,JW5),HolidayList[Date],1,0)))),TRUE,FALSE),FALSE)</f>
        <v>0</v>
      </c>
      <c r="JX4" s="6" t="b">
        <f>IFERROR(IF(AND(VLOOKUP(JX6,Database!$M$3:$N$9,2,0)="Yes",NOT(ISNUMBER(VLOOKUP(DATE($A$2,$A$3+$A$1-1,JX5),HolidayList[Date],1,0)))),TRUE,FALSE),FALSE)</f>
        <v>0</v>
      </c>
      <c r="JY4" s="6" t="b">
        <f>IFERROR(IF(AND(VLOOKUP(JY6,Database!$M$3:$N$9,2,0)="Yes",NOT(ISNUMBER(VLOOKUP(DATE($A$2,$A$3+$A$1-1,JY5),HolidayList[Date],1,0)))),TRUE,FALSE),FALSE)</f>
        <v>0</v>
      </c>
      <c r="JZ4" s="6" t="b">
        <f>IFERROR(IF(AND(VLOOKUP(JZ6,Database!$M$3:$N$9,2,0)="Yes",NOT(ISNUMBER(VLOOKUP(DATE($A$2,$A$3+$A$1-1,JZ5),HolidayList[Date],1,0)))),TRUE,FALSE),FALSE)</f>
        <v>0</v>
      </c>
      <c r="KA4" s="6" t="b">
        <f>IFERROR(IF(AND(VLOOKUP(KA6,Database!$M$3:$N$9,2,0)="Yes",NOT(ISNUMBER(VLOOKUP(DATE($A$2,$A$3+$A$1-1,KA5),HolidayList[Date],1,0)))),TRUE,FALSE),FALSE)</f>
        <v>0</v>
      </c>
      <c r="KB4" s="6" t="b">
        <f>IFERROR(IF(AND(VLOOKUP(KB6,Database!$M$3:$N$9,2,0)="Yes",NOT(ISNUMBER(VLOOKUP(DATE($A$2,$A$3+$A$1-1,KB5),HolidayList[Date],1,0)))),TRUE,FALSE),FALSE)</f>
        <v>0</v>
      </c>
      <c r="KC4" s="6" t="b">
        <f>IFERROR(IF(AND(VLOOKUP(KC6,Database!$M$3:$N$9,2,0)="Yes",NOT(ISNUMBER(VLOOKUP(DATE($A$2,$A$3+$A$1-1,KC5),HolidayList[Date],1,0)))),TRUE,FALSE),FALSE)</f>
        <v>0</v>
      </c>
      <c r="KD4" s="6" t="b">
        <f>IFERROR(IF(AND(VLOOKUP(KD6,Database!$M$3:$N$9,2,0)="Yes",NOT(ISNUMBER(VLOOKUP(DATE($A$2,$A$3+$A$1-1,KD5),HolidayList[Date],1,0)))),TRUE,FALSE),FALSE)</f>
        <v>0</v>
      </c>
      <c r="KE4" s="6" t="b">
        <f>IFERROR(IF(AND(VLOOKUP(KE6,Database!$M$3:$N$9,2,0)="Yes",NOT(ISNUMBER(VLOOKUP(DATE($A$2,$A$3+$A$1-1,KE5),HolidayList[Date],1,0)))),TRUE,FALSE),FALSE)</f>
        <v>0</v>
      </c>
      <c r="KF4" s="6" t="b">
        <f>IFERROR(IF(AND(VLOOKUP(KF6,Database!$M$3:$N$9,2,0)="Yes",NOT(ISNUMBER(VLOOKUP(DATE($A$2,$A$3+$A$1-1,KF5),HolidayList[Date],1,0)))),TRUE,FALSE),FALSE)</f>
        <v>0</v>
      </c>
      <c r="KG4" s="6" t="b">
        <f>IFERROR(IF(AND(VLOOKUP(KG6,Database!$M$3:$N$9,2,0)="Yes",NOT(ISNUMBER(VLOOKUP(DATE($A$2,$A$3+$A$1-1,KG5),HolidayList[Date],1,0)))),TRUE,FALSE),FALSE)</f>
        <v>0</v>
      </c>
      <c r="KH4" s="6" t="b">
        <f>IFERROR(IF(AND(VLOOKUP(KH6,Database!$M$3:$N$9,2,0)="Yes",NOT(ISNUMBER(VLOOKUP(DATE($A$2,$A$3+$A$1-1,KH5),HolidayList[Date],1,0)))),TRUE,FALSE),FALSE)</f>
        <v>0</v>
      </c>
      <c r="KI4" s="6" t="b">
        <f>IFERROR(IF(AND(VLOOKUP(KI6,Database!$M$3:$N$9,2,0)="Yes",NOT(ISNUMBER(VLOOKUP(DATE($A$2,$A$3+$A$1-1,KI5),HolidayList[Date],1,0)))),TRUE,FALSE),FALSE)</f>
        <v>0</v>
      </c>
      <c r="KJ4" s="6" t="b">
        <f>IFERROR(IF(AND(VLOOKUP(KJ6,Database!$M$3:$N$9,2,0)="Yes",NOT(ISNUMBER(VLOOKUP(DATE($A$2,$A$3+$A$1-1,KJ5),HolidayList[Date],1,0)))),TRUE,FALSE),FALSE)</f>
        <v>0</v>
      </c>
      <c r="KK4" s="6" t="b">
        <f>IFERROR(IF(AND(VLOOKUP(KK6,Database!$M$3:$N$9,2,0)="Yes",NOT(ISNUMBER(VLOOKUP(DATE($A$2,$A$3+$A$1-1,KK5),HolidayList[Date],1,0)))),TRUE,FALSE),FALSE)</f>
        <v>0</v>
      </c>
      <c r="KL4" s="6" t="b">
        <f>IFERROR(IF(AND(VLOOKUP(KL6,Database!$M$3:$N$9,2,0)="Yes",NOT(ISNUMBER(VLOOKUP(DATE($A$2,$A$3+$A$1-1,KL5),HolidayList[Date],1,0)))),TRUE,FALSE),FALSE)</f>
        <v>0</v>
      </c>
      <c r="KM4" s="6" t="b">
        <f>IFERROR(IF(AND(VLOOKUP(KM6,Database!$M$3:$N$9,2,0)="Yes",NOT(ISNUMBER(VLOOKUP(DATE($A$2,$A$3+$A$1-1,KM5),HolidayList[Date],1,0)))),TRUE,FALSE),FALSE)</f>
        <v>0</v>
      </c>
      <c r="KN4" s="6" t="b">
        <f>IFERROR(IF(AND(VLOOKUP(KN6,Database!$M$3:$N$9,2,0)="Yes",NOT(ISNUMBER(VLOOKUP(DATE($A$2,$A$3+$A$1-1,KN5),HolidayList[Date],1,0)))),TRUE,FALSE),FALSE)</f>
        <v>0</v>
      </c>
      <c r="KO4" s="6" t="b">
        <f>IFERROR(IF(AND(VLOOKUP(KO6,Database!$M$3:$N$9,2,0)="Yes",NOT(ISNUMBER(VLOOKUP(DATE($A$2,$A$3+$A$1-1,KO5),HolidayList[Date],1,0)))),TRUE,FALSE),FALSE)</f>
        <v>0</v>
      </c>
      <c r="KP4" s="6" t="b">
        <f>IFERROR(IF(AND(VLOOKUP(KP6,Database!$M$3:$N$9,2,0)="Yes",NOT(ISNUMBER(VLOOKUP(DATE($A$2,$A$3+$A$1-1,KP5),HolidayList[Date],1,0)))),TRUE,FALSE),FALSE)</f>
        <v>0</v>
      </c>
      <c r="KQ4" s="6" t="b">
        <f>IFERROR(IF(AND(VLOOKUP(KQ6,Database!$M$3:$N$9,2,0)="Yes",NOT(ISNUMBER(VLOOKUP(DATE($A$2,$A$3+$A$1-1,KQ5),HolidayList[Date],1,0)))),TRUE,FALSE),FALSE)</f>
        <v>0</v>
      </c>
      <c r="KR4" s="6" t="b">
        <f>IFERROR(IF(AND(VLOOKUP(KR6,Database!$M$3:$N$9,2,0)="Yes",NOT(ISNUMBER(VLOOKUP(DATE($A$2,$A$3+$A$1-1,KR5),HolidayList[Date],1,0)))),TRUE,FALSE),FALSE)</f>
        <v>0</v>
      </c>
      <c r="KS4" s="6" t="b">
        <f>IFERROR(IF(AND(VLOOKUP(KS6,Database!$M$3:$N$9,2,0)="Yes",NOT(ISNUMBER(VLOOKUP(DATE($A$2,$A$3+$A$1-1,KS5),HolidayList[Date],1,0)))),TRUE,FALSE),FALSE)</f>
        <v>0</v>
      </c>
      <c r="KT4" s="6" t="b">
        <f>IFERROR(IF(AND(VLOOKUP(KT6,Database!$M$3:$N$9,2,0)="Yes",NOT(ISNUMBER(VLOOKUP(DATE($A$2,$A$3+$A$1-1,KT5),HolidayList[Date],1,0)))),TRUE,FALSE),FALSE)</f>
        <v>0</v>
      </c>
      <c r="KU4" s="6" t="b">
        <f>IFERROR(IF(AND(VLOOKUP(KU6,Database!$M$3:$N$9,2,0)="Yes",NOT(ISNUMBER(VLOOKUP(DATE($A$2,$A$3+$A$1-1,KU5),HolidayList[Date],1,0)))),TRUE,FALSE),FALSE)</f>
        <v>0</v>
      </c>
      <c r="KV4" s="6" t="b">
        <f>IFERROR(IF(AND(VLOOKUP(KV6,Database!$M$3:$N$9,2,0)="Yes",NOT(ISNUMBER(VLOOKUP(DATE($A$2,$A$3+$A$1-1,KV5),HolidayList[Date],1,0)))),TRUE,FALSE),FALSE)</f>
        <v>0</v>
      </c>
      <c r="KW4" s="6" t="b">
        <f>IFERROR(IF(AND(VLOOKUP(KW6,Database!$M$3:$N$9,2,0)="Yes",NOT(ISNUMBER(VLOOKUP(DATE($A$2,$A$3+$A$1-1,KW5),HolidayList[Date],1,0)))),TRUE,FALSE),FALSE)</f>
        <v>0</v>
      </c>
      <c r="KX4" s="6" t="b">
        <f>IFERROR(IF(AND(VLOOKUP(KX6,Database!$M$3:$N$9,2,0)="Yes",NOT(ISNUMBER(VLOOKUP(DATE($A$2,$A$3+$A$1-1,KX5),HolidayList[Date],1,0)))),TRUE,FALSE),FALSE)</f>
        <v>0</v>
      </c>
      <c r="KY4" s="6" t="b">
        <f>IFERROR(IF(AND(VLOOKUP(KY6,Database!$M$3:$N$9,2,0)="Yes",NOT(ISNUMBER(VLOOKUP(DATE($A$2,$A$3+$A$1-1,KY5),HolidayList[Date],1,0)))),TRUE,FALSE),FALSE)</f>
        <v>0</v>
      </c>
      <c r="KZ4" s="6" t="b">
        <f>IFERROR(IF(AND(VLOOKUP(KZ6,Database!$M$3:$N$9,2,0)="Yes",NOT(ISNUMBER(VLOOKUP(DATE($A$2,$A$3+$A$1-1,KZ5),HolidayList[Date],1,0)))),TRUE,FALSE),FALSE)</f>
        <v>0</v>
      </c>
      <c r="LA4" s="6" t="b">
        <f>IFERROR(IF(AND(VLOOKUP(LA6,Database!$M$3:$N$9,2,0)="Yes",NOT(ISNUMBER(VLOOKUP(DATE($A$2,$A$3+$A$1-1,LA5),HolidayList[Date],1,0)))),TRUE,FALSE),FALSE)</f>
        <v>0</v>
      </c>
      <c r="LB4" s="6" t="b">
        <f>IFERROR(IF(AND(VLOOKUP(LB6,Database!$M$3:$N$9,2,0)="Yes",NOT(ISNUMBER(VLOOKUP(DATE($A$2,$A$3+$A$1-1,LB5),HolidayList[Date],1,0)))),TRUE,FALSE),FALSE)</f>
        <v>0</v>
      </c>
      <c r="LC4" s="6" t="b">
        <f>IFERROR(IF(AND(VLOOKUP(LC6,Database!$M$3:$N$9,2,0)="Yes",NOT(ISNUMBER(VLOOKUP(DATE($A$2,$A$3+$A$1-1,LC5),HolidayList[Date],1,0)))),TRUE,FALSE),FALSE)</f>
        <v>0</v>
      </c>
      <c r="LD4" s="6" t="b">
        <f>IFERROR(IF(AND(VLOOKUP(LD6,Database!$M$3:$N$9,2,0)="Yes",NOT(ISNUMBER(VLOOKUP(DATE($A$2,$A$3+$A$1-1,LD5),HolidayList[Date],1,0)))),TRUE,FALSE),FALSE)</f>
        <v>0</v>
      </c>
      <c r="LE4" s="6" t="b">
        <f>IFERROR(IF(AND(VLOOKUP(LE6,Database!$M$3:$N$9,2,0)="Yes",NOT(ISNUMBER(VLOOKUP(DATE($A$2,$A$3+$A$1-1,LE5),HolidayList[Date],1,0)))),TRUE,FALSE),FALSE)</f>
        <v>0</v>
      </c>
      <c r="LF4" s="6" t="b">
        <f>IFERROR(IF(AND(VLOOKUP(LF6,Database!$M$3:$N$9,2,0)="Yes",NOT(ISNUMBER(VLOOKUP(DATE($A$2,$A$3+$A$1-1,LF5),HolidayList[Date],1,0)))),TRUE,FALSE),FALSE)</f>
        <v>0</v>
      </c>
      <c r="LG4" s="6" t="b">
        <f>IFERROR(IF(AND(VLOOKUP(LG6,Database!$M$3:$N$9,2,0)="Yes",NOT(ISNUMBER(VLOOKUP(DATE($A$2,$A$3+$A$1-1,LG5),HolidayList[Date],1,0)))),TRUE,FALSE),FALSE)</f>
        <v>0</v>
      </c>
      <c r="LH4" s="6" t="b">
        <f>IFERROR(IF(AND(VLOOKUP(LH6,Database!$M$3:$N$9,2,0)="Yes",NOT(ISNUMBER(VLOOKUP(DATE($A$2,$A$3+$A$1-1,LH5),HolidayList[Date],1,0)))),TRUE,FALSE),FALSE)</f>
        <v>0</v>
      </c>
      <c r="LI4" s="6" t="b">
        <f>IFERROR(IF(AND(VLOOKUP(LI6,Database!$M$3:$N$9,2,0)="Yes",NOT(ISNUMBER(VLOOKUP(DATE($A$2,$A$3+$A$1-1,LI5),HolidayList[Date],1,0)))),TRUE,FALSE),FALSE)</f>
        <v>0</v>
      </c>
      <c r="LJ4" s="6" t="b">
        <f>IFERROR(IF(AND(VLOOKUP(LJ6,Database!$M$3:$N$9,2,0)="Yes",NOT(ISNUMBER(VLOOKUP(DATE($A$2,$A$3+$A$1-1,LJ5),HolidayList[Date],1,0)))),TRUE,FALSE),FALSE)</f>
        <v>0</v>
      </c>
      <c r="LK4" s="6" t="b">
        <f>IFERROR(IF(AND(VLOOKUP(LK6,Database!$M$3:$N$9,2,0)="Yes",NOT(ISNUMBER(VLOOKUP(DATE($A$2,$A$3+$A$1-1,LK5),HolidayList[Date],1,0)))),TRUE,FALSE),FALSE)</f>
        <v>0</v>
      </c>
      <c r="LL4" s="6" t="b">
        <f>IFERROR(IF(AND(VLOOKUP(LL6,Database!$M$3:$N$9,2,0)="Yes",NOT(ISNUMBER(VLOOKUP(DATE($A$2,$A$3+$A$1-1,LL5),HolidayList[Date],1,0)))),TRUE,FALSE),FALSE)</f>
        <v>0</v>
      </c>
      <c r="LM4" s="6" t="b">
        <f>IFERROR(IF(AND(VLOOKUP(LM6,Database!$M$3:$N$9,2,0)="Yes",NOT(ISNUMBER(VLOOKUP(DATE($A$2,$A$3+$A$1-1,LM5),HolidayList[Date],1,0)))),TRUE,FALSE),FALSE)</f>
        <v>0</v>
      </c>
      <c r="LN4" s="6" t="b">
        <f>IFERROR(IF(AND(VLOOKUP(LN6,Database!$M$3:$N$9,2,0)="Yes",NOT(ISNUMBER(VLOOKUP(DATE($A$2,$A$3+$A$1-1,LN5),HolidayList[Date],1,0)))),TRUE,FALSE),FALSE)</f>
        <v>0</v>
      </c>
      <c r="LO4" s="6" t="b">
        <f>IFERROR(IF(AND(VLOOKUP(LO6,Database!$M$3:$N$9,2,0)="Yes",NOT(ISNUMBER(VLOOKUP(DATE($A$2,$A$3+$A$1-1,LO5),HolidayList[Date],1,0)))),TRUE,FALSE),FALSE)</f>
        <v>0</v>
      </c>
      <c r="LP4" s="6" t="b">
        <f>IFERROR(IF(AND(VLOOKUP(LP6,Database!$M$3:$N$9,2,0)="Yes",NOT(ISNUMBER(VLOOKUP(DATE($A$2,$A$3+$A$1-1,LP5),HolidayList[Date],1,0)))),TRUE,FALSE),FALSE)</f>
        <v>0</v>
      </c>
      <c r="LQ4" s="6" t="b">
        <f>IFERROR(IF(AND(VLOOKUP(LQ6,Database!$M$3:$N$9,2,0)="Yes",NOT(ISNUMBER(VLOOKUP(DATE($A$2,$A$3+$A$1-1,LQ5),HolidayList[Date],1,0)))),TRUE,FALSE),FALSE)</f>
        <v>0</v>
      </c>
      <c r="LR4" s="6" t="b">
        <f>IFERROR(IF(AND(VLOOKUP(LR6,Database!$M$3:$N$9,2,0)="Yes",NOT(ISNUMBER(VLOOKUP(DATE($A$2,$A$3+$A$1-1,LR5),HolidayList[Date],1,0)))),TRUE,FALSE),FALSE)</f>
        <v>0</v>
      </c>
      <c r="LS4" s="6" t="b">
        <f>IFERROR(IF(AND(VLOOKUP(LS6,Database!$M$3:$N$9,2,0)="Yes",NOT(ISNUMBER(VLOOKUP(DATE($A$2,$A$3+$A$1-1,LS5),HolidayList[Date],1,0)))),TRUE,FALSE),FALSE)</f>
        <v>0</v>
      </c>
      <c r="LT4" s="6" t="b">
        <f>IFERROR(IF(AND(VLOOKUP(LT6,Database!$M$3:$N$9,2,0)="Yes",NOT(ISNUMBER(VLOOKUP(DATE($A$2,$A$3+$A$1-1,LT5),HolidayList[Date],1,0)))),TRUE,FALSE),FALSE)</f>
        <v>0</v>
      </c>
      <c r="LU4" s="6" t="b">
        <f>IFERROR(IF(AND(VLOOKUP(LU6,Database!$M$3:$N$9,2,0)="Yes",NOT(ISNUMBER(VLOOKUP(DATE($A$2,$A$3+$A$1-1,LU5),HolidayList[Date],1,0)))),TRUE,FALSE),FALSE)</f>
        <v>0</v>
      </c>
      <c r="LV4" s="6" t="b">
        <f>IFERROR(IF(AND(VLOOKUP(LV6,Database!$M$3:$N$9,2,0)="Yes",NOT(ISNUMBER(VLOOKUP(DATE($A$2,$A$3+$A$1-1,LV5),HolidayList[Date],1,0)))),TRUE,FALSE),FALSE)</f>
        <v>0</v>
      </c>
      <c r="LW4" s="6" t="b">
        <f>IFERROR(IF(AND(VLOOKUP(LW6,Database!$M$3:$N$9,2,0)="Yes",NOT(ISNUMBER(VLOOKUP(DATE($A$2,$A$3+$A$1-1,LW5),HolidayList[Date],1,0)))),TRUE,FALSE),FALSE)</f>
        <v>0</v>
      </c>
      <c r="LX4" s="6" t="b">
        <f>IFERROR(IF(AND(VLOOKUP(LX6,Database!$M$3:$N$9,2,0)="Yes",NOT(ISNUMBER(VLOOKUP(DATE($A$2,$A$3+$A$1-1,LX5),HolidayList[Date],1,0)))),TRUE,FALSE),FALSE)</f>
        <v>0</v>
      </c>
      <c r="LY4" s="6" t="b">
        <f>IFERROR(IF(AND(VLOOKUP(LY6,Database!$M$3:$N$9,2,0)="Yes",NOT(ISNUMBER(VLOOKUP(DATE($A$2,$A$3+$A$1-1,LY5),HolidayList[Date],1,0)))),TRUE,FALSE),FALSE)</f>
        <v>0</v>
      </c>
      <c r="LZ4" s="6" t="b">
        <f>IFERROR(IF(AND(VLOOKUP(LZ6,Database!$M$3:$N$9,2,0)="Yes",NOT(ISNUMBER(VLOOKUP(DATE($A$2,$A$3+$A$1-1,LZ5),HolidayList[Date],1,0)))),TRUE,FALSE),FALSE)</f>
        <v>0</v>
      </c>
      <c r="MA4" s="6" t="b">
        <f>IFERROR(IF(AND(VLOOKUP(MA6,Database!$M$3:$N$9,2,0)="Yes",NOT(ISNUMBER(VLOOKUP(DATE($A$2,$A$3+$A$1-1,MA5),HolidayList[Date],1,0)))),TRUE,FALSE),FALSE)</f>
        <v>0</v>
      </c>
      <c r="MB4" s="6" t="b">
        <f>IFERROR(IF(AND(VLOOKUP(MB6,Database!$M$3:$N$9,2,0)="Yes",NOT(ISNUMBER(VLOOKUP(DATE($A$2,$A$3+$A$1-1,MB5),HolidayList[Date],1,0)))),TRUE,FALSE),FALSE)</f>
        <v>0</v>
      </c>
      <c r="MC4" s="6" t="b">
        <f>IFERROR(IF(AND(VLOOKUP(MC6,Database!$M$3:$N$9,2,0)="Yes",NOT(ISNUMBER(VLOOKUP(DATE($A$2,$A$3+$A$1-1,MC5),HolidayList[Date],1,0)))),TRUE,FALSE),FALSE)</f>
        <v>0</v>
      </c>
      <c r="MD4" s="6" t="b">
        <f>IFERROR(IF(AND(VLOOKUP(MD6,Database!$M$3:$N$9,2,0)="Yes",NOT(ISNUMBER(VLOOKUP(DATE($A$2,$A$3+$A$1-1,MD5),HolidayList[Date],1,0)))),TRUE,FALSE),FALSE)</f>
        <v>0</v>
      </c>
      <c r="ME4" s="6" t="b">
        <f>IFERROR(IF(AND(VLOOKUP(ME6,Database!$M$3:$N$9,2,0)="Yes",NOT(ISNUMBER(VLOOKUP(DATE($A$2,$A$3+$A$1-1,ME5),HolidayList[Date],1,0)))),TRUE,FALSE),FALSE)</f>
        <v>0</v>
      </c>
      <c r="MF4" s="6" t="b">
        <f>IFERROR(IF(AND(VLOOKUP(MF6,Database!$M$3:$N$9,2,0)="Yes",NOT(ISNUMBER(VLOOKUP(DATE($A$2,$A$3+$A$1-1,MF5),HolidayList[Date],1,0)))),TRUE,FALSE),FALSE)</f>
        <v>0</v>
      </c>
      <c r="MG4" s="6" t="b">
        <f>IFERROR(IF(AND(VLOOKUP(MG6,Database!$M$3:$N$9,2,0)="Yes",NOT(ISNUMBER(VLOOKUP(DATE($A$2,$A$3+$A$1-1,MG5),HolidayList[Date],1,0)))),TRUE,FALSE),FALSE)</f>
        <v>0</v>
      </c>
      <c r="MH4" s="6" t="b">
        <f>IFERROR(IF(AND(VLOOKUP(MH6,Database!$M$3:$N$9,2,0)="Yes",NOT(ISNUMBER(VLOOKUP(DATE($A$2,$A$3+$A$1-1,MH5),HolidayList[Date],1,0)))),TRUE,FALSE),FALSE)</f>
        <v>0</v>
      </c>
      <c r="MI4" s="6" t="b">
        <f>IFERROR(IF(AND(VLOOKUP(MI6,Database!$M$3:$N$9,2,0)="Yes",NOT(ISNUMBER(VLOOKUP(DATE($A$2,$A$3+$A$1-1,MI5),HolidayList[Date],1,0)))),TRUE,FALSE),FALSE)</f>
        <v>0</v>
      </c>
      <c r="MJ4" s="6" t="b">
        <f>IFERROR(IF(AND(VLOOKUP(MJ6,Database!$M$3:$N$9,2,0)="Yes",NOT(ISNUMBER(VLOOKUP(DATE($A$2,$A$3+$A$1-1,MJ5),HolidayList[Date],1,0)))),TRUE,FALSE),FALSE)</f>
        <v>0</v>
      </c>
      <c r="MK4" s="6" t="b">
        <f>IFERROR(IF(AND(VLOOKUP(MK6,Database!$M$3:$N$9,2,0)="Yes",NOT(ISNUMBER(VLOOKUP(DATE($A$2,$A$3+$A$1-1,MK5),HolidayList[Date],1,0)))),TRUE,FALSE),FALSE)</f>
        <v>0</v>
      </c>
      <c r="ML4" s="6" t="b">
        <f>IFERROR(IF(AND(VLOOKUP(ML6,Database!$M$3:$N$9,2,0)="Yes",NOT(ISNUMBER(VLOOKUP(DATE($A$2,$A$3+$A$1-1,ML5),HolidayList[Date],1,0)))),TRUE,FALSE),FALSE)</f>
        <v>0</v>
      </c>
      <c r="MM4" s="6" t="b">
        <f>IFERROR(IF(AND(VLOOKUP(MM6,Database!$M$3:$N$9,2,0)="Yes",NOT(ISNUMBER(VLOOKUP(DATE($A$2,$A$3+$A$1-1,MM5),HolidayList[Date],1,0)))),TRUE,FALSE),FALSE)</f>
        <v>0</v>
      </c>
      <c r="MN4" s="6" t="b">
        <f>IFERROR(IF(AND(VLOOKUP(MN6,Database!$M$3:$N$9,2,0)="Yes",NOT(ISNUMBER(VLOOKUP(DATE($A$2,$A$3+$A$1-1,MN5),HolidayList[Date],1,0)))),TRUE,FALSE),FALSE)</f>
        <v>0</v>
      </c>
      <c r="MO4" s="6" t="b">
        <f>IFERROR(IF(AND(VLOOKUP(MO6,Database!$M$3:$N$9,2,0)="Yes",NOT(ISNUMBER(VLOOKUP(DATE($A$2,$A$3+$A$1-1,MO5),HolidayList[Date],1,0)))),TRUE,FALSE),FALSE)</f>
        <v>0</v>
      </c>
      <c r="MP4" s="6" t="b">
        <f>IFERROR(IF(AND(VLOOKUP(MP6,Database!$M$3:$N$9,2,0)="Yes",NOT(ISNUMBER(VLOOKUP(DATE($A$2,$A$3+$A$1-1,MP5),HolidayList[Date],1,0)))),TRUE,FALSE),FALSE)</f>
        <v>0</v>
      </c>
      <c r="MQ4" s="6" t="b">
        <f>IFERROR(IF(AND(VLOOKUP(MQ6,Database!$M$3:$N$9,2,0)="Yes",NOT(ISNUMBER(VLOOKUP(DATE($A$2,$A$3+$A$1-1,MQ5),HolidayList[Date],1,0)))),TRUE,FALSE),FALSE)</f>
        <v>0</v>
      </c>
      <c r="MR4" s="6" t="b">
        <f>IFERROR(IF(AND(VLOOKUP(MR6,Database!$M$3:$N$9,2,0)="Yes",NOT(ISNUMBER(VLOOKUP(DATE($A$2,$A$3+$A$1-1,MR5),HolidayList[Date],1,0)))),TRUE,FALSE),FALSE)</f>
        <v>0</v>
      </c>
      <c r="MS4" s="6" t="b">
        <f>IFERROR(IF(AND(VLOOKUP(MS6,Database!$M$3:$N$9,2,0)="Yes",NOT(ISNUMBER(VLOOKUP(DATE($A$2,$A$3+$A$1-1,MS5),HolidayList[Date],1,0)))),TRUE,FALSE),FALSE)</f>
        <v>0</v>
      </c>
      <c r="MT4" s="6" t="b">
        <f>IFERROR(IF(AND(VLOOKUP(MT6,Database!$M$3:$N$9,2,0)="Yes",NOT(ISNUMBER(VLOOKUP(DATE($A$2,$A$3+$A$1-1,MT5),HolidayList[Date],1,0)))),TRUE,FALSE),FALSE)</f>
        <v>0</v>
      </c>
      <c r="MU4" s="6" t="b">
        <f>IFERROR(IF(AND(VLOOKUP(MU6,Database!$M$3:$N$9,2,0)="Yes",NOT(ISNUMBER(VLOOKUP(DATE($A$2,$A$3+$A$1-1,MU5),HolidayList[Date],1,0)))),TRUE,FALSE),FALSE)</f>
        <v>0</v>
      </c>
      <c r="MV4" s="6" t="b">
        <f>IFERROR(IF(AND(VLOOKUP(MV6,Database!$M$3:$N$9,2,0)="Yes",NOT(ISNUMBER(VLOOKUP(DATE($A$2,$A$3+$A$1-1,MV5),HolidayList[Date],1,0)))),TRUE,FALSE),FALSE)</f>
        <v>0</v>
      </c>
      <c r="MW4" s="6" t="b">
        <f>IFERROR(IF(AND(VLOOKUP(MW6,Database!$M$3:$N$9,2,0)="Yes",NOT(ISNUMBER(VLOOKUP(DATE($A$2,$A$3+$A$1-1,MW5),HolidayList[Date],1,0)))),TRUE,FALSE),FALSE)</f>
        <v>0</v>
      </c>
      <c r="MX4" s="6" t="b">
        <f>IFERROR(IF(AND(VLOOKUP(MX6,Database!$M$3:$N$9,2,0)="Yes",NOT(ISNUMBER(VLOOKUP(DATE($A$2,$A$3+$A$1-1,MX5),HolidayList[Date],1,0)))),TRUE,FALSE),FALSE)</f>
        <v>0</v>
      </c>
      <c r="MY4" s="6" t="b">
        <f>IFERROR(IF(AND(VLOOKUP(MY6,Database!$M$3:$N$9,2,0)="Yes",NOT(ISNUMBER(VLOOKUP(DATE($A$2,$A$3+$A$1-1,MY5),HolidayList[Date],1,0)))),TRUE,FALSE),FALSE)</f>
        <v>0</v>
      </c>
      <c r="MZ4" s="6" t="b">
        <f>IFERROR(IF(AND(VLOOKUP(MZ6,Database!$M$3:$N$9,2,0)="Yes",NOT(ISNUMBER(VLOOKUP(DATE($A$2,$A$3+$A$1-1,MZ5),HolidayList[Date],1,0)))),TRUE,FALSE),FALSE)</f>
        <v>0</v>
      </c>
      <c r="NA4" s="6" t="b">
        <f>IFERROR(IF(AND(VLOOKUP(NA6,Database!$M$3:$N$9,2,0)="Yes",NOT(ISNUMBER(VLOOKUP(DATE($A$2,$A$3+$A$1-1,NA5),HolidayList[Date],1,0)))),TRUE,FALSE),FALSE)</f>
        <v>0</v>
      </c>
      <c r="NB4" s="6" t="b">
        <f>IFERROR(IF(AND(VLOOKUP(NB6,Database!$M$3:$N$9,2,0)="Yes",NOT(ISNUMBER(VLOOKUP(DATE($A$2,$A$3+$A$1-1,NB5),HolidayList[Date],1,0)))),TRUE,FALSE),FALSE)</f>
        <v>0</v>
      </c>
      <c r="NC4" s="6" t="b">
        <f>IFERROR(IF(AND(VLOOKUP(NC6,Database!$M$3:$N$9,2,0)="Yes",NOT(ISNUMBER(VLOOKUP(DATE($A$2,$A$3+$A$1-1,NC5),HolidayList[Date],1,0)))),TRUE,FALSE),FALSE)</f>
        <v>0</v>
      </c>
      <c r="ND4" s="6" t="b">
        <f>IFERROR(IF(AND(VLOOKUP(ND6,Database!$M$3:$N$9,2,0)="Yes",NOT(ISNUMBER(VLOOKUP(DATE($A$2,$A$3+$A$1-1,ND5),HolidayList[Date],1,0)))),TRUE,FALSE),FALSE)</f>
        <v>0</v>
      </c>
      <c r="NE4" s="6" t="b">
        <f>IFERROR(IF(AND(VLOOKUP(NE6,Database!$M$3:$N$9,2,0)="Yes",NOT(ISNUMBER(VLOOKUP(DATE($A$2,$A$3+$A$1-1,NE5),HolidayList[Date],1,0)))),TRUE,FALSE),FALSE)</f>
        <v>0</v>
      </c>
      <c r="NF4" s="6" t="b">
        <f>IFERROR(IF(AND(VLOOKUP(NF6,Database!$M$3:$N$9,2,0)="Yes",NOT(ISNUMBER(VLOOKUP(DATE($A$2,$A$3+$A$1-1,NF5),HolidayList[Date],1,0)))),TRUE,FALSE),FALSE)</f>
        <v>0</v>
      </c>
      <c r="NG4" s="6" t="b">
        <f>IFERROR(IF(AND(VLOOKUP(NG6,Database!$M$3:$N$9,2,0)="Yes",NOT(ISNUMBER(VLOOKUP(DATE($A$2,$A$3+$A$1-1,NG5),HolidayList[Date],1,0)))),TRUE,FALSE),FALSE)</f>
        <v>0</v>
      </c>
      <c r="NH4" s="6" t="b">
        <f>IFERROR(IF(AND(VLOOKUP(NH6,Database!$M$3:$N$9,2,0)="Yes",NOT(ISNUMBER(VLOOKUP(DATE($A$2,$A$3+$A$1-1,NH5),HolidayList[Date],1,0)))),TRUE,FALSE),FALSE)</f>
        <v>0</v>
      </c>
      <c r="NI4" s="6" t="b">
        <f>IFERROR(IF(AND(VLOOKUP(NI6,Database!$M$3:$N$9,2,0)="Yes",NOT(ISNUMBER(VLOOKUP(DATE($A$2,$A$3+$A$1-1,NI5),HolidayList[Date],1,0)))),TRUE,FALSE),FALSE)</f>
        <v>0</v>
      </c>
      <c r="NL4" s="61" t="s">
        <v>62</v>
      </c>
      <c r="NM4" s="61"/>
      <c r="NN4" s="61"/>
      <c r="NO4" s="61"/>
      <c r="NP4" s="61"/>
      <c r="NQ4" s="61"/>
      <c r="NR4" s="61"/>
      <c r="NS4" s="61"/>
      <c r="NT4" s="61"/>
      <c r="NU4" s="61"/>
    </row>
    <row r="5" spans="1:402" s="77" customFormat="1" ht="15" customHeight="1" x14ac:dyDescent="0.2">
      <c r="A5" s="25"/>
      <c r="B5" s="27">
        <f t="shared" ref="B5:BM5" si="0">IF(AND((COLUMN()-1)&gt;31*($A$3-1),MONTH(DATE($A$2+INT(($A$3+$A$1)/12),IF((INT((COLUMN()-1)/31.001)+$A$1)&gt;12,(INT((COLUMN()-1)/31.001)+$A$1-12),INT((COLUMN()-1)/31.001)+$A$1),ROUNDUP(MOD(COLUMN()-1,31.001),0)))=ROUNDUP(MOD($A$1+$A$3-1,12.01),0)),ROUNDUP(MOD(COLUMN()-1,31.001),0),"")</f>
        <v>1</v>
      </c>
      <c r="C5" s="27">
        <f t="shared" si="0"/>
        <v>2</v>
      </c>
      <c r="D5" s="27">
        <f t="shared" si="0"/>
        <v>3</v>
      </c>
      <c r="E5" s="27">
        <f t="shared" si="0"/>
        <v>4</v>
      </c>
      <c r="F5" s="27">
        <f t="shared" si="0"/>
        <v>5</v>
      </c>
      <c r="G5" s="27">
        <f t="shared" si="0"/>
        <v>6</v>
      </c>
      <c r="H5" s="27">
        <f t="shared" si="0"/>
        <v>7</v>
      </c>
      <c r="I5" s="27">
        <f t="shared" si="0"/>
        <v>8</v>
      </c>
      <c r="J5" s="27">
        <f t="shared" si="0"/>
        <v>9</v>
      </c>
      <c r="K5" s="27">
        <f t="shared" si="0"/>
        <v>10</v>
      </c>
      <c r="L5" s="27">
        <f t="shared" si="0"/>
        <v>11</v>
      </c>
      <c r="M5" s="27">
        <f t="shared" si="0"/>
        <v>12</v>
      </c>
      <c r="N5" s="27">
        <f t="shared" si="0"/>
        <v>13</v>
      </c>
      <c r="O5" s="27">
        <f t="shared" si="0"/>
        <v>14</v>
      </c>
      <c r="P5" s="27">
        <f t="shared" si="0"/>
        <v>15</v>
      </c>
      <c r="Q5" s="27">
        <f t="shared" si="0"/>
        <v>16</v>
      </c>
      <c r="R5" s="27">
        <f t="shared" si="0"/>
        <v>17</v>
      </c>
      <c r="S5" s="27">
        <f t="shared" si="0"/>
        <v>18</v>
      </c>
      <c r="T5" s="27">
        <f t="shared" si="0"/>
        <v>19</v>
      </c>
      <c r="U5" s="27">
        <f t="shared" si="0"/>
        <v>20</v>
      </c>
      <c r="V5" s="27">
        <f t="shared" si="0"/>
        <v>21</v>
      </c>
      <c r="W5" s="27">
        <f t="shared" si="0"/>
        <v>22</v>
      </c>
      <c r="X5" s="27">
        <f t="shared" si="0"/>
        <v>23</v>
      </c>
      <c r="Y5" s="27">
        <f t="shared" si="0"/>
        <v>24</v>
      </c>
      <c r="Z5" s="27">
        <f t="shared" si="0"/>
        <v>25</v>
      </c>
      <c r="AA5" s="27">
        <f t="shared" si="0"/>
        <v>26</v>
      </c>
      <c r="AB5" s="27">
        <f t="shared" si="0"/>
        <v>27</v>
      </c>
      <c r="AC5" s="27">
        <f t="shared" si="0"/>
        <v>28</v>
      </c>
      <c r="AD5" s="27">
        <f t="shared" si="0"/>
        <v>29</v>
      </c>
      <c r="AE5" s="27">
        <f t="shared" si="0"/>
        <v>30</v>
      </c>
      <c r="AF5" s="27">
        <f t="shared" si="0"/>
        <v>31</v>
      </c>
      <c r="AG5" s="27" t="str">
        <f t="shared" si="0"/>
        <v/>
      </c>
      <c r="AH5" s="27" t="str">
        <f t="shared" si="0"/>
        <v/>
      </c>
      <c r="AI5" s="27" t="str">
        <f t="shared" si="0"/>
        <v/>
      </c>
      <c r="AJ5" s="27" t="str">
        <f t="shared" si="0"/>
        <v/>
      </c>
      <c r="AK5" s="27" t="str">
        <f t="shared" si="0"/>
        <v/>
      </c>
      <c r="AL5" s="27" t="str">
        <f t="shared" si="0"/>
        <v/>
      </c>
      <c r="AM5" s="27" t="str">
        <f t="shared" si="0"/>
        <v/>
      </c>
      <c r="AN5" s="27" t="str">
        <f t="shared" si="0"/>
        <v/>
      </c>
      <c r="AO5" s="27" t="str">
        <f t="shared" si="0"/>
        <v/>
      </c>
      <c r="AP5" s="27" t="str">
        <f t="shared" si="0"/>
        <v/>
      </c>
      <c r="AQ5" s="27" t="str">
        <f t="shared" si="0"/>
        <v/>
      </c>
      <c r="AR5" s="27" t="str">
        <f t="shared" si="0"/>
        <v/>
      </c>
      <c r="AS5" s="27" t="str">
        <f t="shared" si="0"/>
        <v/>
      </c>
      <c r="AT5" s="27" t="str">
        <f t="shared" si="0"/>
        <v/>
      </c>
      <c r="AU5" s="27" t="str">
        <f t="shared" si="0"/>
        <v/>
      </c>
      <c r="AV5" s="27" t="str">
        <f t="shared" si="0"/>
        <v/>
      </c>
      <c r="AW5" s="27" t="str">
        <f t="shared" si="0"/>
        <v/>
      </c>
      <c r="AX5" s="27" t="str">
        <f t="shared" si="0"/>
        <v/>
      </c>
      <c r="AY5" s="27" t="str">
        <f t="shared" si="0"/>
        <v/>
      </c>
      <c r="AZ5" s="27" t="str">
        <f t="shared" si="0"/>
        <v/>
      </c>
      <c r="BA5" s="27" t="str">
        <f t="shared" si="0"/>
        <v/>
      </c>
      <c r="BB5" s="27" t="str">
        <f t="shared" si="0"/>
        <v/>
      </c>
      <c r="BC5" s="27" t="str">
        <f t="shared" si="0"/>
        <v/>
      </c>
      <c r="BD5" s="27" t="str">
        <f t="shared" si="0"/>
        <v/>
      </c>
      <c r="BE5" s="27" t="str">
        <f t="shared" si="0"/>
        <v/>
      </c>
      <c r="BF5" s="27" t="str">
        <f t="shared" si="0"/>
        <v/>
      </c>
      <c r="BG5" s="27" t="str">
        <f t="shared" si="0"/>
        <v/>
      </c>
      <c r="BH5" s="27" t="str">
        <f t="shared" si="0"/>
        <v/>
      </c>
      <c r="BI5" s="27" t="str">
        <f t="shared" si="0"/>
        <v/>
      </c>
      <c r="BJ5" s="27" t="str">
        <f t="shared" si="0"/>
        <v/>
      </c>
      <c r="BK5" s="27" t="str">
        <f t="shared" si="0"/>
        <v/>
      </c>
      <c r="BL5" s="27" t="str">
        <f t="shared" si="0"/>
        <v/>
      </c>
      <c r="BM5" s="27" t="str">
        <f t="shared" si="0"/>
        <v/>
      </c>
      <c r="BN5" s="27" t="str">
        <f t="shared" ref="BN5:DY5" si="1">IF(AND((COLUMN()-1)&gt;31*($A$3-1),MONTH(DATE($A$2+INT(($A$3+$A$1)/12),IF((INT((COLUMN()-1)/31.001)+$A$1)&gt;12,(INT((COLUMN()-1)/31.001)+$A$1-12),INT((COLUMN()-1)/31.001)+$A$1),ROUNDUP(MOD(COLUMN()-1,31.001),0)))=ROUNDUP(MOD($A$1+$A$3-1,12.01),0)),ROUNDUP(MOD(COLUMN()-1,31.001),0),"")</f>
        <v/>
      </c>
      <c r="BO5" s="27" t="str">
        <f t="shared" si="1"/>
        <v/>
      </c>
      <c r="BP5" s="27" t="str">
        <f t="shared" si="1"/>
        <v/>
      </c>
      <c r="BQ5" s="27" t="str">
        <f t="shared" si="1"/>
        <v/>
      </c>
      <c r="BR5" s="27" t="str">
        <f t="shared" si="1"/>
        <v/>
      </c>
      <c r="BS5" s="27" t="str">
        <f t="shared" si="1"/>
        <v/>
      </c>
      <c r="BT5" s="27" t="str">
        <f t="shared" si="1"/>
        <v/>
      </c>
      <c r="BU5" s="27" t="str">
        <f t="shared" si="1"/>
        <v/>
      </c>
      <c r="BV5" s="27" t="str">
        <f t="shared" si="1"/>
        <v/>
      </c>
      <c r="BW5" s="27" t="str">
        <f t="shared" si="1"/>
        <v/>
      </c>
      <c r="BX5" s="27" t="str">
        <f t="shared" si="1"/>
        <v/>
      </c>
      <c r="BY5" s="27" t="str">
        <f t="shared" si="1"/>
        <v/>
      </c>
      <c r="BZ5" s="27" t="str">
        <f t="shared" si="1"/>
        <v/>
      </c>
      <c r="CA5" s="27" t="str">
        <f t="shared" si="1"/>
        <v/>
      </c>
      <c r="CB5" s="27" t="str">
        <f t="shared" si="1"/>
        <v/>
      </c>
      <c r="CC5" s="27" t="str">
        <f t="shared" si="1"/>
        <v/>
      </c>
      <c r="CD5" s="27" t="str">
        <f t="shared" si="1"/>
        <v/>
      </c>
      <c r="CE5" s="27" t="str">
        <f t="shared" si="1"/>
        <v/>
      </c>
      <c r="CF5" s="27" t="str">
        <f t="shared" si="1"/>
        <v/>
      </c>
      <c r="CG5" s="27" t="str">
        <f t="shared" si="1"/>
        <v/>
      </c>
      <c r="CH5" s="27" t="str">
        <f t="shared" si="1"/>
        <v/>
      </c>
      <c r="CI5" s="27" t="str">
        <f t="shared" si="1"/>
        <v/>
      </c>
      <c r="CJ5" s="27" t="str">
        <f t="shared" si="1"/>
        <v/>
      </c>
      <c r="CK5" s="27" t="str">
        <f t="shared" si="1"/>
        <v/>
      </c>
      <c r="CL5" s="27" t="str">
        <f t="shared" si="1"/>
        <v/>
      </c>
      <c r="CM5" s="27" t="str">
        <f t="shared" si="1"/>
        <v/>
      </c>
      <c r="CN5" s="27" t="str">
        <f t="shared" si="1"/>
        <v/>
      </c>
      <c r="CO5" s="27" t="str">
        <f t="shared" si="1"/>
        <v/>
      </c>
      <c r="CP5" s="27" t="str">
        <f t="shared" si="1"/>
        <v/>
      </c>
      <c r="CQ5" s="27" t="str">
        <f t="shared" si="1"/>
        <v/>
      </c>
      <c r="CR5" s="27" t="str">
        <f t="shared" si="1"/>
        <v/>
      </c>
      <c r="CS5" s="27" t="str">
        <f t="shared" si="1"/>
        <v/>
      </c>
      <c r="CT5" s="27" t="str">
        <f t="shared" si="1"/>
        <v/>
      </c>
      <c r="CU5" s="27" t="str">
        <f t="shared" si="1"/>
        <v/>
      </c>
      <c r="CV5" s="27" t="str">
        <f t="shared" si="1"/>
        <v/>
      </c>
      <c r="CW5" s="27" t="str">
        <f t="shared" si="1"/>
        <v/>
      </c>
      <c r="CX5" s="27" t="str">
        <f t="shared" si="1"/>
        <v/>
      </c>
      <c r="CY5" s="27" t="str">
        <f t="shared" si="1"/>
        <v/>
      </c>
      <c r="CZ5" s="27" t="str">
        <f t="shared" si="1"/>
        <v/>
      </c>
      <c r="DA5" s="27" t="str">
        <f t="shared" si="1"/>
        <v/>
      </c>
      <c r="DB5" s="27" t="str">
        <f t="shared" si="1"/>
        <v/>
      </c>
      <c r="DC5" s="27" t="str">
        <f t="shared" si="1"/>
        <v/>
      </c>
      <c r="DD5" s="27" t="str">
        <f t="shared" si="1"/>
        <v/>
      </c>
      <c r="DE5" s="27" t="str">
        <f t="shared" si="1"/>
        <v/>
      </c>
      <c r="DF5" s="27" t="str">
        <f t="shared" si="1"/>
        <v/>
      </c>
      <c r="DG5" s="27" t="str">
        <f t="shared" si="1"/>
        <v/>
      </c>
      <c r="DH5" s="27" t="str">
        <f t="shared" si="1"/>
        <v/>
      </c>
      <c r="DI5" s="27" t="str">
        <f t="shared" si="1"/>
        <v/>
      </c>
      <c r="DJ5" s="27" t="str">
        <f t="shared" si="1"/>
        <v/>
      </c>
      <c r="DK5" s="27" t="str">
        <f t="shared" si="1"/>
        <v/>
      </c>
      <c r="DL5" s="27" t="str">
        <f t="shared" si="1"/>
        <v/>
      </c>
      <c r="DM5" s="27" t="str">
        <f t="shared" si="1"/>
        <v/>
      </c>
      <c r="DN5" s="27" t="str">
        <f t="shared" si="1"/>
        <v/>
      </c>
      <c r="DO5" s="27" t="str">
        <f t="shared" si="1"/>
        <v/>
      </c>
      <c r="DP5" s="27" t="str">
        <f t="shared" si="1"/>
        <v/>
      </c>
      <c r="DQ5" s="27" t="str">
        <f t="shared" si="1"/>
        <v/>
      </c>
      <c r="DR5" s="27" t="str">
        <f t="shared" si="1"/>
        <v/>
      </c>
      <c r="DS5" s="27" t="str">
        <f t="shared" si="1"/>
        <v/>
      </c>
      <c r="DT5" s="27" t="str">
        <f t="shared" si="1"/>
        <v/>
      </c>
      <c r="DU5" s="27" t="str">
        <f t="shared" si="1"/>
        <v/>
      </c>
      <c r="DV5" s="27" t="str">
        <f t="shared" si="1"/>
        <v/>
      </c>
      <c r="DW5" s="27" t="str">
        <f t="shared" si="1"/>
        <v/>
      </c>
      <c r="DX5" s="27" t="str">
        <f t="shared" si="1"/>
        <v/>
      </c>
      <c r="DY5" s="27" t="str">
        <f t="shared" si="1"/>
        <v/>
      </c>
      <c r="DZ5" s="27" t="str">
        <f t="shared" ref="DZ5:GK5" si="2">IF(AND((COLUMN()-1)&gt;31*($A$3-1),MONTH(DATE($A$2+INT(($A$3+$A$1)/12),IF((INT((COLUMN()-1)/31.001)+$A$1)&gt;12,(INT((COLUMN()-1)/31.001)+$A$1-12),INT((COLUMN()-1)/31.001)+$A$1),ROUNDUP(MOD(COLUMN()-1,31.001),0)))=ROUNDUP(MOD($A$1+$A$3-1,12.01),0)),ROUNDUP(MOD(COLUMN()-1,31.001),0),"")</f>
        <v/>
      </c>
      <c r="EA5" s="27" t="str">
        <f t="shared" si="2"/>
        <v/>
      </c>
      <c r="EB5" s="27" t="str">
        <f t="shared" si="2"/>
        <v/>
      </c>
      <c r="EC5" s="27" t="str">
        <f t="shared" si="2"/>
        <v/>
      </c>
      <c r="ED5" s="27" t="str">
        <f t="shared" si="2"/>
        <v/>
      </c>
      <c r="EE5" s="27" t="str">
        <f t="shared" si="2"/>
        <v/>
      </c>
      <c r="EF5" s="27" t="str">
        <f t="shared" si="2"/>
        <v/>
      </c>
      <c r="EG5" s="27" t="str">
        <f t="shared" si="2"/>
        <v/>
      </c>
      <c r="EH5" s="27" t="str">
        <f t="shared" si="2"/>
        <v/>
      </c>
      <c r="EI5" s="27" t="str">
        <f t="shared" si="2"/>
        <v/>
      </c>
      <c r="EJ5" s="27" t="str">
        <f t="shared" si="2"/>
        <v/>
      </c>
      <c r="EK5" s="27" t="str">
        <f t="shared" si="2"/>
        <v/>
      </c>
      <c r="EL5" s="27" t="str">
        <f t="shared" si="2"/>
        <v/>
      </c>
      <c r="EM5" s="27" t="str">
        <f t="shared" si="2"/>
        <v/>
      </c>
      <c r="EN5" s="27" t="str">
        <f t="shared" si="2"/>
        <v/>
      </c>
      <c r="EO5" s="27" t="str">
        <f t="shared" si="2"/>
        <v/>
      </c>
      <c r="EP5" s="27" t="str">
        <f t="shared" si="2"/>
        <v/>
      </c>
      <c r="EQ5" s="27" t="str">
        <f t="shared" si="2"/>
        <v/>
      </c>
      <c r="ER5" s="27" t="str">
        <f t="shared" si="2"/>
        <v/>
      </c>
      <c r="ES5" s="27" t="str">
        <f t="shared" si="2"/>
        <v/>
      </c>
      <c r="ET5" s="27" t="str">
        <f t="shared" si="2"/>
        <v/>
      </c>
      <c r="EU5" s="27" t="str">
        <f t="shared" si="2"/>
        <v/>
      </c>
      <c r="EV5" s="27" t="str">
        <f t="shared" si="2"/>
        <v/>
      </c>
      <c r="EW5" s="27" t="str">
        <f t="shared" si="2"/>
        <v/>
      </c>
      <c r="EX5" s="27" t="str">
        <f t="shared" si="2"/>
        <v/>
      </c>
      <c r="EY5" s="27" t="str">
        <f t="shared" si="2"/>
        <v/>
      </c>
      <c r="EZ5" s="27" t="str">
        <f t="shared" si="2"/>
        <v/>
      </c>
      <c r="FA5" s="27" t="str">
        <f t="shared" si="2"/>
        <v/>
      </c>
      <c r="FB5" s="27" t="str">
        <f t="shared" si="2"/>
        <v/>
      </c>
      <c r="FC5" s="27" t="str">
        <f t="shared" si="2"/>
        <v/>
      </c>
      <c r="FD5" s="27" t="str">
        <f t="shared" si="2"/>
        <v/>
      </c>
      <c r="FE5" s="27" t="str">
        <f t="shared" si="2"/>
        <v/>
      </c>
      <c r="FF5" s="27" t="str">
        <f t="shared" si="2"/>
        <v/>
      </c>
      <c r="FG5" s="27" t="str">
        <f t="shared" si="2"/>
        <v/>
      </c>
      <c r="FH5" s="27" t="str">
        <f t="shared" si="2"/>
        <v/>
      </c>
      <c r="FI5" s="27" t="str">
        <f t="shared" si="2"/>
        <v/>
      </c>
      <c r="FJ5" s="27" t="str">
        <f t="shared" si="2"/>
        <v/>
      </c>
      <c r="FK5" s="27" t="str">
        <f t="shared" si="2"/>
        <v/>
      </c>
      <c r="FL5" s="27" t="str">
        <f t="shared" si="2"/>
        <v/>
      </c>
      <c r="FM5" s="27" t="str">
        <f t="shared" si="2"/>
        <v/>
      </c>
      <c r="FN5" s="27" t="str">
        <f t="shared" si="2"/>
        <v/>
      </c>
      <c r="FO5" s="27" t="str">
        <f t="shared" si="2"/>
        <v/>
      </c>
      <c r="FP5" s="27" t="str">
        <f t="shared" si="2"/>
        <v/>
      </c>
      <c r="FQ5" s="27" t="str">
        <f t="shared" si="2"/>
        <v/>
      </c>
      <c r="FR5" s="27" t="str">
        <f t="shared" si="2"/>
        <v/>
      </c>
      <c r="FS5" s="27" t="str">
        <f t="shared" si="2"/>
        <v/>
      </c>
      <c r="FT5" s="27" t="str">
        <f t="shared" si="2"/>
        <v/>
      </c>
      <c r="FU5" s="27" t="str">
        <f t="shared" si="2"/>
        <v/>
      </c>
      <c r="FV5" s="27" t="str">
        <f t="shared" si="2"/>
        <v/>
      </c>
      <c r="FW5" s="27" t="str">
        <f t="shared" si="2"/>
        <v/>
      </c>
      <c r="FX5" s="27" t="str">
        <f t="shared" si="2"/>
        <v/>
      </c>
      <c r="FY5" s="27" t="str">
        <f t="shared" si="2"/>
        <v/>
      </c>
      <c r="FZ5" s="27" t="str">
        <f t="shared" si="2"/>
        <v/>
      </c>
      <c r="GA5" s="27" t="str">
        <f t="shared" si="2"/>
        <v/>
      </c>
      <c r="GB5" s="27" t="str">
        <f t="shared" si="2"/>
        <v/>
      </c>
      <c r="GC5" s="27" t="str">
        <f t="shared" si="2"/>
        <v/>
      </c>
      <c r="GD5" s="27" t="str">
        <f t="shared" si="2"/>
        <v/>
      </c>
      <c r="GE5" s="27" t="str">
        <f t="shared" si="2"/>
        <v/>
      </c>
      <c r="GF5" s="27" t="str">
        <f t="shared" si="2"/>
        <v/>
      </c>
      <c r="GG5" s="27" t="str">
        <f t="shared" si="2"/>
        <v/>
      </c>
      <c r="GH5" s="27" t="str">
        <f t="shared" si="2"/>
        <v/>
      </c>
      <c r="GI5" s="27" t="str">
        <f t="shared" si="2"/>
        <v/>
      </c>
      <c r="GJ5" s="27" t="str">
        <f t="shared" si="2"/>
        <v/>
      </c>
      <c r="GK5" s="27" t="str">
        <f t="shared" si="2"/>
        <v/>
      </c>
      <c r="GL5" s="27" t="str">
        <f t="shared" ref="GL5:IW5" si="3">IF(AND((COLUMN()-1)&gt;31*($A$3-1),MONTH(DATE($A$2+INT(($A$3+$A$1)/12),IF((INT((COLUMN()-1)/31.001)+$A$1)&gt;12,(INT((COLUMN()-1)/31.001)+$A$1-12),INT((COLUMN()-1)/31.001)+$A$1),ROUNDUP(MOD(COLUMN()-1,31.001),0)))=ROUNDUP(MOD($A$1+$A$3-1,12.01),0)),ROUNDUP(MOD(COLUMN()-1,31.001),0),"")</f>
        <v/>
      </c>
      <c r="GM5" s="27" t="str">
        <f t="shared" si="3"/>
        <v/>
      </c>
      <c r="GN5" s="27" t="str">
        <f t="shared" si="3"/>
        <v/>
      </c>
      <c r="GO5" s="27" t="str">
        <f t="shared" si="3"/>
        <v/>
      </c>
      <c r="GP5" s="27" t="str">
        <f t="shared" si="3"/>
        <v/>
      </c>
      <c r="GQ5" s="27" t="str">
        <f t="shared" si="3"/>
        <v/>
      </c>
      <c r="GR5" s="27" t="str">
        <f t="shared" si="3"/>
        <v/>
      </c>
      <c r="GS5" s="27" t="str">
        <f t="shared" si="3"/>
        <v/>
      </c>
      <c r="GT5" s="27" t="str">
        <f t="shared" si="3"/>
        <v/>
      </c>
      <c r="GU5" s="27" t="str">
        <f t="shared" si="3"/>
        <v/>
      </c>
      <c r="GV5" s="27" t="str">
        <f t="shared" si="3"/>
        <v/>
      </c>
      <c r="GW5" s="27" t="str">
        <f t="shared" si="3"/>
        <v/>
      </c>
      <c r="GX5" s="27" t="str">
        <f t="shared" si="3"/>
        <v/>
      </c>
      <c r="GY5" s="27" t="str">
        <f t="shared" si="3"/>
        <v/>
      </c>
      <c r="GZ5" s="27" t="str">
        <f t="shared" si="3"/>
        <v/>
      </c>
      <c r="HA5" s="27" t="str">
        <f t="shared" si="3"/>
        <v/>
      </c>
      <c r="HB5" s="27" t="str">
        <f t="shared" si="3"/>
        <v/>
      </c>
      <c r="HC5" s="27" t="str">
        <f t="shared" si="3"/>
        <v/>
      </c>
      <c r="HD5" s="27" t="str">
        <f t="shared" si="3"/>
        <v/>
      </c>
      <c r="HE5" s="27" t="str">
        <f t="shared" si="3"/>
        <v/>
      </c>
      <c r="HF5" s="27" t="str">
        <f t="shared" si="3"/>
        <v/>
      </c>
      <c r="HG5" s="27" t="str">
        <f t="shared" si="3"/>
        <v/>
      </c>
      <c r="HH5" s="27" t="str">
        <f t="shared" si="3"/>
        <v/>
      </c>
      <c r="HI5" s="27" t="str">
        <f t="shared" si="3"/>
        <v/>
      </c>
      <c r="HJ5" s="27" t="str">
        <f t="shared" si="3"/>
        <v/>
      </c>
      <c r="HK5" s="27" t="str">
        <f t="shared" si="3"/>
        <v/>
      </c>
      <c r="HL5" s="27" t="str">
        <f t="shared" si="3"/>
        <v/>
      </c>
      <c r="HM5" s="27" t="str">
        <f t="shared" si="3"/>
        <v/>
      </c>
      <c r="HN5" s="27" t="str">
        <f t="shared" si="3"/>
        <v/>
      </c>
      <c r="HO5" s="27" t="str">
        <f t="shared" si="3"/>
        <v/>
      </c>
      <c r="HP5" s="27" t="str">
        <f t="shared" si="3"/>
        <v/>
      </c>
      <c r="HQ5" s="27" t="str">
        <f t="shared" si="3"/>
        <v/>
      </c>
      <c r="HR5" s="27" t="str">
        <f t="shared" si="3"/>
        <v/>
      </c>
      <c r="HS5" s="27" t="str">
        <f t="shared" si="3"/>
        <v/>
      </c>
      <c r="HT5" s="27" t="str">
        <f t="shared" si="3"/>
        <v/>
      </c>
      <c r="HU5" s="27" t="str">
        <f t="shared" si="3"/>
        <v/>
      </c>
      <c r="HV5" s="27" t="str">
        <f t="shared" si="3"/>
        <v/>
      </c>
      <c r="HW5" s="27" t="str">
        <f t="shared" si="3"/>
        <v/>
      </c>
      <c r="HX5" s="27" t="str">
        <f t="shared" si="3"/>
        <v/>
      </c>
      <c r="HY5" s="27" t="str">
        <f t="shared" si="3"/>
        <v/>
      </c>
      <c r="HZ5" s="27" t="str">
        <f t="shared" si="3"/>
        <v/>
      </c>
      <c r="IA5" s="27" t="str">
        <f t="shared" si="3"/>
        <v/>
      </c>
      <c r="IB5" s="27" t="str">
        <f t="shared" si="3"/>
        <v/>
      </c>
      <c r="IC5" s="27" t="str">
        <f t="shared" si="3"/>
        <v/>
      </c>
      <c r="ID5" s="27" t="str">
        <f t="shared" si="3"/>
        <v/>
      </c>
      <c r="IE5" s="27" t="str">
        <f t="shared" si="3"/>
        <v/>
      </c>
      <c r="IF5" s="27" t="str">
        <f t="shared" si="3"/>
        <v/>
      </c>
      <c r="IG5" s="27" t="str">
        <f t="shared" si="3"/>
        <v/>
      </c>
      <c r="IH5" s="27" t="str">
        <f t="shared" si="3"/>
        <v/>
      </c>
      <c r="II5" s="27" t="str">
        <f t="shared" si="3"/>
        <v/>
      </c>
      <c r="IJ5" s="27" t="str">
        <f t="shared" si="3"/>
        <v/>
      </c>
      <c r="IK5" s="27" t="str">
        <f t="shared" si="3"/>
        <v/>
      </c>
      <c r="IL5" s="27" t="str">
        <f t="shared" si="3"/>
        <v/>
      </c>
      <c r="IM5" s="27" t="str">
        <f t="shared" si="3"/>
        <v/>
      </c>
      <c r="IN5" s="27" t="str">
        <f t="shared" si="3"/>
        <v/>
      </c>
      <c r="IO5" s="27" t="str">
        <f t="shared" si="3"/>
        <v/>
      </c>
      <c r="IP5" s="27" t="str">
        <f t="shared" si="3"/>
        <v/>
      </c>
      <c r="IQ5" s="27" t="str">
        <f t="shared" si="3"/>
        <v/>
      </c>
      <c r="IR5" s="27" t="str">
        <f t="shared" si="3"/>
        <v/>
      </c>
      <c r="IS5" s="27" t="str">
        <f t="shared" si="3"/>
        <v/>
      </c>
      <c r="IT5" s="27" t="str">
        <f t="shared" si="3"/>
        <v/>
      </c>
      <c r="IU5" s="27" t="str">
        <f t="shared" si="3"/>
        <v/>
      </c>
      <c r="IV5" s="27" t="str">
        <f t="shared" si="3"/>
        <v/>
      </c>
      <c r="IW5" s="27" t="str">
        <f t="shared" si="3"/>
        <v/>
      </c>
      <c r="IX5" s="27" t="str">
        <f t="shared" ref="IX5:LI5" si="4">IF(AND((COLUMN()-1)&gt;31*($A$3-1),MONTH(DATE($A$2+INT(($A$3+$A$1)/12),IF((INT((COLUMN()-1)/31.001)+$A$1)&gt;12,(INT((COLUMN()-1)/31.001)+$A$1-12),INT((COLUMN()-1)/31.001)+$A$1),ROUNDUP(MOD(COLUMN()-1,31.001),0)))=ROUNDUP(MOD($A$1+$A$3-1,12.01),0)),ROUNDUP(MOD(COLUMN()-1,31.001),0),"")</f>
        <v/>
      </c>
      <c r="IY5" s="27" t="str">
        <f t="shared" si="4"/>
        <v/>
      </c>
      <c r="IZ5" s="27" t="str">
        <f t="shared" si="4"/>
        <v/>
      </c>
      <c r="JA5" s="27" t="str">
        <f t="shared" si="4"/>
        <v/>
      </c>
      <c r="JB5" s="27" t="str">
        <f t="shared" si="4"/>
        <v/>
      </c>
      <c r="JC5" s="27" t="str">
        <f t="shared" si="4"/>
        <v/>
      </c>
      <c r="JD5" s="27" t="str">
        <f t="shared" si="4"/>
        <v/>
      </c>
      <c r="JE5" s="27" t="str">
        <f t="shared" si="4"/>
        <v/>
      </c>
      <c r="JF5" s="27" t="str">
        <f t="shared" si="4"/>
        <v/>
      </c>
      <c r="JG5" s="27" t="str">
        <f t="shared" si="4"/>
        <v/>
      </c>
      <c r="JH5" s="27" t="str">
        <f t="shared" si="4"/>
        <v/>
      </c>
      <c r="JI5" s="27" t="str">
        <f t="shared" si="4"/>
        <v/>
      </c>
      <c r="JJ5" s="27" t="str">
        <f t="shared" si="4"/>
        <v/>
      </c>
      <c r="JK5" s="27" t="str">
        <f t="shared" si="4"/>
        <v/>
      </c>
      <c r="JL5" s="27" t="str">
        <f t="shared" si="4"/>
        <v/>
      </c>
      <c r="JM5" s="27" t="str">
        <f t="shared" si="4"/>
        <v/>
      </c>
      <c r="JN5" s="27" t="str">
        <f t="shared" si="4"/>
        <v/>
      </c>
      <c r="JO5" s="27" t="str">
        <f t="shared" si="4"/>
        <v/>
      </c>
      <c r="JP5" s="27" t="str">
        <f t="shared" si="4"/>
        <v/>
      </c>
      <c r="JQ5" s="27" t="str">
        <f t="shared" si="4"/>
        <v/>
      </c>
      <c r="JR5" s="27" t="str">
        <f t="shared" si="4"/>
        <v/>
      </c>
      <c r="JS5" s="27" t="str">
        <f t="shared" si="4"/>
        <v/>
      </c>
      <c r="JT5" s="27" t="str">
        <f t="shared" si="4"/>
        <v/>
      </c>
      <c r="JU5" s="27" t="str">
        <f t="shared" si="4"/>
        <v/>
      </c>
      <c r="JV5" s="27" t="str">
        <f t="shared" si="4"/>
        <v/>
      </c>
      <c r="JW5" s="27" t="str">
        <f t="shared" si="4"/>
        <v/>
      </c>
      <c r="JX5" s="27" t="str">
        <f t="shared" si="4"/>
        <v/>
      </c>
      <c r="JY5" s="27" t="str">
        <f t="shared" si="4"/>
        <v/>
      </c>
      <c r="JZ5" s="27" t="str">
        <f t="shared" si="4"/>
        <v/>
      </c>
      <c r="KA5" s="27" t="str">
        <f t="shared" si="4"/>
        <v/>
      </c>
      <c r="KB5" s="27" t="str">
        <f t="shared" si="4"/>
        <v/>
      </c>
      <c r="KC5" s="27" t="str">
        <f t="shared" si="4"/>
        <v/>
      </c>
      <c r="KD5" s="27" t="str">
        <f t="shared" si="4"/>
        <v/>
      </c>
      <c r="KE5" s="27" t="str">
        <f t="shared" si="4"/>
        <v/>
      </c>
      <c r="KF5" s="27" t="str">
        <f t="shared" si="4"/>
        <v/>
      </c>
      <c r="KG5" s="27" t="str">
        <f t="shared" si="4"/>
        <v/>
      </c>
      <c r="KH5" s="27" t="str">
        <f t="shared" si="4"/>
        <v/>
      </c>
      <c r="KI5" s="27" t="str">
        <f t="shared" si="4"/>
        <v/>
      </c>
      <c r="KJ5" s="27" t="str">
        <f t="shared" si="4"/>
        <v/>
      </c>
      <c r="KK5" s="27" t="str">
        <f t="shared" si="4"/>
        <v/>
      </c>
      <c r="KL5" s="27" t="str">
        <f t="shared" si="4"/>
        <v/>
      </c>
      <c r="KM5" s="27" t="str">
        <f t="shared" si="4"/>
        <v/>
      </c>
      <c r="KN5" s="27" t="str">
        <f t="shared" si="4"/>
        <v/>
      </c>
      <c r="KO5" s="27" t="str">
        <f t="shared" si="4"/>
        <v/>
      </c>
      <c r="KP5" s="27" t="str">
        <f t="shared" si="4"/>
        <v/>
      </c>
      <c r="KQ5" s="27" t="str">
        <f t="shared" si="4"/>
        <v/>
      </c>
      <c r="KR5" s="27" t="str">
        <f t="shared" si="4"/>
        <v/>
      </c>
      <c r="KS5" s="27" t="str">
        <f t="shared" si="4"/>
        <v/>
      </c>
      <c r="KT5" s="27" t="str">
        <f t="shared" si="4"/>
        <v/>
      </c>
      <c r="KU5" s="27" t="str">
        <f t="shared" si="4"/>
        <v/>
      </c>
      <c r="KV5" s="27" t="str">
        <f t="shared" si="4"/>
        <v/>
      </c>
      <c r="KW5" s="27" t="str">
        <f t="shared" si="4"/>
        <v/>
      </c>
      <c r="KX5" s="27" t="str">
        <f t="shared" si="4"/>
        <v/>
      </c>
      <c r="KY5" s="27" t="str">
        <f t="shared" si="4"/>
        <v/>
      </c>
      <c r="KZ5" s="27" t="str">
        <f t="shared" si="4"/>
        <v/>
      </c>
      <c r="LA5" s="27" t="str">
        <f t="shared" si="4"/>
        <v/>
      </c>
      <c r="LB5" s="27" t="str">
        <f t="shared" si="4"/>
        <v/>
      </c>
      <c r="LC5" s="27" t="str">
        <f t="shared" si="4"/>
        <v/>
      </c>
      <c r="LD5" s="27" t="str">
        <f t="shared" si="4"/>
        <v/>
      </c>
      <c r="LE5" s="27" t="str">
        <f t="shared" si="4"/>
        <v/>
      </c>
      <c r="LF5" s="27" t="str">
        <f t="shared" si="4"/>
        <v/>
      </c>
      <c r="LG5" s="27" t="str">
        <f t="shared" si="4"/>
        <v/>
      </c>
      <c r="LH5" s="27" t="str">
        <f t="shared" si="4"/>
        <v/>
      </c>
      <c r="LI5" s="27" t="str">
        <f t="shared" si="4"/>
        <v/>
      </c>
      <c r="LJ5" s="27" t="str">
        <f t="shared" ref="LJ5:NI5" si="5">IF(AND((COLUMN()-1)&gt;31*($A$3-1),MONTH(DATE($A$2+INT(($A$3+$A$1)/12),IF((INT((COLUMN()-1)/31.001)+$A$1)&gt;12,(INT((COLUMN()-1)/31.001)+$A$1-12),INT((COLUMN()-1)/31.001)+$A$1),ROUNDUP(MOD(COLUMN()-1,31.001),0)))=ROUNDUP(MOD($A$1+$A$3-1,12.01),0)),ROUNDUP(MOD(COLUMN()-1,31.001),0),"")</f>
        <v/>
      </c>
      <c r="LK5" s="27" t="str">
        <f t="shared" si="5"/>
        <v/>
      </c>
      <c r="LL5" s="27" t="str">
        <f t="shared" si="5"/>
        <v/>
      </c>
      <c r="LM5" s="27" t="str">
        <f t="shared" si="5"/>
        <v/>
      </c>
      <c r="LN5" s="27" t="str">
        <f t="shared" si="5"/>
        <v/>
      </c>
      <c r="LO5" s="27" t="str">
        <f t="shared" si="5"/>
        <v/>
      </c>
      <c r="LP5" s="27" t="str">
        <f t="shared" si="5"/>
        <v/>
      </c>
      <c r="LQ5" s="27" t="str">
        <f t="shared" si="5"/>
        <v/>
      </c>
      <c r="LR5" s="27" t="str">
        <f t="shared" si="5"/>
        <v/>
      </c>
      <c r="LS5" s="27" t="str">
        <f t="shared" si="5"/>
        <v/>
      </c>
      <c r="LT5" s="27" t="str">
        <f t="shared" si="5"/>
        <v/>
      </c>
      <c r="LU5" s="27" t="str">
        <f t="shared" si="5"/>
        <v/>
      </c>
      <c r="LV5" s="27" t="str">
        <f t="shared" si="5"/>
        <v/>
      </c>
      <c r="LW5" s="27" t="str">
        <f t="shared" si="5"/>
        <v/>
      </c>
      <c r="LX5" s="27" t="str">
        <f t="shared" si="5"/>
        <v/>
      </c>
      <c r="LY5" s="27" t="str">
        <f t="shared" si="5"/>
        <v/>
      </c>
      <c r="LZ5" s="27" t="str">
        <f t="shared" si="5"/>
        <v/>
      </c>
      <c r="MA5" s="27" t="str">
        <f t="shared" si="5"/>
        <v/>
      </c>
      <c r="MB5" s="27" t="str">
        <f t="shared" si="5"/>
        <v/>
      </c>
      <c r="MC5" s="27" t="str">
        <f t="shared" si="5"/>
        <v/>
      </c>
      <c r="MD5" s="27" t="str">
        <f t="shared" si="5"/>
        <v/>
      </c>
      <c r="ME5" s="27" t="str">
        <f t="shared" si="5"/>
        <v/>
      </c>
      <c r="MF5" s="27" t="str">
        <f t="shared" si="5"/>
        <v/>
      </c>
      <c r="MG5" s="27" t="str">
        <f t="shared" si="5"/>
        <v/>
      </c>
      <c r="MH5" s="27" t="str">
        <f t="shared" si="5"/>
        <v/>
      </c>
      <c r="MI5" s="27" t="str">
        <f t="shared" si="5"/>
        <v/>
      </c>
      <c r="MJ5" s="27" t="str">
        <f t="shared" si="5"/>
        <v/>
      </c>
      <c r="MK5" s="27" t="str">
        <f t="shared" si="5"/>
        <v/>
      </c>
      <c r="ML5" s="27" t="str">
        <f t="shared" si="5"/>
        <v/>
      </c>
      <c r="MM5" s="27" t="str">
        <f t="shared" si="5"/>
        <v/>
      </c>
      <c r="MN5" s="27" t="str">
        <f t="shared" si="5"/>
        <v/>
      </c>
      <c r="MO5" s="27" t="str">
        <f t="shared" si="5"/>
        <v/>
      </c>
      <c r="MP5" s="27" t="str">
        <f t="shared" si="5"/>
        <v/>
      </c>
      <c r="MQ5" s="27" t="str">
        <f t="shared" si="5"/>
        <v/>
      </c>
      <c r="MR5" s="27" t="str">
        <f t="shared" si="5"/>
        <v/>
      </c>
      <c r="MS5" s="27" t="str">
        <f t="shared" si="5"/>
        <v/>
      </c>
      <c r="MT5" s="27" t="str">
        <f t="shared" si="5"/>
        <v/>
      </c>
      <c r="MU5" s="27" t="str">
        <f t="shared" si="5"/>
        <v/>
      </c>
      <c r="MV5" s="27" t="str">
        <f t="shared" si="5"/>
        <v/>
      </c>
      <c r="MW5" s="27" t="str">
        <f t="shared" si="5"/>
        <v/>
      </c>
      <c r="MX5" s="27" t="str">
        <f t="shared" si="5"/>
        <v/>
      </c>
      <c r="MY5" s="27" t="str">
        <f t="shared" si="5"/>
        <v/>
      </c>
      <c r="MZ5" s="27" t="str">
        <f t="shared" si="5"/>
        <v/>
      </c>
      <c r="NA5" s="27" t="str">
        <f t="shared" si="5"/>
        <v/>
      </c>
      <c r="NB5" s="27" t="str">
        <f t="shared" si="5"/>
        <v/>
      </c>
      <c r="NC5" s="27" t="str">
        <f t="shared" si="5"/>
        <v/>
      </c>
      <c r="ND5" s="27" t="str">
        <f t="shared" si="5"/>
        <v/>
      </c>
      <c r="NE5" s="27" t="str">
        <f t="shared" si="5"/>
        <v/>
      </c>
      <c r="NF5" s="27" t="str">
        <f t="shared" si="5"/>
        <v/>
      </c>
      <c r="NG5" s="27" t="str">
        <f t="shared" si="5"/>
        <v/>
      </c>
      <c r="NH5" s="27" t="str">
        <f t="shared" si="5"/>
        <v/>
      </c>
      <c r="NI5" s="27" t="str">
        <f t="shared" si="5"/>
        <v/>
      </c>
      <c r="NJ5" s="88" t="s">
        <v>123</v>
      </c>
      <c r="NK5" s="90" t="s">
        <v>124</v>
      </c>
      <c r="NL5" s="92" t="str">
        <f>IF(Database!K3="","",Database!K3)</f>
        <v>S</v>
      </c>
      <c r="NM5" s="92" t="str">
        <f>IF(Database!K4="","",Database!K4)</f>
        <v>A</v>
      </c>
      <c r="NN5" s="92" t="str">
        <f>IF(Database!K5="","",Database!K5)</f>
        <v>M</v>
      </c>
      <c r="NO5" s="92" t="str">
        <f>IF(Database!K6="","",Database!K6)</f>
        <v>P</v>
      </c>
      <c r="NP5" s="92" t="str">
        <f>IF(Database!K7="","",Database!K7)</f>
        <v>C</v>
      </c>
      <c r="NQ5" s="92" t="str">
        <f>IF(Database!K8="","",Database!K8)</f>
        <v>Co</v>
      </c>
      <c r="NR5" s="92" t="str">
        <f>IF(Database!K9="","",Database!K9)</f>
        <v>W</v>
      </c>
      <c r="NS5" s="92" t="str">
        <f>IF(Database!K10="","",Database!K10)</f>
        <v>O</v>
      </c>
      <c r="NT5" s="92" t="str">
        <f>IF(Database!K11="","",Database!K11)</f>
        <v>L</v>
      </c>
      <c r="NU5" s="92" t="str">
        <f>IF(Database!K12="","",Database!K12)</f>
        <v>E</v>
      </c>
      <c r="NV5" s="20"/>
      <c r="NW5" s="20"/>
      <c r="NX5" s="20"/>
      <c r="NY5" s="20"/>
      <c r="NZ5" s="20"/>
      <c r="OA5" s="20"/>
      <c r="OB5" s="20"/>
      <c r="OC5" s="20"/>
      <c r="OD5" s="20"/>
      <c r="OE5" s="20"/>
      <c r="OF5" s="20"/>
      <c r="OG5" s="20"/>
      <c r="OH5" s="20"/>
      <c r="OI5" s="20"/>
      <c r="OJ5" s="20"/>
      <c r="OK5" s="20"/>
      <c r="OL5" s="20"/>
    </row>
    <row r="6" spans="1:402" s="77" customFormat="1" ht="20.25" customHeight="1" x14ac:dyDescent="0.2">
      <c r="A6" s="67" t="s">
        <v>60</v>
      </c>
      <c r="B6" s="28" t="str">
        <f>IF(B$5="","",VLOOKUP(WEEKDAY(DATE($A$2,$A$3+$A$1-1,B5),2),'Helper sheet'!$D$1:$E$7,2,0))</f>
        <v>Fri</v>
      </c>
      <c r="C6" s="28" t="str">
        <f>IF(C$5="","",VLOOKUP(WEEKDAY(DATE($A$2,$A$3+$A$1-1,C5),2),'Helper sheet'!$D$1:$E$7,2,0))</f>
        <v>Sat</v>
      </c>
      <c r="D6" s="28" t="str">
        <f>IF(D$5="","",VLOOKUP(WEEKDAY(DATE($A$2,$A$3+$A$1-1,D5),2),'Helper sheet'!$D$1:$E$7,2,0))</f>
        <v>Sun</v>
      </c>
      <c r="E6" s="28" t="str">
        <f>IF(E$5="","",VLOOKUP(WEEKDAY(DATE($A$2,$A$3+$A$1-1,E5),2),'Helper sheet'!$D$1:$E$7,2,0))</f>
        <v>Mon</v>
      </c>
      <c r="F6" s="28" t="str">
        <f>IF(F$5="","",VLOOKUP(WEEKDAY(DATE($A$2,$A$3+$A$1-1,F5),2),'Helper sheet'!$D$1:$E$7,2,0))</f>
        <v>Tue</v>
      </c>
      <c r="G6" s="28" t="str">
        <f>IF(G$5="","",VLOOKUP(WEEKDAY(DATE($A$2,$A$3+$A$1-1,G5),2),'Helper sheet'!$D$1:$E$7,2,0))</f>
        <v>Wed</v>
      </c>
      <c r="H6" s="28" t="str">
        <f>IF(H$5="","",VLOOKUP(WEEKDAY(DATE($A$2,$A$3+$A$1-1,H5),2),'Helper sheet'!$D$1:$E$7,2,0))</f>
        <v>Thu</v>
      </c>
      <c r="I6" s="28" t="str">
        <f>IF(I$5="","",VLOOKUP(WEEKDAY(DATE($A$2,$A$3+$A$1-1,I5),2),'Helper sheet'!$D$1:$E$7,2,0))</f>
        <v>Fri</v>
      </c>
      <c r="J6" s="28" t="str">
        <f>IF(J$5="","",VLOOKUP(WEEKDAY(DATE($A$2,$A$3+$A$1-1,J5),2),'Helper sheet'!$D$1:$E$7,2,0))</f>
        <v>Sat</v>
      </c>
      <c r="K6" s="28" t="str">
        <f>IF(K$5="","",VLOOKUP(WEEKDAY(DATE($A$2,$A$3+$A$1-1,K5),2),'Helper sheet'!$D$1:$E$7,2,0))</f>
        <v>Sun</v>
      </c>
      <c r="L6" s="28" t="str">
        <f>IF(L$5="","",VLOOKUP(WEEKDAY(DATE($A$2,$A$3+$A$1-1,L5),2),'Helper sheet'!$D$1:$E$7,2,0))</f>
        <v>Mon</v>
      </c>
      <c r="M6" s="28" t="str">
        <f>IF(M$5="","",VLOOKUP(WEEKDAY(DATE($A$2,$A$3+$A$1-1,M5),2),'Helper sheet'!$D$1:$E$7,2,0))</f>
        <v>Tue</v>
      </c>
      <c r="N6" s="28" t="str">
        <f>IF(N$5="","",VLOOKUP(WEEKDAY(DATE($A$2,$A$3+$A$1-1,N5),2),'Helper sheet'!$D$1:$E$7,2,0))</f>
        <v>Wed</v>
      </c>
      <c r="O6" s="28" t="str">
        <f>IF(O$5="","",VLOOKUP(WEEKDAY(DATE($A$2,$A$3+$A$1-1,O5),2),'Helper sheet'!$D$1:$E$7,2,0))</f>
        <v>Thu</v>
      </c>
      <c r="P6" s="28" t="str">
        <f>IF(P$5="","",VLOOKUP(WEEKDAY(DATE($A$2,$A$3+$A$1-1,P5),2),'Helper sheet'!$D$1:$E$7,2,0))</f>
        <v>Fri</v>
      </c>
      <c r="Q6" s="28" t="str">
        <f>IF(Q$5="","",VLOOKUP(WEEKDAY(DATE($A$2,$A$3+$A$1-1,Q5),2),'Helper sheet'!$D$1:$E$7,2,0))</f>
        <v>Sat</v>
      </c>
      <c r="R6" s="28" t="str">
        <f>IF(R$5="","",VLOOKUP(WEEKDAY(DATE($A$2,$A$3+$A$1-1,R5),2),'Helper sheet'!$D$1:$E$7,2,0))</f>
        <v>Sun</v>
      </c>
      <c r="S6" s="28" t="str">
        <f>IF(S$5="","",VLOOKUP(WEEKDAY(DATE($A$2,$A$3+$A$1-1,S5),2),'Helper sheet'!$D$1:$E$7,2,0))</f>
        <v>Mon</v>
      </c>
      <c r="T6" s="28" t="str">
        <f>IF(T$5="","",VLOOKUP(WEEKDAY(DATE($A$2,$A$3+$A$1-1,T5),2),'Helper sheet'!$D$1:$E$7,2,0))</f>
        <v>Tue</v>
      </c>
      <c r="U6" s="28" t="str">
        <f>IF(U$5="","",VLOOKUP(WEEKDAY(DATE($A$2,$A$3+$A$1-1,U5),2),'Helper sheet'!$D$1:$E$7,2,0))</f>
        <v>Wed</v>
      </c>
      <c r="V6" s="28" t="str">
        <f>IF(V$5="","",VLOOKUP(WEEKDAY(DATE($A$2,$A$3+$A$1-1,V5),2),'Helper sheet'!$D$1:$E$7,2,0))</f>
        <v>Thu</v>
      </c>
      <c r="W6" s="28" t="str">
        <f>IF(W$5="","",VLOOKUP(WEEKDAY(DATE($A$2,$A$3+$A$1-1,W5),2),'Helper sheet'!$D$1:$E$7,2,0))</f>
        <v>Fri</v>
      </c>
      <c r="X6" s="28" t="str">
        <f>IF(X$5="","",VLOOKUP(WEEKDAY(DATE($A$2,$A$3+$A$1-1,X5),2),'Helper sheet'!$D$1:$E$7,2,0))</f>
        <v>Sat</v>
      </c>
      <c r="Y6" s="28" t="str">
        <f>IF(Y$5="","",VLOOKUP(WEEKDAY(DATE($A$2,$A$3+$A$1-1,Y5),2),'Helper sheet'!$D$1:$E$7,2,0))</f>
        <v>Sun</v>
      </c>
      <c r="Z6" s="28" t="str">
        <f>IF(Z$5="","",VLOOKUP(WEEKDAY(DATE($A$2,$A$3+$A$1-1,Z5),2),'Helper sheet'!$D$1:$E$7,2,0))</f>
        <v>Mon</v>
      </c>
      <c r="AA6" s="28" t="str">
        <f>IF(AA$5="","",VLOOKUP(WEEKDAY(DATE($A$2,$A$3+$A$1-1,AA5),2),'Helper sheet'!$D$1:$E$7,2,0))</f>
        <v>Tue</v>
      </c>
      <c r="AB6" s="28" t="str">
        <f>IF(AB$5="","",VLOOKUP(WEEKDAY(DATE($A$2,$A$3+$A$1-1,AB5),2),'Helper sheet'!$D$1:$E$7,2,0))</f>
        <v>Wed</v>
      </c>
      <c r="AC6" s="28" t="str">
        <f>IF(AC$5="","",VLOOKUP(WEEKDAY(DATE($A$2,$A$3+$A$1-1,AC5),2),'Helper sheet'!$D$1:$E$7,2,0))</f>
        <v>Thu</v>
      </c>
      <c r="AD6" s="28" t="str">
        <f>IF(AD$5="","",VLOOKUP(WEEKDAY(DATE($A$2,$A$3+$A$1-1,AD5),2),'Helper sheet'!$D$1:$E$7,2,0))</f>
        <v>Fri</v>
      </c>
      <c r="AE6" s="28" t="str">
        <f>IF(AE$5="","",VLOOKUP(WEEKDAY(DATE($A$2,$A$3+$A$1-1,AE5),2),'Helper sheet'!$D$1:$E$7,2,0))</f>
        <v>Sat</v>
      </c>
      <c r="AF6" s="28" t="str">
        <f>IF(AF$5="","",VLOOKUP(WEEKDAY(DATE($A$2,$A$3+$A$1-1,AF5),2),'Helper sheet'!$D$1:$E$7,2,0))</f>
        <v>Sun</v>
      </c>
      <c r="AG6" s="28" t="str">
        <f>IF(AG$5="","",VLOOKUP(WEEKDAY(DATE($A$2,$A$3+$A$1-1,AG5),2),'Helper sheet'!$D$1:$E$7,2,0))</f>
        <v/>
      </c>
      <c r="AH6" s="28" t="str">
        <f>IF(AH$5="","",VLOOKUP(WEEKDAY(DATE($A$2,$A$3+$A$1-1,AH5),2),'Helper sheet'!$D$1:$E$7,2,0))</f>
        <v/>
      </c>
      <c r="AI6" s="28" t="str">
        <f>IF(AI$5="","",VLOOKUP(WEEKDAY(DATE($A$2,$A$3+$A$1-1,AI5),2),'Helper sheet'!$D$1:$E$7,2,0))</f>
        <v/>
      </c>
      <c r="AJ6" s="28" t="str">
        <f>IF(AJ$5="","",VLOOKUP(WEEKDAY(DATE($A$2,$A$3+$A$1-1,AJ5),2),'Helper sheet'!$D$1:$E$7,2,0))</f>
        <v/>
      </c>
      <c r="AK6" s="28" t="str">
        <f>IF(AK$5="","",VLOOKUP(WEEKDAY(DATE($A$2,$A$3+$A$1-1,AK5),2),'Helper sheet'!$D$1:$E$7,2,0))</f>
        <v/>
      </c>
      <c r="AL6" s="28" t="str">
        <f>IF(AL$5="","",VLOOKUP(WEEKDAY(DATE($A$2,$A$3+$A$1-1,AL5),2),'Helper sheet'!$D$1:$E$7,2,0))</f>
        <v/>
      </c>
      <c r="AM6" s="28" t="str">
        <f>IF(AM$5="","",VLOOKUP(WEEKDAY(DATE($A$2,$A$3+$A$1-1,AM5),2),'Helper sheet'!$D$1:$E$7,2,0))</f>
        <v/>
      </c>
      <c r="AN6" s="28" t="str">
        <f>IF(AN$5="","",VLOOKUP(WEEKDAY(DATE($A$2,$A$3+$A$1-1,AN5),2),'Helper sheet'!$D$1:$E$7,2,0))</f>
        <v/>
      </c>
      <c r="AO6" s="28" t="str">
        <f>IF(AO$5="","",VLOOKUP(WEEKDAY(DATE($A$2,$A$3+$A$1-1,AO5),2),'Helper sheet'!$D$1:$E$7,2,0))</f>
        <v/>
      </c>
      <c r="AP6" s="28" t="str">
        <f>IF(AP$5="","",VLOOKUP(WEEKDAY(DATE($A$2,$A$3+$A$1-1,AP5),2),'Helper sheet'!$D$1:$E$7,2,0))</f>
        <v/>
      </c>
      <c r="AQ6" s="28" t="str">
        <f>IF(AQ$5="","",VLOOKUP(WEEKDAY(DATE($A$2,$A$3+$A$1-1,AQ5),2),'Helper sheet'!$D$1:$E$7,2,0))</f>
        <v/>
      </c>
      <c r="AR6" s="28" t="str">
        <f>IF(AR$5="","",VLOOKUP(WEEKDAY(DATE($A$2,$A$3+$A$1-1,AR5),2),'Helper sheet'!$D$1:$E$7,2,0))</f>
        <v/>
      </c>
      <c r="AS6" s="28" t="str">
        <f>IF(AS$5="","",VLOOKUP(WEEKDAY(DATE($A$2,$A$3+$A$1-1,AS5),2),'Helper sheet'!$D$1:$E$7,2,0))</f>
        <v/>
      </c>
      <c r="AT6" s="28" t="str">
        <f>IF(AT$5="","",VLOOKUP(WEEKDAY(DATE($A$2,$A$3+$A$1-1,AT5),2),'Helper sheet'!$D$1:$E$7,2,0))</f>
        <v/>
      </c>
      <c r="AU6" s="28" t="str">
        <f>IF(AU$5="","",VLOOKUP(WEEKDAY(DATE($A$2,$A$3+$A$1-1,AU5),2),'Helper sheet'!$D$1:$E$7,2,0))</f>
        <v/>
      </c>
      <c r="AV6" s="28" t="str">
        <f>IF(AV$5="","",VLOOKUP(WEEKDAY(DATE($A$2,$A$3+$A$1-1,AV5),2),'Helper sheet'!$D$1:$E$7,2,0))</f>
        <v/>
      </c>
      <c r="AW6" s="28" t="str">
        <f>IF(AW$5="","",VLOOKUP(WEEKDAY(DATE($A$2,$A$3+$A$1-1,AW5),2),'Helper sheet'!$D$1:$E$7,2,0))</f>
        <v/>
      </c>
      <c r="AX6" s="28" t="str">
        <f>IF(AX$5="","",VLOOKUP(WEEKDAY(DATE($A$2,$A$3+$A$1-1,AX5),2),'Helper sheet'!$D$1:$E$7,2,0))</f>
        <v/>
      </c>
      <c r="AY6" s="28" t="str">
        <f>IF(AY$5="","",VLOOKUP(WEEKDAY(DATE($A$2,$A$3+$A$1-1,AY5),2),'Helper sheet'!$D$1:$E$7,2,0))</f>
        <v/>
      </c>
      <c r="AZ6" s="28" t="str">
        <f>IF(AZ$5="","",VLOOKUP(WEEKDAY(DATE($A$2,$A$3+$A$1-1,AZ5),2),'Helper sheet'!$D$1:$E$7,2,0))</f>
        <v/>
      </c>
      <c r="BA6" s="28" t="str">
        <f>IF(BA$5="","",VLOOKUP(WEEKDAY(DATE($A$2,$A$3+$A$1-1,BA5),2),'Helper sheet'!$D$1:$E$7,2,0))</f>
        <v/>
      </c>
      <c r="BB6" s="28" t="str">
        <f>IF(BB$5="","",VLOOKUP(WEEKDAY(DATE($A$2,$A$3+$A$1-1,BB5),2),'Helper sheet'!$D$1:$E$7,2,0))</f>
        <v/>
      </c>
      <c r="BC6" s="28" t="str">
        <f>IF(BC$5="","",VLOOKUP(WEEKDAY(DATE($A$2,$A$3+$A$1-1,BC5),2),'Helper sheet'!$D$1:$E$7,2,0))</f>
        <v/>
      </c>
      <c r="BD6" s="28" t="str">
        <f>IF(BD$5="","",VLOOKUP(WEEKDAY(DATE($A$2,$A$3+$A$1-1,BD5),2),'Helper sheet'!$D$1:$E$7,2,0))</f>
        <v/>
      </c>
      <c r="BE6" s="28" t="str">
        <f>IF(BE$5="","",VLOOKUP(WEEKDAY(DATE($A$2,$A$3+$A$1-1,BE5),2),'Helper sheet'!$D$1:$E$7,2,0))</f>
        <v/>
      </c>
      <c r="BF6" s="28" t="str">
        <f>IF(BF$5="","",VLOOKUP(WEEKDAY(DATE($A$2,$A$3+$A$1-1,BF5),2),'Helper sheet'!$D$1:$E$7,2,0))</f>
        <v/>
      </c>
      <c r="BG6" s="28" t="str">
        <f>IF(BG$5="","",VLOOKUP(WEEKDAY(DATE($A$2,$A$3+$A$1-1,BG5),2),'Helper sheet'!$D$1:$E$7,2,0))</f>
        <v/>
      </c>
      <c r="BH6" s="28" t="str">
        <f>IF(BH$5="","",VLOOKUP(WEEKDAY(DATE($A$2,$A$3+$A$1-1,BH5),2),'Helper sheet'!$D$1:$E$7,2,0))</f>
        <v/>
      </c>
      <c r="BI6" s="28" t="str">
        <f>IF(BI$5="","",VLOOKUP(WEEKDAY(DATE($A$2,$A$3+$A$1-1,BI5),2),'Helper sheet'!$D$1:$E$7,2,0))</f>
        <v/>
      </c>
      <c r="BJ6" s="28" t="str">
        <f>IF(BJ$5="","",VLOOKUP(WEEKDAY(DATE($A$2,$A$3+$A$1-1,BJ5),2),'Helper sheet'!$D$1:$E$7,2,0))</f>
        <v/>
      </c>
      <c r="BK6" s="28" t="str">
        <f>IF(BK$5="","",VLOOKUP(WEEKDAY(DATE($A$2,$A$3+$A$1-1,BK5),2),'Helper sheet'!$D$1:$E$7,2,0))</f>
        <v/>
      </c>
      <c r="BL6" s="28" t="str">
        <f>IF(BL$5="","",VLOOKUP(WEEKDAY(DATE($A$2,$A$3+$A$1-1,BL5),2),'Helper sheet'!$D$1:$E$7,2,0))</f>
        <v/>
      </c>
      <c r="BM6" s="28" t="str">
        <f>IF(BM$5="","",VLOOKUP(WEEKDAY(DATE($A$2,$A$3+$A$1-1,BM5),2),'Helper sheet'!$D$1:$E$7,2,0))</f>
        <v/>
      </c>
      <c r="BN6" s="28" t="str">
        <f>IF(BN$5="","",VLOOKUP(WEEKDAY(DATE($A$2,$A$3+$A$1-1,BN5),2),'Helper sheet'!$D$1:$E$7,2,0))</f>
        <v/>
      </c>
      <c r="BO6" s="28" t="str">
        <f>IF(BO$5="","",VLOOKUP(WEEKDAY(DATE($A$2,$A$3+$A$1-1,BO5),2),'Helper sheet'!$D$1:$E$7,2,0))</f>
        <v/>
      </c>
      <c r="BP6" s="28" t="str">
        <f>IF(BP$5="","",VLOOKUP(WEEKDAY(DATE($A$2,$A$3+$A$1-1,BP5),2),'Helper sheet'!$D$1:$E$7,2,0))</f>
        <v/>
      </c>
      <c r="BQ6" s="28" t="str">
        <f>IF(BQ$5="","",VLOOKUP(WEEKDAY(DATE($A$2,$A$3+$A$1-1,BQ5),2),'Helper sheet'!$D$1:$E$7,2,0))</f>
        <v/>
      </c>
      <c r="BR6" s="28" t="str">
        <f>IF(BR$5="","",VLOOKUP(WEEKDAY(DATE($A$2,$A$3+$A$1-1,BR5),2),'Helper sheet'!$D$1:$E$7,2,0))</f>
        <v/>
      </c>
      <c r="BS6" s="28" t="str">
        <f>IF(BS$5="","",VLOOKUP(WEEKDAY(DATE($A$2,$A$3+$A$1-1,BS5),2),'Helper sheet'!$D$1:$E$7,2,0))</f>
        <v/>
      </c>
      <c r="BT6" s="28" t="str">
        <f>IF(BT$5="","",VLOOKUP(WEEKDAY(DATE($A$2,$A$3+$A$1-1,BT5),2),'Helper sheet'!$D$1:$E$7,2,0))</f>
        <v/>
      </c>
      <c r="BU6" s="28" t="str">
        <f>IF(BU$5="","",VLOOKUP(WEEKDAY(DATE($A$2,$A$3+$A$1-1,BU5),2),'Helper sheet'!$D$1:$E$7,2,0))</f>
        <v/>
      </c>
      <c r="BV6" s="28" t="str">
        <f>IF(BV$5="","",VLOOKUP(WEEKDAY(DATE($A$2,$A$3+$A$1-1,BV5),2),'Helper sheet'!$D$1:$E$7,2,0))</f>
        <v/>
      </c>
      <c r="BW6" s="28" t="str">
        <f>IF(BW$5="","",VLOOKUP(WEEKDAY(DATE($A$2,$A$3+$A$1-1,BW5),2),'Helper sheet'!$D$1:$E$7,2,0))</f>
        <v/>
      </c>
      <c r="BX6" s="28" t="str">
        <f>IF(BX$5="","",VLOOKUP(WEEKDAY(DATE($A$2,$A$3+$A$1-1,BX5),2),'Helper sheet'!$D$1:$E$7,2,0))</f>
        <v/>
      </c>
      <c r="BY6" s="28" t="str">
        <f>IF(BY$5="","",VLOOKUP(WEEKDAY(DATE($A$2,$A$3+$A$1-1,BY5),2),'Helper sheet'!$D$1:$E$7,2,0))</f>
        <v/>
      </c>
      <c r="BZ6" s="28" t="str">
        <f>IF(BZ$5="","",VLOOKUP(WEEKDAY(DATE($A$2,$A$3+$A$1-1,BZ5),2),'Helper sheet'!$D$1:$E$7,2,0))</f>
        <v/>
      </c>
      <c r="CA6" s="28" t="str">
        <f>IF(CA$5="","",VLOOKUP(WEEKDAY(DATE($A$2,$A$3+$A$1-1,CA5),2),'Helper sheet'!$D$1:$E$7,2,0))</f>
        <v/>
      </c>
      <c r="CB6" s="28" t="str">
        <f>IF(CB$5="","",VLOOKUP(WEEKDAY(DATE($A$2,$A$3+$A$1-1,CB5),2),'Helper sheet'!$D$1:$E$7,2,0))</f>
        <v/>
      </c>
      <c r="CC6" s="28" t="str">
        <f>IF(CC$5="","",VLOOKUP(WEEKDAY(DATE($A$2,$A$3+$A$1-1,CC5),2),'Helper sheet'!$D$1:$E$7,2,0))</f>
        <v/>
      </c>
      <c r="CD6" s="28" t="str">
        <f>IF(CD$5="","",VLOOKUP(WEEKDAY(DATE($A$2,$A$3+$A$1-1,CD5),2),'Helper sheet'!$D$1:$E$7,2,0))</f>
        <v/>
      </c>
      <c r="CE6" s="28" t="str">
        <f>IF(CE$5="","",VLOOKUP(WEEKDAY(DATE($A$2,$A$3+$A$1-1,CE5),2),'Helper sheet'!$D$1:$E$7,2,0))</f>
        <v/>
      </c>
      <c r="CF6" s="28" t="str">
        <f>IF(CF$5="","",VLOOKUP(WEEKDAY(DATE($A$2,$A$3+$A$1-1,CF5),2),'Helper sheet'!$D$1:$E$7,2,0))</f>
        <v/>
      </c>
      <c r="CG6" s="28" t="str">
        <f>IF(CG$5="","",VLOOKUP(WEEKDAY(DATE($A$2,$A$3+$A$1-1,CG5),2),'Helper sheet'!$D$1:$E$7,2,0))</f>
        <v/>
      </c>
      <c r="CH6" s="28" t="str">
        <f>IF(CH$5="","",VLOOKUP(WEEKDAY(DATE($A$2,$A$3+$A$1-1,CH5),2),'Helper sheet'!$D$1:$E$7,2,0))</f>
        <v/>
      </c>
      <c r="CI6" s="28" t="str">
        <f>IF(CI$5="","",VLOOKUP(WEEKDAY(DATE($A$2,$A$3+$A$1-1,CI5),2),'Helper sheet'!$D$1:$E$7,2,0))</f>
        <v/>
      </c>
      <c r="CJ6" s="28" t="str">
        <f>IF(CJ$5="","",VLOOKUP(WEEKDAY(DATE($A$2,$A$3+$A$1-1,CJ5),2),'Helper sheet'!$D$1:$E$7,2,0))</f>
        <v/>
      </c>
      <c r="CK6" s="28" t="str">
        <f>IF(CK$5="","",VLOOKUP(WEEKDAY(DATE($A$2,$A$3+$A$1-1,CK5),2),'Helper sheet'!$D$1:$E$7,2,0))</f>
        <v/>
      </c>
      <c r="CL6" s="28" t="str">
        <f>IF(CL$5="","",VLOOKUP(WEEKDAY(DATE($A$2,$A$3+$A$1-1,CL5),2),'Helper sheet'!$D$1:$E$7,2,0))</f>
        <v/>
      </c>
      <c r="CM6" s="28" t="str">
        <f>IF(CM$5="","",VLOOKUP(WEEKDAY(DATE($A$2,$A$3+$A$1-1,CM5),2),'Helper sheet'!$D$1:$E$7,2,0))</f>
        <v/>
      </c>
      <c r="CN6" s="28" t="str">
        <f>IF(CN$5="","",VLOOKUP(WEEKDAY(DATE($A$2,$A$3+$A$1-1,CN5),2),'Helper sheet'!$D$1:$E$7,2,0))</f>
        <v/>
      </c>
      <c r="CO6" s="28" t="str">
        <f>IF(CO$5="","",VLOOKUP(WEEKDAY(DATE($A$2,$A$3+$A$1-1,CO5),2),'Helper sheet'!$D$1:$E$7,2,0))</f>
        <v/>
      </c>
      <c r="CP6" s="28" t="str">
        <f>IF(CP$5="","",VLOOKUP(WEEKDAY(DATE($A$2,$A$3+$A$1-1,CP5),2),'Helper sheet'!$D$1:$E$7,2,0))</f>
        <v/>
      </c>
      <c r="CQ6" s="28" t="str">
        <f>IF(CQ$5="","",VLOOKUP(WEEKDAY(DATE($A$2,$A$3+$A$1-1,CQ5),2),'Helper sheet'!$D$1:$E$7,2,0))</f>
        <v/>
      </c>
      <c r="CR6" s="28" t="str">
        <f>IF(CR$5="","",VLOOKUP(WEEKDAY(DATE($A$2,$A$3+$A$1-1,CR5),2),'Helper sheet'!$D$1:$E$7,2,0))</f>
        <v/>
      </c>
      <c r="CS6" s="28" t="str">
        <f>IF(CS$5="","",VLOOKUP(WEEKDAY(DATE($A$2,$A$3+$A$1-1,CS5),2),'Helper sheet'!$D$1:$E$7,2,0))</f>
        <v/>
      </c>
      <c r="CT6" s="28" t="str">
        <f>IF(CT$5="","",VLOOKUP(WEEKDAY(DATE($A$2,$A$3+$A$1-1,CT5),2),'Helper sheet'!$D$1:$E$7,2,0))</f>
        <v/>
      </c>
      <c r="CU6" s="28" t="str">
        <f>IF(CU$5="","",VLOOKUP(WEEKDAY(DATE($A$2,$A$3+$A$1-1,CU5),2),'Helper sheet'!$D$1:$E$7,2,0))</f>
        <v/>
      </c>
      <c r="CV6" s="28" t="str">
        <f>IF(CV$5="","",VLOOKUP(WEEKDAY(DATE($A$2,$A$3+$A$1-1,CV5),2),'Helper sheet'!$D$1:$E$7,2,0))</f>
        <v/>
      </c>
      <c r="CW6" s="28" t="str">
        <f>IF(CW$5="","",VLOOKUP(WEEKDAY(DATE($A$2,$A$3+$A$1-1,CW5),2),'Helper sheet'!$D$1:$E$7,2,0))</f>
        <v/>
      </c>
      <c r="CX6" s="28" t="str">
        <f>IF(CX$5="","",VLOOKUP(WEEKDAY(DATE($A$2,$A$3+$A$1-1,CX5),2),'Helper sheet'!$D$1:$E$7,2,0))</f>
        <v/>
      </c>
      <c r="CY6" s="28" t="str">
        <f>IF(CY$5="","",VLOOKUP(WEEKDAY(DATE($A$2,$A$3+$A$1-1,CY5),2),'Helper sheet'!$D$1:$E$7,2,0))</f>
        <v/>
      </c>
      <c r="CZ6" s="28" t="str">
        <f>IF(CZ$5="","",VLOOKUP(WEEKDAY(DATE($A$2,$A$3+$A$1-1,CZ5),2),'Helper sheet'!$D$1:$E$7,2,0))</f>
        <v/>
      </c>
      <c r="DA6" s="28" t="str">
        <f>IF(DA$5="","",VLOOKUP(WEEKDAY(DATE($A$2,$A$3+$A$1-1,DA5),2),'Helper sheet'!$D$1:$E$7,2,0))</f>
        <v/>
      </c>
      <c r="DB6" s="28" t="str">
        <f>IF(DB$5="","",VLOOKUP(WEEKDAY(DATE($A$2,$A$3+$A$1-1,DB5),2),'Helper sheet'!$D$1:$E$7,2,0))</f>
        <v/>
      </c>
      <c r="DC6" s="28" t="str">
        <f>IF(DC$5="","",VLOOKUP(WEEKDAY(DATE($A$2,$A$3+$A$1-1,DC5),2),'Helper sheet'!$D$1:$E$7,2,0))</f>
        <v/>
      </c>
      <c r="DD6" s="28" t="str">
        <f>IF(DD$5="","",VLOOKUP(WEEKDAY(DATE($A$2,$A$3+$A$1-1,DD5),2),'Helper sheet'!$D$1:$E$7,2,0))</f>
        <v/>
      </c>
      <c r="DE6" s="28" t="str">
        <f>IF(DE$5="","",VLOOKUP(WEEKDAY(DATE($A$2,$A$3+$A$1-1,DE5),2),'Helper sheet'!$D$1:$E$7,2,0))</f>
        <v/>
      </c>
      <c r="DF6" s="28" t="str">
        <f>IF(DF$5="","",VLOOKUP(WEEKDAY(DATE($A$2,$A$3+$A$1-1,DF5),2),'Helper sheet'!$D$1:$E$7,2,0))</f>
        <v/>
      </c>
      <c r="DG6" s="28" t="str">
        <f>IF(DG$5="","",VLOOKUP(WEEKDAY(DATE($A$2,$A$3+$A$1-1,DG5),2),'Helper sheet'!$D$1:$E$7,2,0))</f>
        <v/>
      </c>
      <c r="DH6" s="28" t="str">
        <f>IF(DH$5="","",VLOOKUP(WEEKDAY(DATE($A$2,$A$3+$A$1-1,DH5),2),'Helper sheet'!$D$1:$E$7,2,0))</f>
        <v/>
      </c>
      <c r="DI6" s="28" t="str">
        <f>IF(DI$5="","",VLOOKUP(WEEKDAY(DATE($A$2,$A$3+$A$1-1,DI5),2),'Helper sheet'!$D$1:$E$7,2,0))</f>
        <v/>
      </c>
      <c r="DJ6" s="28" t="str">
        <f>IF(DJ$5="","",VLOOKUP(WEEKDAY(DATE($A$2,$A$3+$A$1-1,DJ5),2),'Helper sheet'!$D$1:$E$7,2,0))</f>
        <v/>
      </c>
      <c r="DK6" s="28" t="str">
        <f>IF(DK$5="","",VLOOKUP(WEEKDAY(DATE($A$2,$A$3+$A$1-1,DK5),2),'Helper sheet'!$D$1:$E$7,2,0))</f>
        <v/>
      </c>
      <c r="DL6" s="28" t="str">
        <f>IF(DL$5="","",VLOOKUP(WEEKDAY(DATE($A$2,$A$3+$A$1-1,DL5),2),'Helper sheet'!$D$1:$E$7,2,0))</f>
        <v/>
      </c>
      <c r="DM6" s="28" t="str">
        <f>IF(DM$5="","",VLOOKUP(WEEKDAY(DATE($A$2,$A$3+$A$1-1,DM5),2),'Helper sheet'!$D$1:$E$7,2,0))</f>
        <v/>
      </c>
      <c r="DN6" s="28" t="str">
        <f>IF(DN$5="","",VLOOKUP(WEEKDAY(DATE($A$2,$A$3+$A$1-1,DN5),2),'Helper sheet'!$D$1:$E$7,2,0))</f>
        <v/>
      </c>
      <c r="DO6" s="28" t="str">
        <f>IF(DO$5="","",VLOOKUP(WEEKDAY(DATE($A$2,$A$3+$A$1-1,DO5),2),'Helper sheet'!$D$1:$E$7,2,0))</f>
        <v/>
      </c>
      <c r="DP6" s="28" t="str">
        <f>IF(DP$5="","",VLOOKUP(WEEKDAY(DATE($A$2,$A$3+$A$1-1,DP5),2),'Helper sheet'!$D$1:$E$7,2,0))</f>
        <v/>
      </c>
      <c r="DQ6" s="28" t="str">
        <f>IF(DQ$5="","",VLOOKUP(WEEKDAY(DATE($A$2,$A$3+$A$1-1,DQ5),2),'Helper sheet'!$D$1:$E$7,2,0))</f>
        <v/>
      </c>
      <c r="DR6" s="28" t="str">
        <f>IF(DR$5="","",VLOOKUP(WEEKDAY(DATE($A$2,$A$3+$A$1-1,DR5),2),'Helper sheet'!$D$1:$E$7,2,0))</f>
        <v/>
      </c>
      <c r="DS6" s="28" t="str">
        <f>IF(DS$5="","",VLOOKUP(WEEKDAY(DATE($A$2,$A$3+$A$1-1,DS5),2),'Helper sheet'!$D$1:$E$7,2,0))</f>
        <v/>
      </c>
      <c r="DT6" s="28" t="str">
        <f>IF(DT$5="","",VLOOKUP(WEEKDAY(DATE($A$2,$A$3+$A$1-1,DT5),2),'Helper sheet'!$D$1:$E$7,2,0))</f>
        <v/>
      </c>
      <c r="DU6" s="28" t="str">
        <f>IF(DU$5="","",VLOOKUP(WEEKDAY(DATE($A$2,$A$3+$A$1-1,DU5),2),'Helper sheet'!$D$1:$E$7,2,0))</f>
        <v/>
      </c>
      <c r="DV6" s="28" t="str">
        <f>IF(DV$5="","",VLOOKUP(WEEKDAY(DATE($A$2,$A$3+$A$1-1,DV5),2),'Helper sheet'!$D$1:$E$7,2,0))</f>
        <v/>
      </c>
      <c r="DW6" s="28" t="str">
        <f>IF(DW$5="","",VLOOKUP(WEEKDAY(DATE($A$2,$A$3+$A$1-1,DW5),2),'Helper sheet'!$D$1:$E$7,2,0))</f>
        <v/>
      </c>
      <c r="DX6" s="28" t="str">
        <f>IF(DX$5="","",VLOOKUP(WEEKDAY(DATE($A$2,$A$3+$A$1-1,DX5),2),'Helper sheet'!$D$1:$E$7,2,0))</f>
        <v/>
      </c>
      <c r="DY6" s="28" t="str">
        <f>IF(DY$5="","",VLOOKUP(WEEKDAY(DATE($A$2,$A$3+$A$1-1,DY5),2),'Helper sheet'!$D$1:$E$7,2,0))</f>
        <v/>
      </c>
      <c r="DZ6" s="28" t="str">
        <f>IF(DZ$5="","",VLOOKUP(WEEKDAY(DATE($A$2,$A$3+$A$1-1,DZ5),2),'Helper sheet'!$D$1:$E$7,2,0))</f>
        <v/>
      </c>
      <c r="EA6" s="28" t="str">
        <f>IF(EA$5="","",VLOOKUP(WEEKDAY(DATE($A$2,$A$3+$A$1-1,EA5),2),'Helper sheet'!$D$1:$E$7,2,0))</f>
        <v/>
      </c>
      <c r="EB6" s="28" t="str">
        <f>IF(EB$5="","",VLOOKUP(WEEKDAY(DATE($A$2,$A$3+$A$1-1,EB5),2),'Helper sheet'!$D$1:$E$7,2,0))</f>
        <v/>
      </c>
      <c r="EC6" s="28" t="str">
        <f>IF(EC$5="","",VLOOKUP(WEEKDAY(DATE($A$2,$A$3+$A$1-1,EC5),2),'Helper sheet'!$D$1:$E$7,2,0))</f>
        <v/>
      </c>
      <c r="ED6" s="28" t="str">
        <f>IF(ED$5="","",VLOOKUP(WEEKDAY(DATE($A$2,$A$3+$A$1-1,ED5),2),'Helper sheet'!$D$1:$E$7,2,0))</f>
        <v/>
      </c>
      <c r="EE6" s="28" t="str">
        <f>IF(EE$5="","",VLOOKUP(WEEKDAY(DATE($A$2,$A$3+$A$1-1,EE5),2),'Helper sheet'!$D$1:$E$7,2,0))</f>
        <v/>
      </c>
      <c r="EF6" s="28" t="str">
        <f>IF(EF$5="","",VLOOKUP(WEEKDAY(DATE($A$2,$A$3+$A$1-1,EF5),2),'Helper sheet'!$D$1:$E$7,2,0))</f>
        <v/>
      </c>
      <c r="EG6" s="28" t="str">
        <f>IF(EG$5="","",VLOOKUP(WEEKDAY(DATE($A$2,$A$3+$A$1-1,EG5),2),'Helper sheet'!$D$1:$E$7,2,0))</f>
        <v/>
      </c>
      <c r="EH6" s="28" t="str">
        <f>IF(EH$5="","",VLOOKUP(WEEKDAY(DATE($A$2,$A$3+$A$1-1,EH5),2),'Helper sheet'!$D$1:$E$7,2,0))</f>
        <v/>
      </c>
      <c r="EI6" s="28" t="str">
        <f>IF(EI$5="","",VLOOKUP(WEEKDAY(DATE($A$2,$A$3+$A$1-1,EI5),2),'Helper sheet'!$D$1:$E$7,2,0))</f>
        <v/>
      </c>
      <c r="EJ6" s="28" t="str">
        <f>IF(EJ$5="","",VLOOKUP(WEEKDAY(DATE($A$2,$A$3+$A$1-1,EJ5),2),'Helper sheet'!$D$1:$E$7,2,0))</f>
        <v/>
      </c>
      <c r="EK6" s="28" t="str">
        <f>IF(EK$5="","",VLOOKUP(WEEKDAY(DATE($A$2,$A$3+$A$1-1,EK5),2),'Helper sheet'!$D$1:$E$7,2,0))</f>
        <v/>
      </c>
      <c r="EL6" s="28" t="str">
        <f>IF(EL$5="","",VLOOKUP(WEEKDAY(DATE($A$2,$A$3+$A$1-1,EL5),2),'Helper sheet'!$D$1:$E$7,2,0))</f>
        <v/>
      </c>
      <c r="EM6" s="28" t="str">
        <f>IF(EM$5="","",VLOOKUP(WEEKDAY(DATE($A$2,$A$3+$A$1-1,EM5),2),'Helper sheet'!$D$1:$E$7,2,0))</f>
        <v/>
      </c>
      <c r="EN6" s="28" t="str">
        <f>IF(EN$5="","",VLOOKUP(WEEKDAY(DATE($A$2,$A$3+$A$1-1,EN5),2),'Helper sheet'!$D$1:$E$7,2,0))</f>
        <v/>
      </c>
      <c r="EO6" s="28" t="str">
        <f>IF(EO$5="","",VLOOKUP(WEEKDAY(DATE($A$2,$A$3+$A$1-1,EO5),2),'Helper sheet'!$D$1:$E$7,2,0))</f>
        <v/>
      </c>
      <c r="EP6" s="28" t="str">
        <f>IF(EP$5="","",VLOOKUP(WEEKDAY(DATE($A$2,$A$3+$A$1-1,EP5),2),'Helper sheet'!$D$1:$E$7,2,0))</f>
        <v/>
      </c>
      <c r="EQ6" s="28" t="str">
        <f>IF(EQ$5="","",VLOOKUP(WEEKDAY(DATE($A$2,$A$3+$A$1-1,EQ5),2),'Helper sheet'!$D$1:$E$7,2,0))</f>
        <v/>
      </c>
      <c r="ER6" s="28" t="str">
        <f>IF(ER$5="","",VLOOKUP(WEEKDAY(DATE($A$2,$A$3+$A$1-1,ER5),2),'Helper sheet'!$D$1:$E$7,2,0))</f>
        <v/>
      </c>
      <c r="ES6" s="28" t="str">
        <f>IF(ES$5="","",VLOOKUP(WEEKDAY(DATE($A$2,$A$3+$A$1-1,ES5),2),'Helper sheet'!$D$1:$E$7,2,0))</f>
        <v/>
      </c>
      <c r="ET6" s="28" t="str">
        <f>IF(ET$5="","",VLOOKUP(WEEKDAY(DATE($A$2,$A$3+$A$1-1,ET5),2),'Helper sheet'!$D$1:$E$7,2,0))</f>
        <v/>
      </c>
      <c r="EU6" s="28" t="str">
        <f>IF(EU$5="","",VLOOKUP(WEEKDAY(DATE($A$2,$A$3+$A$1-1,EU5),2),'Helper sheet'!$D$1:$E$7,2,0))</f>
        <v/>
      </c>
      <c r="EV6" s="28" t="str">
        <f>IF(EV$5="","",VLOOKUP(WEEKDAY(DATE($A$2,$A$3+$A$1-1,EV5),2),'Helper sheet'!$D$1:$E$7,2,0))</f>
        <v/>
      </c>
      <c r="EW6" s="28" t="str">
        <f>IF(EW$5="","",VLOOKUP(WEEKDAY(DATE($A$2,$A$3+$A$1-1,EW5),2),'Helper sheet'!$D$1:$E$7,2,0))</f>
        <v/>
      </c>
      <c r="EX6" s="28" t="str">
        <f>IF(EX$5="","",VLOOKUP(WEEKDAY(DATE($A$2,$A$3+$A$1-1,EX5),2),'Helper sheet'!$D$1:$E$7,2,0))</f>
        <v/>
      </c>
      <c r="EY6" s="28" t="str">
        <f>IF(EY$5="","",VLOOKUP(WEEKDAY(DATE($A$2,$A$3+$A$1-1,EY5),2),'Helper sheet'!$D$1:$E$7,2,0))</f>
        <v/>
      </c>
      <c r="EZ6" s="28" t="str">
        <f>IF(EZ$5="","",VLOOKUP(WEEKDAY(DATE($A$2,$A$3+$A$1-1,EZ5),2),'Helper sheet'!$D$1:$E$7,2,0))</f>
        <v/>
      </c>
      <c r="FA6" s="28" t="str">
        <f>IF(FA$5="","",VLOOKUP(WEEKDAY(DATE($A$2,$A$3+$A$1-1,FA5),2),'Helper sheet'!$D$1:$E$7,2,0))</f>
        <v/>
      </c>
      <c r="FB6" s="28" t="str">
        <f>IF(FB$5="","",VLOOKUP(WEEKDAY(DATE($A$2,$A$3+$A$1-1,FB5),2),'Helper sheet'!$D$1:$E$7,2,0))</f>
        <v/>
      </c>
      <c r="FC6" s="28" t="str">
        <f>IF(FC$5="","",VLOOKUP(WEEKDAY(DATE($A$2,$A$3+$A$1-1,FC5),2),'Helper sheet'!$D$1:$E$7,2,0))</f>
        <v/>
      </c>
      <c r="FD6" s="28" t="str">
        <f>IF(FD$5="","",VLOOKUP(WEEKDAY(DATE($A$2,$A$3+$A$1-1,FD5),2),'Helper sheet'!$D$1:$E$7,2,0))</f>
        <v/>
      </c>
      <c r="FE6" s="28" t="str">
        <f>IF(FE$5="","",VLOOKUP(WEEKDAY(DATE($A$2,$A$3+$A$1-1,FE5),2),'Helper sheet'!$D$1:$E$7,2,0))</f>
        <v/>
      </c>
      <c r="FF6" s="28" t="str">
        <f>IF(FF$5="","",VLOOKUP(WEEKDAY(DATE($A$2,$A$3+$A$1-1,FF5),2),'Helper sheet'!$D$1:$E$7,2,0))</f>
        <v/>
      </c>
      <c r="FG6" s="28" t="str">
        <f>IF(FG$5="","",VLOOKUP(WEEKDAY(DATE($A$2,$A$3+$A$1-1,FG5),2),'Helper sheet'!$D$1:$E$7,2,0))</f>
        <v/>
      </c>
      <c r="FH6" s="28" t="str">
        <f>IF(FH$5="","",VLOOKUP(WEEKDAY(DATE($A$2,$A$3+$A$1-1,FH5),2),'Helper sheet'!$D$1:$E$7,2,0))</f>
        <v/>
      </c>
      <c r="FI6" s="28" t="str">
        <f>IF(FI$5="","",VLOOKUP(WEEKDAY(DATE($A$2,$A$3+$A$1-1,FI5),2),'Helper sheet'!$D$1:$E$7,2,0))</f>
        <v/>
      </c>
      <c r="FJ6" s="28" t="str">
        <f>IF(FJ$5="","",VLOOKUP(WEEKDAY(DATE($A$2,$A$3+$A$1-1,FJ5),2),'Helper sheet'!$D$1:$E$7,2,0))</f>
        <v/>
      </c>
      <c r="FK6" s="28" t="str">
        <f>IF(FK$5="","",VLOOKUP(WEEKDAY(DATE($A$2,$A$3+$A$1-1,FK5),2),'Helper sheet'!$D$1:$E$7,2,0))</f>
        <v/>
      </c>
      <c r="FL6" s="28" t="str">
        <f>IF(FL$5="","",VLOOKUP(WEEKDAY(DATE($A$2,$A$3+$A$1-1,FL5),2),'Helper sheet'!$D$1:$E$7,2,0))</f>
        <v/>
      </c>
      <c r="FM6" s="28" t="str">
        <f>IF(FM$5="","",VLOOKUP(WEEKDAY(DATE($A$2,$A$3+$A$1-1,FM5),2),'Helper sheet'!$D$1:$E$7,2,0))</f>
        <v/>
      </c>
      <c r="FN6" s="28" t="str">
        <f>IF(FN$5="","",VLOOKUP(WEEKDAY(DATE($A$2,$A$3+$A$1-1,FN5),2),'Helper sheet'!$D$1:$E$7,2,0))</f>
        <v/>
      </c>
      <c r="FO6" s="28" t="str">
        <f>IF(FO$5="","",VLOOKUP(WEEKDAY(DATE($A$2,$A$3+$A$1-1,FO5),2),'Helper sheet'!$D$1:$E$7,2,0))</f>
        <v/>
      </c>
      <c r="FP6" s="28" t="str">
        <f>IF(FP$5="","",VLOOKUP(WEEKDAY(DATE($A$2,$A$3+$A$1-1,FP5),2),'Helper sheet'!$D$1:$E$7,2,0))</f>
        <v/>
      </c>
      <c r="FQ6" s="28" t="str">
        <f>IF(FQ$5="","",VLOOKUP(WEEKDAY(DATE($A$2,$A$3+$A$1-1,FQ5),2),'Helper sheet'!$D$1:$E$7,2,0))</f>
        <v/>
      </c>
      <c r="FR6" s="28" t="str">
        <f>IF(FR$5="","",VLOOKUP(WEEKDAY(DATE($A$2,$A$3+$A$1-1,FR5),2),'Helper sheet'!$D$1:$E$7,2,0))</f>
        <v/>
      </c>
      <c r="FS6" s="28" t="str">
        <f>IF(FS$5="","",VLOOKUP(WEEKDAY(DATE($A$2,$A$3+$A$1-1,FS5),2),'Helper sheet'!$D$1:$E$7,2,0))</f>
        <v/>
      </c>
      <c r="FT6" s="28" t="str">
        <f>IF(FT$5="","",VLOOKUP(WEEKDAY(DATE($A$2,$A$3+$A$1-1,FT5),2),'Helper sheet'!$D$1:$E$7,2,0))</f>
        <v/>
      </c>
      <c r="FU6" s="28" t="str">
        <f>IF(FU$5="","",VLOOKUP(WEEKDAY(DATE($A$2,$A$3+$A$1-1,FU5),2),'Helper sheet'!$D$1:$E$7,2,0))</f>
        <v/>
      </c>
      <c r="FV6" s="28" t="str">
        <f>IF(FV$5="","",VLOOKUP(WEEKDAY(DATE($A$2,$A$3+$A$1-1,FV5),2),'Helper sheet'!$D$1:$E$7,2,0))</f>
        <v/>
      </c>
      <c r="FW6" s="28" t="str">
        <f>IF(FW$5="","",VLOOKUP(WEEKDAY(DATE($A$2,$A$3+$A$1-1,FW5),2),'Helper sheet'!$D$1:$E$7,2,0))</f>
        <v/>
      </c>
      <c r="FX6" s="28" t="str">
        <f>IF(FX$5="","",VLOOKUP(WEEKDAY(DATE($A$2,$A$3+$A$1-1,FX5),2),'Helper sheet'!$D$1:$E$7,2,0))</f>
        <v/>
      </c>
      <c r="FY6" s="28" t="str">
        <f>IF(FY$5="","",VLOOKUP(WEEKDAY(DATE($A$2,$A$3+$A$1-1,FY5),2),'Helper sheet'!$D$1:$E$7,2,0))</f>
        <v/>
      </c>
      <c r="FZ6" s="28" t="str">
        <f>IF(FZ$5="","",VLOOKUP(WEEKDAY(DATE($A$2,$A$3+$A$1-1,FZ5),2),'Helper sheet'!$D$1:$E$7,2,0))</f>
        <v/>
      </c>
      <c r="GA6" s="28" t="str">
        <f>IF(GA$5="","",VLOOKUP(WEEKDAY(DATE($A$2,$A$3+$A$1-1,GA5),2),'Helper sheet'!$D$1:$E$7,2,0))</f>
        <v/>
      </c>
      <c r="GB6" s="28" t="str">
        <f>IF(GB$5="","",VLOOKUP(WEEKDAY(DATE($A$2,$A$3+$A$1-1,GB5),2),'Helper sheet'!$D$1:$E$7,2,0))</f>
        <v/>
      </c>
      <c r="GC6" s="28" t="str">
        <f>IF(GC$5="","",VLOOKUP(WEEKDAY(DATE($A$2,$A$3+$A$1-1,GC5),2),'Helper sheet'!$D$1:$E$7,2,0))</f>
        <v/>
      </c>
      <c r="GD6" s="28" t="str">
        <f>IF(GD$5="","",VLOOKUP(WEEKDAY(DATE($A$2,$A$3+$A$1-1,GD5),2),'Helper sheet'!$D$1:$E$7,2,0))</f>
        <v/>
      </c>
      <c r="GE6" s="28" t="str">
        <f>IF(GE$5="","",VLOOKUP(WEEKDAY(DATE($A$2,$A$3+$A$1-1,GE5),2),'Helper sheet'!$D$1:$E$7,2,0))</f>
        <v/>
      </c>
      <c r="GF6" s="28" t="str">
        <f>IF(GF$5="","",VLOOKUP(WEEKDAY(DATE($A$2,$A$3+$A$1-1,GF5),2),'Helper sheet'!$D$1:$E$7,2,0))</f>
        <v/>
      </c>
      <c r="GG6" s="28" t="str">
        <f>IF(GG$5="","",VLOOKUP(WEEKDAY(DATE($A$2,$A$3+$A$1-1,GG5),2),'Helper sheet'!$D$1:$E$7,2,0))</f>
        <v/>
      </c>
      <c r="GH6" s="28" t="str">
        <f>IF(GH$5="","",VLOOKUP(WEEKDAY(DATE($A$2,$A$3+$A$1-1,GH5),2),'Helper sheet'!$D$1:$E$7,2,0))</f>
        <v/>
      </c>
      <c r="GI6" s="28" t="str">
        <f>IF(GI$5="","",VLOOKUP(WEEKDAY(DATE($A$2,$A$3+$A$1-1,GI5),2),'Helper sheet'!$D$1:$E$7,2,0))</f>
        <v/>
      </c>
      <c r="GJ6" s="28" t="str">
        <f>IF(GJ$5="","",VLOOKUP(WEEKDAY(DATE($A$2,$A$3+$A$1-1,GJ5),2),'Helper sheet'!$D$1:$E$7,2,0))</f>
        <v/>
      </c>
      <c r="GK6" s="28" t="str">
        <f>IF(GK$5="","",VLOOKUP(WEEKDAY(DATE($A$2,$A$3+$A$1-1,GK5),2),'Helper sheet'!$D$1:$E$7,2,0))</f>
        <v/>
      </c>
      <c r="GL6" s="28" t="str">
        <f>IF(GL$5="","",VLOOKUP(WEEKDAY(DATE($A$2,$A$3+$A$1-1,GL5),2),'Helper sheet'!$D$1:$E$7,2,0))</f>
        <v/>
      </c>
      <c r="GM6" s="28" t="str">
        <f>IF(GM$5="","",VLOOKUP(WEEKDAY(DATE($A$2,$A$3+$A$1-1,GM5),2),'Helper sheet'!$D$1:$E$7,2,0))</f>
        <v/>
      </c>
      <c r="GN6" s="28" t="str">
        <f>IF(GN$5="","",VLOOKUP(WEEKDAY(DATE($A$2,$A$3+$A$1-1,GN5),2),'Helper sheet'!$D$1:$E$7,2,0))</f>
        <v/>
      </c>
      <c r="GO6" s="28" t="str">
        <f>IF(GO$5="","",VLOOKUP(WEEKDAY(DATE($A$2,$A$3+$A$1-1,GO5),2),'Helper sheet'!$D$1:$E$7,2,0))</f>
        <v/>
      </c>
      <c r="GP6" s="28" t="str">
        <f>IF(GP$5="","",VLOOKUP(WEEKDAY(DATE($A$2,$A$3+$A$1-1,GP5),2),'Helper sheet'!$D$1:$E$7,2,0))</f>
        <v/>
      </c>
      <c r="GQ6" s="28" t="str">
        <f>IF(GQ$5="","",VLOOKUP(WEEKDAY(DATE($A$2,$A$3+$A$1-1,GQ5),2),'Helper sheet'!$D$1:$E$7,2,0))</f>
        <v/>
      </c>
      <c r="GR6" s="28" t="str">
        <f>IF(GR$5="","",VLOOKUP(WEEKDAY(DATE($A$2,$A$3+$A$1-1,GR5),2),'Helper sheet'!$D$1:$E$7,2,0))</f>
        <v/>
      </c>
      <c r="GS6" s="28" t="str">
        <f>IF(GS$5="","",VLOOKUP(WEEKDAY(DATE($A$2,$A$3+$A$1-1,GS5),2),'Helper sheet'!$D$1:$E$7,2,0))</f>
        <v/>
      </c>
      <c r="GT6" s="28" t="str">
        <f>IF(GT$5="","",VLOOKUP(WEEKDAY(DATE($A$2,$A$3+$A$1-1,GT5),2),'Helper sheet'!$D$1:$E$7,2,0))</f>
        <v/>
      </c>
      <c r="GU6" s="28" t="str">
        <f>IF(GU$5="","",VLOOKUP(WEEKDAY(DATE($A$2,$A$3+$A$1-1,GU5),2),'Helper sheet'!$D$1:$E$7,2,0))</f>
        <v/>
      </c>
      <c r="GV6" s="28" t="str">
        <f>IF(GV$5="","",VLOOKUP(WEEKDAY(DATE($A$2,$A$3+$A$1-1,GV5),2),'Helper sheet'!$D$1:$E$7,2,0))</f>
        <v/>
      </c>
      <c r="GW6" s="28" t="str">
        <f>IF(GW$5="","",VLOOKUP(WEEKDAY(DATE($A$2,$A$3+$A$1-1,GW5),2),'Helper sheet'!$D$1:$E$7,2,0))</f>
        <v/>
      </c>
      <c r="GX6" s="28" t="str">
        <f>IF(GX$5="","",VLOOKUP(WEEKDAY(DATE($A$2,$A$3+$A$1-1,GX5),2),'Helper sheet'!$D$1:$E$7,2,0))</f>
        <v/>
      </c>
      <c r="GY6" s="28" t="str">
        <f>IF(GY$5="","",VLOOKUP(WEEKDAY(DATE($A$2,$A$3+$A$1-1,GY5),2),'Helper sheet'!$D$1:$E$7,2,0))</f>
        <v/>
      </c>
      <c r="GZ6" s="28" t="str">
        <f>IF(GZ$5="","",VLOOKUP(WEEKDAY(DATE($A$2,$A$3+$A$1-1,GZ5),2),'Helper sheet'!$D$1:$E$7,2,0))</f>
        <v/>
      </c>
      <c r="HA6" s="28" t="str">
        <f>IF(HA$5="","",VLOOKUP(WEEKDAY(DATE($A$2,$A$3+$A$1-1,HA5),2),'Helper sheet'!$D$1:$E$7,2,0))</f>
        <v/>
      </c>
      <c r="HB6" s="28" t="str">
        <f>IF(HB$5="","",VLOOKUP(WEEKDAY(DATE($A$2,$A$3+$A$1-1,HB5),2),'Helper sheet'!$D$1:$E$7,2,0))</f>
        <v/>
      </c>
      <c r="HC6" s="28" t="str">
        <f>IF(HC$5="","",VLOOKUP(WEEKDAY(DATE($A$2,$A$3+$A$1-1,HC5),2),'Helper sheet'!$D$1:$E$7,2,0))</f>
        <v/>
      </c>
      <c r="HD6" s="28" t="str">
        <f>IF(HD$5="","",VLOOKUP(WEEKDAY(DATE($A$2,$A$3+$A$1-1,HD5),2),'Helper sheet'!$D$1:$E$7,2,0))</f>
        <v/>
      </c>
      <c r="HE6" s="28" t="str">
        <f>IF(HE$5="","",VLOOKUP(WEEKDAY(DATE($A$2,$A$3+$A$1-1,HE5),2),'Helper sheet'!$D$1:$E$7,2,0))</f>
        <v/>
      </c>
      <c r="HF6" s="28" t="str">
        <f>IF(HF$5="","",VLOOKUP(WEEKDAY(DATE($A$2,$A$3+$A$1-1,HF5),2),'Helper sheet'!$D$1:$E$7,2,0))</f>
        <v/>
      </c>
      <c r="HG6" s="28" t="str">
        <f>IF(HG$5="","",VLOOKUP(WEEKDAY(DATE($A$2,$A$3+$A$1-1,HG5),2),'Helper sheet'!$D$1:$E$7,2,0))</f>
        <v/>
      </c>
      <c r="HH6" s="28" t="str">
        <f>IF(HH$5="","",VLOOKUP(WEEKDAY(DATE($A$2,$A$3+$A$1-1,HH5),2),'Helper sheet'!$D$1:$E$7,2,0))</f>
        <v/>
      </c>
      <c r="HI6" s="28" t="str">
        <f>IF(HI$5="","",VLOOKUP(WEEKDAY(DATE($A$2,$A$3+$A$1-1,HI5),2),'Helper sheet'!$D$1:$E$7,2,0))</f>
        <v/>
      </c>
      <c r="HJ6" s="28" t="str">
        <f>IF(HJ$5="","",VLOOKUP(WEEKDAY(DATE($A$2,$A$3+$A$1-1,HJ5),2),'Helper sheet'!$D$1:$E$7,2,0))</f>
        <v/>
      </c>
      <c r="HK6" s="28" t="str">
        <f>IF(HK$5="","",VLOOKUP(WEEKDAY(DATE($A$2,$A$3+$A$1-1,HK5),2),'Helper sheet'!$D$1:$E$7,2,0))</f>
        <v/>
      </c>
      <c r="HL6" s="28" t="str">
        <f>IF(HL$5="","",VLOOKUP(WEEKDAY(DATE($A$2,$A$3+$A$1-1,HL5),2),'Helper sheet'!$D$1:$E$7,2,0))</f>
        <v/>
      </c>
      <c r="HM6" s="28" t="str">
        <f>IF(HM$5="","",VLOOKUP(WEEKDAY(DATE($A$2,$A$3+$A$1-1,HM5),2),'Helper sheet'!$D$1:$E$7,2,0))</f>
        <v/>
      </c>
      <c r="HN6" s="28" t="str">
        <f>IF(HN$5="","",VLOOKUP(WEEKDAY(DATE($A$2,$A$3+$A$1-1,HN5),2),'Helper sheet'!$D$1:$E$7,2,0))</f>
        <v/>
      </c>
      <c r="HO6" s="28" t="str">
        <f>IF(HO$5="","",VLOOKUP(WEEKDAY(DATE($A$2,$A$3+$A$1-1,HO5),2),'Helper sheet'!$D$1:$E$7,2,0))</f>
        <v/>
      </c>
      <c r="HP6" s="28" t="str">
        <f>IF(HP$5="","",VLOOKUP(WEEKDAY(DATE($A$2,$A$3+$A$1-1,HP5),2),'Helper sheet'!$D$1:$E$7,2,0))</f>
        <v/>
      </c>
      <c r="HQ6" s="28" t="str">
        <f>IF(HQ$5="","",VLOOKUP(WEEKDAY(DATE($A$2,$A$3+$A$1-1,HQ5),2),'Helper sheet'!$D$1:$E$7,2,0))</f>
        <v/>
      </c>
      <c r="HR6" s="28" t="str">
        <f>IF(HR$5="","",VLOOKUP(WEEKDAY(DATE($A$2,$A$3+$A$1-1,HR5),2),'Helper sheet'!$D$1:$E$7,2,0))</f>
        <v/>
      </c>
      <c r="HS6" s="28" t="str">
        <f>IF(HS$5="","",VLOOKUP(WEEKDAY(DATE($A$2,$A$3+$A$1-1,HS5),2),'Helper sheet'!$D$1:$E$7,2,0))</f>
        <v/>
      </c>
      <c r="HT6" s="28" t="str">
        <f>IF(HT$5="","",VLOOKUP(WEEKDAY(DATE($A$2,$A$3+$A$1-1,HT5),2),'Helper sheet'!$D$1:$E$7,2,0))</f>
        <v/>
      </c>
      <c r="HU6" s="28" t="str">
        <f>IF(HU$5="","",VLOOKUP(WEEKDAY(DATE($A$2,$A$3+$A$1-1,HU5),2),'Helper sheet'!$D$1:$E$7,2,0))</f>
        <v/>
      </c>
      <c r="HV6" s="28" t="str">
        <f>IF(HV$5="","",VLOOKUP(WEEKDAY(DATE($A$2,$A$3+$A$1-1,HV5),2),'Helper sheet'!$D$1:$E$7,2,0))</f>
        <v/>
      </c>
      <c r="HW6" s="28" t="str">
        <f>IF(HW$5="","",VLOOKUP(WEEKDAY(DATE($A$2,$A$3+$A$1-1,HW5),2),'Helper sheet'!$D$1:$E$7,2,0))</f>
        <v/>
      </c>
      <c r="HX6" s="28" t="str">
        <f>IF(HX$5="","",VLOOKUP(WEEKDAY(DATE($A$2,$A$3+$A$1-1,HX5),2),'Helper sheet'!$D$1:$E$7,2,0))</f>
        <v/>
      </c>
      <c r="HY6" s="28" t="str">
        <f>IF(HY$5="","",VLOOKUP(WEEKDAY(DATE($A$2,$A$3+$A$1-1,HY5),2),'Helper sheet'!$D$1:$E$7,2,0))</f>
        <v/>
      </c>
      <c r="HZ6" s="28" t="str">
        <f>IF(HZ$5="","",VLOOKUP(WEEKDAY(DATE($A$2,$A$3+$A$1-1,HZ5),2),'Helper sheet'!$D$1:$E$7,2,0))</f>
        <v/>
      </c>
      <c r="IA6" s="28" t="str">
        <f>IF(IA$5="","",VLOOKUP(WEEKDAY(DATE($A$2,$A$3+$A$1-1,IA5),2),'Helper sheet'!$D$1:$E$7,2,0))</f>
        <v/>
      </c>
      <c r="IB6" s="28" t="str">
        <f>IF(IB$5="","",VLOOKUP(WEEKDAY(DATE($A$2,$A$3+$A$1-1,IB5),2),'Helper sheet'!$D$1:$E$7,2,0))</f>
        <v/>
      </c>
      <c r="IC6" s="28" t="str">
        <f>IF(IC$5="","",VLOOKUP(WEEKDAY(DATE($A$2,$A$3+$A$1-1,IC5),2),'Helper sheet'!$D$1:$E$7,2,0))</f>
        <v/>
      </c>
      <c r="ID6" s="28" t="str">
        <f>IF(ID$5="","",VLOOKUP(WEEKDAY(DATE($A$2,$A$3+$A$1-1,ID5),2),'Helper sheet'!$D$1:$E$7,2,0))</f>
        <v/>
      </c>
      <c r="IE6" s="28" t="str">
        <f>IF(IE$5="","",VLOOKUP(WEEKDAY(DATE($A$2,$A$3+$A$1-1,IE5),2),'Helper sheet'!$D$1:$E$7,2,0))</f>
        <v/>
      </c>
      <c r="IF6" s="28" t="str">
        <f>IF(IF$5="","",VLOOKUP(WEEKDAY(DATE($A$2,$A$3+$A$1-1,IF5),2),'Helper sheet'!$D$1:$E$7,2,0))</f>
        <v/>
      </c>
      <c r="IG6" s="28" t="str">
        <f>IF(IG$5="","",VLOOKUP(WEEKDAY(DATE($A$2,$A$3+$A$1-1,IG5),2),'Helper sheet'!$D$1:$E$7,2,0))</f>
        <v/>
      </c>
      <c r="IH6" s="28" t="str">
        <f>IF(IH$5="","",VLOOKUP(WEEKDAY(DATE($A$2,$A$3+$A$1-1,IH5),2),'Helper sheet'!$D$1:$E$7,2,0))</f>
        <v/>
      </c>
      <c r="II6" s="28" t="str">
        <f>IF(II$5="","",VLOOKUP(WEEKDAY(DATE($A$2,$A$3+$A$1-1,II5),2),'Helper sheet'!$D$1:$E$7,2,0))</f>
        <v/>
      </c>
      <c r="IJ6" s="28" t="str">
        <f>IF(IJ$5="","",VLOOKUP(WEEKDAY(DATE($A$2,$A$3+$A$1-1,IJ5),2),'Helper sheet'!$D$1:$E$7,2,0))</f>
        <v/>
      </c>
      <c r="IK6" s="28" t="str">
        <f>IF(IK$5="","",VLOOKUP(WEEKDAY(DATE($A$2,$A$3+$A$1-1,IK5),2),'Helper sheet'!$D$1:$E$7,2,0))</f>
        <v/>
      </c>
      <c r="IL6" s="28" t="str">
        <f>IF(IL$5="","",VLOOKUP(WEEKDAY(DATE($A$2,$A$3+$A$1-1,IL5),2),'Helper sheet'!$D$1:$E$7,2,0))</f>
        <v/>
      </c>
      <c r="IM6" s="28" t="str">
        <f>IF(IM$5="","",VLOOKUP(WEEKDAY(DATE($A$2,$A$3+$A$1-1,IM5),2),'Helper sheet'!$D$1:$E$7,2,0))</f>
        <v/>
      </c>
      <c r="IN6" s="28" t="str">
        <f>IF(IN$5="","",VLOOKUP(WEEKDAY(DATE($A$2,$A$3+$A$1-1,IN5),2),'Helper sheet'!$D$1:$E$7,2,0))</f>
        <v/>
      </c>
      <c r="IO6" s="28" t="str">
        <f>IF(IO$5="","",VLOOKUP(WEEKDAY(DATE($A$2,$A$3+$A$1-1,IO5),2),'Helper sheet'!$D$1:$E$7,2,0))</f>
        <v/>
      </c>
      <c r="IP6" s="28" t="str">
        <f>IF(IP$5="","",VLOOKUP(WEEKDAY(DATE($A$2,$A$3+$A$1-1,IP5),2),'Helper sheet'!$D$1:$E$7,2,0))</f>
        <v/>
      </c>
      <c r="IQ6" s="28" t="str">
        <f>IF(IQ$5="","",VLOOKUP(WEEKDAY(DATE($A$2,$A$3+$A$1-1,IQ5),2),'Helper sheet'!$D$1:$E$7,2,0))</f>
        <v/>
      </c>
      <c r="IR6" s="28" t="str">
        <f>IF(IR$5="","",VLOOKUP(WEEKDAY(DATE($A$2,$A$3+$A$1-1,IR5),2),'Helper sheet'!$D$1:$E$7,2,0))</f>
        <v/>
      </c>
      <c r="IS6" s="28" t="str">
        <f>IF(IS$5="","",VLOOKUP(WEEKDAY(DATE($A$2,$A$3+$A$1-1,IS5),2),'Helper sheet'!$D$1:$E$7,2,0))</f>
        <v/>
      </c>
      <c r="IT6" s="28" t="str">
        <f>IF(IT$5="","",VLOOKUP(WEEKDAY(DATE($A$2,$A$3+$A$1-1,IT5),2),'Helper sheet'!$D$1:$E$7,2,0))</f>
        <v/>
      </c>
      <c r="IU6" s="28" t="str">
        <f>IF(IU$5="","",VLOOKUP(WEEKDAY(DATE($A$2,$A$3+$A$1-1,IU5),2),'Helper sheet'!$D$1:$E$7,2,0))</f>
        <v/>
      </c>
      <c r="IV6" s="28" t="str">
        <f>IF(IV$5="","",VLOOKUP(WEEKDAY(DATE($A$2,$A$3+$A$1-1,IV5),2),'Helper sheet'!$D$1:$E$7,2,0))</f>
        <v/>
      </c>
      <c r="IW6" s="28" t="str">
        <f>IF(IW$5="","",VLOOKUP(WEEKDAY(DATE($A$2,$A$3+$A$1-1,IW5),2),'Helper sheet'!$D$1:$E$7,2,0))</f>
        <v/>
      </c>
      <c r="IX6" s="28" t="str">
        <f>IF(IX$5="","",VLOOKUP(WEEKDAY(DATE($A$2,$A$3+$A$1-1,IX5),2),'Helper sheet'!$D$1:$E$7,2,0))</f>
        <v/>
      </c>
      <c r="IY6" s="28" t="str">
        <f>IF(IY$5="","",VLOOKUP(WEEKDAY(DATE($A$2,$A$3+$A$1-1,IY5),2),'Helper sheet'!$D$1:$E$7,2,0))</f>
        <v/>
      </c>
      <c r="IZ6" s="28" t="str">
        <f>IF(IZ$5="","",VLOOKUP(WEEKDAY(DATE($A$2,$A$3+$A$1-1,IZ5),2),'Helper sheet'!$D$1:$E$7,2,0))</f>
        <v/>
      </c>
      <c r="JA6" s="28" t="str">
        <f>IF(JA$5="","",VLOOKUP(WEEKDAY(DATE($A$2,$A$3+$A$1-1,JA5),2),'Helper sheet'!$D$1:$E$7,2,0))</f>
        <v/>
      </c>
      <c r="JB6" s="28" t="str">
        <f>IF(JB$5="","",VLOOKUP(WEEKDAY(DATE($A$2,$A$3+$A$1-1,JB5),2),'Helper sheet'!$D$1:$E$7,2,0))</f>
        <v/>
      </c>
      <c r="JC6" s="28" t="str">
        <f>IF(JC$5="","",VLOOKUP(WEEKDAY(DATE($A$2,$A$3+$A$1-1,JC5),2),'Helper sheet'!$D$1:$E$7,2,0))</f>
        <v/>
      </c>
      <c r="JD6" s="28" t="str">
        <f>IF(JD$5="","",VLOOKUP(WEEKDAY(DATE($A$2,$A$3+$A$1-1,JD5),2),'Helper sheet'!$D$1:$E$7,2,0))</f>
        <v/>
      </c>
      <c r="JE6" s="28" t="str">
        <f>IF(JE$5="","",VLOOKUP(WEEKDAY(DATE($A$2,$A$3+$A$1-1,JE5),2),'Helper sheet'!$D$1:$E$7,2,0))</f>
        <v/>
      </c>
      <c r="JF6" s="28" t="str">
        <f>IF(JF$5="","",VLOOKUP(WEEKDAY(DATE($A$2,$A$3+$A$1-1,JF5),2),'Helper sheet'!$D$1:$E$7,2,0))</f>
        <v/>
      </c>
      <c r="JG6" s="28" t="str">
        <f>IF(JG$5="","",VLOOKUP(WEEKDAY(DATE($A$2,$A$3+$A$1-1,JG5),2),'Helper sheet'!$D$1:$E$7,2,0))</f>
        <v/>
      </c>
      <c r="JH6" s="28" t="str">
        <f>IF(JH$5="","",VLOOKUP(WEEKDAY(DATE($A$2,$A$3+$A$1-1,JH5),2),'Helper sheet'!$D$1:$E$7,2,0))</f>
        <v/>
      </c>
      <c r="JI6" s="28" t="str">
        <f>IF(JI$5="","",VLOOKUP(WEEKDAY(DATE($A$2,$A$3+$A$1-1,JI5),2),'Helper sheet'!$D$1:$E$7,2,0))</f>
        <v/>
      </c>
      <c r="JJ6" s="28" t="str">
        <f>IF(JJ$5="","",VLOOKUP(WEEKDAY(DATE($A$2,$A$3+$A$1-1,JJ5),2),'Helper sheet'!$D$1:$E$7,2,0))</f>
        <v/>
      </c>
      <c r="JK6" s="28" t="str">
        <f>IF(JK$5="","",VLOOKUP(WEEKDAY(DATE($A$2,$A$3+$A$1-1,JK5),2),'Helper sheet'!$D$1:$E$7,2,0))</f>
        <v/>
      </c>
      <c r="JL6" s="28" t="str">
        <f>IF(JL$5="","",VLOOKUP(WEEKDAY(DATE($A$2,$A$3+$A$1-1,JL5),2),'Helper sheet'!$D$1:$E$7,2,0))</f>
        <v/>
      </c>
      <c r="JM6" s="28" t="str">
        <f>IF(JM$5="","",VLOOKUP(WEEKDAY(DATE($A$2,$A$3+$A$1-1,JM5),2),'Helper sheet'!$D$1:$E$7,2,0))</f>
        <v/>
      </c>
      <c r="JN6" s="28" t="str">
        <f>IF(JN$5="","",VLOOKUP(WEEKDAY(DATE($A$2,$A$3+$A$1-1,JN5),2),'Helper sheet'!$D$1:$E$7,2,0))</f>
        <v/>
      </c>
      <c r="JO6" s="28" t="str">
        <f>IF(JO$5="","",VLOOKUP(WEEKDAY(DATE($A$2,$A$3+$A$1-1,JO5),2),'Helper sheet'!$D$1:$E$7,2,0))</f>
        <v/>
      </c>
      <c r="JP6" s="28" t="str">
        <f>IF(JP$5="","",VLOOKUP(WEEKDAY(DATE($A$2,$A$3+$A$1-1,JP5),2),'Helper sheet'!$D$1:$E$7,2,0))</f>
        <v/>
      </c>
      <c r="JQ6" s="28" t="str">
        <f>IF(JQ$5="","",VLOOKUP(WEEKDAY(DATE($A$2,$A$3+$A$1-1,JQ5),2),'Helper sheet'!$D$1:$E$7,2,0))</f>
        <v/>
      </c>
      <c r="JR6" s="28" t="str">
        <f>IF(JR$5="","",VLOOKUP(WEEKDAY(DATE($A$2,$A$3+$A$1-1,JR5),2),'Helper sheet'!$D$1:$E$7,2,0))</f>
        <v/>
      </c>
      <c r="JS6" s="28" t="str">
        <f>IF(JS$5="","",VLOOKUP(WEEKDAY(DATE($A$2,$A$3+$A$1-1,JS5),2),'Helper sheet'!$D$1:$E$7,2,0))</f>
        <v/>
      </c>
      <c r="JT6" s="28" t="str">
        <f>IF(JT$5="","",VLOOKUP(WEEKDAY(DATE($A$2,$A$3+$A$1-1,JT5),2),'Helper sheet'!$D$1:$E$7,2,0))</f>
        <v/>
      </c>
      <c r="JU6" s="28" t="str">
        <f>IF(JU$5="","",VLOOKUP(WEEKDAY(DATE($A$2,$A$3+$A$1-1,JU5),2),'Helper sheet'!$D$1:$E$7,2,0))</f>
        <v/>
      </c>
      <c r="JV6" s="28" t="str">
        <f>IF(JV$5="","",VLOOKUP(WEEKDAY(DATE($A$2,$A$3+$A$1-1,JV5),2),'Helper sheet'!$D$1:$E$7,2,0))</f>
        <v/>
      </c>
      <c r="JW6" s="28" t="str">
        <f>IF(JW$5="","",VLOOKUP(WEEKDAY(DATE($A$2,$A$3+$A$1-1,JW5),2),'Helper sheet'!$D$1:$E$7,2,0))</f>
        <v/>
      </c>
      <c r="JX6" s="28" t="str">
        <f>IF(JX$5="","",VLOOKUP(WEEKDAY(DATE($A$2,$A$3+$A$1-1,JX5),2),'Helper sheet'!$D$1:$E$7,2,0))</f>
        <v/>
      </c>
      <c r="JY6" s="28" t="str">
        <f>IF(JY$5="","",VLOOKUP(WEEKDAY(DATE($A$2,$A$3+$A$1-1,JY5),2),'Helper sheet'!$D$1:$E$7,2,0))</f>
        <v/>
      </c>
      <c r="JZ6" s="28" t="str">
        <f>IF(JZ$5="","",VLOOKUP(WEEKDAY(DATE($A$2,$A$3+$A$1-1,JZ5),2),'Helper sheet'!$D$1:$E$7,2,0))</f>
        <v/>
      </c>
      <c r="KA6" s="28" t="str">
        <f>IF(KA$5="","",VLOOKUP(WEEKDAY(DATE($A$2,$A$3+$A$1-1,KA5),2),'Helper sheet'!$D$1:$E$7,2,0))</f>
        <v/>
      </c>
      <c r="KB6" s="28" t="str">
        <f>IF(KB$5="","",VLOOKUP(WEEKDAY(DATE($A$2,$A$3+$A$1-1,KB5),2),'Helper sheet'!$D$1:$E$7,2,0))</f>
        <v/>
      </c>
      <c r="KC6" s="28" t="str">
        <f>IF(KC$5="","",VLOOKUP(WEEKDAY(DATE($A$2,$A$3+$A$1-1,KC5),2),'Helper sheet'!$D$1:$E$7,2,0))</f>
        <v/>
      </c>
      <c r="KD6" s="28" t="str">
        <f>IF(KD$5="","",VLOOKUP(WEEKDAY(DATE($A$2,$A$3+$A$1-1,KD5),2),'Helper sheet'!$D$1:$E$7,2,0))</f>
        <v/>
      </c>
      <c r="KE6" s="28" t="str">
        <f>IF(KE$5="","",VLOOKUP(WEEKDAY(DATE($A$2,$A$3+$A$1-1,KE5),2),'Helper sheet'!$D$1:$E$7,2,0))</f>
        <v/>
      </c>
      <c r="KF6" s="28" t="str">
        <f>IF(KF$5="","",VLOOKUP(WEEKDAY(DATE($A$2,$A$3+$A$1-1,KF5),2),'Helper sheet'!$D$1:$E$7,2,0))</f>
        <v/>
      </c>
      <c r="KG6" s="28" t="str">
        <f>IF(KG$5="","",VLOOKUP(WEEKDAY(DATE($A$2,$A$3+$A$1-1,KG5),2),'Helper sheet'!$D$1:$E$7,2,0))</f>
        <v/>
      </c>
      <c r="KH6" s="28" t="str">
        <f>IF(KH$5="","",VLOOKUP(WEEKDAY(DATE($A$2,$A$3+$A$1-1,KH5),2),'Helper sheet'!$D$1:$E$7,2,0))</f>
        <v/>
      </c>
      <c r="KI6" s="28" t="str">
        <f>IF(KI$5="","",VLOOKUP(WEEKDAY(DATE($A$2,$A$3+$A$1-1,KI5),2),'Helper sheet'!$D$1:$E$7,2,0))</f>
        <v/>
      </c>
      <c r="KJ6" s="28" t="str">
        <f>IF(KJ$5="","",VLOOKUP(WEEKDAY(DATE($A$2,$A$3+$A$1-1,KJ5),2),'Helper sheet'!$D$1:$E$7,2,0))</f>
        <v/>
      </c>
      <c r="KK6" s="28" t="str">
        <f>IF(KK$5="","",VLOOKUP(WEEKDAY(DATE($A$2,$A$3+$A$1-1,KK5),2),'Helper sheet'!$D$1:$E$7,2,0))</f>
        <v/>
      </c>
      <c r="KL6" s="28" t="str">
        <f>IF(KL$5="","",VLOOKUP(WEEKDAY(DATE($A$2,$A$3+$A$1-1,KL5),2),'Helper sheet'!$D$1:$E$7,2,0))</f>
        <v/>
      </c>
      <c r="KM6" s="28" t="str">
        <f>IF(KM$5="","",VLOOKUP(WEEKDAY(DATE($A$2,$A$3+$A$1-1,KM5),2),'Helper sheet'!$D$1:$E$7,2,0))</f>
        <v/>
      </c>
      <c r="KN6" s="28" t="str">
        <f>IF(KN$5="","",VLOOKUP(WEEKDAY(DATE($A$2,$A$3+$A$1-1,KN5),2),'Helper sheet'!$D$1:$E$7,2,0))</f>
        <v/>
      </c>
      <c r="KO6" s="28" t="str">
        <f>IF(KO$5="","",VLOOKUP(WEEKDAY(DATE($A$2,$A$3+$A$1-1,KO5),2),'Helper sheet'!$D$1:$E$7,2,0))</f>
        <v/>
      </c>
      <c r="KP6" s="28" t="str">
        <f>IF(KP$5="","",VLOOKUP(WEEKDAY(DATE($A$2,$A$3+$A$1-1,KP5),2),'Helper sheet'!$D$1:$E$7,2,0))</f>
        <v/>
      </c>
      <c r="KQ6" s="28" t="str">
        <f>IF(KQ$5="","",VLOOKUP(WEEKDAY(DATE($A$2,$A$3+$A$1-1,KQ5),2),'Helper sheet'!$D$1:$E$7,2,0))</f>
        <v/>
      </c>
      <c r="KR6" s="28" t="str">
        <f>IF(KR$5="","",VLOOKUP(WEEKDAY(DATE($A$2,$A$3+$A$1-1,KR5),2),'Helper sheet'!$D$1:$E$7,2,0))</f>
        <v/>
      </c>
      <c r="KS6" s="28" t="str">
        <f>IF(KS$5="","",VLOOKUP(WEEKDAY(DATE($A$2,$A$3+$A$1-1,KS5),2),'Helper sheet'!$D$1:$E$7,2,0))</f>
        <v/>
      </c>
      <c r="KT6" s="28" t="str">
        <f>IF(KT$5="","",VLOOKUP(WEEKDAY(DATE($A$2,$A$3+$A$1-1,KT5),2),'Helper sheet'!$D$1:$E$7,2,0))</f>
        <v/>
      </c>
      <c r="KU6" s="28" t="str">
        <f>IF(KU$5="","",VLOOKUP(WEEKDAY(DATE($A$2,$A$3+$A$1-1,KU5),2),'Helper sheet'!$D$1:$E$7,2,0))</f>
        <v/>
      </c>
      <c r="KV6" s="28" t="str">
        <f>IF(KV$5="","",VLOOKUP(WEEKDAY(DATE($A$2,$A$3+$A$1-1,KV5),2),'Helper sheet'!$D$1:$E$7,2,0))</f>
        <v/>
      </c>
      <c r="KW6" s="28" t="str">
        <f>IF(KW$5="","",VLOOKUP(WEEKDAY(DATE($A$2,$A$3+$A$1-1,KW5),2),'Helper sheet'!$D$1:$E$7,2,0))</f>
        <v/>
      </c>
      <c r="KX6" s="28" t="str">
        <f>IF(KX$5="","",VLOOKUP(WEEKDAY(DATE($A$2,$A$3+$A$1-1,KX5),2),'Helper sheet'!$D$1:$E$7,2,0))</f>
        <v/>
      </c>
      <c r="KY6" s="28" t="str">
        <f>IF(KY$5="","",VLOOKUP(WEEKDAY(DATE($A$2,$A$3+$A$1-1,KY5),2),'Helper sheet'!$D$1:$E$7,2,0))</f>
        <v/>
      </c>
      <c r="KZ6" s="28" t="str">
        <f>IF(KZ$5="","",VLOOKUP(WEEKDAY(DATE($A$2,$A$3+$A$1-1,KZ5),2),'Helper sheet'!$D$1:$E$7,2,0))</f>
        <v/>
      </c>
      <c r="LA6" s="28" t="str">
        <f>IF(LA$5="","",VLOOKUP(WEEKDAY(DATE($A$2,$A$3+$A$1-1,LA5),2),'Helper sheet'!$D$1:$E$7,2,0))</f>
        <v/>
      </c>
      <c r="LB6" s="28" t="str">
        <f>IF(LB$5="","",VLOOKUP(WEEKDAY(DATE($A$2,$A$3+$A$1-1,LB5),2),'Helper sheet'!$D$1:$E$7,2,0))</f>
        <v/>
      </c>
      <c r="LC6" s="28" t="str">
        <f>IF(LC$5="","",VLOOKUP(WEEKDAY(DATE($A$2,$A$3+$A$1-1,LC5),2),'Helper sheet'!$D$1:$E$7,2,0))</f>
        <v/>
      </c>
      <c r="LD6" s="28" t="str">
        <f>IF(LD$5="","",VLOOKUP(WEEKDAY(DATE($A$2,$A$3+$A$1-1,LD5),2),'Helper sheet'!$D$1:$E$7,2,0))</f>
        <v/>
      </c>
      <c r="LE6" s="28" t="str">
        <f>IF(LE$5="","",VLOOKUP(WEEKDAY(DATE($A$2,$A$3+$A$1-1,LE5),2),'Helper sheet'!$D$1:$E$7,2,0))</f>
        <v/>
      </c>
      <c r="LF6" s="28" t="str">
        <f>IF(LF$5="","",VLOOKUP(WEEKDAY(DATE($A$2,$A$3+$A$1-1,LF5),2),'Helper sheet'!$D$1:$E$7,2,0))</f>
        <v/>
      </c>
      <c r="LG6" s="28" t="str">
        <f>IF(LG$5="","",VLOOKUP(WEEKDAY(DATE($A$2,$A$3+$A$1-1,LG5),2),'Helper sheet'!$D$1:$E$7,2,0))</f>
        <v/>
      </c>
      <c r="LH6" s="28" t="str">
        <f>IF(LH$5="","",VLOOKUP(WEEKDAY(DATE($A$2,$A$3+$A$1-1,LH5),2),'Helper sheet'!$D$1:$E$7,2,0))</f>
        <v/>
      </c>
      <c r="LI6" s="28" t="str">
        <f>IF(LI$5="","",VLOOKUP(WEEKDAY(DATE($A$2,$A$3+$A$1-1,LI5),2),'Helper sheet'!$D$1:$E$7,2,0))</f>
        <v/>
      </c>
      <c r="LJ6" s="28" t="str">
        <f>IF(LJ$5="","",VLOOKUP(WEEKDAY(DATE($A$2,$A$3+$A$1-1,LJ5),2),'Helper sheet'!$D$1:$E$7,2,0))</f>
        <v/>
      </c>
      <c r="LK6" s="28" t="str">
        <f>IF(LK$5="","",VLOOKUP(WEEKDAY(DATE($A$2,$A$3+$A$1-1,LK5),2),'Helper sheet'!$D$1:$E$7,2,0))</f>
        <v/>
      </c>
      <c r="LL6" s="28" t="str">
        <f>IF(LL$5="","",VLOOKUP(WEEKDAY(DATE($A$2,$A$3+$A$1-1,LL5),2),'Helper sheet'!$D$1:$E$7,2,0))</f>
        <v/>
      </c>
      <c r="LM6" s="28" t="str">
        <f>IF(LM$5="","",VLOOKUP(WEEKDAY(DATE($A$2,$A$3+$A$1-1,LM5),2),'Helper sheet'!$D$1:$E$7,2,0))</f>
        <v/>
      </c>
      <c r="LN6" s="28" t="str">
        <f>IF(LN$5="","",VLOOKUP(WEEKDAY(DATE($A$2,$A$3+$A$1-1,LN5),2),'Helper sheet'!$D$1:$E$7,2,0))</f>
        <v/>
      </c>
      <c r="LO6" s="28" t="str">
        <f>IF(LO$5="","",VLOOKUP(WEEKDAY(DATE($A$2,$A$3+$A$1-1,LO5),2),'Helper sheet'!$D$1:$E$7,2,0))</f>
        <v/>
      </c>
      <c r="LP6" s="28" t="str">
        <f>IF(LP$5="","",VLOOKUP(WEEKDAY(DATE($A$2,$A$3+$A$1-1,LP5),2),'Helper sheet'!$D$1:$E$7,2,0))</f>
        <v/>
      </c>
      <c r="LQ6" s="28" t="str">
        <f>IF(LQ$5="","",VLOOKUP(WEEKDAY(DATE($A$2,$A$3+$A$1-1,LQ5),2),'Helper sheet'!$D$1:$E$7,2,0))</f>
        <v/>
      </c>
      <c r="LR6" s="28" t="str">
        <f>IF(LR$5="","",VLOOKUP(WEEKDAY(DATE($A$2,$A$3+$A$1-1,LR5),2),'Helper sheet'!$D$1:$E$7,2,0))</f>
        <v/>
      </c>
      <c r="LS6" s="28" t="str">
        <f>IF(LS$5="","",VLOOKUP(WEEKDAY(DATE($A$2,$A$3+$A$1-1,LS5),2),'Helper sheet'!$D$1:$E$7,2,0))</f>
        <v/>
      </c>
      <c r="LT6" s="28" t="str">
        <f>IF(LT$5="","",VLOOKUP(WEEKDAY(DATE($A$2,$A$3+$A$1-1,LT5),2),'Helper sheet'!$D$1:$E$7,2,0))</f>
        <v/>
      </c>
      <c r="LU6" s="28" t="str">
        <f>IF(LU$5="","",VLOOKUP(WEEKDAY(DATE($A$2,$A$3+$A$1-1,LU5),2),'Helper sheet'!$D$1:$E$7,2,0))</f>
        <v/>
      </c>
      <c r="LV6" s="28" t="str">
        <f>IF(LV$5="","",VLOOKUP(WEEKDAY(DATE($A$2,$A$3+$A$1-1,LV5),2),'Helper sheet'!$D$1:$E$7,2,0))</f>
        <v/>
      </c>
      <c r="LW6" s="28" t="str">
        <f>IF(LW$5="","",VLOOKUP(WEEKDAY(DATE($A$2,$A$3+$A$1-1,LW5),2),'Helper sheet'!$D$1:$E$7,2,0))</f>
        <v/>
      </c>
      <c r="LX6" s="28" t="str">
        <f>IF(LX$5="","",VLOOKUP(WEEKDAY(DATE($A$2,$A$3+$A$1-1,LX5),2),'Helper sheet'!$D$1:$E$7,2,0))</f>
        <v/>
      </c>
      <c r="LY6" s="28" t="str">
        <f>IF(LY$5="","",VLOOKUP(WEEKDAY(DATE($A$2,$A$3+$A$1-1,LY5),2),'Helper sheet'!$D$1:$E$7,2,0))</f>
        <v/>
      </c>
      <c r="LZ6" s="28" t="str">
        <f>IF(LZ$5="","",VLOOKUP(WEEKDAY(DATE($A$2,$A$3+$A$1-1,LZ5),2),'Helper sheet'!$D$1:$E$7,2,0))</f>
        <v/>
      </c>
      <c r="MA6" s="28" t="str">
        <f>IF(MA$5="","",VLOOKUP(WEEKDAY(DATE($A$2,$A$3+$A$1-1,MA5),2),'Helper sheet'!$D$1:$E$7,2,0))</f>
        <v/>
      </c>
      <c r="MB6" s="28" t="str">
        <f>IF(MB$5="","",VLOOKUP(WEEKDAY(DATE($A$2,$A$3+$A$1-1,MB5),2),'Helper sheet'!$D$1:$E$7,2,0))</f>
        <v/>
      </c>
      <c r="MC6" s="28" t="str">
        <f>IF(MC$5="","",VLOOKUP(WEEKDAY(DATE($A$2,$A$3+$A$1-1,MC5),2),'Helper sheet'!$D$1:$E$7,2,0))</f>
        <v/>
      </c>
      <c r="MD6" s="28" t="str">
        <f>IF(MD$5="","",VLOOKUP(WEEKDAY(DATE($A$2,$A$3+$A$1-1,MD5),2),'Helper sheet'!$D$1:$E$7,2,0))</f>
        <v/>
      </c>
      <c r="ME6" s="28" t="str">
        <f>IF(ME$5="","",VLOOKUP(WEEKDAY(DATE($A$2,$A$3+$A$1-1,ME5),2),'Helper sheet'!$D$1:$E$7,2,0))</f>
        <v/>
      </c>
      <c r="MF6" s="28" t="str">
        <f>IF(MF$5="","",VLOOKUP(WEEKDAY(DATE($A$2,$A$3+$A$1-1,MF5),2),'Helper sheet'!$D$1:$E$7,2,0))</f>
        <v/>
      </c>
      <c r="MG6" s="28" t="str">
        <f>IF(MG$5="","",VLOOKUP(WEEKDAY(DATE($A$2,$A$3+$A$1-1,MG5),2),'Helper sheet'!$D$1:$E$7,2,0))</f>
        <v/>
      </c>
      <c r="MH6" s="28" t="str">
        <f>IF(MH$5="","",VLOOKUP(WEEKDAY(DATE($A$2,$A$3+$A$1-1,MH5),2),'Helper sheet'!$D$1:$E$7,2,0))</f>
        <v/>
      </c>
      <c r="MI6" s="28" t="str">
        <f>IF(MI$5="","",VLOOKUP(WEEKDAY(DATE($A$2,$A$3+$A$1-1,MI5),2),'Helper sheet'!$D$1:$E$7,2,0))</f>
        <v/>
      </c>
      <c r="MJ6" s="28" t="str">
        <f>IF(MJ$5="","",VLOOKUP(WEEKDAY(DATE($A$2,$A$3+$A$1-1,MJ5),2),'Helper sheet'!$D$1:$E$7,2,0))</f>
        <v/>
      </c>
      <c r="MK6" s="28" t="str">
        <f>IF(MK$5="","",VLOOKUP(WEEKDAY(DATE($A$2,$A$3+$A$1-1,MK5),2),'Helper sheet'!$D$1:$E$7,2,0))</f>
        <v/>
      </c>
      <c r="ML6" s="28" t="str">
        <f>IF(ML$5="","",VLOOKUP(WEEKDAY(DATE($A$2,$A$3+$A$1-1,ML5),2),'Helper sheet'!$D$1:$E$7,2,0))</f>
        <v/>
      </c>
      <c r="MM6" s="28" t="str">
        <f>IF(MM$5="","",VLOOKUP(WEEKDAY(DATE($A$2,$A$3+$A$1-1,MM5),2),'Helper sheet'!$D$1:$E$7,2,0))</f>
        <v/>
      </c>
      <c r="MN6" s="28" t="str">
        <f>IF(MN$5="","",VLOOKUP(WEEKDAY(DATE($A$2,$A$3+$A$1-1,MN5),2),'Helper sheet'!$D$1:$E$7,2,0))</f>
        <v/>
      </c>
      <c r="MO6" s="28" t="str">
        <f>IF(MO$5="","",VLOOKUP(WEEKDAY(DATE($A$2,$A$3+$A$1-1,MO5),2),'Helper sheet'!$D$1:$E$7,2,0))</f>
        <v/>
      </c>
      <c r="MP6" s="28" t="str">
        <f>IF(MP$5="","",VLOOKUP(WEEKDAY(DATE($A$2,$A$3+$A$1-1,MP5),2),'Helper sheet'!$D$1:$E$7,2,0))</f>
        <v/>
      </c>
      <c r="MQ6" s="28" t="str">
        <f>IF(MQ$5="","",VLOOKUP(WEEKDAY(DATE($A$2,$A$3+$A$1-1,MQ5),2),'Helper sheet'!$D$1:$E$7,2,0))</f>
        <v/>
      </c>
      <c r="MR6" s="28" t="str">
        <f>IF(MR$5="","",VLOOKUP(WEEKDAY(DATE($A$2,$A$3+$A$1-1,MR5),2),'Helper sheet'!$D$1:$E$7,2,0))</f>
        <v/>
      </c>
      <c r="MS6" s="28" t="str">
        <f>IF(MS$5="","",VLOOKUP(WEEKDAY(DATE($A$2,$A$3+$A$1-1,MS5),2),'Helper sheet'!$D$1:$E$7,2,0))</f>
        <v/>
      </c>
      <c r="MT6" s="28" t="str">
        <f>IF(MT$5="","",VLOOKUP(WEEKDAY(DATE($A$2,$A$3+$A$1-1,MT5),2),'Helper sheet'!$D$1:$E$7,2,0))</f>
        <v/>
      </c>
      <c r="MU6" s="28" t="str">
        <f>IF(MU$5="","",VLOOKUP(WEEKDAY(DATE($A$2,$A$3+$A$1-1,MU5),2),'Helper sheet'!$D$1:$E$7,2,0))</f>
        <v/>
      </c>
      <c r="MV6" s="28" t="str">
        <f>IF(MV$5="","",VLOOKUP(WEEKDAY(DATE($A$2,$A$3+$A$1-1,MV5),2),'Helper sheet'!$D$1:$E$7,2,0))</f>
        <v/>
      </c>
      <c r="MW6" s="28" t="str">
        <f>IF(MW$5="","",VLOOKUP(WEEKDAY(DATE($A$2,$A$3+$A$1-1,MW5),2),'Helper sheet'!$D$1:$E$7,2,0))</f>
        <v/>
      </c>
      <c r="MX6" s="28" t="str">
        <f>IF(MX$5="","",VLOOKUP(WEEKDAY(DATE($A$2,$A$3+$A$1-1,MX5),2),'Helper sheet'!$D$1:$E$7,2,0))</f>
        <v/>
      </c>
      <c r="MY6" s="28" t="str">
        <f>IF(MY$5="","",VLOOKUP(WEEKDAY(DATE($A$2,$A$3+$A$1-1,MY5),2),'Helper sheet'!$D$1:$E$7,2,0))</f>
        <v/>
      </c>
      <c r="MZ6" s="28" t="str">
        <f>IF(MZ$5="","",VLOOKUP(WEEKDAY(DATE($A$2,$A$3+$A$1-1,MZ5),2),'Helper sheet'!$D$1:$E$7,2,0))</f>
        <v/>
      </c>
      <c r="NA6" s="28" t="str">
        <f>IF(NA$5="","",VLOOKUP(WEEKDAY(DATE($A$2,$A$3+$A$1-1,NA5),2),'Helper sheet'!$D$1:$E$7,2,0))</f>
        <v/>
      </c>
      <c r="NB6" s="28" t="str">
        <f>IF(NB$5="","",VLOOKUP(WEEKDAY(DATE($A$2,$A$3+$A$1-1,NB5),2),'Helper sheet'!$D$1:$E$7,2,0))</f>
        <v/>
      </c>
      <c r="NC6" s="28" t="str">
        <f>IF(NC$5="","",VLOOKUP(WEEKDAY(DATE($A$2,$A$3+$A$1-1,NC5),2),'Helper sheet'!$D$1:$E$7,2,0))</f>
        <v/>
      </c>
      <c r="ND6" s="28" t="str">
        <f>IF(ND$5="","",VLOOKUP(WEEKDAY(DATE($A$2,$A$3+$A$1-1,ND5),2),'Helper sheet'!$D$1:$E$7,2,0))</f>
        <v/>
      </c>
      <c r="NE6" s="28" t="str">
        <f>IF(NE$5="","",VLOOKUP(WEEKDAY(DATE($A$2,$A$3+$A$1-1,NE5),2),'Helper sheet'!$D$1:$E$7,2,0))</f>
        <v/>
      </c>
      <c r="NF6" s="28" t="str">
        <f>IF(NF$5="","",VLOOKUP(WEEKDAY(DATE($A$2,$A$3+$A$1-1,NF5),2),'Helper sheet'!$D$1:$E$7,2,0))</f>
        <v/>
      </c>
      <c r="NG6" s="28" t="str">
        <f>IF(NG$5="","",VLOOKUP(WEEKDAY(DATE($A$2,$A$3+$A$1-1,NG5),2),'Helper sheet'!$D$1:$E$7,2,0))</f>
        <v/>
      </c>
      <c r="NH6" s="28" t="str">
        <f>IF(NH$5="","",VLOOKUP(WEEKDAY(DATE($A$2,$A$3+$A$1-1,NH5),2),'Helper sheet'!$D$1:$E$7,2,0))</f>
        <v/>
      </c>
      <c r="NI6" s="28" t="str">
        <f>IF(NI$5="","",VLOOKUP(WEEKDAY(DATE($A$2,$A$3+$A$1-1,NI5),2),'Helper sheet'!$D$1:$E$7,2,0))</f>
        <v/>
      </c>
      <c r="NJ6" s="89"/>
      <c r="NK6" s="91"/>
      <c r="NL6" s="93"/>
      <c r="NM6" s="93"/>
      <c r="NN6" s="93"/>
      <c r="NO6" s="93"/>
      <c r="NP6" s="93"/>
      <c r="NQ6" s="93"/>
      <c r="NR6" s="93"/>
      <c r="NS6" s="93"/>
      <c r="NT6" s="93"/>
      <c r="NU6" s="93"/>
      <c r="NV6" s="20"/>
      <c r="NW6" s="20"/>
      <c r="NX6" s="20"/>
      <c r="NY6" s="20"/>
      <c r="NZ6" s="20"/>
      <c r="OA6" s="20"/>
      <c r="OB6" s="20"/>
      <c r="OC6" s="20"/>
      <c r="OD6" s="20"/>
      <c r="OE6" s="20"/>
      <c r="OF6" s="20"/>
      <c r="OG6" s="20"/>
      <c r="OH6" s="20"/>
      <c r="OI6" s="20"/>
      <c r="OJ6" s="20"/>
      <c r="OK6" s="20"/>
      <c r="OL6" s="20"/>
    </row>
    <row r="7" spans="1:402" hidden="1" x14ac:dyDescent="0.25">
      <c r="A7" s="66" t="s">
        <v>18</v>
      </c>
      <c r="B7" s="29" t="e">
        <f>IF(B$5="","",WEEKNUM(DATE($A$2,VLOOKUP($A$1,'Helper sheet'!$A$1:$B$12,2,0),COLUMNS($A$6:A6)),2))</f>
        <v>#N/A</v>
      </c>
      <c r="C7" s="29" t="e">
        <f>IF(C$5="","",WEEKNUM(DATE($A$2,VLOOKUP($A$1,'Helper sheet'!$A$1:$B$12,2,0),COLUMNS($A$6:B6)),2))</f>
        <v>#N/A</v>
      </c>
      <c r="D7" s="29" t="e">
        <f>IF(D$5="","",WEEKNUM(DATE($A$2,VLOOKUP($A$1,'Helper sheet'!$A$1:$B$12,2,0),COLUMNS($A$6:C6)),2))</f>
        <v>#N/A</v>
      </c>
      <c r="E7" s="29" t="e">
        <f>IF(E$5="","",WEEKNUM(DATE($A$2,VLOOKUP($A$1,'Helper sheet'!$A$1:$B$12,2,0),COLUMNS($A$6:D6)),2))</f>
        <v>#N/A</v>
      </c>
      <c r="F7" s="29" t="e">
        <f>IF(F$5="","",WEEKNUM(DATE($A$2,VLOOKUP($A$1,'Helper sheet'!$A$1:$B$12,2,0),COLUMNS($A$6:E6)),2))</f>
        <v>#N/A</v>
      </c>
      <c r="G7" s="29" t="e">
        <f>IF(G$5="","",WEEKNUM(DATE($A$2,VLOOKUP($A$1,'Helper sheet'!$A$1:$B$12,2,0),COLUMNS($A$6:F6)),2))</f>
        <v>#N/A</v>
      </c>
      <c r="H7" s="29" t="e">
        <f>IF(H$5="","",WEEKNUM(DATE($A$2,VLOOKUP($A$1,'Helper sheet'!$A$1:$B$12,2,0),COLUMNS($A$6:G6)),2))</f>
        <v>#N/A</v>
      </c>
      <c r="I7" s="29" t="e">
        <f>IF(I$5="","",WEEKNUM(DATE($A$2,VLOOKUP($A$1,'Helper sheet'!$A$1:$B$12,2,0),COLUMNS($A$6:H6)),2))</f>
        <v>#N/A</v>
      </c>
      <c r="J7" s="29" t="e">
        <f>IF(J$5="","",WEEKNUM(DATE($A$2,VLOOKUP($A$1,'Helper sheet'!$A$1:$B$12,2,0),COLUMNS($A$6:I6)),2))</f>
        <v>#N/A</v>
      </c>
      <c r="K7" s="29" t="e">
        <f>IF(K$5="","",WEEKNUM(DATE($A$2,VLOOKUP($A$1,'Helper sheet'!$A$1:$B$12,2,0),COLUMNS($A$6:J6)),2))</f>
        <v>#N/A</v>
      </c>
      <c r="L7" s="29" t="e">
        <f>IF(L$5="","",WEEKNUM(DATE($A$2,VLOOKUP($A$1,'Helper sheet'!$A$1:$B$12,2,0),COLUMNS($A$6:K6)),2))</f>
        <v>#N/A</v>
      </c>
      <c r="M7" s="29" t="e">
        <f>IF(M$5="","",WEEKNUM(DATE($A$2,VLOOKUP($A$1,'Helper sheet'!$A$1:$B$12,2,0),COLUMNS($A$6:L6)),2))</f>
        <v>#N/A</v>
      </c>
      <c r="N7" s="29" t="e">
        <f>IF(N$5="","",WEEKNUM(DATE($A$2,VLOOKUP($A$1,'Helper sheet'!$A$1:$B$12,2,0),COLUMNS($A$6:M6)),2))</f>
        <v>#N/A</v>
      </c>
      <c r="O7" s="29" t="e">
        <f>IF(O$5="","",WEEKNUM(DATE($A$2,VLOOKUP($A$1,'Helper sheet'!$A$1:$B$12,2,0),COLUMNS($A$6:N6)),2))</f>
        <v>#N/A</v>
      </c>
      <c r="P7" s="29" t="e">
        <f>IF(P$5="","",WEEKNUM(DATE($A$2,VLOOKUP($A$1,'Helper sheet'!$A$1:$B$12,2,0),COLUMNS($A$6:O6)),2))</f>
        <v>#N/A</v>
      </c>
      <c r="Q7" s="29" t="e">
        <f>IF(Q$5="","",WEEKNUM(DATE($A$2,VLOOKUP($A$1,'Helper sheet'!$A$1:$B$12,2,0),COLUMNS($A$6:P6)),2))</f>
        <v>#N/A</v>
      </c>
      <c r="R7" s="29" t="e">
        <f>IF(R$5="","",WEEKNUM(DATE($A$2,VLOOKUP($A$1,'Helper sheet'!$A$1:$B$12,2,0),COLUMNS($A$6:Q6)),2))</f>
        <v>#N/A</v>
      </c>
      <c r="S7" s="29" t="e">
        <f>IF(S$5="","",WEEKNUM(DATE($A$2,VLOOKUP($A$1,'Helper sheet'!$A$1:$B$12,2,0),COLUMNS($A$6:R6)),2))</f>
        <v>#N/A</v>
      </c>
      <c r="T7" s="29" t="e">
        <f>IF(T$5="","",WEEKNUM(DATE($A$2,VLOOKUP($A$1,'Helper sheet'!$A$1:$B$12,2,0),COLUMNS($A$6:S6)),2))</f>
        <v>#N/A</v>
      </c>
      <c r="U7" s="29" t="e">
        <f>IF(U$5="","",WEEKNUM(DATE($A$2,VLOOKUP($A$1,'Helper sheet'!$A$1:$B$12,2,0),COLUMNS($A$6:T6)),2))</f>
        <v>#N/A</v>
      </c>
      <c r="V7" s="29" t="e">
        <f>IF(V$5="","",WEEKNUM(DATE($A$2,VLOOKUP($A$1,'Helper sheet'!$A$1:$B$12,2,0),COLUMNS($A$6:U6)),2))</f>
        <v>#N/A</v>
      </c>
      <c r="W7" s="29" t="e">
        <f>IF(W$5="","",WEEKNUM(DATE($A$2,VLOOKUP($A$1,'Helper sheet'!$A$1:$B$12,2,0),COLUMNS($A$6:V6)),2))</f>
        <v>#N/A</v>
      </c>
      <c r="X7" s="29" t="e">
        <f>IF(X$5="","",WEEKNUM(DATE($A$2,VLOOKUP($A$1,'Helper sheet'!$A$1:$B$12,2,0),COLUMNS($A$6:W6)),2))</f>
        <v>#N/A</v>
      </c>
      <c r="Y7" s="29" t="e">
        <f>IF(Y$5="","",WEEKNUM(DATE($A$2,VLOOKUP($A$1,'Helper sheet'!$A$1:$B$12,2,0),COLUMNS($A$6:X6)),2))</f>
        <v>#N/A</v>
      </c>
      <c r="Z7" s="29" t="e">
        <f>IF(Z$5="","",WEEKNUM(DATE($A$2,VLOOKUP($A$1,'Helper sheet'!$A$1:$B$12,2,0),COLUMNS($A$6:Y6)),2))</f>
        <v>#N/A</v>
      </c>
      <c r="AA7" s="29" t="e">
        <f>IF(AA$5="","",WEEKNUM(DATE($A$2,VLOOKUP($A$1,'Helper sheet'!$A$1:$B$12,2,0),COLUMNS($A$6:Z6)),2))</f>
        <v>#N/A</v>
      </c>
      <c r="AB7" s="29" t="e">
        <f>IF(AB$5="","",WEEKNUM(DATE($A$2,VLOOKUP($A$1,'Helper sheet'!$A$1:$B$12,2,0),COLUMNS($A$6:AA6)),2))</f>
        <v>#N/A</v>
      </c>
      <c r="AC7" s="29" t="e">
        <f>IF(AC$5="","",WEEKNUM(DATE($A$2,VLOOKUP($A$1,'Helper sheet'!$A$1:$B$12,2,0),COLUMNS($A$6:AB6)),2))</f>
        <v>#N/A</v>
      </c>
      <c r="AD7" s="29" t="e">
        <f>IF(AD$5="","",WEEKNUM(DATE($A$2,VLOOKUP($A$1,'Helper sheet'!$A$1:$B$12,2,0),COLUMNS($A$6:AC6)),2))</f>
        <v>#N/A</v>
      </c>
      <c r="AE7" s="29" t="e">
        <f>IF(AE$5="","",WEEKNUM(DATE($A$2,VLOOKUP($A$1,'Helper sheet'!$A$1:$B$12,2,0),COLUMNS($A$6:AD6)),2))</f>
        <v>#N/A</v>
      </c>
      <c r="AF7" s="29" t="e">
        <f>IF(AF$5="","",WEEKNUM(DATE($A$2,VLOOKUP($A$1,'Helper sheet'!$A$1:$B$12,2,0),COLUMNS($A$6:AE6)),2))</f>
        <v>#N/A</v>
      </c>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c r="CD7" s="24"/>
      <c r="CE7" s="24"/>
      <c r="CF7" s="24"/>
      <c r="CG7" s="24"/>
      <c r="CH7" s="24"/>
      <c r="CI7" s="24"/>
      <c r="CJ7" s="24"/>
      <c r="CK7" s="24"/>
      <c r="CL7" s="24"/>
      <c r="CM7" s="24"/>
      <c r="CN7" s="24"/>
      <c r="CO7" s="24"/>
      <c r="CP7" s="24"/>
      <c r="CQ7" s="24"/>
      <c r="CR7" s="24"/>
      <c r="CS7" s="24"/>
      <c r="CT7" s="24"/>
      <c r="CU7" s="24"/>
      <c r="CV7" s="24"/>
      <c r="CW7" s="24"/>
      <c r="CX7" s="24"/>
      <c r="CY7" s="24"/>
      <c r="CZ7" s="24"/>
      <c r="DA7" s="24"/>
      <c r="DB7" s="24"/>
      <c r="DC7" s="24"/>
      <c r="DD7" s="24"/>
      <c r="DE7" s="24"/>
      <c r="DF7" s="24"/>
      <c r="DG7" s="24"/>
      <c r="DH7" s="24"/>
      <c r="DI7" s="24"/>
      <c r="DJ7" s="24"/>
      <c r="DK7" s="24"/>
      <c r="DL7" s="24"/>
      <c r="DM7" s="24"/>
      <c r="DN7" s="24"/>
      <c r="DO7" s="24"/>
      <c r="DP7" s="24"/>
      <c r="DQ7" s="24"/>
      <c r="DR7" s="24"/>
      <c r="DS7" s="24"/>
      <c r="DT7" s="24"/>
      <c r="DU7" s="24"/>
      <c r="DV7" s="24"/>
      <c r="DW7" s="24"/>
      <c r="DX7" s="24"/>
      <c r="DY7" s="24"/>
      <c r="DZ7" s="24"/>
      <c r="EA7" s="24"/>
      <c r="EB7" s="24"/>
      <c r="EC7" s="24"/>
      <c r="ED7" s="24"/>
      <c r="EE7" s="24"/>
      <c r="EF7" s="24"/>
      <c r="EG7" s="24"/>
      <c r="EH7" s="24"/>
      <c r="EI7" s="24"/>
      <c r="EJ7" s="24"/>
      <c r="EK7" s="24"/>
      <c r="EL7" s="24"/>
      <c r="EM7" s="24"/>
      <c r="EN7" s="24"/>
      <c r="EO7" s="24"/>
      <c r="EP7" s="24"/>
      <c r="EQ7" s="24"/>
      <c r="ER7" s="24"/>
      <c r="ES7" s="24"/>
      <c r="ET7" s="24"/>
      <c r="EU7" s="24"/>
      <c r="EV7" s="24"/>
      <c r="EW7" s="24"/>
      <c r="EX7" s="24"/>
      <c r="EY7" s="24"/>
      <c r="EZ7" s="24"/>
      <c r="FA7" s="24"/>
      <c r="FB7" s="24"/>
      <c r="FC7" s="24"/>
      <c r="FD7" s="24"/>
      <c r="FE7" s="24"/>
      <c r="FF7" s="24"/>
      <c r="FG7" s="24"/>
      <c r="FH7" s="24"/>
      <c r="FI7" s="24"/>
      <c r="FJ7" s="24"/>
      <c r="FK7" s="24"/>
      <c r="FL7" s="24"/>
      <c r="FM7" s="24"/>
      <c r="FN7" s="24"/>
      <c r="FO7" s="24"/>
      <c r="FP7" s="24"/>
      <c r="FQ7" s="24"/>
      <c r="FR7" s="24"/>
      <c r="FS7" s="24"/>
      <c r="FT7" s="24"/>
      <c r="FU7" s="24"/>
      <c r="FV7" s="24"/>
      <c r="FW7" s="24"/>
      <c r="FX7" s="24"/>
      <c r="FY7" s="24"/>
      <c r="FZ7" s="24"/>
      <c r="GA7" s="24"/>
      <c r="GB7" s="24"/>
      <c r="GC7" s="24"/>
      <c r="GD7" s="24"/>
      <c r="GE7" s="24"/>
      <c r="GF7" s="24"/>
      <c r="GG7" s="24"/>
      <c r="GH7" s="24"/>
      <c r="GI7" s="24"/>
      <c r="GJ7" s="24"/>
      <c r="GK7" s="24"/>
      <c r="GL7" s="24"/>
      <c r="GM7" s="24"/>
      <c r="GN7" s="24"/>
      <c r="GO7" s="24"/>
      <c r="GP7" s="24"/>
      <c r="GQ7" s="24"/>
      <c r="GR7" s="24"/>
      <c r="GS7" s="24"/>
      <c r="GT7" s="24"/>
      <c r="GU7" s="24"/>
      <c r="GV7" s="24"/>
      <c r="GW7" s="24"/>
      <c r="GX7" s="24"/>
      <c r="GY7" s="24"/>
      <c r="GZ7" s="24"/>
      <c r="HA7" s="24"/>
      <c r="HB7" s="24"/>
      <c r="HC7" s="24"/>
      <c r="HD7" s="24"/>
      <c r="HE7" s="24"/>
      <c r="HF7" s="24"/>
      <c r="HG7" s="24"/>
      <c r="HH7" s="24"/>
      <c r="HI7" s="24"/>
      <c r="HJ7" s="24"/>
      <c r="HK7" s="24"/>
      <c r="HL7" s="24"/>
      <c r="HM7" s="24"/>
      <c r="HN7" s="24"/>
      <c r="HO7" s="24"/>
      <c r="HP7" s="24"/>
      <c r="HQ7" s="24"/>
      <c r="HR7" s="24"/>
      <c r="HS7" s="24"/>
      <c r="HT7" s="24"/>
      <c r="HU7" s="24"/>
      <c r="HV7" s="24"/>
      <c r="HW7" s="24"/>
      <c r="HX7" s="24"/>
      <c r="HY7" s="24"/>
      <c r="HZ7" s="24"/>
      <c r="IA7" s="24"/>
      <c r="IB7" s="24"/>
      <c r="IC7" s="24"/>
      <c r="ID7" s="24"/>
      <c r="IE7" s="24"/>
      <c r="IF7" s="24"/>
      <c r="IG7" s="24"/>
      <c r="IH7" s="24"/>
      <c r="II7" s="24"/>
      <c r="IJ7" s="24"/>
      <c r="IK7" s="24"/>
      <c r="IL7" s="24"/>
      <c r="IM7" s="24"/>
      <c r="IN7" s="24"/>
      <c r="IO7" s="24"/>
      <c r="IP7" s="24"/>
      <c r="IQ7" s="24"/>
      <c r="IR7" s="24"/>
      <c r="IS7" s="24"/>
      <c r="IT7" s="24"/>
      <c r="IU7" s="24"/>
      <c r="IV7" s="24"/>
      <c r="IW7" s="24"/>
      <c r="IX7" s="24"/>
      <c r="IY7" s="24"/>
      <c r="IZ7" s="24"/>
      <c r="JA7" s="24"/>
      <c r="JB7" s="24"/>
      <c r="JC7" s="24"/>
      <c r="JD7" s="24"/>
      <c r="JE7" s="24"/>
      <c r="JF7" s="24"/>
      <c r="JG7" s="24"/>
      <c r="JH7" s="24"/>
      <c r="JI7" s="24"/>
      <c r="JJ7" s="24"/>
      <c r="JK7" s="24"/>
      <c r="JL7" s="24"/>
      <c r="JM7" s="24"/>
      <c r="JN7" s="24"/>
      <c r="JO7" s="24"/>
      <c r="JP7" s="24"/>
      <c r="JQ7" s="24"/>
      <c r="JR7" s="24"/>
      <c r="JS7" s="24"/>
      <c r="JT7" s="24"/>
      <c r="JU7" s="24"/>
      <c r="JV7" s="24"/>
      <c r="JW7" s="24"/>
      <c r="JX7" s="24"/>
      <c r="JY7" s="24"/>
      <c r="JZ7" s="24"/>
      <c r="KA7" s="24"/>
      <c r="KB7" s="24"/>
      <c r="KC7" s="24"/>
      <c r="KD7" s="24"/>
      <c r="KE7" s="24"/>
      <c r="KF7" s="24"/>
      <c r="KG7" s="24"/>
      <c r="KH7" s="24"/>
      <c r="KI7" s="24"/>
      <c r="KJ7" s="24"/>
      <c r="KK7" s="24"/>
      <c r="KL7" s="24"/>
      <c r="KM7" s="24"/>
      <c r="KN7" s="24"/>
      <c r="KO7" s="24"/>
      <c r="KP7" s="24"/>
      <c r="KQ7" s="24"/>
      <c r="KR7" s="24"/>
      <c r="KS7" s="24"/>
      <c r="KT7" s="24"/>
      <c r="KU7" s="24"/>
      <c r="KV7" s="24"/>
      <c r="KW7" s="24"/>
      <c r="KX7" s="24"/>
      <c r="KY7" s="24"/>
      <c r="KZ7" s="24"/>
      <c r="LA7" s="24"/>
      <c r="LB7" s="24"/>
      <c r="LC7" s="24"/>
      <c r="LD7" s="24"/>
      <c r="LE7" s="24"/>
      <c r="LF7" s="24"/>
      <c r="LG7" s="24"/>
      <c r="LH7" s="24"/>
      <c r="LI7" s="24"/>
      <c r="LJ7" s="24"/>
      <c r="LK7" s="24"/>
      <c r="LL7" s="24"/>
      <c r="LM7" s="24"/>
      <c r="LN7" s="24"/>
      <c r="LO7" s="24"/>
      <c r="LP7" s="24"/>
      <c r="LQ7" s="24"/>
      <c r="LR7" s="24"/>
      <c r="LS7" s="24"/>
      <c r="LT7" s="24"/>
      <c r="LU7" s="24"/>
      <c r="LV7" s="24"/>
      <c r="LW7" s="24"/>
      <c r="LX7" s="24"/>
      <c r="LY7" s="24"/>
      <c r="LZ7" s="24"/>
      <c r="MA7" s="24"/>
      <c r="MB7" s="24"/>
      <c r="MC7" s="24"/>
      <c r="MD7" s="24"/>
      <c r="ME7" s="24"/>
      <c r="MF7" s="24"/>
      <c r="MG7" s="24"/>
      <c r="MH7" s="24"/>
      <c r="MI7" s="24"/>
      <c r="MJ7" s="24"/>
      <c r="MK7" s="24"/>
      <c r="ML7" s="24"/>
      <c r="MM7" s="24"/>
      <c r="MN7" s="24"/>
      <c r="MO7" s="24"/>
      <c r="MP7" s="24"/>
      <c r="MQ7" s="24"/>
      <c r="MR7" s="24"/>
      <c r="MS7" s="24"/>
      <c r="MT7" s="24"/>
      <c r="MU7" s="24"/>
      <c r="MV7" s="24"/>
      <c r="MW7" s="24"/>
      <c r="MX7" s="24"/>
      <c r="MY7" s="24"/>
      <c r="MZ7" s="24"/>
      <c r="NA7" s="24"/>
      <c r="NB7" s="24"/>
      <c r="NC7" s="24"/>
      <c r="ND7" s="24"/>
      <c r="NE7" s="24"/>
      <c r="NF7" s="24"/>
      <c r="NG7" s="24"/>
      <c r="NH7" s="24"/>
      <c r="NI7" s="24"/>
      <c r="NJ7" s="69"/>
      <c r="NK7" s="71"/>
      <c r="NL7" s="62"/>
      <c r="NM7" s="62"/>
      <c r="NN7" s="62"/>
      <c r="NO7" s="62"/>
      <c r="NP7" s="62"/>
      <c r="NQ7" s="62"/>
      <c r="NR7" s="62"/>
      <c r="NS7" s="62"/>
      <c r="NT7" s="62"/>
      <c r="NU7" s="62"/>
    </row>
    <row r="8" spans="1:402" ht="18" customHeight="1" x14ac:dyDescent="0.25">
      <c r="A8" s="26" t="s">
        <v>31</v>
      </c>
      <c r="B8" s="68"/>
      <c r="C8" s="68"/>
      <c r="D8" s="68"/>
      <c r="E8" s="68"/>
      <c r="F8" s="68"/>
      <c r="G8" s="68"/>
      <c r="H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c r="AK8" s="68"/>
      <c r="AL8" s="68"/>
      <c r="AM8" s="68"/>
      <c r="AN8" s="68"/>
      <c r="AO8" s="68"/>
      <c r="AP8" s="68"/>
      <c r="AQ8" s="68"/>
      <c r="AR8" s="68"/>
      <c r="AS8" s="68"/>
      <c r="AT8" s="68"/>
      <c r="AU8" s="68"/>
      <c r="AV8" s="68"/>
      <c r="AW8" s="68"/>
      <c r="AX8" s="68"/>
      <c r="AY8" s="68"/>
      <c r="AZ8" s="68"/>
      <c r="BA8" s="68"/>
      <c r="BB8" s="68"/>
      <c r="BC8" s="68"/>
      <c r="BD8" s="68"/>
      <c r="BE8" s="68"/>
      <c r="BF8" s="68"/>
      <c r="BG8" s="68"/>
      <c r="BH8" s="68"/>
      <c r="BI8" s="68"/>
      <c r="BJ8" s="68"/>
      <c r="BK8" s="68"/>
      <c r="BL8" s="68"/>
      <c r="BM8" s="68"/>
      <c r="BN8" s="68"/>
      <c r="BO8" s="68"/>
      <c r="BP8" s="68"/>
      <c r="BQ8" s="68"/>
      <c r="BR8" s="68"/>
      <c r="BS8" s="68"/>
      <c r="BT8" s="68"/>
      <c r="BU8" s="68"/>
      <c r="BV8" s="68"/>
      <c r="BW8" s="68"/>
      <c r="BX8" s="68"/>
      <c r="BY8" s="68"/>
      <c r="BZ8" s="68"/>
      <c r="CA8" s="68"/>
      <c r="CB8" s="68"/>
      <c r="CC8" s="68"/>
      <c r="CD8" s="68"/>
      <c r="CE8" s="68"/>
      <c r="CF8" s="68"/>
      <c r="CG8" s="68"/>
      <c r="CH8" s="68"/>
      <c r="CI8" s="68"/>
      <c r="CJ8" s="68"/>
      <c r="CK8" s="68"/>
      <c r="CL8" s="68"/>
      <c r="CM8" s="68"/>
      <c r="CN8" s="68"/>
      <c r="CO8" s="68"/>
      <c r="CP8" s="68"/>
      <c r="CQ8" s="68"/>
      <c r="CR8" s="68"/>
      <c r="CS8" s="68"/>
      <c r="CT8" s="68"/>
      <c r="CU8" s="68"/>
      <c r="CV8" s="68"/>
      <c r="CW8" s="68"/>
      <c r="CX8" s="68"/>
      <c r="CY8" s="68"/>
      <c r="CZ8" s="68"/>
      <c r="DA8" s="68"/>
      <c r="DB8" s="68"/>
      <c r="DC8" s="68"/>
      <c r="DD8" s="68"/>
      <c r="DE8" s="68"/>
      <c r="DF8" s="68"/>
      <c r="DG8" s="68"/>
      <c r="DH8" s="68"/>
      <c r="DI8" s="68"/>
      <c r="DJ8" s="68"/>
      <c r="DK8" s="68"/>
      <c r="DL8" s="68"/>
      <c r="DM8" s="68"/>
      <c r="DN8" s="68"/>
      <c r="DO8" s="68"/>
      <c r="DP8" s="68"/>
      <c r="DQ8" s="68"/>
      <c r="DR8" s="68"/>
      <c r="DS8" s="68"/>
      <c r="DT8" s="68"/>
      <c r="DU8" s="68"/>
      <c r="DV8" s="68"/>
      <c r="DW8" s="68"/>
      <c r="DX8" s="68"/>
      <c r="DY8" s="68"/>
      <c r="DZ8" s="68"/>
      <c r="EA8" s="68"/>
      <c r="EB8" s="68"/>
      <c r="EC8" s="68"/>
      <c r="ED8" s="68"/>
      <c r="EE8" s="68"/>
      <c r="EF8" s="68"/>
      <c r="EG8" s="68"/>
      <c r="EH8" s="68"/>
      <c r="EI8" s="68"/>
      <c r="EJ8" s="68"/>
      <c r="EK8" s="68"/>
      <c r="EL8" s="68"/>
      <c r="EM8" s="68"/>
      <c r="EN8" s="68"/>
      <c r="EO8" s="68"/>
      <c r="EP8" s="68"/>
      <c r="EQ8" s="68"/>
      <c r="ER8" s="68"/>
      <c r="ES8" s="68"/>
      <c r="ET8" s="68"/>
      <c r="EU8" s="68"/>
      <c r="EV8" s="68"/>
      <c r="EW8" s="68"/>
      <c r="EX8" s="68"/>
      <c r="EY8" s="68"/>
      <c r="EZ8" s="68"/>
      <c r="FA8" s="68"/>
      <c r="FB8" s="68"/>
      <c r="FC8" s="68"/>
      <c r="FD8" s="68"/>
      <c r="FE8" s="68"/>
      <c r="FF8" s="68"/>
      <c r="FG8" s="68"/>
      <c r="FH8" s="68"/>
      <c r="FI8" s="68"/>
      <c r="FJ8" s="68"/>
      <c r="FK8" s="68"/>
      <c r="FL8" s="68"/>
      <c r="FM8" s="68"/>
      <c r="FN8" s="68"/>
      <c r="FO8" s="68"/>
      <c r="FP8" s="68"/>
      <c r="FQ8" s="68"/>
      <c r="FR8" s="68"/>
      <c r="FS8" s="68"/>
      <c r="FT8" s="68"/>
      <c r="FU8" s="68"/>
      <c r="FV8" s="68"/>
      <c r="FW8" s="68"/>
      <c r="FX8" s="68"/>
      <c r="FY8" s="68"/>
      <c r="FZ8" s="68"/>
      <c r="GA8" s="68"/>
      <c r="GB8" s="68"/>
      <c r="GC8" s="68"/>
      <c r="GD8" s="68"/>
      <c r="GE8" s="68"/>
      <c r="GF8" s="68"/>
      <c r="GG8" s="68"/>
      <c r="GH8" s="68"/>
      <c r="GI8" s="68"/>
      <c r="GJ8" s="68"/>
      <c r="GK8" s="68"/>
      <c r="GL8" s="68"/>
      <c r="GM8" s="68"/>
      <c r="GN8" s="68"/>
      <c r="GO8" s="68"/>
      <c r="GP8" s="68"/>
      <c r="GQ8" s="68"/>
      <c r="GR8" s="68"/>
      <c r="GS8" s="68"/>
      <c r="GT8" s="68"/>
      <c r="GU8" s="68"/>
      <c r="GV8" s="68"/>
      <c r="GW8" s="68"/>
      <c r="GX8" s="68"/>
      <c r="GY8" s="68"/>
      <c r="GZ8" s="68"/>
      <c r="HA8" s="68"/>
      <c r="HB8" s="68"/>
      <c r="HC8" s="68"/>
      <c r="HD8" s="68"/>
      <c r="HE8" s="68"/>
      <c r="HF8" s="68"/>
      <c r="HG8" s="68"/>
      <c r="HH8" s="68"/>
      <c r="HI8" s="68"/>
      <c r="HJ8" s="68"/>
      <c r="HK8" s="68"/>
      <c r="HL8" s="68"/>
      <c r="HM8" s="68"/>
      <c r="HN8" s="68"/>
      <c r="HO8" s="68"/>
      <c r="HP8" s="68"/>
      <c r="HQ8" s="68"/>
      <c r="HR8" s="68"/>
      <c r="HS8" s="68"/>
      <c r="HT8" s="68"/>
      <c r="HU8" s="68"/>
      <c r="HV8" s="68"/>
      <c r="HW8" s="68"/>
      <c r="HX8" s="68"/>
      <c r="HY8" s="68"/>
      <c r="HZ8" s="68"/>
      <c r="IA8" s="68"/>
      <c r="IB8" s="68"/>
      <c r="IC8" s="68"/>
      <c r="ID8" s="68"/>
      <c r="IE8" s="68"/>
      <c r="IF8" s="68"/>
      <c r="IG8" s="68"/>
      <c r="IH8" s="68"/>
      <c r="II8" s="68"/>
      <c r="IJ8" s="68"/>
      <c r="IK8" s="68"/>
      <c r="IL8" s="68"/>
      <c r="IM8" s="68"/>
      <c r="IN8" s="68"/>
      <c r="IO8" s="68"/>
      <c r="IP8" s="68"/>
      <c r="IQ8" s="68"/>
      <c r="IR8" s="68"/>
      <c r="IS8" s="68"/>
      <c r="IT8" s="68"/>
      <c r="IU8" s="68"/>
      <c r="IV8" s="68"/>
      <c r="IW8" s="68"/>
      <c r="IX8" s="68"/>
      <c r="IY8" s="68"/>
      <c r="IZ8" s="68"/>
      <c r="JA8" s="68"/>
      <c r="JB8" s="68"/>
      <c r="JC8" s="68"/>
      <c r="JD8" s="68"/>
      <c r="JE8" s="68"/>
      <c r="JF8" s="68"/>
      <c r="JG8" s="68"/>
      <c r="JH8" s="68"/>
      <c r="JI8" s="68"/>
      <c r="JJ8" s="68"/>
      <c r="JK8" s="68"/>
      <c r="JL8" s="68"/>
      <c r="JM8" s="68"/>
      <c r="JN8" s="68"/>
      <c r="JO8" s="68"/>
      <c r="JP8" s="68"/>
      <c r="JQ8" s="68"/>
      <c r="JR8" s="68"/>
      <c r="JS8" s="68"/>
      <c r="JT8" s="68"/>
      <c r="JU8" s="68"/>
      <c r="JV8" s="68"/>
      <c r="JW8" s="68"/>
      <c r="JX8" s="68"/>
      <c r="JY8" s="68"/>
      <c r="JZ8" s="68"/>
      <c r="KA8" s="68"/>
      <c r="KB8" s="68"/>
      <c r="KC8" s="68"/>
      <c r="KD8" s="68"/>
      <c r="KE8" s="68"/>
      <c r="KF8" s="68"/>
      <c r="KG8" s="68"/>
      <c r="KH8" s="68"/>
      <c r="KI8" s="68"/>
      <c r="KJ8" s="68"/>
      <c r="KK8" s="68"/>
      <c r="KL8" s="68"/>
      <c r="KM8" s="68"/>
      <c r="KN8" s="68"/>
      <c r="KO8" s="68"/>
      <c r="KP8" s="68"/>
      <c r="KQ8" s="68"/>
      <c r="KR8" s="68"/>
      <c r="KS8" s="68"/>
      <c r="KT8" s="68"/>
      <c r="KU8" s="68"/>
      <c r="KV8" s="68"/>
      <c r="KW8" s="68"/>
      <c r="KX8" s="68"/>
      <c r="KY8" s="68"/>
      <c r="KZ8" s="68"/>
      <c r="LA8" s="68"/>
      <c r="LB8" s="68"/>
      <c r="LC8" s="68"/>
      <c r="LD8" s="68"/>
      <c r="LE8" s="68"/>
      <c r="LF8" s="68"/>
      <c r="LG8" s="68"/>
      <c r="LH8" s="68"/>
      <c r="LI8" s="68"/>
      <c r="LJ8" s="68"/>
      <c r="LK8" s="68"/>
      <c r="LL8" s="68"/>
      <c r="LM8" s="68"/>
      <c r="LN8" s="68"/>
      <c r="LO8" s="68"/>
      <c r="LP8" s="68"/>
      <c r="LQ8" s="68"/>
      <c r="LR8" s="68"/>
      <c r="LS8" s="68"/>
      <c r="LT8" s="68"/>
      <c r="LU8" s="68"/>
      <c r="LV8" s="68"/>
      <c r="LW8" s="68"/>
      <c r="LX8" s="68"/>
      <c r="LY8" s="68"/>
      <c r="LZ8" s="68"/>
      <c r="MA8" s="68"/>
      <c r="MB8" s="68"/>
      <c r="MC8" s="68"/>
      <c r="MD8" s="68"/>
      <c r="ME8" s="68"/>
      <c r="MF8" s="68"/>
      <c r="MG8" s="68"/>
      <c r="MH8" s="68"/>
      <c r="MI8" s="68"/>
      <c r="MJ8" s="68"/>
      <c r="MK8" s="68"/>
      <c r="ML8" s="68"/>
      <c r="MM8" s="68"/>
      <c r="MN8" s="68"/>
      <c r="MO8" s="68"/>
      <c r="MP8" s="68"/>
      <c r="MQ8" s="68"/>
      <c r="MR8" s="68"/>
      <c r="MS8" s="68"/>
      <c r="MT8" s="68"/>
      <c r="MU8" s="68"/>
      <c r="MV8" s="68"/>
      <c r="MW8" s="68"/>
      <c r="MX8" s="68"/>
      <c r="MY8" s="68"/>
      <c r="MZ8" s="68"/>
      <c r="NA8" s="68"/>
      <c r="NB8" s="68"/>
      <c r="NC8" s="68"/>
      <c r="ND8" s="68"/>
      <c r="NE8" s="68"/>
      <c r="NF8" s="68"/>
      <c r="NG8" s="68"/>
      <c r="NH8" s="68"/>
      <c r="NI8" s="68"/>
      <c r="NJ8" s="70">
        <f t="array" aca="1" ref="NJ8" ca="1">SUMPRODUCT((OFFSET($A8,0,31*($A$3-1)+1,1,31)&lt;&gt;"")*(IF(OFFSET($A8,0,31*($A$3-1)+1,1,31)=Database!$K$11,0.5,IF(OFFSET($A8,0,31*($A$3-1)+1,1,31)=Database!$K$12,0.5,1))*(OFFSET($A$4,0,31*($A$3-1)+1,1,31))))</f>
        <v>0</v>
      </c>
      <c r="NK8" s="72">
        <f t="array" aca="1" ref="NK8" ca="1">SUMPRODUCT((OFFSET($A8,0,1,1,372)&lt;&gt;"")*(IF(OFFSET($A8,0,1,1,372)=Database!$K$11,0.5,IF(OFFSET($A8,0,1,1,372)=Database!$K$12,0.5,1))*(OFFSET($A$3,0,1,1,372))))</f>
        <v>0</v>
      </c>
      <c r="NL8" s="63">
        <f t="shared" ref="NL8:NU17" ca="1" si="6">SUMPRODUCT((OFFSET($A8,0,1,1,372)&lt;&gt;"")*(OFFSET($A$3,0,1,1,372))*((OFFSET($A8,0,1,1,372))=NL$5))</f>
        <v>0</v>
      </c>
      <c r="NM8" s="63">
        <f t="shared" ca="1" si="6"/>
        <v>0</v>
      </c>
      <c r="NN8" s="63">
        <f t="shared" ca="1" si="6"/>
        <v>0</v>
      </c>
      <c r="NO8" s="63">
        <f t="shared" ca="1" si="6"/>
        <v>0</v>
      </c>
      <c r="NP8" s="63">
        <f t="shared" ca="1" si="6"/>
        <v>0</v>
      </c>
      <c r="NQ8" s="63">
        <f t="shared" ca="1" si="6"/>
        <v>0</v>
      </c>
      <c r="NR8" s="63">
        <f t="shared" ca="1" si="6"/>
        <v>0</v>
      </c>
      <c r="NS8" s="63">
        <f t="shared" ca="1" si="6"/>
        <v>0</v>
      </c>
      <c r="NT8" s="63">
        <f t="shared" ca="1" si="6"/>
        <v>0</v>
      </c>
      <c r="NU8" s="63">
        <f t="shared" ca="1" si="6"/>
        <v>0</v>
      </c>
    </row>
    <row r="9" spans="1:402" ht="18" customHeight="1" x14ac:dyDescent="0.25">
      <c r="A9" s="26" t="s">
        <v>32</v>
      </c>
      <c r="B9" s="68"/>
      <c r="C9" s="68"/>
      <c r="D9" s="68"/>
      <c r="E9" s="68" t="s">
        <v>81</v>
      </c>
      <c r="F9" s="68" t="s">
        <v>81</v>
      </c>
      <c r="G9" s="68"/>
      <c r="H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c r="AK9" s="68"/>
      <c r="AL9" s="68"/>
      <c r="AM9" s="68"/>
      <c r="AN9" s="68"/>
      <c r="AO9" s="68"/>
      <c r="AP9" s="68"/>
      <c r="AQ9" s="68"/>
      <c r="AR9" s="68"/>
      <c r="AS9" s="68"/>
      <c r="AT9" s="68"/>
      <c r="AU9" s="68"/>
      <c r="AV9" s="68"/>
      <c r="AW9" s="68"/>
      <c r="AX9" s="68"/>
      <c r="AY9" s="68"/>
      <c r="AZ9" s="68"/>
      <c r="BA9" s="68"/>
      <c r="BB9" s="68"/>
      <c r="BC9" s="68"/>
      <c r="BD9" s="68"/>
      <c r="BE9" s="68"/>
      <c r="BF9" s="68"/>
      <c r="BG9" s="68"/>
      <c r="BH9" s="68"/>
      <c r="BI9" s="68"/>
      <c r="BJ9" s="68"/>
      <c r="BK9" s="68"/>
      <c r="BL9" s="68"/>
      <c r="BM9" s="68"/>
      <c r="BN9" s="68"/>
      <c r="BO9" s="68"/>
      <c r="BP9" s="68"/>
      <c r="BQ9" s="68"/>
      <c r="BR9" s="68"/>
      <c r="BS9" s="68"/>
      <c r="BT9" s="68"/>
      <c r="BU9" s="68"/>
      <c r="BV9" s="68"/>
      <c r="BW9" s="68"/>
      <c r="BX9" s="68"/>
      <c r="BY9" s="68"/>
      <c r="BZ9" s="68"/>
      <c r="CA9" s="68"/>
      <c r="CB9" s="68" t="s">
        <v>30</v>
      </c>
      <c r="CC9" s="68"/>
      <c r="CD9" s="68"/>
      <c r="CE9" s="68"/>
      <c r="CF9" s="68"/>
      <c r="CG9" s="68"/>
      <c r="CH9" s="68"/>
      <c r="CI9" s="68"/>
      <c r="CJ9" s="68"/>
      <c r="CK9" s="68"/>
      <c r="CL9" s="68"/>
      <c r="CM9" s="68"/>
      <c r="CN9" s="68"/>
      <c r="CO9" s="68"/>
      <c r="CP9" s="68"/>
      <c r="CQ9" s="68"/>
      <c r="CR9" s="68"/>
      <c r="CS9" s="68"/>
      <c r="CT9" s="68"/>
      <c r="CU9" s="68"/>
      <c r="CV9" s="68"/>
      <c r="CW9" s="68"/>
      <c r="CX9" s="68"/>
      <c r="CY9" s="68"/>
      <c r="CZ9" s="68"/>
      <c r="DA9" s="68"/>
      <c r="DB9" s="68"/>
      <c r="DC9" s="68"/>
      <c r="DD9" s="68"/>
      <c r="DE9" s="68"/>
      <c r="DF9" s="68"/>
      <c r="DG9" s="68"/>
      <c r="DH9" s="68"/>
      <c r="DI9" s="68"/>
      <c r="DJ9" s="68"/>
      <c r="DK9" s="68"/>
      <c r="DL9" s="68"/>
      <c r="DM9" s="68"/>
      <c r="DN9" s="68"/>
      <c r="DO9" s="68"/>
      <c r="DP9" s="68"/>
      <c r="DQ9" s="68"/>
      <c r="DR9" s="68"/>
      <c r="DS9" s="68"/>
      <c r="DT9" s="68"/>
      <c r="DU9" s="68"/>
      <c r="DV9" s="68"/>
      <c r="DW9" s="68"/>
      <c r="DX9" s="68"/>
      <c r="DY9" s="68"/>
      <c r="DZ9" s="68"/>
      <c r="EA9" s="68"/>
      <c r="EB9" s="68"/>
      <c r="EC9" s="68"/>
      <c r="ED9" s="68"/>
      <c r="EE9" s="68"/>
      <c r="EF9" s="68"/>
      <c r="EG9" s="68"/>
      <c r="EH9" s="68"/>
      <c r="EI9" s="68"/>
      <c r="EJ9" s="68"/>
      <c r="EK9" s="68"/>
      <c r="EL9" s="68"/>
      <c r="EM9" s="68"/>
      <c r="EN9" s="68"/>
      <c r="EO9" s="68"/>
      <c r="EP9" s="68"/>
      <c r="EQ9" s="68"/>
      <c r="ER9" s="68"/>
      <c r="ES9" s="68"/>
      <c r="ET9" s="68"/>
      <c r="EU9" s="68"/>
      <c r="EV9" s="68"/>
      <c r="EW9" s="68"/>
      <c r="EX9" s="68"/>
      <c r="EY9" s="68"/>
      <c r="EZ9" s="68"/>
      <c r="FA9" s="68"/>
      <c r="FB9" s="68"/>
      <c r="FC9" s="68"/>
      <c r="FD9" s="68"/>
      <c r="FE9" s="68"/>
      <c r="FF9" s="68"/>
      <c r="FG9" s="68"/>
      <c r="FH9" s="68"/>
      <c r="FI9" s="68"/>
      <c r="FJ9" s="68"/>
      <c r="FK9" s="68"/>
      <c r="FL9" s="68"/>
      <c r="FM9" s="68"/>
      <c r="FN9" s="68"/>
      <c r="FO9" s="68"/>
      <c r="FP9" s="68"/>
      <c r="FQ9" s="68"/>
      <c r="FR9" s="68"/>
      <c r="FS9" s="68"/>
      <c r="FT9" s="68"/>
      <c r="FU9" s="68"/>
      <c r="FV9" s="68"/>
      <c r="FW9" s="68"/>
      <c r="FX9" s="68"/>
      <c r="FY9" s="68"/>
      <c r="FZ9" s="68"/>
      <c r="GA9" s="68"/>
      <c r="GB9" s="68"/>
      <c r="GC9" s="68"/>
      <c r="GD9" s="68"/>
      <c r="GE9" s="68"/>
      <c r="GF9" s="68"/>
      <c r="GG9" s="68"/>
      <c r="GH9" s="68"/>
      <c r="GI9" s="68"/>
      <c r="GJ9" s="68"/>
      <c r="GK9" s="68"/>
      <c r="GL9" s="68"/>
      <c r="GM9" s="68"/>
      <c r="GN9" s="68"/>
      <c r="GO9" s="68"/>
      <c r="GP9" s="68"/>
      <c r="GQ9" s="68"/>
      <c r="GR9" s="68"/>
      <c r="GS9" s="68"/>
      <c r="GT9" s="68"/>
      <c r="GU9" s="68"/>
      <c r="GV9" s="68"/>
      <c r="GW9" s="68"/>
      <c r="GX9" s="68"/>
      <c r="GY9" s="68"/>
      <c r="GZ9" s="68"/>
      <c r="HA9" s="68"/>
      <c r="HB9" s="68"/>
      <c r="HC9" s="68"/>
      <c r="HD9" s="68"/>
      <c r="HE9" s="68"/>
      <c r="HF9" s="68"/>
      <c r="HG9" s="68"/>
      <c r="HH9" s="68"/>
      <c r="HI9" s="68"/>
      <c r="HJ9" s="68"/>
      <c r="HK9" s="68"/>
      <c r="HL9" s="68"/>
      <c r="HM9" s="68"/>
      <c r="HN9" s="68"/>
      <c r="HO9" s="68"/>
      <c r="HP9" s="68"/>
      <c r="HQ9" s="68"/>
      <c r="HR9" s="68"/>
      <c r="HS9" s="68"/>
      <c r="HT9" s="68"/>
      <c r="HU9" s="68"/>
      <c r="HV9" s="68"/>
      <c r="HW9" s="68"/>
      <c r="HX9" s="68"/>
      <c r="HY9" s="68"/>
      <c r="HZ9" s="68"/>
      <c r="IA9" s="68"/>
      <c r="IB9" s="68"/>
      <c r="IC9" s="68"/>
      <c r="ID9" s="68"/>
      <c r="IE9" s="68"/>
      <c r="IF9" s="68"/>
      <c r="IG9" s="68"/>
      <c r="IH9" s="68"/>
      <c r="II9" s="68"/>
      <c r="IJ9" s="68"/>
      <c r="IK9" s="68"/>
      <c r="IL9" s="68"/>
      <c r="IM9" s="68"/>
      <c r="IN9" s="68"/>
      <c r="IO9" s="68"/>
      <c r="IP9" s="68"/>
      <c r="IQ9" s="68"/>
      <c r="IR9" s="68"/>
      <c r="IS9" s="68"/>
      <c r="IT9" s="68"/>
      <c r="IU9" s="68"/>
      <c r="IV9" s="68"/>
      <c r="IW9" s="68"/>
      <c r="IX9" s="68"/>
      <c r="IY9" s="68"/>
      <c r="IZ9" s="68"/>
      <c r="JA9" s="68"/>
      <c r="JB9" s="68"/>
      <c r="JC9" s="68"/>
      <c r="JD9" s="68"/>
      <c r="JE9" s="68"/>
      <c r="JF9" s="68"/>
      <c r="JG9" s="68"/>
      <c r="JH9" s="68"/>
      <c r="JI9" s="68"/>
      <c r="JJ9" s="68"/>
      <c r="JK9" s="68"/>
      <c r="JL9" s="68"/>
      <c r="JM9" s="68"/>
      <c r="JN9" s="68"/>
      <c r="JO9" s="68"/>
      <c r="JP9" s="68"/>
      <c r="JQ9" s="68"/>
      <c r="JR9" s="68"/>
      <c r="JS9" s="68"/>
      <c r="JT9" s="68"/>
      <c r="JU9" s="68"/>
      <c r="JV9" s="68"/>
      <c r="JW9" s="68"/>
      <c r="JX9" s="68"/>
      <c r="JY9" s="68"/>
      <c r="JZ9" s="68"/>
      <c r="KA9" s="68"/>
      <c r="KB9" s="68"/>
      <c r="KC9" s="68"/>
      <c r="KD9" s="68"/>
      <c r="KE9" s="68"/>
      <c r="KF9" s="68"/>
      <c r="KG9" s="68"/>
      <c r="KH9" s="68"/>
      <c r="KI9" s="68"/>
      <c r="KJ9" s="68"/>
      <c r="KK9" s="68"/>
      <c r="KL9" s="68"/>
      <c r="KM9" s="68"/>
      <c r="KN9" s="68"/>
      <c r="KO9" s="68"/>
      <c r="KP9" s="68"/>
      <c r="KQ9" s="68"/>
      <c r="KR9" s="68"/>
      <c r="KS9" s="68"/>
      <c r="KT9" s="68"/>
      <c r="KU9" s="68"/>
      <c r="KV9" s="68"/>
      <c r="KW9" s="68"/>
      <c r="KX9" s="68"/>
      <c r="KY9" s="68"/>
      <c r="KZ9" s="68"/>
      <c r="LA9" s="68"/>
      <c r="LB9" s="68"/>
      <c r="LC9" s="68"/>
      <c r="LD9" s="68"/>
      <c r="LE9" s="68"/>
      <c r="LF9" s="68"/>
      <c r="LG9" s="68"/>
      <c r="LH9" s="68"/>
      <c r="LI9" s="68"/>
      <c r="LJ9" s="68"/>
      <c r="LK9" s="68"/>
      <c r="LL9" s="68"/>
      <c r="LM9" s="68"/>
      <c r="LN9" s="68"/>
      <c r="LO9" s="68"/>
      <c r="LP9" s="68"/>
      <c r="LQ9" s="68"/>
      <c r="LR9" s="68"/>
      <c r="LS9" s="68"/>
      <c r="LT9" s="68"/>
      <c r="LU9" s="68"/>
      <c r="LV9" s="68"/>
      <c r="LW9" s="68"/>
      <c r="LX9" s="68"/>
      <c r="LY9" s="68"/>
      <c r="LZ9" s="68"/>
      <c r="MA9" s="68"/>
      <c r="MB9" s="68"/>
      <c r="MC9" s="68"/>
      <c r="MD9" s="68"/>
      <c r="ME9" s="68"/>
      <c r="MF9" s="68"/>
      <c r="MG9" s="68"/>
      <c r="MH9" s="68"/>
      <c r="MI9" s="68"/>
      <c r="MJ9" s="68"/>
      <c r="MK9" s="68"/>
      <c r="ML9" s="68"/>
      <c r="MM9" s="68"/>
      <c r="MN9" s="68"/>
      <c r="MO9" s="68"/>
      <c r="MP9" s="68"/>
      <c r="MQ9" s="68"/>
      <c r="MR9" s="68"/>
      <c r="MS9" s="68"/>
      <c r="MT9" s="68"/>
      <c r="MU9" s="68"/>
      <c r="MV9" s="68"/>
      <c r="MW9" s="68"/>
      <c r="MX9" s="68"/>
      <c r="MY9" s="68"/>
      <c r="MZ9" s="68"/>
      <c r="NA9" s="68"/>
      <c r="NB9" s="68"/>
      <c r="NC9" s="68"/>
      <c r="ND9" s="68"/>
      <c r="NE9" s="68"/>
      <c r="NF9" s="68"/>
      <c r="NG9" s="68"/>
      <c r="NH9" s="68"/>
      <c r="NI9" s="68"/>
      <c r="NJ9" s="70">
        <f t="array" aca="1" ref="NJ9" ca="1">SUMPRODUCT((OFFSET($A9,0,31*($A$3-1)+1,1,31)&lt;&gt;"")*(IF(OFFSET($A9,0,31*($A$3-1)+1,1,31)=Database!$K$11,0.5,IF(OFFSET($A9,0,31*($A$3-1)+1,1,31)=Database!$K$12,0.5,1))*(OFFSET($A$4,0,31*($A$3-1)+1,1,31))))</f>
        <v>2</v>
      </c>
      <c r="NK9" s="72">
        <f t="array" aca="1" ref="NK9" ca="1">SUMPRODUCT((OFFSET($A9,0,1,1,372)&lt;&gt;"")*(IF(OFFSET($A9,0,1,1,372)=Database!$K$11,0.5,IF(OFFSET($A9,0,1,1,372)=Database!$K$12,0.5,1))*(OFFSET($A$3,0,1,1,372))))</f>
        <v>3</v>
      </c>
      <c r="NL9" s="63">
        <f t="shared" ca="1" si="6"/>
        <v>0</v>
      </c>
      <c r="NM9" s="63">
        <f t="shared" ca="1" si="6"/>
        <v>2</v>
      </c>
      <c r="NN9" s="63">
        <f t="shared" ca="1" si="6"/>
        <v>0</v>
      </c>
      <c r="NO9" s="63">
        <f t="shared" ca="1" si="6"/>
        <v>0</v>
      </c>
      <c r="NP9" s="63">
        <f t="shared" ca="1" si="6"/>
        <v>1</v>
      </c>
      <c r="NQ9" s="63">
        <f t="shared" ca="1" si="6"/>
        <v>0</v>
      </c>
      <c r="NR9" s="63">
        <f t="shared" ca="1" si="6"/>
        <v>0</v>
      </c>
      <c r="NS9" s="63">
        <f t="shared" ca="1" si="6"/>
        <v>0</v>
      </c>
      <c r="NT9" s="63">
        <f t="shared" ca="1" si="6"/>
        <v>0</v>
      </c>
      <c r="NU9" s="63">
        <f t="shared" ca="1" si="6"/>
        <v>0</v>
      </c>
    </row>
    <row r="10" spans="1:402" ht="18" customHeight="1" x14ac:dyDescent="0.25">
      <c r="A10" s="26" t="s">
        <v>33</v>
      </c>
      <c r="B10" s="68"/>
      <c r="C10" s="68"/>
      <c r="D10" s="68"/>
      <c r="E10" s="68"/>
      <c r="F10" s="68"/>
      <c r="G10" s="68"/>
      <c r="H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c r="AK10" s="68"/>
      <c r="AL10" s="68"/>
      <c r="AM10" s="68"/>
      <c r="AN10" s="68"/>
      <c r="AO10" s="68"/>
      <c r="AP10" s="68"/>
      <c r="AQ10" s="68"/>
      <c r="AR10" s="68"/>
      <c r="AS10" s="68"/>
      <c r="AT10" s="68"/>
      <c r="AU10" s="68"/>
      <c r="AV10" s="68"/>
      <c r="AW10" s="68"/>
      <c r="AX10" s="68" t="s">
        <v>81</v>
      </c>
      <c r="AY10" s="68"/>
      <c r="AZ10" s="68"/>
      <c r="BA10" s="68"/>
      <c r="BB10" s="68"/>
      <c r="BC10" s="68"/>
      <c r="BD10" s="68"/>
      <c r="BE10" s="68"/>
      <c r="BF10" s="68"/>
      <c r="BG10" s="68"/>
      <c r="BH10" s="68"/>
      <c r="BI10" s="68"/>
      <c r="BJ10" s="68"/>
      <c r="BK10" s="68"/>
      <c r="BL10" s="68"/>
      <c r="BM10" s="68" t="s">
        <v>81</v>
      </c>
      <c r="BN10" s="68"/>
      <c r="BO10" s="68"/>
      <c r="BP10" s="68"/>
      <c r="BQ10" s="68"/>
      <c r="BR10" s="68"/>
      <c r="BS10" s="68"/>
      <c r="BT10" s="68"/>
      <c r="BU10" s="68" t="s">
        <v>30</v>
      </c>
      <c r="BV10" s="68"/>
      <c r="BW10" s="68"/>
      <c r="BX10" s="68"/>
      <c r="BY10" s="68"/>
      <c r="BZ10" s="68"/>
      <c r="CA10" s="68"/>
      <c r="CB10" s="68"/>
      <c r="CC10" s="68"/>
      <c r="CD10" s="68"/>
      <c r="CE10" s="68"/>
      <c r="CF10" s="68"/>
      <c r="CG10" s="68"/>
      <c r="CH10" s="68"/>
      <c r="CI10" s="68" t="s">
        <v>30</v>
      </c>
      <c r="CJ10" s="68"/>
      <c r="CK10" s="68"/>
      <c r="CL10" s="68"/>
      <c r="CM10" s="68"/>
      <c r="CN10" s="68"/>
      <c r="CO10" s="68"/>
      <c r="CP10" s="68"/>
      <c r="CQ10" s="68"/>
      <c r="CR10" s="68"/>
      <c r="CS10" s="68"/>
      <c r="CT10" s="68"/>
      <c r="CU10" s="68"/>
      <c r="CV10" s="68"/>
      <c r="CW10" s="68"/>
      <c r="CX10" s="68"/>
      <c r="CY10" s="68"/>
      <c r="CZ10" s="68"/>
      <c r="DA10" s="68"/>
      <c r="DB10" s="68"/>
      <c r="DC10" s="68"/>
      <c r="DD10" s="68"/>
      <c r="DE10" s="68"/>
      <c r="DF10" s="68"/>
      <c r="DG10" s="68"/>
      <c r="DH10" s="68"/>
      <c r="DI10" s="68"/>
      <c r="DJ10" s="68"/>
      <c r="DK10" s="68"/>
      <c r="DL10" s="68"/>
      <c r="DM10" s="68"/>
      <c r="DN10" s="68"/>
      <c r="DO10" s="68"/>
      <c r="DP10" s="68"/>
      <c r="DQ10" s="68"/>
      <c r="DR10" s="68"/>
      <c r="DS10" s="68"/>
      <c r="DT10" s="68"/>
      <c r="DU10" s="68"/>
      <c r="DV10" s="68"/>
      <c r="DW10" s="68"/>
      <c r="DX10" s="68"/>
      <c r="DY10" s="68"/>
      <c r="DZ10" s="68"/>
      <c r="EA10" s="68"/>
      <c r="EB10" s="68"/>
      <c r="EC10" s="68"/>
      <c r="ED10" s="68"/>
      <c r="EE10" s="68"/>
      <c r="EF10" s="68"/>
      <c r="EG10" s="68"/>
      <c r="EH10" s="68"/>
      <c r="EI10" s="68"/>
      <c r="EJ10" s="68"/>
      <c r="EK10" s="68"/>
      <c r="EL10" s="68"/>
      <c r="EM10" s="68"/>
      <c r="EN10" s="68"/>
      <c r="EO10" s="68"/>
      <c r="EP10" s="68"/>
      <c r="EQ10" s="68"/>
      <c r="ER10" s="68"/>
      <c r="ES10" s="68"/>
      <c r="ET10" s="68"/>
      <c r="EU10" s="68"/>
      <c r="EV10" s="68"/>
      <c r="EW10" s="68"/>
      <c r="EX10" s="68"/>
      <c r="EY10" s="68"/>
      <c r="EZ10" s="68"/>
      <c r="FA10" s="68"/>
      <c r="FB10" s="68"/>
      <c r="FC10" s="68"/>
      <c r="FD10" s="68"/>
      <c r="FE10" s="68"/>
      <c r="FF10" s="68"/>
      <c r="FG10" s="68"/>
      <c r="FH10" s="68"/>
      <c r="FI10" s="68"/>
      <c r="FJ10" s="68"/>
      <c r="FK10" s="68"/>
      <c r="FL10" s="68"/>
      <c r="FM10" s="68"/>
      <c r="FN10" s="68"/>
      <c r="FO10" s="68"/>
      <c r="FP10" s="68"/>
      <c r="FQ10" s="68"/>
      <c r="FR10" s="68"/>
      <c r="FS10" s="68"/>
      <c r="FT10" s="68"/>
      <c r="FU10" s="68"/>
      <c r="FV10" s="68"/>
      <c r="FW10" s="68"/>
      <c r="FX10" s="68"/>
      <c r="FY10" s="68"/>
      <c r="FZ10" s="68"/>
      <c r="GA10" s="68"/>
      <c r="GB10" s="68"/>
      <c r="GC10" s="68"/>
      <c r="GD10" s="68"/>
      <c r="GE10" s="68"/>
      <c r="GF10" s="68"/>
      <c r="GG10" s="68"/>
      <c r="GH10" s="68"/>
      <c r="GI10" s="68"/>
      <c r="GJ10" s="68"/>
      <c r="GK10" s="68"/>
      <c r="GL10" s="68"/>
      <c r="GM10" s="68"/>
      <c r="GN10" s="68"/>
      <c r="GO10" s="68"/>
      <c r="GP10" s="68"/>
      <c r="GQ10" s="68"/>
      <c r="GR10" s="68"/>
      <c r="GS10" s="68"/>
      <c r="GT10" s="68"/>
      <c r="GU10" s="68"/>
      <c r="GV10" s="68"/>
      <c r="GW10" s="68"/>
      <c r="GX10" s="68"/>
      <c r="GY10" s="68"/>
      <c r="GZ10" s="68"/>
      <c r="HA10" s="68"/>
      <c r="HB10" s="68"/>
      <c r="HC10" s="68"/>
      <c r="HD10" s="68"/>
      <c r="HE10" s="68"/>
      <c r="HF10" s="68"/>
      <c r="HG10" s="68"/>
      <c r="HH10" s="68"/>
      <c r="HI10" s="68"/>
      <c r="HJ10" s="68"/>
      <c r="HK10" s="68"/>
      <c r="HL10" s="68"/>
      <c r="HM10" s="68"/>
      <c r="HN10" s="68"/>
      <c r="HO10" s="68"/>
      <c r="HP10" s="68"/>
      <c r="HQ10" s="68"/>
      <c r="HR10" s="68"/>
      <c r="HS10" s="68"/>
      <c r="HT10" s="68"/>
      <c r="HU10" s="68"/>
      <c r="HV10" s="68"/>
      <c r="HW10" s="68"/>
      <c r="HX10" s="68"/>
      <c r="HY10" s="68"/>
      <c r="HZ10" s="68"/>
      <c r="IA10" s="68"/>
      <c r="IB10" s="68"/>
      <c r="IC10" s="68"/>
      <c r="ID10" s="68"/>
      <c r="IE10" s="68"/>
      <c r="IF10" s="68"/>
      <c r="IG10" s="68"/>
      <c r="IH10" s="68"/>
      <c r="II10" s="68"/>
      <c r="IJ10" s="68"/>
      <c r="IK10" s="68"/>
      <c r="IL10" s="68"/>
      <c r="IM10" s="68"/>
      <c r="IN10" s="68"/>
      <c r="IO10" s="68"/>
      <c r="IP10" s="68"/>
      <c r="IQ10" s="68"/>
      <c r="IR10" s="68"/>
      <c r="IS10" s="68"/>
      <c r="IT10" s="68"/>
      <c r="IU10" s="68"/>
      <c r="IV10" s="68"/>
      <c r="IW10" s="68"/>
      <c r="IX10" s="68"/>
      <c r="IY10" s="68"/>
      <c r="IZ10" s="68"/>
      <c r="JA10" s="68"/>
      <c r="JB10" s="68"/>
      <c r="JC10" s="68"/>
      <c r="JD10" s="68"/>
      <c r="JE10" s="68"/>
      <c r="JF10" s="68"/>
      <c r="JG10" s="68"/>
      <c r="JH10" s="68"/>
      <c r="JI10" s="68"/>
      <c r="JJ10" s="68"/>
      <c r="JK10" s="68"/>
      <c r="JL10" s="68"/>
      <c r="JM10" s="68"/>
      <c r="JN10" s="68"/>
      <c r="JO10" s="68"/>
      <c r="JP10" s="68"/>
      <c r="JQ10" s="68"/>
      <c r="JR10" s="68"/>
      <c r="JS10" s="68"/>
      <c r="JT10" s="68"/>
      <c r="JU10" s="68"/>
      <c r="JV10" s="68"/>
      <c r="JW10" s="68"/>
      <c r="JX10" s="68"/>
      <c r="JY10" s="68"/>
      <c r="JZ10" s="68"/>
      <c r="KA10" s="68"/>
      <c r="KB10" s="68"/>
      <c r="KC10" s="68"/>
      <c r="KD10" s="68"/>
      <c r="KE10" s="68"/>
      <c r="KF10" s="68"/>
      <c r="KG10" s="68"/>
      <c r="KH10" s="68"/>
      <c r="KI10" s="68"/>
      <c r="KJ10" s="68"/>
      <c r="KK10" s="68"/>
      <c r="KL10" s="68"/>
      <c r="KM10" s="68"/>
      <c r="KN10" s="68"/>
      <c r="KO10" s="68"/>
      <c r="KP10" s="68"/>
      <c r="KQ10" s="68"/>
      <c r="KR10" s="68"/>
      <c r="KS10" s="68"/>
      <c r="KT10" s="68"/>
      <c r="KU10" s="68"/>
      <c r="KV10" s="68"/>
      <c r="KW10" s="68"/>
      <c r="KX10" s="68"/>
      <c r="KY10" s="68"/>
      <c r="KZ10" s="68"/>
      <c r="LA10" s="68"/>
      <c r="LB10" s="68"/>
      <c r="LC10" s="68"/>
      <c r="LD10" s="68"/>
      <c r="LE10" s="68"/>
      <c r="LF10" s="68"/>
      <c r="LG10" s="68"/>
      <c r="LH10" s="68"/>
      <c r="LI10" s="68"/>
      <c r="LJ10" s="68"/>
      <c r="LK10" s="68"/>
      <c r="LL10" s="68"/>
      <c r="LM10" s="68"/>
      <c r="LN10" s="68"/>
      <c r="LO10" s="68"/>
      <c r="LP10" s="68"/>
      <c r="LQ10" s="68"/>
      <c r="LR10" s="68"/>
      <c r="LS10" s="68"/>
      <c r="LT10" s="68"/>
      <c r="LU10" s="68"/>
      <c r="LV10" s="68"/>
      <c r="LW10" s="68"/>
      <c r="LX10" s="68"/>
      <c r="LY10" s="68"/>
      <c r="LZ10" s="68"/>
      <c r="MA10" s="68"/>
      <c r="MB10" s="68"/>
      <c r="MC10" s="68"/>
      <c r="MD10" s="68"/>
      <c r="ME10" s="68"/>
      <c r="MF10" s="68"/>
      <c r="MG10" s="68"/>
      <c r="MH10" s="68"/>
      <c r="MI10" s="68"/>
      <c r="MJ10" s="68"/>
      <c r="MK10" s="68"/>
      <c r="ML10" s="68"/>
      <c r="MM10" s="68"/>
      <c r="MN10" s="68"/>
      <c r="MO10" s="68"/>
      <c r="MP10" s="68"/>
      <c r="MQ10" s="68"/>
      <c r="MR10" s="68"/>
      <c r="MS10" s="68"/>
      <c r="MT10" s="68"/>
      <c r="MU10" s="68"/>
      <c r="MV10" s="68"/>
      <c r="MW10" s="68"/>
      <c r="MX10" s="68"/>
      <c r="MY10" s="68"/>
      <c r="MZ10" s="68"/>
      <c r="NA10" s="68"/>
      <c r="NB10" s="68"/>
      <c r="NC10" s="68"/>
      <c r="ND10" s="68"/>
      <c r="NE10" s="68"/>
      <c r="NF10" s="68"/>
      <c r="NG10" s="68"/>
      <c r="NH10" s="68"/>
      <c r="NI10" s="68"/>
      <c r="NJ10" s="70">
        <f t="array" aca="1" ref="NJ10" ca="1">SUMPRODUCT((OFFSET($A10,0,31*($A$3-1)+1,1,31)&lt;&gt;"")*(IF(OFFSET($A10,0,31*($A$3-1)+1,1,31)=Database!$K$11,0.5,IF(OFFSET($A10,0,31*($A$3-1)+1,1,31)=Database!$K$12,0.5,1))*(OFFSET($A$4,0,31*($A$3-1)+1,1,31))))</f>
        <v>0</v>
      </c>
      <c r="NK10" s="72">
        <f t="array" aca="1" ref="NK10" ca="1">SUMPRODUCT((OFFSET($A10,0,1,1,372)&lt;&gt;"")*(IF(OFFSET($A10,0,1,1,372)=Database!$K$11,0.5,IF(OFFSET($A10,0,1,1,372)=Database!$K$12,0.5,1))*(OFFSET($A$3,0,1,1,372))))</f>
        <v>4</v>
      </c>
      <c r="NL10" s="63">
        <f t="shared" ca="1" si="6"/>
        <v>0</v>
      </c>
      <c r="NM10" s="63">
        <f t="shared" ca="1" si="6"/>
        <v>2</v>
      </c>
      <c r="NN10" s="63">
        <f t="shared" ca="1" si="6"/>
        <v>0</v>
      </c>
      <c r="NO10" s="63">
        <f t="shared" ca="1" si="6"/>
        <v>0</v>
      </c>
      <c r="NP10" s="63">
        <f t="shared" ca="1" si="6"/>
        <v>2</v>
      </c>
      <c r="NQ10" s="63">
        <f t="shared" ca="1" si="6"/>
        <v>0</v>
      </c>
      <c r="NR10" s="63">
        <f t="shared" ca="1" si="6"/>
        <v>0</v>
      </c>
      <c r="NS10" s="63">
        <f t="shared" ca="1" si="6"/>
        <v>0</v>
      </c>
      <c r="NT10" s="63">
        <f t="shared" ca="1" si="6"/>
        <v>0</v>
      </c>
      <c r="NU10" s="63">
        <f t="shared" ca="1" si="6"/>
        <v>0</v>
      </c>
    </row>
    <row r="11" spans="1:402" ht="18" customHeight="1" x14ac:dyDescent="0.25">
      <c r="A11" s="26" t="s">
        <v>34</v>
      </c>
      <c r="B11" s="68"/>
      <c r="C11" s="68"/>
      <c r="D11" s="68"/>
      <c r="E11" s="68"/>
      <c r="F11" s="68"/>
      <c r="G11" s="68"/>
      <c r="H11" s="68" t="s">
        <v>30</v>
      </c>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t="s">
        <v>28</v>
      </c>
      <c r="AN11" s="68" t="s">
        <v>28</v>
      </c>
      <c r="AO11" s="68"/>
      <c r="AP11" s="68"/>
      <c r="AQ11" s="68"/>
      <c r="AR11" s="68"/>
      <c r="AS11" s="68"/>
      <c r="AT11" s="68"/>
      <c r="AU11" s="68"/>
      <c r="AV11" s="68"/>
      <c r="AW11" s="68"/>
      <c r="AX11" s="68"/>
      <c r="AY11" s="68"/>
      <c r="AZ11" s="68"/>
      <c r="BA11" s="68"/>
      <c r="BB11" s="68"/>
      <c r="BC11" s="68"/>
      <c r="BD11" s="68"/>
      <c r="BE11" s="68"/>
      <c r="BF11" s="68"/>
      <c r="BG11" s="68"/>
      <c r="BH11" s="68"/>
      <c r="BI11" s="68"/>
      <c r="BJ11" s="68"/>
      <c r="BK11" s="68"/>
      <c r="BL11" s="68"/>
      <c r="BM11" s="68"/>
      <c r="BN11" s="68"/>
      <c r="BO11" s="68"/>
      <c r="BP11" s="68"/>
      <c r="BQ11" s="68"/>
      <c r="BR11" s="68"/>
      <c r="BS11" s="68"/>
      <c r="BT11" s="68"/>
      <c r="BU11" s="68"/>
      <c r="BV11" s="68"/>
      <c r="BW11" s="68"/>
      <c r="BX11" s="68"/>
      <c r="BY11" s="68"/>
      <c r="BZ11" s="68"/>
      <c r="CA11" s="68"/>
      <c r="CB11" s="68"/>
      <c r="CC11" s="68"/>
      <c r="CD11" s="68"/>
      <c r="CE11" s="68"/>
      <c r="CF11" s="68"/>
      <c r="CG11" s="68"/>
      <c r="CH11" s="68"/>
      <c r="CI11" s="68"/>
      <c r="CJ11" s="68"/>
      <c r="CK11" s="68"/>
      <c r="CL11" s="68"/>
      <c r="CM11" s="68"/>
      <c r="CN11" s="68"/>
      <c r="CO11" s="68"/>
      <c r="CP11" s="68"/>
      <c r="CQ11" s="68"/>
      <c r="CR11" s="68"/>
      <c r="CS11" s="68"/>
      <c r="CT11" s="68"/>
      <c r="CU11" s="68"/>
      <c r="CV11" s="68"/>
      <c r="CW11" s="68"/>
      <c r="CX11" s="68"/>
      <c r="CY11" s="68"/>
      <c r="CZ11" s="68"/>
      <c r="DA11" s="68"/>
      <c r="DB11" s="68"/>
      <c r="DC11" s="68"/>
      <c r="DD11" s="68"/>
      <c r="DE11" s="68"/>
      <c r="DF11" s="68"/>
      <c r="DG11" s="68"/>
      <c r="DH11" s="68"/>
      <c r="DI11" s="68"/>
      <c r="DJ11" s="68"/>
      <c r="DK11" s="68"/>
      <c r="DL11" s="68"/>
      <c r="DM11" s="68"/>
      <c r="DN11" s="68"/>
      <c r="DO11" s="68"/>
      <c r="DP11" s="68"/>
      <c r="DQ11" s="68"/>
      <c r="DR11" s="68"/>
      <c r="DS11" s="68"/>
      <c r="DT11" s="68"/>
      <c r="DU11" s="68"/>
      <c r="DV11" s="68"/>
      <c r="DW11" s="68"/>
      <c r="DX11" s="68"/>
      <c r="DY11" s="68"/>
      <c r="DZ11" s="68"/>
      <c r="EA11" s="68"/>
      <c r="EB11" s="68"/>
      <c r="EC11" s="68"/>
      <c r="ED11" s="68"/>
      <c r="EE11" s="68"/>
      <c r="EF11" s="68"/>
      <c r="EG11" s="68"/>
      <c r="EH11" s="68"/>
      <c r="EI11" s="68"/>
      <c r="EJ11" s="68"/>
      <c r="EK11" s="68"/>
      <c r="EL11" s="68"/>
      <c r="EM11" s="68"/>
      <c r="EN11" s="68"/>
      <c r="EO11" s="68"/>
      <c r="EP11" s="68"/>
      <c r="EQ11" s="68"/>
      <c r="ER11" s="68"/>
      <c r="ES11" s="68"/>
      <c r="ET11" s="68"/>
      <c r="EU11" s="68"/>
      <c r="EV11" s="68"/>
      <c r="EW11" s="68"/>
      <c r="EX11" s="68"/>
      <c r="EY11" s="68"/>
      <c r="EZ11" s="68"/>
      <c r="FA11" s="68"/>
      <c r="FB11" s="68"/>
      <c r="FC11" s="68"/>
      <c r="FD11" s="68"/>
      <c r="FE11" s="68"/>
      <c r="FF11" s="68"/>
      <c r="FG11" s="68"/>
      <c r="FH11" s="68"/>
      <c r="FI11" s="68"/>
      <c r="FJ11" s="68"/>
      <c r="FK11" s="68"/>
      <c r="FL11" s="68"/>
      <c r="FM11" s="68"/>
      <c r="FN11" s="68"/>
      <c r="FO11" s="68"/>
      <c r="FP11" s="68"/>
      <c r="FQ11" s="68"/>
      <c r="FR11" s="68"/>
      <c r="FS11" s="68"/>
      <c r="FT11" s="68"/>
      <c r="FU11" s="68"/>
      <c r="FV11" s="68"/>
      <c r="FW11" s="68"/>
      <c r="FX11" s="68"/>
      <c r="FY11" s="68"/>
      <c r="FZ11" s="68"/>
      <c r="GA11" s="68"/>
      <c r="GB11" s="68"/>
      <c r="GC11" s="68"/>
      <c r="GD11" s="68"/>
      <c r="GE11" s="68"/>
      <c r="GF11" s="68"/>
      <c r="GG11" s="68"/>
      <c r="GH11" s="68"/>
      <c r="GI11" s="68"/>
      <c r="GJ11" s="68"/>
      <c r="GK11" s="68"/>
      <c r="GL11" s="68"/>
      <c r="GM11" s="68"/>
      <c r="GN11" s="68"/>
      <c r="GO11" s="68"/>
      <c r="GP11" s="68"/>
      <c r="GQ11" s="68"/>
      <c r="GR11" s="68"/>
      <c r="GS11" s="68"/>
      <c r="GT11" s="68"/>
      <c r="GU11" s="68"/>
      <c r="GV11" s="68"/>
      <c r="GW11" s="68"/>
      <c r="GX11" s="68"/>
      <c r="GY11" s="68"/>
      <c r="GZ11" s="68"/>
      <c r="HA11" s="68"/>
      <c r="HB11" s="68"/>
      <c r="HC11" s="68"/>
      <c r="HD11" s="68"/>
      <c r="HE11" s="68"/>
      <c r="HF11" s="68"/>
      <c r="HG11" s="68"/>
      <c r="HH11" s="68"/>
      <c r="HI11" s="68"/>
      <c r="HJ11" s="68"/>
      <c r="HK11" s="68"/>
      <c r="HL11" s="68"/>
      <c r="HM11" s="68"/>
      <c r="HN11" s="68"/>
      <c r="HO11" s="68"/>
      <c r="HP11" s="68"/>
      <c r="HQ11" s="68"/>
      <c r="HR11" s="68"/>
      <c r="HS11" s="68"/>
      <c r="HT11" s="68"/>
      <c r="HU11" s="68"/>
      <c r="HV11" s="68"/>
      <c r="HW11" s="68"/>
      <c r="HX11" s="68"/>
      <c r="HY11" s="68"/>
      <c r="HZ11" s="68"/>
      <c r="IA11" s="68"/>
      <c r="IB11" s="68"/>
      <c r="IC11" s="68"/>
      <c r="ID11" s="68"/>
      <c r="IE11" s="68"/>
      <c r="IF11" s="68"/>
      <c r="IG11" s="68"/>
      <c r="IH11" s="68"/>
      <c r="II11" s="68"/>
      <c r="IJ11" s="68"/>
      <c r="IK11" s="68"/>
      <c r="IL11" s="68"/>
      <c r="IM11" s="68"/>
      <c r="IN11" s="68"/>
      <c r="IO11" s="68"/>
      <c r="IP11" s="68"/>
      <c r="IQ11" s="68"/>
      <c r="IR11" s="68"/>
      <c r="IS11" s="68"/>
      <c r="IT11" s="68"/>
      <c r="IU11" s="68"/>
      <c r="IV11" s="68"/>
      <c r="IW11" s="68"/>
      <c r="IX11" s="68"/>
      <c r="IY11" s="68"/>
      <c r="IZ11" s="68"/>
      <c r="JA11" s="68"/>
      <c r="JB11" s="68"/>
      <c r="JC11" s="68"/>
      <c r="JD11" s="68"/>
      <c r="JE11" s="68"/>
      <c r="JF11" s="68"/>
      <c r="JG11" s="68"/>
      <c r="JH11" s="68"/>
      <c r="JI11" s="68"/>
      <c r="JJ11" s="68"/>
      <c r="JK11" s="68"/>
      <c r="JL11" s="68"/>
      <c r="JM11" s="68"/>
      <c r="JN11" s="68"/>
      <c r="JO11" s="68"/>
      <c r="JP11" s="68"/>
      <c r="JQ11" s="68"/>
      <c r="JR11" s="68"/>
      <c r="JS11" s="68"/>
      <c r="JT11" s="68"/>
      <c r="JU11" s="68"/>
      <c r="JV11" s="68"/>
      <c r="JW11" s="68"/>
      <c r="JX11" s="68"/>
      <c r="JY11" s="68"/>
      <c r="JZ11" s="68"/>
      <c r="KA11" s="68"/>
      <c r="KB11" s="68"/>
      <c r="KC11" s="68"/>
      <c r="KD11" s="68"/>
      <c r="KE11" s="68"/>
      <c r="KF11" s="68"/>
      <c r="KG11" s="68"/>
      <c r="KH11" s="68"/>
      <c r="KI11" s="68"/>
      <c r="KJ11" s="68"/>
      <c r="KK11" s="68"/>
      <c r="KL11" s="68"/>
      <c r="KM11" s="68"/>
      <c r="KN11" s="68"/>
      <c r="KO11" s="68"/>
      <c r="KP11" s="68"/>
      <c r="KQ11" s="68"/>
      <c r="KR11" s="68"/>
      <c r="KS11" s="68"/>
      <c r="KT11" s="68"/>
      <c r="KU11" s="68"/>
      <c r="KV11" s="68"/>
      <c r="KW11" s="68"/>
      <c r="KX11" s="68"/>
      <c r="KY11" s="68"/>
      <c r="KZ11" s="68"/>
      <c r="LA11" s="68"/>
      <c r="LB11" s="68"/>
      <c r="LC11" s="68"/>
      <c r="LD11" s="68"/>
      <c r="LE11" s="68"/>
      <c r="LF11" s="68"/>
      <c r="LG11" s="68"/>
      <c r="LH11" s="68"/>
      <c r="LI11" s="68"/>
      <c r="LJ11" s="68"/>
      <c r="LK11" s="68"/>
      <c r="LL11" s="68"/>
      <c r="LM11" s="68"/>
      <c r="LN11" s="68"/>
      <c r="LO11" s="68"/>
      <c r="LP11" s="68"/>
      <c r="LQ11" s="68"/>
      <c r="LR11" s="68"/>
      <c r="LS11" s="68"/>
      <c r="LT11" s="68"/>
      <c r="LU11" s="68"/>
      <c r="LV11" s="68"/>
      <c r="LW11" s="68"/>
      <c r="LX11" s="68"/>
      <c r="LY11" s="68"/>
      <c r="LZ11" s="68"/>
      <c r="MA11" s="68"/>
      <c r="MB11" s="68"/>
      <c r="MC11" s="68"/>
      <c r="MD11" s="68"/>
      <c r="ME11" s="68"/>
      <c r="MF11" s="68"/>
      <c r="MG11" s="68"/>
      <c r="MH11" s="68"/>
      <c r="MI11" s="68"/>
      <c r="MJ11" s="68"/>
      <c r="MK11" s="68"/>
      <c r="ML11" s="68"/>
      <c r="MM11" s="68"/>
      <c r="MN11" s="68"/>
      <c r="MO11" s="68"/>
      <c r="MP11" s="68"/>
      <c r="MQ11" s="68"/>
      <c r="MR11" s="68"/>
      <c r="MS11" s="68"/>
      <c r="MT11" s="68"/>
      <c r="MU11" s="68"/>
      <c r="MV11" s="68"/>
      <c r="MW11" s="68"/>
      <c r="MX11" s="68"/>
      <c r="MY11" s="68"/>
      <c r="MZ11" s="68"/>
      <c r="NA11" s="68"/>
      <c r="NB11" s="68"/>
      <c r="NC11" s="68"/>
      <c r="ND11" s="68"/>
      <c r="NE11" s="68"/>
      <c r="NF11" s="68"/>
      <c r="NG11" s="68"/>
      <c r="NH11" s="68"/>
      <c r="NI11" s="68"/>
      <c r="NJ11" s="70">
        <f t="array" aca="1" ref="NJ11" ca="1">SUMPRODUCT((OFFSET($A11,0,31*($A$3-1)+1,1,31)&lt;&gt;"")*(IF(OFFSET($A11,0,31*($A$3-1)+1,1,31)=Database!$K$11,0.5,IF(OFFSET($A11,0,31*($A$3-1)+1,1,31)=Database!$K$12,0.5,1))*(OFFSET($A$4,0,31*($A$3-1)+1,1,31))))</f>
        <v>1</v>
      </c>
      <c r="NK11" s="72">
        <f t="array" aca="1" ref="NK11" ca="1">SUMPRODUCT((OFFSET($A11,0,1,1,372)&lt;&gt;"")*(IF(OFFSET($A11,0,1,1,372)=Database!$K$11,0.5,IF(OFFSET($A11,0,1,1,372)=Database!$K$12,0.5,1))*(OFFSET($A$3,0,1,1,372))))</f>
        <v>3</v>
      </c>
      <c r="NL11" s="63">
        <f t="shared" ca="1" si="6"/>
        <v>2</v>
      </c>
      <c r="NM11" s="63">
        <f t="shared" ca="1" si="6"/>
        <v>0</v>
      </c>
      <c r="NN11" s="63">
        <f t="shared" ca="1" si="6"/>
        <v>0</v>
      </c>
      <c r="NO11" s="63">
        <f t="shared" ca="1" si="6"/>
        <v>0</v>
      </c>
      <c r="NP11" s="63">
        <f t="shared" ca="1" si="6"/>
        <v>1</v>
      </c>
      <c r="NQ11" s="63">
        <f t="shared" ca="1" si="6"/>
        <v>0</v>
      </c>
      <c r="NR11" s="63">
        <f t="shared" ca="1" si="6"/>
        <v>0</v>
      </c>
      <c r="NS11" s="63">
        <f t="shared" ca="1" si="6"/>
        <v>0</v>
      </c>
      <c r="NT11" s="63">
        <f t="shared" ca="1" si="6"/>
        <v>0</v>
      </c>
      <c r="NU11" s="63">
        <f t="shared" ca="1" si="6"/>
        <v>0</v>
      </c>
    </row>
    <row r="12" spans="1:402" ht="18" customHeight="1" x14ac:dyDescent="0.25">
      <c r="A12" s="26" t="s">
        <v>35</v>
      </c>
      <c r="B12" s="68"/>
      <c r="C12" s="68"/>
      <c r="D12" s="68"/>
      <c r="E12" s="68"/>
      <c r="F12" s="68"/>
      <c r="G12" s="68"/>
      <c r="H12" s="68"/>
      <c r="I12" s="68"/>
      <c r="J12" s="68"/>
      <c r="K12" s="68"/>
      <c r="L12" s="68"/>
      <c r="M12" s="68"/>
      <c r="N12" s="68"/>
      <c r="O12" s="68"/>
      <c r="P12" s="68"/>
      <c r="Q12" s="68"/>
      <c r="R12" s="68"/>
      <c r="S12" s="68"/>
      <c r="T12" s="68" t="s">
        <v>54</v>
      </c>
      <c r="U12" s="68"/>
      <c r="V12" s="68"/>
      <c r="W12" s="68"/>
      <c r="X12" s="68"/>
      <c r="Y12" s="68"/>
      <c r="Z12" s="68"/>
      <c r="AA12" s="68"/>
      <c r="AB12" s="68"/>
      <c r="AC12" s="68"/>
      <c r="AD12" s="68"/>
      <c r="AE12" s="68"/>
      <c r="AF12" s="68"/>
      <c r="AG12" s="68"/>
      <c r="AH12" s="68"/>
      <c r="AI12" s="68"/>
      <c r="AJ12" s="68"/>
      <c r="AK12" s="68"/>
      <c r="AL12" s="68"/>
      <c r="AM12" s="68"/>
      <c r="AN12" s="68"/>
      <c r="AO12" s="68"/>
      <c r="AP12" s="68"/>
      <c r="AQ12" s="68"/>
      <c r="AR12" s="68"/>
      <c r="AS12" s="68"/>
      <c r="AT12" s="68"/>
      <c r="AU12" s="68"/>
      <c r="AV12" s="68"/>
      <c r="AW12" s="68"/>
      <c r="AX12" s="68"/>
      <c r="AY12" s="68"/>
      <c r="AZ12" s="68"/>
      <c r="BA12" s="68"/>
      <c r="BB12" s="68"/>
      <c r="BC12" s="68"/>
      <c r="BD12" s="68"/>
      <c r="BE12" s="68"/>
      <c r="BF12" s="68"/>
      <c r="BG12" s="68"/>
      <c r="BH12" s="68"/>
      <c r="BI12" s="68"/>
      <c r="BJ12" s="68"/>
      <c r="BK12" s="68"/>
      <c r="BL12" s="68"/>
      <c r="BM12" s="68"/>
      <c r="BN12" s="68"/>
      <c r="BO12" s="68"/>
      <c r="BP12" s="68"/>
      <c r="BQ12" s="68"/>
      <c r="BR12" s="68"/>
      <c r="BS12" s="68"/>
      <c r="BT12" s="68"/>
      <c r="BU12" s="68" t="s">
        <v>28</v>
      </c>
      <c r="BV12" s="68"/>
      <c r="BW12" s="68"/>
      <c r="BX12" s="68"/>
      <c r="BY12" s="68"/>
      <c r="BZ12" s="68"/>
      <c r="CA12" s="68"/>
      <c r="CB12" s="68"/>
      <c r="CC12" s="68"/>
      <c r="CD12" s="68"/>
      <c r="CE12" s="68"/>
      <c r="CF12" s="68"/>
      <c r="CG12" s="68"/>
      <c r="CH12" s="68"/>
      <c r="CI12" s="68" t="s">
        <v>81</v>
      </c>
      <c r="CJ12" s="68"/>
      <c r="CK12" s="68"/>
      <c r="CL12" s="68"/>
      <c r="CM12" s="68"/>
      <c r="CN12" s="68"/>
      <c r="CO12" s="68"/>
      <c r="CP12" s="68"/>
      <c r="CQ12" s="68"/>
      <c r="CR12" s="68"/>
      <c r="CS12" s="68"/>
      <c r="CT12" s="68"/>
      <c r="CU12" s="68"/>
      <c r="CV12" s="68"/>
      <c r="CW12" s="68"/>
      <c r="CX12" s="68"/>
      <c r="CY12" s="68"/>
      <c r="CZ12" s="68"/>
      <c r="DA12" s="68"/>
      <c r="DB12" s="68"/>
      <c r="DC12" s="68"/>
      <c r="DD12" s="68"/>
      <c r="DE12" s="68"/>
      <c r="DF12" s="68"/>
      <c r="DG12" s="68"/>
      <c r="DH12" s="68"/>
      <c r="DI12" s="68"/>
      <c r="DJ12" s="68"/>
      <c r="DK12" s="68"/>
      <c r="DL12" s="68"/>
      <c r="DM12" s="68"/>
      <c r="DN12" s="68"/>
      <c r="DO12" s="68"/>
      <c r="DP12" s="68"/>
      <c r="DQ12" s="68"/>
      <c r="DR12" s="68"/>
      <c r="DS12" s="68"/>
      <c r="DT12" s="68"/>
      <c r="DU12" s="68"/>
      <c r="DV12" s="68"/>
      <c r="DW12" s="68"/>
      <c r="DX12" s="68"/>
      <c r="DY12" s="68"/>
      <c r="DZ12" s="68"/>
      <c r="EA12" s="68"/>
      <c r="EB12" s="68"/>
      <c r="EC12" s="68"/>
      <c r="ED12" s="68"/>
      <c r="EE12" s="68"/>
      <c r="EF12" s="68"/>
      <c r="EG12" s="68"/>
      <c r="EH12" s="68"/>
      <c r="EI12" s="68"/>
      <c r="EJ12" s="68"/>
      <c r="EK12" s="68"/>
      <c r="EL12" s="68"/>
      <c r="EM12" s="68"/>
      <c r="EN12" s="68"/>
      <c r="EO12" s="68"/>
      <c r="EP12" s="68"/>
      <c r="EQ12" s="68"/>
      <c r="ER12" s="68"/>
      <c r="ES12" s="68"/>
      <c r="ET12" s="68"/>
      <c r="EU12" s="68"/>
      <c r="EV12" s="68"/>
      <c r="EW12" s="68"/>
      <c r="EX12" s="68"/>
      <c r="EY12" s="68"/>
      <c r="EZ12" s="68"/>
      <c r="FA12" s="68"/>
      <c r="FB12" s="68"/>
      <c r="FC12" s="68"/>
      <c r="FD12" s="68"/>
      <c r="FE12" s="68"/>
      <c r="FF12" s="68"/>
      <c r="FG12" s="68"/>
      <c r="FH12" s="68"/>
      <c r="FI12" s="68"/>
      <c r="FJ12" s="68"/>
      <c r="FK12" s="68"/>
      <c r="FL12" s="68"/>
      <c r="FM12" s="68"/>
      <c r="FN12" s="68"/>
      <c r="FO12" s="68"/>
      <c r="FP12" s="68"/>
      <c r="FQ12" s="68"/>
      <c r="FR12" s="68"/>
      <c r="FS12" s="68"/>
      <c r="FT12" s="68"/>
      <c r="FU12" s="68"/>
      <c r="FV12" s="68"/>
      <c r="FW12" s="68"/>
      <c r="FX12" s="68"/>
      <c r="FY12" s="68"/>
      <c r="FZ12" s="68"/>
      <c r="GA12" s="68"/>
      <c r="GB12" s="68"/>
      <c r="GC12" s="68"/>
      <c r="GD12" s="68"/>
      <c r="GE12" s="68"/>
      <c r="GF12" s="68"/>
      <c r="GG12" s="68"/>
      <c r="GH12" s="68"/>
      <c r="GI12" s="68"/>
      <c r="GJ12" s="68"/>
      <c r="GK12" s="68"/>
      <c r="GL12" s="68"/>
      <c r="GM12" s="68"/>
      <c r="GN12" s="68"/>
      <c r="GO12" s="68"/>
      <c r="GP12" s="68"/>
      <c r="GQ12" s="68"/>
      <c r="GR12" s="68"/>
      <c r="GS12" s="68"/>
      <c r="GT12" s="68"/>
      <c r="GU12" s="68"/>
      <c r="GV12" s="68"/>
      <c r="GW12" s="68"/>
      <c r="GX12" s="68"/>
      <c r="GY12" s="68"/>
      <c r="GZ12" s="68"/>
      <c r="HA12" s="68"/>
      <c r="HB12" s="68"/>
      <c r="HC12" s="68"/>
      <c r="HD12" s="68"/>
      <c r="HE12" s="68"/>
      <c r="HF12" s="68"/>
      <c r="HG12" s="68"/>
      <c r="HH12" s="68"/>
      <c r="HI12" s="68"/>
      <c r="HJ12" s="68"/>
      <c r="HK12" s="68"/>
      <c r="HL12" s="68"/>
      <c r="HM12" s="68"/>
      <c r="HN12" s="68"/>
      <c r="HO12" s="68"/>
      <c r="HP12" s="68"/>
      <c r="HQ12" s="68"/>
      <c r="HR12" s="68"/>
      <c r="HS12" s="68"/>
      <c r="HT12" s="68"/>
      <c r="HU12" s="68"/>
      <c r="HV12" s="68"/>
      <c r="HW12" s="68"/>
      <c r="HX12" s="68"/>
      <c r="HY12" s="68"/>
      <c r="HZ12" s="68"/>
      <c r="IA12" s="68"/>
      <c r="IB12" s="68"/>
      <c r="IC12" s="68"/>
      <c r="ID12" s="68"/>
      <c r="IE12" s="68"/>
      <c r="IF12" s="68"/>
      <c r="IG12" s="68"/>
      <c r="IH12" s="68"/>
      <c r="II12" s="68"/>
      <c r="IJ12" s="68"/>
      <c r="IK12" s="68"/>
      <c r="IL12" s="68"/>
      <c r="IM12" s="68"/>
      <c r="IN12" s="68"/>
      <c r="IO12" s="68"/>
      <c r="IP12" s="68"/>
      <c r="IQ12" s="68"/>
      <c r="IR12" s="68"/>
      <c r="IS12" s="68"/>
      <c r="IT12" s="68"/>
      <c r="IU12" s="68"/>
      <c r="IV12" s="68"/>
      <c r="IW12" s="68"/>
      <c r="IX12" s="68"/>
      <c r="IY12" s="68"/>
      <c r="IZ12" s="68"/>
      <c r="JA12" s="68"/>
      <c r="JB12" s="68"/>
      <c r="JC12" s="68"/>
      <c r="JD12" s="68"/>
      <c r="JE12" s="68"/>
      <c r="JF12" s="68"/>
      <c r="JG12" s="68"/>
      <c r="JH12" s="68"/>
      <c r="JI12" s="68"/>
      <c r="JJ12" s="68"/>
      <c r="JK12" s="68"/>
      <c r="JL12" s="68"/>
      <c r="JM12" s="68"/>
      <c r="JN12" s="68"/>
      <c r="JO12" s="68"/>
      <c r="JP12" s="68"/>
      <c r="JQ12" s="68"/>
      <c r="JR12" s="68"/>
      <c r="JS12" s="68"/>
      <c r="JT12" s="68"/>
      <c r="JU12" s="68"/>
      <c r="JV12" s="68"/>
      <c r="JW12" s="68"/>
      <c r="JX12" s="68"/>
      <c r="JY12" s="68"/>
      <c r="JZ12" s="68"/>
      <c r="KA12" s="68"/>
      <c r="KB12" s="68"/>
      <c r="KC12" s="68"/>
      <c r="KD12" s="68"/>
      <c r="KE12" s="68"/>
      <c r="KF12" s="68"/>
      <c r="KG12" s="68"/>
      <c r="KH12" s="68"/>
      <c r="KI12" s="68"/>
      <c r="KJ12" s="68"/>
      <c r="KK12" s="68"/>
      <c r="KL12" s="68"/>
      <c r="KM12" s="68"/>
      <c r="KN12" s="68"/>
      <c r="KO12" s="68"/>
      <c r="KP12" s="68"/>
      <c r="KQ12" s="68"/>
      <c r="KR12" s="68"/>
      <c r="KS12" s="68"/>
      <c r="KT12" s="68"/>
      <c r="KU12" s="68"/>
      <c r="KV12" s="68"/>
      <c r="KW12" s="68"/>
      <c r="KX12" s="68"/>
      <c r="KY12" s="68"/>
      <c r="KZ12" s="68"/>
      <c r="LA12" s="68"/>
      <c r="LB12" s="68"/>
      <c r="LC12" s="68"/>
      <c r="LD12" s="68"/>
      <c r="LE12" s="68"/>
      <c r="LF12" s="68"/>
      <c r="LG12" s="68"/>
      <c r="LH12" s="68"/>
      <c r="LI12" s="68"/>
      <c r="LJ12" s="68"/>
      <c r="LK12" s="68"/>
      <c r="LL12" s="68"/>
      <c r="LM12" s="68"/>
      <c r="LN12" s="68"/>
      <c r="LO12" s="68"/>
      <c r="LP12" s="68"/>
      <c r="LQ12" s="68"/>
      <c r="LR12" s="68"/>
      <c r="LS12" s="68"/>
      <c r="LT12" s="68"/>
      <c r="LU12" s="68"/>
      <c r="LV12" s="68"/>
      <c r="LW12" s="68"/>
      <c r="LX12" s="68"/>
      <c r="LY12" s="68"/>
      <c r="LZ12" s="68"/>
      <c r="MA12" s="68"/>
      <c r="MB12" s="68"/>
      <c r="MC12" s="68"/>
      <c r="MD12" s="68"/>
      <c r="ME12" s="68"/>
      <c r="MF12" s="68"/>
      <c r="MG12" s="68"/>
      <c r="MH12" s="68"/>
      <c r="MI12" s="68"/>
      <c r="MJ12" s="68"/>
      <c r="MK12" s="68"/>
      <c r="ML12" s="68"/>
      <c r="MM12" s="68"/>
      <c r="MN12" s="68"/>
      <c r="MO12" s="68"/>
      <c r="MP12" s="68"/>
      <c r="MQ12" s="68"/>
      <c r="MR12" s="68"/>
      <c r="MS12" s="68"/>
      <c r="MT12" s="68"/>
      <c r="MU12" s="68"/>
      <c r="MV12" s="68"/>
      <c r="MW12" s="68"/>
      <c r="MX12" s="68"/>
      <c r="MY12" s="68"/>
      <c r="MZ12" s="68"/>
      <c r="NA12" s="68"/>
      <c r="NB12" s="68"/>
      <c r="NC12" s="68"/>
      <c r="ND12" s="68"/>
      <c r="NE12" s="68"/>
      <c r="NF12" s="68"/>
      <c r="NG12" s="68"/>
      <c r="NH12" s="68"/>
      <c r="NI12" s="68"/>
      <c r="NJ12" s="70">
        <f t="array" aca="1" ref="NJ12" ca="1">SUMPRODUCT((OFFSET($A12,0,31*($A$3-1)+1,1,31)&lt;&gt;"")*(IF(OFFSET($A12,0,31*($A$3-1)+1,1,31)=Database!$K$11,0.5,IF(OFFSET($A12,0,31*($A$3-1)+1,1,31)=Database!$K$12,0.5,1))*(OFFSET($A$4,0,31*($A$3-1)+1,1,31))))</f>
        <v>1</v>
      </c>
      <c r="NK12" s="72">
        <f t="array" aca="1" ref="NK12" ca="1">SUMPRODUCT((OFFSET($A12,0,1,1,372)&lt;&gt;"")*(IF(OFFSET($A12,0,1,1,372)=Database!$K$11,0.5,IF(OFFSET($A12,0,1,1,372)=Database!$K$12,0.5,1))*(OFFSET($A$3,0,1,1,372))))</f>
        <v>3</v>
      </c>
      <c r="NL12" s="63">
        <f t="shared" ca="1" si="6"/>
        <v>1</v>
      </c>
      <c r="NM12" s="63">
        <f t="shared" ca="1" si="6"/>
        <v>1</v>
      </c>
      <c r="NN12" s="63">
        <f t="shared" ca="1" si="6"/>
        <v>0</v>
      </c>
      <c r="NO12" s="63">
        <f t="shared" ca="1" si="6"/>
        <v>1</v>
      </c>
      <c r="NP12" s="63">
        <f t="shared" ca="1" si="6"/>
        <v>0</v>
      </c>
      <c r="NQ12" s="63">
        <f t="shared" ca="1" si="6"/>
        <v>0</v>
      </c>
      <c r="NR12" s="63">
        <f t="shared" ca="1" si="6"/>
        <v>0</v>
      </c>
      <c r="NS12" s="63">
        <f t="shared" ca="1" si="6"/>
        <v>0</v>
      </c>
      <c r="NT12" s="63">
        <f t="shared" ca="1" si="6"/>
        <v>0</v>
      </c>
      <c r="NU12" s="63">
        <f t="shared" ca="1" si="6"/>
        <v>0</v>
      </c>
    </row>
    <row r="13" spans="1:402" ht="18" customHeight="1" x14ac:dyDescent="0.25">
      <c r="A13" s="26" t="s">
        <v>36</v>
      </c>
      <c r="B13" s="68"/>
      <c r="C13" s="68"/>
      <c r="D13" s="68"/>
      <c r="E13" s="68"/>
      <c r="F13" s="68"/>
      <c r="G13" s="68"/>
      <c r="H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c r="AK13" s="68"/>
      <c r="AL13" s="68"/>
      <c r="AM13" s="68"/>
      <c r="AN13" s="68"/>
      <c r="AO13" s="68"/>
      <c r="AP13" s="68"/>
      <c r="AQ13" s="68"/>
      <c r="AR13" s="68"/>
      <c r="AS13" s="68"/>
      <c r="AT13" s="68"/>
      <c r="AU13" s="68"/>
      <c r="AV13" s="68"/>
      <c r="AW13" s="68"/>
      <c r="AX13" s="68"/>
      <c r="AY13" s="68"/>
      <c r="AZ13" s="68"/>
      <c r="BA13" s="68"/>
      <c r="BB13" s="68"/>
      <c r="BC13" s="68"/>
      <c r="BD13" s="68"/>
      <c r="BE13" s="68"/>
      <c r="BF13" s="68"/>
      <c r="BG13" s="68"/>
      <c r="BH13" s="68"/>
      <c r="BI13" s="68"/>
      <c r="BJ13" s="68"/>
      <c r="BK13" s="68"/>
      <c r="BL13" s="68"/>
      <c r="BM13" s="68"/>
      <c r="BN13" s="68"/>
      <c r="BO13" s="68"/>
      <c r="BP13" s="68"/>
      <c r="BQ13" s="68"/>
      <c r="BR13" s="68"/>
      <c r="BS13" s="68"/>
      <c r="BT13" s="68"/>
      <c r="BU13" s="68"/>
      <c r="BV13" s="68"/>
      <c r="BW13" s="68"/>
      <c r="BX13" s="68"/>
      <c r="BY13" s="68"/>
      <c r="BZ13" s="68"/>
      <c r="CA13" s="68"/>
      <c r="CB13" s="68"/>
      <c r="CC13" s="68"/>
      <c r="CD13" s="68"/>
      <c r="CE13" s="68"/>
      <c r="CF13" s="68"/>
      <c r="CG13" s="68"/>
      <c r="CH13" s="68"/>
      <c r="CI13" s="68"/>
      <c r="CJ13" s="68"/>
      <c r="CK13" s="68"/>
      <c r="CL13" s="68"/>
      <c r="CM13" s="68"/>
      <c r="CN13" s="68"/>
      <c r="CO13" s="68"/>
      <c r="CP13" s="68"/>
      <c r="CQ13" s="68"/>
      <c r="CR13" s="68"/>
      <c r="CS13" s="68"/>
      <c r="CT13" s="68"/>
      <c r="CU13" s="68"/>
      <c r="CV13" s="68"/>
      <c r="CW13" s="68"/>
      <c r="CX13" s="68"/>
      <c r="CY13" s="68"/>
      <c r="CZ13" s="68"/>
      <c r="DA13" s="68"/>
      <c r="DB13" s="68"/>
      <c r="DC13" s="68"/>
      <c r="DD13" s="68"/>
      <c r="DE13" s="68"/>
      <c r="DF13" s="68"/>
      <c r="DG13" s="68"/>
      <c r="DH13" s="68"/>
      <c r="DI13" s="68"/>
      <c r="DJ13" s="68"/>
      <c r="DK13" s="68"/>
      <c r="DL13" s="68"/>
      <c r="DM13" s="68"/>
      <c r="DN13" s="68"/>
      <c r="DO13" s="68"/>
      <c r="DP13" s="68"/>
      <c r="DQ13" s="68"/>
      <c r="DR13" s="68"/>
      <c r="DS13" s="68"/>
      <c r="DT13" s="68"/>
      <c r="DU13" s="68"/>
      <c r="DV13" s="68"/>
      <c r="DW13" s="68"/>
      <c r="DX13" s="68"/>
      <c r="DY13" s="68"/>
      <c r="DZ13" s="68"/>
      <c r="EA13" s="68"/>
      <c r="EB13" s="68"/>
      <c r="EC13" s="68"/>
      <c r="ED13" s="68"/>
      <c r="EE13" s="68"/>
      <c r="EF13" s="68"/>
      <c r="EG13" s="68"/>
      <c r="EH13" s="68"/>
      <c r="EI13" s="68"/>
      <c r="EJ13" s="68"/>
      <c r="EK13" s="68"/>
      <c r="EL13" s="68"/>
      <c r="EM13" s="68"/>
      <c r="EN13" s="68"/>
      <c r="EO13" s="68"/>
      <c r="EP13" s="68"/>
      <c r="EQ13" s="68"/>
      <c r="ER13" s="68"/>
      <c r="ES13" s="68"/>
      <c r="ET13" s="68"/>
      <c r="EU13" s="68"/>
      <c r="EV13" s="68"/>
      <c r="EW13" s="68"/>
      <c r="EX13" s="68"/>
      <c r="EY13" s="68"/>
      <c r="EZ13" s="68"/>
      <c r="FA13" s="68"/>
      <c r="FB13" s="68"/>
      <c r="FC13" s="68"/>
      <c r="FD13" s="68"/>
      <c r="FE13" s="68"/>
      <c r="FF13" s="68"/>
      <c r="FG13" s="68"/>
      <c r="FH13" s="68"/>
      <c r="FI13" s="68"/>
      <c r="FJ13" s="68"/>
      <c r="FK13" s="68"/>
      <c r="FL13" s="68"/>
      <c r="FM13" s="68"/>
      <c r="FN13" s="68"/>
      <c r="FO13" s="68"/>
      <c r="FP13" s="68"/>
      <c r="FQ13" s="68"/>
      <c r="FR13" s="68"/>
      <c r="FS13" s="68"/>
      <c r="FT13" s="68"/>
      <c r="FU13" s="68"/>
      <c r="FV13" s="68"/>
      <c r="FW13" s="68"/>
      <c r="FX13" s="68"/>
      <c r="FY13" s="68"/>
      <c r="FZ13" s="68"/>
      <c r="GA13" s="68"/>
      <c r="GB13" s="68"/>
      <c r="GC13" s="68"/>
      <c r="GD13" s="68"/>
      <c r="GE13" s="68"/>
      <c r="GF13" s="68"/>
      <c r="GG13" s="68"/>
      <c r="GH13" s="68"/>
      <c r="GI13" s="68"/>
      <c r="GJ13" s="68"/>
      <c r="GK13" s="68"/>
      <c r="GL13" s="68"/>
      <c r="GM13" s="68"/>
      <c r="GN13" s="68"/>
      <c r="GO13" s="68"/>
      <c r="GP13" s="68"/>
      <c r="GQ13" s="68"/>
      <c r="GR13" s="68"/>
      <c r="GS13" s="68"/>
      <c r="GT13" s="68"/>
      <c r="GU13" s="68"/>
      <c r="GV13" s="68"/>
      <c r="GW13" s="68"/>
      <c r="GX13" s="68"/>
      <c r="GY13" s="68"/>
      <c r="GZ13" s="68"/>
      <c r="HA13" s="68"/>
      <c r="HB13" s="68"/>
      <c r="HC13" s="68"/>
      <c r="HD13" s="68"/>
      <c r="HE13" s="68"/>
      <c r="HF13" s="68"/>
      <c r="HG13" s="68"/>
      <c r="HH13" s="68"/>
      <c r="HI13" s="68"/>
      <c r="HJ13" s="68"/>
      <c r="HK13" s="68"/>
      <c r="HL13" s="68"/>
      <c r="HM13" s="68"/>
      <c r="HN13" s="68"/>
      <c r="HO13" s="68"/>
      <c r="HP13" s="68"/>
      <c r="HQ13" s="68"/>
      <c r="HR13" s="68"/>
      <c r="HS13" s="68"/>
      <c r="HT13" s="68"/>
      <c r="HU13" s="68"/>
      <c r="HV13" s="68"/>
      <c r="HW13" s="68"/>
      <c r="HX13" s="68"/>
      <c r="HY13" s="68"/>
      <c r="HZ13" s="68"/>
      <c r="IA13" s="68"/>
      <c r="IB13" s="68"/>
      <c r="IC13" s="68"/>
      <c r="ID13" s="68"/>
      <c r="IE13" s="68"/>
      <c r="IF13" s="68"/>
      <c r="IG13" s="68"/>
      <c r="IH13" s="68"/>
      <c r="II13" s="68"/>
      <c r="IJ13" s="68"/>
      <c r="IK13" s="68"/>
      <c r="IL13" s="68"/>
      <c r="IM13" s="68"/>
      <c r="IN13" s="68"/>
      <c r="IO13" s="68"/>
      <c r="IP13" s="68"/>
      <c r="IQ13" s="68"/>
      <c r="IR13" s="68"/>
      <c r="IS13" s="68"/>
      <c r="IT13" s="68"/>
      <c r="IU13" s="68"/>
      <c r="IV13" s="68"/>
      <c r="IW13" s="68"/>
      <c r="IX13" s="68"/>
      <c r="IY13" s="68"/>
      <c r="IZ13" s="68"/>
      <c r="JA13" s="68"/>
      <c r="JB13" s="68"/>
      <c r="JC13" s="68"/>
      <c r="JD13" s="68"/>
      <c r="JE13" s="68"/>
      <c r="JF13" s="68"/>
      <c r="JG13" s="68"/>
      <c r="JH13" s="68"/>
      <c r="JI13" s="68"/>
      <c r="JJ13" s="68"/>
      <c r="JK13" s="68"/>
      <c r="JL13" s="68"/>
      <c r="JM13" s="68"/>
      <c r="JN13" s="68"/>
      <c r="JO13" s="68"/>
      <c r="JP13" s="68"/>
      <c r="JQ13" s="68"/>
      <c r="JR13" s="68"/>
      <c r="JS13" s="68"/>
      <c r="JT13" s="68"/>
      <c r="JU13" s="68"/>
      <c r="JV13" s="68"/>
      <c r="JW13" s="68"/>
      <c r="JX13" s="68"/>
      <c r="JY13" s="68"/>
      <c r="JZ13" s="68"/>
      <c r="KA13" s="68"/>
      <c r="KB13" s="68"/>
      <c r="KC13" s="68"/>
      <c r="KD13" s="68"/>
      <c r="KE13" s="68"/>
      <c r="KF13" s="68"/>
      <c r="KG13" s="68"/>
      <c r="KH13" s="68"/>
      <c r="KI13" s="68"/>
      <c r="KJ13" s="68"/>
      <c r="KK13" s="68"/>
      <c r="KL13" s="68"/>
      <c r="KM13" s="68"/>
      <c r="KN13" s="68"/>
      <c r="KO13" s="68"/>
      <c r="KP13" s="68"/>
      <c r="KQ13" s="68"/>
      <c r="KR13" s="68"/>
      <c r="KS13" s="68"/>
      <c r="KT13" s="68"/>
      <c r="KU13" s="68"/>
      <c r="KV13" s="68"/>
      <c r="KW13" s="68"/>
      <c r="KX13" s="68"/>
      <c r="KY13" s="68"/>
      <c r="KZ13" s="68"/>
      <c r="LA13" s="68"/>
      <c r="LB13" s="68"/>
      <c r="LC13" s="68"/>
      <c r="LD13" s="68"/>
      <c r="LE13" s="68"/>
      <c r="LF13" s="68"/>
      <c r="LG13" s="68"/>
      <c r="LH13" s="68"/>
      <c r="LI13" s="68"/>
      <c r="LJ13" s="68"/>
      <c r="LK13" s="68"/>
      <c r="LL13" s="68"/>
      <c r="LM13" s="68"/>
      <c r="LN13" s="68"/>
      <c r="LO13" s="68"/>
      <c r="LP13" s="68"/>
      <c r="LQ13" s="68"/>
      <c r="LR13" s="68"/>
      <c r="LS13" s="68"/>
      <c r="LT13" s="68"/>
      <c r="LU13" s="68"/>
      <c r="LV13" s="68"/>
      <c r="LW13" s="68"/>
      <c r="LX13" s="68"/>
      <c r="LY13" s="68"/>
      <c r="LZ13" s="68"/>
      <c r="MA13" s="68"/>
      <c r="MB13" s="68"/>
      <c r="MC13" s="68"/>
      <c r="MD13" s="68"/>
      <c r="ME13" s="68"/>
      <c r="MF13" s="68"/>
      <c r="MG13" s="68"/>
      <c r="MH13" s="68"/>
      <c r="MI13" s="68"/>
      <c r="MJ13" s="68"/>
      <c r="MK13" s="68"/>
      <c r="ML13" s="68"/>
      <c r="MM13" s="68"/>
      <c r="MN13" s="68"/>
      <c r="MO13" s="68"/>
      <c r="MP13" s="68"/>
      <c r="MQ13" s="68"/>
      <c r="MR13" s="68"/>
      <c r="MS13" s="68"/>
      <c r="MT13" s="68"/>
      <c r="MU13" s="68"/>
      <c r="MV13" s="68"/>
      <c r="MW13" s="68"/>
      <c r="MX13" s="68"/>
      <c r="MY13" s="68"/>
      <c r="MZ13" s="68"/>
      <c r="NA13" s="68"/>
      <c r="NB13" s="68"/>
      <c r="NC13" s="68"/>
      <c r="ND13" s="68"/>
      <c r="NE13" s="68"/>
      <c r="NF13" s="68"/>
      <c r="NG13" s="68"/>
      <c r="NH13" s="68"/>
      <c r="NI13" s="68"/>
      <c r="NJ13" s="70">
        <f t="array" aca="1" ref="NJ13" ca="1">SUMPRODUCT((OFFSET($A13,0,31*($A$3-1)+1,1,31)&lt;&gt;"")*(IF(OFFSET($A13,0,31*($A$3-1)+1,1,31)=Database!$K$11,0.5,IF(OFFSET($A13,0,31*($A$3-1)+1,1,31)=Database!$K$12,0.5,1))*(OFFSET($A$4,0,31*($A$3-1)+1,1,31))))</f>
        <v>0</v>
      </c>
      <c r="NK13" s="72">
        <f t="array" aca="1" ref="NK13" ca="1">SUMPRODUCT((OFFSET($A13,0,1,1,372)&lt;&gt;"")*(IF(OFFSET($A13,0,1,1,372)=Database!$K$11,0.5,IF(OFFSET($A13,0,1,1,372)=Database!$K$12,0.5,1))*(OFFSET($A$3,0,1,1,372))))</f>
        <v>0</v>
      </c>
      <c r="NL13" s="63">
        <f t="shared" ca="1" si="6"/>
        <v>0</v>
      </c>
      <c r="NM13" s="63">
        <f t="shared" ca="1" si="6"/>
        <v>0</v>
      </c>
      <c r="NN13" s="63">
        <f t="shared" ca="1" si="6"/>
        <v>0</v>
      </c>
      <c r="NO13" s="63">
        <f t="shared" ca="1" si="6"/>
        <v>0</v>
      </c>
      <c r="NP13" s="63">
        <f t="shared" ca="1" si="6"/>
        <v>0</v>
      </c>
      <c r="NQ13" s="63">
        <f t="shared" ca="1" si="6"/>
        <v>0</v>
      </c>
      <c r="NR13" s="63">
        <f t="shared" ca="1" si="6"/>
        <v>0</v>
      </c>
      <c r="NS13" s="63">
        <f t="shared" ca="1" si="6"/>
        <v>0</v>
      </c>
      <c r="NT13" s="63">
        <f t="shared" ca="1" si="6"/>
        <v>0</v>
      </c>
      <c r="NU13" s="63">
        <f t="shared" ca="1" si="6"/>
        <v>0</v>
      </c>
    </row>
    <row r="14" spans="1:402" ht="18" customHeight="1" x14ac:dyDescent="0.25">
      <c r="A14" s="26" t="s">
        <v>37</v>
      </c>
      <c r="B14" s="68"/>
      <c r="C14" s="68"/>
      <c r="D14" s="68"/>
      <c r="E14" s="68"/>
      <c r="F14" s="68"/>
      <c r="G14" s="68"/>
      <c r="H14" s="68"/>
      <c r="I14" s="68"/>
      <c r="J14" s="68"/>
      <c r="K14" s="68"/>
      <c r="L14" s="68"/>
      <c r="M14" s="68"/>
      <c r="N14" s="68" t="s">
        <v>30</v>
      </c>
      <c r="O14" s="68"/>
      <c r="P14" s="68"/>
      <c r="Q14" s="68"/>
      <c r="R14" s="68"/>
      <c r="S14" s="68"/>
      <c r="T14" s="68"/>
      <c r="U14" s="68"/>
      <c r="V14" s="68"/>
      <c r="W14" s="68"/>
      <c r="X14" s="68"/>
      <c r="Y14" s="68"/>
      <c r="Z14" s="68"/>
      <c r="AA14" s="68"/>
      <c r="AB14" s="68"/>
      <c r="AC14" s="68"/>
      <c r="AD14" s="68"/>
      <c r="AE14" s="68"/>
      <c r="AF14" s="68"/>
      <c r="AG14" s="68"/>
      <c r="AH14" s="68"/>
      <c r="AI14" s="68"/>
      <c r="AJ14" s="68"/>
      <c r="AK14" s="68"/>
      <c r="AL14" s="68"/>
      <c r="AM14" s="68"/>
      <c r="AN14" s="68"/>
      <c r="AO14" s="68"/>
      <c r="AP14" s="68"/>
      <c r="AQ14" s="68"/>
      <c r="AR14" s="68"/>
      <c r="AS14" s="68"/>
      <c r="AT14" s="68"/>
      <c r="AU14" s="68" t="s">
        <v>81</v>
      </c>
      <c r="AV14" s="68" t="s">
        <v>81</v>
      </c>
      <c r="AW14" s="68"/>
      <c r="AX14" s="68"/>
      <c r="AY14" s="68"/>
      <c r="AZ14" s="68"/>
      <c r="BA14" s="68"/>
      <c r="BB14" s="68"/>
      <c r="BC14" s="68"/>
      <c r="BD14" s="68"/>
      <c r="BE14" s="68"/>
      <c r="BF14" s="68"/>
      <c r="BG14" s="68"/>
      <c r="BH14" s="68"/>
      <c r="BI14" s="68"/>
      <c r="BJ14" s="68"/>
      <c r="BK14" s="68"/>
      <c r="BL14" s="68"/>
      <c r="BM14" s="68"/>
      <c r="BN14" s="68"/>
      <c r="BO14" s="68"/>
      <c r="BP14" s="68"/>
      <c r="BQ14" s="68"/>
      <c r="BR14" s="68"/>
      <c r="BS14" s="68"/>
      <c r="BT14" s="68"/>
      <c r="BU14" s="68"/>
      <c r="BV14" s="68"/>
      <c r="BW14" s="68"/>
      <c r="BX14" s="68"/>
      <c r="BY14" s="68"/>
      <c r="BZ14" s="68"/>
      <c r="CA14" s="68"/>
      <c r="CB14" s="68"/>
      <c r="CC14" s="68"/>
      <c r="CD14" s="68"/>
      <c r="CE14" s="68"/>
      <c r="CF14" s="68"/>
      <c r="CG14" s="68"/>
      <c r="CH14" s="68"/>
      <c r="CI14" s="68"/>
      <c r="CJ14" s="68"/>
      <c r="CK14" s="68"/>
      <c r="CL14" s="68"/>
      <c r="CM14" s="68"/>
      <c r="CN14" s="68"/>
      <c r="CO14" s="68"/>
      <c r="CP14" s="68"/>
      <c r="CQ14" s="68"/>
      <c r="CR14" s="68"/>
      <c r="CS14" s="68"/>
      <c r="CT14" s="68"/>
      <c r="CU14" s="68"/>
      <c r="CV14" s="68"/>
      <c r="CW14" s="68"/>
      <c r="CX14" s="68"/>
      <c r="CY14" s="68"/>
      <c r="CZ14" s="68"/>
      <c r="DA14" s="68"/>
      <c r="DB14" s="68"/>
      <c r="DC14" s="68"/>
      <c r="DD14" s="68"/>
      <c r="DE14" s="68"/>
      <c r="DF14" s="68"/>
      <c r="DG14" s="68"/>
      <c r="DH14" s="68"/>
      <c r="DI14" s="68"/>
      <c r="DJ14" s="68"/>
      <c r="DK14" s="68"/>
      <c r="DL14" s="68"/>
      <c r="DM14" s="68"/>
      <c r="DN14" s="68"/>
      <c r="DO14" s="68"/>
      <c r="DP14" s="68"/>
      <c r="DQ14" s="68"/>
      <c r="DR14" s="68"/>
      <c r="DS14" s="68"/>
      <c r="DT14" s="68"/>
      <c r="DU14" s="68"/>
      <c r="DV14" s="68"/>
      <c r="DW14" s="68"/>
      <c r="DX14" s="68"/>
      <c r="DY14" s="68"/>
      <c r="DZ14" s="68"/>
      <c r="EA14" s="68"/>
      <c r="EB14" s="68"/>
      <c r="EC14" s="68"/>
      <c r="ED14" s="68"/>
      <c r="EE14" s="68"/>
      <c r="EF14" s="68"/>
      <c r="EG14" s="68"/>
      <c r="EH14" s="68"/>
      <c r="EI14" s="68"/>
      <c r="EJ14" s="68"/>
      <c r="EK14" s="68"/>
      <c r="EL14" s="68"/>
      <c r="EM14" s="68"/>
      <c r="EN14" s="68"/>
      <c r="EO14" s="68"/>
      <c r="EP14" s="68"/>
      <c r="EQ14" s="68"/>
      <c r="ER14" s="68"/>
      <c r="ES14" s="68"/>
      <c r="ET14" s="68"/>
      <c r="EU14" s="68"/>
      <c r="EV14" s="68"/>
      <c r="EW14" s="68"/>
      <c r="EX14" s="68"/>
      <c r="EY14" s="68"/>
      <c r="EZ14" s="68"/>
      <c r="FA14" s="68"/>
      <c r="FB14" s="68"/>
      <c r="FC14" s="68"/>
      <c r="FD14" s="68"/>
      <c r="FE14" s="68"/>
      <c r="FF14" s="68"/>
      <c r="FG14" s="68"/>
      <c r="FH14" s="68"/>
      <c r="FI14" s="68"/>
      <c r="FJ14" s="68"/>
      <c r="FK14" s="68"/>
      <c r="FL14" s="68"/>
      <c r="FM14" s="68"/>
      <c r="FN14" s="68"/>
      <c r="FO14" s="68"/>
      <c r="FP14" s="68"/>
      <c r="FQ14" s="68"/>
      <c r="FR14" s="68"/>
      <c r="FS14" s="68"/>
      <c r="FT14" s="68"/>
      <c r="FU14" s="68"/>
      <c r="FV14" s="68"/>
      <c r="FW14" s="68"/>
      <c r="FX14" s="68"/>
      <c r="FY14" s="68"/>
      <c r="FZ14" s="68"/>
      <c r="GA14" s="68"/>
      <c r="GB14" s="68"/>
      <c r="GC14" s="68"/>
      <c r="GD14" s="68"/>
      <c r="GE14" s="68"/>
      <c r="GF14" s="68"/>
      <c r="GG14" s="68"/>
      <c r="GH14" s="68"/>
      <c r="GI14" s="68"/>
      <c r="GJ14" s="68"/>
      <c r="GK14" s="68"/>
      <c r="GL14" s="68"/>
      <c r="GM14" s="68"/>
      <c r="GN14" s="68"/>
      <c r="GO14" s="68"/>
      <c r="GP14" s="68"/>
      <c r="GQ14" s="68"/>
      <c r="GR14" s="68"/>
      <c r="GS14" s="68"/>
      <c r="GT14" s="68"/>
      <c r="GU14" s="68"/>
      <c r="GV14" s="68"/>
      <c r="GW14" s="68"/>
      <c r="GX14" s="68"/>
      <c r="GY14" s="68"/>
      <c r="GZ14" s="68"/>
      <c r="HA14" s="68"/>
      <c r="HB14" s="68"/>
      <c r="HC14" s="68"/>
      <c r="HD14" s="68"/>
      <c r="HE14" s="68"/>
      <c r="HF14" s="68"/>
      <c r="HG14" s="68"/>
      <c r="HH14" s="68"/>
      <c r="HI14" s="68"/>
      <c r="HJ14" s="68"/>
      <c r="HK14" s="68"/>
      <c r="HL14" s="68"/>
      <c r="HM14" s="68"/>
      <c r="HN14" s="68"/>
      <c r="HO14" s="68"/>
      <c r="HP14" s="68"/>
      <c r="HQ14" s="68"/>
      <c r="HR14" s="68"/>
      <c r="HS14" s="68"/>
      <c r="HT14" s="68"/>
      <c r="HU14" s="68"/>
      <c r="HV14" s="68"/>
      <c r="HW14" s="68"/>
      <c r="HX14" s="68"/>
      <c r="HY14" s="68"/>
      <c r="HZ14" s="68"/>
      <c r="IA14" s="68"/>
      <c r="IB14" s="68"/>
      <c r="IC14" s="68"/>
      <c r="ID14" s="68"/>
      <c r="IE14" s="68"/>
      <c r="IF14" s="68"/>
      <c r="IG14" s="68"/>
      <c r="IH14" s="68"/>
      <c r="II14" s="68"/>
      <c r="IJ14" s="68"/>
      <c r="IK14" s="68"/>
      <c r="IL14" s="68"/>
      <c r="IM14" s="68"/>
      <c r="IN14" s="68"/>
      <c r="IO14" s="68"/>
      <c r="IP14" s="68"/>
      <c r="IQ14" s="68"/>
      <c r="IR14" s="68"/>
      <c r="IS14" s="68"/>
      <c r="IT14" s="68"/>
      <c r="IU14" s="68"/>
      <c r="IV14" s="68"/>
      <c r="IW14" s="68"/>
      <c r="IX14" s="68"/>
      <c r="IY14" s="68"/>
      <c r="IZ14" s="68"/>
      <c r="JA14" s="68"/>
      <c r="JB14" s="68"/>
      <c r="JC14" s="68"/>
      <c r="JD14" s="68"/>
      <c r="JE14" s="68"/>
      <c r="JF14" s="68"/>
      <c r="JG14" s="68"/>
      <c r="JH14" s="68"/>
      <c r="JI14" s="68"/>
      <c r="JJ14" s="68"/>
      <c r="JK14" s="68"/>
      <c r="JL14" s="68"/>
      <c r="JM14" s="68"/>
      <c r="JN14" s="68"/>
      <c r="JO14" s="68"/>
      <c r="JP14" s="68"/>
      <c r="JQ14" s="68"/>
      <c r="JR14" s="68"/>
      <c r="JS14" s="68"/>
      <c r="JT14" s="68"/>
      <c r="JU14" s="68"/>
      <c r="JV14" s="68"/>
      <c r="JW14" s="68"/>
      <c r="JX14" s="68"/>
      <c r="JY14" s="68"/>
      <c r="JZ14" s="68"/>
      <c r="KA14" s="68"/>
      <c r="KB14" s="68"/>
      <c r="KC14" s="68"/>
      <c r="KD14" s="68"/>
      <c r="KE14" s="68"/>
      <c r="KF14" s="68"/>
      <c r="KG14" s="68"/>
      <c r="KH14" s="68"/>
      <c r="KI14" s="68"/>
      <c r="KJ14" s="68"/>
      <c r="KK14" s="68"/>
      <c r="KL14" s="68"/>
      <c r="KM14" s="68"/>
      <c r="KN14" s="68"/>
      <c r="KO14" s="68"/>
      <c r="KP14" s="68"/>
      <c r="KQ14" s="68"/>
      <c r="KR14" s="68"/>
      <c r="KS14" s="68"/>
      <c r="KT14" s="68"/>
      <c r="KU14" s="68"/>
      <c r="KV14" s="68"/>
      <c r="KW14" s="68"/>
      <c r="KX14" s="68"/>
      <c r="KY14" s="68"/>
      <c r="KZ14" s="68"/>
      <c r="LA14" s="68"/>
      <c r="LB14" s="68"/>
      <c r="LC14" s="68"/>
      <c r="LD14" s="68"/>
      <c r="LE14" s="68"/>
      <c r="LF14" s="68"/>
      <c r="LG14" s="68"/>
      <c r="LH14" s="68"/>
      <c r="LI14" s="68"/>
      <c r="LJ14" s="68"/>
      <c r="LK14" s="68"/>
      <c r="LL14" s="68"/>
      <c r="LM14" s="68"/>
      <c r="LN14" s="68"/>
      <c r="LO14" s="68"/>
      <c r="LP14" s="68"/>
      <c r="LQ14" s="68"/>
      <c r="LR14" s="68"/>
      <c r="LS14" s="68"/>
      <c r="LT14" s="68"/>
      <c r="LU14" s="68"/>
      <c r="LV14" s="68"/>
      <c r="LW14" s="68"/>
      <c r="LX14" s="68"/>
      <c r="LY14" s="68"/>
      <c r="LZ14" s="68"/>
      <c r="MA14" s="68"/>
      <c r="MB14" s="68"/>
      <c r="MC14" s="68"/>
      <c r="MD14" s="68"/>
      <c r="ME14" s="68"/>
      <c r="MF14" s="68"/>
      <c r="MG14" s="68"/>
      <c r="MH14" s="68"/>
      <c r="MI14" s="68"/>
      <c r="MJ14" s="68"/>
      <c r="MK14" s="68"/>
      <c r="ML14" s="68"/>
      <c r="MM14" s="68"/>
      <c r="MN14" s="68"/>
      <c r="MO14" s="68"/>
      <c r="MP14" s="68"/>
      <c r="MQ14" s="68"/>
      <c r="MR14" s="68"/>
      <c r="MS14" s="68"/>
      <c r="MT14" s="68"/>
      <c r="MU14" s="68"/>
      <c r="MV14" s="68"/>
      <c r="MW14" s="68"/>
      <c r="MX14" s="68"/>
      <c r="MY14" s="68"/>
      <c r="MZ14" s="68"/>
      <c r="NA14" s="68"/>
      <c r="NB14" s="68"/>
      <c r="NC14" s="68"/>
      <c r="ND14" s="68"/>
      <c r="NE14" s="68"/>
      <c r="NF14" s="68"/>
      <c r="NG14" s="68"/>
      <c r="NH14" s="68"/>
      <c r="NI14" s="68"/>
      <c r="NJ14" s="70">
        <f t="array" aca="1" ref="NJ14" ca="1">SUMPRODUCT((OFFSET($A14,0,31*($A$3-1)+1,1,31)&lt;&gt;"")*(IF(OFFSET($A14,0,31*($A$3-1)+1,1,31)=Database!$K$11,0.5,IF(OFFSET($A14,0,31*($A$3-1)+1,1,31)=Database!$K$12,0.5,1))*(OFFSET($A$4,0,31*($A$3-1)+1,1,31))))</f>
        <v>1</v>
      </c>
      <c r="NK14" s="72">
        <f t="array" aca="1" ref="NK14" ca="1">SUMPRODUCT((OFFSET($A14,0,1,1,372)&lt;&gt;"")*(IF(OFFSET($A14,0,1,1,372)=Database!$K$11,0.5,IF(OFFSET($A14,0,1,1,372)=Database!$K$12,0.5,1))*(OFFSET($A$3,0,1,1,372))))</f>
        <v>3</v>
      </c>
      <c r="NL14" s="63">
        <f t="shared" ca="1" si="6"/>
        <v>0</v>
      </c>
      <c r="NM14" s="63">
        <f t="shared" ca="1" si="6"/>
        <v>2</v>
      </c>
      <c r="NN14" s="63">
        <f t="shared" ca="1" si="6"/>
        <v>0</v>
      </c>
      <c r="NO14" s="63">
        <f t="shared" ca="1" si="6"/>
        <v>0</v>
      </c>
      <c r="NP14" s="63">
        <f t="shared" ca="1" si="6"/>
        <v>1</v>
      </c>
      <c r="NQ14" s="63">
        <f t="shared" ca="1" si="6"/>
        <v>0</v>
      </c>
      <c r="NR14" s="63">
        <f t="shared" ca="1" si="6"/>
        <v>0</v>
      </c>
      <c r="NS14" s="63">
        <f t="shared" ca="1" si="6"/>
        <v>0</v>
      </c>
      <c r="NT14" s="63">
        <f t="shared" ca="1" si="6"/>
        <v>0</v>
      </c>
      <c r="NU14" s="63">
        <f t="shared" ca="1" si="6"/>
        <v>0</v>
      </c>
    </row>
    <row r="15" spans="1:402" ht="18" customHeight="1" x14ac:dyDescent="0.25">
      <c r="A15" s="26" t="s">
        <v>38</v>
      </c>
      <c r="B15" s="68"/>
      <c r="C15" s="68"/>
      <c r="D15" s="68"/>
      <c r="E15" s="68"/>
      <c r="F15" s="68"/>
      <c r="G15" s="68"/>
      <c r="H15" s="68"/>
      <c r="I15" s="68"/>
      <c r="J15" s="68"/>
      <c r="K15" s="68"/>
      <c r="L15" s="68"/>
      <c r="M15" s="68"/>
      <c r="N15" s="68"/>
      <c r="O15" s="68" t="s">
        <v>59</v>
      </c>
      <c r="P15" s="68"/>
      <c r="Q15" s="68"/>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c r="AX15" s="68"/>
      <c r="AY15" s="68"/>
      <c r="AZ15" s="68"/>
      <c r="BA15" s="68"/>
      <c r="BB15" s="68"/>
      <c r="BC15" s="68"/>
      <c r="BD15" s="68"/>
      <c r="BE15" s="68"/>
      <c r="BF15" s="68"/>
      <c r="BG15" s="68"/>
      <c r="BH15" s="68"/>
      <c r="BI15" s="68"/>
      <c r="BJ15" s="68"/>
      <c r="BK15" s="68"/>
      <c r="BL15" s="68"/>
      <c r="BM15" s="68"/>
      <c r="BN15" s="68"/>
      <c r="BO15" s="68"/>
      <c r="BP15" s="68"/>
      <c r="BQ15" s="68"/>
      <c r="BR15" s="68"/>
      <c r="BS15" s="68"/>
      <c r="BT15" s="68"/>
      <c r="BU15" s="68" t="s">
        <v>81</v>
      </c>
      <c r="BV15" s="68"/>
      <c r="BW15" s="68"/>
      <c r="BX15" s="68"/>
      <c r="BY15" s="68"/>
      <c r="BZ15" s="68"/>
      <c r="CA15" s="68"/>
      <c r="CB15" s="68"/>
      <c r="CC15" s="68"/>
      <c r="CD15" s="68"/>
      <c r="CE15" s="68"/>
      <c r="CF15" s="68"/>
      <c r="CG15" s="68"/>
      <c r="CH15" s="68"/>
      <c r="CI15" s="68"/>
      <c r="CJ15" s="68"/>
      <c r="CK15" s="68"/>
      <c r="CL15" s="68"/>
      <c r="CM15" s="68"/>
      <c r="CN15" s="68"/>
      <c r="CO15" s="68"/>
      <c r="CP15" s="68"/>
      <c r="CQ15" s="68"/>
      <c r="CR15" s="68"/>
      <c r="CS15" s="68"/>
      <c r="CT15" s="68"/>
      <c r="CU15" s="68"/>
      <c r="CV15" s="68"/>
      <c r="CW15" s="68"/>
      <c r="CX15" s="68"/>
      <c r="CY15" s="68"/>
      <c r="CZ15" s="68"/>
      <c r="DA15" s="68"/>
      <c r="DB15" s="68"/>
      <c r="DC15" s="68"/>
      <c r="DD15" s="68"/>
      <c r="DE15" s="68"/>
      <c r="DF15" s="68"/>
      <c r="DG15" s="68"/>
      <c r="DH15" s="68"/>
      <c r="DI15" s="68"/>
      <c r="DJ15" s="68"/>
      <c r="DK15" s="68"/>
      <c r="DL15" s="68"/>
      <c r="DM15" s="68"/>
      <c r="DN15" s="68"/>
      <c r="DO15" s="68"/>
      <c r="DP15" s="68"/>
      <c r="DQ15" s="68"/>
      <c r="DR15" s="68"/>
      <c r="DS15" s="68"/>
      <c r="DT15" s="68"/>
      <c r="DU15" s="68"/>
      <c r="DV15" s="68"/>
      <c r="DW15" s="68"/>
      <c r="DX15" s="68"/>
      <c r="DY15" s="68"/>
      <c r="DZ15" s="68"/>
      <c r="EA15" s="68"/>
      <c r="EB15" s="68"/>
      <c r="EC15" s="68"/>
      <c r="ED15" s="68"/>
      <c r="EE15" s="68"/>
      <c r="EF15" s="68"/>
      <c r="EG15" s="68"/>
      <c r="EH15" s="68"/>
      <c r="EI15" s="68"/>
      <c r="EJ15" s="68"/>
      <c r="EK15" s="68"/>
      <c r="EL15" s="68"/>
      <c r="EM15" s="68"/>
      <c r="EN15" s="68"/>
      <c r="EO15" s="68"/>
      <c r="EP15" s="68"/>
      <c r="EQ15" s="68"/>
      <c r="ER15" s="68"/>
      <c r="ES15" s="68"/>
      <c r="ET15" s="68"/>
      <c r="EU15" s="68"/>
      <c r="EV15" s="68"/>
      <c r="EW15" s="68"/>
      <c r="EX15" s="68"/>
      <c r="EY15" s="68"/>
      <c r="EZ15" s="68"/>
      <c r="FA15" s="68"/>
      <c r="FB15" s="68"/>
      <c r="FC15" s="68"/>
      <c r="FD15" s="68"/>
      <c r="FE15" s="68"/>
      <c r="FF15" s="68"/>
      <c r="FG15" s="68"/>
      <c r="FH15" s="68"/>
      <c r="FI15" s="68"/>
      <c r="FJ15" s="68"/>
      <c r="FK15" s="68"/>
      <c r="FL15" s="68"/>
      <c r="FM15" s="68"/>
      <c r="FN15" s="68"/>
      <c r="FO15" s="68"/>
      <c r="FP15" s="68"/>
      <c r="FQ15" s="68"/>
      <c r="FR15" s="68"/>
      <c r="FS15" s="68"/>
      <c r="FT15" s="68"/>
      <c r="FU15" s="68"/>
      <c r="FV15" s="68"/>
      <c r="FW15" s="68"/>
      <c r="FX15" s="68"/>
      <c r="FY15" s="68"/>
      <c r="FZ15" s="68"/>
      <c r="GA15" s="68"/>
      <c r="GB15" s="68"/>
      <c r="GC15" s="68"/>
      <c r="GD15" s="68"/>
      <c r="GE15" s="68"/>
      <c r="GF15" s="68"/>
      <c r="GG15" s="68"/>
      <c r="GH15" s="68"/>
      <c r="GI15" s="68"/>
      <c r="GJ15" s="68"/>
      <c r="GK15" s="68"/>
      <c r="GL15" s="68"/>
      <c r="GM15" s="68"/>
      <c r="GN15" s="68"/>
      <c r="GO15" s="68"/>
      <c r="GP15" s="68"/>
      <c r="GQ15" s="68"/>
      <c r="GR15" s="68"/>
      <c r="GS15" s="68"/>
      <c r="GT15" s="68"/>
      <c r="GU15" s="68"/>
      <c r="GV15" s="68"/>
      <c r="GW15" s="68"/>
      <c r="GX15" s="68"/>
      <c r="GY15" s="68"/>
      <c r="GZ15" s="68"/>
      <c r="HA15" s="68"/>
      <c r="HB15" s="68"/>
      <c r="HC15" s="68"/>
      <c r="HD15" s="68"/>
      <c r="HE15" s="68"/>
      <c r="HF15" s="68"/>
      <c r="HG15" s="68"/>
      <c r="HH15" s="68"/>
      <c r="HI15" s="68"/>
      <c r="HJ15" s="68"/>
      <c r="HK15" s="68"/>
      <c r="HL15" s="68"/>
      <c r="HM15" s="68"/>
      <c r="HN15" s="68"/>
      <c r="HO15" s="68"/>
      <c r="HP15" s="68"/>
      <c r="HQ15" s="68"/>
      <c r="HR15" s="68"/>
      <c r="HS15" s="68"/>
      <c r="HT15" s="68"/>
      <c r="HU15" s="68"/>
      <c r="HV15" s="68"/>
      <c r="HW15" s="68"/>
      <c r="HX15" s="68"/>
      <c r="HY15" s="68"/>
      <c r="HZ15" s="68"/>
      <c r="IA15" s="68"/>
      <c r="IB15" s="68"/>
      <c r="IC15" s="68"/>
      <c r="ID15" s="68"/>
      <c r="IE15" s="68"/>
      <c r="IF15" s="68"/>
      <c r="IG15" s="68"/>
      <c r="IH15" s="68"/>
      <c r="II15" s="68"/>
      <c r="IJ15" s="68"/>
      <c r="IK15" s="68"/>
      <c r="IL15" s="68"/>
      <c r="IM15" s="68"/>
      <c r="IN15" s="68"/>
      <c r="IO15" s="68"/>
      <c r="IP15" s="68"/>
      <c r="IQ15" s="68"/>
      <c r="IR15" s="68"/>
      <c r="IS15" s="68"/>
      <c r="IT15" s="68"/>
      <c r="IU15" s="68"/>
      <c r="IV15" s="68"/>
      <c r="IW15" s="68"/>
      <c r="IX15" s="68"/>
      <c r="IY15" s="68"/>
      <c r="IZ15" s="68"/>
      <c r="JA15" s="68"/>
      <c r="JB15" s="68"/>
      <c r="JC15" s="68"/>
      <c r="JD15" s="68"/>
      <c r="JE15" s="68"/>
      <c r="JF15" s="68"/>
      <c r="JG15" s="68"/>
      <c r="JH15" s="68"/>
      <c r="JI15" s="68"/>
      <c r="JJ15" s="68"/>
      <c r="JK15" s="68"/>
      <c r="JL15" s="68"/>
      <c r="JM15" s="68"/>
      <c r="JN15" s="68"/>
      <c r="JO15" s="68"/>
      <c r="JP15" s="68"/>
      <c r="JQ15" s="68"/>
      <c r="JR15" s="68"/>
      <c r="JS15" s="68"/>
      <c r="JT15" s="68"/>
      <c r="JU15" s="68"/>
      <c r="JV15" s="68"/>
      <c r="JW15" s="68"/>
      <c r="JX15" s="68"/>
      <c r="JY15" s="68"/>
      <c r="JZ15" s="68"/>
      <c r="KA15" s="68"/>
      <c r="KB15" s="68"/>
      <c r="KC15" s="68"/>
      <c r="KD15" s="68"/>
      <c r="KE15" s="68"/>
      <c r="KF15" s="68"/>
      <c r="KG15" s="68"/>
      <c r="KH15" s="68"/>
      <c r="KI15" s="68"/>
      <c r="KJ15" s="68"/>
      <c r="KK15" s="68"/>
      <c r="KL15" s="68"/>
      <c r="KM15" s="68"/>
      <c r="KN15" s="68"/>
      <c r="KO15" s="68"/>
      <c r="KP15" s="68"/>
      <c r="KQ15" s="68"/>
      <c r="KR15" s="68"/>
      <c r="KS15" s="68"/>
      <c r="KT15" s="68"/>
      <c r="KU15" s="68"/>
      <c r="KV15" s="68"/>
      <c r="KW15" s="68"/>
      <c r="KX15" s="68"/>
      <c r="KY15" s="68"/>
      <c r="KZ15" s="68"/>
      <c r="LA15" s="68"/>
      <c r="LB15" s="68"/>
      <c r="LC15" s="68"/>
      <c r="LD15" s="68"/>
      <c r="LE15" s="68"/>
      <c r="LF15" s="68"/>
      <c r="LG15" s="68"/>
      <c r="LH15" s="68"/>
      <c r="LI15" s="68"/>
      <c r="LJ15" s="68"/>
      <c r="LK15" s="68"/>
      <c r="LL15" s="68"/>
      <c r="LM15" s="68"/>
      <c r="LN15" s="68"/>
      <c r="LO15" s="68"/>
      <c r="LP15" s="68"/>
      <c r="LQ15" s="68"/>
      <c r="LR15" s="68"/>
      <c r="LS15" s="68"/>
      <c r="LT15" s="68"/>
      <c r="LU15" s="68"/>
      <c r="LV15" s="68"/>
      <c r="LW15" s="68"/>
      <c r="LX15" s="68"/>
      <c r="LY15" s="68"/>
      <c r="LZ15" s="68"/>
      <c r="MA15" s="68"/>
      <c r="MB15" s="68"/>
      <c r="MC15" s="68"/>
      <c r="MD15" s="68"/>
      <c r="ME15" s="68"/>
      <c r="MF15" s="68"/>
      <c r="MG15" s="68"/>
      <c r="MH15" s="68"/>
      <c r="MI15" s="68"/>
      <c r="MJ15" s="68"/>
      <c r="MK15" s="68"/>
      <c r="ML15" s="68"/>
      <c r="MM15" s="68"/>
      <c r="MN15" s="68"/>
      <c r="MO15" s="68"/>
      <c r="MP15" s="68"/>
      <c r="MQ15" s="68"/>
      <c r="MR15" s="68"/>
      <c r="MS15" s="68"/>
      <c r="MT15" s="68"/>
      <c r="MU15" s="68"/>
      <c r="MV15" s="68"/>
      <c r="MW15" s="68"/>
      <c r="MX15" s="68"/>
      <c r="MY15" s="68"/>
      <c r="MZ15" s="68"/>
      <c r="NA15" s="68"/>
      <c r="NB15" s="68"/>
      <c r="NC15" s="68"/>
      <c r="ND15" s="68"/>
      <c r="NE15" s="68"/>
      <c r="NF15" s="68"/>
      <c r="NG15" s="68"/>
      <c r="NH15" s="68"/>
      <c r="NI15" s="68"/>
      <c r="NJ15" s="70">
        <f t="array" aca="1" ref="NJ15" ca="1">SUMPRODUCT((OFFSET($A15,0,31*($A$3-1)+1,1,31)&lt;&gt;"")*(IF(OFFSET($A15,0,31*($A$3-1)+1,1,31)=Database!$K$11,0.5,IF(OFFSET($A15,0,31*($A$3-1)+1,1,31)=Database!$K$12,0.5,1))*(OFFSET($A$4,0,31*($A$3-1)+1,1,31))))</f>
        <v>1</v>
      </c>
      <c r="NK15" s="72">
        <f t="array" aca="1" ref="NK15" ca="1">SUMPRODUCT((OFFSET($A15,0,1,1,372)&lt;&gt;"")*(IF(OFFSET($A15,0,1,1,372)=Database!$K$11,0.5,IF(OFFSET($A15,0,1,1,372)=Database!$K$12,0.5,1))*(OFFSET($A$3,0,1,1,372))))</f>
        <v>2</v>
      </c>
      <c r="NL15" s="63">
        <f t="shared" ca="1" si="6"/>
        <v>0</v>
      </c>
      <c r="NM15" s="63">
        <f t="shared" ca="1" si="6"/>
        <v>1</v>
      </c>
      <c r="NN15" s="63">
        <f t="shared" ca="1" si="6"/>
        <v>0</v>
      </c>
      <c r="NO15" s="63">
        <f t="shared" ca="1" si="6"/>
        <v>0</v>
      </c>
      <c r="NP15" s="63">
        <f t="shared" ca="1" si="6"/>
        <v>0</v>
      </c>
      <c r="NQ15" s="63">
        <f t="shared" ca="1" si="6"/>
        <v>0</v>
      </c>
      <c r="NR15" s="63">
        <f t="shared" ca="1" si="6"/>
        <v>0</v>
      </c>
      <c r="NS15" s="63">
        <f t="shared" ca="1" si="6"/>
        <v>1</v>
      </c>
      <c r="NT15" s="63">
        <f t="shared" ca="1" si="6"/>
        <v>0</v>
      </c>
      <c r="NU15" s="63">
        <f t="shared" ca="1" si="6"/>
        <v>0</v>
      </c>
    </row>
    <row r="16" spans="1:402" ht="18" customHeight="1" x14ac:dyDescent="0.25">
      <c r="A16" s="26" t="s">
        <v>39</v>
      </c>
      <c r="B16" s="68"/>
      <c r="C16" s="68"/>
      <c r="D16" s="68"/>
      <c r="E16" s="68"/>
      <c r="F16" s="68" t="s">
        <v>88</v>
      </c>
      <c r="G16" s="68"/>
      <c r="H16" s="68"/>
      <c r="I16" s="68"/>
      <c r="J16" s="68"/>
      <c r="K16" s="68"/>
      <c r="L16" s="68"/>
      <c r="M16" s="68"/>
      <c r="N16" s="68"/>
      <c r="O16" s="68"/>
      <c r="P16" s="68"/>
      <c r="Q16" s="68"/>
      <c r="R16" s="68" t="s">
        <v>93</v>
      </c>
      <c r="S16" s="68"/>
      <c r="T16" s="68"/>
      <c r="U16" s="68"/>
      <c r="V16" s="68" t="s">
        <v>29</v>
      </c>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c r="AX16" s="68"/>
      <c r="AY16" s="68"/>
      <c r="AZ16" s="68"/>
      <c r="BA16" s="68"/>
      <c r="BB16" s="68"/>
      <c r="BC16" s="68"/>
      <c r="BD16" s="68"/>
      <c r="BE16" s="68"/>
      <c r="BF16" s="68"/>
      <c r="BG16" s="68"/>
      <c r="BH16" s="68"/>
      <c r="BI16" s="68"/>
      <c r="BJ16" s="68"/>
      <c r="BK16" s="68"/>
      <c r="BL16" s="68"/>
      <c r="BM16" s="68"/>
      <c r="BN16" s="68" t="s">
        <v>93</v>
      </c>
      <c r="BO16" s="68"/>
      <c r="BP16" s="68"/>
      <c r="BQ16" s="68"/>
      <c r="BR16" s="68"/>
      <c r="BS16" s="68"/>
      <c r="BT16" s="68"/>
      <c r="BU16" s="68"/>
      <c r="BV16" s="68"/>
      <c r="BW16" s="68"/>
      <c r="BX16" s="68"/>
      <c r="BY16" s="68"/>
      <c r="BZ16" s="68"/>
      <c r="CA16" s="68"/>
      <c r="CB16" s="68"/>
      <c r="CC16" s="68"/>
      <c r="CD16" s="68"/>
      <c r="CE16" s="68"/>
      <c r="CF16" s="68"/>
      <c r="CG16" s="68"/>
      <c r="CH16" s="68"/>
      <c r="CI16" s="68" t="s">
        <v>81</v>
      </c>
      <c r="CJ16" s="68"/>
      <c r="CK16" s="68"/>
      <c r="CL16" s="68"/>
      <c r="CM16" s="68"/>
      <c r="CN16" s="68"/>
      <c r="CO16" s="68"/>
      <c r="CP16" s="68"/>
      <c r="CQ16" s="68"/>
      <c r="CR16" s="68"/>
      <c r="CS16" s="68"/>
      <c r="CT16" s="68"/>
      <c r="CU16" s="68"/>
      <c r="CV16" s="68"/>
      <c r="CW16" s="68"/>
      <c r="CX16" s="68"/>
      <c r="CY16" s="68"/>
      <c r="CZ16" s="68"/>
      <c r="DA16" s="68"/>
      <c r="DB16" s="68"/>
      <c r="DC16" s="68"/>
      <c r="DD16" s="68"/>
      <c r="DE16" s="68"/>
      <c r="DF16" s="68"/>
      <c r="DG16" s="68"/>
      <c r="DH16" s="68"/>
      <c r="DI16" s="68"/>
      <c r="DJ16" s="68"/>
      <c r="DK16" s="68"/>
      <c r="DL16" s="68"/>
      <c r="DM16" s="68"/>
      <c r="DN16" s="68"/>
      <c r="DO16" s="68"/>
      <c r="DP16" s="68"/>
      <c r="DQ16" s="68"/>
      <c r="DR16" s="68"/>
      <c r="DS16" s="68"/>
      <c r="DT16" s="68"/>
      <c r="DU16" s="68"/>
      <c r="DV16" s="68"/>
      <c r="DW16" s="68"/>
      <c r="DX16" s="68"/>
      <c r="DY16" s="68"/>
      <c r="DZ16" s="68"/>
      <c r="EA16" s="68"/>
      <c r="EB16" s="68"/>
      <c r="EC16" s="68"/>
      <c r="ED16" s="68"/>
      <c r="EE16" s="68"/>
      <c r="EF16" s="68"/>
      <c r="EG16" s="68"/>
      <c r="EH16" s="68"/>
      <c r="EI16" s="68"/>
      <c r="EJ16" s="68"/>
      <c r="EK16" s="68"/>
      <c r="EL16" s="68"/>
      <c r="EM16" s="68"/>
      <c r="EN16" s="68"/>
      <c r="EO16" s="68"/>
      <c r="EP16" s="68"/>
      <c r="EQ16" s="68"/>
      <c r="ER16" s="68"/>
      <c r="ES16" s="68"/>
      <c r="ET16" s="68"/>
      <c r="EU16" s="68"/>
      <c r="EV16" s="68"/>
      <c r="EW16" s="68"/>
      <c r="EX16" s="68"/>
      <c r="EY16" s="68"/>
      <c r="EZ16" s="68"/>
      <c r="FA16" s="68"/>
      <c r="FB16" s="68"/>
      <c r="FC16" s="68"/>
      <c r="FD16" s="68"/>
      <c r="FE16" s="68"/>
      <c r="FF16" s="68"/>
      <c r="FG16" s="68"/>
      <c r="FH16" s="68"/>
      <c r="FI16" s="68"/>
      <c r="FJ16" s="68"/>
      <c r="FK16" s="68"/>
      <c r="FL16" s="68"/>
      <c r="FM16" s="68"/>
      <c r="FN16" s="68"/>
      <c r="FO16" s="68"/>
      <c r="FP16" s="68"/>
      <c r="FQ16" s="68"/>
      <c r="FR16" s="68"/>
      <c r="FS16" s="68"/>
      <c r="FT16" s="68"/>
      <c r="FU16" s="68"/>
      <c r="FV16" s="68"/>
      <c r="FW16" s="68"/>
      <c r="FX16" s="68"/>
      <c r="FY16" s="68"/>
      <c r="FZ16" s="68"/>
      <c r="GA16" s="68"/>
      <c r="GB16" s="68"/>
      <c r="GC16" s="68"/>
      <c r="GD16" s="68"/>
      <c r="GE16" s="68"/>
      <c r="GF16" s="68"/>
      <c r="GG16" s="68"/>
      <c r="GH16" s="68"/>
      <c r="GI16" s="68"/>
      <c r="GJ16" s="68"/>
      <c r="GK16" s="68"/>
      <c r="GL16" s="68"/>
      <c r="GM16" s="68"/>
      <c r="GN16" s="68"/>
      <c r="GO16" s="68"/>
      <c r="GP16" s="68"/>
      <c r="GQ16" s="68"/>
      <c r="GR16" s="68"/>
      <c r="GS16" s="68"/>
      <c r="GT16" s="68"/>
      <c r="GU16" s="68"/>
      <c r="GV16" s="68"/>
      <c r="GW16" s="68"/>
      <c r="GX16" s="68"/>
      <c r="GY16" s="68"/>
      <c r="GZ16" s="68"/>
      <c r="HA16" s="68"/>
      <c r="HB16" s="68"/>
      <c r="HC16" s="68"/>
      <c r="HD16" s="68"/>
      <c r="HE16" s="68"/>
      <c r="HF16" s="68"/>
      <c r="HG16" s="68"/>
      <c r="HH16" s="68"/>
      <c r="HI16" s="68"/>
      <c r="HJ16" s="68"/>
      <c r="HK16" s="68"/>
      <c r="HL16" s="68"/>
      <c r="HM16" s="68"/>
      <c r="HN16" s="68"/>
      <c r="HO16" s="68"/>
      <c r="HP16" s="68"/>
      <c r="HQ16" s="68"/>
      <c r="HR16" s="68"/>
      <c r="HS16" s="68"/>
      <c r="HT16" s="68"/>
      <c r="HU16" s="68"/>
      <c r="HV16" s="68"/>
      <c r="HW16" s="68"/>
      <c r="HX16" s="68"/>
      <c r="HY16" s="68"/>
      <c r="HZ16" s="68"/>
      <c r="IA16" s="68"/>
      <c r="IB16" s="68"/>
      <c r="IC16" s="68"/>
      <c r="ID16" s="68"/>
      <c r="IE16" s="68"/>
      <c r="IF16" s="68"/>
      <c r="IG16" s="68"/>
      <c r="IH16" s="68"/>
      <c r="II16" s="68"/>
      <c r="IJ16" s="68"/>
      <c r="IK16" s="68"/>
      <c r="IL16" s="68"/>
      <c r="IM16" s="68"/>
      <c r="IN16" s="68"/>
      <c r="IO16" s="68"/>
      <c r="IP16" s="68"/>
      <c r="IQ16" s="68"/>
      <c r="IR16" s="68"/>
      <c r="IS16" s="68"/>
      <c r="IT16" s="68"/>
      <c r="IU16" s="68"/>
      <c r="IV16" s="68"/>
      <c r="IW16" s="68"/>
      <c r="IX16" s="68"/>
      <c r="IY16" s="68"/>
      <c r="IZ16" s="68"/>
      <c r="JA16" s="68"/>
      <c r="JB16" s="68"/>
      <c r="JC16" s="68"/>
      <c r="JD16" s="68"/>
      <c r="JE16" s="68"/>
      <c r="JF16" s="68"/>
      <c r="JG16" s="68"/>
      <c r="JH16" s="68"/>
      <c r="JI16" s="68"/>
      <c r="JJ16" s="68"/>
      <c r="JK16" s="68"/>
      <c r="JL16" s="68"/>
      <c r="JM16" s="68"/>
      <c r="JN16" s="68"/>
      <c r="JO16" s="68"/>
      <c r="JP16" s="68"/>
      <c r="JQ16" s="68"/>
      <c r="JR16" s="68"/>
      <c r="JS16" s="68"/>
      <c r="JT16" s="68"/>
      <c r="JU16" s="68"/>
      <c r="JV16" s="68"/>
      <c r="JW16" s="68"/>
      <c r="JX16" s="68"/>
      <c r="JY16" s="68"/>
      <c r="JZ16" s="68"/>
      <c r="KA16" s="68"/>
      <c r="KB16" s="68"/>
      <c r="KC16" s="68"/>
      <c r="KD16" s="68"/>
      <c r="KE16" s="68"/>
      <c r="KF16" s="68"/>
      <c r="KG16" s="68"/>
      <c r="KH16" s="68"/>
      <c r="KI16" s="68"/>
      <c r="KJ16" s="68"/>
      <c r="KK16" s="68"/>
      <c r="KL16" s="68"/>
      <c r="KM16" s="68"/>
      <c r="KN16" s="68"/>
      <c r="KO16" s="68"/>
      <c r="KP16" s="68"/>
      <c r="KQ16" s="68"/>
      <c r="KR16" s="68"/>
      <c r="KS16" s="68"/>
      <c r="KT16" s="68"/>
      <c r="KU16" s="68"/>
      <c r="KV16" s="68"/>
      <c r="KW16" s="68"/>
      <c r="KX16" s="68"/>
      <c r="KY16" s="68"/>
      <c r="KZ16" s="68"/>
      <c r="LA16" s="68"/>
      <c r="LB16" s="68"/>
      <c r="LC16" s="68"/>
      <c r="LD16" s="68"/>
      <c r="LE16" s="68"/>
      <c r="LF16" s="68"/>
      <c r="LG16" s="68"/>
      <c r="LH16" s="68"/>
      <c r="LI16" s="68"/>
      <c r="LJ16" s="68"/>
      <c r="LK16" s="68"/>
      <c r="LL16" s="68"/>
      <c r="LM16" s="68"/>
      <c r="LN16" s="68"/>
      <c r="LO16" s="68"/>
      <c r="LP16" s="68"/>
      <c r="LQ16" s="68"/>
      <c r="LR16" s="68"/>
      <c r="LS16" s="68"/>
      <c r="LT16" s="68"/>
      <c r="LU16" s="68"/>
      <c r="LV16" s="68"/>
      <c r="LW16" s="68"/>
      <c r="LX16" s="68"/>
      <c r="LY16" s="68"/>
      <c r="LZ16" s="68"/>
      <c r="MA16" s="68"/>
      <c r="MB16" s="68"/>
      <c r="MC16" s="68"/>
      <c r="MD16" s="68"/>
      <c r="ME16" s="68"/>
      <c r="MF16" s="68"/>
      <c r="MG16" s="68"/>
      <c r="MH16" s="68"/>
      <c r="MI16" s="68"/>
      <c r="MJ16" s="68"/>
      <c r="MK16" s="68"/>
      <c r="ML16" s="68"/>
      <c r="MM16" s="68"/>
      <c r="MN16" s="68"/>
      <c r="MO16" s="68"/>
      <c r="MP16" s="68"/>
      <c r="MQ16" s="68"/>
      <c r="MR16" s="68"/>
      <c r="MS16" s="68"/>
      <c r="MT16" s="68"/>
      <c r="MU16" s="68"/>
      <c r="MV16" s="68"/>
      <c r="MW16" s="68"/>
      <c r="MX16" s="68"/>
      <c r="MY16" s="68"/>
      <c r="MZ16" s="68"/>
      <c r="NA16" s="68"/>
      <c r="NB16" s="68"/>
      <c r="NC16" s="68"/>
      <c r="ND16" s="68"/>
      <c r="NE16" s="68"/>
      <c r="NF16" s="68"/>
      <c r="NG16" s="68"/>
      <c r="NH16" s="68"/>
      <c r="NI16" s="68"/>
      <c r="NJ16" s="70">
        <f t="array" aca="1" ref="NJ16" ca="1">SUMPRODUCT((OFFSET($A16,0,31*($A$3-1)+1,1,31)&lt;&gt;"")*(IF(OFFSET($A16,0,31*($A$3-1)+1,1,31)=Database!$K$11,0.5,IF(OFFSET($A16,0,31*($A$3-1)+1,1,31)=Database!$K$12,0.5,1))*(OFFSET($A$4,0,31*($A$3-1)+1,1,31))))</f>
        <v>2.5</v>
      </c>
      <c r="NK16" s="72">
        <f t="array" aca="1" ref="NK16" ca="1">SUMPRODUCT((OFFSET($A16,0,1,1,372)&lt;&gt;"")*(IF(OFFSET($A16,0,1,1,372)=Database!$K$11,0.5,IF(OFFSET($A16,0,1,1,372)=Database!$K$12,0.5,1))*(OFFSET($A$3,0,1,1,372))))</f>
        <v>4.5</v>
      </c>
      <c r="NL16" s="63">
        <f t="shared" ca="1" si="6"/>
        <v>0</v>
      </c>
      <c r="NM16" s="63">
        <f t="shared" ca="1" si="6"/>
        <v>1</v>
      </c>
      <c r="NN16" s="63">
        <f t="shared" ca="1" si="6"/>
        <v>1</v>
      </c>
      <c r="NO16" s="63">
        <f t="shared" ca="1" si="6"/>
        <v>0</v>
      </c>
      <c r="NP16" s="63">
        <f t="shared" ca="1" si="6"/>
        <v>0</v>
      </c>
      <c r="NQ16" s="63">
        <f t="shared" ca="1" si="6"/>
        <v>2</v>
      </c>
      <c r="NR16" s="63">
        <f t="shared" ca="1" si="6"/>
        <v>0</v>
      </c>
      <c r="NS16" s="63">
        <f t="shared" ca="1" si="6"/>
        <v>0</v>
      </c>
      <c r="NT16" s="63">
        <f t="shared" ca="1" si="6"/>
        <v>1</v>
      </c>
      <c r="NU16" s="63">
        <f t="shared" ca="1" si="6"/>
        <v>0</v>
      </c>
    </row>
    <row r="17" spans="1:385" ht="18" customHeight="1" x14ac:dyDescent="0.25">
      <c r="A17" s="26" t="s">
        <v>40</v>
      </c>
      <c r="B17" s="68"/>
      <c r="C17" s="68"/>
      <c r="D17" s="68"/>
      <c r="E17" s="68"/>
      <c r="F17" s="68"/>
      <c r="G17" s="68"/>
      <c r="H17" s="68"/>
      <c r="I17" s="68"/>
      <c r="J17" s="68"/>
      <c r="K17" s="68"/>
      <c r="L17" s="68"/>
      <c r="M17" s="68"/>
      <c r="N17" s="68"/>
      <c r="O17" s="68"/>
      <c r="P17" s="68"/>
      <c r="Q17" s="68"/>
      <c r="R17" s="68"/>
      <c r="S17" s="68"/>
      <c r="T17" s="68"/>
      <c r="U17" s="68" t="s">
        <v>30</v>
      </c>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8"/>
      <c r="AY17" s="68"/>
      <c r="AZ17" s="68"/>
      <c r="BA17" s="68"/>
      <c r="BB17" s="68"/>
      <c r="BC17" s="68" t="s">
        <v>57</v>
      </c>
      <c r="BD17" s="68" t="s">
        <v>57</v>
      </c>
      <c r="BE17" s="68" t="s">
        <v>57</v>
      </c>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8"/>
      <c r="CX17" s="68"/>
      <c r="CY17" s="68"/>
      <c r="CZ17" s="68"/>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8"/>
      <c r="EW17" s="68"/>
      <c r="EX17" s="68"/>
      <c r="EY17" s="68"/>
      <c r="EZ17" s="68"/>
      <c r="FA17" s="68"/>
      <c r="FB17" s="68"/>
      <c r="FC17" s="68"/>
      <c r="FD17" s="68"/>
      <c r="FE17" s="68"/>
      <c r="FF17" s="68"/>
      <c r="FG17" s="68"/>
      <c r="FH17" s="68"/>
      <c r="FI17" s="68"/>
      <c r="FJ17" s="68"/>
      <c r="FK17" s="68"/>
      <c r="FL17" s="68"/>
      <c r="FM17" s="68"/>
      <c r="FN17" s="68"/>
      <c r="FO17" s="68"/>
      <c r="FP17" s="68"/>
      <c r="FQ17" s="68"/>
      <c r="FR17" s="68"/>
      <c r="FS17" s="68"/>
      <c r="FT17" s="68"/>
      <c r="FU17" s="68"/>
      <c r="FV17" s="68"/>
      <c r="FW17" s="68"/>
      <c r="FX17" s="68"/>
      <c r="FY17" s="68"/>
      <c r="FZ17" s="68"/>
      <c r="GA17" s="68"/>
      <c r="GB17" s="68"/>
      <c r="GC17" s="68"/>
      <c r="GD17" s="68"/>
      <c r="GE17" s="68"/>
      <c r="GF17" s="68"/>
      <c r="GG17" s="68"/>
      <c r="GH17" s="68"/>
      <c r="GI17" s="68"/>
      <c r="GJ17" s="68"/>
      <c r="GK17" s="68"/>
      <c r="GL17" s="68"/>
      <c r="GM17" s="68"/>
      <c r="GN17" s="68"/>
      <c r="GO17" s="68"/>
      <c r="GP17" s="68"/>
      <c r="GQ17" s="68"/>
      <c r="GR17" s="68"/>
      <c r="GS17" s="68"/>
      <c r="GT17" s="68"/>
      <c r="GU17" s="68"/>
      <c r="GV17" s="68"/>
      <c r="GW17" s="68"/>
      <c r="GX17" s="68"/>
      <c r="GY17" s="68"/>
      <c r="GZ17" s="68"/>
      <c r="HA17" s="68"/>
      <c r="HB17" s="68"/>
      <c r="HC17" s="68"/>
      <c r="HD17" s="68"/>
      <c r="HE17" s="68"/>
      <c r="HF17" s="68"/>
      <c r="HG17" s="68"/>
      <c r="HH17" s="68"/>
      <c r="HI17" s="68"/>
      <c r="HJ17" s="68"/>
      <c r="HK17" s="68"/>
      <c r="HL17" s="68"/>
      <c r="HM17" s="68"/>
      <c r="HN17" s="68"/>
      <c r="HO17" s="68"/>
      <c r="HP17" s="68"/>
      <c r="HQ17" s="68"/>
      <c r="HR17" s="68"/>
      <c r="HS17" s="68"/>
      <c r="HT17" s="68"/>
      <c r="HU17" s="68"/>
      <c r="HV17" s="68"/>
      <c r="HW17" s="68"/>
      <c r="HX17" s="68"/>
      <c r="HY17" s="68"/>
      <c r="HZ17" s="68"/>
      <c r="IA17" s="68"/>
      <c r="IB17" s="68"/>
      <c r="IC17" s="68"/>
      <c r="ID17" s="68"/>
      <c r="IE17" s="68"/>
      <c r="IF17" s="68"/>
      <c r="IG17" s="68"/>
      <c r="IH17" s="68"/>
      <c r="II17" s="68"/>
      <c r="IJ17" s="68"/>
      <c r="IK17" s="68"/>
      <c r="IL17" s="68"/>
      <c r="IM17" s="68"/>
      <c r="IN17" s="68"/>
      <c r="IO17" s="68"/>
      <c r="IP17" s="68"/>
      <c r="IQ17" s="68"/>
      <c r="IR17" s="68"/>
      <c r="IS17" s="68"/>
      <c r="IT17" s="68"/>
      <c r="IU17" s="68"/>
      <c r="IV17" s="68"/>
      <c r="IW17" s="68"/>
      <c r="IX17" s="68"/>
      <c r="IY17" s="68"/>
      <c r="IZ17" s="68"/>
      <c r="JA17" s="68"/>
      <c r="JB17" s="68"/>
      <c r="JC17" s="68"/>
      <c r="JD17" s="68"/>
      <c r="JE17" s="68"/>
      <c r="JF17" s="68"/>
      <c r="JG17" s="68"/>
      <c r="JH17" s="68"/>
      <c r="JI17" s="68"/>
      <c r="JJ17" s="68"/>
      <c r="JK17" s="68"/>
      <c r="JL17" s="68"/>
      <c r="JM17" s="68"/>
      <c r="JN17" s="68"/>
      <c r="JO17" s="68"/>
      <c r="JP17" s="68"/>
      <c r="JQ17" s="68"/>
      <c r="JR17" s="68"/>
      <c r="JS17" s="68"/>
      <c r="JT17" s="68"/>
      <c r="JU17" s="68"/>
      <c r="JV17" s="68"/>
      <c r="JW17" s="68"/>
      <c r="JX17" s="68"/>
      <c r="JY17" s="68"/>
      <c r="JZ17" s="68"/>
      <c r="KA17" s="68"/>
      <c r="KB17" s="68"/>
      <c r="KC17" s="68"/>
      <c r="KD17" s="68"/>
      <c r="KE17" s="68"/>
      <c r="KF17" s="68"/>
      <c r="KG17" s="68"/>
      <c r="KH17" s="68"/>
      <c r="KI17" s="68"/>
      <c r="KJ17" s="68"/>
      <c r="KK17" s="68"/>
      <c r="KL17" s="68"/>
      <c r="KM17" s="68"/>
      <c r="KN17" s="68"/>
      <c r="KO17" s="68"/>
      <c r="KP17" s="68"/>
      <c r="KQ17" s="68"/>
      <c r="KR17" s="68"/>
      <c r="KS17" s="68"/>
      <c r="KT17" s="68"/>
      <c r="KU17" s="68"/>
      <c r="KV17" s="68"/>
      <c r="KW17" s="68"/>
      <c r="KX17" s="68"/>
      <c r="KY17" s="68"/>
      <c r="KZ17" s="68"/>
      <c r="LA17" s="68"/>
      <c r="LB17" s="68"/>
      <c r="LC17" s="68"/>
      <c r="LD17" s="68"/>
      <c r="LE17" s="68"/>
      <c r="LF17" s="68"/>
      <c r="LG17" s="68"/>
      <c r="LH17" s="68"/>
      <c r="LI17" s="68"/>
      <c r="LJ17" s="68"/>
      <c r="LK17" s="68"/>
      <c r="LL17" s="68"/>
      <c r="LM17" s="68"/>
      <c r="LN17" s="68"/>
      <c r="LO17" s="68"/>
      <c r="LP17" s="68"/>
      <c r="LQ17" s="68"/>
      <c r="LR17" s="68"/>
      <c r="LS17" s="68"/>
      <c r="LT17" s="68"/>
      <c r="LU17" s="68"/>
      <c r="LV17" s="68"/>
      <c r="LW17" s="68"/>
      <c r="LX17" s="68"/>
      <c r="LY17" s="68"/>
      <c r="LZ17" s="68"/>
      <c r="MA17" s="68"/>
      <c r="MB17" s="68"/>
      <c r="MC17" s="68"/>
      <c r="MD17" s="68"/>
      <c r="ME17" s="68"/>
      <c r="MF17" s="68"/>
      <c r="MG17" s="68"/>
      <c r="MH17" s="68"/>
      <c r="MI17" s="68"/>
      <c r="MJ17" s="68"/>
      <c r="MK17" s="68"/>
      <c r="ML17" s="68"/>
      <c r="MM17" s="68"/>
      <c r="MN17" s="68"/>
      <c r="MO17" s="68"/>
      <c r="MP17" s="68"/>
      <c r="MQ17" s="68"/>
      <c r="MR17" s="68"/>
      <c r="MS17" s="68"/>
      <c r="MT17" s="68"/>
      <c r="MU17" s="68"/>
      <c r="MV17" s="68"/>
      <c r="MW17" s="68"/>
      <c r="MX17" s="68"/>
      <c r="MY17" s="68"/>
      <c r="MZ17" s="68"/>
      <c r="NA17" s="68"/>
      <c r="NB17" s="68"/>
      <c r="NC17" s="68"/>
      <c r="ND17" s="68"/>
      <c r="NE17" s="68"/>
      <c r="NF17" s="68"/>
      <c r="NG17" s="68"/>
      <c r="NH17" s="68"/>
      <c r="NI17" s="68"/>
      <c r="NJ17" s="70">
        <f t="array" aca="1" ref="NJ17" ca="1">SUMPRODUCT((OFFSET($A17,0,31*($A$3-1)+1,1,31)&lt;&gt;"")*(IF(OFFSET($A17,0,31*($A$3-1)+1,1,31)=Database!$K$11,0.5,IF(OFFSET($A17,0,31*($A$3-1)+1,1,31)=Database!$K$12,0.5,1))*(OFFSET($A$4,0,31*($A$3-1)+1,1,31))))</f>
        <v>1</v>
      </c>
      <c r="NK17" s="72">
        <f t="array" aca="1" ref="NK17" ca="1">SUMPRODUCT((OFFSET($A17,0,1,1,372)&lt;&gt;"")*(IF(OFFSET($A17,0,1,1,372)=Database!$K$11,0.5,IF(OFFSET($A17,0,1,1,372)=Database!$K$12,0.5,1))*(OFFSET($A$3,0,1,1,372))))</f>
        <v>4</v>
      </c>
      <c r="NL17" s="63">
        <f t="shared" ca="1" si="6"/>
        <v>0</v>
      </c>
      <c r="NM17" s="63">
        <f t="shared" ca="1" si="6"/>
        <v>0</v>
      </c>
      <c r="NN17" s="63">
        <f t="shared" ca="1" si="6"/>
        <v>0</v>
      </c>
      <c r="NO17" s="63">
        <f t="shared" ca="1" si="6"/>
        <v>0</v>
      </c>
      <c r="NP17" s="63">
        <f t="shared" ca="1" si="6"/>
        <v>1</v>
      </c>
      <c r="NQ17" s="63">
        <f t="shared" ca="1" si="6"/>
        <v>0</v>
      </c>
      <c r="NR17" s="63">
        <f t="shared" ca="1" si="6"/>
        <v>3</v>
      </c>
      <c r="NS17" s="63">
        <f t="shared" ca="1" si="6"/>
        <v>0</v>
      </c>
      <c r="NT17" s="63">
        <f t="shared" ca="1" si="6"/>
        <v>0</v>
      </c>
      <c r="NU17" s="63">
        <f t="shared" ca="1" si="6"/>
        <v>0</v>
      </c>
    </row>
    <row r="18" spans="1:385" ht="18" customHeight="1" x14ac:dyDescent="0.25">
      <c r="A18" s="26" t="s">
        <v>43</v>
      </c>
      <c r="B18" s="68"/>
      <c r="C18" s="68"/>
      <c r="D18" s="68"/>
      <c r="E18" s="68"/>
      <c r="F18" s="68"/>
      <c r="G18" s="68"/>
      <c r="H18" s="68"/>
      <c r="I18" s="68"/>
      <c r="J18" s="68"/>
      <c r="K18" s="68"/>
      <c r="L18" s="68" t="s">
        <v>28</v>
      </c>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t="s">
        <v>54</v>
      </c>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8"/>
      <c r="CX18" s="68"/>
      <c r="CY18" s="68"/>
      <c r="CZ18" s="68"/>
      <c r="DA18" s="68"/>
      <c r="DB18" s="68"/>
      <c r="DC18" s="68"/>
      <c r="DD18" s="68"/>
      <c r="DE18" s="68"/>
      <c r="DF18" s="68"/>
      <c r="DG18" s="68"/>
      <c r="DH18" s="68"/>
      <c r="DI18" s="68"/>
      <c r="DJ18" s="68"/>
      <c r="DK18" s="68"/>
      <c r="DL18" s="68"/>
      <c r="DM18" s="68"/>
      <c r="DN18" s="68"/>
      <c r="DO18" s="68"/>
      <c r="DP18" s="68"/>
      <c r="DQ18" s="68"/>
      <c r="DR18" s="68"/>
      <c r="DS18" s="68"/>
      <c r="DT18" s="68"/>
      <c r="DU18" s="68"/>
      <c r="DV18" s="68"/>
      <c r="DW18" s="68"/>
      <c r="DX18" s="68"/>
      <c r="DY18" s="68"/>
      <c r="DZ18" s="68"/>
      <c r="EA18" s="68"/>
      <c r="EB18" s="68"/>
      <c r="EC18" s="68"/>
      <c r="ED18" s="68"/>
      <c r="EE18" s="68"/>
      <c r="EF18" s="68"/>
      <c r="EG18" s="68"/>
      <c r="EH18" s="68"/>
      <c r="EI18" s="68"/>
      <c r="EJ18" s="68"/>
      <c r="EK18" s="68"/>
      <c r="EL18" s="68"/>
      <c r="EM18" s="68"/>
      <c r="EN18" s="68"/>
      <c r="EO18" s="68"/>
      <c r="EP18" s="68"/>
      <c r="EQ18" s="68"/>
      <c r="ER18" s="68"/>
      <c r="ES18" s="68"/>
      <c r="ET18" s="68"/>
      <c r="EU18" s="68"/>
      <c r="EV18" s="68"/>
      <c r="EW18" s="68"/>
      <c r="EX18" s="68"/>
      <c r="EY18" s="68"/>
      <c r="EZ18" s="68"/>
      <c r="FA18" s="68"/>
      <c r="FB18" s="68"/>
      <c r="FC18" s="68"/>
      <c r="FD18" s="68"/>
      <c r="FE18" s="68"/>
      <c r="FF18" s="68"/>
      <c r="FG18" s="68"/>
      <c r="FH18" s="68"/>
      <c r="FI18" s="68"/>
      <c r="FJ18" s="68"/>
      <c r="FK18" s="68"/>
      <c r="FL18" s="68"/>
      <c r="FM18" s="68"/>
      <c r="FN18" s="68"/>
      <c r="FO18" s="68"/>
      <c r="FP18" s="68"/>
      <c r="FQ18" s="68"/>
      <c r="FR18" s="68"/>
      <c r="FS18" s="68"/>
      <c r="FT18" s="68"/>
      <c r="FU18" s="68"/>
      <c r="FV18" s="68"/>
      <c r="FW18" s="68"/>
      <c r="FX18" s="68"/>
      <c r="FY18" s="68"/>
      <c r="FZ18" s="68"/>
      <c r="GA18" s="68"/>
      <c r="GB18" s="68"/>
      <c r="GC18" s="68"/>
      <c r="GD18" s="68"/>
      <c r="GE18" s="68"/>
      <c r="GF18" s="68"/>
      <c r="GG18" s="68"/>
      <c r="GH18" s="68"/>
      <c r="GI18" s="68"/>
      <c r="GJ18" s="68"/>
      <c r="GK18" s="68"/>
      <c r="GL18" s="68"/>
      <c r="GM18" s="68"/>
      <c r="GN18" s="68"/>
      <c r="GO18" s="68"/>
      <c r="GP18" s="68"/>
      <c r="GQ18" s="68"/>
      <c r="GR18" s="68"/>
      <c r="GS18" s="68"/>
      <c r="GT18" s="68"/>
      <c r="GU18" s="68"/>
      <c r="GV18" s="68"/>
      <c r="GW18" s="68"/>
      <c r="GX18" s="68"/>
      <c r="GY18" s="68"/>
      <c r="GZ18" s="68"/>
      <c r="HA18" s="68"/>
      <c r="HB18" s="68"/>
      <c r="HC18" s="68"/>
      <c r="HD18" s="68"/>
      <c r="HE18" s="68"/>
      <c r="HF18" s="68"/>
      <c r="HG18" s="68"/>
      <c r="HH18" s="68"/>
      <c r="HI18" s="68"/>
      <c r="HJ18" s="68"/>
      <c r="HK18" s="68"/>
      <c r="HL18" s="68"/>
      <c r="HM18" s="68"/>
      <c r="HN18" s="68"/>
      <c r="HO18" s="68"/>
      <c r="HP18" s="68"/>
      <c r="HQ18" s="68"/>
      <c r="HR18" s="68"/>
      <c r="HS18" s="68"/>
      <c r="HT18" s="68"/>
      <c r="HU18" s="68"/>
      <c r="HV18" s="68"/>
      <c r="HW18" s="68"/>
      <c r="HX18" s="68"/>
      <c r="HY18" s="68"/>
      <c r="HZ18" s="68"/>
      <c r="IA18" s="68"/>
      <c r="IB18" s="68"/>
      <c r="IC18" s="68"/>
      <c r="ID18" s="68"/>
      <c r="IE18" s="68"/>
      <c r="IF18" s="68"/>
      <c r="IG18" s="68"/>
      <c r="IH18" s="68"/>
      <c r="II18" s="68"/>
      <c r="IJ18" s="68"/>
      <c r="IK18" s="68"/>
      <c r="IL18" s="68"/>
      <c r="IM18" s="68"/>
      <c r="IN18" s="68"/>
      <c r="IO18" s="68"/>
      <c r="IP18" s="68"/>
      <c r="IQ18" s="68"/>
      <c r="IR18" s="68"/>
      <c r="IS18" s="68"/>
      <c r="IT18" s="68"/>
      <c r="IU18" s="68"/>
      <c r="IV18" s="68"/>
      <c r="IW18" s="68"/>
      <c r="IX18" s="68"/>
      <c r="IY18" s="68"/>
      <c r="IZ18" s="68"/>
      <c r="JA18" s="68"/>
      <c r="JB18" s="68"/>
      <c r="JC18" s="68"/>
      <c r="JD18" s="68"/>
      <c r="JE18" s="68"/>
      <c r="JF18" s="68"/>
      <c r="JG18" s="68"/>
      <c r="JH18" s="68"/>
      <c r="JI18" s="68"/>
      <c r="JJ18" s="68"/>
      <c r="JK18" s="68"/>
      <c r="JL18" s="68"/>
      <c r="JM18" s="68"/>
      <c r="JN18" s="68"/>
      <c r="JO18" s="68"/>
      <c r="JP18" s="68"/>
      <c r="JQ18" s="68"/>
      <c r="JR18" s="68"/>
      <c r="JS18" s="68"/>
      <c r="JT18" s="68"/>
      <c r="JU18" s="68"/>
      <c r="JV18" s="68"/>
      <c r="JW18" s="68"/>
      <c r="JX18" s="68"/>
      <c r="JY18" s="68"/>
      <c r="JZ18" s="68"/>
      <c r="KA18" s="68"/>
      <c r="KB18" s="68"/>
      <c r="KC18" s="68"/>
      <c r="KD18" s="68"/>
      <c r="KE18" s="68"/>
      <c r="KF18" s="68"/>
      <c r="KG18" s="68"/>
      <c r="KH18" s="68"/>
      <c r="KI18" s="68"/>
      <c r="KJ18" s="68"/>
      <c r="KK18" s="68"/>
      <c r="KL18" s="68"/>
      <c r="KM18" s="68"/>
      <c r="KN18" s="68"/>
      <c r="KO18" s="68"/>
      <c r="KP18" s="68"/>
      <c r="KQ18" s="68"/>
      <c r="KR18" s="68"/>
      <c r="KS18" s="68"/>
      <c r="KT18" s="68"/>
      <c r="KU18" s="68"/>
      <c r="KV18" s="68"/>
      <c r="KW18" s="68"/>
      <c r="KX18" s="68"/>
      <c r="KY18" s="68"/>
      <c r="KZ18" s="68"/>
      <c r="LA18" s="68"/>
      <c r="LB18" s="68"/>
      <c r="LC18" s="68"/>
      <c r="LD18" s="68"/>
      <c r="LE18" s="68"/>
      <c r="LF18" s="68"/>
      <c r="LG18" s="68"/>
      <c r="LH18" s="68"/>
      <c r="LI18" s="68"/>
      <c r="LJ18" s="68"/>
      <c r="LK18" s="68"/>
      <c r="LL18" s="68"/>
      <c r="LM18" s="68"/>
      <c r="LN18" s="68"/>
      <c r="LO18" s="68"/>
      <c r="LP18" s="68"/>
      <c r="LQ18" s="68"/>
      <c r="LR18" s="68"/>
      <c r="LS18" s="68"/>
      <c r="LT18" s="68"/>
      <c r="LU18" s="68"/>
      <c r="LV18" s="68"/>
      <c r="LW18" s="68"/>
      <c r="LX18" s="68"/>
      <c r="LY18" s="68"/>
      <c r="LZ18" s="68"/>
      <c r="MA18" s="68"/>
      <c r="MB18" s="68"/>
      <c r="MC18" s="68"/>
      <c r="MD18" s="68"/>
      <c r="ME18" s="68"/>
      <c r="MF18" s="68"/>
      <c r="MG18" s="68"/>
      <c r="MH18" s="68"/>
      <c r="MI18" s="68"/>
      <c r="MJ18" s="68"/>
      <c r="MK18" s="68"/>
      <c r="ML18" s="68"/>
      <c r="MM18" s="68"/>
      <c r="MN18" s="68"/>
      <c r="MO18" s="68"/>
      <c r="MP18" s="68"/>
      <c r="MQ18" s="68"/>
      <c r="MR18" s="68"/>
      <c r="MS18" s="68"/>
      <c r="MT18" s="68"/>
      <c r="MU18" s="68"/>
      <c r="MV18" s="68"/>
      <c r="MW18" s="68"/>
      <c r="MX18" s="68"/>
      <c r="MY18" s="68"/>
      <c r="MZ18" s="68"/>
      <c r="NA18" s="68"/>
      <c r="NB18" s="68"/>
      <c r="NC18" s="68"/>
      <c r="ND18" s="68"/>
      <c r="NE18" s="68"/>
      <c r="NF18" s="68"/>
      <c r="NG18" s="68"/>
      <c r="NH18" s="68"/>
      <c r="NI18" s="68"/>
      <c r="NJ18" s="70">
        <f t="array" aca="1" ref="NJ18" ca="1">SUMPRODUCT((OFFSET($A18,0,31*($A$3-1)+1,1,31)&lt;&gt;"")*(IF(OFFSET($A18,0,31*($A$3-1)+1,1,31)=Database!$K$11,0.5,IF(OFFSET($A18,0,31*($A$3-1)+1,1,31)=Database!$K$12,0.5,1))*(OFFSET($A$4,0,31*($A$3-1)+1,1,31))))</f>
        <v>1</v>
      </c>
      <c r="NK18" s="72">
        <f t="array" aca="1" ref="NK18" ca="1">SUMPRODUCT((OFFSET($A18,0,1,1,372)&lt;&gt;"")*(IF(OFFSET($A18,0,1,1,372)=Database!$K$11,0.5,IF(OFFSET($A18,0,1,1,372)=Database!$K$12,0.5,1))*(OFFSET($A$3,0,1,1,372))))</f>
        <v>2</v>
      </c>
      <c r="NL18" s="63">
        <f t="shared" ref="NL18:NU26" ca="1" si="7">SUMPRODUCT((OFFSET($A18,0,1,1,372)&lt;&gt;"")*(OFFSET($A$3,0,1,1,372))*((OFFSET($A18,0,1,1,372))=NL$5))</f>
        <v>1</v>
      </c>
      <c r="NM18" s="63">
        <f t="shared" ca="1" si="7"/>
        <v>0</v>
      </c>
      <c r="NN18" s="63">
        <f t="shared" ca="1" si="7"/>
        <v>0</v>
      </c>
      <c r="NO18" s="63">
        <f t="shared" ca="1" si="7"/>
        <v>1</v>
      </c>
      <c r="NP18" s="63">
        <f t="shared" ca="1" si="7"/>
        <v>0</v>
      </c>
      <c r="NQ18" s="63">
        <f t="shared" ca="1" si="7"/>
        <v>0</v>
      </c>
      <c r="NR18" s="63">
        <f t="shared" ca="1" si="7"/>
        <v>0</v>
      </c>
      <c r="NS18" s="63">
        <f t="shared" ca="1" si="7"/>
        <v>0</v>
      </c>
      <c r="NT18" s="63">
        <f t="shared" ca="1" si="7"/>
        <v>0</v>
      </c>
      <c r="NU18" s="63">
        <f t="shared" ca="1" si="7"/>
        <v>0</v>
      </c>
    </row>
    <row r="19" spans="1:385" ht="18" customHeight="1" x14ac:dyDescent="0.25">
      <c r="A19" s="26" t="s">
        <v>44</v>
      </c>
      <c r="B19" s="68"/>
      <c r="C19" s="68"/>
      <c r="D19" s="68"/>
      <c r="E19" s="68"/>
      <c r="F19" s="68"/>
      <c r="G19" s="68"/>
      <c r="H19" s="68" t="s">
        <v>87</v>
      </c>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8"/>
      <c r="AY19" s="68"/>
      <c r="AZ19" s="68"/>
      <c r="BA19" s="68"/>
      <c r="BB19" s="68" t="s">
        <v>54</v>
      </c>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8"/>
      <c r="CX19" s="68"/>
      <c r="CY19" s="68"/>
      <c r="CZ19" s="68"/>
      <c r="DA19" s="68"/>
      <c r="DB19" s="68"/>
      <c r="DC19" s="68"/>
      <c r="DD19" s="68"/>
      <c r="DE19" s="68"/>
      <c r="DF19" s="68"/>
      <c r="DG19" s="68"/>
      <c r="DH19" s="68"/>
      <c r="DI19" s="68"/>
      <c r="DJ19" s="68"/>
      <c r="DK19" s="68"/>
      <c r="DL19" s="68"/>
      <c r="DM19" s="68"/>
      <c r="DN19" s="68"/>
      <c r="DO19" s="68"/>
      <c r="DP19" s="68"/>
      <c r="DQ19" s="68"/>
      <c r="DR19" s="68"/>
      <c r="DS19" s="68"/>
      <c r="DT19" s="68"/>
      <c r="DU19" s="68"/>
      <c r="DV19" s="68"/>
      <c r="DW19" s="68"/>
      <c r="DX19" s="68"/>
      <c r="DY19" s="68"/>
      <c r="DZ19" s="68"/>
      <c r="EA19" s="68"/>
      <c r="EB19" s="68"/>
      <c r="EC19" s="68"/>
      <c r="ED19" s="68"/>
      <c r="EE19" s="68"/>
      <c r="EF19" s="68"/>
      <c r="EG19" s="68"/>
      <c r="EH19" s="68"/>
      <c r="EI19" s="68"/>
      <c r="EJ19" s="68"/>
      <c r="EK19" s="68"/>
      <c r="EL19" s="68"/>
      <c r="EM19" s="68"/>
      <c r="EN19" s="68"/>
      <c r="EO19" s="68"/>
      <c r="EP19" s="68"/>
      <c r="EQ19" s="68"/>
      <c r="ER19" s="68"/>
      <c r="ES19" s="68"/>
      <c r="ET19" s="68"/>
      <c r="EU19" s="68"/>
      <c r="EV19" s="68"/>
      <c r="EW19" s="68"/>
      <c r="EX19" s="68"/>
      <c r="EY19" s="68"/>
      <c r="EZ19" s="68"/>
      <c r="FA19" s="68"/>
      <c r="FB19" s="68"/>
      <c r="FC19" s="68"/>
      <c r="FD19" s="68"/>
      <c r="FE19" s="68"/>
      <c r="FF19" s="68"/>
      <c r="FG19" s="68"/>
      <c r="FH19" s="68"/>
      <c r="FI19" s="68"/>
      <c r="FJ19" s="68"/>
      <c r="FK19" s="68"/>
      <c r="FL19" s="68"/>
      <c r="FM19" s="68"/>
      <c r="FN19" s="68"/>
      <c r="FO19" s="68"/>
      <c r="FP19" s="68"/>
      <c r="FQ19" s="68"/>
      <c r="FR19" s="68"/>
      <c r="FS19" s="68"/>
      <c r="FT19" s="68"/>
      <c r="FU19" s="68"/>
      <c r="FV19" s="68"/>
      <c r="FW19" s="68"/>
      <c r="FX19" s="68"/>
      <c r="FY19" s="68"/>
      <c r="FZ19" s="68"/>
      <c r="GA19" s="68"/>
      <c r="GB19" s="68"/>
      <c r="GC19" s="68"/>
      <c r="GD19" s="68"/>
      <c r="GE19" s="68"/>
      <c r="GF19" s="68"/>
      <c r="GG19" s="68"/>
      <c r="GH19" s="68"/>
      <c r="GI19" s="68"/>
      <c r="GJ19" s="68"/>
      <c r="GK19" s="68"/>
      <c r="GL19" s="68"/>
      <c r="GM19" s="68"/>
      <c r="GN19" s="68"/>
      <c r="GO19" s="68"/>
      <c r="GP19" s="68"/>
      <c r="GQ19" s="68"/>
      <c r="GR19" s="68"/>
      <c r="GS19" s="68"/>
      <c r="GT19" s="68"/>
      <c r="GU19" s="68"/>
      <c r="GV19" s="68"/>
      <c r="GW19" s="68"/>
      <c r="GX19" s="68"/>
      <c r="GY19" s="68"/>
      <c r="GZ19" s="68"/>
      <c r="HA19" s="68"/>
      <c r="HB19" s="68"/>
      <c r="HC19" s="68"/>
      <c r="HD19" s="68"/>
      <c r="HE19" s="68"/>
      <c r="HF19" s="68"/>
      <c r="HG19" s="68"/>
      <c r="HH19" s="68"/>
      <c r="HI19" s="68"/>
      <c r="HJ19" s="68"/>
      <c r="HK19" s="68"/>
      <c r="HL19" s="68"/>
      <c r="HM19" s="68"/>
      <c r="HN19" s="68"/>
      <c r="HO19" s="68"/>
      <c r="HP19" s="68"/>
      <c r="HQ19" s="68"/>
      <c r="HR19" s="68"/>
      <c r="HS19" s="68"/>
      <c r="HT19" s="68"/>
      <c r="HU19" s="68"/>
      <c r="HV19" s="68"/>
      <c r="HW19" s="68"/>
      <c r="HX19" s="68"/>
      <c r="HY19" s="68"/>
      <c r="HZ19" s="68"/>
      <c r="IA19" s="68"/>
      <c r="IB19" s="68"/>
      <c r="IC19" s="68"/>
      <c r="ID19" s="68"/>
      <c r="IE19" s="68"/>
      <c r="IF19" s="68"/>
      <c r="IG19" s="68"/>
      <c r="IH19" s="68"/>
      <c r="II19" s="68"/>
      <c r="IJ19" s="68"/>
      <c r="IK19" s="68"/>
      <c r="IL19" s="68"/>
      <c r="IM19" s="68"/>
      <c r="IN19" s="68"/>
      <c r="IO19" s="68"/>
      <c r="IP19" s="68"/>
      <c r="IQ19" s="68"/>
      <c r="IR19" s="68"/>
      <c r="IS19" s="68"/>
      <c r="IT19" s="68"/>
      <c r="IU19" s="68"/>
      <c r="IV19" s="68"/>
      <c r="IW19" s="68"/>
      <c r="IX19" s="68"/>
      <c r="IY19" s="68"/>
      <c r="IZ19" s="68"/>
      <c r="JA19" s="68"/>
      <c r="JB19" s="68"/>
      <c r="JC19" s="68"/>
      <c r="JD19" s="68"/>
      <c r="JE19" s="68"/>
      <c r="JF19" s="68"/>
      <c r="JG19" s="68"/>
      <c r="JH19" s="68"/>
      <c r="JI19" s="68"/>
      <c r="JJ19" s="68"/>
      <c r="JK19" s="68"/>
      <c r="JL19" s="68"/>
      <c r="JM19" s="68"/>
      <c r="JN19" s="68"/>
      <c r="JO19" s="68"/>
      <c r="JP19" s="68"/>
      <c r="JQ19" s="68"/>
      <c r="JR19" s="68"/>
      <c r="JS19" s="68"/>
      <c r="JT19" s="68"/>
      <c r="JU19" s="68"/>
      <c r="JV19" s="68"/>
      <c r="JW19" s="68"/>
      <c r="JX19" s="68"/>
      <c r="JY19" s="68"/>
      <c r="JZ19" s="68"/>
      <c r="KA19" s="68"/>
      <c r="KB19" s="68"/>
      <c r="KC19" s="68"/>
      <c r="KD19" s="68"/>
      <c r="KE19" s="68"/>
      <c r="KF19" s="68"/>
      <c r="KG19" s="68"/>
      <c r="KH19" s="68"/>
      <c r="KI19" s="68"/>
      <c r="KJ19" s="68"/>
      <c r="KK19" s="68"/>
      <c r="KL19" s="68"/>
      <c r="KM19" s="68"/>
      <c r="KN19" s="68"/>
      <c r="KO19" s="68"/>
      <c r="KP19" s="68"/>
      <c r="KQ19" s="68"/>
      <c r="KR19" s="68"/>
      <c r="KS19" s="68"/>
      <c r="KT19" s="68"/>
      <c r="KU19" s="68"/>
      <c r="KV19" s="68"/>
      <c r="KW19" s="68"/>
      <c r="KX19" s="68"/>
      <c r="KY19" s="68"/>
      <c r="KZ19" s="68"/>
      <c r="LA19" s="68"/>
      <c r="LB19" s="68"/>
      <c r="LC19" s="68"/>
      <c r="LD19" s="68"/>
      <c r="LE19" s="68"/>
      <c r="LF19" s="68"/>
      <c r="LG19" s="68"/>
      <c r="LH19" s="68"/>
      <c r="LI19" s="68"/>
      <c r="LJ19" s="68"/>
      <c r="LK19" s="68"/>
      <c r="LL19" s="68"/>
      <c r="LM19" s="68"/>
      <c r="LN19" s="68"/>
      <c r="LO19" s="68"/>
      <c r="LP19" s="68"/>
      <c r="LQ19" s="68"/>
      <c r="LR19" s="68"/>
      <c r="LS19" s="68"/>
      <c r="LT19" s="68"/>
      <c r="LU19" s="68"/>
      <c r="LV19" s="68"/>
      <c r="LW19" s="68"/>
      <c r="LX19" s="68"/>
      <c r="LY19" s="68"/>
      <c r="LZ19" s="68"/>
      <c r="MA19" s="68"/>
      <c r="MB19" s="68"/>
      <c r="MC19" s="68"/>
      <c r="MD19" s="68"/>
      <c r="ME19" s="68"/>
      <c r="MF19" s="68"/>
      <c r="MG19" s="68"/>
      <c r="MH19" s="68"/>
      <c r="MI19" s="68"/>
      <c r="MJ19" s="68"/>
      <c r="MK19" s="68"/>
      <c r="ML19" s="68"/>
      <c r="MM19" s="68"/>
      <c r="MN19" s="68"/>
      <c r="MO19" s="68"/>
      <c r="MP19" s="68"/>
      <c r="MQ19" s="68"/>
      <c r="MR19" s="68"/>
      <c r="MS19" s="68"/>
      <c r="MT19" s="68"/>
      <c r="MU19" s="68"/>
      <c r="MV19" s="68"/>
      <c r="MW19" s="68"/>
      <c r="MX19" s="68"/>
      <c r="MY19" s="68"/>
      <c r="MZ19" s="68"/>
      <c r="NA19" s="68"/>
      <c r="NB19" s="68"/>
      <c r="NC19" s="68"/>
      <c r="ND19" s="68"/>
      <c r="NE19" s="68"/>
      <c r="NF19" s="68"/>
      <c r="NG19" s="68"/>
      <c r="NH19" s="68"/>
      <c r="NI19" s="68"/>
      <c r="NJ19" s="70">
        <f t="array" aca="1" ref="NJ19" ca="1">SUMPRODUCT((OFFSET($A19,0,31*($A$3-1)+1,1,31)&lt;&gt;"")*(IF(OFFSET($A19,0,31*($A$3-1)+1,1,31)=Database!$K$11,0.5,IF(OFFSET($A19,0,31*($A$3-1)+1,1,31)=Database!$K$12,0.5,1))*(OFFSET($A$4,0,31*($A$3-1)+1,1,31))))</f>
        <v>0.5</v>
      </c>
      <c r="NK19" s="72">
        <f t="array" aca="1" ref="NK19" ca="1">SUMPRODUCT((OFFSET($A19,0,1,1,372)&lt;&gt;"")*(IF(OFFSET($A19,0,1,1,372)=Database!$K$11,0.5,IF(OFFSET($A19,0,1,1,372)=Database!$K$12,0.5,1))*(OFFSET($A$3,0,1,1,372))))</f>
        <v>1.5</v>
      </c>
      <c r="NL19" s="63">
        <f t="shared" ca="1" si="7"/>
        <v>0</v>
      </c>
      <c r="NM19" s="63">
        <f t="shared" ca="1" si="7"/>
        <v>0</v>
      </c>
      <c r="NN19" s="63">
        <f t="shared" ca="1" si="7"/>
        <v>0</v>
      </c>
      <c r="NO19" s="63">
        <f t="shared" ca="1" si="7"/>
        <v>1</v>
      </c>
      <c r="NP19" s="63">
        <f t="shared" ca="1" si="7"/>
        <v>0</v>
      </c>
      <c r="NQ19" s="63">
        <f t="shared" ca="1" si="7"/>
        <v>0</v>
      </c>
      <c r="NR19" s="63">
        <f t="shared" ca="1" si="7"/>
        <v>0</v>
      </c>
      <c r="NS19" s="63">
        <f t="shared" ca="1" si="7"/>
        <v>0</v>
      </c>
      <c r="NT19" s="63">
        <f t="shared" ca="1" si="7"/>
        <v>0</v>
      </c>
      <c r="NU19" s="63">
        <f t="shared" ca="1" si="7"/>
        <v>1</v>
      </c>
    </row>
    <row r="20" spans="1:385" ht="18" customHeight="1" x14ac:dyDescent="0.25">
      <c r="A20" s="26" t="s">
        <v>45</v>
      </c>
      <c r="B20" s="68"/>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t="s">
        <v>30</v>
      </c>
      <c r="CD20" s="68"/>
      <c r="CE20" s="68"/>
      <c r="CF20" s="68"/>
      <c r="CG20" s="68"/>
      <c r="CH20" s="68"/>
      <c r="CI20" s="68"/>
      <c r="CJ20" s="68"/>
      <c r="CK20" s="68"/>
      <c r="CL20" s="68"/>
      <c r="CM20" s="68"/>
      <c r="CN20" s="68"/>
      <c r="CO20" s="68"/>
      <c r="CP20" s="68"/>
      <c r="CQ20" s="68"/>
      <c r="CR20" s="68"/>
      <c r="CS20" s="68"/>
      <c r="CT20" s="68"/>
      <c r="CU20" s="68"/>
      <c r="CV20" s="68"/>
      <c r="CW20" s="68"/>
      <c r="CX20" s="68"/>
      <c r="CY20" s="68"/>
      <c r="CZ20" s="68"/>
      <c r="DA20" s="68"/>
      <c r="DB20" s="68"/>
      <c r="DC20" s="68"/>
      <c r="DD20" s="68"/>
      <c r="DE20" s="68"/>
      <c r="DF20" s="68"/>
      <c r="DG20" s="68"/>
      <c r="DH20" s="68"/>
      <c r="DI20" s="68"/>
      <c r="DJ20" s="68"/>
      <c r="DK20" s="68"/>
      <c r="DL20" s="68"/>
      <c r="DM20" s="68"/>
      <c r="DN20" s="68"/>
      <c r="DO20" s="68"/>
      <c r="DP20" s="68"/>
      <c r="DQ20" s="68"/>
      <c r="DR20" s="68"/>
      <c r="DS20" s="68"/>
      <c r="DT20" s="68"/>
      <c r="DU20" s="68"/>
      <c r="DV20" s="68"/>
      <c r="DW20" s="68"/>
      <c r="DX20" s="68"/>
      <c r="DY20" s="68"/>
      <c r="DZ20" s="68"/>
      <c r="EA20" s="68"/>
      <c r="EB20" s="68"/>
      <c r="EC20" s="68"/>
      <c r="ED20" s="68"/>
      <c r="EE20" s="68"/>
      <c r="EF20" s="68"/>
      <c r="EG20" s="68"/>
      <c r="EH20" s="68"/>
      <c r="EI20" s="68"/>
      <c r="EJ20" s="68"/>
      <c r="EK20" s="68"/>
      <c r="EL20" s="68"/>
      <c r="EM20" s="68"/>
      <c r="EN20" s="68"/>
      <c r="EO20" s="68"/>
      <c r="EP20" s="68"/>
      <c r="EQ20" s="68"/>
      <c r="ER20" s="68"/>
      <c r="ES20" s="68"/>
      <c r="ET20" s="68"/>
      <c r="EU20" s="68"/>
      <c r="EV20" s="68"/>
      <c r="EW20" s="68"/>
      <c r="EX20" s="68"/>
      <c r="EY20" s="68"/>
      <c r="EZ20" s="68"/>
      <c r="FA20" s="68"/>
      <c r="FB20" s="68"/>
      <c r="FC20" s="68"/>
      <c r="FD20" s="68"/>
      <c r="FE20" s="68"/>
      <c r="FF20" s="68"/>
      <c r="FG20" s="68"/>
      <c r="FH20" s="68"/>
      <c r="FI20" s="68"/>
      <c r="FJ20" s="68"/>
      <c r="FK20" s="68"/>
      <c r="FL20" s="68"/>
      <c r="FM20" s="68"/>
      <c r="FN20" s="68"/>
      <c r="FO20" s="68"/>
      <c r="FP20" s="68"/>
      <c r="FQ20" s="68"/>
      <c r="FR20" s="68"/>
      <c r="FS20" s="68"/>
      <c r="FT20" s="68"/>
      <c r="FU20" s="68"/>
      <c r="FV20" s="68"/>
      <c r="FW20" s="68"/>
      <c r="FX20" s="68"/>
      <c r="FY20" s="68"/>
      <c r="FZ20" s="68"/>
      <c r="GA20" s="68"/>
      <c r="GB20" s="68"/>
      <c r="GC20" s="68"/>
      <c r="GD20" s="68"/>
      <c r="GE20" s="68"/>
      <c r="GF20" s="68"/>
      <c r="GG20" s="68"/>
      <c r="GH20" s="68"/>
      <c r="GI20" s="68"/>
      <c r="GJ20" s="68"/>
      <c r="GK20" s="68"/>
      <c r="GL20" s="68"/>
      <c r="GM20" s="68"/>
      <c r="GN20" s="68"/>
      <c r="GO20" s="68"/>
      <c r="GP20" s="68"/>
      <c r="GQ20" s="68"/>
      <c r="GR20" s="68"/>
      <c r="GS20" s="68"/>
      <c r="GT20" s="68"/>
      <c r="GU20" s="68"/>
      <c r="GV20" s="68"/>
      <c r="GW20" s="68"/>
      <c r="GX20" s="68"/>
      <c r="GY20" s="68"/>
      <c r="GZ20" s="68"/>
      <c r="HA20" s="68"/>
      <c r="HB20" s="68"/>
      <c r="HC20" s="68"/>
      <c r="HD20" s="68"/>
      <c r="HE20" s="68"/>
      <c r="HF20" s="68"/>
      <c r="HG20" s="68"/>
      <c r="HH20" s="68"/>
      <c r="HI20" s="68"/>
      <c r="HJ20" s="68"/>
      <c r="HK20" s="68"/>
      <c r="HL20" s="68"/>
      <c r="HM20" s="68"/>
      <c r="HN20" s="68"/>
      <c r="HO20" s="68"/>
      <c r="HP20" s="68"/>
      <c r="HQ20" s="68"/>
      <c r="HR20" s="68"/>
      <c r="HS20" s="68"/>
      <c r="HT20" s="68"/>
      <c r="HU20" s="68"/>
      <c r="HV20" s="68"/>
      <c r="HW20" s="68"/>
      <c r="HX20" s="68"/>
      <c r="HY20" s="68"/>
      <c r="HZ20" s="68"/>
      <c r="IA20" s="68"/>
      <c r="IB20" s="68"/>
      <c r="IC20" s="68"/>
      <c r="ID20" s="68"/>
      <c r="IE20" s="68"/>
      <c r="IF20" s="68"/>
      <c r="IG20" s="68"/>
      <c r="IH20" s="68"/>
      <c r="II20" s="68"/>
      <c r="IJ20" s="68"/>
      <c r="IK20" s="68"/>
      <c r="IL20" s="68"/>
      <c r="IM20" s="68"/>
      <c r="IN20" s="68"/>
      <c r="IO20" s="68"/>
      <c r="IP20" s="68"/>
      <c r="IQ20" s="68"/>
      <c r="IR20" s="68"/>
      <c r="IS20" s="68"/>
      <c r="IT20" s="68"/>
      <c r="IU20" s="68"/>
      <c r="IV20" s="68"/>
      <c r="IW20" s="68"/>
      <c r="IX20" s="68"/>
      <c r="IY20" s="68"/>
      <c r="IZ20" s="68"/>
      <c r="JA20" s="68"/>
      <c r="JB20" s="68"/>
      <c r="JC20" s="68"/>
      <c r="JD20" s="68"/>
      <c r="JE20" s="68"/>
      <c r="JF20" s="68"/>
      <c r="JG20" s="68"/>
      <c r="JH20" s="68"/>
      <c r="JI20" s="68"/>
      <c r="JJ20" s="68"/>
      <c r="JK20" s="68"/>
      <c r="JL20" s="68"/>
      <c r="JM20" s="68"/>
      <c r="JN20" s="68"/>
      <c r="JO20" s="68"/>
      <c r="JP20" s="68"/>
      <c r="JQ20" s="68"/>
      <c r="JR20" s="68"/>
      <c r="JS20" s="68"/>
      <c r="JT20" s="68"/>
      <c r="JU20" s="68"/>
      <c r="JV20" s="68"/>
      <c r="JW20" s="68"/>
      <c r="JX20" s="68"/>
      <c r="JY20" s="68"/>
      <c r="JZ20" s="68"/>
      <c r="KA20" s="68"/>
      <c r="KB20" s="68"/>
      <c r="KC20" s="68"/>
      <c r="KD20" s="68"/>
      <c r="KE20" s="68"/>
      <c r="KF20" s="68"/>
      <c r="KG20" s="68"/>
      <c r="KH20" s="68"/>
      <c r="KI20" s="68"/>
      <c r="KJ20" s="68"/>
      <c r="KK20" s="68"/>
      <c r="KL20" s="68"/>
      <c r="KM20" s="68"/>
      <c r="KN20" s="68"/>
      <c r="KO20" s="68"/>
      <c r="KP20" s="68"/>
      <c r="KQ20" s="68"/>
      <c r="KR20" s="68"/>
      <c r="KS20" s="68"/>
      <c r="KT20" s="68"/>
      <c r="KU20" s="68"/>
      <c r="KV20" s="68"/>
      <c r="KW20" s="68"/>
      <c r="KX20" s="68"/>
      <c r="KY20" s="68"/>
      <c r="KZ20" s="68"/>
      <c r="LA20" s="68"/>
      <c r="LB20" s="68"/>
      <c r="LC20" s="68"/>
      <c r="LD20" s="68"/>
      <c r="LE20" s="68"/>
      <c r="LF20" s="68"/>
      <c r="LG20" s="68"/>
      <c r="LH20" s="68"/>
      <c r="LI20" s="68"/>
      <c r="LJ20" s="68"/>
      <c r="LK20" s="68"/>
      <c r="LL20" s="68"/>
      <c r="LM20" s="68"/>
      <c r="LN20" s="68"/>
      <c r="LO20" s="68"/>
      <c r="LP20" s="68"/>
      <c r="LQ20" s="68"/>
      <c r="LR20" s="68"/>
      <c r="LS20" s="68"/>
      <c r="LT20" s="68"/>
      <c r="LU20" s="68"/>
      <c r="LV20" s="68"/>
      <c r="LW20" s="68"/>
      <c r="LX20" s="68"/>
      <c r="LY20" s="68"/>
      <c r="LZ20" s="68"/>
      <c r="MA20" s="68"/>
      <c r="MB20" s="68"/>
      <c r="MC20" s="68"/>
      <c r="MD20" s="68"/>
      <c r="ME20" s="68"/>
      <c r="MF20" s="68"/>
      <c r="MG20" s="68"/>
      <c r="MH20" s="68"/>
      <c r="MI20" s="68"/>
      <c r="MJ20" s="68"/>
      <c r="MK20" s="68"/>
      <c r="ML20" s="68"/>
      <c r="MM20" s="68"/>
      <c r="MN20" s="68"/>
      <c r="MO20" s="68"/>
      <c r="MP20" s="68"/>
      <c r="MQ20" s="68"/>
      <c r="MR20" s="68"/>
      <c r="MS20" s="68"/>
      <c r="MT20" s="68"/>
      <c r="MU20" s="68"/>
      <c r="MV20" s="68"/>
      <c r="MW20" s="68"/>
      <c r="MX20" s="68"/>
      <c r="MY20" s="68"/>
      <c r="MZ20" s="68"/>
      <c r="NA20" s="68"/>
      <c r="NB20" s="68"/>
      <c r="NC20" s="68"/>
      <c r="ND20" s="68"/>
      <c r="NE20" s="68"/>
      <c r="NF20" s="68"/>
      <c r="NG20" s="68"/>
      <c r="NH20" s="68"/>
      <c r="NI20" s="68"/>
      <c r="NJ20" s="70">
        <f t="array" aca="1" ref="NJ20" ca="1">SUMPRODUCT((OFFSET($A20,0,31*($A$3-1)+1,1,31)&lt;&gt;"")*(IF(OFFSET($A20,0,31*($A$3-1)+1,1,31)=Database!$K$11,0.5,IF(OFFSET($A20,0,31*($A$3-1)+1,1,31)=Database!$K$12,0.5,1))*(OFFSET($A$4,0,31*($A$3-1)+1,1,31))))</f>
        <v>0</v>
      </c>
      <c r="NK20" s="72">
        <f t="array" aca="1" ref="NK20" ca="1">SUMPRODUCT((OFFSET($A20,0,1,1,372)&lt;&gt;"")*(IF(OFFSET($A20,0,1,1,372)=Database!$K$11,0.5,IF(OFFSET($A20,0,1,1,372)=Database!$K$12,0.5,1))*(OFFSET($A$3,0,1,1,372))))</f>
        <v>1</v>
      </c>
      <c r="NL20" s="63">
        <f t="shared" ca="1" si="7"/>
        <v>0</v>
      </c>
      <c r="NM20" s="63">
        <f t="shared" ca="1" si="7"/>
        <v>0</v>
      </c>
      <c r="NN20" s="63">
        <f t="shared" ca="1" si="7"/>
        <v>0</v>
      </c>
      <c r="NO20" s="63">
        <f t="shared" ca="1" si="7"/>
        <v>0</v>
      </c>
      <c r="NP20" s="63">
        <f t="shared" ca="1" si="7"/>
        <v>1</v>
      </c>
      <c r="NQ20" s="63">
        <f t="shared" ca="1" si="7"/>
        <v>0</v>
      </c>
      <c r="NR20" s="63">
        <f t="shared" ca="1" si="7"/>
        <v>0</v>
      </c>
      <c r="NS20" s="63">
        <f t="shared" ca="1" si="7"/>
        <v>0</v>
      </c>
      <c r="NT20" s="63">
        <f t="shared" ca="1" si="7"/>
        <v>0</v>
      </c>
      <c r="NU20" s="63">
        <f t="shared" ca="1" si="7"/>
        <v>0</v>
      </c>
    </row>
    <row r="21" spans="1:385" ht="18" customHeight="1" x14ac:dyDescent="0.25">
      <c r="A21" s="26" t="s">
        <v>46</v>
      </c>
      <c r="B21" s="68"/>
      <c r="C21" s="68"/>
      <c r="D21" s="68"/>
      <c r="E21" s="68"/>
      <c r="F21" s="68"/>
      <c r="G21" s="68"/>
      <c r="H21" s="68"/>
      <c r="I21" s="68"/>
      <c r="J21" s="68"/>
      <c r="K21" s="68" t="s">
        <v>29</v>
      </c>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t="s">
        <v>54</v>
      </c>
      <c r="AQ21" s="68"/>
      <c r="AR21" s="68"/>
      <c r="AS21" s="68"/>
      <c r="AT21" s="68"/>
      <c r="AU21" s="68"/>
      <c r="AV21" s="68"/>
      <c r="AW21" s="68"/>
      <c r="AX21" s="68"/>
      <c r="AY21" s="68"/>
      <c r="AZ21" s="68"/>
      <c r="BA21" s="68"/>
      <c r="BB21" s="68"/>
      <c r="BC21" s="68"/>
      <c r="BD21" s="68"/>
      <c r="BE21" s="68"/>
      <c r="BF21" s="68"/>
      <c r="BG21" s="68"/>
      <c r="BH21" s="68"/>
      <c r="BI21" s="68"/>
      <c r="BJ21" s="68"/>
      <c r="BK21" s="68"/>
      <c r="BL21" s="68"/>
      <c r="BM21" s="68"/>
      <c r="BN21" s="68"/>
      <c r="BO21" s="68"/>
      <c r="BP21" s="68"/>
      <c r="BQ21" s="68"/>
      <c r="BR21" s="68"/>
      <c r="BS21" s="68" t="s">
        <v>88</v>
      </c>
      <c r="BT21" s="68"/>
      <c r="BU21" s="68" t="s">
        <v>28</v>
      </c>
      <c r="BV21" s="68"/>
      <c r="BW21" s="68"/>
      <c r="BX21" s="68"/>
      <c r="BY21" s="68" t="s">
        <v>30</v>
      </c>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8"/>
      <c r="CX21" s="68"/>
      <c r="CY21" s="68"/>
      <c r="CZ21" s="68"/>
      <c r="DA21" s="68"/>
      <c r="DB21" s="68"/>
      <c r="DC21" s="68"/>
      <c r="DD21" s="68"/>
      <c r="DE21" s="68"/>
      <c r="DF21" s="68"/>
      <c r="DG21" s="68"/>
      <c r="DH21" s="68"/>
      <c r="DI21" s="68"/>
      <c r="DJ21" s="68"/>
      <c r="DK21" s="68"/>
      <c r="DL21" s="68"/>
      <c r="DM21" s="68"/>
      <c r="DN21" s="68"/>
      <c r="DO21" s="68"/>
      <c r="DP21" s="68"/>
      <c r="DQ21" s="68"/>
      <c r="DR21" s="68"/>
      <c r="DS21" s="68"/>
      <c r="DT21" s="68"/>
      <c r="DU21" s="68"/>
      <c r="DV21" s="68"/>
      <c r="DW21" s="68"/>
      <c r="DX21" s="68"/>
      <c r="DY21" s="68"/>
      <c r="DZ21" s="68"/>
      <c r="EA21" s="68"/>
      <c r="EB21" s="68"/>
      <c r="EC21" s="68"/>
      <c r="ED21" s="68"/>
      <c r="EE21" s="68"/>
      <c r="EF21" s="68"/>
      <c r="EG21" s="68"/>
      <c r="EH21" s="68"/>
      <c r="EI21" s="68"/>
      <c r="EJ21" s="68"/>
      <c r="EK21" s="68"/>
      <c r="EL21" s="68"/>
      <c r="EM21" s="68"/>
      <c r="EN21" s="68"/>
      <c r="EO21" s="68"/>
      <c r="EP21" s="68"/>
      <c r="EQ21" s="68"/>
      <c r="ER21" s="68"/>
      <c r="ES21" s="68"/>
      <c r="ET21" s="68"/>
      <c r="EU21" s="68"/>
      <c r="EV21" s="68"/>
      <c r="EW21" s="68"/>
      <c r="EX21" s="68"/>
      <c r="EY21" s="68"/>
      <c r="EZ21" s="68"/>
      <c r="FA21" s="68"/>
      <c r="FB21" s="68"/>
      <c r="FC21" s="68"/>
      <c r="FD21" s="68"/>
      <c r="FE21" s="68"/>
      <c r="FF21" s="68"/>
      <c r="FG21" s="68"/>
      <c r="FH21" s="68"/>
      <c r="FI21" s="68"/>
      <c r="FJ21" s="68"/>
      <c r="FK21" s="68"/>
      <c r="FL21" s="68"/>
      <c r="FM21" s="68"/>
      <c r="FN21" s="68"/>
      <c r="FO21" s="68"/>
      <c r="FP21" s="68"/>
      <c r="FQ21" s="68"/>
      <c r="FR21" s="68"/>
      <c r="FS21" s="68"/>
      <c r="FT21" s="68"/>
      <c r="FU21" s="68"/>
      <c r="FV21" s="68"/>
      <c r="FW21" s="68"/>
      <c r="FX21" s="68"/>
      <c r="FY21" s="68"/>
      <c r="FZ21" s="68"/>
      <c r="GA21" s="68"/>
      <c r="GB21" s="68"/>
      <c r="GC21" s="68"/>
      <c r="GD21" s="68"/>
      <c r="GE21" s="68"/>
      <c r="GF21" s="68"/>
      <c r="GG21" s="68"/>
      <c r="GH21" s="68"/>
      <c r="GI21" s="68"/>
      <c r="GJ21" s="68"/>
      <c r="GK21" s="68"/>
      <c r="GL21" s="68"/>
      <c r="GM21" s="68"/>
      <c r="GN21" s="68"/>
      <c r="GO21" s="68"/>
      <c r="GP21" s="68"/>
      <c r="GQ21" s="68"/>
      <c r="GR21" s="68"/>
      <c r="GS21" s="68"/>
      <c r="GT21" s="68"/>
      <c r="GU21" s="68"/>
      <c r="GV21" s="68"/>
      <c r="GW21" s="68"/>
      <c r="GX21" s="68"/>
      <c r="GY21" s="68"/>
      <c r="GZ21" s="68"/>
      <c r="HA21" s="68"/>
      <c r="HB21" s="68"/>
      <c r="HC21" s="68"/>
      <c r="HD21" s="68"/>
      <c r="HE21" s="68"/>
      <c r="HF21" s="68"/>
      <c r="HG21" s="68"/>
      <c r="HH21" s="68"/>
      <c r="HI21" s="68"/>
      <c r="HJ21" s="68"/>
      <c r="HK21" s="68"/>
      <c r="HL21" s="68"/>
      <c r="HM21" s="68"/>
      <c r="HN21" s="68"/>
      <c r="HO21" s="68"/>
      <c r="HP21" s="68"/>
      <c r="HQ21" s="68"/>
      <c r="HR21" s="68"/>
      <c r="HS21" s="68"/>
      <c r="HT21" s="68"/>
      <c r="HU21" s="68"/>
      <c r="HV21" s="68"/>
      <c r="HW21" s="68"/>
      <c r="HX21" s="68"/>
      <c r="HY21" s="68"/>
      <c r="HZ21" s="68"/>
      <c r="IA21" s="68"/>
      <c r="IB21" s="68"/>
      <c r="IC21" s="68"/>
      <c r="ID21" s="68"/>
      <c r="IE21" s="68"/>
      <c r="IF21" s="68"/>
      <c r="IG21" s="68"/>
      <c r="IH21" s="68"/>
      <c r="II21" s="68"/>
      <c r="IJ21" s="68"/>
      <c r="IK21" s="68"/>
      <c r="IL21" s="68"/>
      <c r="IM21" s="68"/>
      <c r="IN21" s="68"/>
      <c r="IO21" s="68"/>
      <c r="IP21" s="68"/>
      <c r="IQ21" s="68"/>
      <c r="IR21" s="68"/>
      <c r="IS21" s="68"/>
      <c r="IT21" s="68"/>
      <c r="IU21" s="68"/>
      <c r="IV21" s="68"/>
      <c r="IW21" s="68"/>
      <c r="IX21" s="68"/>
      <c r="IY21" s="68"/>
      <c r="IZ21" s="68"/>
      <c r="JA21" s="68"/>
      <c r="JB21" s="68"/>
      <c r="JC21" s="68"/>
      <c r="JD21" s="68"/>
      <c r="JE21" s="68"/>
      <c r="JF21" s="68"/>
      <c r="JG21" s="68"/>
      <c r="JH21" s="68"/>
      <c r="JI21" s="68"/>
      <c r="JJ21" s="68"/>
      <c r="JK21" s="68"/>
      <c r="JL21" s="68"/>
      <c r="JM21" s="68"/>
      <c r="JN21" s="68"/>
      <c r="JO21" s="68"/>
      <c r="JP21" s="68"/>
      <c r="JQ21" s="68"/>
      <c r="JR21" s="68"/>
      <c r="JS21" s="68"/>
      <c r="JT21" s="68"/>
      <c r="JU21" s="68"/>
      <c r="JV21" s="68"/>
      <c r="JW21" s="68"/>
      <c r="JX21" s="68"/>
      <c r="JY21" s="68"/>
      <c r="JZ21" s="68"/>
      <c r="KA21" s="68"/>
      <c r="KB21" s="68"/>
      <c r="KC21" s="68"/>
      <c r="KD21" s="68"/>
      <c r="KE21" s="68"/>
      <c r="KF21" s="68"/>
      <c r="KG21" s="68"/>
      <c r="KH21" s="68"/>
      <c r="KI21" s="68"/>
      <c r="KJ21" s="68"/>
      <c r="KK21" s="68"/>
      <c r="KL21" s="68"/>
      <c r="KM21" s="68"/>
      <c r="KN21" s="68"/>
      <c r="KO21" s="68"/>
      <c r="KP21" s="68"/>
      <c r="KQ21" s="68"/>
      <c r="KR21" s="68"/>
      <c r="KS21" s="68"/>
      <c r="KT21" s="68"/>
      <c r="KU21" s="68"/>
      <c r="KV21" s="68"/>
      <c r="KW21" s="68"/>
      <c r="KX21" s="68"/>
      <c r="KY21" s="68"/>
      <c r="KZ21" s="68"/>
      <c r="LA21" s="68"/>
      <c r="LB21" s="68"/>
      <c r="LC21" s="68"/>
      <c r="LD21" s="68"/>
      <c r="LE21" s="68"/>
      <c r="LF21" s="68"/>
      <c r="LG21" s="68"/>
      <c r="LH21" s="68"/>
      <c r="LI21" s="68"/>
      <c r="LJ21" s="68"/>
      <c r="LK21" s="68"/>
      <c r="LL21" s="68"/>
      <c r="LM21" s="68"/>
      <c r="LN21" s="68"/>
      <c r="LO21" s="68"/>
      <c r="LP21" s="68"/>
      <c r="LQ21" s="68"/>
      <c r="LR21" s="68"/>
      <c r="LS21" s="68"/>
      <c r="LT21" s="68"/>
      <c r="LU21" s="68"/>
      <c r="LV21" s="68"/>
      <c r="LW21" s="68"/>
      <c r="LX21" s="68"/>
      <c r="LY21" s="68"/>
      <c r="LZ21" s="68"/>
      <c r="MA21" s="68"/>
      <c r="MB21" s="68"/>
      <c r="MC21" s="68"/>
      <c r="MD21" s="68"/>
      <c r="ME21" s="68"/>
      <c r="MF21" s="68"/>
      <c r="MG21" s="68"/>
      <c r="MH21" s="68"/>
      <c r="MI21" s="68"/>
      <c r="MJ21" s="68"/>
      <c r="MK21" s="68"/>
      <c r="ML21" s="68"/>
      <c r="MM21" s="68"/>
      <c r="MN21" s="68"/>
      <c r="MO21" s="68"/>
      <c r="MP21" s="68"/>
      <c r="MQ21" s="68"/>
      <c r="MR21" s="68"/>
      <c r="MS21" s="68"/>
      <c r="MT21" s="68"/>
      <c r="MU21" s="68"/>
      <c r="MV21" s="68"/>
      <c r="MW21" s="68"/>
      <c r="MX21" s="68"/>
      <c r="MY21" s="68"/>
      <c r="MZ21" s="68"/>
      <c r="NA21" s="68"/>
      <c r="NB21" s="68"/>
      <c r="NC21" s="68"/>
      <c r="ND21" s="68"/>
      <c r="NE21" s="68"/>
      <c r="NF21" s="68"/>
      <c r="NG21" s="68"/>
      <c r="NH21" s="68"/>
      <c r="NI21" s="68"/>
      <c r="NJ21" s="70">
        <f t="array" aca="1" ref="NJ21" ca="1">SUMPRODUCT((OFFSET($A21,0,31*($A$3-1)+1,1,31)&lt;&gt;"")*(IF(OFFSET($A21,0,31*($A$3-1)+1,1,31)=Database!$K$11,0.5,IF(OFFSET($A21,0,31*($A$3-1)+1,1,31)=Database!$K$12,0.5,1))*(OFFSET($A$4,0,31*($A$3-1)+1,1,31))))</f>
        <v>1</v>
      </c>
      <c r="NK21" s="72">
        <f t="array" aca="1" ref="NK21" ca="1">SUMPRODUCT((OFFSET($A21,0,1,1,372)&lt;&gt;"")*(IF(OFFSET($A21,0,1,1,372)=Database!$K$11,0.5,IF(OFFSET($A21,0,1,1,372)=Database!$K$12,0.5,1))*(OFFSET($A$3,0,1,1,372))))</f>
        <v>4.5</v>
      </c>
      <c r="NL21" s="63">
        <f t="shared" ca="1" si="7"/>
        <v>1</v>
      </c>
      <c r="NM21" s="63">
        <f t="shared" ca="1" si="7"/>
        <v>0</v>
      </c>
      <c r="NN21" s="63">
        <f t="shared" ca="1" si="7"/>
        <v>1</v>
      </c>
      <c r="NO21" s="63">
        <f t="shared" ca="1" si="7"/>
        <v>1</v>
      </c>
      <c r="NP21" s="63">
        <f t="shared" ca="1" si="7"/>
        <v>1</v>
      </c>
      <c r="NQ21" s="63">
        <f t="shared" ca="1" si="7"/>
        <v>0</v>
      </c>
      <c r="NR21" s="63">
        <f t="shared" ca="1" si="7"/>
        <v>0</v>
      </c>
      <c r="NS21" s="63">
        <f t="shared" ca="1" si="7"/>
        <v>0</v>
      </c>
      <c r="NT21" s="63">
        <f t="shared" ca="1" si="7"/>
        <v>1</v>
      </c>
      <c r="NU21" s="63">
        <f t="shared" ca="1" si="7"/>
        <v>0</v>
      </c>
    </row>
    <row r="22" spans="1:385" ht="18" customHeight="1" x14ac:dyDescent="0.25">
      <c r="A22" s="26" t="s">
        <v>47</v>
      </c>
      <c r="B22" s="68"/>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8"/>
      <c r="AY22" s="68"/>
      <c r="AZ22" s="68"/>
      <c r="BA22" s="68"/>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t="s">
        <v>87</v>
      </c>
      <c r="CB22" s="68"/>
      <c r="CC22" s="68"/>
      <c r="CD22" s="68"/>
      <c r="CE22" s="68"/>
      <c r="CF22" s="68"/>
      <c r="CG22" s="68"/>
      <c r="CH22" s="68"/>
      <c r="CI22" s="68"/>
      <c r="CJ22" s="68"/>
      <c r="CK22" s="68"/>
      <c r="CL22" s="68"/>
      <c r="CM22" s="68"/>
      <c r="CN22" s="68"/>
      <c r="CO22" s="68"/>
      <c r="CP22" s="68"/>
      <c r="CQ22" s="68"/>
      <c r="CR22" s="68"/>
      <c r="CS22" s="68"/>
      <c r="CT22" s="68"/>
      <c r="CU22" s="68"/>
      <c r="CV22" s="68"/>
      <c r="CW22" s="68"/>
      <c r="CX22" s="68"/>
      <c r="CY22" s="68"/>
      <c r="CZ22" s="68"/>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8"/>
      <c r="EW22" s="68"/>
      <c r="EX22" s="68"/>
      <c r="EY22" s="68"/>
      <c r="EZ22" s="68"/>
      <c r="FA22" s="68"/>
      <c r="FB22" s="68"/>
      <c r="FC22" s="68"/>
      <c r="FD22" s="68"/>
      <c r="FE22" s="68"/>
      <c r="FF22" s="68"/>
      <c r="FG22" s="68"/>
      <c r="FH22" s="68"/>
      <c r="FI22" s="68"/>
      <c r="FJ22" s="68"/>
      <c r="FK22" s="68"/>
      <c r="FL22" s="68"/>
      <c r="FM22" s="68"/>
      <c r="FN22" s="68"/>
      <c r="FO22" s="68"/>
      <c r="FP22" s="68"/>
      <c r="FQ22" s="68"/>
      <c r="FR22" s="68"/>
      <c r="FS22" s="68"/>
      <c r="FT22" s="68"/>
      <c r="FU22" s="68"/>
      <c r="FV22" s="68"/>
      <c r="FW22" s="68"/>
      <c r="FX22" s="68"/>
      <c r="FY22" s="68"/>
      <c r="FZ22" s="68"/>
      <c r="GA22" s="68"/>
      <c r="GB22" s="68"/>
      <c r="GC22" s="68"/>
      <c r="GD22" s="68"/>
      <c r="GE22" s="68"/>
      <c r="GF22" s="68"/>
      <c r="GG22" s="68"/>
      <c r="GH22" s="68"/>
      <c r="GI22" s="68"/>
      <c r="GJ22" s="68"/>
      <c r="GK22" s="68"/>
      <c r="GL22" s="68"/>
      <c r="GM22" s="68"/>
      <c r="GN22" s="68"/>
      <c r="GO22" s="68"/>
      <c r="GP22" s="68"/>
      <c r="GQ22" s="68"/>
      <c r="GR22" s="68"/>
      <c r="GS22" s="68"/>
      <c r="GT22" s="68"/>
      <c r="GU22" s="68"/>
      <c r="GV22" s="68"/>
      <c r="GW22" s="68"/>
      <c r="GX22" s="68"/>
      <c r="GY22" s="68"/>
      <c r="GZ22" s="68"/>
      <c r="HA22" s="68"/>
      <c r="HB22" s="68"/>
      <c r="HC22" s="68"/>
      <c r="HD22" s="68"/>
      <c r="HE22" s="68"/>
      <c r="HF22" s="68"/>
      <c r="HG22" s="68"/>
      <c r="HH22" s="68"/>
      <c r="HI22" s="68"/>
      <c r="HJ22" s="68"/>
      <c r="HK22" s="68"/>
      <c r="HL22" s="68"/>
      <c r="HM22" s="68"/>
      <c r="HN22" s="68"/>
      <c r="HO22" s="68"/>
      <c r="HP22" s="68"/>
      <c r="HQ22" s="68"/>
      <c r="HR22" s="68"/>
      <c r="HS22" s="68"/>
      <c r="HT22" s="68"/>
      <c r="HU22" s="68"/>
      <c r="HV22" s="68"/>
      <c r="HW22" s="68"/>
      <c r="HX22" s="68"/>
      <c r="HY22" s="68"/>
      <c r="HZ22" s="68"/>
      <c r="IA22" s="68"/>
      <c r="IB22" s="68"/>
      <c r="IC22" s="68"/>
      <c r="ID22" s="68"/>
      <c r="IE22" s="68"/>
      <c r="IF22" s="68"/>
      <c r="IG22" s="68"/>
      <c r="IH22" s="68"/>
      <c r="II22" s="68"/>
      <c r="IJ22" s="68"/>
      <c r="IK22" s="68"/>
      <c r="IL22" s="68"/>
      <c r="IM22" s="68"/>
      <c r="IN22" s="68"/>
      <c r="IO22" s="68"/>
      <c r="IP22" s="68"/>
      <c r="IQ22" s="68"/>
      <c r="IR22" s="68"/>
      <c r="IS22" s="68"/>
      <c r="IT22" s="68"/>
      <c r="IU22" s="68"/>
      <c r="IV22" s="68"/>
      <c r="IW22" s="68"/>
      <c r="IX22" s="68"/>
      <c r="IY22" s="68"/>
      <c r="IZ22" s="68"/>
      <c r="JA22" s="68"/>
      <c r="JB22" s="68"/>
      <c r="JC22" s="68"/>
      <c r="JD22" s="68"/>
      <c r="JE22" s="68"/>
      <c r="JF22" s="68"/>
      <c r="JG22" s="68"/>
      <c r="JH22" s="68"/>
      <c r="JI22" s="68"/>
      <c r="JJ22" s="68"/>
      <c r="JK22" s="68"/>
      <c r="JL22" s="68"/>
      <c r="JM22" s="68"/>
      <c r="JN22" s="68"/>
      <c r="JO22" s="68"/>
      <c r="JP22" s="68"/>
      <c r="JQ22" s="68"/>
      <c r="JR22" s="68"/>
      <c r="JS22" s="68"/>
      <c r="JT22" s="68"/>
      <c r="JU22" s="68"/>
      <c r="JV22" s="68"/>
      <c r="JW22" s="68"/>
      <c r="JX22" s="68"/>
      <c r="JY22" s="68"/>
      <c r="JZ22" s="68"/>
      <c r="KA22" s="68"/>
      <c r="KB22" s="68"/>
      <c r="KC22" s="68"/>
      <c r="KD22" s="68"/>
      <c r="KE22" s="68"/>
      <c r="KF22" s="68"/>
      <c r="KG22" s="68"/>
      <c r="KH22" s="68"/>
      <c r="KI22" s="68"/>
      <c r="KJ22" s="68"/>
      <c r="KK22" s="68"/>
      <c r="KL22" s="68"/>
      <c r="KM22" s="68"/>
      <c r="KN22" s="68"/>
      <c r="KO22" s="68"/>
      <c r="KP22" s="68"/>
      <c r="KQ22" s="68"/>
      <c r="KR22" s="68"/>
      <c r="KS22" s="68"/>
      <c r="KT22" s="68"/>
      <c r="KU22" s="68"/>
      <c r="KV22" s="68"/>
      <c r="KW22" s="68"/>
      <c r="KX22" s="68"/>
      <c r="KY22" s="68"/>
      <c r="KZ22" s="68"/>
      <c r="LA22" s="68"/>
      <c r="LB22" s="68"/>
      <c r="LC22" s="68"/>
      <c r="LD22" s="68"/>
      <c r="LE22" s="68"/>
      <c r="LF22" s="68"/>
      <c r="LG22" s="68"/>
      <c r="LH22" s="68"/>
      <c r="LI22" s="68"/>
      <c r="LJ22" s="68"/>
      <c r="LK22" s="68"/>
      <c r="LL22" s="68"/>
      <c r="LM22" s="68"/>
      <c r="LN22" s="68"/>
      <c r="LO22" s="68"/>
      <c r="LP22" s="68"/>
      <c r="LQ22" s="68"/>
      <c r="LR22" s="68"/>
      <c r="LS22" s="68"/>
      <c r="LT22" s="68"/>
      <c r="LU22" s="68"/>
      <c r="LV22" s="68"/>
      <c r="LW22" s="68"/>
      <c r="LX22" s="68"/>
      <c r="LY22" s="68"/>
      <c r="LZ22" s="68"/>
      <c r="MA22" s="68"/>
      <c r="MB22" s="68"/>
      <c r="MC22" s="68"/>
      <c r="MD22" s="68"/>
      <c r="ME22" s="68"/>
      <c r="MF22" s="68"/>
      <c r="MG22" s="68"/>
      <c r="MH22" s="68"/>
      <c r="MI22" s="68"/>
      <c r="MJ22" s="68"/>
      <c r="MK22" s="68"/>
      <c r="ML22" s="68"/>
      <c r="MM22" s="68"/>
      <c r="MN22" s="68"/>
      <c r="MO22" s="68"/>
      <c r="MP22" s="68"/>
      <c r="MQ22" s="68"/>
      <c r="MR22" s="68"/>
      <c r="MS22" s="68"/>
      <c r="MT22" s="68"/>
      <c r="MU22" s="68"/>
      <c r="MV22" s="68"/>
      <c r="MW22" s="68"/>
      <c r="MX22" s="68"/>
      <c r="MY22" s="68"/>
      <c r="MZ22" s="68"/>
      <c r="NA22" s="68"/>
      <c r="NB22" s="68"/>
      <c r="NC22" s="68"/>
      <c r="ND22" s="68"/>
      <c r="NE22" s="68"/>
      <c r="NF22" s="68"/>
      <c r="NG22" s="68"/>
      <c r="NH22" s="68"/>
      <c r="NI22" s="68"/>
      <c r="NJ22" s="70">
        <f t="array" aca="1" ref="NJ22" ca="1">SUMPRODUCT((OFFSET($A22,0,31*($A$3-1)+1,1,31)&lt;&gt;"")*(IF(OFFSET($A22,0,31*($A$3-1)+1,1,31)=Database!$K$11,0.5,IF(OFFSET($A22,0,31*($A$3-1)+1,1,31)=Database!$K$12,0.5,1))*(OFFSET($A$4,0,31*($A$3-1)+1,1,31))))</f>
        <v>0</v>
      </c>
      <c r="NK22" s="72">
        <f t="array" aca="1" ref="NK22" ca="1">SUMPRODUCT((OFFSET($A22,0,1,1,372)&lt;&gt;"")*(IF(OFFSET($A22,0,1,1,372)=Database!$K$11,0.5,IF(OFFSET($A22,0,1,1,372)=Database!$K$12,0.5,1))*(OFFSET($A$3,0,1,1,372))))</f>
        <v>0.5</v>
      </c>
      <c r="NL22" s="63">
        <f t="shared" ca="1" si="7"/>
        <v>0</v>
      </c>
      <c r="NM22" s="63">
        <f t="shared" ca="1" si="7"/>
        <v>0</v>
      </c>
      <c r="NN22" s="63">
        <f t="shared" ca="1" si="7"/>
        <v>0</v>
      </c>
      <c r="NO22" s="63">
        <f t="shared" ca="1" si="7"/>
        <v>0</v>
      </c>
      <c r="NP22" s="63">
        <f t="shared" ca="1" si="7"/>
        <v>0</v>
      </c>
      <c r="NQ22" s="63">
        <f t="shared" ca="1" si="7"/>
        <v>0</v>
      </c>
      <c r="NR22" s="63">
        <f t="shared" ca="1" si="7"/>
        <v>0</v>
      </c>
      <c r="NS22" s="63">
        <f t="shared" ca="1" si="7"/>
        <v>0</v>
      </c>
      <c r="NT22" s="63">
        <f t="shared" ca="1" si="7"/>
        <v>0</v>
      </c>
      <c r="NU22" s="63">
        <f t="shared" ca="1" si="7"/>
        <v>1</v>
      </c>
    </row>
    <row r="23" spans="1:385" ht="18" customHeight="1" x14ac:dyDescent="0.25">
      <c r="A23" s="26" t="s">
        <v>48</v>
      </c>
      <c r="B23" s="68"/>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8"/>
      <c r="AY23" s="68"/>
      <c r="AZ23" s="68"/>
      <c r="BA23" s="68"/>
      <c r="BB23" s="68" t="s">
        <v>87</v>
      </c>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8"/>
      <c r="CX23" s="68"/>
      <c r="CY23" s="68"/>
      <c r="CZ23" s="68"/>
      <c r="DA23" s="68"/>
      <c r="DB23" s="68"/>
      <c r="DC23" s="68"/>
      <c r="DD23" s="68"/>
      <c r="DE23" s="68"/>
      <c r="DF23" s="68"/>
      <c r="DG23" s="68"/>
      <c r="DH23" s="68"/>
      <c r="DI23" s="68"/>
      <c r="DJ23" s="68"/>
      <c r="DK23" s="68"/>
      <c r="DL23" s="68"/>
      <c r="DM23" s="68"/>
      <c r="DN23" s="68"/>
      <c r="DO23" s="68"/>
      <c r="DP23" s="68"/>
      <c r="DQ23" s="68"/>
      <c r="DR23" s="68"/>
      <c r="DS23" s="68"/>
      <c r="DT23" s="68"/>
      <c r="DU23" s="68"/>
      <c r="DV23" s="68"/>
      <c r="DW23" s="68"/>
      <c r="DX23" s="68"/>
      <c r="DY23" s="68"/>
      <c r="DZ23" s="68"/>
      <c r="EA23" s="68"/>
      <c r="EB23" s="68"/>
      <c r="EC23" s="68"/>
      <c r="ED23" s="68"/>
      <c r="EE23" s="68"/>
      <c r="EF23" s="68"/>
      <c r="EG23" s="68"/>
      <c r="EH23" s="68"/>
      <c r="EI23" s="68"/>
      <c r="EJ23" s="68"/>
      <c r="EK23" s="68"/>
      <c r="EL23" s="68"/>
      <c r="EM23" s="68"/>
      <c r="EN23" s="68"/>
      <c r="EO23" s="68"/>
      <c r="EP23" s="68"/>
      <c r="EQ23" s="68"/>
      <c r="ER23" s="68"/>
      <c r="ES23" s="68"/>
      <c r="ET23" s="68"/>
      <c r="EU23" s="68"/>
      <c r="EV23" s="68"/>
      <c r="EW23" s="68"/>
      <c r="EX23" s="68"/>
      <c r="EY23" s="68"/>
      <c r="EZ23" s="68"/>
      <c r="FA23" s="68"/>
      <c r="FB23" s="68"/>
      <c r="FC23" s="68"/>
      <c r="FD23" s="68"/>
      <c r="FE23" s="68"/>
      <c r="FF23" s="68"/>
      <c r="FG23" s="68"/>
      <c r="FH23" s="68"/>
      <c r="FI23" s="68"/>
      <c r="FJ23" s="68"/>
      <c r="FK23" s="68"/>
      <c r="FL23" s="68"/>
      <c r="FM23" s="68"/>
      <c r="FN23" s="68"/>
      <c r="FO23" s="68"/>
      <c r="FP23" s="68"/>
      <c r="FQ23" s="68"/>
      <c r="FR23" s="68"/>
      <c r="FS23" s="68"/>
      <c r="FT23" s="68"/>
      <c r="FU23" s="68"/>
      <c r="FV23" s="68"/>
      <c r="FW23" s="68"/>
      <c r="FX23" s="68"/>
      <c r="FY23" s="68"/>
      <c r="FZ23" s="68"/>
      <c r="GA23" s="68"/>
      <c r="GB23" s="68"/>
      <c r="GC23" s="68"/>
      <c r="GD23" s="68"/>
      <c r="GE23" s="68"/>
      <c r="GF23" s="68"/>
      <c r="GG23" s="68"/>
      <c r="GH23" s="68"/>
      <c r="GI23" s="68"/>
      <c r="GJ23" s="68"/>
      <c r="GK23" s="68"/>
      <c r="GL23" s="68"/>
      <c r="GM23" s="68"/>
      <c r="GN23" s="68"/>
      <c r="GO23" s="68"/>
      <c r="GP23" s="68"/>
      <c r="GQ23" s="68"/>
      <c r="GR23" s="68"/>
      <c r="GS23" s="68"/>
      <c r="GT23" s="68"/>
      <c r="GU23" s="68"/>
      <c r="GV23" s="68"/>
      <c r="GW23" s="68"/>
      <c r="GX23" s="68"/>
      <c r="GY23" s="68"/>
      <c r="GZ23" s="68"/>
      <c r="HA23" s="68"/>
      <c r="HB23" s="68"/>
      <c r="HC23" s="68"/>
      <c r="HD23" s="68"/>
      <c r="HE23" s="68"/>
      <c r="HF23" s="68"/>
      <c r="HG23" s="68"/>
      <c r="HH23" s="68"/>
      <c r="HI23" s="68"/>
      <c r="HJ23" s="68"/>
      <c r="HK23" s="68"/>
      <c r="HL23" s="68"/>
      <c r="HM23" s="68"/>
      <c r="HN23" s="68"/>
      <c r="HO23" s="68"/>
      <c r="HP23" s="68"/>
      <c r="HQ23" s="68"/>
      <c r="HR23" s="68"/>
      <c r="HS23" s="68"/>
      <c r="HT23" s="68"/>
      <c r="HU23" s="68"/>
      <c r="HV23" s="68"/>
      <c r="HW23" s="68"/>
      <c r="HX23" s="68"/>
      <c r="HY23" s="68"/>
      <c r="HZ23" s="68"/>
      <c r="IA23" s="68"/>
      <c r="IB23" s="68"/>
      <c r="IC23" s="68"/>
      <c r="ID23" s="68"/>
      <c r="IE23" s="68"/>
      <c r="IF23" s="68"/>
      <c r="IG23" s="68"/>
      <c r="IH23" s="68"/>
      <c r="II23" s="68"/>
      <c r="IJ23" s="68"/>
      <c r="IK23" s="68"/>
      <c r="IL23" s="68"/>
      <c r="IM23" s="68"/>
      <c r="IN23" s="68"/>
      <c r="IO23" s="68"/>
      <c r="IP23" s="68"/>
      <c r="IQ23" s="68"/>
      <c r="IR23" s="68"/>
      <c r="IS23" s="68"/>
      <c r="IT23" s="68"/>
      <c r="IU23" s="68"/>
      <c r="IV23" s="68"/>
      <c r="IW23" s="68"/>
      <c r="IX23" s="68"/>
      <c r="IY23" s="68"/>
      <c r="IZ23" s="68"/>
      <c r="JA23" s="68"/>
      <c r="JB23" s="68"/>
      <c r="JC23" s="68"/>
      <c r="JD23" s="68"/>
      <c r="JE23" s="68"/>
      <c r="JF23" s="68"/>
      <c r="JG23" s="68"/>
      <c r="JH23" s="68"/>
      <c r="JI23" s="68"/>
      <c r="JJ23" s="68"/>
      <c r="JK23" s="68"/>
      <c r="JL23" s="68"/>
      <c r="JM23" s="68"/>
      <c r="JN23" s="68"/>
      <c r="JO23" s="68"/>
      <c r="JP23" s="68"/>
      <c r="JQ23" s="68"/>
      <c r="JR23" s="68"/>
      <c r="JS23" s="68"/>
      <c r="JT23" s="68"/>
      <c r="JU23" s="68"/>
      <c r="JV23" s="68"/>
      <c r="JW23" s="68"/>
      <c r="JX23" s="68"/>
      <c r="JY23" s="68"/>
      <c r="JZ23" s="68"/>
      <c r="KA23" s="68"/>
      <c r="KB23" s="68"/>
      <c r="KC23" s="68"/>
      <c r="KD23" s="68"/>
      <c r="KE23" s="68"/>
      <c r="KF23" s="68"/>
      <c r="KG23" s="68"/>
      <c r="KH23" s="68"/>
      <c r="KI23" s="68"/>
      <c r="KJ23" s="68"/>
      <c r="KK23" s="68"/>
      <c r="KL23" s="68"/>
      <c r="KM23" s="68"/>
      <c r="KN23" s="68"/>
      <c r="KO23" s="68"/>
      <c r="KP23" s="68"/>
      <c r="KQ23" s="68"/>
      <c r="KR23" s="68"/>
      <c r="KS23" s="68"/>
      <c r="KT23" s="68"/>
      <c r="KU23" s="68"/>
      <c r="KV23" s="68"/>
      <c r="KW23" s="68"/>
      <c r="KX23" s="68"/>
      <c r="KY23" s="68"/>
      <c r="KZ23" s="68"/>
      <c r="LA23" s="68"/>
      <c r="LB23" s="68"/>
      <c r="LC23" s="68"/>
      <c r="LD23" s="68"/>
      <c r="LE23" s="68"/>
      <c r="LF23" s="68"/>
      <c r="LG23" s="68"/>
      <c r="LH23" s="68"/>
      <c r="LI23" s="68"/>
      <c r="LJ23" s="68"/>
      <c r="LK23" s="68"/>
      <c r="LL23" s="68"/>
      <c r="LM23" s="68"/>
      <c r="LN23" s="68"/>
      <c r="LO23" s="68"/>
      <c r="LP23" s="68"/>
      <c r="LQ23" s="68"/>
      <c r="LR23" s="68"/>
      <c r="LS23" s="68"/>
      <c r="LT23" s="68"/>
      <c r="LU23" s="68"/>
      <c r="LV23" s="68"/>
      <c r="LW23" s="68"/>
      <c r="LX23" s="68"/>
      <c r="LY23" s="68"/>
      <c r="LZ23" s="68"/>
      <c r="MA23" s="68"/>
      <c r="MB23" s="68"/>
      <c r="MC23" s="68"/>
      <c r="MD23" s="68"/>
      <c r="ME23" s="68"/>
      <c r="MF23" s="68"/>
      <c r="MG23" s="68"/>
      <c r="MH23" s="68"/>
      <c r="MI23" s="68"/>
      <c r="MJ23" s="68"/>
      <c r="MK23" s="68"/>
      <c r="ML23" s="68"/>
      <c r="MM23" s="68"/>
      <c r="MN23" s="68"/>
      <c r="MO23" s="68"/>
      <c r="MP23" s="68"/>
      <c r="MQ23" s="68"/>
      <c r="MR23" s="68"/>
      <c r="MS23" s="68"/>
      <c r="MT23" s="68"/>
      <c r="MU23" s="68"/>
      <c r="MV23" s="68"/>
      <c r="MW23" s="68"/>
      <c r="MX23" s="68"/>
      <c r="MY23" s="68"/>
      <c r="MZ23" s="68"/>
      <c r="NA23" s="68"/>
      <c r="NB23" s="68"/>
      <c r="NC23" s="68"/>
      <c r="ND23" s="68"/>
      <c r="NE23" s="68"/>
      <c r="NF23" s="68"/>
      <c r="NG23" s="68"/>
      <c r="NH23" s="68"/>
      <c r="NI23" s="68"/>
      <c r="NJ23" s="70">
        <f t="array" aca="1" ref="NJ23" ca="1">SUMPRODUCT((OFFSET($A23,0,31*($A$3-1)+1,1,31)&lt;&gt;"")*(IF(OFFSET($A23,0,31*($A$3-1)+1,1,31)=Database!$K$11,0.5,IF(OFFSET($A23,0,31*($A$3-1)+1,1,31)=Database!$K$12,0.5,1))*(OFFSET($A$4,0,31*($A$3-1)+1,1,31))))</f>
        <v>0</v>
      </c>
      <c r="NK23" s="72">
        <f t="array" aca="1" ref="NK23" ca="1">SUMPRODUCT((OFFSET($A23,0,1,1,372)&lt;&gt;"")*(IF(OFFSET($A23,0,1,1,372)=Database!$K$11,0.5,IF(OFFSET($A23,0,1,1,372)=Database!$K$12,0.5,1))*(OFFSET($A$3,0,1,1,372))))</f>
        <v>0.5</v>
      </c>
      <c r="NL23" s="63">
        <f t="shared" ca="1" si="7"/>
        <v>0</v>
      </c>
      <c r="NM23" s="63">
        <f t="shared" ca="1" si="7"/>
        <v>0</v>
      </c>
      <c r="NN23" s="63">
        <f t="shared" ca="1" si="7"/>
        <v>0</v>
      </c>
      <c r="NO23" s="63">
        <f t="shared" ca="1" si="7"/>
        <v>0</v>
      </c>
      <c r="NP23" s="63">
        <f t="shared" ca="1" si="7"/>
        <v>0</v>
      </c>
      <c r="NQ23" s="63">
        <f t="shared" ca="1" si="7"/>
        <v>0</v>
      </c>
      <c r="NR23" s="63">
        <f t="shared" ca="1" si="7"/>
        <v>0</v>
      </c>
      <c r="NS23" s="63">
        <f t="shared" ca="1" si="7"/>
        <v>0</v>
      </c>
      <c r="NT23" s="63">
        <f t="shared" ca="1" si="7"/>
        <v>0</v>
      </c>
      <c r="NU23" s="63">
        <f t="shared" ca="1" si="7"/>
        <v>1</v>
      </c>
    </row>
    <row r="24" spans="1:385" ht="18" customHeight="1" x14ac:dyDescent="0.25">
      <c r="A24" s="26" t="s">
        <v>49</v>
      </c>
      <c r="B24" s="68"/>
      <c r="C24" s="68"/>
      <c r="D24" s="68"/>
      <c r="E24" s="68"/>
      <c r="F24" s="68"/>
      <c r="G24" s="68"/>
      <c r="H24" s="68"/>
      <c r="I24" s="68"/>
      <c r="J24" s="68"/>
      <c r="K24" s="68"/>
      <c r="L24" s="68" t="s">
        <v>30</v>
      </c>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8"/>
      <c r="AY24" s="68"/>
      <c r="AZ24" s="68"/>
      <c r="BA24" s="68"/>
      <c r="BB24" s="68"/>
      <c r="BC24" s="68"/>
      <c r="BD24" s="68"/>
      <c r="BE24" s="68"/>
      <c r="BF24" s="68"/>
      <c r="BG24" s="68"/>
      <c r="BH24" s="68"/>
      <c r="BI24" s="68"/>
      <c r="BJ24" s="68"/>
      <c r="BK24" s="68"/>
      <c r="BL24" s="68"/>
      <c r="BM24" s="68"/>
      <c r="BN24" s="68" t="s">
        <v>81</v>
      </c>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8"/>
      <c r="CX24" s="68"/>
      <c r="CY24" s="68"/>
      <c r="CZ24" s="68"/>
      <c r="DA24" s="68"/>
      <c r="DB24" s="68"/>
      <c r="DC24" s="68"/>
      <c r="DD24" s="68"/>
      <c r="DE24" s="68"/>
      <c r="DF24" s="68"/>
      <c r="DG24" s="68"/>
      <c r="DH24" s="68"/>
      <c r="DI24" s="68"/>
      <c r="DJ24" s="68"/>
      <c r="DK24" s="68"/>
      <c r="DL24" s="68"/>
      <c r="DM24" s="68"/>
      <c r="DN24" s="68"/>
      <c r="DO24" s="68"/>
      <c r="DP24" s="68"/>
      <c r="DQ24" s="68"/>
      <c r="DR24" s="68"/>
      <c r="DS24" s="68"/>
      <c r="DT24" s="68"/>
      <c r="DU24" s="68"/>
      <c r="DV24" s="68"/>
      <c r="DW24" s="68"/>
      <c r="DX24" s="68"/>
      <c r="DY24" s="68"/>
      <c r="DZ24" s="68"/>
      <c r="EA24" s="68"/>
      <c r="EB24" s="68"/>
      <c r="EC24" s="68"/>
      <c r="ED24" s="68"/>
      <c r="EE24" s="68"/>
      <c r="EF24" s="68"/>
      <c r="EG24" s="68"/>
      <c r="EH24" s="68"/>
      <c r="EI24" s="68"/>
      <c r="EJ24" s="68"/>
      <c r="EK24" s="68"/>
      <c r="EL24" s="68"/>
      <c r="EM24" s="68"/>
      <c r="EN24" s="68"/>
      <c r="EO24" s="68"/>
      <c r="EP24" s="68"/>
      <c r="EQ24" s="68"/>
      <c r="ER24" s="68"/>
      <c r="ES24" s="68"/>
      <c r="ET24" s="68"/>
      <c r="EU24" s="68"/>
      <c r="EV24" s="68"/>
      <c r="EW24" s="68"/>
      <c r="EX24" s="68"/>
      <c r="EY24" s="68"/>
      <c r="EZ24" s="68"/>
      <c r="FA24" s="68"/>
      <c r="FB24" s="68"/>
      <c r="FC24" s="68"/>
      <c r="FD24" s="68"/>
      <c r="FE24" s="68"/>
      <c r="FF24" s="68"/>
      <c r="FG24" s="68"/>
      <c r="FH24" s="68"/>
      <c r="FI24" s="68"/>
      <c r="FJ24" s="68"/>
      <c r="FK24" s="68"/>
      <c r="FL24" s="68"/>
      <c r="FM24" s="68"/>
      <c r="FN24" s="68"/>
      <c r="FO24" s="68"/>
      <c r="FP24" s="68"/>
      <c r="FQ24" s="68"/>
      <c r="FR24" s="68"/>
      <c r="FS24" s="68"/>
      <c r="FT24" s="68"/>
      <c r="FU24" s="68"/>
      <c r="FV24" s="68"/>
      <c r="FW24" s="68"/>
      <c r="FX24" s="68"/>
      <c r="FY24" s="68"/>
      <c r="FZ24" s="68"/>
      <c r="GA24" s="68"/>
      <c r="GB24" s="68"/>
      <c r="GC24" s="68"/>
      <c r="GD24" s="68"/>
      <c r="GE24" s="68"/>
      <c r="GF24" s="68"/>
      <c r="GG24" s="68"/>
      <c r="GH24" s="68"/>
      <c r="GI24" s="68"/>
      <c r="GJ24" s="68"/>
      <c r="GK24" s="68"/>
      <c r="GL24" s="68"/>
      <c r="GM24" s="68"/>
      <c r="GN24" s="68"/>
      <c r="GO24" s="68"/>
      <c r="GP24" s="68"/>
      <c r="GQ24" s="68"/>
      <c r="GR24" s="68"/>
      <c r="GS24" s="68"/>
      <c r="GT24" s="68"/>
      <c r="GU24" s="68"/>
      <c r="GV24" s="68"/>
      <c r="GW24" s="68"/>
      <c r="GX24" s="68"/>
      <c r="GY24" s="68"/>
      <c r="GZ24" s="68"/>
      <c r="HA24" s="68"/>
      <c r="HB24" s="68"/>
      <c r="HC24" s="68"/>
      <c r="HD24" s="68"/>
      <c r="HE24" s="68"/>
      <c r="HF24" s="68"/>
      <c r="HG24" s="68"/>
      <c r="HH24" s="68"/>
      <c r="HI24" s="68"/>
      <c r="HJ24" s="68"/>
      <c r="HK24" s="68"/>
      <c r="HL24" s="68"/>
      <c r="HM24" s="68"/>
      <c r="HN24" s="68"/>
      <c r="HO24" s="68"/>
      <c r="HP24" s="68"/>
      <c r="HQ24" s="68"/>
      <c r="HR24" s="68"/>
      <c r="HS24" s="68"/>
      <c r="HT24" s="68"/>
      <c r="HU24" s="68"/>
      <c r="HV24" s="68"/>
      <c r="HW24" s="68"/>
      <c r="HX24" s="68"/>
      <c r="HY24" s="68"/>
      <c r="HZ24" s="68"/>
      <c r="IA24" s="68"/>
      <c r="IB24" s="68"/>
      <c r="IC24" s="68"/>
      <c r="ID24" s="68"/>
      <c r="IE24" s="68"/>
      <c r="IF24" s="68"/>
      <c r="IG24" s="68"/>
      <c r="IH24" s="68"/>
      <c r="II24" s="68"/>
      <c r="IJ24" s="68"/>
      <c r="IK24" s="68"/>
      <c r="IL24" s="68"/>
      <c r="IM24" s="68"/>
      <c r="IN24" s="68"/>
      <c r="IO24" s="68"/>
      <c r="IP24" s="68"/>
      <c r="IQ24" s="68"/>
      <c r="IR24" s="68"/>
      <c r="IS24" s="68"/>
      <c r="IT24" s="68"/>
      <c r="IU24" s="68"/>
      <c r="IV24" s="68"/>
      <c r="IW24" s="68"/>
      <c r="IX24" s="68"/>
      <c r="IY24" s="68"/>
      <c r="IZ24" s="68"/>
      <c r="JA24" s="68"/>
      <c r="JB24" s="68"/>
      <c r="JC24" s="68"/>
      <c r="JD24" s="68"/>
      <c r="JE24" s="68"/>
      <c r="JF24" s="68"/>
      <c r="JG24" s="68"/>
      <c r="JH24" s="68"/>
      <c r="JI24" s="68"/>
      <c r="JJ24" s="68"/>
      <c r="JK24" s="68"/>
      <c r="JL24" s="68"/>
      <c r="JM24" s="68"/>
      <c r="JN24" s="68"/>
      <c r="JO24" s="68"/>
      <c r="JP24" s="68"/>
      <c r="JQ24" s="68"/>
      <c r="JR24" s="68"/>
      <c r="JS24" s="68"/>
      <c r="JT24" s="68"/>
      <c r="JU24" s="68"/>
      <c r="JV24" s="68"/>
      <c r="JW24" s="68"/>
      <c r="JX24" s="68"/>
      <c r="JY24" s="68"/>
      <c r="JZ24" s="68"/>
      <c r="KA24" s="68"/>
      <c r="KB24" s="68"/>
      <c r="KC24" s="68"/>
      <c r="KD24" s="68"/>
      <c r="KE24" s="68"/>
      <c r="KF24" s="68"/>
      <c r="KG24" s="68"/>
      <c r="KH24" s="68"/>
      <c r="KI24" s="68"/>
      <c r="KJ24" s="68"/>
      <c r="KK24" s="68"/>
      <c r="KL24" s="68"/>
      <c r="KM24" s="68"/>
      <c r="KN24" s="68"/>
      <c r="KO24" s="68"/>
      <c r="KP24" s="68"/>
      <c r="KQ24" s="68"/>
      <c r="KR24" s="68"/>
      <c r="KS24" s="68"/>
      <c r="KT24" s="68"/>
      <c r="KU24" s="68"/>
      <c r="KV24" s="68"/>
      <c r="KW24" s="68"/>
      <c r="KX24" s="68"/>
      <c r="KY24" s="68"/>
      <c r="KZ24" s="68"/>
      <c r="LA24" s="68"/>
      <c r="LB24" s="68"/>
      <c r="LC24" s="68"/>
      <c r="LD24" s="68"/>
      <c r="LE24" s="68"/>
      <c r="LF24" s="68"/>
      <c r="LG24" s="68"/>
      <c r="LH24" s="68"/>
      <c r="LI24" s="68"/>
      <c r="LJ24" s="68"/>
      <c r="LK24" s="68"/>
      <c r="LL24" s="68"/>
      <c r="LM24" s="68"/>
      <c r="LN24" s="68"/>
      <c r="LO24" s="68"/>
      <c r="LP24" s="68"/>
      <c r="LQ24" s="68"/>
      <c r="LR24" s="68"/>
      <c r="LS24" s="68"/>
      <c r="LT24" s="68"/>
      <c r="LU24" s="68"/>
      <c r="LV24" s="68"/>
      <c r="LW24" s="68"/>
      <c r="LX24" s="68"/>
      <c r="LY24" s="68"/>
      <c r="LZ24" s="68"/>
      <c r="MA24" s="68"/>
      <c r="MB24" s="68"/>
      <c r="MC24" s="68"/>
      <c r="MD24" s="68"/>
      <c r="ME24" s="68"/>
      <c r="MF24" s="68"/>
      <c r="MG24" s="68"/>
      <c r="MH24" s="68"/>
      <c r="MI24" s="68"/>
      <c r="MJ24" s="68"/>
      <c r="MK24" s="68"/>
      <c r="ML24" s="68"/>
      <c r="MM24" s="68"/>
      <c r="MN24" s="68"/>
      <c r="MO24" s="68"/>
      <c r="MP24" s="68"/>
      <c r="MQ24" s="68"/>
      <c r="MR24" s="68"/>
      <c r="MS24" s="68"/>
      <c r="MT24" s="68"/>
      <c r="MU24" s="68"/>
      <c r="MV24" s="68"/>
      <c r="MW24" s="68"/>
      <c r="MX24" s="68"/>
      <c r="MY24" s="68"/>
      <c r="MZ24" s="68"/>
      <c r="NA24" s="68"/>
      <c r="NB24" s="68"/>
      <c r="NC24" s="68"/>
      <c r="ND24" s="68"/>
      <c r="NE24" s="68"/>
      <c r="NF24" s="68"/>
      <c r="NG24" s="68"/>
      <c r="NH24" s="68"/>
      <c r="NI24" s="68"/>
      <c r="NJ24" s="70">
        <f t="array" aca="1" ref="NJ24" ca="1">SUMPRODUCT((OFFSET($A24,0,31*($A$3-1)+1,1,31)&lt;&gt;"")*(IF(OFFSET($A24,0,31*($A$3-1)+1,1,31)=Database!$K$11,0.5,IF(OFFSET($A24,0,31*($A$3-1)+1,1,31)=Database!$K$12,0.5,1))*(OFFSET($A$4,0,31*($A$3-1)+1,1,31))))</f>
        <v>1</v>
      </c>
      <c r="NK24" s="72">
        <f t="array" aca="1" ref="NK24" ca="1">SUMPRODUCT((OFFSET($A24,0,1,1,372)&lt;&gt;"")*(IF(OFFSET($A24,0,1,1,372)=Database!$K$11,0.5,IF(OFFSET($A24,0,1,1,372)=Database!$K$12,0.5,1))*(OFFSET($A$3,0,1,1,372))))</f>
        <v>2</v>
      </c>
      <c r="NL24" s="63">
        <f t="shared" ca="1" si="7"/>
        <v>0</v>
      </c>
      <c r="NM24" s="63">
        <f t="shared" ca="1" si="7"/>
        <v>1</v>
      </c>
      <c r="NN24" s="63">
        <f t="shared" ca="1" si="7"/>
        <v>0</v>
      </c>
      <c r="NO24" s="63">
        <f t="shared" ca="1" si="7"/>
        <v>0</v>
      </c>
      <c r="NP24" s="63">
        <f t="shared" ca="1" si="7"/>
        <v>1</v>
      </c>
      <c r="NQ24" s="63">
        <f t="shared" ca="1" si="7"/>
        <v>0</v>
      </c>
      <c r="NR24" s="63">
        <f t="shared" ca="1" si="7"/>
        <v>0</v>
      </c>
      <c r="NS24" s="63">
        <f t="shared" ca="1" si="7"/>
        <v>0</v>
      </c>
      <c r="NT24" s="63">
        <f t="shared" ca="1" si="7"/>
        <v>0</v>
      </c>
      <c r="NU24" s="63">
        <f t="shared" ca="1" si="7"/>
        <v>0</v>
      </c>
    </row>
    <row r="25" spans="1:385" ht="18" customHeight="1" x14ac:dyDescent="0.25">
      <c r="A25" s="26"/>
      <c r="B25" s="68"/>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t="s">
        <v>93</v>
      </c>
      <c r="AW25" s="68" t="s">
        <v>88</v>
      </c>
      <c r="AX25" s="68"/>
      <c r="AY25" s="68"/>
      <c r="AZ25" s="68"/>
      <c r="BA25" s="68"/>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8"/>
      <c r="CX25" s="68"/>
      <c r="CY25" s="68"/>
      <c r="CZ25" s="68"/>
      <c r="DA25" s="68"/>
      <c r="DB25" s="68"/>
      <c r="DC25" s="68"/>
      <c r="DD25" s="68"/>
      <c r="DE25" s="68"/>
      <c r="DF25" s="68"/>
      <c r="DG25" s="68"/>
      <c r="DH25" s="68"/>
      <c r="DI25" s="68"/>
      <c r="DJ25" s="68"/>
      <c r="DK25" s="68"/>
      <c r="DL25" s="68"/>
      <c r="DM25" s="68"/>
      <c r="DN25" s="68"/>
      <c r="DO25" s="68"/>
      <c r="DP25" s="68"/>
      <c r="DQ25" s="68"/>
      <c r="DR25" s="68"/>
      <c r="DS25" s="68"/>
      <c r="DT25" s="68"/>
      <c r="DU25" s="68"/>
      <c r="DV25" s="68"/>
      <c r="DW25" s="68"/>
      <c r="DX25" s="68"/>
      <c r="DY25" s="68"/>
      <c r="DZ25" s="68"/>
      <c r="EA25" s="68"/>
      <c r="EB25" s="68"/>
      <c r="EC25" s="68"/>
      <c r="ED25" s="68"/>
      <c r="EE25" s="68"/>
      <c r="EF25" s="68"/>
      <c r="EG25" s="68"/>
      <c r="EH25" s="68"/>
      <c r="EI25" s="68"/>
      <c r="EJ25" s="68"/>
      <c r="EK25" s="68"/>
      <c r="EL25" s="68"/>
      <c r="EM25" s="68"/>
      <c r="EN25" s="68"/>
      <c r="EO25" s="68"/>
      <c r="EP25" s="68"/>
      <c r="EQ25" s="68"/>
      <c r="ER25" s="68"/>
      <c r="ES25" s="68"/>
      <c r="ET25" s="68"/>
      <c r="EU25" s="68"/>
      <c r="EV25" s="68"/>
      <c r="EW25" s="68"/>
      <c r="EX25" s="68"/>
      <c r="EY25" s="68"/>
      <c r="EZ25" s="68"/>
      <c r="FA25" s="68"/>
      <c r="FB25" s="68"/>
      <c r="FC25" s="68"/>
      <c r="FD25" s="68"/>
      <c r="FE25" s="68"/>
      <c r="FF25" s="68"/>
      <c r="FG25" s="68"/>
      <c r="FH25" s="68"/>
      <c r="FI25" s="68"/>
      <c r="FJ25" s="68"/>
      <c r="FK25" s="68"/>
      <c r="FL25" s="68"/>
      <c r="FM25" s="68"/>
      <c r="FN25" s="68"/>
      <c r="FO25" s="68"/>
      <c r="FP25" s="68"/>
      <c r="FQ25" s="68"/>
      <c r="FR25" s="68"/>
      <c r="FS25" s="68"/>
      <c r="FT25" s="68"/>
      <c r="FU25" s="68"/>
      <c r="FV25" s="68"/>
      <c r="FW25" s="68"/>
      <c r="FX25" s="68"/>
      <c r="FY25" s="68"/>
      <c r="FZ25" s="68"/>
      <c r="GA25" s="68"/>
      <c r="GB25" s="68"/>
      <c r="GC25" s="68"/>
      <c r="GD25" s="68"/>
      <c r="GE25" s="68"/>
      <c r="GF25" s="68"/>
      <c r="GG25" s="68"/>
      <c r="GH25" s="68"/>
      <c r="GI25" s="68"/>
      <c r="GJ25" s="68"/>
      <c r="GK25" s="68"/>
      <c r="GL25" s="68"/>
      <c r="GM25" s="68"/>
      <c r="GN25" s="68"/>
      <c r="GO25" s="68"/>
      <c r="GP25" s="68"/>
      <c r="GQ25" s="68"/>
      <c r="GR25" s="68"/>
      <c r="GS25" s="68"/>
      <c r="GT25" s="68"/>
      <c r="GU25" s="68"/>
      <c r="GV25" s="68"/>
      <c r="GW25" s="68"/>
      <c r="GX25" s="68"/>
      <c r="GY25" s="68"/>
      <c r="GZ25" s="68"/>
      <c r="HA25" s="68"/>
      <c r="HB25" s="68"/>
      <c r="HC25" s="68"/>
      <c r="HD25" s="68"/>
      <c r="HE25" s="68"/>
      <c r="HF25" s="68"/>
      <c r="HG25" s="68"/>
      <c r="HH25" s="68"/>
      <c r="HI25" s="68"/>
      <c r="HJ25" s="68"/>
      <c r="HK25" s="68"/>
      <c r="HL25" s="68"/>
      <c r="HM25" s="68"/>
      <c r="HN25" s="68"/>
      <c r="HO25" s="68"/>
      <c r="HP25" s="68"/>
      <c r="HQ25" s="68"/>
      <c r="HR25" s="68"/>
      <c r="HS25" s="68"/>
      <c r="HT25" s="68"/>
      <c r="HU25" s="68"/>
      <c r="HV25" s="68"/>
      <c r="HW25" s="68"/>
      <c r="HX25" s="68"/>
      <c r="HY25" s="68"/>
      <c r="HZ25" s="68"/>
      <c r="IA25" s="68"/>
      <c r="IB25" s="68"/>
      <c r="IC25" s="68"/>
      <c r="ID25" s="68"/>
      <c r="IE25" s="68"/>
      <c r="IF25" s="68"/>
      <c r="IG25" s="68"/>
      <c r="IH25" s="68"/>
      <c r="II25" s="68"/>
      <c r="IJ25" s="68"/>
      <c r="IK25" s="68"/>
      <c r="IL25" s="68"/>
      <c r="IM25" s="68"/>
      <c r="IN25" s="68"/>
      <c r="IO25" s="68"/>
      <c r="IP25" s="68"/>
      <c r="IQ25" s="68"/>
      <c r="IR25" s="68"/>
      <c r="IS25" s="68"/>
      <c r="IT25" s="68"/>
      <c r="IU25" s="68"/>
      <c r="IV25" s="68"/>
      <c r="IW25" s="68"/>
      <c r="IX25" s="68"/>
      <c r="IY25" s="68"/>
      <c r="IZ25" s="68"/>
      <c r="JA25" s="68"/>
      <c r="JB25" s="68"/>
      <c r="JC25" s="68"/>
      <c r="JD25" s="68"/>
      <c r="JE25" s="68"/>
      <c r="JF25" s="68"/>
      <c r="JG25" s="68"/>
      <c r="JH25" s="68"/>
      <c r="JI25" s="68"/>
      <c r="JJ25" s="68"/>
      <c r="JK25" s="68"/>
      <c r="JL25" s="68"/>
      <c r="JM25" s="68"/>
      <c r="JN25" s="68"/>
      <c r="JO25" s="68"/>
      <c r="JP25" s="68"/>
      <c r="JQ25" s="68"/>
      <c r="JR25" s="68"/>
      <c r="JS25" s="68"/>
      <c r="JT25" s="68"/>
      <c r="JU25" s="68"/>
      <c r="JV25" s="68"/>
      <c r="JW25" s="68"/>
      <c r="JX25" s="68"/>
      <c r="JY25" s="68"/>
      <c r="JZ25" s="68"/>
      <c r="KA25" s="68"/>
      <c r="KB25" s="68"/>
      <c r="KC25" s="68"/>
      <c r="KD25" s="68"/>
      <c r="KE25" s="68"/>
      <c r="KF25" s="68"/>
      <c r="KG25" s="68"/>
      <c r="KH25" s="68"/>
      <c r="KI25" s="68"/>
      <c r="KJ25" s="68"/>
      <c r="KK25" s="68"/>
      <c r="KL25" s="68"/>
      <c r="KM25" s="68"/>
      <c r="KN25" s="68"/>
      <c r="KO25" s="68"/>
      <c r="KP25" s="68"/>
      <c r="KQ25" s="68"/>
      <c r="KR25" s="68"/>
      <c r="KS25" s="68"/>
      <c r="KT25" s="68"/>
      <c r="KU25" s="68"/>
      <c r="KV25" s="68"/>
      <c r="KW25" s="68"/>
      <c r="KX25" s="68"/>
      <c r="KY25" s="68"/>
      <c r="KZ25" s="68"/>
      <c r="LA25" s="68"/>
      <c r="LB25" s="68"/>
      <c r="LC25" s="68"/>
      <c r="LD25" s="68"/>
      <c r="LE25" s="68"/>
      <c r="LF25" s="68"/>
      <c r="LG25" s="68"/>
      <c r="LH25" s="68"/>
      <c r="LI25" s="68"/>
      <c r="LJ25" s="68"/>
      <c r="LK25" s="68"/>
      <c r="LL25" s="68"/>
      <c r="LM25" s="68"/>
      <c r="LN25" s="68"/>
      <c r="LO25" s="68"/>
      <c r="LP25" s="68"/>
      <c r="LQ25" s="68"/>
      <c r="LR25" s="68"/>
      <c r="LS25" s="68"/>
      <c r="LT25" s="68"/>
      <c r="LU25" s="68"/>
      <c r="LV25" s="68"/>
      <c r="LW25" s="68"/>
      <c r="LX25" s="68"/>
      <c r="LY25" s="68"/>
      <c r="LZ25" s="68"/>
      <c r="MA25" s="68"/>
      <c r="MB25" s="68"/>
      <c r="MC25" s="68"/>
      <c r="MD25" s="68"/>
      <c r="ME25" s="68"/>
      <c r="MF25" s="68"/>
      <c r="MG25" s="68"/>
      <c r="MH25" s="68"/>
      <c r="MI25" s="68"/>
      <c r="MJ25" s="68"/>
      <c r="MK25" s="68"/>
      <c r="ML25" s="68"/>
      <c r="MM25" s="68"/>
      <c r="MN25" s="68"/>
      <c r="MO25" s="68"/>
      <c r="MP25" s="68"/>
      <c r="MQ25" s="68"/>
      <c r="MR25" s="68"/>
      <c r="MS25" s="68"/>
      <c r="MT25" s="68"/>
      <c r="MU25" s="68"/>
      <c r="MV25" s="68"/>
      <c r="MW25" s="68"/>
      <c r="MX25" s="68"/>
      <c r="MY25" s="68"/>
      <c r="MZ25" s="68"/>
      <c r="NA25" s="68"/>
      <c r="NB25" s="68"/>
      <c r="NC25" s="68"/>
      <c r="ND25" s="68"/>
      <c r="NE25" s="68"/>
      <c r="NF25" s="68"/>
      <c r="NG25" s="68"/>
      <c r="NH25" s="68"/>
      <c r="NI25" s="68"/>
      <c r="NJ25" s="70">
        <f t="array" aca="1" ref="NJ25" ca="1">SUMPRODUCT((OFFSET($A25,0,31*($A$3-1)+1,1,31)&lt;&gt;"")*(IF(OFFSET($A25,0,31*($A$3-1)+1,1,31)=Database!$K$11,0.5,IF(OFFSET($A25,0,31*($A$3-1)+1,1,31)=Database!$K$12,0.5,1))*(OFFSET($A$4,0,31*($A$3-1)+1,1,31))))</f>
        <v>0</v>
      </c>
      <c r="NK25" s="72">
        <f t="array" aca="1" ref="NK25" ca="1">SUMPRODUCT((OFFSET($A25,0,1,1,372)&lt;&gt;"")*(IF(OFFSET($A25,0,1,1,372)=Database!$K$11,0.5,IF(OFFSET($A25,0,1,1,372)=Database!$K$12,0.5,1))*(OFFSET($A$3,0,1,1,372))))</f>
        <v>1.5</v>
      </c>
      <c r="NL25" s="63">
        <f t="shared" ca="1" si="7"/>
        <v>0</v>
      </c>
      <c r="NM25" s="63">
        <f t="shared" ca="1" si="7"/>
        <v>0</v>
      </c>
      <c r="NN25" s="63">
        <f t="shared" ca="1" si="7"/>
        <v>0</v>
      </c>
      <c r="NO25" s="63">
        <f t="shared" ca="1" si="7"/>
        <v>0</v>
      </c>
      <c r="NP25" s="63">
        <f t="shared" ca="1" si="7"/>
        <v>0</v>
      </c>
      <c r="NQ25" s="63">
        <f t="shared" ca="1" si="7"/>
        <v>1</v>
      </c>
      <c r="NR25" s="63">
        <f t="shared" ca="1" si="7"/>
        <v>0</v>
      </c>
      <c r="NS25" s="63">
        <f t="shared" ca="1" si="7"/>
        <v>0</v>
      </c>
      <c r="NT25" s="63">
        <f t="shared" ca="1" si="7"/>
        <v>1</v>
      </c>
      <c r="NU25" s="63">
        <f t="shared" ca="1" si="7"/>
        <v>0</v>
      </c>
    </row>
    <row r="26" spans="1:385" ht="18" customHeight="1" x14ac:dyDescent="0.25">
      <c r="A26" s="26"/>
      <c r="B26" s="68"/>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8"/>
      <c r="AY26" s="68"/>
      <c r="AZ26" s="68"/>
      <c r="BA26" s="68"/>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8"/>
      <c r="CX26" s="68"/>
      <c r="CY26" s="68"/>
      <c r="CZ26" s="68"/>
      <c r="DA26" s="68"/>
      <c r="DB26" s="68"/>
      <c r="DC26" s="68"/>
      <c r="DD26" s="68"/>
      <c r="DE26" s="68"/>
      <c r="DF26" s="68"/>
      <c r="DG26" s="68"/>
      <c r="DH26" s="68"/>
      <c r="DI26" s="68"/>
      <c r="DJ26" s="68"/>
      <c r="DK26" s="68"/>
      <c r="DL26" s="68"/>
      <c r="DM26" s="68"/>
      <c r="DN26" s="68"/>
      <c r="DO26" s="68"/>
      <c r="DP26" s="68"/>
      <c r="DQ26" s="68"/>
      <c r="DR26" s="68"/>
      <c r="DS26" s="68"/>
      <c r="DT26" s="68"/>
      <c r="DU26" s="68"/>
      <c r="DV26" s="68"/>
      <c r="DW26" s="68"/>
      <c r="DX26" s="68"/>
      <c r="DY26" s="68"/>
      <c r="DZ26" s="68"/>
      <c r="EA26" s="68"/>
      <c r="EB26" s="68"/>
      <c r="EC26" s="68"/>
      <c r="ED26" s="68"/>
      <c r="EE26" s="68"/>
      <c r="EF26" s="68"/>
      <c r="EG26" s="68"/>
      <c r="EH26" s="68"/>
      <c r="EI26" s="68"/>
      <c r="EJ26" s="68"/>
      <c r="EK26" s="68"/>
      <c r="EL26" s="68"/>
      <c r="EM26" s="68"/>
      <c r="EN26" s="68"/>
      <c r="EO26" s="68"/>
      <c r="EP26" s="68"/>
      <c r="EQ26" s="68"/>
      <c r="ER26" s="68"/>
      <c r="ES26" s="68"/>
      <c r="ET26" s="68"/>
      <c r="EU26" s="68"/>
      <c r="EV26" s="68"/>
      <c r="EW26" s="68"/>
      <c r="EX26" s="68"/>
      <c r="EY26" s="68"/>
      <c r="EZ26" s="68"/>
      <c r="FA26" s="68"/>
      <c r="FB26" s="68"/>
      <c r="FC26" s="68"/>
      <c r="FD26" s="68"/>
      <c r="FE26" s="68"/>
      <c r="FF26" s="68"/>
      <c r="FG26" s="68"/>
      <c r="FH26" s="68"/>
      <c r="FI26" s="68"/>
      <c r="FJ26" s="68"/>
      <c r="FK26" s="68"/>
      <c r="FL26" s="68"/>
      <c r="FM26" s="68"/>
      <c r="FN26" s="68"/>
      <c r="FO26" s="68"/>
      <c r="FP26" s="68"/>
      <c r="FQ26" s="68"/>
      <c r="FR26" s="68"/>
      <c r="FS26" s="68"/>
      <c r="FT26" s="68"/>
      <c r="FU26" s="68"/>
      <c r="FV26" s="68"/>
      <c r="FW26" s="68"/>
      <c r="FX26" s="68"/>
      <c r="FY26" s="68"/>
      <c r="FZ26" s="68"/>
      <c r="GA26" s="68"/>
      <c r="GB26" s="68"/>
      <c r="GC26" s="68"/>
      <c r="GD26" s="68"/>
      <c r="GE26" s="68"/>
      <c r="GF26" s="68"/>
      <c r="GG26" s="68"/>
      <c r="GH26" s="68"/>
      <c r="GI26" s="68"/>
      <c r="GJ26" s="68"/>
      <c r="GK26" s="68"/>
      <c r="GL26" s="68"/>
      <c r="GM26" s="68"/>
      <c r="GN26" s="68"/>
      <c r="GO26" s="68"/>
      <c r="GP26" s="68"/>
      <c r="GQ26" s="68"/>
      <c r="GR26" s="68"/>
      <c r="GS26" s="68"/>
      <c r="GT26" s="68"/>
      <c r="GU26" s="68"/>
      <c r="GV26" s="68"/>
      <c r="GW26" s="68"/>
      <c r="GX26" s="68"/>
      <c r="GY26" s="68"/>
      <c r="GZ26" s="68"/>
      <c r="HA26" s="68"/>
      <c r="HB26" s="68"/>
      <c r="HC26" s="68"/>
      <c r="HD26" s="68"/>
      <c r="HE26" s="68"/>
      <c r="HF26" s="68"/>
      <c r="HG26" s="68"/>
      <c r="HH26" s="68"/>
      <c r="HI26" s="68"/>
      <c r="HJ26" s="68"/>
      <c r="HK26" s="68"/>
      <c r="HL26" s="68"/>
      <c r="HM26" s="68"/>
      <c r="HN26" s="68"/>
      <c r="HO26" s="68"/>
      <c r="HP26" s="68"/>
      <c r="HQ26" s="68"/>
      <c r="HR26" s="68"/>
      <c r="HS26" s="68"/>
      <c r="HT26" s="68"/>
      <c r="HU26" s="68"/>
      <c r="HV26" s="68"/>
      <c r="HW26" s="68"/>
      <c r="HX26" s="68"/>
      <c r="HY26" s="68"/>
      <c r="HZ26" s="68"/>
      <c r="IA26" s="68"/>
      <c r="IB26" s="68"/>
      <c r="IC26" s="68"/>
      <c r="ID26" s="68"/>
      <c r="IE26" s="68"/>
      <c r="IF26" s="68"/>
      <c r="IG26" s="68"/>
      <c r="IH26" s="68"/>
      <c r="II26" s="68"/>
      <c r="IJ26" s="68"/>
      <c r="IK26" s="68"/>
      <c r="IL26" s="68"/>
      <c r="IM26" s="68"/>
      <c r="IN26" s="68"/>
      <c r="IO26" s="68"/>
      <c r="IP26" s="68"/>
      <c r="IQ26" s="68"/>
      <c r="IR26" s="68"/>
      <c r="IS26" s="68"/>
      <c r="IT26" s="68"/>
      <c r="IU26" s="68"/>
      <c r="IV26" s="68"/>
      <c r="IW26" s="68"/>
      <c r="IX26" s="68"/>
      <c r="IY26" s="68"/>
      <c r="IZ26" s="68"/>
      <c r="JA26" s="68"/>
      <c r="JB26" s="68"/>
      <c r="JC26" s="68"/>
      <c r="JD26" s="68"/>
      <c r="JE26" s="68"/>
      <c r="JF26" s="68"/>
      <c r="JG26" s="68"/>
      <c r="JH26" s="68"/>
      <c r="JI26" s="68"/>
      <c r="JJ26" s="68"/>
      <c r="JK26" s="68"/>
      <c r="JL26" s="68"/>
      <c r="JM26" s="68"/>
      <c r="JN26" s="68"/>
      <c r="JO26" s="68"/>
      <c r="JP26" s="68"/>
      <c r="JQ26" s="68"/>
      <c r="JR26" s="68"/>
      <c r="JS26" s="68"/>
      <c r="JT26" s="68"/>
      <c r="JU26" s="68"/>
      <c r="JV26" s="68"/>
      <c r="JW26" s="68"/>
      <c r="JX26" s="68"/>
      <c r="JY26" s="68"/>
      <c r="JZ26" s="68"/>
      <c r="KA26" s="68"/>
      <c r="KB26" s="68"/>
      <c r="KC26" s="68"/>
      <c r="KD26" s="68"/>
      <c r="KE26" s="68"/>
      <c r="KF26" s="68"/>
      <c r="KG26" s="68"/>
      <c r="KH26" s="68"/>
      <c r="KI26" s="68"/>
      <c r="KJ26" s="68"/>
      <c r="KK26" s="68"/>
      <c r="KL26" s="68"/>
      <c r="KM26" s="68"/>
      <c r="KN26" s="68"/>
      <c r="KO26" s="68"/>
      <c r="KP26" s="68"/>
      <c r="KQ26" s="68"/>
      <c r="KR26" s="68"/>
      <c r="KS26" s="68"/>
      <c r="KT26" s="68"/>
      <c r="KU26" s="68"/>
      <c r="KV26" s="68"/>
      <c r="KW26" s="68"/>
      <c r="KX26" s="68"/>
      <c r="KY26" s="68"/>
      <c r="KZ26" s="68"/>
      <c r="LA26" s="68"/>
      <c r="LB26" s="68"/>
      <c r="LC26" s="68"/>
      <c r="LD26" s="68"/>
      <c r="LE26" s="68"/>
      <c r="LF26" s="68"/>
      <c r="LG26" s="68"/>
      <c r="LH26" s="68"/>
      <c r="LI26" s="68"/>
      <c r="LJ26" s="68"/>
      <c r="LK26" s="68"/>
      <c r="LL26" s="68"/>
      <c r="LM26" s="68"/>
      <c r="LN26" s="68"/>
      <c r="LO26" s="68"/>
      <c r="LP26" s="68"/>
      <c r="LQ26" s="68"/>
      <c r="LR26" s="68"/>
      <c r="LS26" s="68"/>
      <c r="LT26" s="68"/>
      <c r="LU26" s="68"/>
      <c r="LV26" s="68"/>
      <c r="LW26" s="68"/>
      <c r="LX26" s="68"/>
      <c r="LY26" s="68"/>
      <c r="LZ26" s="68"/>
      <c r="MA26" s="68"/>
      <c r="MB26" s="68"/>
      <c r="MC26" s="68"/>
      <c r="MD26" s="68"/>
      <c r="ME26" s="68"/>
      <c r="MF26" s="68"/>
      <c r="MG26" s="68"/>
      <c r="MH26" s="68"/>
      <c r="MI26" s="68"/>
      <c r="MJ26" s="68"/>
      <c r="MK26" s="68"/>
      <c r="ML26" s="68"/>
      <c r="MM26" s="68"/>
      <c r="MN26" s="68"/>
      <c r="MO26" s="68"/>
      <c r="MP26" s="68"/>
      <c r="MQ26" s="68"/>
      <c r="MR26" s="68"/>
      <c r="MS26" s="68"/>
      <c r="MT26" s="68"/>
      <c r="MU26" s="68"/>
      <c r="MV26" s="68"/>
      <c r="MW26" s="68"/>
      <c r="MX26" s="68"/>
      <c r="MY26" s="68"/>
      <c r="MZ26" s="68"/>
      <c r="NA26" s="68"/>
      <c r="NB26" s="68"/>
      <c r="NC26" s="68"/>
      <c r="ND26" s="68"/>
      <c r="NE26" s="68"/>
      <c r="NF26" s="68"/>
      <c r="NG26" s="68"/>
      <c r="NH26" s="68"/>
      <c r="NI26" s="68"/>
      <c r="NJ26" s="70">
        <f t="array" aca="1" ref="NJ26" ca="1">SUMPRODUCT((OFFSET($A26,0,31*($A$3-1)+1,1,31)&lt;&gt;"")*(IF(OFFSET($A26,0,31*($A$3-1)+1,1,31)=Database!$K$11,0.5,IF(OFFSET($A26,0,31*($A$3-1)+1,1,31)=Database!$K$12,0.5,1))*(OFFSET($A$4,0,31*($A$3-1)+1,1,31))))</f>
        <v>0</v>
      </c>
      <c r="NK26" s="72">
        <f t="array" aca="1" ref="NK26" ca="1">SUMPRODUCT((OFFSET($A26,0,1,1,372)&lt;&gt;"")*(IF(OFFSET($A26,0,1,1,372)=Database!$K$11,0.5,IF(OFFSET($A26,0,1,1,372)=Database!$K$12,0.5,1))*(OFFSET($A$3,0,1,1,372))))</f>
        <v>0</v>
      </c>
      <c r="NL26" s="63">
        <f t="shared" ca="1" si="7"/>
        <v>0</v>
      </c>
      <c r="NM26" s="63">
        <f t="shared" ca="1" si="7"/>
        <v>0</v>
      </c>
      <c r="NN26" s="63">
        <f t="shared" ca="1" si="7"/>
        <v>0</v>
      </c>
      <c r="NO26" s="63">
        <f t="shared" ca="1" si="7"/>
        <v>0</v>
      </c>
      <c r="NP26" s="63">
        <f t="shared" ca="1" si="7"/>
        <v>0</v>
      </c>
      <c r="NQ26" s="63">
        <f t="shared" ca="1" si="7"/>
        <v>0</v>
      </c>
      <c r="NR26" s="63">
        <f t="shared" ca="1" si="7"/>
        <v>0</v>
      </c>
      <c r="NS26" s="63">
        <f t="shared" ca="1" si="7"/>
        <v>0</v>
      </c>
      <c r="NT26" s="63">
        <f t="shared" ca="1" si="7"/>
        <v>0</v>
      </c>
      <c r="NU26" s="63">
        <f t="shared" ca="1" si="7"/>
        <v>0</v>
      </c>
    </row>
    <row r="27" spans="1:385" ht="18" customHeight="1" x14ac:dyDescent="0.25">
      <c r="A27" s="26"/>
      <c r="B27" s="68"/>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8"/>
      <c r="AY27" s="68"/>
      <c r="AZ27" s="68"/>
      <c r="BA27" s="68"/>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8"/>
      <c r="CX27" s="68"/>
      <c r="CY27" s="68"/>
      <c r="CZ27" s="68"/>
      <c r="DA27" s="68"/>
      <c r="DB27" s="68"/>
      <c r="DC27" s="68"/>
      <c r="DD27" s="68"/>
      <c r="DE27" s="68"/>
      <c r="DF27" s="68"/>
      <c r="DG27" s="68"/>
      <c r="DH27" s="68"/>
      <c r="DI27" s="68"/>
      <c r="DJ27" s="68"/>
      <c r="DK27" s="68"/>
      <c r="DL27" s="68"/>
      <c r="DM27" s="68"/>
      <c r="DN27" s="68"/>
      <c r="DO27" s="68"/>
      <c r="DP27" s="68"/>
      <c r="DQ27" s="68"/>
      <c r="DR27" s="68"/>
      <c r="DS27" s="68"/>
      <c r="DT27" s="68"/>
      <c r="DU27" s="68"/>
      <c r="DV27" s="68"/>
      <c r="DW27" s="68"/>
      <c r="DX27" s="68"/>
      <c r="DY27" s="68"/>
      <c r="DZ27" s="68"/>
      <c r="EA27" s="68"/>
      <c r="EB27" s="68"/>
      <c r="EC27" s="68"/>
      <c r="ED27" s="68"/>
      <c r="EE27" s="68"/>
      <c r="EF27" s="68"/>
      <c r="EG27" s="68"/>
      <c r="EH27" s="68"/>
      <c r="EI27" s="68"/>
      <c r="EJ27" s="68"/>
      <c r="EK27" s="68"/>
      <c r="EL27" s="68"/>
      <c r="EM27" s="68"/>
      <c r="EN27" s="68"/>
      <c r="EO27" s="68"/>
      <c r="EP27" s="68"/>
      <c r="EQ27" s="68"/>
      <c r="ER27" s="68"/>
      <c r="ES27" s="68"/>
      <c r="ET27" s="68"/>
      <c r="EU27" s="68"/>
      <c r="EV27" s="68"/>
      <c r="EW27" s="68"/>
      <c r="EX27" s="68"/>
      <c r="EY27" s="68"/>
      <c r="EZ27" s="68"/>
      <c r="FA27" s="68"/>
      <c r="FB27" s="68"/>
      <c r="FC27" s="68"/>
      <c r="FD27" s="68"/>
      <c r="FE27" s="68"/>
      <c r="FF27" s="68"/>
      <c r="FG27" s="68"/>
      <c r="FH27" s="68"/>
      <c r="FI27" s="68"/>
      <c r="FJ27" s="68"/>
      <c r="FK27" s="68"/>
      <c r="FL27" s="68"/>
      <c r="FM27" s="68"/>
      <c r="FN27" s="68"/>
      <c r="FO27" s="68"/>
      <c r="FP27" s="68"/>
      <c r="FQ27" s="68"/>
      <c r="FR27" s="68"/>
      <c r="FS27" s="68"/>
      <c r="FT27" s="68"/>
      <c r="FU27" s="68"/>
      <c r="FV27" s="68"/>
      <c r="FW27" s="68"/>
      <c r="FX27" s="68"/>
      <c r="FY27" s="68"/>
      <c r="FZ27" s="68"/>
      <c r="GA27" s="68"/>
      <c r="GB27" s="68"/>
      <c r="GC27" s="68"/>
      <c r="GD27" s="68"/>
      <c r="GE27" s="68"/>
      <c r="GF27" s="68"/>
      <c r="GG27" s="68"/>
      <c r="GH27" s="68"/>
      <c r="GI27" s="68"/>
      <c r="GJ27" s="68"/>
      <c r="GK27" s="68"/>
      <c r="GL27" s="68"/>
      <c r="GM27" s="68"/>
      <c r="GN27" s="68"/>
      <c r="GO27" s="68"/>
      <c r="GP27" s="68"/>
      <c r="GQ27" s="68"/>
      <c r="GR27" s="68"/>
      <c r="GS27" s="68"/>
      <c r="GT27" s="68"/>
      <c r="GU27" s="68"/>
      <c r="GV27" s="68"/>
      <c r="GW27" s="68"/>
      <c r="GX27" s="68"/>
      <c r="GY27" s="68"/>
      <c r="GZ27" s="68"/>
      <c r="HA27" s="68"/>
      <c r="HB27" s="68"/>
      <c r="HC27" s="68"/>
      <c r="HD27" s="68"/>
      <c r="HE27" s="68"/>
      <c r="HF27" s="68"/>
      <c r="HG27" s="68"/>
      <c r="HH27" s="68"/>
      <c r="HI27" s="68"/>
      <c r="HJ27" s="68"/>
      <c r="HK27" s="68"/>
      <c r="HL27" s="68"/>
      <c r="HM27" s="68"/>
      <c r="HN27" s="68"/>
      <c r="HO27" s="68"/>
      <c r="HP27" s="68"/>
      <c r="HQ27" s="68"/>
      <c r="HR27" s="68"/>
      <c r="HS27" s="68"/>
      <c r="HT27" s="68"/>
      <c r="HU27" s="68"/>
      <c r="HV27" s="68"/>
      <c r="HW27" s="68"/>
      <c r="HX27" s="68"/>
      <c r="HY27" s="68"/>
      <c r="HZ27" s="68"/>
      <c r="IA27" s="68"/>
      <c r="IB27" s="68"/>
      <c r="IC27" s="68"/>
      <c r="ID27" s="68"/>
      <c r="IE27" s="68"/>
      <c r="IF27" s="68"/>
      <c r="IG27" s="68"/>
      <c r="IH27" s="68"/>
      <c r="II27" s="68"/>
      <c r="IJ27" s="68"/>
      <c r="IK27" s="68"/>
      <c r="IL27" s="68"/>
      <c r="IM27" s="68"/>
      <c r="IN27" s="68"/>
      <c r="IO27" s="68"/>
      <c r="IP27" s="68"/>
      <c r="IQ27" s="68"/>
      <c r="IR27" s="68"/>
      <c r="IS27" s="68"/>
      <c r="IT27" s="68"/>
      <c r="IU27" s="68"/>
      <c r="IV27" s="68"/>
      <c r="IW27" s="68"/>
      <c r="IX27" s="68"/>
      <c r="IY27" s="68"/>
      <c r="IZ27" s="68"/>
      <c r="JA27" s="68"/>
      <c r="JB27" s="68"/>
      <c r="JC27" s="68"/>
      <c r="JD27" s="68"/>
      <c r="JE27" s="68"/>
      <c r="JF27" s="68"/>
      <c r="JG27" s="68"/>
      <c r="JH27" s="68"/>
      <c r="JI27" s="68"/>
      <c r="JJ27" s="68"/>
      <c r="JK27" s="68"/>
      <c r="JL27" s="68"/>
      <c r="JM27" s="68"/>
      <c r="JN27" s="68"/>
      <c r="JO27" s="68"/>
      <c r="JP27" s="68"/>
      <c r="JQ27" s="68"/>
      <c r="JR27" s="68"/>
      <c r="JS27" s="68"/>
      <c r="JT27" s="68"/>
      <c r="JU27" s="68"/>
      <c r="JV27" s="68"/>
      <c r="JW27" s="68"/>
      <c r="JX27" s="68"/>
      <c r="JY27" s="68"/>
      <c r="JZ27" s="68"/>
      <c r="KA27" s="68"/>
      <c r="KB27" s="68"/>
      <c r="KC27" s="68"/>
      <c r="KD27" s="68"/>
      <c r="KE27" s="68"/>
      <c r="KF27" s="68"/>
      <c r="KG27" s="68"/>
      <c r="KH27" s="68"/>
      <c r="KI27" s="68"/>
      <c r="KJ27" s="68"/>
      <c r="KK27" s="68"/>
      <c r="KL27" s="68"/>
      <c r="KM27" s="68"/>
      <c r="KN27" s="68"/>
      <c r="KO27" s="68"/>
      <c r="KP27" s="68"/>
      <c r="KQ27" s="68"/>
      <c r="KR27" s="68"/>
      <c r="KS27" s="68"/>
      <c r="KT27" s="68"/>
      <c r="KU27" s="68"/>
      <c r="KV27" s="68"/>
      <c r="KW27" s="68"/>
      <c r="KX27" s="68"/>
      <c r="KY27" s="68"/>
      <c r="KZ27" s="68"/>
      <c r="LA27" s="68"/>
      <c r="LB27" s="68"/>
      <c r="LC27" s="68"/>
      <c r="LD27" s="68"/>
      <c r="LE27" s="68"/>
      <c r="LF27" s="68"/>
      <c r="LG27" s="68"/>
      <c r="LH27" s="68"/>
      <c r="LI27" s="68"/>
      <c r="LJ27" s="68"/>
      <c r="LK27" s="68"/>
      <c r="LL27" s="68"/>
      <c r="LM27" s="68"/>
      <c r="LN27" s="68"/>
      <c r="LO27" s="68"/>
      <c r="LP27" s="68"/>
      <c r="LQ27" s="68"/>
      <c r="LR27" s="68"/>
      <c r="LS27" s="68"/>
      <c r="LT27" s="68"/>
      <c r="LU27" s="68"/>
      <c r="LV27" s="68"/>
      <c r="LW27" s="68"/>
      <c r="LX27" s="68"/>
      <c r="LY27" s="68"/>
      <c r="LZ27" s="68"/>
      <c r="MA27" s="68"/>
      <c r="MB27" s="68"/>
      <c r="MC27" s="68"/>
      <c r="MD27" s="68"/>
      <c r="ME27" s="68"/>
      <c r="MF27" s="68"/>
      <c r="MG27" s="68"/>
      <c r="MH27" s="68"/>
      <c r="MI27" s="68"/>
      <c r="MJ27" s="68"/>
      <c r="MK27" s="68"/>
      <c r="ML27" s="68"/>
      <c r="MM27" s="68"/>
      <c r="MN27" s="68"/>
      <c r="MO27" s="68"/>
      <c r="MP27" s="68"/>
      <c r="MQ27" s="68"/>
      <c r="MR27" s="68"/>
      <c r="MS27" s="68"/>
      <c r="MT27" s="68"/>
      <c r="MU27" s="68"/>
      <c r="MV27" s="68"/>
      <c r="MW27" s="68"/>
      <c r="MX27" s="68"/>
      <c r="MY27" s="68"/>
      <c r="MZ27" s="68"/>
      <c r="NA27" s="68"/>
      <c r="NB27" s="68"/>
      <c r="NC27" s="68"/>
      <c r="ND27" s="68"/>
      <c r="NE27" s="68"/>
      <c r="NF27" s="68"/>
      <c r="NG27" s="68"/>
      <c r="NH27" s="68"/>
      <c r="NI27" s="68"/>
      <c r="NJ27" s="70">
        <f t="array" aca="1" ref="NJ27" ca="1">SUMPRODUCT((OFFSET($A27,0,31*($A$3-1)+1,1,31)&lt;&gt;"")*(IF(OFFSET($A27,0,31*($A$3-1)+1,1,31)=Database!$K$11,0.5,IF(OFFSET($A27,0,31*($A$3-1)+1,1,31)=Database!$K$12,0.5,1))*(OFFSET($A$4,0,31*($A$3-1)+1,1,31))))</f>
        <v>0</v>
      </c>
      <c r="NK27" s="72">
        <f t="array" aca="1" ref="NK27" ca="1">SUMPRODUCT((OFFSET($A27,0,1,1,372)&lt;&gt;"")*(IF(OFFSET($A27,0,1,1,372)=Database!$K$11,0.5,IF(OFFSET($A27,0,1,1,372)=Database!$K$12,0.5,1))*(OFFSET($A$3,0,1,1,372))))</f>
        <v>0</v>
      </c>
      <c r="NL27" s="63">
        <f t="shared" ref="NL27:NU71" ca="1" si="8">SUMPRODUCT((OFFSET($A27,0,1,1,372)&lt;&gt;"")*(OFFSET($A$3,0,1,1,372))*((OFFSET($A27,0,1,1,372))=NL$5))</f>
        <v>0</v>
      </c>
      <c r="NM27" s="63">
        <f t="shared" ca="1" si="8"/>
        <v>0</v>
      </c>
      <c r="NN27" s="63">
        <f t="shared" ca="1" si="8"/>
        <v>0</v>
      </c>
      <c r="NO27" s="63">
        <f t="shared" ca="1" si="8"/>
        <v>0</v>
      </c>
      <c r="NP27" s="63">
        <f t="shared" ca="1" si="8"/>
        <v>0</v>
      </c>
      <c r="NQ27" s="63">
        <f t="shared" ca="1" si="8"/>
        <v>0</v>
      </c>
      <c r="NR27" s="63">
        <f t="shared" ca="1" si="8"/>
        <v>0</v>
      </c>
      <c r="NS27" s="63">
        <f t="shared" ca="1" si="8"/>
        <v>0</v>
      </c>
      <c r="NT27" s="63">
        <f t="shared" ca="1" si="8"/>
        <v>0</v>
      </c>
      <c r="NU27" s="63">
        <f t="shared" ca="1" si="8"/>
        <v>0</v>
      </c>
    </row>
    <row r="28" spans="1:385" ht="18" hidden="1" customHeight="1" outlineLevel="1" x14ac:dyDescent="0.25">
      <c r="A28" s="26"/>
      <c r="B28" s="68"/>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8"/>
      <c r="AY28" s="68"/>
      <c r="AZ28" s="68"/>
      <c r="BA28" s="68"/>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8"/>
      <c r="CX28" s="68"/>
      <c r="CY28" s="68"/>
      <c r="CZ28" s="68"/>
      <c r="DA28" s="68"/>
      <c r="DB28" s="68"/>
      <c r="DC28" s="68"/>
      <c r="DD28" s="68"/>
      <c r="DE28" s="68"/>
      <c r="DF28" s="68"/>
      <c r="DG28" s="68"/>
      <c r="DH28" s="68"/>
      <c r="DI28" s="68"/>
      <c r="DJ28" s="68"/>
      <c r="DK28" s="68"/>
      <c r="DL28" s="68"/>
      <c r="DM28" s="68"/>
      <c r="DN28" s="68"/>
      <c r="DO28" s="68"/>
      <c r="DP28" s="68"/>
      <c r="DQ28" s="68"/>
      <c r="DR28" s="68"/>
      <c r="DS28" s="68"/>
      <c r="DT28" s="68"/>
      <c r="DU28" s="68"/>
      <c r="DV28" s="68"/>
      <c r="DW28" s="68"/>
      <c r="DX28" s="68"/>
      <c r="DY28" s="68"/>
      <c r="DZ28" s="68"/>
      <c r="EA28" s="68"/>
      <c r="EB28" s="68"/>
      <c r="EC28" s="68"/>
      <c r="ED28" s="68"/>
      <c r="EE28" s="68"/>
      <c r="EF28" s="68"/>
      <c r="EG28" s="68"/>
      <c r="EH28" s="68"/>
      <c r="EI28" s="68"/>
      <c r="EJ28" s="68"/>
      <c r="EK28" s="68"/>
      <c r="EL28" s="68"/>
      <c r="EM28" s="68"/>
      <c r="EN28" s="68"/>
      <c r="EO28" s="68"/>
      <c r="EP28" s="68"/>
      <c r="EQ28" s="68"/>
      <c r="ER28" s="68"/>
      <c r="ES28" s="68"/>
      <c r="ET28" s="68"/>
      <c r="EU28" s="68"/>
      <c r="EV28" s="68"/>
      <c r="EW28" s="68"/>
      <c r="EX28" s="68"/>
      <c r="EY28" s="68"/>
      <c r="EZ28" s="68"/>
      <c r="FA28" s="68"/>
      <c r="FB28" s="68"/>
      <c r="FC28" s="68"/>
      <c r="FD28" s="68"/>
      <c r="FE28" s="68"/>
      <c r="FF28" s="68"/>
      <c r="FG28" s="68"/>
      <c r="FH28" s="68"/>
      <c r="FI28" s="68"/>
      <c r="FJ28" s="68"/>
      <c r="FK28" s="68"/>
      <c r="FL28" s="68"/>
      <c r="FM28" s="68"/>
      <c r="FN28" s="68"/>
      <c r="FO28" s="68"/>
      <c r="FP28" s="68"/>
      <c r="FQ28" s="68"/>
      <c r="FR28" s="68"/>
      <c r="FS28" s="68"/>
      <c r="FT28" s="68"/>
      <c r="FU28" s="68"/>
      <c r="FV28" s="68"/>
      <c r="FW28" s="68"/>
      <c r="FX28" s="68"/>
      <c r="FY28" s="68"/>
      <c r="FZ28" s="68"/>
      <c r="GA28" s="68"/>
      <c r="GB28" s="68"/>
      <c r="GC28" s="68"/>
      <c r="GD28" s="68"/>
      <c r="GE28" s="68"/>
      <c r="GF28" s="68"/>
      <c r="GG28" s="68"/>
      <c r="GH28" s="68"/>
      <c r="GI28" s="68"/>
      <c r="GJ28" s="68"/>
      <c r="GK28" s="68"/>
      <c r="GL28" s="68"/>
      <c r="GM28" s="68"/>
      <c r="GN28" s="68"/>
      <c r="GO28" s="68"/>
      <c r="GP28" s="68"/>
      <c r="GQ28" s="68"/>
      <c r="GR28" s="68"/>
      <c r="GS28" s="68"/>
      <c r="GT28" s="68"/>
      <c r="GU28" s="68"/>
      <c r="GV28" s="68"/>
      <c r="GW28" s="68"/>
      <c r="GX28" s="68"/>
      <c r="GY28" s="68"/>
      <c r="GZ28" s="68"/>
      <c r="HA28" s="68"/>
      <c r="HB28" s="68"/>
      <c r="HC28" s="68"/>
      <c r="HD28" s="68"/>
      <c r="HE28" s="68"/>
      <c r="HF28" s="68"/>
      <c r="HG28" s="68"/>
      <c r="HH28" s="68"/>
      <c r="HI28" s="68"/>
      <c r="HJ28" s="68"/>
      <c r="HK28" s="68"/>
      <c r="HL28" s="68"/>
      <c r="HM28" s="68"/>
      <c r="HN28" s="68"/>
      <c r="HO28" s="68"/>
      <c r="HP28" s="68"/>
      <c r="HQ28" s="68"/>
      <c r="HR28" s="68"/>
      <c r="HS28" s="68"/>
      <c r="HT28" s="68"/>
      <c r="HU28" s="68"/>
      <c r="HV28" s="68"/>
      <c r="HW28" s="68"/>
      <c r="HX28" s="68"/>
      <c r="HY28" s="68"/>
      <c r="HZ28" s="68"/>
      <c r="IA28" s="68"/>
      <c r="IB28" s="68"/>
      <c r="IC28" s="68"/>
      <c r="ID28" s="68"/>
      <c r="IE28" s="68"/>
      <c r="IF28" s="68"/>
      <c r="IG28" s="68"/>
      <c r="IH28" s="68"/>
      <c r="II28" s="68"/>
      <c r="IJ28" s="68"/>
      <c r="IK28" s="68"/>
      <c r="IL28" s="68"/>
      <c r="IM28" s="68"/>
      <c r="IN28" s="68"/>
      <c r="IO28" s="68"/>
      <c r="IP28" s="68"/>
      <c r="IQ28" s="68"/>
      <c r="IR28" s="68"/>
      <c r="IS28" s="68"/>
      <c r="IT28" s="68"/>
      <c r="IU28" s="68"/>
      <c r="IV28" s="68"/>
      <c r="IW28" s="68"/>
      <c r="IX28" s="68"/>
      <c r="IY28" s="68"/>
      <c r="IZ28" s="68"/>
      <c r="JA28" s="68"/>
      <c r="JB28" s="68"/>
      <c r="JC28" s="68"/>
      <c r="JD28" s="68"/>
      <c r="JE28" s="68"/>
      <c r="JF28" s="68"/>
      <c r="JG28" s="68"/>
      <c r="JH28" s="68"/>
      <c r="JI28" s="68"/>
      <c r="JJ28" s="68"/>
      <c r="JK28" s="68"/>
      <c r="JL28" s="68"/>
      <c r="JM28" s="68"/>
      <c r="JN28" s="68"/>
      <c r="JO28" s="68"/>
      <c r="JP28" s="68"/>
      <c r="JQ28" s="68"/>
      <c r="JR28" s="68"/>
      <c r="JS28" s="68"/>
      <c r="JT28" s="68"/>
      <c r="JU28" s="68"/>
      <c r="JV28" s="68"/>
      <c r="JW28" s="68"/>
      <c r="JX28" s="68"/>
      <c r="JY28" s="68"/>
      <c r="JZ28" s="68"/>
      <c r="KA28" s="68"/>
      <c r="KB28" s="68"/>
      <c r="KC28" s="68"/>
      <c r="KD28" s="68"/>
      <c r="KE28" s="68"/>
      <c r="KF28" s="68"/>
      <c r="KG28" s="68"/>
      <c r="KH28" s="68"/>
      <c r="KI28" s="68"/>
      <c r="KJ28" s="68"/>
      <c r="KK28" s="68"/>
      <c r="KL28" s="68"/>
      <c r="KM28" s="68"/>
      <c r="KN28" s="68"/>
      <c r="KO28" s="68"/>
      <c r="KP28" s="68"/>
      <c r="KQ28" s="68"/>
      <c r="KR28" s="68"/>
      <c r="KS28" s="68"/>
      <c r="KT28" s="68"/>
      <c r="KU28" s="68"/>
      <c r="KV28" s="68"/>
      <c r="KW28" s="68"/>
      <c r="KX28" s="68"/>
      <c r="KY28" s="68"/>
      <c r="KZ28" s="68"/>
      <c r="LA28" s="68"/>
      <c r="LB28" s="68"/>
      <c r="LC28" s="68"/>
      <c r="LD28" s="68"/>
      <c r="LE28" s="68"/>
      <c r="LF28" s="68"/>
      <c r="LG28" s="68"/>
      <c r="LH28" s="68"/>
      <c r="LI28" s="68"/>
      <c r="LJ28" s="68"/>
      <c r="LK28" s="68"/>
      <c r="LL28" s="68"/>
      <c r="LM28" s="68"/>
      <c r="LN28" s="68"/>
      <c r="LO28" s="68"/>
      <c r="LP28" s="68"/>
      <c r="LQ28" s="68"/>
      <c r="LR28" s="68"/>
      <c r="LS28" s="68"/>
      <c r="LT28" s="68"/>
      <c r="LU28" s="68"/>
      <c r="LV28" s="68"/>
      <c r="LW28" s="68"/>
      <c r="LX28" s="68"/>
      <c r="LY28" s="68"/>
      <c r="LZ28" s="68"/>
      <c r="MA28" s="68"/>
      <c r="MB28" s="68"/>
      <c r="MC28" s="68"/>
      <c r="MD28" s="68"/>
      <c r="ME28" s="68"/>
      <c r="MF28" s="68"/>
      <c r="MG28" s="68"/>
      <c r="MH28" s="68"/>
      <c r="MI28" s="68"/>
      <c r="MJ28" s="68"/>
      <c r="MK28" s="68"/>
      <c r="ML28" s="68"/>
      <c r="MM28" s="68"/>
      <c r="MN28" s="68"/>
      <c r="MO28" s="68"/>
      <c r="MP28" s="68"/>
      <c r="MQ28" s="68"/>
      <c r="MR28" s="68"/>
      <c r="MS28" s="68"/>
      <c r="MT28" s="68"/>
      <c r="MU28" s="68"/>
      <c r="MV28" s="68"/>
      <c r="MW28" s="68"/>
      <c r="MX28" s="68"/>
      <c r="MY28" s="68"/>
      <c r="MZ28" s="68"/>
      <c r="NA28" s="68"/>
      <c r="NB28" s="68"/>
      <c r="NC28" s="68"/>
      <c r="ND28" s="68"/>
      <c r="NE28" s="68"/>
      <c r="NF28" s="68"/>
      <c r="NG28" s="68"/>
      <c r="NH28" s="68"/>
      <c r="NI28" s="68"/>
      <c r="NJ28" s="70">
        <f t="array" aca="1" ref="NJ28" ca="1">SUMPRODUCT((OFFSET($A28,0,31*($A$3-1)+1,1,31)&lt;&gt;"")*(IF(OFFSET($A28,0,31*($A$3-1)+1,1,31)=Database!$K$11,0.5,IF(OFFSET($A28,0,31*($A$3-1)+1,1,31)=Database!$K$12,0.5,1))*(OFFSET($A$4,0,31*($A$3-1)+1,1,31))))</f>
        <v>0</v>
      </c>
      <c r="NK28" s="72">
        <f t="array" aca="1" ref="NK28" ca="1">SUMPRODUCT((OFFSET($A28,0,1,1,372)&lt;&gt;"")*(IF(OFFSET($A28,0,1,1,372)=Database!$K$11,0.5,IF(OFFSET($A28,0,1,1,372)=Database!$K$12,0.5,1))*(OFFSET($A$3,0,1,1,372))))</f>
        <v>0</v>
      </c>
      <c r="NL28" s="63">
        <f t="shared" ca="1" si="8"/>
        <v>0</v>
      </c>
      <c r="NM28" s="63">
        <f t="shared" ca="1" si="8"/>
        <v>0</v>
      </c>
      <c r="NN28" s="63">
        <f t="shared" ca="1" si="8"/>
        <v>0</v>
      </c>
      <c r="NO28" s="63">
        <f t="shared" ca="1" si="8"/>
        <v>0</v>
      </c>
      <c r="NP28" s="63">
        <f t="shared" ca="1" si="8"/>
        <v>0</v>
      </c>
      <c r="NQ28" s="63">
        <f t="shared" ca="1" si="8"/>
        <v>0</v>
      </c>
      <c r="NR28" s="63">
        <f t="shared" ca="1" si="8"/>
        <v>0</v>
      </c>
      <c r="NS28" s="63">
        <f t="shared" ca="1" si="8"/>
        <v>0</v>
      </c>
      <c r="NT28" s="63">
        <f t="shared" ca="1" si="8"/>
        <v>0</v>
      </c>
      <c r="NU28" s="63">
        <f t="shared" ca="1" si="8"/>
        <v>0</v>
      </c>
    </row>
    <row r="29" spans="1:385" ht="18" hidden="1" customHeight="1" outlineLevel="1" x14ac:dyDescent="0.25">
      <c r="A29" s="26"/>
      <c r="B29" s="68"/>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8"/>
      <c r="AY29" s="68"/>
      <c r="AZ29" s="68"/>
      <c r="BA29" s="68"/>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8"/>
      <c r="CX29" s="68"/>
      <c r="CY29" s="68"/>
      <c r="CZ29" s="68"/>
      <c r="DA29" s="68"/>
      <c r="DB29" s="68"/>
      <c r="DC29" s="68"/>
      <c r="DD29" s="68"/>
      <c r="DE29" s="68"/>
      <c r="DF29" s="68"/>
      <c r="DG29" s="68"/>
      <c r="DH29" s="68"/>
      <c r="DI29" s="68"/>
      <c r="DJ29" s="68"/>
      <c r="DK29" s="68"/>
      <c r="DL29" s="68"/>
      <c r="DM29" s="68"/>
      <c r="DN29" s="68"/>
      <c r="DO29" s="68"/>
      <c r="DP29" s="68"/>
      <c r="DQ29" s="68"/>
      <c r="DR29" s="68"/>
      <c r="DS29" s="68"/>
      <c r="DT29" s="68"/>
      <c r="DU29" s="68"/>
      <c r="DV29" s="68"/>
      <c r="DW29" s="68"/>
      <c r="DX29" s="68"/>
      <c r="DY29" s="68"/>
      <c r="DZ29" s="68"/>
      <c r="EA29" s="68"/>
      <c r="EB29" s="68"/>
      <c r="EC29" s="68"/>
      <c r="ED29" s="68"/>
      <c r="EE29" s="68"/>
      <c r="EF29" s="68"/>
      <c r="EG29" s="68"/>
      <c r="EH29" s="68"/>
      <c r="EI29" s="68"/>
      <c r="EJ29" s="68"/>
      <c r="EK29" s="68"/>
      <c r="EL29" s="68"/>
      <c r="EM29" s="68"/>
      <c r="EN29" s="68"/>
      <c r="EO29" s="68"/>
      <c r="EP29" s="68"/>
      <c r="EQ29" s="68"/>
      <c r="ER29" s="68"/>
      <c r="ES29" s="68"/>
      <c r="ET29" s="68"/>
      <c r="EU29" s="68"/>
      <c r="EV29" s="68"/>
      <c r="EW29" s="68"/>
      <c r="EX29" s="68"/>
      <c r="EY29" s="68"/>
      <c r="EZ29" s="68"/>
      <c r="FA29" s="68"/>
      <c r="FB29" s="68"/>
      <c r="FC29" s="68"/>
      <c r="FD29" s="68"/>
      <c r="FE29" s="68"/>
      <c r="FF29" s="68"/>
      <c r="FG29" s="68"/>
      <c r="FH29" s="68"/>
      <c r="FI29" s="68"/>
      <c r="FJ29" s="68"/>
      <c r="FK29" s="68"/>
      <c r="FL29" s="68"/>
      <c r="FM29" s="68"/>
      <c r="FN29" s="68"/>
      <c r="FO29" s="68"/>
      <c r="FP29" s="68"/>
      <c r="FQ29" s="68"/>
      <c r="FR29" s="68"/>
      <c r="FS29" s="68"/>
      <c r="FT29" s="68"/>
      <c r="FU29" s="68"/>
      <c r="FV29" s="68"/>
      <c r="FW29" s="68"/>
      <c r="FX29" s="68"/>
      <c r="FY29" s="68"/>
      <c r="FZ29" s="68"/>
      <c r="GA29" s="68"/>
      <c r="GB29" s="68"/>
      <c r="GC29" s="68"/>
      <c r="GD29" s="68"/>
      <c r="GE29" s="68"/>
      <c r="GF29" s="68"/>
      <c r="GG29" s="68"/>
      <c r="GH29" s="68"/>
      <c r="GI29" s="68"/>
      <c r="GJ29" s="68"/>
      <c r="GK29" s="68"/>
      <c r="GL29" s="68"/>
      <c r="GM29" s="68"/>
      <c r="GN29" s="68"/>
      <c r="GO29" s="68"/>
      <c r="GP29" s="68"/>
      <c r="GQ29" s="68"/>
      <c r="GR29" s="68"/>
      <c r="GS29" s="68"/>
      <c r="GT29" s="68"/>
      <c r="GU29" s="68"/>
      <c r="GV29" s="68"/>
      <c r="GW29" s="68"/>
      <c r="GX29" s="68"/>
      <c r="GY29" s="68"/>
      <c r="GZ29" s="68"/>
      <c r="HA29" s="68"/>
      <c r="HB29" s="68"/>
      <c r="HC29" s="68"/>
      <c r="HD29" s="68"/>
      <c r="HE29" s="68"/>
      <c r="HF29" s="68"/>
      <c r="HG29" s="68"/>
      <c r="HH29" s="68"/>
      <c r="HI29" s="68"/>
      <c r="HJ29" s="68"/>
      <c r="HK29" s="68"/>
      <c r="HL29" s="68"/>
      <c r="HM29" s="68"/>
      <c r="HN29" s="68"/>
      <c r="HO29" s="68"/>
      <c r="HP29" s="68"/>
      <c r="HQ29" s="68"/>
      <c r="HR29" s="68"/>
      <c r="HS29" s="68"/>
      <c r="HT29" s="68"/>
      <c r="HU29" s="68"/>
      <c r="HV29" s="68"/>
      <c r="HW29" s="68"/>
      <c r="HX29" s="68"/>
      <c r="HY29" s="68"/>
      <c r="HZ29" s="68"/>
      <c r="IA29" s="68"/>
      <c r="IB29" s="68"/>
      <c r="IC29" s="68"/>
      <c r="ID29" s="68"/>
      <c r="IE29" s="68"/>
      <c r="IF29" s="68"/>
      <c r="IG29" s="68"/>
      <c r="IH29" s="68"/>
      <c r="II29" s="68"/>
      <c r="IJ29" s="68"/>
      <c r="IK29" s="68"/>
      <c r="IL29" s="68"/>
      <c r="IM29" s="68"/>
      <c r="IN29" s="68"/>
      <c r="IO29" s="68"/>
      <c r="IP29" s="68"/>
      <c r="IQ29" s="68"/>
      <c r="IR29" s="68"/>
      <c r="IS29" s="68"/>
      <c r="IT29" s="68"/>
      <c r="IU29" s="68"/>
      <c r="IV29" s="68"/>
      <c r="IW29" s="68"/>
      <c r="IX29" s="68"/>
      <c r="IY29" s="68"/>
      <c r="IZ29" s="68"/>
      <c r="JA29" s="68"/>
      <c r="JB29" s="68"/>
      <c r="JC29" s="68"/>
      <c r="JD29" s="68"/>
      <c r="JE29" s="68"/>
      <c r="JF29" s="68"/>
      <c r="JG29" s="68"/>
      <c r="JH29" s="68"/>
      <c r="JI29" s="68"/>
      <c r="JJ29" s="68"/>
      <c r="JK29" s="68"/>
      <c r="JL29" s="68"/>
      <c r="JM29" s="68"/>
      <c r="JN29" s="68"/>
      <c r="JO29" s="68"/>
      <c r="JP29" s="68"/>
      <c r="JQ29" s="68"/>
      <c r="JR29" s="68"/>
      <c r="JS29" s="68"/>
      <c r="JT29" s="68"/>
      <c r="JU29" s="68"/>
      <c r="JV29" s="68"/>
      <c r="JW29" s="68"/>
      <c r="JX29" s="68"/>
      <c r="JY29" s="68"/>
      <c r="JZ29" s="68"/>
      <c r="KA29" s="68"/>
      <c r="KB29" s="68"/>
      <c r="KC29" s="68"/>
      <c r="KD29" s="68"/>
      <c r="KE29" s="68"/>
      <c r="KF29" s="68"/>
      <c r="KG29" s="68"/>
      <c r="KH29" s="68"/>
      <c r="KI29" s="68"/>
      <c r="KJ29" s="68"/>
      <c r="KK29" s="68"/>
      <c r="KL29" s="68"/>
      <c r="KM29" s="68"/>
      <c r="KN29" s="68"/>
      <c r="KO29" s="68"/>
      <c r="KP29" s="68"/>
      <c r="KQ29" s="68"/>
      <c r="KR29" s="68"/>
      <c r="KS29" s="68"/>
      <c r="KT29" s="68"/>
      <c r="KU29" s="68"/>
      <c r="KV29" s="68"/>
      <c r="KW29" s="68"/>
      <c r="KX29" s="68"/>
      <c r="KY29" s="68"/>
      <c r="KZ29" s="68"/>
      <c r="LA29" s="68"/>
      <c r="LB29" s="68"/>
      <c r="LC29" s="68"/>
      <c r="LD29" s="68"/>
      <c r="LE29" s="68"/>
      <c r="LF29" s="68"/>
      <c r="LG29" s="68"/>
      <c r="LH29" s="68"/>
      <c r="LI29" s="68"/>
      <c r="LJ29" s="68"/>
      <c r="LK29" s="68"/>
      <c r="LL29" s="68"/>
      <c r="LM29" s="68"/>
      <c r="LN29" s="68"/>
      <c r="LO29" s="68"/>
      <c r="LP29" s="68"/>
      <c r="LQ29" s="68"/>
      <c r="LR29" s="68"/>
      <c r="LS29" s="68"/>
      <c r="LT29" s="68"/>
      <c r="LU29" s="68"/>
      <c r="LV29" s="68"/>
      <c r="LW29" s="68"/>
      <c r="LX29" s="68"/>
      <c r="LY29" s="68"/>
      <c r="LZ29" s="68"/>
      <c r="MA29" s="68"/>
      <c r="MB29" s="68"/>
      <c r="MC29" s="68"/>
      <c r="MD29" s="68"/>
      <c r="ME29" s="68"/>
      <c r="MF29" s="68"/>
      <c r="MG29" s="68"/>
      <c r="MH29" s="68"/>
      <c r="MI29" s="68"/>
      <c r="MJ29" s="68"/>
      <c r="MK29" s="68"/>
      <c r="ML29" s="68"/>
      <c r="MM29" s="68"/>
      <c r="MN29" s="68"/>
      <c r="MO29" s="68"/>
      <c r="MP29" s="68"/>
      <c r="MQ29" s="68"/>
      <c r="MR29" s="68"/>
      <c r="MS29" s="68"/>
      <c r="MT29" s="68"/>
      <c r="MU29" s="68"/>
      <c r="MV29" s="68"/>
      <c r="MW29" s="68"/>
      <c r="MX29" s="68"/>
      <c r="MY29" s="68"/>
      <c r="MZ29" s="68"/>
      <c r="NA29" s="68"/>
      <c r="NB29" s="68"/>
      <c r="NC29" s="68"/>
      <c r="ND29" s="68"/>
      <c r="NE29" s="68"/>
      <c r="NF29" s="68"/>
      <c r="NG29" s="68"/>
      <c r="NH29" s="68"/>
      <c r="NI29" s="68"/>
      <c r="NJ29" s="70">
        <f t="array" aca="1" ref="NJ29" ca="1">SUMPRODUCT((OFFSET($A29,0,31*($A$3-1)+1,1,31)&lt;&gt;"")*(IF(OFFSET($A29,0,31*($A$3-1)+1,1,31)=Database!$K$11,0.5,IF(OFFSET($A29,0,31*($A$3-1)+1,1,31)=Database!$K$12,0.5,1))*(OFFSET($A$4,0,31*($A$3-1)+1,1,31))))</f>
        <v>0</v>
      </c>
      <c r="NK29" s="72">
        <f t="array" aca="1" ref="NK29" ca="1">SUMPRODUCT((OFFSET($A29,0,1,1,372)&lt;&gt;"")*(IF(OFFSET($A29,0,1,1,372)=Database!$K$11,0.5,IF(OFFSET($A29,0,1,1,372)=Database!$K$12,0.5,1))*(OFFSET($A$3,0,1,1,372))))</f>
        <v>0</v>
      </c>
      <c r="NL29" s="63">
        <f t="shared" ca="1" si="8"/>
        <v>0</v>
      </c>
      <c r="NM29" s="63">
        <f t="shared" ca="1" si="8"/>
        <v>0</v>
      </c>
      <c r="NN29" s="63">
        <f t="shared" ca="1" si="8"/>
        <v>0</v>
      </c>
      <c r="NO29" s="63">
        <f t="shared" ca="1" si="8"/>
        <v>0</v>
      </c>
      <c r="NP29" s="63">
        <f t="shared" ca="1" si="8"/>
        <v>0</v>
      </c>
      <c r="NQ29" s="63">
        <f t="shared" ca="1" si="8"/>
        <v>0</v>
      </c>
      <c r="NR29" s="63">
        <f t="shared" ca="1" si="8"/>
        <v>0</v>
      </c>
      <c r="NS29" s="63">
        <f t="shared" ca="1" si="8"/>
        <v>0</v>
      </c>
      <c r="NT29" s="63">
        <f t="shared" ca="1" si="8"/>
        <v>0</v>
      </c>
      <c r="NU29" s="63">
        <f t="shared" ca="1" si="8"/>
        <v>0</v>
      </c>
    </row>
    <row r="30" spans="1:385" ht="18" hidden="1" customHeight="1" outlineLevel="1" x14ac:dyDescent="0.25">
      <c r="A30" s="26"/>
      <c r="B30" s="68"/>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8"/>
      <c r="AY30" s="68"/>
      <c r="AZ30" s="68"/>
      <c r="BA30" s="68"/>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8"/>
      <c r="CX30" s="68"/>
      <c r="CY30" s="68"/>
      <c r="CZ30" s="68"/>
      <c r="DA30" s="68"/>
      <c r="DB30" s="68"/>
      <c r="DC30" s="68"/>
      <c r="DD30" s="68"/>
      <c r="DE30" s="68"/>
      <c r="DF30" s="68"/>
      <c r="DG30" s="68"/>
      <c r="DH30" s="68"/>
      <c r="DI30" s="68"/>
      <c r="DJ30" s="68"/>
      <c r="DK30" s="68"/>
      <c r="DL30" s="68"/>
      <c r="DM30" s="68"/>
      <c r="DN30" s="68"/>
      <c r="DO30" s="68"/>
      <c r="DP30" s="68"/>
      <c r="DQ30" s="68"/>
      <c r="DR30" s="68"/>
      <c r="DS30" s="68"/>
      <c r="DT30" s="68"/>
      <c r="DU30" s="68"/>
      <c r="DV30" s="68"/>
      <c r="DW30" s="68"/>
      <c r="DX30" s="68"/>
      <c r="DY30" s="68"/>
      <c r="DZ30" s="68"/>
      <c r="EA30" s="68"/>
      <c r="EB30" s="68"/>
      <c r="EC30" s="68"/>
      <c r="ED30" s="68"/>
      <c r="EE30" s="68"/>
      <c r="EF30" s="68"/>
      <c r="EG30" s="68"/>
      <c r="EH30" s="68"/>
      <c r="EI30" s="68"/>
      <c r="EJ30" s="68"/>
      <c r="EK30" s="68"/>
      <c r="EL30" s="68"/>
      <c r="EM30" s="68"/>
      <c r="EN30" s="68"/>
      <c r="EO30" s="68"/>
      <c r="EP30" s="68"/>
      <c r="EQ30" s="68"/>
      <c r="ER30" s="68"/>
      <c r="ES30" s="68"/>
      <c r="ET30" s="68"/>
      <c r="EU30" s="68"/>
      <c r="EV30" s="68"/>
      <c r="EW30" s="68"/>
      <c r="EX30" s="68"/>
      <c r="EY30" s="68"/>
      <c r="EZ30" s="68"/>
      <c r="FA30" s="68"/>
      <c r="FB30" s="68"/>
      <c r="FC30" s="68"/>
      <c r="FD30" s="68"/>
      <c r="FE30" s="68"/>
      <c r="FF30" s="68"/>
      <c r="FG30" s="68"/>
      <c r="FH30" s="68"/>
      <c r="FI30" s="68"/>
      <c r="FJ30" s="68"/>
      <c r="FK30" s="68"/>
      <c r="FL30" s="68"/>
      <c r="FM30" s="68"/>
      <c r="FN30" s="68"/>
      <c r="FO30" s="68"/>
      <c r="FP30" s="68"/>
      <c r="FQ30" s="68"/>
      <c r="FR30" s="68"/>
      <c r="FS30" s="68"/>
      <c r="FT30" s="68"/>
      <c r="FU30" s="68"/>
      <c r="FV30" s="68"/>
      <c r="FW30" s="68"/>
      <c r="FX30" s="68"/>
      <c r="FY30" s="68"/>
      <c r="FZ30" s="68"/>
      <c r="GA30" s="68"/>
      <c r="GB30" s="68"/>
      <c r="GC30" s="68"/>
      <c r="GD30" s="68"/>
      <c r="GE30" s="68"/>
      <c r="GF30" s="68"/>
      <c r="GG30" s="68"/>
      <c r="GH30" s="68"/>
      <c r="GI30" s="68"/>
      <c r="GJ30" s="68"/>
      <c r="GK30" s="68"/>
      <c r="GL30" s="68"/>
      <c r="GM30" s="68"/>
      <c r="GN30" s="68"/>
      <c r="GO30" s="68"/>
      <c r="GP30" s="68"/>
      <c r="GQ30" s="68"/>
      <c r="GR30" s="68"/>
      <c r="GS30" s="68"/>
      <c r="GT30" s="68"/>
      <c r="GU30" s="68"/>
      <c r="GV30" s="68"/>
      <c r="GW30" s="68"/>
      <c r="GX30" s="68"/>
      <c r="GY30" s="68"/>
      <c r="GZ30" s="68"/>
      <c r="HA30" s="68"/>
      <c r="HB30" s="68"/>
      <c r="HC30" s="68"/>
      <c r="HD30" s="68"/>
      <c r="HE30" s="68"/>
      <c r="HF30" s="68"/>
      <c r="HG30" s="68"/>
      <c r="HH30" s="68"/>
      <c r="HI30" s="68"/>
      <c r="HJ30" s="68"/>
      <c r="HK30" s="68"/>
      <c r="HL30" s="68"/>
      <c r="HM30" s="68"/>
      <c r="HN30" s="68"/>
      <c r="HO30" s="68"/>
      <c r="HP30" s="68"/>
      <c r="HQ30" s="68"/>
      <c r="HR30" s="68"/>
      <c r="HS30" s="68"/>
      <c r="HT30" s="68"/>
      <c r="HU30" s="68"/>
      <c r="HV30" s="68"/>
      <c r="HW30" s="68"/>
      <c r="HX30" s="68"/>
      <c r="HY30" s="68"/>
      <c r="HZ30" s="68"/>
      <c r="IA30" s="68"/>
      <c r="IB30" s="68"/>
      <c r="IC30" s="68"/>
      <c r="ID30" s="68"/>
      <c r="IE30" s="68"/>
      <c r="IF30" s="68"/>
      <c r="IG30" s="68"/>
      <c r="IH30" s="68"/>
      <c r="II30" s="68"/>
      <c r="IJ30" s="68"/>
      <c r="IK30" s="68"/>
      <c r="IL30" s="68"/>
      <c r="IM30" s="68"/>
      <c r="IN30" s="68"/>
      <c r="IO30" s="68"/>
      <c r="IP30" s="68"/>
      <c r="IQ30" s="68"/>
      <c r="IR30" s="68"/>
      <c r="IS30" s="68"/>
      <c r="IT30" s="68"/>
      <c r="IU30" s="68"/>
      <c r="IV30" s="68"/>
      <c r="IW30" s="68"/>
      <c r="IX30" s="68"/>
      <c r="IY30" s="68"/>
      <c r="IZ30" s="68"/>
      <c r="JA30" s="68"/>
      <c r="JB30" s="68"/>
      <c r="JC30" s="68"/>
      <c r="JD30" s="68"/>
      <c r="JE30" s="68"/>
      <c r="JF30" s="68"/>
      <c r="JG30" s="68"/>
      <c r="JH30" s="68"/>
      <c r="JI30" s="68"/>
      <c r="JJ30" s="68"/>
      <c r="JK30" s="68"/>
      <c r="JL30" s="68"/>
      <c r="JM30" s="68"/>
      <c r="JN30" s="68"/>
      <c r="JO30" s="68"/>
      <c r="JP30" s="68"/>
      <c r="JQ30" s="68"/>
      <c r="JR30" s="68"/>
      <c r="JS30" s="68"/>
      <c r="JT30" s="68"/>
      <c r="JU30" s="68"/>
      <c r="JV30" s="68"/>
      <c r="JW30" s="68"/>
      <c r="JX30" s="68"/>
      <c r="JY30" s="68"/>
      <c r="JZ30" s="68"/>
      <c r="KA30" s="68"/>
      <c r="KB30" s="68"/>
      <c r="KC30" s="68"/>
      <c r="KD30" s="68"/>
      <c r="KE30" s="68"/>
      <c r="KF30" s="68"/>
      <c r="KG30" s="68"/>
      <c r="KH30" s="68"/>
      <c r="KI30" s="68"/>
      <c r="KJ30" s="68"/>
      <c r="KK30" s="68"/>
      <c r="KL30" s="68"/>
      <c r="KM30" s="68"/>
      <c r="KN30" s="68"/>
      <c r="KO30" s="68"/>
      <c r="KP30" s="68"/>
      <c r="KQ30" s="68"/>
      <c r="KR30" s="68"/>
      <c r="KS30" s="68"/>
      <c r="KT30" s="68"/>
      <c r="KU30" s="68"/>
      <c r="KV30" s="68"/>
      <c r="KW30" s="68"/>
      <c r="KX30" s="68"/>
      <c r="KY30" s="68"/>
      <c r="KZ30" s="68"/>
      <c r="LA30" s="68"/>
      <c r="LB30" s="68"/>
      <c r="LC30" s="68"/>
      <c r="LD30" s="68"/>
      <c r="LE30" s="68"/>
      <c r="LF30" s="68"/>
      <c r="LG30" s="68"/>
      <c r="LH30" s="68"/>
      <c r="LI30" s="68"/>
      <c r="LJ30" s="68"/>
      <c r="LK30" s="68"/>
      <c r="LL30" s="68"/>
      <c r="LM30" s="68"/>
      <c r="LN30" s="68"/>
      <c r="LO30" s="68"/>
      <c r="LP30" s="68"/>
      <c r="LQ30" s="68"/>
      <c r="LR30" s="68"/>
      <c r="LS30" s="68"/>
      <c r="LT30" s="68"/>
      <c r="LU30" s="68"/>
      <c r="LV30" s="68"/>
      <c r="LW30" s="68"/>
      <c r="LX30" s="68"/>
      <c r="LY30" s="68"/>
      <c r="LZ30" s="68"/>
      <c r="MA30" s="68"/>
      <c r="MB30" s="68"/>
      <c r="MC30" s="68"/>
      <c r="MD30" s="68"/>
      <c r="ME30" s="68"/>
      <c r="MF30" s="68"/>
      <c r="MG30" s="68"/>
      <c r="MH30" s="68"/>
      <c r="MI30" s="68"/>
      <c r="MJ30" s="68"/>
      <c r="MK30" s="68"/>
      <c r="ML30" s="68"/>
      <c r="MM30" s="68"/>
      <c r="MN30" s="68"/>
      <c r="MO30" s="68"/>
      <c r="MP30" s="68"/>
      <c r="MQ30" s="68"/>
      <c r="MR30" s="68"/>
      <c r="MS30" s="68"/>
      <c r="MT30" s="68"/>
      <c r="MU30" s="68"/>
      <c r="MV30" s="68"/>
      <c r="MW30" s="68"/>
      <c r="MX30" s="68"/>
      <c r="MY30" s="68"/>
      <c r="MZ30" s="68"/>
      <c r="NA30" s="68"/>
      <c r="NB30" s="68"/>
      <c r="NC30" s="68"/>
      <c r="ND30" s="68"/>
      <c r="NE30" s="68"/>
      <c r="NF30" s="68"/>
      <c r="NG30" s="68"/>
      <c r="NH30" s="68"/>
      <c r="NI30" s="68"/>
      <c r="NJ30" s="70">
        <f t="array" aca="1" ref="NJ30" ca="1">SUMPRODUCT((OFFSET($A30,0,31*($A$3-1)+1,1,31)&lt;&gt;"")*(IF(OFFSET($A30,0,31*($A$3-1)+1,1,31)=Database!$K$11,0.5,IF(OFFSET($A30,0,31*($A$3-1)+1,1,31)=Database!$K$12,0.5,1))*(OFFSET($A$4,0,31*($A$3-1)+1,1,31))))</f>
        <v>0</v>
      </c>
      <c r="NK30" s="72">
        <f t="array" aca="1" ref="NK30" ca="1">SUMPRODUCT((OFFSET($A30,0,1,1,372)&lt;&gt;"")*(IF(OFFSET($A30,0,1,1,372)=Database!$K$11,0.5,IF(OFFSET($A30,0,1,1,372)=Database!$K$12,0.5,1))*(OFFSET($A$3,0,1,1,372))))</f>
        <v>0</v>
      </c>
      <c r="NL30" s="63">
        <f t="shared" ca="1" si="8"/>
        <v>0</v>
      </c>
      <c r="NM30" s="63">
        <f t="shared" ca="1" si="8"/>
        <v>0</v>
      </c>
      <c r="NN30" s="63">
        <f t="shared" ca="1" si="8"/>
        <v>0</v>
      </c>
      <c r="NO30" s="63">
        <f t="shared" ca="1" si="8"/>
        <v>0</v>
      </c>
      <c r="NP30" s="63">
        <f t="shared" ca="1" si="8"/>
        <v>0</v>
      </c>
      <c r="NQ30" s="63">
        <f t="shared" ca="1" si="8"/>
        <v>0</v>
      </c>
      <c r="NR30" s="63">
        <f t="shared" ca="1" si="8"/>
        <v>0</v>
      </c>
      <c r="NS30" s="63">
        <f t="shared" ca="1" si="8"/>
        <v>0</v>
      </c>
      <c r="NT30" s="63">
        <f t="shared" ca="1" si="8"/>
        <v>0</v>
      </c>
      <c r="NU30" s="63">
        <f t="shared" ca="1" si="8"/>
        <v>0</v>
      </c>
    </row>
    <row r="31" spans="1:385" ht="18" hidden="1" customHeight="1" outlineLevel="1" x14ac:dyDescent="0.25">
      <c r="A31" s="26"/>
      <c r="B31" s="68"/>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8"/>
      <c r="AY31" s="68"/>
      <c r="AZ31" s="68"/>
      <c r="BA31" s="68"/>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8"/>
      <c r="CX31" s="68"/>
      <c r="CY31" s="68"/>
      <c r="CZ31" s="68"/>
      <c r="DA31" s="68"/>
      <c r="DB31" s="68"/>
      <c r="DC31" s="68"/>
      <c r="DD31" s="68"/>
      <c r="DE31" s="68"/>
      <c r="DF31" s="68"/>
      <c r="DG31" s="68"/>
      <c r="DH31" s="68"/>
      <c r="DI31" s="68"/>
      <c r="DJ31" s="68"/>
      <c r="DK31" s="68"/>
      <c r="DL31" s="68"/>
      <c r="DM31" s="68"/>
      <c r="DN31" s="68"/>
      <c r="DO31" s="68"/>
      <c r="DP31" s="68"/>
      <c r="DQ31" s="68"/>
      <c r="DR31" s="68"/>
      <c r="DS31" s="68"/>
      <c r="DT31" s="68"/>
      <c r="DU31" s="68"/>
      <c r="DV31" s="68"/>
      <c r="DW31" s="68"/>
      <c r="DX31" s="68"/>
      <c r="DY31" s="68"/>
      <c r="DZ31" s="68"/>
      <c r="EA31" s="68"/>
      <c r="EB31" s="68"/>
      <c r="EC31" s="68"/>
      <c r="ED31" s="68"/>
      <c r="EE31" s="68"/>
      <c r="EF31" s="68"/>
      <c r="EG31" s="68"/>
      <c r="EH31" s="68"/>
      <c r="EI31" s="68"/>
      <c r="EJ31" s="68"/>
      <c r="EK31" s="68"/>
      <c r="EL31" s="68"/>
      <c r="EM31" s="68"/>
      <c r="EN31" s="68"/>
      <c r="EO31" s="68"/>
      <c r="EP31" s="68"/>
      <c r="EQ31" s="68"/>
      <c r="ER31" s="68"/>
      <c r="ES31" s="68"/>
      <c r="ET31" s="68"/>
      <c r="EU31" s="68"/>
      <c r="EV31" s="68"/>
      <c r="EW31" s="68"/>
      <c r="EX31" s="68"/>
      <c r="EY31" s="68"/>
      <c r="EZ31" s="68"/>
      <c r="FA31" s="68"/>
      <c r="FB31" s="68"/>
      <c r="FC31" s="68"/>
      <c r="FD31" s="68"/>
      <c r="FE31" s="68"/>
      <c r="FF31" s="68"/>
      <c r="FG31" s="68"/>
      <c r="FH31" s="68"/>
      <c r="FI31" s="68"/>
      <c r="FJ31" s="68"/>
      <c r="FK31" s="68"/>
      <c r="FL31" s="68"/>
      <c r="FM31" s="68"/>
      <c r="FN31" s="68"/>
      <c r="FO31" s="68"/>
      <c r="FP31" s="68"/>
      <c r="FQ31" s="68"/>
      <c r="FR31" s="68"/>
      <c r="FS31" s="68"/>
      <c r="FT31" s="68"/>
      <c r="FU31" s="68"/>
      <c r="FV31" s="68"/>
      <c r="FW31" s="68"/>
      <c r="FX31" s="68"/>
      <c r="FY31" s="68"/>
      <c r="FZ31" s="68"/>
      <c r="GA31" s="68"/>
      <c r="GB31" s="68"/>
      <c r="GC31" s="68"/>
      <c r="GD31" s="68"/>
      <c r="GE31" s="68"/>
      <c r="GF31" s="68"/>
      <c r="GG31" s="68"/>
      <c r="GH31" s="68"/>
      <c r="GI31" s="68"/>
      <c r="GJ31" s="68"/>
      <c r="GK31" s="68"/>
      <c r="GL31" s="68"/>
      <c r="GM31" s="68"/>
      <c r="GN31" s="68"/>
      <c r="GO31" s="68"/>
      <c r="GP31" s="68"/>
      <c r="GQ31" s="68"/>
      <c r="GR31" s="68"/>
      <c r="GS31" s="68"/>
      <c r="GT31" s="68"/>
      <c r="GU31" s="68"/>
      <c r="GV31" s="68"/>
      <c r="GW31" s="68"/>
      <c r="GX31" s="68"/>
      <c r="GY31" s="68"/>
      <c r="GZ31" s="68"/>
      <c r="HA31" s="68"/>
      <c r="HB31" s="68"/>
      <c r="HC31" s="68"/>
      <c r="HD31" s="68"/>
      <c r="HE31" s="68"/>
      <c r="HF31" s="68"/>
      <c r="HG31" s="68"/>
      <c r="HH31" s="68"/>
      <c r="HI31" s="68"/>
      <c r="HJ31" s="68"/>
      <c r="HK31" s="68"/>
      <c r="HL31" s="68"/>
      <c r="HM31" s="68"/>
      <c r="HN31" s="68"/>
      <c r="HO31" s="68"/>
      <c r="HP31" s="68"/>
      <c r="HQ31" s="68"/>
      <c r="HR31" s="68"/>
      <c r="HS31" s="68"/>
      <c r="HT31" s="68"/>
      <c r="HU31" s="68"/>
      <c r="HV31" s="68"/>
      <c r="HW31" s="68"/>
      <c r="HX31" s="68"/>
      <c r="HY31" s="68"/>
      <c r="HZ31" s="68"/>
      <c r="IA31" s="68"/>
      <c r="IB31" s="68"/>
      <c r="IC31" s="68"/>
      <c r="ID31" s="68"/>
      <c r="IE31" s="68"/>
      <c r="IF31" s="68"/>
      <c r="IG31" s="68"/>
      <c r="IH31" s="68"/>
      <c r="II31" s="68"/>
      <c r="IJ31" s="68"/>
      <c r="IK31" s="68"/>
      <c r="IL31" s="68"/>
      <c r="IM31" s="68"/>
      <c r="IN31" s="68"/>
      <c r="IO31" s="68"/>
      <c r="IP31" s="68"/>
      <c r="IQ31" s="68"/>
      <c r="IR31" s="68"/>
      <c r="IS31" s="68"/>
      <c r="IT31" s="68"/>
      <c r="IU31" s="68"/>
      <c r="IV31" s="68"/>
      <c r="IW31" s="68"/>
      <c r="IX31" s="68"/>
      <c r="IY31" s="68"/>
      <c r="IZ31" s="68"/>
      <c r="JA31" s="68"/>
      <c r="JB31" s="68"/>
      <c r="JC31" s="68"/>
      <c r="JD31" s="68"/>
      <c r="JE31" s="68"/>
      <c r="JF31" s="68"/>
      <c r="JG31" s="68"/>
      <c r="JH31" s="68"/>
      <c r="JI31" s="68"/>
      <c r="JJ31" s="68"/>
      <c r="JK31" s="68"/>
      <c r="JL31" s="68"/>
      <c r="JM31" s="68"/>
      <c r="JN31" s="68"/>
      <c r="JO31" s="68"/>
      <c r="JP31" s="68"/>
      <c r="JQ31" s="68"/>
      <c r="JR31" s="68"/>
      <c r="JS31" s="68"/>
      <c r="JT31" s="68"/>
      <c r="JU31" s="68"/>
      <c r="JV31" s="68"/>
      <c r="JW31" s="68"/>
      <c r="JX31" s="68"/>
      <c r="JY31" s="68"/>
      <c r="JZ31" s="68"/>
      <c r="KA31" s="68"/>
      <c r="KB31" s="68"/>
      <c r="KC31" s="68"/>
      <c r="KD31" s="68"/>
      <c r="KE31" s="68"/>
      <c r="KF31" s="68"/>
      <c r="KG31" s="68"/>
      <c r="KH31" s="68"/>
      <c r="KI31" s="68"/>
      <c r="KJ31" s="68"/>
      <c r="KK31" s="68"/>
      <c r="KL31" s="68"/>
      <c r="KM31" s="68"/>
      <c r="KN31" s="68"/>
      <c r="KO31" s="68"/>
      <c r="KP31" s="68"/>
      <c r="KQ31" s="68"/>
      <c r="KR31" s="68"/>
      <c r="KS31" s="68"/>
      <c r="KT31" s="68"/>
      <c r="KU31" s="68"/>
      <c r="KV31" s="68"/>
      <c r="KW31" s="68"/>
      <c r="KX31" s="68"/>
      <c r="KY31" s="68"/>
      <c r="KZ31" s="68"/>
      <c r="LA31" s="68"/>
      <c r="LB31" s="68"/>
      <c r="LC31" s="68"/>
      <c r="LD31" s="68"/>
      <c r="LE31" s="68"/>
      <c r="LF31" s="68"/>
      <c r="LG31" s="68"/>
      <c r="LH31" s="68"/>
      <c r="LI31" s="68"/>
      <c r="LJ31" s="68"/>
      <c r="LK31" s="68"/>
      <c r="LL31" s="68"/>
      <c r="LM31" s="68"/>
      <c r="LN31" s="68"/>
      <c r="LO31" s="68"/>
      <c r="LP31" s="68"/>
      <c r="LQ31" s="68"/>
      <c r="LR31" s="68"/>
      <c r="LS31" s="68"/>
      <c r="LT31" s="68"/>
      <c r="LU31" s="68"/>
      <c r="LV31" s="68"/>
      <c r="LW31" s="68"/>
      <c r="LX31" s="68"/>
      <c r="LY31" s="68"/>
      <c r="LZ31" s="68"/>
      <c r="MA31" s="68"/>
      <c r="MB31" s="68"/>
      <c r="MC31" s="68"/>
      <c r="MD31" s="68"/>
      <c r="ME31" s="68"/>
      <c r="MF31" s="68"/>
      <c r="MG31" s="68"/>
      <c r="MH31" s="68"/>
      <c r="MI31" s="68"/>
      <c r="MJ31" s="68"/>
      <c r="MK31" s="68"/>
      <c r="ML31" s="68"/>
      <c r="MM31" s="68"/>
      <c r="MN31" s="68"/>
      <c r="MO31" s="68"/>
      <c r="MP31" s="68"/>
      <c r="MQ31" s="68"/>
      <c r="MR31" s="68"/>
      <c r="MS31" s="68"/>
      <c r="MT31" s="68"/>
      <c r="MU31" s="68"/>
      <c r="MV31" s="68"/>
      <c r="MW31" s="68"/>
      <c r="MX31" s="68"/>
      <c r="MY31" s="68"/>
      <c r="MZ31" s="68"/>
      <c r="NA31" s="68"/>
      <c r="NB31" s="68"/>
      <c r="NC31" s="68"/>
      <c r="ND31" s="68"/>
      <c r="NE31" s="68"/>
      <c r="NF31" s="68"/>
      <c r="NG31" s="68"/>
      <c r="NH31" s="68"/>
      <c r="NI31" s="68"/>
      <c r="NJ31" s="70">
        <f t="array" aca="1" ref="NJ31" ca="1">SUMPRODUCT((OFFSET($A31,0,31*($A$3-1)+1,1,31)&lt;&gt;"")*(IF(OFFSET($A31,0,31*($A$3-1)+1,1,31)=Database!$K$11,0.5,IF(OFFSET($A31,0,31*($A$3-1)+1,1,31)=Database!$K$12,0.5,1))*(OFFSET($A$4,0,31*($A$3-1)+1,1,31))))</f>
        <v>0</v>
      </c>
      <c r="NK31" s="72">
        <f t="array" aca="1" ref="NK31" ca="1">SUMPRODUCT((OFFSET($A31,0,1,1,372)&lt;&gt;"")*(IF(OFFSET($A31,0,1,1,372)=Database!$K$11,0.5,IF(OFFSET($A31,0,1,1,372)=Database!$K$12,0.5,1))*(OFFSET($A$3,0,1,1,372))))</f>
        <v>0</v>
      </c>
      <c r="NL31" s="63">
        <f t="shared" ca="1" si="8"/>
        <v>0</v>
      </c>
      <c r="NM31" s="63">
        <f t="shared" ca="1" si="8"/>
        <v>0</v>
      </c>
      <c r="NN31" s="63">
        <f t="shared" ca="1" si="8"/>
        <v>0</v>
      </c>
      <c r="NO31" s="63">
        <f t="shared" ca="1" si="8"/>
        <v>0</v>
      </c>
      <c r="NP31" s="63">
        <f t="shared" ca="1" si="8"/>
        <v>0</v>
      </c>
      <c r="NQ31" s="63">
        <f t="shared" ca="1" si="8"/>
        <v>0</v>
      </c>
      <c r="NR31" s="63">
        <f t="shared" ca="1" si="8"/>
        <v>0</v>
      </c>
      <c r="NS31" s="63">
        <f t="shared" ca="1" si="8"/>
        <v>0</v>
      </c>
      <c r="NT31" s="63">
        <f t="shared" ca="1" si="8"/>
        <v>0</v>
      </c>
      <c r="NU31" s="63">
        <f t="shared" ca="1" si="8"/>
        <v>0</v>
      </c>
    </row>
    <row r="32" spans="1:385" ht="18" hidden="1" customHeight="1" outlineLevel="1" x14ac:dyDescent="0.25">
      <c r="A32" s="26"/>
      <c r="B32" s="68"/>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8"/>
      <c r="AY32" s="68"/>
      <c r="AZ32" s="68"/>
      <c r="BA32" s="68"/>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8"/>
      <c r="CX32" s="68"/>
      <c r="CY32" s="68"/>
      <c r="CZ32" s="68"/>
      <c r="DA32" s="68"/>
      <c r="DB32" s="68"/>
      <c r="DC32" s="68"/>
      <c r="DD32" s="68"/>
      <c r="DE32" s="68"/>
      <c r="DF32" s="68"/>
      <c r="DG32" s="68"/>
      <c r="DH32" s="68"/>
      <c r="DI32" s="68"/>
      <c r="DJ32" s="68"/>
      <c r="DK32" s="68"/>
      <c r="DL32" s="68"/>
      <c r="DM32" s="68"/>
      <c r="DN32" s="68"/>
      <c r="DO32" s="68"/>
      <c r="DP32" s="68"/>
      <c r="DQ32" s="68"/>
      <c r="DR32" s="68"/>
      <c r="DS32" s="68"/>
      <c r="DT32" s="68"/>
      <c r="DU32" s="68"/>
      <c r="DV32" s="68"/>
      <c r="DW32" s="68"/>
      <c r="DX32" s="68"/>
      <c r="DY32" s="68"/>
      <c r="DZ32" s="68"/>
      <c r="EA32" s="68"/>
      <c r="EB32" s="68"/>
      <c r="EC32" s="68"/>
      <c r="ED32" s="68"/>
      <c r="EE32" s="68"/>
      <c r="EF32" s="68"/>
      <c r="EG32" s="68"/>
      <c r="EH32" s="68"/>
      <c r="EI32" s="68"/>
      <c r="EJ32" s="68"/>
      <c r="EK32" s="68"/>
      <c r="EL32" s="68"/>
      <c r="EM32" s="68"/>
      <c r="EN32" s="68"/>
      <c r="EO32" s="68"/>
      <c r="EP32" s="68"/>
      <c r="EQ32" s="68"/>
      <c r="ER32" s="68"/>
      <c r="ES32" s="68"/>
      <c r="ET32" s="68"/>
      <c r="EU32" s="68"/>
      <c r="EV32" s="68"/>
      <c r="EW32" s="68"/>
      <c r="EX32" s="68"/>
      <c r="EY32" s="68"/>
      <c r="EZ32" s="68"/>
      <c r="FA32" s="68"/>
      <c r="FB32" s="68"/>
      <c r="FC32" s="68"/>
      <c r="FD32" s="68"/>
      <c r="FE32" s="68"/>
      <c r="FF32" s="68"/>
      <c r="FG32" s="68"/>
      <c r="FH32" s="68"/>
      <c r="FI32" s="68"/>
      <c r="FJ32" s="68"/>
      <c r="FK32" s="68"/>
      <c r="FL32" s="68"/>
      <c r="FM32" s="68"/>
      <c r="FN32" s="68"/>
      <c r="FO32" s="68"/>
      <c r="FP32" s="68"/>
      <c r="FQ32" s="68"/>
      <c r="FR32" s="68"/>
      <c r="FS32" s="68"/>
      <c r="FT32" s="68"/>
      <c r="FU32" s="68"/>
      <c r="FV32" s="68"/>
      <c r="FW32" s="68"/>
      <c r="FX32" s="68"/>
      <c r="FY32" s="68"/>
      <c r="FZ32" s="68"/>
      <c r="GA32" s="68"/>
      <c r="GB32" s="68"/>
      <c r="GC32" s="68"/>
      <c r="GD32" s="68"/>
      <c r="GE32" s="68"/>
      <c r="GF32" s="68"/>
      <c r="GG32" s="68"/>
      <c r="GH32" s="68"/>
      <c r="GI32" s="68"/>
      <c r="GJ32" s="68"/>
      <c r="GK32" s="68"/>
      <c r="GL32" s="68"/>
      <c r="GM32" s="68"/>
      <c r="GN32" s="68"/>
      <c r="GO32" s="68"/>
      <c r="GP32" s="68"/>
      <c r="GQ32" s="68"/>
      <c r="GR32" s="68"/>
      <c r="GS32" s="68"/>
      <c r="GT32" s="68"/>
      <c r="GU32" s="68"/>
      <c r="GV32" s="68"/>
      <c r="GW32" s="68"/>
      <c r="GX32" s="68"/>
      <c r="GY32" s="68"/>
      <c r="GZ32" s="68"/>
      <c r="HA32" s="68"/>
      <c r="HB32" s="68"/>
      <c r="HC32" s="68"/>
      <c r="HD32" s="68"/>
      <c r="HE32" s="68"/>
      <c r="HF32" s="68"/>
      <c r="HG32" s="68"/>
      <c r="HH32" s="68"/>
      <c r="HI32" s="68"/>
      <c r="HJ32" s="68"/>
      <c r="HK32" s="68"/>
      <c r="HL32" s="68"/>
      <c r="HM32" s="68"/>
      <c r="HN32" s="68"/>
      <c r="HO32" s="68"/>
      <c r="HP32" s="68"/>
      <c r="HQ32" s="68"/>
      <c r="HR32" s="68"/>
      <c r="HS32" s="68"/>
      <c r="HT32" s="68"/>
      <c r="HU32" s="68"/>
      <c r="HV32" s="68"/>
      <c r="HW32" s="68"/>
      <c r="HX32" s="68"/>
      <c r="HY32" s="68"/>
      <c r="HZ32" s="68"/>
      <c r="IA32" s="68"/>
      <c r="IB32" s="68"/>
      <c r="IC32" s="68"/>
      <c r="ID32" s="68"/>
      <c r="IE32" s="68"/>
      <c r="IF32" s="68"/>
      <c r="IG32" s="68"/>
      <c r="IH32" s="68"/>
      <c r="II32" s="68"/>
      <c r="IJ32" s="68"/>
      <c r="IK32" s="68"/>
      <c r="IL32" s="68"/>
      <c r="IM32" s="68"/>
      <c r="IN32" s="68"/>
      <c r="IO32" s="68"/>
      <c r="IP32" s="68"/>
      <c r="IQ32" s="68"/>
      <c r="IR32" s="68"/>
      <c r="IS32" s="68"/>
      <c r="IT32" s="68"/>
      <c r="IU32" s="68"/>
      <c r="IV32" s="68"/>
      <c r="IW32" s="68"/>
      <c r="IX32" s="68"/>
      <c r="IY32" s="68"/>
      <c r="IZ32" s="68"/>
      <c r="JA32" s="68"/>
      <c r="JB32" s="68"/>
      <c r="JC32" s="68"/>
      <c r="JD32" s="68"/>
      <c r="JE32" s="68"/>
      <c r="JF32" s="68"/>
      <c r="JG32" s="68"/>
      <c r="JH32" s="68"/>
      <c r="JI32" s="68"/>
      <c r="JJ32" s="68"/>
      <c r="JK32" s="68"/>
      <c r="JL32" s="68"/>
      <c r="JM32" s="68"/>
      <c r="JN32" s="68"/>
      <c r="JO32" s="68"/>
      <c r="JP32" s="68"/>
      <c r="JQ32" s="68"/>
      <c r="JR32" s="68"/>
      <c r="JS32" s="68"/>
      <c r="JT32" s="68"/>
      <c r="JU32" s="68"/>
      <c r="JV32" s="68"/>
      <c r="JW32" s="68"/>
      <c r="JX32" s="68"/>
      <c r="JY32" s="68"/>
      <c r="JZ32" s="68"/>
      <c r="KA32" s="68"/>
      <c r="KB32" s="68"/>
      <c r="KC32" s="68"/>
      <c r="KD32" s="68"/>
      <c r="KE32" s="68"/>
      <c r="KF32" s="68"/>
      <c r="KG32" s="68"/>
      <c r="KH32" s="68"/>
      <c r="KI32" s="68"/>
      <c r="KJ32" s="68"/>
      <c r="KK32" s="68"/>
      <c r="KL32" s="68"/>
      <c r="KM32" s="68"/>
      <c r="KN32" s="68"/>
      <c r="KO32" s="68"/>
      <c r="KP32" s="68"/>
      <c r="KQ32" s="68"/>
      <c r="KR32" s="68"/>
      <c r="KS32" s="68"/>
      <c r="KT32" s="68"/>
      <c r="KU32" s="68"/>
      <c r="KV32" s="68"/>
      <c r="KW32" s="68"/>
      <c r="KX32" s="68"/>
      <c r="KY32" s="68"/>
      <c r="KZ32" s="68"/>
      <c r="LA32" s="68"/>
      <c r="LB32" s="68"/>
      <c r="LC32" s="68"/>
      <c r="LD32" s="68"/>
      <c r="LE32" s="68"/>
      <c r="LF32" s="68"/>
      <c r="LG32" s="68"/>
      <c r="LH32" s="68"/>
      <c r="LI32" s="68"/>
      <c r="LJ32" s="68"/>
      <c r="LK32" s="68"/>
      <c r="LL32" s="68"/>
      <c r="LM32" s="68"/>
      <c r="LN32" s="68"/>
      <c r="LO32" s="68"/>
      <c r="LP32" s="68"/>
      <c r="LQ32" s="68"/>
      <c r="LR32" s="68"/>
      <c r="LS32" s="68"/>
      <c r="LT32" s="68"/>
      <c r="LU32" s="68"/>
      <c r="LV32" s="68"/>
      <c r="LW32" s="68"/>
      <c r="LX32" s="68"/>
      <c r="LY32" s="68"/>
      <c r="LZ32" s="68"/>
      <c r="MA32" s="68"/>
      <c r="MB32" s="68"/>
      <c r="MC32" s="68"/>
      <c r="MD32" s="68"/>
      <c r="ME32" s="68"/>
      <c r="MF32" s="68"/>
      <c r="MG32" s="68"/>
      <c r="MH32" s="68"/>
      <c r="MI32" s="68"/>
      <c r="MJ32" s="68"/>
      <c r="MK32" s="68"/>
      <c r="ML32" s="68"/>
      <c r="MM32" s="68"/>
      <c r="MN32" s="68"/>
      <c r="MO32" s="68"/>
      <c r="MP32" s="68"/>
      <c r="MQ32" s="68"/>
      <c r="MR32" s="68"/>
      <c r="MS32" s="68"/>
      <c r="MT32" s="68"/>
      <c r="MU32" s="68"/>
      <c r="MV32" s="68"/>
      <c r="MW32" s="68"/>
      <c r="MX32" s="68"/>
      <c r="MY32" s="68"/>
      <c r="MZ32" s="68"/>
      <c r="NA32" s="68"/>
      <c r="NB32" s="68"/>
      <c r="NC32" s="68"/>
      <c r="ND32" s="68"/>
      <c r="NE32" s="68"/>
      <c r="NF32" s="68"/>
      <c r="NG32" s="68"/>
      <c r="NH32" s="68"/>
      <c r="NI32" s="68"/>
      <c r="NJ32" s="70">
        <f t="array" aca="1" ref="NJ32" ca="1">SUMPRODUCT((OFFSET($A32,0,31*($A$3-1)+1,1,31)&lt;&gt;"")*(IF(OFFSET($A32,0,31*($A$3-1)+1,1,31)=Database!$K$11,0.5,IF(OFFSET($A32,0,31*($A$3-1)+1,1,31)=Database!$K$12,0.5,1))*(OFFSET($A$4,0,31*($A$3-1)+1,1,31))))</f>
        <v>0</v>
      </c>
      <c r="NK32" s="72">
        <f t="array" aca="1" ref="NK32" ca="1">SUMPRODUCT((OFFSET($A32,0,1,1,372)&lt;&gt;"")*(IF(OFFSET($A32,0,1,1,372)=Database!$K$11,0.5,IF(OFFSET($A32,0,1,1,372)=Database!$K$12,0.5,1))*(OFFSET($A$3,0,1,1,372))))</f>
        <v>0</v>
      </c>
      <c r="NL32" s="63">
        <f t="shared" ca="1" si="8"/>
        <v>0</v>
      </c>
      <c r="NM32" s="63">
        <f t="shared" ca="1" si="8"/>
        <v>0</v>
      </c>
      <c r="NN32" s="63">
        <f t="shared" ca="1" si="8"/>
        <v>0</v>
      </c>
      <c r="NO32" s="63">
        <f t="shared" ca="1" si="8"/>
        <v>0</v>
      </c>
      <c r="NP32" s="63">
        <f t="shared" ca="1" si="8"/>
        <v>0</v>
      </c>
      <c r="NQ32" s="63">
        <f t="shared" ca="1" si="8"/>
        <v>0</v>
      </c>
      <c r="NR32" s="63">
        <f t="shared" ca="1" si="8"/>
        <v>0</v>
      </c>
      <c r="NS32" s="63">
        <f t="shared" ca="1" si="8"/>
        <v>0</v>
      </c>
      <c r="NT32" s="63">
        <f t="shared" ca="1" si="8"/>
        <v>0</v>
      </c>
      <c r="NU32" s="63">
        <f t="shared" ca="1" si="8"/>
        <v>0</v>
      </c>
    </row>
    <row r="33" spans="1:385" ht="18" hidden="1" customHeight="1" outlineLevel="1" x14ac:dyDescent="0.25">
      <c r="A33" s="26"/>
      <c r="B33" s="68"/>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8"/>
      <c r="AY33" s="68"/>
      <c r="AZ33" s="68"/>
      <c r="BA33" s="68"/>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8"/>
      <c r="CX33" s="68"/>
      <c r="CY33" s="68"/>
      <c r="CZ33" s="68"/>
      <c r="DA33" s="68"/>
      <c r="DB33" s="68"/>
      <c r="DC33" s="68"/>
      <c r="DD33" s="68"/>
      <c r="DE33" s="68"/>
      <c r="DF33" s="68"/>
      <c r="DG33" s="68"/>
      <c r="DH33" s="68"/>
      <c r="DI33" s="68"/>
      <c r="DJ33" s="68"/>
      <c r="DK33" s="68"/>
      <c r="DL33" s="68"/>
      <c r="DM33" s="68"/>
      <c r="DN33" s="68"/>
      <c r="DO33" s="68"/>
      <c r="DP33" s="68"/>
      <c r="DQ33" s="68"/>
      <c r="DR33" s="68"/>
      <c r="DS33" s="68"/>
      <c r="DT33" s="68"/>
      <c r="DU33" s="68"/>
      <c r="DV33" s="68"/>
      <c r="DW33" s="68"/>
      <c r="DX33" s="68"/>
      <c r="DY33" s="68"/>
      <c r="DZ33" s="68"/>
      <c r="EA33" s="68"/>
      <c r="EB33" s="68"/>
      <c r="EC33" s="68"/>
      <c r="ED33" s="68"/>
      <c r="EE33" s="68"/>
      <c r="EF33" s="68"/>
      <c r="EG33" s="68"/>
      <c r="EH33" s="68"/>
      <c r="EI33" s="68"/>
      <c r="EJ33" s="68"/>
      <c r="EK33" s="68"/>
      <c r="EL33" s="68"/>
      <c r="EM33" s="68"/>
      <c r="EN33" s="68"/>
      <c r="EO33" s="68"/>
      <c r="EP33" s="68"/>
      <c r="EQ33" s="68"/>
      <c r="ER33" s="68"/>
      <c r="ES33" s="68"/>
      <c r="ET33" s="68"/>
      <c r="EU33" s="68"/>
      <c r="EV33" s="68"/>
      <c r="EW33" s="68"/>
      <c r="EX33" s="68"/>
      <c r="EY33" s="68"/>
      <c r="EZ33" s="68"/>
      <c r="FA33" s="68"/>
      <c r="FB33" s="68"/>
      <c r="FC33" s="68"/>
      <c r="FD33" s="68"/>
      <c r="FE33" s="68"/>
      <c r="FF33" s="68"/>
      <c r="FG33" s="68"/>
      <c r="FH33" s="68"/>
      <c r="FI33" s="68"/>
      <c r="FJ33" s="68"/>
      <c r="FK33" s="68"/>
      <c r="FL33" s="68"/>
      <c r="FM33" s="68"/>
      <c r="FN33" s="68"/>
      <c r="FO33" s="68"/>
      <c r="FP33" s="68"/>
      <c r="FQ33" s="68"/>
      <c r="FR33" s="68"/>
      <c r="FS33" s="68"/>
      <c r="FT33" s="68"/>
      <c r="FU33" s="68"/>
      <c r="FV33" s="68"/>
      <c r="FW33" s="68"/>
      <c r="FX33" s="68"/>
      <c r="FY33" s="68"/>
      <c r="FZ33" s="68"/>
      <c r="GA33" s="68"/>
      <c r="GB33" s="68"/>
      <c r="GC33" s="68"/>
      <c r="GD33" s="68"/>
      <c r="GE33" s="68"/>
      <c r="GF33" s="68"/>
      <c r="GG33" s="68"/>
      <c r="GH33" s="68"/>
      <c r="GI33" s="68"/>
      <c r="GJ33" s="68"/>
      <c r="GK33" s="68"/>
      <c r="GL33" s="68"/>
      <c r="GM33" s="68"/>
      <c r="GN33" s="68"/>
      <c r="GO33" s="68"/>
      <c r="GP33" s="68"/>
      <c r="GQ33" s="68"/>
      <c r="GR33" s="68"/>
      <c r="GS33" s="68"/>
      <c r="GT33" s="68"/>
      <c r="GU33" s="68"/>
      <c r="GV33" s="68"/>
      <c r="GW33" s="68"/>
      <c r="GX33" s="68"/>
      <c r="GY33" s="68"/>
      <c r="GZ33" s="68"/>
      <c r="HA33" s="68"/>
      <c r="HB33" s="68"/>
      <c r="HC33" s="68"/>
      <c r="HD33" s="68"/>
      <c r="HE33" s="68"/>
      <c r="HF33" s="68"/>
      <c r="HG33" s="68"/>
      <c r="HH33" s="68"/>
      <c r="HI33" s="68"/>
      <c r="HJ33" s="68"/>
      <c r="HK33" s="68"/>
      <c r="HL33" s="68"/>
      <c r="HM33" s="68"/>
      <c r="HN33" s="68"/>
      <c r="HO33" s="68"/>
      <c r="HP33" s="68"/>
      <c r="HQ33" s="68"/>
      <c r="HR33" s="68"/>
      <c r="HS33" s="68"/>
      <c r="HT33" s="68"/>
      <c r="HU33" s="68"/>
      <c r="HV33" s="68"/>
      <c r="HW33" s="68"/>
      <c r="HX33" s="68"/>
      <c r="HY33" s="68"/>
      <c r="HZ33" s="68"/>
      <c r="IA33" s="68"/>
      <c r="IB33" s="68"/>
      <c r="IC33" s="68"/>
      <c r="ID33" s="68"/>
      <c r="IE33" s="68"/>
      <c r="IF33" s="68"/>
      <c r="IG33" s="68"/>
      <c r="IH33" s="68"/>
      <c r="II33" s="68"/>
      <c r="IJ33" s="68"/>
      <c r="IK33" s="68"/>
      <c r="IL33" s="68"/>
      <c r="IM33" s="68"/>
      <c r="IN33" s="68"/>
      <c r="IO33" s="68"/>
      <c r="IP33" s="68"/>
      <c r="IQ33" s="68"/>
      <c r="IR33" s="68"/>
      <c r="IS33" s="68"/>
      <c r="IT33" s="68"/>
      <c r="IU33" s="68"/>
      <c r="IV33" s="68"/>
      <c r="IW33" s="68"/>
      <c r="IX33" s="68"/>
      <c r="IY33" s="68"/>
      <c r="IZ33" s="68"/>
      <c r="JA33" s="68"/>
      <c r="JB33" s="68"/>
      <c r="JC33" s="68"/>
      <c r="JD33" s="68"/>
      <c r="JE33" s="68"/>
      <c r="JF33" s="68"/>
      <c r="JG33" s="68"/>
      <c r="JH33" s="68"/>
      <c r="JI33" s="68"/>
      <c r="JJ33" s="68"/>
      <c r="JK33" s="68"/>
      <c r="JL33" s="68"/>
      <c r="JM33" s="68"/>
      <c r="JN33" s="68"/>
      <c r="JO33" s="68"/>
      <c r="JP33" s="68"/>
      <c r="JQ33" s="68"/>
      <c r="JR33" s="68"/>
      <c r="JS33" s="68"/>
      <c r="JT33" s="68"/>
      <c r="JU33" s="68"/>
      <c r="JV33" s="68"/>
      <c r="JW33" s="68"/>
      <c r="JX33" s="68"/>
      <c r="JY33" s="68"/>
      <c r="JZ33" s="68"/>
      <c r="KA33" s="68"/>
      <c r="KB33" s="68"/>
      <c r="KC33" s="68"/>
      <c r="KD33" s="68"/>
      <c r="KE33" s="68"/>
      <c r="KF33" s="68"/>
      <c r="KG33" s="68"/>
      <c r="KH33" s="68"/>
      <c r="KI33" s="68"/>
      <c r="KJ33" s="68"/>
      <c r="KK33" s="68"/>
      <c r="KL33" s="68"/>
      <c r="KM33" s="68"/>
      <c r="KN33" s="68"/>
      <c r="KO33" s="68"/>
      <c r="KP33" s="68"/>
      <c r="KQ33" s="68"/>
      <c r="KR33" s="68"/>
      <c r="KS33" s="68"/>
      <c r="KT33" s="68"/>
      <c r="KU33" s="68"/>
      <c r="KV33" s="68"/>
      <c r="KW33" s="68"/>
      <c r="KX33" s="68"/>
      <c r="KY33" s="68"/>
      <c r="KZ33" s="68"/>
      <c r="LA33" s="68"/>
      <c r="LB33" s="68"/>
      <c r="LC33" s="68"/>
      <c r="LD33" s="68"/>
      <c r="LE33" s="68"/>
      <c r="LF33" s="68"/>
      <c r="LG33" s="68"/>
      <c r="LH33" s="68"/>
      <c r="LI33" s="68"/>
      <c r="LJ33" s="68"/>
      <c r="LK33" s="68"/>
      <c r="LL33" s="68"/>
      <c r="LM33" s="68"/>
      <c r="LN33" s="68"/>
      <c r="LO33" s="68"/>
      <c r="LP33" s="68"/>
      <c r="LQ33" s="68"/>
      <c r="LR33" s="68"/>
      <c r="LS33" s="68"/>
      <c r="LT33" s="68"/>
      <c r="LU33" s="68"/>
      <c r="LV33" s="68"/>
      <c r="LW33" s="68"/>
      <c r="LX33" s="68"/>
      <c r="LY33" s="68"/>
      <c r="LZ33" s="68"/>
      <c r="MA33" s="68"/>
      <c r="MB33" s="68"/>
      <c r="MC33" s="68"/>
      <c r="MD33" s="68"/>
      <c r="ME33" s="68"/>
      <c r="MF33" s="68"/>
      <c r="MG33" s="68"/>
      <c r="MH33" s="68"/>
      <c r="MI33" s="68"/>
      <c r="MJ33" s="68"/>
      <c r="MK33" s="68"/>
      <c r="ML33" s="68"/>
      <c r="MM33" s="68"/>
      <c r="MN33" s="68"/>
      <c r="MO33" s="68"/>
      <c r="MP33" s="68"/>
      <c r="MQ33" s="68"/>
      <c r="MR33" s="68"/>
      <c r="MS33" s="68"/>
      <c r="MT33" s="68"/>
      <c r="MU33" s="68"/>
      <c r="MV33" s="68"/>
      <c r="MW33" s="68"/>
      <c r="MX33" s="68"/>
      <c r="MY33" s="68"/>
      <c r="MZ33" s="68"/>
      <c r="NA33" s="68"/>
      <c r="NB33" s="68"/>
      <c r="NC33" s="68"/>
      <c r="ND33" s="68"/>
      <c r="NE33" s="68"/>
      <c r="NF33" s="68"/>
      <c r="NG33" s="68"/>
      <c r="NH33" s="68"/>
      <c r="NI33" s="68"/>
      <c r="NJ33" s="70">
        <f t="array" aca="1" ref="NJ33" ca="1">SUMPRODUCT((OFFSET($A33,0,31*($A$3-1)+1,1,31)&lt;&gt;"")*(IF(OFFSET($A33,0,31*($A$3-1)+1,1,31)=Database!$K$11,0.5,IF(OFFSET($A33,0,31*($A$3-1)+1,1,31)=Database!$K$12,0.5,1))*(OFFSET($A$4,0,31*($A$3-1)+1,1,31))))</f>
        <v>0</v>
      </c>
      <c r="NK33" s="72">
        <f t="array" aca="1" ref="NK33" ca="1">SUMPRODUCT((OFFSET($A33,0,1,1,372)&lt;&gt;"")*(IF(OFFSET($A33,0,1,1,372)=Database!$K$11,0.5,IF(OFFSET($A33,0,1,1,372)=Database!$K$12,0.5,1))*(OFFSET($A$3,0,1,1,372))))</f>
        <v>0</v>
      </c>
      <c r="NL33" s="63">
        <f t="shared" ca="1" si="8"/>
        <v>0</v>
      </c>
      <c r="NM33" s="63">
        <f t="shared" ca="1" si="8"/>
        <v>0</v>
      </c>
      <c r="NN33" s="63">
        <f t="shared" ca="1" si="8"/>
        <v>0</v>
      </c>
      <c r="NO33" s="63">
        <f t="shared" ca="1" si="8"/>
        <v>0</v>
      </c>
      <c r="NP33" s="63">
        <f t="shared" ca="1" si="8"/>
        <v>0</v>
      </c>
      <c r="NQ33" s="63">
        <f t="shared" ca="1" si="8"/>
        <v>0</v>
      </c>
      <c r="NR33" s="63">
        <f t="shared" ca="1" si="8"/>
        <v>0</v>
      </c>
      <c r="NS33" s="63">
        <f t="shared" ca="1" si="8"/>
        <v>0</v>
      </c>
      <c r="NT33" s="63">
        <f t="shared" ca="1" si="8"/>
        <v>0</v>
      </c>
      <c r="NU33" s="63">
        <f t="shared" ca="1" si="8"/>
        <v>0</v>
      </c>
    </row>
    <row r="34" spans="1:385" ht="18" hidden="1" customHeight="1" outlineLevel="1" x14ac:dyDescent="0.25">
      <c r="A34" s="26"/>
      <c r="B34" s="68"/>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8"/>
      <c r="AY34" s="68"/>
      <c r="AZ34" s="68"/>
      <c r="BA34" s="68"/>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8"/>
      <c r="CX34" s="68"/>
      <c r="CY34" s="68"/>
      <c r="CZ34" s="68"/>
      <c r="DA34" s="68"/>
      <c r="DB34" s="68"/>
      <c r="DC34" s="68"/>
      <c r="DD34" s="68"/>
      <c r="DE34" s="68"/>
      <c r="DF34" s="68"/>
      <c r="DG34" s="68"/>
      <c r="DH34" s="68"/>
      <c r="DI34" s="68"/>
      <c r="DJ34" s="68"/>
      <c r="DK34" s="68"/>
      <c r="DL34" s="68"/>
      <c r="DM34" s="68"/>
      <c r="DN34" s="68"/>
      <c r="DO34" s="68"/>
      <c r="DP34" s="68"/>
      <c r="DQ34" s="68"/>
      <c r="DR34" s="68"/>
      <c r="DS34" s="68"/>
      <c r="DT34" s="68"/>
      <c r="DU34" s="68"/>
      <c r="DV34" s="68"/>
      <c r="DW34" s="68"/>
      <c r="DX34" s="68"/>
      <c r="DY34" s="68"/>
      <c r="DZ34" s="68"/>
      <c r="EA34" s="68"/>
      <c r="EB34" s="68"/>
      <c r="EC34" s="68"/>
      <c r="ED34" s="68"/>
      <c r="EE34" s="68"/>
      <c r="EF34" s="68"/>
      <c r="EG34" s="68"/>
      <c r="EH34" s="68"/>
      <c r="EI34" s="68"/>
      <c r="EJ34" s="68"/>
      <c r="EK34" s="68"/>
      <c r="EL34" s="68"/>
      <c r="EM34" s="68"/>
      <c r="EN34" s="68"/>
      <c r="EO34" s="68"/>
      <c r="EP34" s="68"/>
      <c r="EQ34" s="68"/>
      <c r="ER34" s="68"/>
      <c r="ES34" s="68"/>
      <c r="ET34" s="68"/>
      <c r="EU34" s="68"/>
      <c r="EV34" s="68"/>
      <c r="EW34" s="68"/>
      <c r="EX34" s="68"/>
      <c r="EY34" s="68"/>
      <c r="EZ34" s="68"/>
      <c r="FA34" s="68"/>
      <c r="FB34" s="68"/>
      <c r="FC34" s="68"/>
      <c r="FD34" s="68"/>
      <c r="FE34" s="68"/>
      <c r="FF34" s="68"/>
      <c r="FG34" s="68"/>
      <c r="FH34" s="68"/>
      <c r="FI34" s="68"/>
      <c r="FJ34" s="68"/>
      <c r="FK34" s="68"/>
      <c r="FL34" s="68"/>
      <c r="FM34" s="68"/>
      <c r="FN34" s="68"/>
      <c r="FO34" s="68"/>
      <c r="FP34" s="68"/>
      <c r="FQ34" s="68"/>
      <c r="FR34" s="68"/>
      <c r="FS34" s="68"/>
      <c r="FT34" s="68"/>
      <c r="FU34" s="68"/>
      <c r="FV34" s="68"/>
      <c r="FW34" s="68"/>
      <c r="FX34" s="68"/>
      <c r="FY34" s="68"/>
      <c r="FZ34" s="68"/>
      <c r="GA34" s="68"/>
      <c r="GB34" s="68"/>
      <c r="GC34" s="68"/>
      <c r="GD34" s="68"/>
      <c r="GE34" s="68"/>
      <c r="GF34" s="68"/>
      <c r="GG34" s="68"/>
      <c r="GH34" s="68"/>
      <c r="GI34" s="68"/>
      <c r="GJ34" s="68"/>
      <c r="GK34" s="68"/>
      <c r="GL34" s="68"/>
      <c r="GM34" s="68"/>
      <c r="GN34" s="68"/>
      <c r="GO34" s="68"/>
      <c r="GP34" s="68"/>
      <c r="GQ34" s="68"/>
      <c r="GR34" s="68"/>
      <c r="GS34" s="68"/>
      <c r="GT34" s="68"/>
      <c r="GU34" s="68"/>
      <c r="GV34" s="68"/>
      <c r="GW34" s="68"/>
      <c r="GX34" s="68"/>
      <c r="GY34" s="68"/>
      <c r="GZ34" s="68"/>
      <c r="HA34" s="68"/>
      <c r="HB34" s="68"/>
      <c r="HC34" s="68"/>
      <c r="HD34" s="68"/>
      <c r="HE34" s="68"/>
      <c r="HF34" s="68"/>
      <c r="HG34" s="68"/>
      <c r="HH34" s="68"/>
      <c r="HI34" s="68"/>
      <c r="HJ34" s="68"/>
      <c r="HK34" s="68"/>
      <c r="HL34" s="68"/>
      <c r="HM34" s="68"/>
      <c r="HN34" s="68"/>
      <c r="HO34" s="68"/>
      <c r="HP34" s="68"/>
      <c r="HQ34" s="68"/>
      <c r="HR34" s="68"/>
      <c r="HS34" s="68"/>
      <c r="HT34" s="68"/>
      <c r="HU34" s="68"/>
      <c r="HV34" s="68"/>
      <c r="HW34" s="68"/>
      <c r="HX34" s="68"/>
      <c r="HY34" s="68"/>
      <c r="HZ34" s="68"/>
      <c r="IA34" s="68"/>
      <c r="IB34" s="68"/>
      <c r="IC34" s="68"/>
      <c r="ID34" s="68"/>
      <c r="IE34" s="68"/>
      <c r="IF34" s="68"/>
      <c r="IG34" s="68"/>
      <c r="IH34" s="68"/>
      <c r="II34" s="68"/>
      <c r="IJ34" s="68"/>
      <c r="IK34" s="68"/>
      <c r="IL34" s="68"/>
      <c r="IM34" s="68"/>
      <c r="IN34" s="68"/>
      <c r="IO34" s="68"/>
      <c r="IP34" s="68"/>
      <c r="IQ34" s="68"/>
      <c r="IR34" s="68"/>
      <c r="IS34" s="68"/>
      <c r="IT34" s="68"/>
      <c r="IU34" s="68"/>
      <c r="IV34" s="68"/>
      <c r="IW34" s="68"/>
      <c r="IX34" s="68"/>
      <c r="IY34" s="68"/>
      <c r="IZ34" s="68"/>
      <c r="JA34" s="68"/>
      <c r="JB34" s="68"/>
      <c r="JC34" s="68"/>
      <c r="JD34" s="68"/>
      <c r="JE34" s="68"/>
      <c r="JF34" s="68"/>
      <c r="JG34" s="68"/>
      <c r="JH34" s="68"/>
      <c r="JI34" s="68"/>
      <c r="JJ34" s="68"/>
      <c r="JK34" s="68"/>
      <c r="JL34" s="68"/>
      <c r="JM34" s="68"/>
      <c r="JN34" s="68"/>
      <c r="JO34" s="68"/>
      <c r="JP34" s="68"/>
      <c r="JQ34" s="68"/>
      <c r="JR34" s="68"/>
      <c r="JS34" s="68"/>
      <c r="JT34" s="68"/>
      <c r="JU34" s="68"/>
      <c r="JV34" s="68"/>
      <c r="JW34" s="68"/>
      <c r="JX34" s="68"/>
      <c r="JY34" s="68"/>
      <c r="JZ34" s="68"/>
      <c r="KA34" s="68"/>
      <c r="KB34" s="68"/>
      <c r="KC34" s="68"/>
      <c r="KD34" s="68"/>
      <c r="KE34" s="68"/>
      <c r="KF34" s="68"/>
      <c r="KG34" s="68"/>
      <c r="KH34" s="68"/>
      <c r="KI34" s="68"/>
      <c r="KJ34" s="68"/>
      <c r="KK34" s="68"/>
      <c r="KL34" s="68"/>
      <c r="KM34" s="68"/>
      <c r="KN34" s="68"/>
      <c r="KO34" s="68"/>
      <c r="KP34" s="68"/>
      <c r="KQ34" s="68"/>
      <c r="KR34" s="68"/>
      <c r="KS34" s="68"/>
      <c r="KT34" s="68"/>
      <c r="KU34" s="68"/>
      <c r="KV34" s="68"/>
      <c r="KW34" s="68"/>
      <c r="KX34" s="68"/>
      <c r="KY34" s="68"/>
      <c r="KZ34" s="68"/>
      <c r="LA34" s="68"/>
      <c r="LB34" s="68"/>
      <c r="LC34" s="68"/>
      <c r="LD34" s="68"/>
      <c r="LE34" s="68"/>
      <c r="LF34" s="68"/>
      <c r="LG34" s="68"/>
      <c r="LH34" s="68"/>
      <c r="LI34" s="68"/>
      <c r="LJ34" s="68"/>
      <c r="LK34" s="68"/>
      <c r="LL34" s="68"/>
      <c r="LM34" s="68"/>
      <c r="LN34" s="68"/>
      <c r="LO34" s="68"/>
      <c r="LP34" s="68"/>
      <c r="LQ34" s="68"/>
      <c r="LR34" s="68"/>
      <c r="LS34" s="68"/>
      <c r="LT34" s="68"/>
      <c r="LU34" s="68"/>
      <c r="LV34" s="68"/>
      <c r="LW34" s="68"/>
      <c r="LX34" s="68"/>
      <c r="LY34" s="68"/>
      <c r="LZ34" s="68"/>
      <c r="MA34" s="68"/>
      <c r="MB34" s="68"/>
      <c r="MC34" s="68"/>
      <c r="MD34" s="68"/>
      <c r="ME34" s="68"/>
      <c r="MF34" s="68"/>
      <c r="MG34" s="68"/>
      <c r="MH34" s="68"/>
      <c r="MI34" s="68"/>
      <c r="MJ34" s="68"/>
      <c r="MK34" s="68"/>
      <c r="ML34" s="68"/>
      <c r="MM34" s="68"/>
      <c r="MN34" s="68"/>
      <c r="MO34" s="68"/>
      <c r="MP34" s="68"/>
      <c r="MQ34" s="68"/>
      <c r="MR34" s="68"/>
      <c r="MS34" s="68"/>
      <c r="MT34" s="68"/>
      <c r="MU34" s="68"/>
      <c r="MV34" s="68"/>
      <c r="MW34" s="68"/>
      <c r="MX34" s="68"/>
      <c r="MY34" s="68"/>
      <c r="MZ34" s="68"/>
      <c r="NA34" s="68"/>
      <c r="NB34" s="68"/>
      <c r="NC34" s="68"/>
      <c r="ND34" s="68"/>
      <c r="NE34" s="68"/>
      <c r="NF34" s="68"/>
      <c r="NG34" s="68"/>
      <c r="NH34" s="68"/>
      <c r="NI34" s="68"/>
      <c r="NJ34" s="70">
        <f t="array" aca="1" ref="NJ34" ca="1">SUMPRODUCT((OFFSET($A34,0,31*($A$3-1)+1,1,31)&lt;&gt;"")*(IF(OFFSET($A34,0,31*($A$3-1)+1,1,31)=Database!$K$11,0.5,IF(OFFSET($A34,0,31*($A$3-1)+1,1,31)=Database!$K$12,0.5,1))*(OFFSET($A$4,0,31*($A$3-1)+1,1,31))))</f>
        <v>0</v>
      </c>
      <c r="NK34" s="72">
        <f t="array" aca="1" ref="NK34" ca="1">SUMPRODUCT((OFFSET($A34,0,1,1,372)&lt;&gt;"")*(IF(OFFSET($A34,0,1,1,372)=Database!$K$11,0.5,IF(OFFSET($A34,0,1,1,372)=Database!$K$12,0.5,1))*(OFFSET($A$3,0,1,1,372))))</f>
        <v>0</v>
      </c>
      <c r="NL34" s="63">
        <f t="shared" ca="1" si="8"/>
        <v>0</v>
      </c>
      <c r="NM34" s="63">
        <f t="shared" ca="1" si="8"/>
        <v>0</v>
      </c>
      <c r="NN34" s="63">
        <f t="shared" ca="1" si="8"/>
        <v>0</v>
      </c>
      <c r="NO34" s="63">
        <f t="shared" ca="1" si="8"/>
        <v>0</v>
      </c>
      <c r="NP34" s="63">
        <f t="shared" ca="1" si="8"/>
        <v>0</v>
      </c>
      <c r="NQ34" s="63">
        <f t="shared" ca="1" si="8"/>
        <v>0</v>
      </c>
      <c r="NR34" s="63">
        <f t="shared" ca="1" si="8"/>
        <v>0</v>
      </c>
      <c r="NS34" s="63">
        <f t="shared" ca="1" si="8"/>
        <v>0</v>
      </c>
      <c r="NT34" s="63">
        <f t="shared" ca="1" si="8"/>
        <v>0</v>
      </c>
      <c r="NU34" s="63">
        <f t="shared" ca="1" si="8"/>
        <v>0</v>
      </c>
    </row>
    <row r="35" spans="1:385" ht="18" hidden="1" customHeight="1" outlineLevel="1" x14ac:dyDescent="0.25">
      <c r="A35" s="26"/>
      <c r="B35" s="68"/>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8"/>
      <c r="AY35" s="68"/>
      <c r="AZ35" s="68"/>
      <c r="BA35" s="68"/>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8"/>
      <c r="CX35" s="68"/>
      <c r="CY35" s="68"/>
      <c r="CZ35" s="68"/>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8"/>
      <c r="EW35" s="68"/>
      <c r="EX35" s="68"/>
      <c r="EY35" s="68"/>
      <c r="EZ35" s="68"/>
      <c r="FA35" s="68"/>
      <c r="FB35" s="68"/>
      <c r="FC35" s="68"/>
      <c r="FD35" s="68"/>
      <c r="FE35" s="68"/>
      <c r="FF35" s="68"/>
      <c r="FG35" s="68"/>
      <c r="FH35" s="68"/>
      <c r="FI35" s="68"/>
      <c r="FJ35" s="68"/>
      <c r="FK35" s="68"/>
      <c r="FL35" s="68"/>
      <c r="FM35" s="68"/>
      <c r="FN35" s="68"/>
      <c r="FO35" s="68"/>
      <c r="FP35" s="68"/>
      <c r="FQ35" s="68"/>
      <c r="FR35" s="68"/>
      <c r="FS35" s="68"/>
      <c r="FT35" s="68"/>
      <c r="FU35" s="68"/>
      <c r="FV35" s="68"/>
      <c r="FW35" s="68"/>
      <c r="FX35" s="68"/>
      <c r="FY35" s="68"/>
      <c r="FZ35" s="68"/>
      <c r="GA35" s="68"/>
      <c r="GB35" s="68"/>
      <c r="GC35" s="68"/>
      <c r="GD35" s="68"/>
      <c r="GE35" s="68"/>
      <c r="GF35" s="68"/>
      <c r="GG35" s="68"/>
      <c r="GH35" s="68"/>
      <c r="GI35" s="68"/>
      <c r="GJ35" s="68"/>
      <c r="GK35" s="68"/>
      <c r="GL35" s="68"/>
      <c r="GM35" s="68"/>
      <c r="GN35" s="68"/>
      <c r="GO35" s="68"/>
      <c r="GP35" s="68"/>
      <c r="GQ35" s="68"/>
      <c r="GR35" s="68"/>
      <c r="GS35" s="68"/>
      <c r="GT35" s="68"/>
      <c r="GU35" s="68"/>
      <c r="GV35" s="68"/>
      <c r="GW35" s="68"/>
      <c r="GX35" s="68"/>
      <c r="GY35" s="68"/>
      <c r="GZ35" s="68"/>
      <c r="HA35" s="68"/>
      <c r="HB35" s="68"/>
      <c r="HC35" s="68"/>
      <c r="HD35" s="68"/>
      <c r="HE35" s="68"/>
      <c r="HF35" s="68"/>
      <c r="HG35" s="68"/>
      <c r="HH35" s="68"/>
      <c r="HI35" s="68"/>
      <c r="HJ35" s="68"/>
      <c r="HK35" s="68"/>
      <c r="HL35" s="68"/>
      <c r="HM35" s="68"/>
      <c r="HN35" s="68"/>
      <c r="HO35" s="68"/>
      <c r="HP35" s="68"/>
      <c r="HQ35" s="68"/>
      <c r="HR35" s="68"/>
      <c r="HS35" s="68"/>
      <c r="HT35" s="68"/>
      <c r="HU35" s="68"/>
      <c r="HV35" s="68"/>
      <c r="HW35" s="68"/>
      <c r="HX35" s="68"/>
      <c r="HY35" s="68"/>
      <c r="HZ35" s="68"/>
      <c r="IA35" s="68"/>
      <c r="IB35" s="68"/>
      <c r="IC35" s="68"/>
      <c r="ID35" s="68"/>
      <c r="IE35" s="68"/>
      <c r="IF35" s="68"/>
      <c r="IG35" s="68"/>
      <c r="IH35" s="68"/>
      <c r="II35" s="68"/>
      <c r="IJ35" s="68"/>
      <c r="IK35" s="68"/>
      <c r="IL35" s="68"/>
      <c r="IM35" s="68"/>
      <c r="IN35" s="68"/>
      <c r="IO35" s="68"/>
      <c r="IP35" s="68"/>
      <c r="IQ35" s="68"/>
      <c r="IR35" s="68"/>
      <c r="IS35" s="68"/>
      <c r="IT35" s="68"/>
      <c r="IU35" s="68"/>
      <c r="IV35" s="68"/>
      <c r="IW35" s="68"/>
      <c r="IX35" s="68"/>
      <c r="IY35" s="68"/>
      <c r="IZ35" s="68"/>
      <c r="JA35" s="68"/>
      <c r="JB35" s="68"/>
      <c r="JC35" s="68"/>
      <c r="JD35" s="68"/>
      <c r="JE35" s="68"/>
      <c r="JF35" s="68"/>
      <c r="JG35" s="68"/>
      <c r="JH35" s="68"/>
      <c r="JI35" s="68"/>
      <c r="JJ35" s="68"/>
      <c r="JK35" s="68"/>
      <c r="JL35" s="68"/>
      <c r="JM35" s="68"/>
      <c r="JN35" s="68"/>
      <c r="JO35" s="68"/>
      <c r="JP35" s="68"/>
      <c r="JQ35" s="68"/>
      <c r="JR35" s="68"/>
      <c r="JS35" s="68"/>
      <c r="JT35" s="68"/>
      <c r="JU35" s="68"/>
      <c r="JV35" s="68"/>
      <c r="JW35" s="68"/>
      <c r="JX35" s="68"/>
      <c r="JY35" s="68"/>
      <c r="JZ35" s="68"/>
      <c r="KA35" s="68"/>
      <c r="KB35" s="68"/>
      <c r="KC35" s="68"/>
      <c r="KD35" s="68"/>
      <c r="KE35" s="68"/>
      <c r="KF35" s="68"/>
      <c r="KG35" s="68"/>
      <c r="KH35" s="68"/>
      <c r="KI35" s="68"/>
      <c r="KJ35" s="68"/>
      <c r="KK35" s="68"/>
      <c r="KL35" s="68"/>
      <c r="KM35" s="68"/>
      <c r="KN35" s="68"/>
      <c r="KO35" s="68"/>
      <c r="KP35" s="68"/>
      <c r="KQ35" s="68"/>
      <c r="KR35" s="68"/>
      <c r="KS35" s="68"/>
      <c r="KT35" s="68"/>
      <c r="KU35" s="68"/>
      <c r="KV35" s="68"/>
      <c r="KW35" s="68"/>
      <c r="KX35" s="68"/>
      <c r="KY35" s="68"/>
      <c r="KZ35" s="68"/>
      <c r="LA35" s="68"/>
      <c r="LB35" s="68"/>
      <c r="LC35" s="68"/>
      <c r="LD35" s="68"/>
      <c r="LE35" s="68"/>
      <c r="LF35" s="68"/>
      <c r="LG35" s="68"/>
      <c r="LH35" s="68"/>
      <c r="LI35" s="68"/>
      <c r="LJ35" s="68"/>
      <c r="LK35" s="68"/>
      <c r="LL35" s="68"/>
      <c r="LM35" s="68"/>
      <c r="LN35" s="68"/>
      <c r="LO35" s="68"/>
      <c r="LP35" s="68"/>
      <c r="LQ35" s="68"/>
      <c r="LR35" s="68"/>
      <c r="LS35" s="68"/>
      <c r="LT35" s="68"/>
      <c r="LU35" s="68"/>
      <c r="LV35" s="68"/>
      <c r="LW35" s="68"/>
      <c r="LX35" s="68"/>
      <c r="LY35" s="68"/>
      <c r="LZ35" s="68"/>
      <c r="MA35" s="68"/>
      <c r="MB35" s="68"/>
      <c r="MC35" s="68"/>
      <c r="MD35" s="68"/>
      <c r="ME35" s="68"/>
      <c r="MF35" s="68"/>
      <c r="MG35" s="68"/>
      <c r="MH35" s="68"/>
      <c r="MI35" s="68"/>
      <c r="MJ35" s="68"/>
      <c r="MK35" s="68"/>
      <c r="ML35" s="68"/>
      <c r="MM35" s="68"/>
      <c r="MN35" s="68"/>
      <c r="MO35" s="68"/>
      <c r="MP35" s="68"/>
      <c r="MQ35" s="68"/>
      <c r="MR35" s="68"/>
      <c r="MS35" s="68"/>
      <c r="MT35" s="68"/>
      <c r="MU35" s="68"/>
      <c r="MV35" s="68"/>
      <c r="MW35" s="68"/>
      <c r="MX35" s="68"/>
      <c r="MY35" s="68"/>
      <c r="MZ35" s="68"/>
      <c r="NA35" s="68"/>
      <c r="NB35" s="68"/>
      <c r="NC35" s="68"/>
      <c r="ND35" s="68"/>
      <c r="NE35" s="68"/>
      <c r="NF35" s="68"/>
      <c r="NG35" s="68"/>
      <c r="NH35" s="68"/>
      <c r="NI35" s="68"/>
      <c r="NJ35" s="70">
        <f t="array" aca="1" ref="NJ35" ca="1">SUMPRODUCT((OFFSET($A35,0,31*($A$3-1)+1,1,31)&lt;&gt;"")*(IF(OFFSET($A35,0,31*($A$3-1)+1,1,31)=Database!$K$11,0.5,IF(OFFSET($A35,0,31*($A$3-1)+1,1,31)=Database!$K$12,0.5,1))*(OFFSET($A$4,0,31*($A$3-1)+1,1,31))))</f>
        <v>0</v>
      </c>
      <c r="NK35" s="72">
        <f t="array" aca="1" ref="NK35" ca="1">SUMPRODUCT((OFFSET($A35,0,1,1,372)&lt;&gt;"")*(IF(OFFSET($A35,0,1,1,372)=Database!$K$11,0.5,IF(OFFSET($A35,0,1,1,372)=Database!$K$12,0.5,1))*(OFFSET($A$3,0,1,1,372))))</f>
        <v>0</v>
      </c>
      <c r="NL35" s="63">
        <f t="shared" ca="1" si="8"/>
        <v>0</v>
      </c>
      <c r="NM35" s="63">
        <f t="shared" ca="1" si="8"/>
        <v>0</v>
      </c>
      <c r="NN35" s="63">
        <f t="shared" ca="1" si="8"/>
        <v>0</v>
      </c>
      <c r="NO35" s="63">
        <f t="shared" ca="1" si="8"/>
        <v>0</v>
      </c>
      <c r="NP35" s="63">
        <f t="shared" ca="1" si="8"/>
        <v>0</v>
      </c>
      <c r="NQ35" s="63">
        <f t="shared" ca="1" si="8"/>
        <v>0</v>
      </c>
      <c r="NR35" s="63">
        <f t="shared" ca="1" si="8"/>
        <v>0</v>
      </c>
      <c r="NS35" s="63">
        <f t="shared" ca="1" si="8"/>
        <v>0</v>
      </c>
      <c r="NT35" s="63">
        <f t="shared" ca="1" si="8"/>
        <v>0</v>
      </c>
      <c r="NU35" s="63">
        <f t="shared" ca="1" si="8"/>
        <v>0</v>
      </c>
    </row>
    <row r="36" spans="1:385" ht="18" hidden="1" customHeight="1" outlineLevel="1" x14ac:dyDescent="0.25">
      <c r="A36" s="26"/>
      <c r="B36" s="68"/>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8"/>
      <c r="AY36" s="68"/>
      <c r="AZ36" s="68"/>
      <c r="BA36" s="68"/>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8"/>
      <c r="CX36" s="68"/>
      <c r="CY36" s="68"/>
      <c r="CZ36" s="68"/>
      <c r="DA36" s="68"/>
      <c r="DB36" s="68"/>
      <c r="DC36" s="68"/>
      <c r="DD36" s="68"/>
      <c r="DE36" s="68"/>
      <c r="DF36" s="68"/>
      <c r="DG36" s="68"/>
      <c r="DH36" s="68"/>
      <c r="DI36" s="68"/>
      <c r="DJ36" s="68"/>
      <c r="DK36" s="68"/>
      <c r="DL36" s="68"/>
      <c r="DM36" s="68"/>
      <c r="DN36" s="68"/>
      <c r="DO36" s="68"/>
      <c r="DP36" s="68"/>
      <c r="DQ36" s="68"/>
      <c r="DR36" s="68"/>
      <c r="DS36" s="68"/>
      <c r="DT36" s="68"/>
      <c r="DU36" s="68"/>
      <c r="DV36" s="68"/>
      <c r="DW36" s="68"/>
      <c r="DX36" s="68"/>
      <c r="DY36" s="68"/>
      <c r="DZ36" s="68"/>
      <c r="EA36" s="68"/>
      <c r="EB36" s="68"/>
      <c r="EC36" s="68"/>
      <c r="ED36" s="68"/>
      <c r="EE36" s="68"/>
      <c r="EF36" s="68"/>
      <c r="EG36" s="68"/>
      <c r="EH36" s="68"/>
      <c r="EI36" s="68"/>
      <c r="EJ36" s="68"/>
      <c r="EK36" s="68"/>
      <c r="EL36" s="68"/>
      <c r="EM36" s="68"/>
      <c r="EN36" s="68"/>
      <c r="EO36" s="68"/>
      <c r="EP36" s="68"/>
      <c r="EQ36" s="68"/>
      <c r="ER36" s="68"/>
      <c r="ES36" s="68"/>
      <c r="ET36" s="68"/>
      <c r="EU36" s="68"/>
      <c r="EV36" s="68"/>
      <c r="EW36" s="68"/>
      <c r="EX36" s="68"/>
      <c r="EY36" s="68"/>
      <c r="EZ36" s="68"/>
      <c r="FA36" s="68"/>
      <c r="FB36" s="68"/>
      <c r="FC36" s="68"/>
      <c r="FD36" s="68"/>
      <c r="FE36" s="68"/>
      <c r="FF36" s="68"/>
      <c r="FG36" s="68"/>
      <c r="FH36" s="68"/>
      <c r="FI36" s="68"/>
      <c r="FJ36" s="68"/>
      <c r="FK36" s="68"/>
      <c r="FL36" s="68"/>
      <c r="FM36" s="68"/>
      <c r="FN36" s="68"/>
      <c r="FO36" s="68"/>
      <c r="FP36" s="68"/>
      <c r="FQ36" s="68"/>
      <c r="FR36" s="68"/>
      <c r="FS36" s="68"/>
      <c r="FT36" s="68"/>
      <c r="FU36" s="68"/>
      <c r="FV36" s="68"/>
      <c r="FW36" s="68"/>
      <c r="FX36" s="68"/>
      <c r="FY36" s="68"/>
      <c r="FZ36" s="68"/>
      <c r="GA36" s="68"/>
      <c r="GB36" s="68"/>
      <c r="GC36" s="68"/>
      <c r="GD36" s="68"/>
      <c r="GE36" s="68"/>
      <c r="GF36" s="68"/>
      <c r="GG36" s="68"/>
      <c r="GH36" s="68"/>
      <c r="GI36" s="68"/>
      <c r="GJ36" s="68"/>
      <c r="GK36" s="68"/>
      <c r="GL36" s="68"/>
      <c r="GM36" s="68"/>
      <c r="GN36" s="68"/>
      <c r="GO36" s="68"/>
      <c r="GP36" s="68"/>
      <c r="GQ36" s="68"/>
      <c r="GR36" s="68"/>
      <c r="GS36" s="68"/>
      <c r="GT36" s="68"/>
      <c r="GU36" s="68"/>
      <c r="GV36" s="68"/>
      <c r="GW36" s="68"/>
      <c r="GX36" s="68"/>
      <c r="GY36" s="68"/>
      <c r="GZ36" s="68"/>
      <c r="HA36" s="68"/>
      <c r="HB36" s="68"/>
      <c r="HC36" s="68"/>
      <c r="HD36" s="68"/>
      <c r="HE36" s="68"/>
      <c r="HF36" s="68"/>
      <c r="HG36" s="68"/>
      <c r="HH36" s="68"/>
      <c r="HI36" s="68"/>
      <c r="HJ36" s="68"/>
      <c r="HK36" s="68"/>
      <c r="HL36" s="68"/>
      <c r="HM36" s="68"/>
      <c r="HN36" s="68"/>
      <c r="HO36" s="68"/>
      <c r="HP36" s="68"/>
      <c r="HQ36" s="68"/>
      <c r="HR36" s="68"/>
      <c r="HS36" s="68"/>
      <c r="HT36" s="68"/>
      <c r="HU36" s="68"/>
      <c r="HV36" s="68"/>
      <c r="HW36" s="68"/>
      <c r="HX36" s="68"/>
      <c r="HY36" s="68"/>
      <c r="HZ36" s="68"/>
      <c r="IA36" s="68"/>
      <c r="IB36" s="68"/>
      <c r="IC36" s="68"/>
      <c r="ID36" s="68"/>
      <c r="IE36" s="68"/>
      <c r="IF36" s="68"/>
      <c r="IG36" s="68"/>
      <c r="IH36" s="68"/>
      <c r="II36" s="68"/>
      <c r="IJ36" s="68"/>
      <c r="IK36" s="68"/>
      <c r="IL36" s="68"/>
      <c r="IM36" s="68"/>
      <c r="IN36" s="68"/>
      <c r="IO36" s="68"/>
      <c r="IP36" s="68"/>
      <c r="IQ36" s="68"/>
      <c r="IR36" s="68"/>
      <c r="IS36" s="68"/>
      <c r="IT36" s="68"/>
      <c r="IU36" s="68"/>
      <c r="IV36" s="68"/>
      <c r="IW36" s="68"/>
      <c r="IX36" s="68"/>
      <c r="IY36" s="68"/>
      <c r="IZ36" s="68"/>
      <c r="JA36" s="68"/>
      <c r="JB36" s="68"/>
      <c r="JC36" s="68"/>
      <c r="JD36" s="68"/>
      <c r="JE36" s="68"/>
      <c r="JF36" s="68"/>
      <c r="JG36" s="68"/>
      <c r="JH36" s="68"/>
      <c r="JI36" s="68"/>
      <c r="JJ36" s="68"/>
      <c r="JK36" s="68"/>
      <c r="JL36" s="68"/>
      <c r="JM36" s="68"/>
      <c r="JN36" s="68"/>
      <c r="JO36" s="68"/>
      <c r="JP36" s="68"/>
      <c r="JQ36" s="68"/>
      <c r="JR36" s="68"/>
      <c r="JS36" s="68"/>
      <c r="JT36" s="68"/>
      <c r="JU36" s="68"/>
      <c r="JV36" s="68"/>
      <c r="JW36" s="68"/>
      <c r="JX36" s="68"/>
      <c r="JY36" s="68"/>
      <c r="JZ36" s="68"/>
      <c r="KA36" s="68"/>
      <c r="KB36" s="68"/>
      <c r="KC36" s="68"/>
      <c r="KD36" s="68"/>
      <c r="KE36" s="68"/>
      <c r="KF36" s="68"/>
      <c r="KG36" s="68"/>
      <c r="KH36" s="68"/>
      <c r="KI36" s="68"/>
      <c r="KJ36" s="68"/>
      <c r="KK36" s="68"/>
      <c r="KL36" s="68"/>
      <c r="KM36" s="68"/>
      <c r="KN36" s="68"/>
      <c r="KO36" s="68"/>
      <c r="KP36" s="68"/>
      <c r="KQ36" s="68"/>
      <c r="KR36" s="68"/>
      <c r="KS36" s="68"/>
      <c r="KT36" s="68"/>
      <c r="KU36" s="68"/>
      <c r="KV36" s="68"/>
      <c r="KW36" s="68"/>
      <c r="KX36" s="68"/>
      <c r="KY36" s="68"/>
      <c r="KZ36" s="68"/>
      <c r="LA36" s="68"/>
      <c r="LB36" s="68"/>
      <c r="LC36" s="68"/>
      <c r="LD36" s="68"/>
      <c r="LE36" s="68"/>
      <c r="LF36" s="68"/>
      <c r="LG36" s="68"/>
      <c r="LH36" s="68"/>
      <c r="LI36" s="68"/>
      <c r="LJ36" s="68"/>
      <c r="LK36" s="68"/>
      <c r="LL36" s="68"/>
      <c r="LM36" s="68"/>
      <c r="LN36" s="68"/>
      <c r="LO36" s="68"/>
      <c r="LP36" s="68"/>
      <c r="LQ36" s="68"/>
      <c r="LR36" s="68"/>
      <c r="LS36" s="68"/>
      <c r="LT36" s="68"/>
      <c r="LU36" s="68"/>
      <c r="LV36" s="68"/>
      <c r="LW36" s="68"/>
      <c r="LX36" s="68"/>
      <c r="LY36" s="68"/>
      <c r="LZ36" s="68"/>
      <c r="MA36" s="68"/>
      <c r="MB36" s="68"/>
      <c r="MC36" s="68"/>
      <c r="MD36" s="68"/>
      <c r="ME36" s="68"/>
      <c r="MF36" s="68"/>
      <c r="MG36" s="68"/>
      <c r="MH36" s="68"/>
      <c r="MI36" s="68"/>
      <c r="MJ36" s="68"/>
      <c r="MK36" s="68"/>
      <c r="ML36" s="68"/>
      <c r="MM36" s="68"/>
      <c r="MN36" s="68"/>
      <c r="MO36" s="68"/>
      <c r="MP36" s="68"/>
      <c r="MQ36" s="68"/>
      <c r="MR36" s="68"/>
      <c r="MS36" s="68"/>
      <c r="MT36" s="68"/>
      <c r="MU36" s="68"/>
      <c r="MV36" s="68"/>
      <c r="MW36" s="68"/>
      <c r="MX36" s="68"/>
      <c r="MY36" s="68"/>
      <c r="MZ36" s="68"/>
      <c r="NA36" s="68"/>
      <c r="NB36" s="68"/>
      <c r="NC36" s="68"/>
      <c r="ND36" s="68"/>
      <c r="NE36" s="68"/>
      <c r="NF36" s="68"/>
      <c r="NG36" s="68"/>
      <c r="NH36" s="68"/>
      <c r="NI36" s="68"/>
      <c r="NJ36" s="70">
        <f t="array" aca="1" ref="NJ36" ca="1">SUMPRODUCT((OFFSET($A36,0,31*($A$3-1)+1,1,31)&lt;&gt;"")*(IF(OFFSET($A36,0,31*($A$3-1)+1,1,31)=Database!$K$11,0.5,IF(OFFSET($A36,0,31*($A$3-1)+1,1,31)=Database!$K$12,0.5,1))*(OFFSET($A$4,0,31*($A$3-1)+1,1,31))))</f>
        <v>0</v>
      </c>
      <c r="NK36" s="72">
        <f t="array" aca="1" ref="NK36" ca="1">SUMPRODUCT((OFFSET($A36,0,1,1,372)&lt;&gt;"")*(IF(OFFSET($A36,0,1,1,372)=Database!$K$11,0.5,IF(OFFSET($A36,0,1,1,372)=Database!$K$12,0.5,1))*(OFFSET($A$3,0,1,1,372))))</f>
        <v>0</v>
      </c>
      <c r="NL36" s="63">
        <f t="shared" ca="1" si="8"/>
        <v>0</v>
      </c>
      <c r="NM36" s="63">
        <f t="shared" ca="1" si="8"/>
        <v>0</v>
      </c>
      <c r="NN36" s="63">
        <f t="shared" ca="1" si="8"/>
        <v>0</v>
      </c>
      <c r="NO36" s="63">
        <f t="shared" ca="1" si="8"/>
        <v>0</v>
      </c>
      <c r="NP36" s="63">
        <f t="shared" ca="1" si="8"/>
        <v>0</v>
      </c>
      <c r="NQ36" s="63">
        <f t="shared" ca="1" si="8"/>
        <v>0</v>
      </c>
      <c r="NR36" s="63">
        <f t="shared" ca="1" si="8"/>
        <v>0</v>
      </c>
      <c r="NS36" s="63">
        <f t="shared" ca="1" si="8"/>
        <v>0</v>
      </c>
      <c r="NT36" s="63">
        <f t="shared" ca="1" si="8"/>
        <v>0</v>
      </c>
      <c r="NU36" s="63">
        <f t="shared" ca="1" si="8"/>
        <v>0</v>
      </c>
    </row>
    <row r="37" spans="1:385" ht="18" hidden="1" customHeight="1" outlineLevel="1" x14ac:dyDescent="0.25">
      <c r="A37" s="26"/>
      <c r="B37" s="68"/>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8"/>
      <c r="AY37" s="68"/>
      <c r="AZ37" s="68"/>
      <c r="BA37" s="68"/>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8"/>
      <c r="CX37" s="68"/>
      <c r="CY37" s="68"/>
      <c r="CZ37" s="68"/>
      <c r="DA37" s="68"/>
      <c r="DB37" s="68"/>
      <c r="DC37" s="68"/>
      <c r="DD37" s="68"/>
      <c r="DE37" s="68"/>
      <c r="DF37" s="68"/>
      <c r="DG37" s="68"/>
      <c r="DH37" s="68"/>
      <c r="DI37" s="68"/>
      <c r="DJ37" s="68"/>
      <c r="DK37" s="68"/>
      <c r="DL37" s="68"/>
      <c r="DM37" s="68"/>
      <c r="DN37" s="68"/>
      <c r="DO37" s="68"/>
      <c r="DP37" s="68"/>
      <c r="DQ37" s="68"/>
      <c r="DR37" s="68"/>
      <c r="DS37" s="68"/>
      <c r="DT37" s="68"/>
      <c r="DU37" s="68"/>
      <c r="DV37" s="68"/>
      <c r="DW37" s="68"/>
      <c r="DX37" s="68"/>
      <c r="DY37" s="68"/>
      <c r="DZ37" s="68"/>
      <c r="EA37" s="68"/>
      <c r="EB37" s="68"/>
      <c r="EC37" s="68"/>
      <c r="ED37" s="68"/>
      <c r="EE37" s="68"/>
      <c r="EF37" s="68"/>
      <c r="EG37" s="68"/>
      <c r="EH37" s="68"/>
      <c r="EI37" s="68"/>
      <c r="EJ37" s="68"/>
      <c r="EK37" s="68"/>
      <c r="EL37" s="68"/>
      <c r="EM37" s="68"/>
      <c r="EN37" s="68"/>
      <c r="EO37" s="68"/>
      <c r="EP37" s="68"/>
      <c r="EQ37" s="68"/>
      <c r="ER37" s="68"/>
      <c r="ES37" s="68"/>
      <c r="ET37" s="68"/>
      <c r="EU37" s="68"/>
      <c r="EV37" s="68"/>
      <c r="EW37" s="68"/>
      <c r="EX37" s="68"/>
      <c r="EY37" s="68"/>
      <c r="EZ37" s="68"/>
      <c r="FA37" s="68"/>
      <c r="FB37" s="68"/>
      <c r="FC37" s="68"/>
      <c r="FD37" s="68"/>
      <c r="FE37" s="68"/>
      <c r="FF37" s="68"/>
      <c r="FG37" s="68"/>
      <c r="FH37" s="68"/>
      <c r="FI37" s="68"/>
      <c r="FJ37" s="68"/>
      <c r="FK37" s="68"/>
      <c r="FL37" s="68"/>
      <c r="FM37" s="68"/>
      <c r="FN37" s="68"/>
      <c r="FO37" s="68"/>
      <c r="FP37" s="68"/>
      <c r="FQ37" s="68"/>
      <c r="FR37" s="68"/>
      <c r="FS37" s="68"/>
      <c r="FT37" s="68"/>
      <c r="FU37" s="68"/>
      <c r="FV37" s="68"/>
      <c r="FW37" s="68"/>
      <c r="FX37" s="68"/>
      <c r="FY37" s="68"/>
      <c r="FZ37" s="68"/>
      <c r="GA37" s="68"/>
      <c r="GB37" s="68"/>
      <c r="GC37" s="68"/>
      <c r="GD37" s="68"/>
      <c r="GE37" s="68"/>
      <c r="GF37" s="68"/>
      <c r="GG37" s="68"/>
      <c r="GH37" s="68"/>
      <c r="GI37" s="68"/>
      <c r="GJ37" s="68"/>
      <c r="GK37" s="68"/>
      <c r="GL37" s="68"/>
      <c r="GM37" s="68"/>
      <c r="GN37" s="68"/>
      <c r="GO37" s="68"/>
      <c r="GP37" s="68"/>
      <c r="GQ37" s="68"/>
      <c r="GR37" s="68"/>
      <c r="GS37" s="68"/>
      <c r="GT37" s="68"/>
      <c r="GU37" s="68"/>
      <c r="GV37" s="68"/>
      <c r="GW37" s="68"/>
      <c r="GX37" s="68"/>
      <c r="GY37" s="68"/>
      <c r="GZ37" s="68"/>
      <c r="HA37" s="68"/>
      <c r="HB37" s="68"/>
      <c r="HC37" s="68"/>
      <c r="HD37" s="68"/>
      <c r="HE37" s="68"/>
      <c r="HF37" s="68"/>
      <c r="HG37" s="68"/>
      <c r="HH37" s="68"/>
      <c r="HI37" s="68"/>
      <c r="HJ37" s="68"/>
      <c r="HK37" s="68"/>
      <c r="HL37" s="68"/>
      <c r="HM37" s="68"/>
      <c r="HN37" s="68"/>
      <c r="HO37" s="68"/>
      <c r="HP37" s="68"/>
      <c r="HQ37" s="68"/>
      <c r="HR37" s="68"/>
      <c r="HS37" s="68"/>
      <c r="HT37" s="68"/>
      <c r="HU37" s="68"/>
      <c r="HV37" s="68"/>
      <c r="HW37" s="68"/>
      <c r="HX37" s="68"/>
      <c r="HY37" s="68"/>
      <c r="HZ37" s="68"/>
      <c r="IA37" s="68"/>
      <c r="IB37" s="68"/>
      <c r="IC37" s="68"/>
      <c r="ID37" s="68"/>
      <c r="IE37" s="68"/>
      <c r="IF37" s="68"/>
      <c r="IG37" s="68"/>
      <c r="IH37" s="68"/>
      <c r="II37" s="68"/>
      <c r="IJ37" s="68"/>
      <c r="IK37" s="68"/>
      <c r="IL37" s="68"/>
      <c r="IM37" s="68"/>
      <c r="IN37" s="68"/>
      <c r="IO37" s="68"/>
      <c r="IP37" s="68"/>
      <c r="IQ37" s="68"/>
      <c r="IR37" s="68"/>
      <c r="IS37" s="68"/>
      <c r="IT37" s="68"/>
      <c r="IU37" s="68"/>
      <c r="IV37" s="68"/>
      <c r="IW37" s="68"/>
      <c r="IX37" s="68"/>
      <c r="IY37" s="68"/>
      <c r="IZ37" s="68"/>
      <c r="JA37" s="68"/>
      <c r="JB37" s="68"/>
      <c r="JC37" s="68"/>
      <c r="JD37" s="68"/>
      <c r="JE37" s="68"/>
      <c r="JF37" s="68"/>
      <c r="JG37" s="68"/>
      <c r="JH37" s="68"/>
      <c r="JI37" s="68"/>
      <c r="JJ37" s="68"/>
      <c r="JK37" s="68"/>
      <c r="JL37" s="68"/>
      <c r="JM37" s="68"/>
      <c r="JN37" s="68"/>
      <c r="JO37" s="68"/>
      <c r="JP37" s="68"/>
      <c r="JQ37" s="68"/>
      <c r="JR37" s="68"/>
      <c r="JS37" s="68"/>
      <c r="JT37" s="68"/>
      <c r="JU37" s="68"/>
      <c r="JV37" s="68"/>
      <c r="JW37" s="68"/>
      <c r="JX37" s="68"/>
      <c r="JY37" s="68"/>
      <c r="JZ37" s="68"/>
      <c r="KA37" s="68"/>
      <c r="KB37" s="68"/>
      <c r="KC37" s="68"/>
      <c r="KD37" s="68"/>
      <c r="KE37" s="68"/>
      <c r="KF37" s="68"/>
      <c r="KG37" s="68"/>
      <c r="KH37" s="68"/>
      <c r="KI37" s="68"/>
      <c r="KJ37" s="68"/>
      <c r="KK37" s="68"/>
      <c r="KL37" s="68"/>
      <c r="KM37" s="68"/>
      <c r="KN37" s="68"/>
      <c r="KO37" s="68"/>
      <c r="KP37" s="68"/>
      <c r="KQ37" s="68"/>
      <c r="KR37" s="68"/>
      <c r="KS37" s="68"/>
      <c r="KT37" s="68"/>
      <c r="KU37" s="68"/>
      <c r="KV37" s="68"/>
      <c r="KW37" s="68"/>
      <c r="KX37" s="68"/>
      <c r="KY37" s="68"/>
      <c r="KZ37" s="68"/>
      <c r="LA37" s="68"/>
      <c r="LB37" s="68"/>
      <c r="LC37" s="68"/>
      <c r="LD37" s="68"/>
      <c r="LE37" s="68"/>
      <c r="LF37" s="68"/>
      <c r="LG37" s="68"/>
      <c r="LH37" s="68"/>
      <c r="LI37" s="68"/>
      <c r="LJ37" s="68"/>
      <c r="LK37" s="68"/>
      <c r="LL37" s="68"/>
      <c r="LM37" s="68"/>
      <c r="LN37" s="68"/>
      <c r="LO37" s="68"/>
      <c r="LP37" s="68"/>
      <c r="LQ37" s="68"/>
      <c r="LR37" s="68"/>
      <c r="LS37" s="68"/>
      <c r="LT37" s="68"/>
      <c r="LU37" s="68"/>
      <c r="LV37" s="68"/>
      <c r="LW37" s="68"/>
      <c r="LX37" s="68"/>
      <c r="LY37" s="68"/>
      <c r="LZ37" s="68"/>
      <c r="MA37" s="68"/>
      <c r="MB37" s="68"/>
      <c r="MC37" s="68"/>
      <c r="MD37" s="68"/>
      <c r="ME37" s="68"/>
      <c r="MF37" s="68"/>
      <c r="MG37" s="68"/>
      <c r="MH37" s="68"/>
      <c r="MI37" s="68"/>
      <c r="MJ37" s="68"/>
      <c r="MK37" s="68"/>
      <c r="ML37" s="68"/>
      <c r="MM37" s="68"/>
      <c r="MN37" s="68"/>
      <c r="MO37" s="68"/>
      <c r="MP37" s="68"/>
      <c r="MQ37" s="68"/>
      <c r="MR37" s="68"/>
      <c r="MS37" s="68"/>
      <c r="MT37" s="68"/>
      <c r="MU37" s="68"/>
      <c r="MV37" s="68"/>
      <c r="MW37" s="68"/>
      <c r="MX37" s="68"/>
      <c r="MY37" s="68"/>
      <c r="MZ37" s="68"/>
      <c r="NA37" s="68"/>
      <c r="NB37" s="68"/>
      <c r="NC37" s="68"/>
      <c r="ND37" s="68"/>
      <c r="NE37" s="68"/>
      <c r="NF37" s="68"/>
      <c r="NG37" s="68"/>
      <c r="NH37" s="68"/>
      <c r="NI37" s="68"/>
      <c r="NJ37" s="70">
        <f t="array" aca="1" ref="NJ37" ca="1">SUMPRODUCT((OFFSET($A37,0,31*($A$3-1)+1,1,31)&lt;&gt;"")*(IF(OFFSET($A37,0,31*($A$3-1)+1,1,31)=Database!$K$11,0.5,IF(OFFSET($A37,0,31*($A$3-1)+1,1,31)=Database!$K$12,0.5,1))*(OFFSET($A$4,0,31*($A$3-1)+1,1,31))))</f>
        <v>0</v>
      </c>
      <c r="NK37" s="72">
        <f t="array" aca="1" ref="NK37" ca="1">SUMPRODUCT((OFFSET($A37,0,1,1,372)&lt;&gt;"")*(IF(OFFSET($A37,0,1,1,372)=Database!$K$11,0.5,IF(OFFSET($A37,0,1,1,372)=Database!$K$12,0.5,1))*(OFFSET($A$3,0,1,1,372))))</f>
        <v>0</v>
      </c>
      <c r="NL37" s="63">
        <f t="shared" ca="1" si="8"/>
        <v>0</v>
      </c>
      <c r="NM37" s="63">
        <f t="shared" ca="1" si="8"/>
        <v>0</v>
      </c>
      <c r="NN37" s="63">
        <f t="shared" ca="1" si="8"/>
        <v>0</v>
      </c>
      <c r="NO37" s="63">
        <f t="shared" ca="1" si="8"/>
        <v>0</v>
      </c>
      <c r="NP37" s="63">
        <f t="shared" ca="1" si="8"/>
        <v>0</v>
      </c>
      <c r="NQ37" s="63">
        <f t="shared" ca="1" si="8"/>
        <v>0</v>
      </c>
      <c r="NR37" s="63">
        <f t="shared" ca="1" si="8"/>
        <v>0</v>
      </c>
      <c r="NS37" s="63">
        <f t="shared" ca="1" si="8"/>
        <v>0</v>
      </c>
      <c r="NT37" s="63">
        <f t="shared" ca="1" si="8"/>
        <v>0</v>
      </c>
      <c r="NU37" s="63">
        <f t="shared" ca="1" si="8"/>
        <v>0</v>
      </c>
    </row>
    <row r="38" spans="1:385" ht="18" hidden="1" customHeight="1" outlineLevel="1" x14ac:dyDescent="0.25">
      <c r="A38" s="26"/>
      <c r="B38" s="68"/>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8"/>
      <c r="AY38" s="68"/>
      <c r="AZ38" s="68"/>
      <c r="BA38" s="68"/>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8"/>
      <c r="CX38" s="68"/>
      <c r="CY38" s="68"/>
      <c r="CZ38" s="68"/>
      <c r="DA38" s="68"/>
      <c r="DB38" s="68"/>
      <c r="DC38" s="68"/>
      <c r="DD38" s="68"/>
      <c r="DE38" s="68"/>
      <c r="DF38" s="68"/>
      <c r="DG38" s="68"/>
      <c r="DH38" s="68"/>
      <c r="DI38" s="68"/>
      <c r="DJ38" s="68"/>
      <c r="DK38" s="68"/>
      <c r="DL38" s="68"/>
      <c r="DM38" s="68"/>
      <c r="DN38" s="68"/>
      <c r="DO38" s="68"/>
      <c r="DP38" s="68"/>
      <c r="DQ38" s="68"/>
      <c r="DR38" s="68"/>
      <c r="DS38" s="68"/>
      <c r="DT38" s="68"/>
      <c r="DU38" s="68"/>
      <c r="DV38" s="68"/>
      <c r="DW38" s="68"/>
      <c r="DX38" s="68"/>
      <c r="DY38" s="68"/>
      <c r="DZ38" s="68"/>
      <c r="EA38" s="68"/>
      <c r="EB38" s="68"/>
      <c r="EC38" s="68"/>
      <c r="ED38" s="68"/>
      <c r="EE38" s="68"/>
      <c r="EF38" s="68"/>
      <c r="EG38" s="68"/>
      <c r="EH38" s="68"/>
      <c r="EI38" s="68"/>
      <c r="EJ38" s="68"/>
      <c r="EK38" s="68"/>
      <c r="EL38" s="68"/>
      <c r="EM38" s="68"/>
      <c r="EN38" s="68"/>
      <c r="EO38" s="68"/>
      <c r="EP38" s="68"/>
      <c r="EQ38" s="68"/>
      <c r="ER38" s="68"/>
      <c r="ES38" s="68"/>
      <c r="ET38" s="68"/>
      <c r="EU38" s="68"/>
      <c r="EV38" s="68"/>
      <c r="EW38" s="68"/>
      <c r="EX38" s="68"/>
      <c r="EY38" s="68"/>
      <c r="EZ38" s="68"/>
      <c r="FA38" s="68"/>
      <c r="FB38" s="68"/>
      <c r="FC38" s="68"/>
      <c r="FD38" s="68"/>
      <c r="FE38" s="68"/>
      <c r="FF38" s="68"/>
      <c r="FG38" s="68"/>
      <c r="FH38" s="68"/>
      <c r="FI38" s="68"/>
      <c r="FJ38" s="68"/>
      <c r="FK38" s="68"/>
      <c r="FL38" s="68"/>
      <c r="FM38" s="68"/>
      <c r="FN38" s="68"/>
      <c r="FO38" s="68"/>
      <c r="FP38" s="68"/>
      <c r="FQ38" s="68"/>
      <c r="FR38" s="68"/>
      <c r="FS38" s="68"/>
      <c r="FT38" s="68"/>
      <c r="FU38" s="68"/>
      <c r="FV38" s="68"/>
      <c r="FW38" s="68"/>
      <c r="FX38" s="68"/>
      <c r="FY38" s="68"/>
      <c r="FZ38" s="68"/>
      <c r="GA38" s="68"/>
      <c r="GB38" s="68"/>
      <c r="GC38" s="68"/>
      <c r="GD38" s="68"/>
      <c r="GE38" s="68"/>
      <c r="GF38" s="68"/>
      <c r="GG38" s="68"/>
      <c r="GH38" s="68"/>
      <c r="GI38" s="68"/>
      <c r="GJ38" s="68"/>
      <c r="GK38" s="68"/>
      <c r="GL38" s="68"/>
      <c r="GM38" s="68"/>
      <c r="GN38" s="68"/>
      <c r="GO38" s="68"/>
      <c r="GP38" s="68"/>
      <c r="GQ38" s="68"/>
      <c r="GR38" s="68"/>
      <c r="GS38" s="68"/>
      <c r="GT38" s="68"/>
      <c r="GU38" s="68"/>
      <c r="GV38" s="68"/>
      <c r="GW38" s="68"/>
      <c r="GX38" s="68"/>
      <c r="GY38" s="68"/>
      <c r="GZ38" s="68"/>
      <c r="HA38" s="68"/>
      <c r="HB38" s="68"/>
      <c r="HC38" s="68"/>
      <c r="HD38" s="68"/>
      <c r="HE38" s="68"/>
      <c r="HF38" s="68"/>
      <c r="HG38" s="68"/>
      <c r="HH38" s="68"/>
      <c r="HI38" s="68"/>
      <c r="HJ38" s="68"/>
      <c r="HK38" s="68"/>
      <c r="HL38" s="68"/>
      <c r="HM38" s="68"/>
      <c r="HN38" s="68"/>
      <c r="HO38" s="68"/>
      <c r="HP38" s="68"/>
      <c r="HQ38" s="68"/>
      <c r="HR38" s="68"/>
      <c r="HS38" s="68"/>
      <c r="HT38" s="68"/>
      <c r="HU38" s="68"/>
      <c r="HV38" s="68"/>
      <c r="HW38" s="68"/>
      <c r="HX38" s="68"/>
      <c r="HY38" s="68"/>
      <c r="HZ38" s="68"/>
      <c r="IA38" s="68"/>
      <c r="IB38" s="68"/>
      <c r="IC38" s="68"/>
      <c r="ID38" s="68"/>
      <c r="IE38" s="68"/>
      <c r="IF38" s="68"/>
      <c r="IG38" s="68"/>
      <c r="IH38" s="68"/>
      <c r="II38" s="68"/>
      <c r="IJ38" s="68"/>
      <c r="IK38" s="68"/>
      <c r="IL38" s="68"/>
      <c r="IM38" s="68"/>
      <c r="IN38" s="68"/>
      <c r="IO38" s="68"/>
      <c r="IP38" s="68"/>
      <c r="IQ38" s="68"/>
      <c r="IR38" s="68"/>
      <c r="IS38" s="68"/>
      <c r="IT38" s="68"/>
      <c r="IU38" s="68"/>
      <c r="IV38" s="68"/>
      <c r="IW38" s="68"/>
      <c r="IX38" s="68"/>
      <c r="IY38" s="68"/>
      <c r="IZ38" s="68"/>
      <c r="JA38" s="68"/>
      <c r="JB38" s="68"/>
      <c r="JC38" s="68"/>
      <c r="JD38" s="68"/>
      <c r="JE38" s="68"/>
      <c r="JF38" s="68"/>
      <c r="JG38" s="68"/>
      <c r="JH38" s="68"/>
      <c r="JI38" s="68"/>
      <c r="JJ38" s="68"/>
      <c r="JK38" s="68"/>
      <c r="JL38" s="68"/>
      <c r="JM38" s="68"/>
      <c r="JN38" s="68"/>
      <c r="JO38" s="68"/>
      <c r="JP38" s="68"/>
      <c r="JQ38" s="68"/>
      <c r="JR38" s="68"/>
      <c r="JS38" s="68"/>
      <c r="JT38" s="68"/>
      <c r="JU38" s="68"/>
      <c r="JV38" s="68"/>
      <c r="JW38" s="68"/>
      <c r="JX38" s="68"/>
      <c r="JY38" s="68"/>
      <c r="JZ38" s="68"/>
      <c r="KA38" s="68"/>
      <c r="KB38" s="68"/>
      <c r="KC38" s="68"/>
      <c r="KD38" s="68"/>
      <c r="KE38" s="68"/>
      <c r="KF38" s="68"/>
      <c r="KG38" s="68"/>
      <c r="KH38" s="68"/>
      <c r="KI38" s="68"/>
      <c r="KJ38" s="68"/>
      <c r="KK38" s="68"/>
      <c r="KL38" s="68"/>
      <c r="KM38" s="68"/>
      <c r="KN38" s="68"/>
      <c r="KO38" s="68"/>
      <c r="KP38" s="68"/>
      <c r="KQ38" s="68"/>
      <c r="KR38" s="68"/>
      <c r="KS38" s="68"/>
      <c r="KT38" s="68"/>
      <c r="KU38" s="68"/>
      <c r="KV38" s="68"/>
      <c r="KW38" s="68"/>
      <c r="KX38" s="68"/>
      <c r="KY38" s="68"/>
      <c r="KZ38" s="68"/>
      <c r="LA38" s="68"/>
      <c r="LB38" s="68"/>
      <c r="LC38" s="68"/>
      <c r="LD38" s="68"/>
      <c r="LE38" s="68"/>
      <c r="LF38" s="68"/>
      <c r="LG38" s="68"/>
      <c r="LH38" s="68"/>
      <c r="LI38" s="68"/>
      <c r="LJ38" s="68"/>
      <c r="LK38" s="68"/>
      <c r="LL38" s="68"/>
      <c r="LM38" s="68"/>
      <c r="LN38" s="68"/>
      <c r="LO38" s="68"/>
      <c r="LP38" s="68"/>
      <c r="LQ38" s="68"/>
      <c r="LR38" s="68"/>
      <c r="LS38" s="68"/>
      <c r="LT38" s="68"/>
      <c r="LU38" s="68"/>
      <c r="LV38" s="68"/>
      <c r="LW38" s="68"/>
      <c r="LX38" s="68"/>
      <c r="LY38" s="68"/>
      <c r="LZ38" s="68"/>
      <c r="MA38" s="68"/>
      <c r="MB38" s="68"/>
      <c r="MC38" s="68"/>
      <c r="MD38" s="68"/>
      <c r="ME38" s="68"/>
      <c r="MF38" s="68"/>
      <c r="MG38" s="68"/>
      <c r="MH38" s="68"/>
      <c r="MI38" s="68"/>
      <c r="MJ38" s="68"/>
      <c r="MK38" s="68"/>
      <c r="ML38" s="68"/>
      <c r="MM38" s="68"/>
      <c r="MN38" s="68"/>
      <c r="MO38" s="68"/>
      <c r="MP38" s="68"/>
      <c r="MQ38" s="68"/>
      <c r="MR38" s="68"/>
      <c r="MS38" s="68"/>
      <c r="MT38" s="68"/>
      <c r="MU38" s="68"/>
      <c r="MV38" s="68"/>
      <c r="MW38" s="68"/>
      <c r="MX38" s="68"/>
      <c r="MY38" s="68"/>
      <c r="MZ38" s="68"/>
      <c r="NA38" s="68"/>
      <c r="NB38" s="68"/>
      <c r="NC38" s="68"/>
      <c r="ND38" s="68"/>
      <c r="NE38" s="68"/>
      <c r="NF38" s="68"/>
      <c r="NG38" s="68"/>
      <c r="NH38" s="68"/>
      <c r="NI38" s="68"/>
      <c r="NJ38" s="70">
        <f t="array" aca="1" ref="NJ38" ca="1">SUMPRODUCT((OFFSET($A38,0,31*($A$3-1)+1,1,31)&lt;&gt;"")*(IF(OFFSET($A38,0,31*($A$3-1)+1,1,31)=Database!$K$11,0.5,IF(OFFSET($A38,0,31*($A$3-1)+1,1,31)=Database!$K$12,0.5,1))*(OFFSET($A$4,0,31*($A$3-1)+1,1,31))))</f>
        <v>0</v>
      </c>
      <c r="NK38" s="72">
        <f t="array" aca="1" ref="NK38" ca="1">SUMPRODUCT((OFFSET($A38,0,1,1,372)&lt;&gt;"")*(IF(OFFSET($A38,0,1,1,372)=Database!$K$11,0.5,IF(OFFSET($A38,0,1,1,372)=Database!$K$12,0.5,1))*(OFFSET($A$3,0,1,1,372))))</f>
        <v>0</v>
      </c>
      <c r="NL38" s="63">
        <f t="shared" ca="1" si="8"/>
        <v>0</v>
      </c>
      <c r="NM38" s="63">
        <f t="shared" ca="1" si="8"/>
        <v>0</v>
      </c>
      <c r="NN38" s="63">
        <f t="shared" ca="1" si="8"/>
        <v>0</v>
      </c>
      <c r="NO38" s="63">
        <f t="shared" ca="1" si="8"/>
        <v>0</v>
      </c>
      <c r="NP38" s="63">
        <f t="shared" ca="1" si="8"/>
        <v>0</v>
      </c>
      <c r="NQ38" s="63">
        <f t="shared" ca="1" si="8"/>
        <v>0</v>
      </c>
      <c r="NR38" s="63">
        <f t="shared" ca="1" si="8"/>
        <v>0</v>
      </c>
      <c r="NS38" s="63">
        <f t="shared" ca="1" si="8"/>
        <v>0</v>
      </c>
      <c r="NT38" s="63">
        <f t="shared" ca="1" si="8"/>
        <v>0</v>
      </c>
      <c r="NU38" s="63">
        <f t="shared" ca="1" si="8"/>
        <v>0</v>
      </c>
    </row>
    <row r="39" spans="1:385" ht="18" hidden="1" customHeight="1" outlineLevel="1" x14ac:dyDescent="0.25">
      <c r="A39" s="26"/>
      <c r="B39" s="68"/>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8"/>
      <c r="AY39" s="68"/>
      <c r="AZ39" s="68"/>
      <c r="BA39" s="68"/>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8"/>
      <c r="CX39" s="68"/>
      <c r="CY39" s="68"/>
      <c r="CZ39" s="68"/>
      <c r="DA39" s="68"/>
      <c r="DB39" s="68"/>
      <c r="DC39" s="68"/>
      <c r="DD39" s="68"/>
      <c r="DE39" s="68"/>
      <c r="DF39" s="68"/>
      <c r="DG39" s="68"/>
      <c r="DH39" s="68"/>
      <c r="DI39" s="68"/>
      <c r="DJ39" s="68"/>
      <c r="DK39" s="68"/>
      <c r="DL39" s="68"/>
      <c r="DM39" s="68"/>
      <c r="DN39" s="68"/>
      <c r="DO39" s="68"/>
      <c r="DP39" s="68"/>
      <c r="DQ39" s="68"/>
      <c r="DR39" s="68"/>
      <c r="DS39" s="68"/>
      <c r="DT39" s="68"/>
      <c r="DU39" s="68"/>
      <c r="DV39" s="68"/>
      <c r="DW39" s="68"/>
      <c r="DX39" s="68"/>
      <c r="DY39" s="68"/>
      <c r="DZ39" s="68"/>
      <c r="EA39" s="68"/>
      <c r="EB39" s="68"/>
      <c r="EC39" s="68"/>
      <c r="ED39" s="68"/>
      <c r="EE39" s="68"/>
      <c r="EF39" s="68"/>
      <c r="EG39" s="68"/>
      <c r="EH39" s="68"/>
      <c r="EI39" s="68"/>
      <c r="EJ39" s="68"/>
      <c r="EK39" s="68"/>
      <c r="EL39" s="68"/>
      <c r="EM39" s="68"/>
      <c r="EN39" s="68"/>
      <c r="EO39" s="68"/>
      <c r="EP39" s="68"/>
      <c r="EQ39" s="68"/>
      <c r="ER39" s="68"/>
      <c r="ES39" s="68"/>
      <c r="ET39" s="68"/>
      <c r="EU39" s="68"/>
      <c r="EV39" s="68"/>
      <c r="EW39" s="68"/>
      <c r="EX39" s="68"/>
      <c r="EY39" s="68"/>
      <c r="EZ39" s="68"/>
      <c r="FA39" s="68"/>
      <c r="FB39" s="68"/>
      <c r="FC39" s="68"/>
      <c r="FD39" s="68"/>
      <c r="FE39" s="68"/>
      <c r="FF39" s="68"/>
      <c r="FG39" s="68"/>
      <c r="FH39" s="68"/>
      <c r="FI39" s="68"/>
      <c r="FJ39" s="68"/>
      <c r="FK39" s="68"/>
      <c r="FL39" s="68"/>
      <c r="FM39" s="68"/>
      <c r="FN39" s="68"/>
      <c r="FO39" s="68"/>
      <c r="FP39" s="68"/>
      <c r="FQ39" s="68"/>
      <c r="FR39" s="68"/>
      <c r="FS39" s="68"/>
      <c r="FT39" s="68"/>
      <c r="FU39" s="68"/>
      <c r="FV39" s="68"/>
      <c r="FW39" s="68"/>
      <c r="FX39" s="68"/>
      <c r="FY39" s="68"/>
      <c r="FZ39" s="68"/>
      <c r="GA39" s="68"/>
      <c r="GB39" s="68"/>
      <c r="GC39" s="68"/>
      <c r="GD39" s="68"/>
      <c r="GE39" s="68"/>
      <c r="GF39" s="68"/>
      <c r="GG39" s="68"/>
      <c r="GH39" s="68"/>
      <c r="GI39" s="68"/>
      <c r="GJ39" s="68"/>
      <c r="GK39" s="68"/>
      <c r="GL39" s="68"/>
      <c r="GM39" s="68"/>
      <c r="GN39" s="68"/>
      <c r="GO39" s="68"/>
      <c r="GP39" s="68"/>
      <c r="GQ39" s="68"/>
      <c r="GR39" s="68"/>
      <c r="GS39" s="68"/>
      <c r="GT39" s="68"/>
      <c r="GU39" s="68"/>
      <c r="GV39" s="68"/>
      <c r="GW39" s="68"/>
      <c r="GX39" s="68"/>
      <c r="GY39" s="68"/>
      <c r="GZ39" s="68"/>
      <c r="HA39" s="68"/>
      <c r="HB39" s="68"/>
      <c r="HC39" s="68"/>
      <c r="HD39" s="68"/>
      <c r="HE39" s="68"/>
      <c r="HF39" s="68"/>
      <c r="HG39" s="68"/>
      <c r="HH39" s="68"/>
      <c r="HI39" s="68"/>
      <c r="HJ39" s="68"/>
      <c r="HK39" s="68"/>
      <c r="HL39" s="68"/>
      <c r="HM39" s="68"/>
      <c r="HN39" s="68"/>
      <c r="HO39" s="68"/>
      <c r="HP39" s="68"/>
      <c r="HQ39" s="68"/>
      <c r="HR39" s="68"/>
      <c r="HS39" s="68"/>
      <c r="HT39" s="68"/>
      <c r="HU39" s="68"/>
      <c r="HV39" s="68"/>
      <c r="HW39" s="68"/>
      <c r="HX39" s="68"/>
      <c r="HY39" s="68"/>
      <c r="HZ39" s="68"/>
      <c r="IA39" s="68"/>
      <c r="IB39" s="68"/>
      <c r="IC39" s="68"/>
      <c r="ID39" s="68"/>
      <c r="IE39" s="68"/>
      <c r="IF39" s="68"/>
      <c r="IG39" s="68"/>
      <c r="IH39" s="68"/>
      <c r="II39" s="68"/>
      <c r="IJ39" s="68"/>
      <c r="IK39" s="68"/>
      <c r="IL39" s="68"/>
      <c r="IM39" s="68"/>
      <c r="IN39" s="68"/>
      <c r="IO39" s="68"/>
      <c r="IP39" s="68"/>
      <c r="IQ39" s="68"/>
      <c r="IR39" s="68"/>
      <c r="IS39" s="68"/>
      <c r="IT39" s="68"/>
      <c r="IU39" s="68"/>
      <c r="IV39" s="68"/>
      <c r="IW39" s="68"/>
      <c r="IX39" s="68"/>
      <c r="IY39" s="68"/>
      <c r="IZ39" s="68"/>
      <c r="JA39" s="68"/>
      <c r="JB39" s="68"/>
      <c r="JC39" s="68"/>
      <c r="JD39" s="68"/>
      <c r="JE39" s="68"/>
      <c r="JF39" s="68"/>
      <c r="JG39" s="68"/>
      <c r="JH39" s="68"/>
      <c r="JI39" s="68"/>
      <c r="JJ39" s="68"/>
      <c r="JK39" s="68"/>
      <c r="JL39" s="68"/>
      <c r="JM39" s="68"/>
      <c r="JN39" s="68"/>
      <c r="JO39" s="68"/>
      <c r="JP39" s="68"/>
      <c r="JQ39" s="68"/>
      <c r="JR39" s="68"/>
      <c r="JS39" s="68"/>
      <c r="JT39" s="68"/>
      <c r="JU39" s="68"/>
      <c r="JV39" s="68"/>
      <c r="JW39" s="68"/>
      <c r="JX39" s="68"/>
      <c r="JY39" s="68"/>
      <c r="JZ39" s="68"/>
      <c r="KA39" s="68"/>
      <c r="KB39" s="68"/>
      <c r="KC39" s="68"/>
      <c r="KD39" s="68"/>
      <c r="KE39" s="68"/>
      <c r="KF39" s="68"/>
      <c r="KG39" s="68"/>
      <c r="KH39" s="68"/>
      <c r="KI39" s="68"/>
      <c r="KJ39" s="68"/>
      <c r="KK39" s="68"/>
      <c r="KL39" s="68"/>
      <c r="KM39" s="68"/>
      <c r="KN39" s="68"/>
      <c r="KO39" s="68"/>
      <c r="KP39" s="68"/>
      <c r="KQ39" s="68"/>
      <c r="KR39" s="68"/>
      <c r="KS39" s="68"/>
      <c r="KT39" s="68"/>
      <c r="KU39" s="68"/>
      <c r="KV39" s="68"/>
      <c r="KW39" s="68"/>
      <c r="KX39" s="68"/>
      <c r="KY39" s="68"/>
      <c r="KZ39" s="68"/>
      <c r="LA39" s="68"/>
      <c r="LB39" s="68"/>
      <c r="LC39" s="68"/>
      <c r="LD39" s="68"/>
      <c r="LE39" s="68"/>
      <c r="LF39" s="68"/>
      <c r="LG39" s="68"/>
      <c r="LH39" s="68"/>
      <c r="LI39" s="68"/>
      <c r="LJ39" s="68"/>
      <c r="LK39" s="68"/>
      <c r="LL39" s="68"/>
      <c r="LM39" s="68"/>
      <c r="LN39" s="68"/>
      <c r="LO39" s="68"/>
      <c r="LP39" s="68"/>
      <c r="LQ39" s="68"/>
      <c r="LR39" s="68"/>
      <c r="LS39" s="68"/>
      <c r="LT39" s="68"/>
      <c r="LU39" s="68"/>
      <c r="LV39" s="68"/>
      <c r="LW39" s="68"/>
      <c r="LX39" s="68"/>
      <c r="LY39" s="68"/>
      <c r="LZ39" s="68"/>
      <c r="MA39" s="68"/>
      <c r="MB39" s="68"/>
      <c r="MC39" s="68"/>
      <c r="MD39" s="68"/>
      <c r="ME39" s="68"/>
      <c r="MF39" s="68"/>
      <c r="MG39" s="68"/>
      <c r="MH39" s="68"/>
      <c r="MI39" s="68"/>
      <c r="MJ39" s="68"/>
      <c r="MK39" s="68"/>
      <c r="ML39" s="68"/>
      <c r="MM39" s="68"/>
      <c r="MN39" s="68"/>
      <c r="MO39" s="68"/>
      <c r="MP39" s="68"/>
      <c r="MQ39" s="68"/>
      <c r="MR39" s="68"/>
      <c r="MS39" s="68"/>
      <c r="MT39" s="68"/>
      <c r="MU39" s="68"/>
      <c r="MV39" s="68"/>
      <c r="MW39" s="68"/>
      <c r="MX39" s="68"/>
      <c r="MY39" s="68"/>
      <c r="MZ39" s="68"/>
      <c r="NA39" s="68"/>
      <c r="NB39" s="68"/>
      <c r="NC39" s="68"/>
      <c r="ND39" s="68"/>
      <c r="NE39" s="68"/>
      <c r="NF39" s="68"/>
      <c r="NG39" s="68"/>
      <c r="NH39" s="68"/>
      <c r="NI39" s="68"/>
      <c r="NJ39" s="70">
        <f t="array" aca="1" ref="NJ39" ca="1">SUMPRODUCT((OFFSET($A39,0,31*($A$3-1)+1,1,31)&lt;&gt;"")*(IF(OFFSET($A39,0,31*($A$3-1)+1,1,31)=Database!$K$11,0.5,IF(OFFSET($A39,0,31*($A$3-1)+1,1,31)=Database!$K$12,0.5,1))*(OFFSET($A$4,0,31*($A$3-1)+1,1,31))))</f>
        <v>0</v>
      </c>
      <c r="NK39" s="72">
        <f t="array" aca="1" ref="NK39" ca="1">SUMPRODUCT((OFFSET($A39,0,1,1,372)&lt;&gt;"")*(IF(OFFSET($A39,0,1,1,372)=Database!$K$11,0.5,IF(OFFSET($A39,0,1,1,372)=Database!$K$12,0.5,1))*(OFFSET($A$3,0,1,1,372))))</f>
        <v>0</v>
      </c>
      <c r="NL39" s="63">
        <f t="shared" ca="1" si="8"/>
        <v>0</v>
      </c>
      <c r="NM39" s="63">
        <f t="shared" ca="1" si="8"/>
        <v>0</v>
      </c>
      <c r="NN39" s="63">
        <f t="shared" ca="1" si="8"/>
        <v>0</v>
      </c>
      <c r="NO39" s="63">
        <f t="shared" ca="1" si="8"/>
        <v>0</v>
      </c>
      <c r="NP39" s="63">
        <f t="shared" ca="1" si="8"/>
        <v>0</v>
      </c>
      <c r="NQ39" s="63">
        <f t="shared" ca="1" si="8"/>
        <v>0</v>
      </c>
      <c r="NR39" s="63">
        <f t="shared" ca="1" si="8"/>
        <v>0</v>
      </c>
      <c r="NS39" s="63">
        <f t="shared" ca="1" si="8"/>
        <v>0</v>
      </c>
      <c r="NT39" s="63">
        <f t="shared" ca="1" si="8"/>
        <v>0</v>
      </c>
      <c r="NU39" s="63">
        <f t="shared" ca="1" si="8"/>
        <v>0</v>
      </c>
    </row>
    <row r="40" spans="1:385" ht="18" hidden="1" customHeight="1" outlineLevel="1" x14ac:dyDescent="0.25">
      <c r="A40" s="26"/>
      <c r="B40" s="68"/>
      <c r="C40" s="68"/>
      <c r="D40" s="68"/>
      <c r="E40" s="68"/>
      <c r="F40" s="68"/>
      <c r="G40" s="68"/>
      <c r="H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c r="AK40" s="68"/>
      <c r="AL40" s="68"/>
      <c r="AM40" s="68"/>
      <c r="AN40" s="68"/>
      <c r="AO40" s="68"/>
      <c r="AP40" s="68"/>
      <c r="AQ40" s="68"/>
      <c r="AR40" s="68"/>
      <c r="AS40" s="68"/>
      <c r="AT40" s="68"/>
      <c r="AU40" s="68"/>
      <c r="AV40" s="68"/>
      <c r="AW40" s="68"/>
      <c r="AX40" s="68"/>
      <c r="AY40" s="68"/>
      <c r="AZ40" s="68"/>
      <c r="BA40" s="68"/>
      <c r="BB40" s="68"/>
      <c r="BC40" s="68"/>
      <c r="BD40" s="68"/>
      <c r="BE40" s="68"/>
      <c r="BF40" s="68"/>
      <c r="BG40" s="68"/>
      <c r="BH40" s="68"/>
      <c r="BI40" s="68"/>
      <c r="BJ40" s="68"/>
      <c r="BK40" s="68"/>
      <c r="BL40" s="68"/>
      <c r="BM40" s="68"/>
      <c r="BN40" s="68"/>
      <c r="BO40" s="68"/>
      <c r="BP40" s="68"/>
      <c r="BQ40" s="68"/>
      <c r="BR40" s="68"/>
      <c r="BS40" s="68"/>
      <c r="BT40" s="68"/>
      <c r="BU40" s="68"/>
      <c r="BV40" s="68"/>
      <c r="BW40" s="68"/>
      <c r="BX40" s="68"/>
      <c r="BY40" s="68"/>
      <c r="BZ40" s="68"/>
      <c r="CA40" s="68"/>
      <c r="CB40" s="68"/>
      <c r="CC40" s="68"/>
      <c r="CD40" s="68"/>
      <c r="CE40" s="68"/>
      <c r="CF40" s="68"/>
      <c r="CG40" s="68"/>
      <c r="CH40" s="68"/>
      <c r="CI40" s="68"/>
      <c r="CJ40" s="68"/>
      <c r="CK40" s="68"/>
      <c r="CL40" s="68"/>
      <c r="CM40" s="68"/>
      <c r="CN40" s="68"/>
      <c r="CO40" s="68"/>
      <c r="CP40" s="68"/>
      <c r="CQ40" s="68"/>
      <c r="CR40" s="68"/>
      <c r="CS40" s="68"/>
      <c r="CT40" s="68"/>
      <c r="CU40" s="68"/>
      <c r="CV40" s="68"/>
      <c r="CW40" s="68"/>
      <c r="CX40" s="68"/>
      <c r="CY40" s="68"/>
      <c r="CZ40" s="68"/>
      <c r="DA40" s="68"/>
      <c r="DB40" s="68"/>
      <c r="DC40" s="68"/>
      <c r="DD40" s="68"/>
      <c r="DE40" s="68"/>
      <c r="DF40" s="68"/>
      <c r="DG40" s="68"/>
      <c r="DH40" s="68"/>
      <c r="DI40" s="68"/>
      <c r="DJ40" s="68"/>
      <c r="DK40" s="68"/>
      <c r="DL40" s="68"/>
      <c r="DM40" s="68"/>
      <c r="DN40" s="68"/>
      <c r="DO40" s="68"/>
      <c r="DP40" s="68"/>
      <c r="DQ40" s="68"/>
      <c r="DR40" s="68"/>
      <c r="DS40" s="68"/>
      <c r="DT40" s="68"/>
      <c r="DU40" s="68"/>
      <c r="DV40" s="68"/>
      <c r="DW40" s="68"/>
      <c r="DX40" s="68"/>
      <c r="DY40" s="68"/>
      <c r="DZ40" s="68"/>
      <c r="EA40" s="68"/>
      <c r="EB40" s="68"/>
      <c r="EC40" s="68"/>
      <c r="ED40" s="68"/>
      <c r="EE40" s="68"/>
      <c r="EF40" s="68"/>
      <c r="EG40" s="68"/>
      <c r="EH40" s="68"/>
      <c r="EI40" s="68"/>
      <c r="EJ40" s="68"/>
      <c r="EK40" s="68"/>
      <c r="EL40" s="68"/>
      <c r="EM40" s="68"/>
      <c r="EN40" s="68"/>
      <c r="EO40" s="68"/>
      <c r="EP40" s="68"/>
      <c r="EQ40" s="68"/>
      <c r="ER40" s="68"/>
      <c r="ES40" s="68"/>
      <c r="ET40" s="68"/>
      <c r="EU40" s="68"/>
      <c r="EV40" s="68"/>
      <c r="EW40" s="68"/>
      <c r="EX40" s="68"/>
      <c r="EY40" s="68"/>
      <c r="EZ40" s="68"/>
      <c r="FA40" s="68"/>
      <c r="FB40" s="68"/>
      <c r="FC40" s="68"/>
      <c r="FD40" s="68"/>
      <c r="FE40" s="68"/>
      <c r="FF40" s="68"/>
      <c r="FG40" s="68"/>
      <c r="FH40" s="68"/>
      <c r="FI40" s="68"/>
      <c r="FJ40" s="68"/>
      <c r="FK40" s="68"/>
      <c r="FL40" s="68"/>
      <c r="FM40" s="68"/>
      <c r="FN40" s="68"/>
      <c r="FO40" s="68"/>
      <c r="FP40" s="68"/>
      <c r="FQ40" s="68"/>
      <c r="FR40" s="68"/>
      <c r="FS40" s="68"/>
      <c r="FT40" s="68"/>
      <c r="FU40" s="68"/>
      <c r="FV40" s="68"/>
      <c r="FW40" s="68"/>
      <c r="FX40" s="68"/>
      <c r="FY40" s="68"/>
      <c r="FZ40" s="68"/>
      <c r="GA40" s="68"/>
      <c r="GB40" s="68"/>
      <c r="GC40" s="68"/>
      <c r="GD40" s="68"/>
      <c r="GE40" s="68"/>
      <c r="GF40" s="68"/>
      <c r="GG40" s="68"/>
      <c r="GH40" s="68"/>
      <c r="GI40" s="68"/>
      <c r="GJ40" s="68"/>
      <c r="GK40" s="68"/>
      <c r="GL40" s="68"/>
      <c r="GM40" s="68"/>
      <c r="GN40" s="68"/>
      <c r="GO40" s="68"/>
      <c r="GP40" s="68"/>
      <c r="GQ40" s="68"/>
      <c r="GR40" s="68"/>
      <c r="GS40" s="68"/>
      <c r="GT40" s="68"/>
      <c r="GU40" s="68"/>
      <c r="GV40" s="68"/>
      <c r="GW40" s="68"/>
      <c r="GX40" s="68"/>
      <c r="GY40" s="68"/>
      <c r="GZ40" s="68"/>
      <c r="HA40" s="68"/>
      <c r="HB40" s="68"/>
      <c r="HC40" s="68"/>
      <c r="HD40" s="68"/>
      <c r="HE40" s="68"/>
      <c r="HF40" s="68"/>
      <c r="HG40" s="68"/>
      <c r="HH40" s="68"/>
      <c r="HI40" s="68"/>
      <c r="HJ40" s="68"/>
      <c r="HK40" s="68"/>
      <c r="HL40" s="68"/>
      <c r="HM40" s="68"/>
      <c r="HN40" s="68"/>
      <c r="HO40" s="68"/>
      <c r="HP40" s="68"/>
      <c r="HQ40" s="68"/>
      <c r="HR40" s="68"/>
      <c r="HS40" s="68"/>
      <c r="HT40" s="68"/>
      <c r="HU40" s="68"/>
      <c r="HV40" s="68"/>
      <c r="HW40" s="68"/>
      <c r="HX40" s="68"/>
      <c r="HY40" s="68"/>
      <c r="HZ40" s="68"/>
      <c r="IA40" s="68"/>
      <c r="IB40" s="68"/>
      <c r="IC40" s="68"/>
      <c r="ID40" s="68"/>
      <c r="IE40" s="68"/>
      <c r="IF40" s="68"/>
      <c r="IG40" s="68"/>
      <c r="IH40" s="68"/>
      <c r="II40" s="68"/>
      <c r="IJ40" s="68"/>
      <c r="IK40" s="68"/>
      <c r="IL40" s="68"/>
      <c r="IM40" s="68"/>
      <c r="IN40" s="68"/>
      <c r="IO40" s="68"/>
      <c r="IP40" s="68"/>
      <c r="IQ40" s="68"/>
      <c r="IR40" s="68"/>
      <c r="IS40" s="68"/>
      <c r="IT40" s="68"/>
      <c r="IU40" s="68"/>
      <c r="IV40" s="68"/>
      <c r="IW40" s="68"/>
      <c r="IX40" s="68"/>
      <c r="IY40" s="68"/>
      <c r="IZ40" s="68"/>
      <c r="JA40" s="68"/>
      <c r="JB40" s="68"/>
      <c r="JC40" s="68"/>
      <c r="JD40" s="68"/>
      <c r="JE40" s="68"/>
      <c r="JF40" s="68"/>
      <c r="JG40" s="68"/>
      <c r="JH40" s="68"/>
      <c r="JI40" s="68"/>
      <c r="JJ40" s="68"/>
      <c r="JK40" s="68"/>
      <c r="JL40" s="68"/>
      <c r="JM40" s="68"/>
      <c r="JN40" s="68"/>
      <c r="JO40" s="68"/>
      <c r="JP40" s="68"/>
      <c r="JQ40" s="68"/>
      <c r="JR40" s="68"/>
      <c r="JS40" s="68"/>
      <c r="JT40" s="68"/>
      <c r="JU40" s="68"/>
      <c r="JV40" s="68"/>
      <c r="JW40" s="68"/>
      <c r="JX40" s="68"/>
      <c r="JY40" s="68"/>
      <c r="JZ40" s="68"/>
      <c r="KA40" s="68"/>
      <c r="KB40" s="68"/>
      <c r="KC40" s="68"/>
      <c r="KD40" s="68"/>
      <c r="KE40" s="68"/>
      <c r="KF40" s="68"/>
      <c r="KG40" s="68"/>
      <c r="KH40" s="68"/>
      <c r="KI40" s="68"/>
      <c r="KJ40" s="68"/>
      <c r="KK40" s="68"/>
      <c r="KL40" s="68"/>
      <c r="KM40" s="68"/>
      <c r="KN40" s="68"/>
      <c r="KO40" s="68"/>
      <c r="KP40" s="68"/>
      <c r="KQ40" s="68"/>
      <c r="KR40" s="68"/>
      <c r="KS40" s="68"/>
      <c r="KT40" s="68"/>
      <c r="KU40" s="68"/>
      <c r="KV40" s="68"/>
      <c r="KW40" s="68"/>
      <c r="KX40" s="68"/>
      <c r="KY40" s="68"/>
      <c r="KZ40" s="68"/>
      <c r="LA40" s="68"/>
      <c r="LB40" s="68"/>
      <c r="LC40" s="68"/>
      <c r="LD40" s="68"/>
      <c r="LE40" s="68"/>
      <c r="LF40" s="68"/>
      <c r="LG40" s="68"/>
      <c r="LH40" s="68"/>
      <c r="LI40" s="68"/>
      <c r="LJ40" s="68"/>
      <c r="LK40" s="68"/>
      <c r="LL40" s="68"/>
      <c r="LM40" s="68"/>
      <c r="LN40" s="68"/>
      <c r="LO40" s="68"/>
      <c r="LP40" s="68"/>
      <c r="LQ40" s="68"/>
      <c r="LR40" s="68"/>
      <c r="LS40" s="68"/>
      <c r="LT40" s="68"/>
      <c r="LU40" s="68"/>
      <c r="LV40" s="68"/>
      <c r="LW40" s="68"/>
      <c r="LX40" s="68"/>
      <c r="LY40" s="68"/>
      <c r="LZ40" s="68"/>
      <c r="MA40" s="68"/>
      <c r="MB40" s="68"/>
      <c r="MC40" s="68"/>
      <c r="MD40" s="68"/>
      <c r="ME40" s="68"/>
      <c r="MF40" s="68"/>
      <c r="MG40" s="68"/>
      <c r="MH40" s="68"/>
      <c r="MI40" s="68"/>
      <c r="MJ40" s="68"/>
      <c r="MK40" s="68"/>
      <c r="ML40" s="68"/>
      <c r="MM40" s="68"/>
      <c r="MN40" s="68"/>
      <c r="MO40" s="68"/>
      <c r="MP40" s="68"/>
      <c r="MQ40" s="68"/>
      <c r="MR40" s="68"/>
      <c r="MS40" s="68"/>
      <c r="MT40" s="68"/>
      <c r="MU40" s="68"/>
      <c r="MV40" s="68"/>
      <c r="MW40" s="68"/>
      <c r="MX40" s="68"/>
      <c r="MY40" s="68"/>
      <c r="MZ40" s="68"/>
      <c r="NA40" s="68"/>
      <c r="NB40" s="68"/>
      <c r="NC40" s="68"/>
      <c r="ND40" s="68"/>
      <c r="NE40" s="68"/>
      <c r="NF40" s="68"/>
      <c r="NG40" s="68"/>
      <c r="NH40" s="68"/>
      <c r="NI40" s="68"/>
      <c r="NJ40" s="70">
        <f t="array" aca="1" ref="NJ40" ca="1">SUMPRODUCT((OFFSET($A40,0,31*($A$3-1)+1,1,31)&lt;&gt;"")*(IF(OFFSET($A40,0,31*($A$3-1)+1,1,31)=Database!$K$11,0.5,IF(OFFSET($A40,0,31*($A$3-1)+1,1,31)=Database!$K$12,0.5,1))*(OFFSET($A$4,0,31*($A$3-1)+1,1,31))))</f>
        <v>0</v>
      </c>
      <c r="NK40" s="72">
        <f t="array" aca="1" ref="NK40" ca="1">SUMPRODUCT((OFFSET($A40,0,1,1,372)&lt;&gt;"")*(IF(OFFSET($A40,0,1,1,372)=Database!$K$11,0.5,IF(OFFSET($A40,0,1,1,372)=Database!$K$12,0.5,1))*(OFFSET($A$3,0,1,1,372))))</f>
        <v>0</v>
      </c>
      <c r="NL40" s="63">
        <f t="shared" ca="1" si="8"/>
        <v>0</v>
      </c>
      <c r="NM40" s="63">
        <f t="shared" ca="1" si="8"/>
        <v>0</v>
      </c>
      <c r="NN40" s="63">
        <f t="shared" ca="1" si="8"/>
        <v>0</v>
      </c>
      <c r="NO40" s="63">
        <f t="shared" ca="1" si="8"/>
        <v>0</v>
      </c>
      <c r="NP40" s="63">
        <f t="shared" ca="1" si="8"/>
        <v>0</v>
      </c>
      <c r="NQ40" s="63">
        <f t="shared" ref="NQ40:NU40" ca="1" si="9">SUMPRODUCT((OFFSET($A40,0,1,1,372)&lt;&gt;"")*(OFFSET($A$3,0,1,1,372))*((OFFSET($A40,0,1,1,372))=NQ$5))</f>
        <v>0</v>
      </c>
      <c r="NR40" s="63">
        <f t="shared" ca="1" si="9"/>
        <v>0</v>
      </c>
      <c r="NS40" s="63">
        <f t="shared" ca="1" si="9"/>
        <v>0</v>
      </c>
      <c r="NT40" s="63">
        <f t="shared" ca="1" si="9"/>
        <v>0</v>
      </c>
      <c r="NU40" s="63">
        <f t="shared" ca="1" si="9"/>
        <v>0</v>
      </c>
    </row>
    <row r="41" spans="1:385" ht="18" hidden="1" customHeight="1" outlineLevel="1" x14ac:dyDescent="0.25">
      <c r="A41" s="26"/>
      <c r="B41" s="68"/>
      <c r="C41" s="68"/>
      <c r="D41" s="68"/>
      <c r="E41" s="68"/>
      <c r="F41" s="68"/>
      <c r="G41" s="68"/>
      <c r="H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c r="AK41" s="68"/>
      <c r="AL41" s="68"/>
      <c r="AM41" s="68"/>
      <c r="AN41" s="68"/>
      <c r="AO41" s="68"/>
      <c r="AP41" s="68"/>
      <c r="AQ41" s="68"/>
      <c r="AR41" s="68"/>
      <c r="AS41" s="68"/>
      <c r="AT41" s="68"/>
      <c r="AU41" s="68"/>
      <c r="AV41" s="68"/>
      <c r="AW41" s="68"/>
      <c r="AX41" s="68"/>
      <c r="AY41" s="68"/>
      <c r="AZ41" s="68"/>
      <c r="BA41" s="68"/>
      <c r="BB41" s="68"/>
      <c r="BC41" s="68"/>
      <c r="BD41" s="68"/>
      <c r="BE41" s="68"/>
      <c r="BF41" s="68"/>
      <c r="BG41" s="68"/>
      <c r="BH41" s="68"/>
      <c r="BI41" s="68"/>
      <c r="BJ41" s="68"/>
      <c r="BK41" s="68"/>
      <c r="BL41" s="68"/>
      <c r="BM41" s="68"/>
      <c r="BN41" s="68"/>
      <c r="BO41" s="68"/>
      <c r="BP41" s="68"/>
      <c r="BQ41" s="68"/>
      <c r="BR41" s="68"/>
      <c r="BS41" s="68"/>
      <c r="BT41" s="68"/>
      <c r="BU41" s="68"/>
      <c r="BV41" s="68"/>
      <c r="BW41" s="68"/>
      <c r="BX41" s="68"/>
      <c r="BY41" s="68"/>
      <c r="BZ41" s="68"/>
      <c r="CA41" s="68"/>
      <c r="CB41" s="68"/>
      <c r="CC41" s="68"/>
      <c r="CD41" s="68"/>
      <c r="CE41" s="68"/>
      <c r="CF41" s="68"/>
      <c r="CG41" s="68"/>
      <c r="CH41" s="68"/>
      <c r="CI41" s="68"/>
      <c r="CJ41" s="68"/>
      <c r="CK41" s="68"/>
      <c r="CL41" s="68"/>
      <c r="CM41" s="68"/>
      <c r="CN41" s="68"/>
      <c r="CO41" s="68"/>
      <c r="CP41" s="68"/>
      <c r="CQ41" s="68"/>
      <c r="CR41" s="68"/>
      <c r="CS41" s="68"/>
      <c r="CT41" s="68"/>
      <c r="CU41" s="68"/>
      <c r="CV41" s="68"/>
      <c r="CW41" s="68"/>
      <c r="CX41" s="68"/>
      <c r="CY41" s="68"/>
      <c r="CZ41" s="68"/>
      <c r="DA41" s="68"/>
      <c r="DB41" s="68"/>
      <c r="DC41" s="68"/>
      <c r="DD41" s="68"/>
      <c r="DE41" s="68"/>
      <c r="DF41" s="68"/>
      <c r="DG41" s="68"/>
      <c r="DH41" s="68"/>
      <c r="DI41" s="68"/>
      <c r="DJ41" s="68"/>
      <c r="DK41" s="68"/>
      <c r="DL41" s="68"/>
      <c r="DM41" s="68"/>
      <c r="DN41" s="68"/>
      <c r="DO41" s="68"/>
      <c r="DP41" s="68"/>
      <c r="DQ41" s="68"/>
      <c r="DR41" s="68"/>
      <c r="DS41" s="68"/>
      <c r="DT41" s="68"/>
      <c r="DU41" s="68"/>
      <c r="DV41" s="68"/>
      <c r="DW41" s="68"/>
      <c r="DX41" s="68"/>
      <c r="DY41" s="68"/>
      <c r="DZ41" s="68"/>
      <c r="EA41" s="68"/>
      <c r="EB41" s="68"/>
      <c r="EC41" s="68"/>
      <c r="ED41" s="68"/>
      <c r="EE41" s="68"/>
      <c r="EF41" s="68"/>
      <c r="EG41" s="68"/>
      <c r="EH41" s="68"/>
      <c r="EI41" s="68"/>
      <c r="EJ41" s="68"/>
      <c r="EK41" s="68"/>
      <c r="EL41" s="68"/>
      <c r="EM41" s="68"/>
      <c r="EN41" s="68"/>
      <c r="EO41" s="68"/>
      <c r="EP41" s="68"/>
      <c r="EQ41" s="68"/>
      <c r="ER41" s="68"/>
      <c r="ES41" s="68"/>
      <c r="ET41" s="68"/>
      <c r="EU41" s="68"/>
      <c r="EV41" s="68"/>
      <c r="EW41" s="68"/>
      <c r="EX41" s="68"/>
      <c r="EY41" s="68"/>
      <c r="EZ41" s="68"/>
      <c r="FA41" s="68"/>
      <c r="FB41" s="68"/>
      <c r="FC41" s="68"/>
      <c r="FD41" s="68"/>
      <c r="FE41" s="68"/>
      <c r="FF41" s="68"/>
      <c r="FG41" s="68"/>
      <c r="FH41" s="68"/>
      <c r="FI41" s="68"/>
      <c r="FJ41" s="68"/>
      <c r="FK41" s="68"/>
      <c r="FL41" s="68"/>
      <c r="FM41" s="68"/>
      <c r="FN41" s="68"/>
      <c r="FO41" s="68"/>
      <c r="FP41" s="68"/>
      <c r="FQ41" s="68"/>
      <c r="FR41" s="68"/>
      <c r="FS41" s="68"/>
      <c r="FT41" s="68"/>
      <c r="FU41" s="68"/>
      <c r="FV41" s="68"/>
      <c r="FW41" s="68"/>
      <c r="FX41" s="68"/>
      <c r="FY41" s="68"/>
      <c r="FZ41" s="68"/>
      <c r="GA41" s="68"/>
      <c r="GB41" s="68"/>
      <c r="GC41" s="68"/>
      <c r="GD41" s="68"/>
      <c r="GE41" s="68"/>
      <c r="GF41" s="68"/>
      <c r="GG41" s="68"/>
      <c r="GH41" s="68"/>
      <c r="GI41" s="68"/>
      <c r="GJ41" s="68"/>
      <c r="GK41" s="68"/>
      <c r="GL41" s="68"/>
      <c r="GM41" s="68"/>
      <c r="GN41" s="68"/>
      <c r="GO41" s="68"/>
      <c r="GP41" s="68"/>
      <c r="GQ41" s="68"/>
      <c r="GR41" s="68"/>
      <c r="GS41" s="68"/>
      <c r="GT41" s="68"/>
      <c r="GU41" s="68"/>
      <c r="GV41" s="68"/>
      <c r="GW41" s="68"/>
      <c r="GX41" s="68"/>
      <c r="GY41" s="68"/>
      <c r="GZ41" s="68"/>
      <c r="HA41" s="68"/>
      <c r="HB41" s="68"/>
      <c r="HC41" s="68"/>
      <c r="HD41" s="68"/>
      <c r="HE41" s="68"/>
      <c r="HF41" s="68"/>
      <c r="HG41" s="68"/>
      <c r="HH41" s="68"/>
      <c r="HI41" s="68"/>
      <c r="HJ41" s="68"/>
      <c r="HK41" s="68"/>
      <c r="HL41" s="68"/>
      <c r="HM41" s="68"/>
      <c r="HN41" s="68"/>
      <c r="HO41" s="68"/>
      <c r="HP41" s="68"/>
      <c r="HQ41" s="68"/>
      <c r="HR41" s="68"/>
      <c r="HS41" s="68"/>
      <c r="HT41" s="68"/>
      <c r="HU41" s="68"/>
      <c r="HV41" s="68"/>
      <c r="HW41" s="68"/>
      <c r="HX41" s="68"/>
      <c r="HY41" s="68"/>
      <c r="HZ41" s="68"/>
      <c r="IA41" s="68"/>
      <c r="IB41" s="68"/>
      <c r="IC41" s="68"/>
      <c r="ID41" s="68"/>
      <c r="IE41" s="68"/>
      <c r="IF41" s="68"/>
      <c r="IG41" s="68"/>
      <c r="IH41" s="68"/>
      <c r="II41" s="68"/>
      <c r="IJ41" s="68"/>
      <c r="IK41" s="68"/>
      <c r="IL41" s="68"/>
      <c r="IM41" s="68"/>
      <c r="IN41" s="68"/>
      <c r="IO41" s="68"/>
      <c r="IP41" s="68"/>
      <c r="IQ41" s="68"/>
      <c r="IR41" s="68"/>
      <c r="IS41" s="68"/>
      <c r="IT41" s="68"/>
      <c r="IU41" s="68"/>
      <c r="IV41" s="68"/>
      <c r="IW41" s="68"/>
      <c r="IX41" s="68"/>
      <c r="IY41" s="68"/>
      <c r="IZ41" s="68"/>
      <c r="JA41" s="68"/>
      <c r="JB41" s="68"/>
      <c r="JC41" s="68"/>
      <c r="JD41" s="68"/>
      <c r="JE41" s="68"/>
      <c r="JF41" s="68"/>
      <c r="JG41" s="68"/>
      <c r="JH41" s="68"/>
      <c r="JI41" s="68"/>
      <c r="JJ41" s="68"/>
      <c r="JK41" s="68"/>
      <c r="JL41" s="68"/>
      <c r="JM41" s="68"/>
      <c r="JN41" s="68"/>
      <c r="JO41" s="68"/>
      <c r="JP41" s="68"/>
      <c r="JQ41" s="68"/>
      <c r="JR41" s="68"/>
      <c r="JS41" s="68"/>
      <c r="JT41" s="68"/>
      <c r="JU41" s="68"/>
      <c r="JV41" s="68"/>
      <c r="JW41" s="68"/>
      <c r="JX41" s="68"/>
      <c r="JY41" s="68"/>
      <c r="JZ41" s="68"/>
      <c r="KA41" s="68"/>
      <c r="KB41" s="68"/>
      <c r="KC41" s="68"/>
      <c r="KD41" s="68"/>
      <c r="KE41" s="68"/>
      <c r="KF41" s="68"/>
      <c r="KG41" s="68"/>
      <c r="KH41" s="68"/>
      <c r="KI41" s="68"/>
      <c r="KJ41" s="68"/>
      <c r="KK41" s="68"/>
      <c r="KL41" s="68"/>
      <c r="KM41" s="68"/>
      <c r="KN41" s="68"/>
      <c r="KO41" s="68"/>
      <c r="KP41" s="68"/>
      <c r="KQ41" s="68"/>
      <c r="KR41" s="68"/>
      <c r="KS41" s="68"/>
      <c r="KT41" s="68"/>
      <c r="KU41" s="68"/>
      <c r="KV41" s="68"/>
      <c r="KW41" s="68"/>
      <c r="KX41" s="68"/>
      <c r="KY41" s="68"/>
      <c r="KZ41" s="68"/>
      <c r="LA41" s="68"/>
      <c r="LB41" s="68"/>
      <c r="LC41" s="68"/>
      <c r="LD41" s="68"/>
      <c r="LE41" s="68"/>
      <c r="LF41" s="68"/>
      <c r="LG41" s="68"/>
      <c r="LH41" s="68"/>
      <c r="LI41" s="68"/>
      <c r="LJ41" s="68"/>
      <c r="LK41" s="68"/>
      <c r="LL41" s="68"/>
      <c r="LM41" s="68"/>
      <c r="LN41" s="68"/>
      <c r="LO41" s="68"/>
      <c r="LP41" s="68"/>
      <c r="LQ41" s="68"/>
      <c r="LR41" s="68"/>
      <c r="LS41" s="68"/>
      <c r="LT41" s="68"/>
      <c r="LU41" s="68"/>
      <c r="LV41" s="68"/>
      <c r="LW41" s="68"/>
      <c r="LX41" s="68"/>
      <c r="LY41" s="68"/>
      <c r="LZ41" s="68"/>
      <c r="MA41" s="68"/>
      <c r="MB41" s="68"/>
      <c r="MC41" s="68"/>
      <c r="MD41" s="68"/>
      <c r="ME41" s="68"/>
      <c r="MF41" s="68"/>
      <c r="MG41" s="68"/>
      <c r="MH41" s="68"/>
      <c r="MI41" s="68"/>
      <c r="MJ41" s="68"/>
      <c r="MK41" s="68"/>
      <c r="ML41" s="68"/>
      <c r="MM41" s="68"/>
      <c r="MN41" s="68"/>
      <c r="MO41" s="68"/>
      <c r="MP41" s="68"/>
      <c r="MQ41" s="68"/>
      <c r="MR41" s="68"/>
      <c r="MS41" s="68"/>
      <c r="MT41" s="68"/>
      <c r="MU41" s="68"/>
      <c r="MV41" s="68"/>
      <c r="MW41" s="68"/>
      <c r="MX41" s="68"/>
      <c r="MY41" s="68"/>
      <c r="MZ41" s="68"/>
      <c r="NA41" s="68"/>
      <c r="NB41" s="68"/>
      <c r="NC41" s="68"/>
      <c r="ND41" s="68"/>
      <c r="NE41" s="68"/>
      <c r="NF41" s="68"/>
      <c r="NG41" s="68"/>
      <c r="NH41" s="68"/>
      <c r="NI41" s="68"/>
      <c r="NJ41" s="70">
        <f t="array" aca="1" ref="NJ41" ca="1">SUMPRODUCT((OFFSET($A41,0,31*($A$3-1)+1,1,31)&lt;&gt;"")*(IF(OFFSET($A41,0,31*($A$3-1)+1,1,31)=Database!$K$11,0.5,IF(OFFSET($A41,0,31*($A$3-1)+1,1,31)=Database!$K$12,0.5,1))*(OFFSET($A$4,0,31*($A$3-1)+1,1,31))))</f>
        <v>0</v>
      </c>
      <c r="NK41" s="72">
        <f t="array" aca="1" ref="NK41" ca="1">SUMPRODUCT((OFFSET($A41,0,1,1,372)&lt;&gt;"")*(IF(OFFSET($A41,0,1,1,372)=Database!$K$11,0.5,IF(OFFSET($A41,0,1,1,372)=Database!$K$12,0.5,1))*(OFFSET($A$3,0,1,1,372))))</f>
        <v>0</v>
      </c>
      <c r="NL41" s="63">
        <f t="shared" ref="NL41:NU59" ca="1" si="10">SUMPRODUCT((OFFSET($A41,0,1,1,372)&lt;&gt;"")*(OFFSET($A$3,0,1,1,372))*((OFFSET($A41,0,1,1,372))=NL$5))</f>
        <v>0</v>
      </c>
      <c r="NM41" s="63">
        <f t="shared" ca="1" si="10"/>
        <v>0</v>
      </c>
      <c r="NN41" s="63">
        <f t="shared" ca="1" si="10"/>
        <v>0</v>
      </c>
      <c r="NO41" s="63">
        <f t="shared" ca="1" si="10"/>
        <v>0</v>
      </c>
      <c r="NP41" s="63">
        <f t="shared" ca="1" si="10"/>
        <v>0</v>
      </c>
      <c r="NQ41" s="63">
        <f t="shared" ca="1" si="10"/>
        <v>0</v>
      </c>
      <c r="NR41" s="63">
        <f t="shared" ca="1" si="10"/>
        <v>0</v>
      </c>
      <c r="NS41" s="63">
        <f t="shared" ca="1" si="10"/>
        <v>0</v>
      </c>
      <c r="NT41" s="63">
        <f t="shared" ca="1" si="10"/>
        <v>0</v>
      </c>
      <c r="NU41" s="63">
        <f t="shared" ca="1" si="10"/>
        <v>0</v>
      </c>
    </row>
    <row r="42" spans="1:385" ht="18" hidden="1" customHeight="1" outlineLevel="1" x14ac:dyDescent="0.25">
      <c r="A42" s="26"/>
      <c r="B42" s="68"/>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8"/>
      <c r="AY42" s="68"/>
      <c r="AZ42" s="68"/>
      <c r="BA42" s="68"/>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8"/>
      <c r="CX42" s="68"/>
      <c r="CY42" s="68"/>
      <c r="CZ42" s="68"/>
      <c r="DA42" s="68"/>
      <c r="DB42" s="68"/>
      <c r="DC42" s="68"/>
      <c r="DD42" s="68"/>
      <c r="DE42" s="68"/>
      <c r="DF42" s="68"/>
      <c r="DG42" s="68"/>
      <c r="DH42" s="68"/>
      <c r="DI42" s="68"/>
      <c r="DJ42" s="68"/>
      <c r="DK42" s="68"/>
      <c r="DL42" s="68"/>
      <c r="DM42" s="68"/>
      <c r="DN42" s="68"/>
      <c r="DO42" s="68"/>
      <c r="DP42" s="68"/>
      <c r="DQ42" s="68"/>
      <c r="DR42" s="68"/>
      <c r="DS42" s="68"/>
      <c r="DT42" s="68"/>
      <c r="DU42" s="68"/>
      <c r="DV42" s="68"/>
      <c r="DW42" s="68"/>
      <c r="DX42" s="68"/>
      <c r="DY42" s="68"/>
      <c r="DZ42" s="68"/>
      <c r="EA42" s="68"/>
      <c r="EB42" s="68"/>
      <c r="EC42" s="68"/>
      <c r="ED42" s="68"/>
      <c r="EE42" s="68"/>
      <c r="EF42" s="68"/>
      <c r="EG42" s="68"/>
      <c r="EH42" s="68"/>
      <c r="EI42" s="68"/>
      <c r="EJ42" s="68"/>
      <c r="EK42" s="68"/>
      <c r="EL42" s="68"/>
      <c r="EM42" s="68"/>
      <c r="EN42" s="68"/>
      <c r="EO42" s="68"/>
      <c r="EP42" s="68"/>
      <c r="EQ42" s="68"/>
      <c r="ER42" s="68"/>
      <c r="ES42" s="68"/>
      <c r="ET42" s="68"/>
      <c r="EU42" s="68"/>
      <c r="EV42" s="68"/>
      <c r="EW42" s="68"/>
      <c r="EX42" s="68"/>
      <c r="EY42" s="68"/>
      <c r="EZ42" s="68"/>
      <c r="FA42" s="68"/>
      <c r="FB42" s="68"/>
      <c r="FC42" s="68"/>
      <c r="FD42" s="68"/>
      <c r="FE42" s="68"/>
      <c r="FF42" s="68"/>
      <c r="FG42" s="68"/>
      <c r="FH42" s="68"/>
      <c r="FI42" s="68"/>
      <c r="FJ42" s="68"/>
      <c r="FK42" s="68"/>
      <c r="FL42" s="68"/>
      <c r="FM42" s="68"/>
      <c r="FN42" s="68"/>
      <c r="FO42" s="68"/>
      <c r="FP42" s="68"/>
      <c r="FQ42" s="68"/>
      <c r="FR42" s="68"/>
      <c r="FS42" s="68"/>
      <c r="FT42" s="68"/>
      <c r="FU42" s="68"/>
      <c r="FV42" s="68"/>
      <c r="FW42" s="68"/>
      <c r="FX42" s="68"/>
      <c r="FY42" s="68"/>
      <c r="FZ42" s="68"/>
      <c r="GA42" s="68"/>
      <c r="GB42" s="68"/>
      <c r="GC42" s="68"/>
      <c r="GD42" s="68"/>
      <c r="GE42" s="68"/>
      <c r="GF42" s="68"/>
      <c r="GG42" s="68"/>
      <c r="GH42" s="68"/>
      <c r="GI42" s="68"/>
      <c r="GJ42" s="68"/>
      <c r="GK42" s="68"/>
      <c r="GL42" s="68"/>
      <c r="GM42" s="68"/>
      <c r="GN42" s="68"/>
      <c r="GO42" s="68"/>
      <c r="GP42" s="68"/>
      <c r="GQ42" s="68"/>
      <c r="GR42" s="68"/>
      <c r="GS42" s="68"/>
      <c r="GT42" s="68"/>
      <c r="GU42" s="68"/>
      <c r="GV42" s="68"/>
      <c r="GW42" s="68"/>
      <c r="GX42" s="68"/>
      <c r="GY42" s="68"/>
      <c r="GZ42" s="68"/>
      <c r="HA42" s="68"/>
      <c r="HB42" s="68"/>
      <c r="HC42" s="68"/>
      <c r="HD42" s="68"/>
      <c r="HE42" s="68"/>
      <c r="HF42" s="68"/>
      <c r="HG42" s="68"/>
      <c r="HH42" s="68"/>
      <c r="HI42" s="68"/>
      <c r="HJ42" s="68"/>
      <c r="HK42" s="68"/>
      <c r="HL42" s="68"/>
      <c r="HM42" s="68"/>
      <c r="HN42" s="68"/>
      <c r="HO42" s="68"/>
      <c r="HP42" s="68"/>
      <c r="HQ42" s="68"/>
      <c r="HR42" s="68"/>
      <c r="HS42" s="68"/>
      <c r="HT42" s="68"/>
      <c r="HU42" s="68"/>
      <c r="HV42" s="68"/>
      <c r="HW42" s="68"/>
      <c r="HX42" s="68"/>
      <c r="HY42" s="68"/>
      <c r="HZ42" s="68"/>
      <c r="IA42" s="68"/>
      <c r="IB42" s="68"/>
      <c r="IC42" s="68"/>
      <c r="ID42" s="68"/>
      <c r="IE42" s="68"/>
      <c r="IF42" s="68"/>
      <c r="IG42" s="68"/>
      <c r="IH42" s="68"/>
      <c r="II42" s="68"/>
      <c r="IJ42" s="68"/>
      <c r="IK42" s="68"/>
      <c r="IL42" s="68"/>
      <c r="IM42" s="68"/>
      <c r="IN42" s="68"/>
      <c r="IO42" s="68"/>
      <c r="IP42" s="68"/>
      <c r="IQ42" s="68"/>
      <c r="IR42" s="68"/>
      <c r="IS42" s="68"/>
      <c r="IT42" s="68"/>
      <c r="IU42" s="68"/>
      <c r="IV42" s="68"/>
      <c r="IW42" s="68"/>
      <c r="IX42" s="68"/>
      <c r="IY42" s="68"/>
      <c r="IZ42" s="68"/>
      <c r="JA42" s="68"/>
      <c r="JB42" s="68"/>
      <c r="JC42" s="68"/>
      <c r="JD42" s="68"/>
      <c r="JE42" s="68"/>
      <c r="JF42" s="68"/>
      <c r="JG42" s="68"/>
      <c r="JH42" s="68"/>
      <c r="JI42" s="68"/>
      <c r="JJ42" s="68"/>
      <c r="JK42" s="68"/>
      <c r="JL42" s="68"/>
      <c r="JM42" s="68"/>
      <c r="JN42" s="68"/>
      <c r="JO42" s="68"/>
      <c r="JP42" s="68"/>
      <c r="JQ42" s="68"/>
      <c r="JR42" s="68"/>
      <c r="JS42" s="68"/>
      <c r="JT42" s="68"/>
      <c r="JU42" s="68"/>
      <c r="JV42" s="68"/>
      <c r="JW42" s="68"/>
      <c r="JX42" s="68"/>
      <c r="JY42" s="68"/>
      <c r="JZ42" s="68"/>
      <c r="KA42" s="68"/>
      <c r="KB42" s="68"/>
      <c r="KC42" s="68"/>
      <c r="KD42" s="68"/>
      <c r="KE42" s="68"/>
      <c r="KF42" s="68"/>
      <c r="KG42" s="68"/>
      <c r="KH42" s="68"/>
      <c r="KI42" s="68"/>
      <c r="KJ42" s="68"/>
      <c r="KK42" s="68"/>
      <c r="KL42" s="68"/>
      <c r="KM42" s="68"/>
      <c r="KN42" s="68"/>
      <c r="KO42" s="68"/>
      <c r="KP42" s="68"/>
      <c r="KQ42" s="68"/>
      <c r="KR42" s="68"/>
      <c r="KS42" s="68"/>
      <c r="KT42" s="68"/>
      <c r="KU42" s="68"/>
      <c r="KV42" s="68"/>
      <c r="KW42" s="68"/>
      <c r="KX42" s="68"/>
      <c r="KY42" s="68"/>
      <c r="KZ42" s="68"/>
      <c r="LA42" s="68"/>
      <c r="LB42" s="68"/>
      <c r="LC42" s="68"/>
      <c r="LD42" s="68"/>
      <c r="LE42" s="68"/>
      <c r="LF42" s="68"/>
      <c r="LG42" s="68"/>
      <c r="LH42" s="68"/>
      <c r="LI42" s="68"/>
      <c r="LJ42" s="68"/>
      <c r="LK42" s="68"/>
      <c r="LL42" s="68"/>
      <c r="LM42" s="68"/>
      <c r="LN42" s="68"/>
      <c r="LO42" s="68"/>
      <c r="LP42" s="68"/>
      <c r="LQ42" s="68"/>
      <c r="LR42" s="68"/>
      <c r="LS42" s="68"/>
      <c r="LT42" s="68"/>
      <c r="LU42" s="68"/>
      <c r="LV42" s="68"/>
      <c r="LW42" s="68"/>
      <c r="LX42" s="68"/>
      <c r="LY42" s="68"/>
      <c r="LZ42" s="68"/>
      <c r="MA42" s="68"/>
      <c r="MB42" s="68"/>
      <c r="MC42" s="68"/>
      <c r="MD42" s="68"/>
      <c r="ME42" s="68"/>
      <c r="MF42" s="68"/>
      <c r="MG42" s="68"/>
      <c r="MH42" s="68"/>
      <c r="MI42" s="68"/>
      <c r="MJ42" s="68"/>
      <c r="MK42" s="68"/>
      <c r="ML42" s="68"/>
      <c r="MM42" s="68"/>
      <c r="MN42" s="68"/>
      <c r="MO42" s="68"/>
      <c r="MP42" s="68"/>
      <c r="MQ42" s="68"/>
      <c r="MR42" s="68"/>
      <c r="MS42" s="68"/>
      <c r="MT42" s="68"/>
      <c r="MU42" s="68"/>
      <c r="MV42" s="68"/>
      <c r="MW42" s="68"/>
      <c r="MX42" s="68"/>
      <c r="MY42" s="68"/>
      <c r="MZ42" s="68"/>
      <c r="NA42" s="68"/>
      <c r="NB42" s="68"/>
      <c r="NC42" s="68"/>
      <c r="ND42" s="68"/>
      <c r="NE42" s="68"/>
      <c r="NF42" s="68"/>
      <c r="NG42" s="68"/>
      <c r="NH42" s="68"/>
      <c r="NI42" s="68"/>
      <c r="NJ42" s="70">
        <f t="array" aca="1" ref="NJ42" ca="1">SUMPRODUCT((OFFSET($A42,0,31*($A$3-1)+1,1,31)&lt;&gt;"")*(IF(OFFSET($A42,0,31*($A$3-1)+1,1,31)=Database!$K$11,0.5,IF(OFFSET($A42,0,31*($A$3-1)+1,1,31)=Database!$K$12,0.5,1))*(OFFSET($A$4,0,31*($A$3-1)+1,1,31))))</f>
        <v>0</v>
      </c>
      <c r="NK42" s="72">
        <f t="array" aca="1" ref="NK42" ca="1">SUMPRODUCT((OFFSET($A42,0,1,1,372)&lt;&gt;"")*(IF(OFFSET($A42,0,1,1,372)=Database!$K$11,0.5,IF(OFFSET($A42,0,1,1,372)=Database!$K$12,0.5,1))*(OFFSET($A$3,0,1,1,372))))</f>
        <v>0</v>
      </c>
      <c r="NL42" s="63">
        <f t="shared" ca="1" si="10"/>
        <v>0</v>
      </c>
      <c r="NM42" s="63">
        <f t="shared" ca="1" si="10"/>
        <v>0</v>
      </c>
      <c r="NN42" s="63">
        <f t="shared" ca="1" si="10"/>
        <v>0</v>
      </c>
      <c r="NO42" s="63">
        <f t="shared" ca="1" si="10"/>
        <v>0</v>
      </c>
      <c r="NP42" s="63">
        <f t="shared" ca="1" si="10"/>
        <v>0</v>
      </c>
      <c r="NQ42" s="63">
        <f t="shared" ca="1" si="10"/>
        <v>0</v>
      </c>
      <c r="NR42" s="63">
        <f t="shared" ca="1" si="10"/>
        <v>0</v>
      </c>
      <c r="NS42" s="63">
        <f t="shared" ca="1" si="10"/>
        <v>0</v>
      </c>
      <c r="NT42" s="63">
        <f t="shared" ca="1" si="10"/>
        <v>0</v>
      </c>
      <c r="NU42" s="63">
        <f t="shared" ca="1" si="10"/>
        <v>0</v>
      </c>
    </row>
    <row r="43" spans="1:385" ht="18" hidden="1" customHeight="1" outlineLevel="1" x14ac:dyDescent="0.25">
      <c r="A43" s="26"/>
      <c r="B43" s="68"/>
      <c r="C43" s="68"/>
      <c r="D43" s="68"/>
      <c r="E43" s="68"/>
      <c r="F43" s="68"/>
      <c r="G43" s="68"/>
      <c r="H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c r="AK43" s="68"/>
      <c r="AL43" s="68"/>
      <c r="AM43" s="68"/>
      <c r="AN43" s="68"/>
      <c r="AO43" s="68"/>
      <c r="AP43" s="68"/>
      <c r="AQ43" s="68"/>
      <c r="AR43" s="68"/>
      <c r="AS43" s="68"/>
      <c r="AT43" s="68"/>
      <c r="AU43" s="68"/>
      <c r="AV43" s="68"/>
      <c r="AW43" s="68"/>
      <c r="AX43" s="68"/>
      <c r="AY43" s="68"/>
      <c r="AZ43" s="68"/>
      <c r="BA43" s="68"/>
      <c r="BB43" s="68"/>
      <c r="BC43" s="68"/>
      <c r="BD43" s="68"/>
      <c r="BE43" s="68"/>
      <c r="BF43" s="68"/>
      <c r="BG43" s="68"/>
      <c r="BH43" s="68"/>
      <c r="BI43" s="68"/>
      <c r="BJ43" s="68"/>
      <c r="BK43" s="68"/>
      <c r="BL43" s="68"/>
      <c r="BM43" s="68"/>
      <c r="BN43" s="68"/>
      <c r="BO43" s="68"/>
      <c r="BP43" s="68"/>
      <c r="BQ43" s="68"/>
      <c r="BR43" s="68"/>
      <c r="BS43" s="68"/>
      <c r="BT43" s="68"/>
      <c r="BU43" s="68"/>
      <c r="BV43" s="68"/>
      <c r="BW43" s="68"/>
      <c r="BX43" s="68"/>
      <c r="BY43" s="68"/>
      <c r="BZ43" s="68"/>
      <c r="CA43" s="68"/>
      <c r="CB43" s="68"/>
      <c r="CC43" s="68"/>
      <c r="CD43" s="68"/>
      <c r="CE43" s="68"/>
      <c r="CF43" s="68"/>
      <c r="CG43" s="68"/>
      <c r="CH43" s="68"/>
      <c r="CI43" s="68"/>
      <c r="CJ43" s="68"/>
      <c r="CK43" s="68"/>
      <c r="CL43" s="68"/>
      <c r="CM43" s="68"/>
      <c r="CN43" s="68"/>
      <c r="CO43" s="68"/>
      <c r="CP43" s="68"/>
      <c r="CQ43" s="68"/>
      <c r="CR43" s="68"/>
      <c r="CS43" s="68"/>
      <c r="CT43" s="68"/>
      <c r="CU43" s="68"/>
      <c r="CV43" s="68"/>
      <c r="CW43" s="68"/>
      <c r="CX43" s="68"/>
      <c r="CY43" s="68"/>
      <c r="CZ43" s="68"/>
      <c r="DA43" s="68"/>
      <c r="DB43" s="68"/>
      <c r="DC43" s="68"/>
      <c r="DD43" s="68"/>
      <c r="DE43" s="68"/>
      <c r="DF43" s="68"/>
      <c r="DG43" s="68"/>
      <c r="DH43" s="68"/>
      <c r="DI43" s="68"/>
      <c r="DJ43" s="68"/>
      <c r="DK43" s="68"/>
      <c r="DL43" s="68"/>
      <c r="DM43" s="68"/>
      <c r="DN43" s="68"/>
      <c r="DO43" s="68"/>
      <c r="DP43" s="68"/>
      <c r="DQ43" s="68"/>
      <c r="DR43" s="68"/>
      <c r="DS43" s="68"/>
      <c r="DT43" s="68"/>
      <c r="DU43" s="68"/>
      <c r="DV43" s="68"/>
      <c r="DW43" s="68"/>
      <c r="DX43" s="68"/>
      <c r="DY43" s="68"/>
      <c r="DZ43" s="68"/>
      <c r="EA43" s="68"/>
      <c r="EB43" s="68"/>
      <c r="EC43" s="68"/>
      <c r="ED43" s="68"/>
      <c r="EE43" s="68"/>
      <c r="EF43" s="68"/>
      <c r="EG43" s="68"/>
      <c r="EH43" s="68"/>
      <c r="EI43" s="68"/>
      <c r="EJ43" s="68"/>
      <c r="EK43" s="68"/>
      <c r="EL43" s="68"/>
      <c r="EM43" s="68"/>
      <c r="EN43" s="68"/>
      <c r="EO43" s="68"/>
      <c r="EP43" s="68"/>
      <c r="EQ43" s="68"/>
      <c r="ER43" s="68"/>
      <c r="ES43" s="68"/>
      <c r="ET43" s="68"/>
      <c r="EU43" s="68"/>
      <c r="EV43" s="68"/>
      <c r="EW43" s="68"/>
      <c r="EX43" s="68"/>
      <c r="EY43" s="68"/>
      <c r="EZ43" s="68"/>
      <c r="FA43" s="68"/>
      <c r="FB43" s="68"/>
      <c r="FC43" s="68"/>
      <c r="FD43" s="68"/>
      <c r="FE43" s="68"/>
      <c r="FF43" s="68"/>
      <c r="FG43" s="68"/>
      <c r="FH43" s="68"/>
      <c r="FI43" s="68"/>
      <c r="FJ43" s="68"/>
      <c r="FK43" s="68"/>
      <c r="FL43" s="68"/>
      <c r="FM43" s="68"/>
      <c r="FN43" s="68"/>
      <c r="FO43" s="68"/>
      <c r="FP43" s="68"/>
      <c r="FQ43" s="68"/>
      <c r="FR43" s="68"/>
      <c r="FS43" s="68"/>
      <c r="FT43" s="68"/>
      <c r="FU43" s="68"/>
      <c r="FV43" s="68"/>
      <c r="FW43" s="68"/>
      <c r="FX43" s="68"/>
      <c r="FY43" s="68"/>
      <c r="FZ43" s="68"/>
      <c r="GA43" s="68"/>
      <c r="GB43" s="68"/>
      <c r="GC43" s="68"/>
      <c r="GD43" s="68"/>
      <c r="GE43" s="68"/>
      <c r="GF43" s="68"/>
      <c r="GG43" s="68"/>
      <c r="GH43" s="68"/>
      <c r="GI43" s="68"/>
      <c r="GJ43" s="68"/>
      <c r="GK43" s="68"/>
      <c r="GL43" s="68"/>
      <c r="GM43" s="68"/>
      <c r="GN43" s="68"/>
      <c r="GO43" s="68"/>
      <c r="GP43" s="68"/>
      <c r="GQ43" s="68"/>
      <c r="GR43" s="68"/>
      <c r="GS43" s="68"/>
      <c r="GT43" s="68"/>
      <c r="GU43" s="68"/>
      <c r="GV43" s="68"/>
      <c r="GW43" s="68"/>
      <c r="GX43" s="68"/>
      <c r="GY43" s="68"/>
      <c r="GZ43" s="68"/>
      <c r="HA43" s="68"/>
      <c r="HB43" s="68"/>
      <c r="HC43" s="68"/>
      <c r="HD43" s="68"/>
      <c r="HE43" s="68"/>
      <c r="HF43" s="68"/>
      <c r="HG43" s="68"/>
      <c r="HH43" s="68"/>
      <c r="HI43" s="68"/>
      <c r="HJ43" s="68"/>
      <c r="HK43" s="68"/>
      <c r="HL43" s="68"/>
      <c r="HM43" s="68"/>
      <c r="HN43" s="68"/>
      <c r="HO43" s="68"/>
      <c r="HP43" s="68"/>
      <c r="HQ43" s="68"/>
      <c r="HR43" s="68"/>
      <c r="HS43" s="68"/>
      <c r="HT43" s="68"/>
      <c r="HU43" s="68"/>
      <c r="HV43" s="68"/>
      <c r="HW43" s="68"/>
      <c r="HX43" s="68"/>
      <c r="HY43" s="68"/>
      <c r="HZ43" s="68"/>
      <c r="IA43" s="68"/>
      <c r="IB43" s="68"/>
      <c r="IC43" s="68"/>
      <c r="ID43" s="68"/>
      <c r="IE43" s="68"/>
      <c r="IF43" s="68"/>
      <c r="IG43" s="68"/>
      <c r="IH43" s="68"/>
      <c r="II43" s="68"/>
      <c r="IJ43" s="68"/>
      <c r="IK43" s="68"/>
      <c r="IL43" s="68"/>
      <c r="IM43" s="68"/>
      <c r="IN43" s="68"/>
      <c r="IO43" s="68"/>
      <c r="IP43" s="68"/>
      <c r="IQ43" s="68"/>
      <c r="IR43" s="68"/>
      <c r="IS43" s="68"/>
      <c r="IT43" s="68"/>
      <c r="IU43" s="68"/>
      <c r="IV43" s="68"/>
      <c r="IW43" s="68"/>
      <c r="IX43" s="68"/>
      <c r="IY43" s="68"/>
      <c r="IZ43" s="68"/>
      <c r="JA43" s="68"/>
      <c r="JB43" s="68"/>
      <c r="JC43" s="68"/>
      <c r="JD43" s="68"/>
      <c r="JE43" s="68"/>
      <c r="JF43" s="68"/>
      <c r="JG43" s="68"/>
      <c r="JH43" s="68"/>
      <c r="JI43" s="68"/>
      <c r="JJ43" s="68"/>
      <c r="JK43" s="68"/>
      <c r="JL43" s="68"/>
      <c r="JM43" s="68"/>
      <c r="JN43" s="68"/>
      <c r="JO43" s="68"/>
      <c r="JP43" s="68"/>
      <c r="JQ43" s="68"/>
      <c r="JR43" s="68"/>
      <c r="JS43" s="68"/>
      <c r="JT43" s="68"/>
      <c r="JU43" s="68"/>
      <c r="JV43" s="68"/>
      <c r="JW43" s="68"/>
      <c r="JX43" s="68"/>
      <c r="JY43" s="68"/>
      <c r="JZ43" s="68"/>
      <c r="KA43" s="68"/>
      <c r="KB43" s="68"/>
      <c r="KC43" s="68"/>
      <c r="KD43" s="68"/>
      <c r="KE43" s="68"/>
      <c r="KF43" s="68"/>
      <c r="KG43" s="68"/>
      <c r="KH43" s="68"/>
      <c r="KI43" s="68"/>
      <c r="KJ43" s="68"/>
      <c r="KK43" s="68"/>
      <c r="KL43" s="68"/>
      <c r="KM43" s="68"/>
      <c r="KN43" s="68"/>
      <c r="KO43" s="68"/>
      <c r="KP43" s="68"/>
      <c r="KQ43" s="68"/>
      <c r="KR43" s="68"/>
      <c r="KS43" s="68"/>
      <c r="KT43" s="68"/>
      <c r="KU43" s="68"/>
      <c r="KV43" s="68"/>
      <c r="KW43" s="68"/>
      <c r="KX43" s="68"/>
      <c r="KY43" s="68"/>
      <c r="KZ43" s="68"/>
      <c r="LA43" s="68"/>
      <c r="LB43" s="68"/>
      <c r="LC43" s="68"/>
      <c r="LD43" s="68"/>
      <c r="LE43" s="68"/>
      <c r="LF43" s="68"/>
      <c r="LG43" s="68"/>
      <c r="LH43" s="68"/>
      <c r="LI43" s="68"/>
      <c r="LJ43" s="68"/>
      <c r="LK43" s="68"/>
      <c r="LL43" s="68"/>
      <c r="LM43" s="68"/>
      <c r="LN43" s="68"/>
      <c r="LO43" s="68"/>
      <c r="LP43" s="68"/>
      <c r="LQ43" s="68"/>
      <c r="LR43" s="68"/>
      <c r="LS43" s="68"/>
      <c r="LT43" s="68"/>
      <c r="LU43" s="68"/>
      <c r="LV43" s="68"/>
      <c r="LW43" s="68"/>
      <c r="LX43" s="68"/>
      <c r="LY43" s="68"/>
      <c r="LZ43" s="68"/>
      <c r="MA43" s="68"/>
      <c r="MB43" s="68"/>
      <c r="MC43" s="68"/>
      <c r="MD43" s="68"/>
      <c r="ME43" s="68"/>
      <c r="MF43" s="68"/>
      <c r="MG43" s="68"/>
      <c r="MH43" s="68"/>
      <c r="MI43" s="68"/>
      <c r="MJ43" s="68"/>
      <c r="MK43" s="68"/>
      <c r="ML43" s="68"/>
      <c r="MM43" s="68"/>
      <c r="MN43" s="68"/>
      <c r="MO43" s="68"/>
      <c r="MP43" s="68"/>
      <c r="MQ43" s="68"/>
      <c r="MR43" s="68"/>
      <c r="MS43" s="68"/>
      <c r="MT43" s="68"/>
      <c r="MU43" s="68"/>
      <c r="MV43" s="68"/>
      <c r="MW43" s="68"/>
      <c r="MX43" s="68"/>
      <c r="MY43" s="68"/>
      <c r="MZ43" s="68"/>
      <c r="NA43" s="68"/>
      <c r="NB43" s="68"/>
      <c r="NC43" s="68"/>
      <c r="ND43" s="68"/>
      <c r="NE43" s="68"/>
      <c r="NF43" s="68"/>
      <c r="NG43" s="68"/>
      <c r="NH43" s="68"/>
      <c r="NI43" s="68"/>
      <c r="NJ43" s="70">
        <f t="array" aca="1" ref="NJ43" ca="1">SUMPRODUCT((OFFSET($A43,0,31*($A$3-1)+1,1,31)&lt;&gt;"")*(IF(OFFSET($A43,0,31*($A$3-1)+1,1,31)=Database!$K$11,0.5,IF(OFFSET($A43,0,31*($A$3-1)+1,1,31)=Database!$K$12,0.5,1))*(OFFSET($A$4,0,31*($A$3-1)+1,1,31))))</f>
        <v>0</v>
      </c>
      <c r="NK43" s="72">
        <f t="array" aca="1" ref="NK43" ca="1">SUMPRODUCT((OFFSET($A43,0,1,1,372)&lt;&gt;"")*(IF(OFFSET($A43,0,1,1,372)=Database!$K$11,0.5,IF(OFFSET($A43,0,1,1,372)=Database!$K$12,0.5,1))*(OFFSET($A$3,0,1,1,372))))</f>
        <v>0</v>
      </c>
      <c r="NL43" s="63">
        <f t="shared" ca="1" si="10"/>
        <v>0</v>
      </c>
      <c r="NM43" s="63">
        <f t="shared" ca="1" si="10"/>
        <v>0</v>
      </c>
      <c r="NN43" s="63">
        <f t="shared" ca="1" si="10"/>
        <v>0</v>
      </c>
      <c r="NO43" s="63">
        <f t="shared" ca="1" si="10"/>
        <v>0</v>
      </c>
      <c r="NP43" s="63">
        <f t="shared" ca="1" si="10"/>
        <v>0</v>
      </c>
      <c r="NQ43" s="63">
        <f t="shared" ca="1" si="10"/>
        <v>0</v>
      </c>
      <c r="NR43" s="63">
        <f t="shared" ca="1" si="10"/>
        <v>0</v>
      </c>
      <c r="NS43" s="63">
        <f t="shared" ca="1" si="10"/>
        <v>0</v>
      </c>
      <c r="NT43" s="63">
        <f t="shared" ca="1" si="10"/>
        <v>0</v>
      </c>
      <c r="NU43" s="63">
        <f t="shared" ca="1" si="10"/>
        <v>0</v>
      </c>
    </row>
    <row r="44" spans="1:385" ht="18" hidden="1" customHeight="1" outlineLevel="1" x14ac:dyDescent="0.25">
      <c r="A44" s="26"/>
      <c r="B44" s="68"/>
      <c r="C44" s="68"/>
      <c r="D44" s="68"/>
      <c r="E44" s="68"/>
      <c r="F44" s="68"/>
      <c r="G44" s="68"/>
      <c r="H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c r="AK44" s="68"/>
      <c r="AL44" s="68"/>
      <c r="AM44" s="68"/>
      <c r="AN44" s="68"/>
      <c r="AO44" s="68"/>
      <c r="AP44" s="68"/>
      <c r="AQ44" s="68"/>
      <c r="AR44" s="68"/>
      <c r="AS44" s="68"/>
      <c r="AT44" s="68"/>
      <c r="AU44" s="68"/>
      <c r="AV44" s="68"/>
      <c r="AW44" s="68"/>
      <c r="AX44" s="68"/>
      <c r="AY44" s="68"/>
      <c r="AZ44" s="68"/>
      <c r="BA44" s="68"/>
      <c r="BB44" s="68"/>
      <c r="BC44" s="68"/>
      <c r="BD44" s="68"/>
      <c r="BE44" s="68"/>
      <c r="BF44" s="68"/>
      <c r="BG44" s="68"/>
      <c r="BH44" s="68"/>
      <c r="BI44" s="68"/>
      <c r="BJ44" s="68"/>
      <c r="BK44" s="68"/>
      <c r="BL44" s="68"/>
      <c r="BM44" s="68"/>
      <c r="BN44" s="68"/>
      <c r="BO44" s="68"/>
      <c r="BP44" s="68"/>
      <c r="BQ44" s="68"/>
      <c r="BR44" s="68"/>
      <c r="BS44" s="68"/>
      <c r="BT44" s="68"/>
      <c r="BU44" s="68"/>
      <c r="BV44" s="68"/>
      <c r="BW44" s="68"/>
      <c r="BX44" s="68"/>
      <c r="BY44" s="68"/>
      <c r="BZ44" s="68"/>
      <c r="CA44" s="68"/>
      <c r="CB44" s="68"/>
      <c r="CC44" s="68"/>
      <c r="CD44" s="68"/>
      <c r="CE44" s="68"/>
      <c r="CF44" s="68"/>
      <c r="CG44" s="68"/>
      <c r="CH44" s="68"/>
      <c r="CI44" s="68"/>
      <c r="CJ44" s="68"/>
      <c r="CK44" s="68"/>
      <c r="CL44" s="68"/>
      <c r="CM44" s="68"/>
      <c r="CN44" s="68"/>
      <c r="CO44" s="68"/>
      <c r="CP44" s="68"/>
      <c r="CQ44" s="68"/>
      <c r="CR44" s="68"/>
      <c r="CS44" s="68"/>
      <c r="CT44" s="68"/>
      <c r="CU44" s="68"/>
      <c r="CV44" s="68"/>
      <c r="CW44" s="68"/>
      <c r="CX44" s="68"/>
      <c r="CY44" s="68"/>
      <c r="CZ44" s="68"/>
      <c r="DA44" s="68"/>
      <c r="DB44" s="68"/>
      <c r="DC44" s="68"/>
      <c r="DD44" s="68"/>
      <c r="DE44" s="68"/>
      <c r="DF44" s="68"/>
      <c r="DG44" s="68"/>
      <c r="DH44" s="68"/>
      <c r="DI44" s="68"/>
      <c r="DJ44" s="68"/>
      <c r="DK44" s="68"/>
      <c r="DL44" s="68"/>
      <c r="DM44" s="68"/>
      <c r="DN44" s="68"/>
      <c r="DO44" s="68"/>
      <c r="DP44" s="68"/>
      <c r="DQ44" s="68"/>
      <c r="DR44" s="68"/>
      <c r="DS44" s="68"/>
      <c r="DT44" s="68"/>
      <c r="DU44" s="68"/>
      <c r="DV44" s="68"/>
      <c r="DW44" s="68"/>
      <c r="DX44" s="68"/>
      <c r="DY44" s="68"/>
      <c r="DZ44" s="68"/>
      <c r="EA44" s="68"/>
      <c r="EB44" s="68"/>
      <c r="EC44" s="68"/>
      <c r="ED44" s="68"/>
      <c r="EE44" s="68"/>
      <c r="EF44" s="68"/>
      <c r="EG44" s="68"/>
      <c r="EH44" s="68"/>
      <c r="EI44" s="68"/>
      <c r="EJ44" s="68"/>
      <c r="EK44" s="68"/>
      <c r="EL44" s="68"/>
      <c r="EM44" s="68"/>
      <c r="EN44" s="68"/>
      <c r="EO44" s="68"/>
      <c r="EP44" s="68"/>
      <c r="EQ44" s="68"/>
      <c r="ER44" s="68"/>
      <c r="ES44" s="68"/>
      <c r="ET44" s="68"/>
      <c r="EU44" s="68"/>
      <c r="EV44" s="68"/>
      <c r="EW44" s="68"/>
      <c r="EX44" s="68"/>
      <c r="EY44" s="68"/>
      <c r="EZ44" s="68"/>
      <c r="FA44" s="68"/>
      <c r="FB44" s="68"/>
      <c r="FC44" s="68"/>
      <c r="FD44" s="68"/>
      <c r="FE44" s="68"/>
      <c r="FF44" s="68"/>
      <c r="FG44" s="68"/>
      <c r="FH44" s="68"/>
      <c r="FI44" s="68"/>
      <c r="FJ44" s="68"/>
      <c r="FK44" s="68"/>
      <c r="FL44" s="68"/>
      <c r="FM44" s="68"/>
      <c r="FN44" s="68"/>
      <c r="FO44" s="68"/>
      <c r="FP44" s="68"/>
      <c r="FQ44" s="68"/>
      <c r="FR44" s="68"/>
      <c r="FS44" s="68"/>
      <c r="FT44" s="68"/>
      <c r="FU44" s="68"/>
      <c r="FV44" s="68"/>
      <c r="FW44" s="68"/>
      <c r="FX44" s="68"/>
      <c r="FY44" s="68"/>
      <c r="FZ44" s="68"/>
      <c r="GA44" s="68"/>
      <c r="GB44" s="68"/>
      <c r="GC44" s="68"/>
      <c r="GD44" s="68"/>
      <c r="GE44" s="68"/>
      <c r="GF44" s="68"/>
      <c r="GG44" s="68"/>
      <c r="GH44" s="68"/>
      <c r="GI44" s="68"/>
      <c r="GJ44" s="68"/>
      <c r="GK44" s="68"/>
      <c r="GL44" s="68"/>
      <c r="GM44" s="68"/>
      <c r="GN44" s="68"/>
      <c r="GO44" s="68"/>
      <c r="GP44" s="68"/>
      <c r="GQ44" s="68"/>
      <c r="GR44" s="68"/>
      <c r="GS44" s="68"/>
      <c r="GT44" s="68"/>
      <c r="GU44" s="68"/>
      <c r="GV44" s="68"/>
      <c r="GW44" s="68"/>
      <c r="GX44" s="68"/>
      <c r="GY44" s="68"/>
      <c r="GZ44" s="68"/>
      <c r="HA44" s="68"/>
      <c r="HB44" s="68"/>
      <c r="HC44" s="68"/>
      <c r="HD44" s="68"/>
      <c r="HE44" s="68"/>
      <c r="HF44" s="68"/>
      <c r="HG44" s="68"/>
      <c r="HH44" s="68"/>
      <c r="HI44" s="68"/>
      <c r="HJ44" s="68"/>
      <c r="HK44" s="68"/>
      <c r="HL44" s="68"/>
      <c r="HM44" s="68"/>
      <c r="HN44" s="68"/>
      <c r="HO44" s="68"/>
      <c r="HP44" s="68"/>
      <c r="HQ44" s="68"/>
      <c r="HR44" s="68"/>
      <c r="HS44" s="68"/>
      <c r="HT44" s="68"/>
      <c r="HU44" s="68"/>
      <c r="HV44" s="68"/>
      <c r="HW44" s="68"/>
      <c r="HX44" s="68"/>
      <c r="HY44" s="68"/>
      <c r="HZ44" s="68"/>
      <c r="IA44" s="68"/>
      <c r="IB44" s="68"/>
      <c r="IC44" s="68"/>
      <c r="ID44" s="68"/>
      <c r="IE44" s="68"/>
      <c r="IF44" s="68"/>
      <c r="IG44" s="68"/>
      <c r="IH44" s="68"/>
      <c r="II44" s="68"/>
      <c r="IJ44" s="68"/>
      <c r="IK44" s="68"/>
      <c r="IL44" s="68"/>
      <c r="IM44" s="68"/>
      <c r="IN44" s="68"/>
      <c r="IO44" s="68"/>
      <c r="IP44" s="68"/>
      <c r="IQ44" s="68"/>
      <c r="IR44" s="68"/>
      <c r="IS44" s="68"/>
      <c r="IT44" s="68"/>
      <c r="IU44" s="68"/>
      <c r="IV44" s="68"/>
      <c r="IW44" s="68"/>
      <c r="IX44" s="68"/>
      <c r="IY44" s="68"/>
      <c r="IZ44" s="68"/>
      <c r="JA44" s="68"/>
      <c r="JB44" s="68"/>
      <c r="JC44" s="68"/>
      <c r="JD44" s="68"/>
      <c r="JE44" s="68"/>
      <c r="JF44" s="68"/>
      <c r="JG44" s="68"/>
      <c r="JH44" s="68"/>
      <c r="JI44" s="68"/>
      <c r="JJ44" s="68"/>
      <c r="JK44" s="68"/>
      <c r="JL44" s="68"/>
      <c r="JM44" s="68"/>
      <c r="JN44" s="68"/>
      <c r="JO44" s="68"/>
      <c r="JP44" s="68"/>
      <c r="JQ44" s="68"/>
      <c r="JR44" s="68"/>
      <c r="JS44" s="68"/>
      <c r="JT44" s="68"/>
      <c r="JU44" s="68"/>
      <c r="JV44" s="68"/>
      <c r="JW44" s="68"/>
      <c r="JX44" s="68"/>
      <c r="JY44" s="68"/>
      <c r="JZ44" s="68"/>
      <c r="KA44" s="68"/>
      <c r="KB44" s="68"/>
      <c r="KC44" s="68"/>
      <c r="KD44" s="68"/>
      <c r="KE44" s="68"/>
      <c r="KF44" s="68"/>
      <c r="KG44" s="68"/>
      <c r="KH44" s="68"/>
      <c r="KI44" s="68"/>
      <c r="KJ44" s="68"/>
      <c r="KK44" s="68"/>
      <c r="KL44" s="68"/>
      <c r="KM44" s="68"/>
      <c r="KN44" s="68"/>
      <c r="KO44" s="68"/>
      <c r="KP44" s="68"/>
      <c r="KQ44" s="68"/>
      <c r="KR44" s="68"/>
      <c r="KS44" s="68"/>
      <c r="KT44" s="68"/>
      <c r="KU44" s="68"/>
      <c r="KV44" s="68"/>
      <c r="KW44" s="68"/>
      <c r="KX44" s="68"/>
      <c r="KY44" s="68"/>
      <c r="KZ44" s="68"/>
      <c r="LA44" s="68"/>
      <c r="LB44" s="68"/>
      <c r="LC44" s="68"/>
      <c r="LD44" s="68"/>
      <c r="LE44" s="68"/>
      <c r="LF44" s="68"/>
      <c r="LG44" s="68"/>
      <c r="LH44" s="68"/>
      <c r="LI44" s="68"/>
      <c r="LJ44" s="68"/>
      <c r="LK44" s="68"/>
      <c r="LL44" s="68"/>
      <c r="LM44" s="68"/>
      <c r="LN44" s="68"/>
      <c r="LO44" s="68"/>
      <c r="LP44" s="68"/>
      <c r="LQ44" s="68"/>
      <c r="LR44" s="68"/>
      <c r="LS44" s="68"/>
      <c r="LT44" s="68"/>
      <c r="LU44" s="68"/>
      <c r="LV44" s="68"/>
      <c r="LW44" s="68"/>
      <c r="LX44" s="68"/>
      <c r="LY44" s="68"/>
      <c r="LZ44" s="68"/>
      <c r="MA44" s="68"/>
      <c r="MB44" s="68"/>
      <c r="MC44" s="68"/>
      <c r="MD44" s="68"/>
      <c r="ME44" s="68"/>
      <c r="MF44" s="68"/>
      <c r="MG44" s="68"/>
      <c r="MH44" s="68"/>
      <c r="MI44" s="68"/>
      <c r="MJ44" s="68"/>
      <c r="MK44" s="68"/>
      <c r="ML44" s="68"/>
      <c r="MM44" s="68"/>
      <c r="MN44" s="68"/>
      <c r="MO44" s="68"/>
      <c r="MP44" s="68"/>
      <c r="MQ44" s="68"/>
      <c r="MR44" s="68"/>
      <c r="MS44" s="68"/>
      <c r="MT44" s="68"/>
      <c r="MU44" s="68"/>
      <c r="MV44" s="68"/>
      <c r="MW44" s="68"/>
      <c r="MX44" s="68"/>
      <c r="MY44" s="68"/>
      <c r="MZ44" s="68"/>
      <c r="NA44" s="68"/>
      <c r="NB44" s="68"/>
      <c r="NC44" s="68"/>
      <c r="ND44" s="68"/>
      <c r="NE44" s="68"/>
      <c r="NF44" s="68"/>
      <c r="NG44" s="68"/>
      <c r="NH44" s="68"/>
      <c r="NI44" s="68"/>
      <c r="NJ44" s="70">
        <f t="array" aca="1" ref="NJ44" ca="1">SUMPRODUCT((OFFSET($A44,0,31*($A$3-1)+1,1,31)&lt;&gt;"")*(IF(OFFSET($A44,0,31*($A$3-1)+1,1,31)=Database!$K$11,0.5,IF(OFFSET($A44,0,31*($A$3-1)+1,1,31)=Database!$K$12,0.5,1))*(OFFSET($A$4,0,31*($A$3-1)+1,1,31))))</f>
        <v>0</v>
      </c>
      <c r="NK44" s="72">
        <f t="array" aca="1" ref="NK44" ca="1">SUMPRODUCT((OFFSET($A44,0,1,1,372)&lt;&gt;"")*(IF(OFFSET($A44,0,1,1,372)=Database!$K$11,0.5,IF(OFFSET($A44,0,1,1,372)=Database!$K$12,0.5,1))*(OFFSET($A$3,0,1,1,372))))</f>
        <v>0</v>
      </c>
      <c r="NL44" s="63">
        <f t="shared" ca="1" si="10"/>
        <v>0</v>
      </c>
      <c r="NM44" s="63">
        <f t="shared" ca="1" si="10"/>
        <v>0</v>
      </c>
      <c r="NN44" s="63">
        <f t="shared" ca="1" si="10"/>
        <v>0</v>
      </c>
      <c r="NO44" s="63">
        <f t="shared" ca="1" si="10"/>
        <v>0</v>
      </c>
      <c r="NP44" s="63">
        <f t="shared" ca="1" si="10"/>
        <v>0</v>
      </c>
      <c r="NQ44" s="63">
        <f t="shared" ca="1" si="10"/>
        <v>0</v>
      </c>
      <c r="NR44" s="63">
        <f t="shared" ca="1" si="10"/>
        <v>0</v>
      </c>
      <c r="NS44" s="63">
        <f t="shared" ca="1" si="10"/>
        <v>0</v>
      </c>
      <c r="NT44" s="63">
        <f t="shared" ca="1" si="10"/>
        <v>0</v>
      </c>
      <c r="NU44" s="63">
        <f t="shared" ca="1" si="10"/>
        <v>0</v>
      </c>
    </row>
    <row r="45" spans="1:385" ht="18" hidden="1" customHeight="1" outlineLevel="1" x14ac:dyDescent="0.25">
      <c r="A45" s="26"/>
      <c r="B45" s="68"/>
      <c r="C45" s="68"/>
      <c r="D45" s="68"/>
      <c r="E45" s="68"/>
      <c r="F45" s="68"/>
      <c r="G45" s="68"/>
      <c r="H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c r="AK45" s="68"/>
      <c r="AL45" s="68"/>
      <c r="AM45" s="68"/>
      <c r="AN45" s="68"/>
      <c r="AO45" s="68"/>
      <c r="AP45" s="68"/>
      <c r="AQ45" s="68"/>
      <c r="AR45" s="68"/>
      <c r="AS45" s="68"/>
      <c r="AT45" s="68"/>
      <c r="AU45" s="68"/>
      <c r="AV45" s="68"/>
      <c r="AW45" s="68"/>
      <c r="AX45" s="68"/>
      <c r="AY45" s="68"/>
      <c r="AZ45" s="68"/>
      <c r="BA45" s="68"/>
      <c r="BB45" s="68"/>
      <c r="BC45" s="68"/>
      <c r="BD45" s="68"/>
      <c r="BE45" s="68"/>
      <c r="BF45" s="68"/>
      <c r="BG45" s="68"/>
      <c r="BH45" s="68"/>
      <c r="BI45" s="68"/>
      <c r="BJ45" s="68"/>
      <c r="BK45" s="68"/>
      <c r="BL45" s="68"/>
      <c r="BM45" s="68"/>
      <c r="BN45" s="68"/>
      <c r="BO45" s="68"/>
      <c r="BP45" s="68"/>
      <c r="BQ45" s="68"/>
      <c r="BR45" s="68"/>
      <c r="BS45" s="68"/>
      <c r="BT45" s="68"/>
      <c r="BU45" s="68"/>
      <c r="BV45" s="68"/>
      <c r="BW45" s="68"/>
      <c r="BX45" s="68"/>
      <c r="BY45" s="68"/>
      <c r="BZ45" s="68"/>
      <c r="CA45" s="68"/>
      <c r="CB45" s="68"/>
      <c r="CC45" s="68"/>
      <c r="CD45" s="68"/>
      <c r="CE45" s="68"/>
      <c r="CF45" s="68"/>
      <c r="CG45" s="68"/>
      <c r="CH45" s="68"/>
      <c r="CI45" s="68"/>
      <c r="CJ45" s="68"/>
      <c r="CK45" s="68"/>
      <c r="CL45" s="68"/>
      <c r="CM45" s="68"/>
      <c r="CN45" s="68"/>
      <c r="CO45" s="68"/>
      <c r="CP45" s="68"/>
      <c r="CQ45" s="68"/>
      <c r="CR45" s="68"/>
      <c r="CS45" s="68"/>
      <c r="CT45" s="68"/>
      <c r="CU45" s="68"/>
      <c r="CV45" s="68"/>
      <c r="CW45" s="68"/>
      <c r="CX45" s="68"/>
      <c r="CY45" s="68"/>
      <c r="CZ45" s="68"/>
      <c r="DA45" s="68"/>
      <c r="DB45" s="68"/>
      <c r="DC45" s="68"/>
      <c r="DD45" s="68"/>
      <c r="DE45" s="68"/>
      <c r="DF45" s="68"/>
      <c r="DG45" s="68"/>
      <c r="DH45" s="68"/>
      <c r="DI45" s="68"/>
      <c r="DJ45" s="68"/>
      <c r="DK45" s="68"/>
      <c r="DL45" s="68"/>
      <c r="DM45" s="68"/>
      <c r="DN45" s="68"/>
      <c r="DO45" s="68"/>
      <c r="DP45" s="68"/>
      <c r="DQ45" s="68"/>
      <c r="DR45" s="68"/>
      <c r="DS45" s="68"/>
      <c r="DT45" s="68"/>
      <c r="DU45" s="68"/>
      <c r="DV45" s="68"/>
      <c r="DW45" s="68"/>
      <c r="DX45" s="68"/>
      <c r="DY45" s="68"/>
      <c r="DZ45" s="68"/>
      <c r="EA45" s="68"/>
      <c r="EB45" s="68"/>
      <c r="EC45" s="68"/>
      <c r="ED45" s="68"/>
      <c r="EE45" s="68"/>
      <c r="EF45" s="68"/>
      <c r="EG45" s="68"/>
      <c r="EH45" s="68"/>
      <c r="EI45" s="68"/>
      <c r="EJ45" s="68"/>
      <c r="EK45" s="68"/>
      <c r="EL45" s="68"/>
      <c r="EM45" s="68"/>
      <c r="EN45" s="68"/>
      <c r="EO45" s="68"/>
      <c r="EP45" s="68"/>
      <c r="EQ45" s="68"/>
      <c r="ER45" s="68"/>
      <c r="ES45" s="68"/>
      <c r="ET45" s="68"/>
      <c r="EU45" s="68"/>
      <c r="EV45" s="68"/>
      <c r="EW45" s="68"/>
      <c r="EX45" s="68"/>
      <c r="EY45" s="68"/>
      <c r="EZ45" s="68"/>
      <c r="FA45" s="68"/>
      <c r="FB45" s="68"/>
      <c r="FC45" s="68"/>
      <c r="FD45" s="68"/>
      <c r="FE45" s="68"/>
      <c r="FF45" s="68"/>
      <c r="FG45" s="68"/>
      <c r="FH45" s="68"/>
      <c r="FI45" s="68"/>
      <c r="FJ45" s="68"/>
      <c r="FK45" s="68"/>
      <c r="FL45" s="68"/>
      <c r="FM45" s="68"/>
      <c r="FN45" s="68"/>
      <c r="FO45" s="68"/>
      <c r="FP45" s="68"/>
      <c r="FQ45" s="68"/>
      <c r="FR45" s="68"/>
      <c r="FS45" s="68"/>
      <c r="FT45" s="68"/>
      <c r="FU45" s="68"/>
      <c r="FV45" s="68"/>
      <c r="FW45" s="68"/>
      <c r="FX45" s="68"/>
      <c r="FY45" s="68"/>
      <c r="FZ45" s="68"/>
      <c r="GA45" s="68"/>
      <c r="GB45" s="68"/>
      <c r="GC45" s="68"/>
      <c r="GD45" s="68"/>
      <c r="GE45" s="68"/>
      <c r="GF45" s="68"/>
      <c r="GG45" s="68"/>
      <c r="GH45" s="68"/>
      <c r="GI45" s="68"/>
      <c r="GJ45" s="68"/>
      <c r="GK45" s="68"/>
      <c r="GL45" s="68"/>
      <c r="GM45" s="68"/>
      <c r="GN45" s="68"/>
      <c r="GO45" s="68"/>
      <c r="GP45" s="68"/>
      <c r="GQ45" s="68"/>
      <c r="GR45" s="68"/>
      <c r="GS45" s="68"/>
      <c r="GT45" s="68"/>
      <c r="GU45" s="68"/>
      <c r="GV45" s="68"/>
      <c r="GW45" s="68"/>
      <c r="GX45" s="68"/>
      <c r="GY45" s="68"/>
      <c r="GZ45" s="68"/>
      <c r="HA45" s="68"/>
      <c r="HB45" s="68"/>
      <c r="HC45" s="68"/>
      <c r="HD45" s="68"/>
      <c r="HE45" s="68"/>
      <c r="HF45" s="68"/>
      <c r="HG45" s="68"/>
      <c r="HH45" s="68"/>
      <c r="HI45" s="68"/>
      <c r="HJ45" s="68"/>
      <c r="HK45" s="68"/>
      <c r="HL45" s="68"/>
      <c r="HM45" s="68"/>
      <c r="HN45" s="68"/>
      <c r="HO45" s="68"/>
      <c r="HP45" s="68"/>
      <c r="HQ45" s="68"/>
      <c r="HR45" s="68"/>
      <c r="HS45" s="68"/>
      <c r="HT45" s="68"/>
      <c r="HU45" s="68"/>
      <c r="HV45" s="68"/>
      <c r="HW45" s="68"/>
      <c r="HX45" s="68"/>
      <c r="HY45" s="68"/>
      <c r="HZ45" s="68"/>
      <c r="IA45" s="68"/>
      <c r="IB45" s="68"/>
      <c r="IC45" s="68"/>
      <c r="ID45" s="68"/>
      <c r="IE45" s="68"/>
      <c r="IF45" s="68"/>
      <c r="IG45" s="68"/>
      <c r="IH45" s="68"/>
      <c r="II45" s="68"/>
      <c r="IJ45" s="68"/>
      <c r="IK45" s="68"/>
      <c r="IL45" s="68"/>
      <c r="IM45" s="68"/>
      <c r="IN45" s="68"/>
      <c r="IO45" s="68"/>
      <c r="IP45" s="68"/>
      <c r="IQ45" s="68"/>
      <c r="IR45" s="68"/>
      <c r="IS45" s="68"/>
      <c r="IT45" s="68"/>
      <c r="IU45" s="68"/>
      <c r="IV45" s="68"/>
      <c r="IW45" s="68"/>
      <c r="IX45" s="68"/>
      <c r="IY45" s="68"/>
      <c r="IZ45" s="68"/>
      <c r="JA45" s="68"/>
      <c r="JB45" s="68"/>
      <c r="JC45" s="68"/>
      <c r="JD45" s="68"/>
      <c r="JE45" s="68"/>
      <c r="JF45" s="68"/>
      <c r="JG45" s="68"/>
      <c r="JH45" s="68"/>
      <c r="JI45" s="68"/>
      <c r="JJ45" s="68"/>
      <c r="JK45" s="68"/>
      <c r="JL45" s="68"/>
      <c r="JM45" s="68"/>
      <c r="JN45" s="68"/>
      <c r="JO45" s="68"/>
      <c r="JP45" s="68"/>
      <c r="JQ45" s="68"/>
      <c r="JR45" s="68"/>
      <c r="JS45" s="68"/>
      <c r="JT45" s="68"/>
      <c r="JU45" s="68"/>
      <c r="JV45" s="68"/>
      <c r="JW45" s="68"/>
      <c r="JX45" s="68"/>
      <c r="JY45" s="68"/>
      <c r="JZ45" s="68"/>
      <c r="KA45" s="68"/>
      <c r="KB45" s="68"/>
      <c r="KC45" s="68"/>
      <c r="KD45" s="68"/>
      <c r="KE45" s="68"/>
      <c r="KF45" s="68"/>
      <c r="KG45" s="68"/>
      <c r="KH45" s="68"/>
      <c r="KI45" s="68"/>
      <c r="KJ45" s="68"/>
      <c r="KK45" s="68"/>
      <c r="KL45" s="68"/>
      <c r="KM45" s="68"/>
      <c r="KN45" s="68"/>
      <c r="KO45" s="68"/>
      <c r="KP45" s="68"/>
      <c r="KQ45" s="68"/>
      <c r="KR45" s="68"/>
      <c r="KS45" s="68"/>
      <c r="KT45" s="68"/>
      <c r="KU45" s="68"/>
      <c r="KV45" s="68"/>
      <c r="KW45" s="68"/>
      <c r="KX45" s="68"/>
      <c r="KY45" s="68"/>
      <c r="KZ45" s="68"/>
      <c r="LA45" s="68"/>
      <c r="LB45" s="68"/>
      <c r="LC45" s="68"/>
      <c r="LD45" s="68"/>
      <c r="LE45" s="68"/>
      <c r="LF45" s="68"/>
      <c r="LG45" s="68"/>
      <c r="LH45" s="68"/>
      <c r="LI45" s="68"/>
      <c r="LJ45" s="68"/>
      <c r="LK45" s="68"/>
      <c r="LL45" s="68"/>
      <c r="LM45" s="68"/>
      <c r="LN45" s="68"/>
      <c r="LO45" s="68"/>
      <c r="LP45" s="68"/>
      <c r="LQ45" s="68"/>
      <c r="LR45" s="68"/>
      <c r="LS45" s="68"/>
      <c r="LT45" s="68"/>
      <c r="LU45" s="68"/>
      <c r="LV45" s="68"/>
      <c r="LW45" s="68"/>
      <c r="LX45" s="68"/>
      <c r="LY45" s="68"/>
      <c r="LZ45" s="68"/>
      <c r="MA45" s="68"/>
      <c r="MB45" s="68"/>
      <c r="MC45" s="68"/>
      <c r="MD45" s="68"/>
      <c r="ME45" s="68"/>
      <c r="MF45" s="68"/>
      <c r="MG45" s="68"/>
      <c r="MH45" s="68"/>
      <c r="MI45" s="68"/>
      <c r="MJ45" s="68"/>
      <c r="MK45" s="68"/>
      <c r="ML45" s="68"/>
      <c r="MM45" s="68"/>
      <c r="MN45" s="68"/>
      <c r="MO45" s="68"/>
      <c r="MP45" s="68"/>
      <c r="MQ45" s="68"/>
      <c r="MR45" s="68"/>
      <c r="MS45" s="68"/>
      <c r="MT45" s="68"/>
      <c r="MU45" s="68"/>
      <c r="MV45" s="68"/>
      <c r="MW45" s="68"/>
      <c r="MX45" s="68"/>
      <c r="MY45" s="68"/>
      <c r="MZ45" s="68"/>
      <c r="NA45" s="68"/>
      <c r="NB45" s="68"/>
      <c r="NC45" s="68"/>
      <c r="ND45" s="68"/>
      <c r="NE45" s="68"/>
      <c r="NF45" s="68"/>
      <c r="NG45" s="68"/>
      <c r="NH45" s="68"/>
      <c r="NI45" s="68"/>
      <c r="NJ45" s="70">
        <f t="array" aca="1" ref="NJ45" ca="1">SUMPRODUCT((OFFSET($A45,0,31*($A$3-1)+1,1,31)&lt;&gt;"")*(IF(OFFSET($A45,0,31*($A$3-1)+1,1,31)=Database!$K$11,0.5,IF(OFFSET($A45,0,31*($A$3-1)+1,1,31)=Database!$K$12,0.5,1))*(OFFSET($A$4,0,31*($A$3-1)+1,1,31))))</f>
        <v>0</v>
      </c>
      <c r="NK45" s="72">
        <f t="array" aca="1" ref="NK45" ca="1">SUMPRODUCT((OFFSET($A45,0,1,1,372)&lt;&gt;"")*(IF(OFFSET($A45,0,1,1,372)=Database!$K$11,0.5,IF(OFFSET($A45,0,1,1,372)=Database!$K$12,0.5,1))*(OFFSET($A$3,0,1,1,372))))</f>
        <v>0</v>
      </c>
      <c r="NL45" s="63">
        <f t="shared" ca="1" si="10"/>
        <v>0</v>
      </c>
      <c r="NM45" s="63">
        <f t="shared" ca="1" si="10"/>
        <v>0</v>
      </c>
      <c r="NN45" s="63">
        <f t="shared" ca="1" si="10"/>
        <v>0</v>
      </c>
      <c r="NO45" s="63">
        <f t="shared" ca="1" si="10"/>
        <v>0</v>
      </c>
      <c r="NP45" s="63">
        <f t="shared" ca="1" si="10"/>
        <v>0</v>
      </c>
      <c r="NQ45" s="63">
        <f t="shared" ca="1" si="10"/>
        <v>0</v>
      </c>
      <c r="NR45" s="63">
        <f t="shared" ca="1" si="10"/>
        <v>0</v>
      </c>
      <c r="NS45" s="63">
        <f t="shared" ca="1" si="10"/>
        <v>0</v>
      </c>
      <c r="NT45" s="63">
        <f t="shared" ca="1" si="10"/>
        <v>0</v>
      </c>
      <c r="NU45" s="63">
        <f t="shared" ca="1" si="10"/>
        <v>0</v>
      </c>
    </row>
    <row r="46" spans="1:385" ht="18" hidden="1" customHeight="1" outlineLevel="1" x14ac:dyDescent="0.25">
      <c r="A46" s="26"/>
      <c r="B46" s="68"/>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8"/>
      <c r="AY46" s="68"/>
      <c r="AZ46" s="68"/>
      <c r="BA46" s="68"/>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8"/>
      <c r="CX46" s="68"/>
      <c r="CY46" s="68"/>
      <c r="CZ46" s="68"/>
      <c r="DA46" s="68"/>
      <c r="DB46" s="68"/>
      <c r="DC46" s="68"/>
      <c r="DD46" s="68"/>
      <c r="DE46" s="68"/>
      <c r="DF46" s="68"/>
      <c r="DG46" s="68"/>
      <c r="DH46" s="68"/>
      <c r="DI46" s="68"/>
      <c r="DJ46" s="68"/>
      <c r="DK46" s="68"/>
      <c r="DL46" s="68"/>
      <c r="DM46" s="68"/>
      <c r="DN46" s="68"/>
      <c r="DO46" s="68"/>
      <c r="DP46" s="68"/>
      <c r="DQ46" s="68"/>
      <c r="DR46" s="68"/>
      <c r="DS46" s="68"/>
      <c r="DT46" s="68"/>
      <c r="DU46" s="68"/>
      <c r="DV46" s="68"/>
      <c r="DW46" s="68"/>
      <c r="DX46" s="68"/>
      <c r="DY46" s="68"/>
      <c r="DZ46" s="68"/>
      <c r="EA46" s="68"/>
      <c r="EB46" s="68"/>
      <c r="EC46" s="68"/>
      <c r="ED46" s="68"/>
      <c r="EE46" s="68"/>
      <c r="EF46" s="68"/>
      <c r="EG46" s="68"/>
      <c r="EH46" s="68"/>
      <c r="EI46" s="68"/>
      <c r="EJ46" s="68"/>
      <c r="EK46" s="68"/>
      <c r="EL46" s="68"/>
      <c r="EM46" s="68"/>
      <c r="EN46" s="68"/>
      <c r="EO46" s="68"/>
      <c r="EP46" s="68"/>
      <c r="EQ46" s="68"/>
      <c r="ER46" s="68"/>
      <c r="ES46" s="68"/>
      <c r="ET46" s="68"/>
      <c r="EU46" s="68"/>
      <c r="EV46" s="68"/>
      <c r="EW46" s="68"/>
      <c r="EX46" s="68"/>
      <c r="EY46" s="68"/>
      <c r="EZ46" s="68"/>
      <c r="FA46" s="68"/>
      <c r="FB46" s="68"/>
      <c r="FC46" s="68"/>
      <c r="FD46" s="68"/>
      <c r="FE46" s="68"/>
      <c r="FF46" s="68"/>
      <c r="FG46" s="68"/>
      <c r="FH46" s="68"/>
      <c r="FI46" s="68"/>
      <c r="FJ46" s="68"/>
      <c r="FK46" s="68"/>
      <c r="FL46" s="68"/>
      <c r="FM46" s="68"/>
      <c r="FN46" s="68"/>
      <c r="FO46" s="68"/>
      <c r="FP46" s="68"/>
      <c r="FQ46" s="68"/>
      <c r="FR46" s="68"/>
      <c r="FS46" s="68"/>
      <c r="FT46" s="68"/>
      <c r="FU46" s="68"/>
      <c r="FV46" s="68"/>
      <c r="FW46" s="68"/>
      <c r="FX46" s="68"/>
      <c r="FY46" s="68"/>
      <c r="FZ46" s="68"/>
      <c r="GA46" s="68"/>
      <c r="GB46" s="68"/>
      <c r="GC46" s="68"/>
      <c r="GD46" s="68"/>
      <c r="GE46" s="68"/>
      <c r="GF46" s="68"/>
      <c r="GG46" s="68"/>
      <c r="GH46" s="68"/>
      <c r="GI46" s="68"/>
      <c r="GJ46" s="68"/>
      <c r="GK46" s="68"/>
      <c r="GL46" s="68"/>
      <c r="GM46" s="68"/>
      <c r="GN46" s="68"/>
      <c r="GO46" s="68"/>
      <c r="GP46" s="68"/>
      <c r="GQ46" s="68"/>
      <c r="GR46" s="68"/>
      <c r="GS46" s="68"/>
      <c r="GT46" s="68"/>
      <c r="GU46" s="68"/>
      <c r="GV46" s="68"/>
      <c r="GW46" s="68"/>
      <c r="GX46" s="68"/>
      <c r="GY46" s="68"/>
      <c r="GZ46" s="68"/>
      <c r="HA46" s="68"/>
      <c r="HB46" s="68"/>
      <c r="HC46" s="68"/>
      <c r="HD46" s="68"/>
      <c r="HE46" s="68"/>
      <c r="HF46" s="68"/>
      <c r="HG46" s="68"/>
      <c r="HH46" s="68"/>
      <c r="HI46" s="68"/>
      <c r="HJ46" s="68"/>
      <c r="HK46" s="68"/>
      <c r="HL46" s="68"/>
      <c r="HM46" s="68"/>
      <c r="HN46" s="68"/>
      <c r="HO46" s="68"/>
      <c r="HP46" s="68"/>
      <c r="HQ46" s="68"/>
      <c r="HR46" s="68"/>
      <c r="HS46" s="68"/>
      <c r="HT46" s="68"/>
      <c r="HU46" s="68"/>
      <c r="HV46" s="68"/>
      <c r="HW46" s="68"/>
      <c r="HX46" s="68"/>
      <c r="HY46" s="68"/>
      <c r="HZ46" s="68"/>
      <c r="IA46" s="68"/>
      <c r="IB46" s="68"/>
      <c r="IC46" s="68"/>
      <c r="ID46" s="68"/>
      <c r="IE46" s="68"/>
      <c r="IF46" s="68"/>
      <c r="IG46" s="68"/>
      <c r="IH46" s="68"/>
      <c r="II46" s="68"/>
      <c r="IJ46" s="68"/>
      <c r="IK46" s="68"/>
      <c r="IL46" s="68"/>
      <c r="IM46" s="68"/>
      <c r="IN46" s="68"/>
      <c r="IO46" s="68"/>
      <c r="IP46" s="68"/>
      <c r="IQ46" s="68"/>
      <c r="IR46" s="68"/>
      <c r="IS46" s="68"/>
      <c r="IT46" s="68"/>
      <c r="IU46" s="68"/>
      <c r="IV46" s="68"/>
      <c r="IW46" s="68"/>
      <c r="IX46" s="68"/>
      <c r="IY46" s="68"/>
      <c r="IZ46" s="68"/>
      <c r="JA46" s="68"/>
      <c r="JB46" s="68"/>
      <c r="JC46" s="68"/>
      <c r="JD46" s="68"/>
      <c r="JE46" s="68"/>
      <c r="JF46" s="68"/>
      <c r="JG46" s="68"/>
      <c r="JH46" s="68"/>
      <c r="JI46" s="68"/>
      <c r="JJ46" s="68"/>
      <c r="JK46" s="68"/>
      <c r="JL46" s="68"/>
      <c r="JM46" s="68"/>
      <c r="JN46" s="68"/>
      <c r="JO46" s="68"/>
      <c r="JP46" s="68"/>
      <c r="JQ46" s="68"/>
      <c r="JR46" s="68"/>
      <c r="JS46" s="68"/>
      <c r="JT46" s="68"/>
      <c r="JU46" s="68"/>
      <c r="JV46" s="68"/>
      <c r="JW46" s="68"/>
      <c r="JX46" s="68"/>
      <c r="JY46" s="68"/>
      <c r="JZ46" s="68"/>
      <c r="KA46" s="68"/>
      <c r="KB46" s="68"/>
      <c r="KC46" s="68"/>
      <c r="KD46" s="68"/>
      <c r="KE46" s="68"/>
      <c r="KF46" s="68"/>
      <c r="KG46" s="68"/>
      <c r="KH46" s="68"/>
      <c r="KI46" s="68"/>
      <c r="KJ46" s="68"/>
      <c r="KK46" s="68"/>
      <c r="KL46" s="68"/>
      <c r="KM46" s="68"/>
      <c r="KN46" s="68"/>
      <c r="KO46" s="68"/>
      <c r="KP46" s="68"/>
      <c r="KQ46" s="68"/>
      <c r="KR46" s="68"/>
      <c r="KS46" s="68"/>
      <c r="KT46" s="68"/>
      <c r="KU46" s="68"/>
      <c r="KV46" s="68"/>
      <c r="KW46" s="68"/>
      <c r="KX46" s="68"/>
      <c r="KY46" s="68"/>
      <c r="KZ46" s="68"/>
      <c r="LA46" s="68"/>
      <c r="LB46" s="68"/>
      <c r="LC46" s="68"/>
      <c r="LD46" s="68"/>
      <c r="LE46" s="68"/>
      <c r="LF46" s="68"/>
      <c r="LG46" s="68"/>
      <c r="LH46" s="68"/>
      <c r="LI46" s="68"/>
      <c r="LJ46" s="68"/>
      <c r="LK46" s="68"/>
      <c r="LL46" s="68"/>
      <c r="LM46" s="68"/>
      <c r="LN46" s="68"/>
      <c r="LO46" s="68"/>
      <c r="LP46" s="68"/>
      <c r="LQ46" s="68"/>
      <c r="LR46" s="68"/>
      <c r="LS46" s="68"/>
      <c r="LT46" s="68"/>
      <c r="LU46" s="68"/>
      <c r="LV46" s="68"/>
      <c r="LW46" s="68"/>
      <c r="LX46" s="68"/>
      <c r="LY46" s="68"/>
      <c r="LZ46" s="68"/>
      <c r="MA46" s="68"/>
      <c r="MB46" s="68"/>
      <c r="MC46" s="68"/>
      <c r="MD46" s="68"/>
      <c r="ME46" s="68"/>
      <c r="MF46" s="68"/>
      <c r="MG46" s="68"/>
      <c r="MH46" s="68"/>
      <c r="MI46" s="68"/>
      <c r="MJ46" s="68"/>
      <c r="MK46" s="68"/>
      <c r="ML46" s="68"/>
      <c r="MM46" s="68"/>
      <c r="MN46" s="68"/>
      <c r="MO46" s="68"/>
      <c r="MP46" s="68"/>
      <c r="MQ46" s="68"/>
      <c r="MR46" s="68"/>
      <c r="MS46" s="68"/>
      <c r="MT46" s="68"/>
      <c r="MU46" s="68"/>
      <c r="MV46" s="68"/>
      <c r="MW46" s="68"/>
      <c r="MX46" s="68"/>
      <c r="MY46" s="68"/>
      <c r="MZ46" s="68"/>
      <c r="NA46" s="68"/>
      <c r="NB46" s="68"/>
      <c r="NC46" s="68"/>
      <c r="ND46" s="68"/>
      <c r="NE46" s="68"/>
      <c r="NF46" s="68"/>
      <c r="NG46" s="68"/>
      <c r="NH46" s="68"/>
      <c r="NI46" s="68"/>
      <c r="NJ46" s="70">
        <f t="array" aca="1" ref="NJ46" ca="1">SUMPRODUCT((OFFSET($A46,0,31*($A$3-1)+1,1,31)&lt;&gt;"")*(IF(OFFSET($A46,0,31*($A$3-1)+1,1,31)=Database!$K$11,0.5,IF(OFFSET($A46,0,31*($A$3-1)+1,1,31)=Database!$K$12,0.5,1))*(OFFSET($A$4,0,31*($A$3-1)+1,1,31))))</f>
        <v>0</v>
      </c>
      <c r="NK46" s="72">
        <f t="array" aca="1" ref="NK46" ca="1">SUMPRODUCT((OFFSET($A46,0,1,1,372)&lt;&gt;"")*(IF(OFFSET($A46,0,1,1,372)=Database!$K$11,0.5,IF(OFFSET($A46,0,1,1,372)=Database!$K$12,0.5,1))*(OFFSET($A$3,0,1,1,372))))</f>
        <v>0</v>
      </c>
      <c r="NL46" s="63">
        <f t="shared" ca="1" si="10"/>
        <v>0</v>
      </c>
      <c r="NM46" s="63">
        <f t="shared" ca="1" si="10"/>
        <v>0</v>
      </c>
      <c r="NN46" s="63">
        <f t="shared" ca="1" si="10"/>
        <v>0</v>
      </c>
      <c r="NO46" s="63">
        <f t="shared" ca="1" si="10"/>
        <v>0</v>
      </c>
      <c r="NP46" s="63">
        <f t="shared" ca="1" si="10"/>
        <v>0</v>
      </c>
      <c r="NQ46" s="63">
        <f t="shared" ca="1" si="10"/>
        <v>0</v>
      </c>
      <c r="NR46" s="63">
        <f t="shared" ca="1" si="10"/>
        <v>0</v>
      </c>
      <c r="NS46" s="63">
        <f t="shared" ca="1" si="10"/>
        <v>0</v>
      </c>
      <c r="NT46" s="63">
        <f t="shared" ca="1" si="10"/>
        <v>0</v>
      </c>
      <c r="NU46" s="63">
        <f t="shared" ca="1" si="10"/>
        <v>0</v>
      </c>
    </row>
    <row r="47" spans="1:385" ht="18" hidden="1" customHeight="1" outlineLevel="1" x14ac:dyDescent="0.25">
      <c r="A47" s="26"/>
      <c r="B47" s="68"/>
      <c r="C47" s="68"/>
      <c r="D47" s="68"/>
      <c r="E47" s="68"/>
      <c r="F47" s="68"/>
      <c r="G47" s="68"/>
      <c r="H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c r="AK47" s="68"/>
      <c r="AL47" s="68"/>
      <c r="AM47" s="68"/>
      <c r="AN47" s="68"/>
      <c r="AO47" s="68"/>
      <c r="AP47" s="68"/>
      <c r="AQ47" s="68"/>
      <c r="AR47" s="68"/>
      <c r="AS47" s="68"/>
      <c r="AT47" s="68"/>
      <c r="AU47" s="68"/>
      <c r="AV47" s="68"/>
      <c r="AW47" s="68"/>
      <c r="AX47" s="68"/>
      <c r="AY47" s="68"/>
      <c r="AZ47" s="68"/>
      <c r="BA47" s="68"/>
      <c r="BB47" s="68"/>
      <c r="BC47" s="68"/>
      <c r="BD47" s="68"/>
      <c r="BE47" s="68"/>
      <c r="BF47" s="68"/>
      <c r="BG47" s="68"/>
      <c r="BH47" s="68"/>
      <c r="BI47" s="68"/>
      <c r="BJ47" s="68"/>
      <c r="BK47" s="68"/>
      <c r="BL47" s="68"/>
      <c r="BM47" s="68"/>
      <c r="BN47" s="68"/>
      <c r="BO47" s="68"/>
      <c r="BP47" s="68"/>
      <c r="BQ47" s="68"/>
      <c r="BR47" s="68"/>
      <c r="BS47" s="68"/>
      <c r="BT47" s="68"/>
      <c r="BU47" s="68"/>
      <c r="BV47" s="68"/>
      <c r="BW47" s="68"/>
      <c r="BX47" s="68"/>
      <c r="BY47" s="68"/>
      <c r="BZ47" s="68"/>
      <c r="CA47" s="68"/>
      <c r="CB47" s="68"/>
      <c r="CC47" s="68"/>
      <c r="CD47" s="68"/>
      <c r="CE47" s="68"/>
      <c r="CF47" s="68"/>
      <c r="CG47" s="68"/>
      <c r="CH47" s="68"/>
      <c r="CI47" s="68"/>
      <c r="CJ47" s="68"/>
      <c r="CK47" s="68"/>
      <c r="CL47" s="68"/>
      <c r="CM47" s="68"/>
      <c r="CN47" s="68"/>
      <c r="CO47" s="68"/>
      <c r="CP47" s="68"/>
      <c r="CQ47" s="68"/>
      <c r="CR47" s="68"/>
      <c r="CS47" s="68"/>
      <c r="CT47" s="68"/>
      <c r="CU47" s="68"/>
      <c r="CV47" s="68"/>
      <c r="CW47" s="68"/>
      <c r="CX47" s="68"/>
      <c r="CY47" s="68"/>
      <c r="CZ47" s="68"/>
      <c r="DA47" s="68"/>
      <c r="DB47" s="68"/>
      <c r="DC47" s="68"/>
      <c r="DD47" s="68"/>
      <c r="DE47" s="68"/>
      <c r="DF47" s="68"/>
      <c r="DG47" s="68"/>
      <c r="DH47" s="68"/>
      <c r="DI47" s="68"/>
      <c r="DJ47" s="68"/>
      <c r="DK47" s="68"/>
      <c r="DL47" s="68"/>
      <c r="DM47" s="68"/>
      <c r="DN47" s="68"/>
      <c r="DO47" s="68"/>
      <c r="DP47" s="68"/>
      <c r="DQ47" s="68"/>
      <c r="DR47" s="68"/>
      <c r="DS47" s="68"/>
      <c r="DT47" s="68"/>
      <c r="DU47" s="68"/>
      <c r="DV47" s="68"/>
      <c r="DW47" s="68"/>
      <c r="DX47" s="68"/>
      <c r="DY47" s="68"/>
      <c r="DZ47" s="68"/>
      <c r="EA47" s="68"/>
      <c r="EB47" s="68"/>
      <c r="EC47" s="68"/>
      <c r="ED47" s="68"/>
      <c r="EE47" s="68"/>
      <c r="EF47" s="68"/>
      <c r="EG47" s="68"/>
      <c r="EH47" s="68"/>
      <c r="EI47" s="68"/>
      <c r="EJ47" s="68"/>
      <c r="EK47" s="68"/>
      <c r="EL47" s="68"/>
      <c r="EM47" s="68"/>
      <c r="EN47" s="68"/>
      <c r="EO47" s="68"/>
      <c r="EP47" s="68"/>
      <c r="EQ47" s="68"/>
      <c r="ER47" s="68"/>
      <c r="ES47" s="68"/>
      <c r="ET47" s="68"/>
      <c r="EU47" s="68"/>
      <c r="EV47" s="68"/>
      <c r="EW47" s="68"/>
      <c r="EX47" s="68"/>
      <c r="EY47" s="68"/>
      <c r="EZ47" s="68"/>
      <c r="FA47" s="68"/>
      <c r="FB47" s="68"/>
      <c r="FC47" s="68"/>
      <c r="FD47" s="68"/>
      <c r="FE47" s="68"/>
      <c r="FF47" s="68"/>
      <c r="FG47" s="68"/>
      <c r="FH47" s="68"/>
      <c r="FI47" s="68"/>
      <c r="FJ47" s="68"/>
      <c r="FK47" s="68"/>
      <c r="FL47" s="68"/>
      <c r="FM47" s="68"/>
      <c r="FN47" s="68"/>
      <c r="FO47" s="68"/>
      <c r="FP47" s="68"/>
      <c r="FQ47" s="68"/>
      <c r="FR47" s="68"/>
      <c r="FS47" s="68"/>
      <c r="FT47" s="68"/>
      <c r="FU47" s="68"/>
      <c r="FV47" s="68"/>
      <c r="FW47" s="68"/>
      <c r="FX47" s="68"/>
      <c r="FY47" s="68"/>
      <c r="FZ47" s="68"/>
      <c r="GA47" s="68"/>
      <c r="GB47" s="68"/>
      <c r="GC47" s="68"/>
      <c r="GD47" s="68"/>
      <c r="GE47" s="68"/>
      <c r="GF47" s="68"/>
      <c r="GG47" s="68"/>
      <c r="GH47" s="68"/>
      <c r="GI47" s="68"/>
      <c r="GJ47" s="68"/>
      <c r="GK47" s="68"/>
      <c r="GL47" s="68"/>
      <c r="GM47" s="68"/>
      <c r="GN47" s="68"/>
      <c r="GO47" s="68"/>
      <c r="GP47" s="68"/>
      <c r="GQ47" s="68"/>
      <c r="GR47" s="68"/>
      <c r="GS47" s="68"/>
      <c r="GT47" s="68"/>
      <c r="GU47" s="68"/>
      <c r="GV47" s="68"/>
      <c r="GW47" s="68"/>
      <c r="GX47" s="68"/>
      <c r="GY47" s="68"/>
      <c r="GZ47" s="68"/>
      <c r="HA47" s="68"/>
      <c r="HB47" s="68"/>
      <c r="HC47" s="68"/>
      <c r="HD47" s="68"/>
      <c r="HE47" s="68"/>
      <c r="HF47" s="68"/>
      <c r="HG47" s="68"/>
      <c r="HH47" s="68"/>
      <c r="HI47" s="68"/>
      <c r="HJ47" s="68"/>
      <c r="HK47" s="68"/>
      <c r="HL47" s="68"/>
      <c r="HM47" s="68"/>
      <c r="HN47" s="68"/>
      <c r="HO47" s="68"/>
      <c r="HP47" s="68"/>
      <c r="HQ47" s="68"/>
      <c r="HR47" s="68"/>
      <c r="HS47" s="68"/>
      <c r="HT47" s="68"/>
      <c r="HU47" s="68"/>
      <c r="HV47" s="68"/>
      <c r="HW47" s="68"/>
      <c r="HX47" s="68"/>
      <c r="HY47" s="68"/>
      <c r="HZ47" s="68"/>
      <c r="IA47" s="68"/>
      <c r="IB47" s="68"/>
      <c r="IC47" s="68"/>
      <c r="ID47" s="68"/>
      <c r="IE47" s="68"/>
      <c r="IF47" s="68"/>
      <c r="IG47" s="68"/>
      <c r="IH47" s="68"/>
      <c r="II47" s="68"/>
      <c r="IJ47" s="68"/>
      <c r="IK47" s="68"/>
      <c r="IL47" s="68"/>
      <c r="IM47" s="68"/>
      <c r="IN47" s="68"/>
      <c r="IO47" s="68"/>
      <c r="IP47" s="68"/>
      <c r="IQ47" s="68"/>
      <c r="IR47" s="68"/>
      <c r="IS47" s="68"/>
      <c r="IT47" s="68"/>
      <c r="IU47" s="68"/>
      <c r="IV47" s="68"/>
      <c r="IW47" s="68"/>
      <c r="IX47" s="68"/>
      <c r="IY47" s="68"/>
      <c r="IZ47" s="68"/>
      <c r="JA47" s="68"/>
      <c r="JB47" s="68"/>
      <c r="JC47" s="68"/>
      <c r="JD47" s="68"/>
      <c r="JE47" s="68"/>
      <c r="JF47" s="68"/>
      <c r="JG47" s="68"/>
      <c r="JH47" s="68"/>
      <c r="JI47" s="68"/>
      <c r="JJ47" s="68"/>
      <c r="JK47" s="68"/>
      <c r="JL47" s="68"/>
      <c r="JM47" s="68"/>
      <c r="JN47" s="68"/>
      <c r="JO47" s="68"/>
      <c r="JP47" s="68"/>
      <c r="JQ47" s="68"/>
      <c r="JR47" s="68"/>
      <c r="JS47" s="68"/>
      <c r="JT47" s="68"/>
      <c r="JU47" s="68"/>
      <c r="JV47" s="68"/>
      <c r="JW47" s="68"/>
      <c r="JX47" s="68"/>
      <c r="JY47" s="68"/>
      <c r="JZ47" s="68"/>
      <c r="KA47" s="68"/>
      <c r="KB47" s="68"/>
      <c r="KC47" s="68"/>
      <c r="KD47" s="68"/>
      <c r="KE47" s="68"/>
      <c r="KF47" s="68"/>
      <c r="KG47" s="68"/>
      <c r="KH47" s="68"/>
      <c r="KI47" s="68"/>
      <c r="KJ47" s="68"/>
      <c r="KK47" s="68"/>
      <c r="KL47" s="68"/>
      <c r="KM47" s="68"/>
      <c r="KN47" s="68"/>
      <c r="KO47" s="68"/>
      <c r="KP47" s="68"/>
      <c r="KQ47" s="68"/>
      <c r="KR47" s="68"/>
      <c r="KS47" s="68"/>
      <c r="KT47" s="68"/>
      <c r="KU47" s="68"/>
      <c r="KV47" s="68"/>
      <c r="KW47" s="68"/>
      <c r="KX47" s="68"/>
      <c r="KY47" s="68"/>
      <c r="KZ47" s="68"/>
      <c r="LA47" s="68"/>
      <c r="LB47" s="68"/>
      <c r="LC47" s="68"/>
      <c r="LD47" s="68"/>
      <c r="LE47" s="68"/>
      <c r="LF47" s="68"/>
      <c r="LG47" s="68"/>
      <c r="LH47" s="68"/>
      <c r="LI47" s="68"/>
      <c r="LJ47" s="68"/>
      <c r="LK47" s="68"/>
      <c r="LL47" s="68"/>
      <c r="LM47" s="68"/>
      <c r="LN47" s="68"/>
      <c r="LO47" s="68"/>
      <c r="LP47" s="68"/>
      <c r="LQ47" s="68"/>
      <c r="LR47" s="68"/>
      <c r="LS47" s="68"/>
      <c r="LT47" s="68"/>
      <c r="LU47" s="68"/>
      <c r="LV47" s="68"/>
      <c r="LW47" s="68"/>
      <c r="LX47" s="68"/>
      <c r="LY47" s="68"/>
      <c r="LZ47" s="68"/>
      <c r="MA47" s="68"/>
      <c r="MB47" s="68"/>
      <c r="MC47" s="68"/>
      <c r="MD47" s="68"/>
      <c r="ME47" s="68"/>
      <c r="MF47" s="68"/>
      <c r="MG47" s="68"/>
      <c r="MH47" s="68"/>
      <c r="MI47" s="68"/>
      <c r="MJ47" s="68"/>
      <c r="MK47" s="68"/>
      <c r="ML47" s="68"/>
      <c r="MM47" s="68"/>
      <c r="MN47" s="68"/>
      <c r="MO47" s="68"/>
      <c r="MP47" s="68"/>
      <c r="MQ47" s="68"/>
      <c r="MR47" s="68"/>
      <c r="MS47" s="68"/>
      <c r="MT47" s="68"/>
      <c r="MU47" s="68"/>
      <c r="MV47" s="68"/>
      <c r="MW47" s="68"/>
      <c r="MX47" s="68"/>
      <c r="MY47" s="68"/>
      <c r="MZ47" s="68"/>
      <c r="NA47" s="68"/>
      <c r="NB47" s="68"/>
      <c r="NC47" s="68"/>
      <c r="ND47" s="68"/>
      <c r="NE47" s="68"/>
      <c r="NF47" s="68"/>
      <c r="NG47" s="68"/>
      <c r="NH47" s="68"/>
      <c r="NI47" s="68"/>
      <c r="NJ47" s="70">
        <f t="array" aca="1" ref="NJ47" ca="1">SUMPRODUCT((OFFSET($A47,0,31*($A$3-1)+1,1,31)&lt;&gt;"")*(IF(OFFSET($A47,0,31*($A$3-1)+1,1,31)=Database!$K$11,0.5,IF(OFFSET($A47,0,31*($A$3-1)+1,1,31)=Database!$K$12,0.5,1))*(OFFSET($A$4,0,31*($A$3-1)+1,1,31))))</f>
        <v>0</v>
      </c>
      <c r="NK47" s="72">
        <f t="array" aca="1" ref="NK47" ca="1">SUMPRODUCT((OFFSET($A47,0,1,1,372)&lt;&gt;"")*(IF(OFFSET($A47,0,1,1,372)=Database!$K$11,0.5,IF(OFFSET($A47,0,1,1,372)=Database!$K$12,0.5,1))*(OFFSET($A$3,0,1,1,372))))</f>
        <v>0</v>
      </c>
      <c r="NL47" s="63">
        <f t="shared" ca="1" si="10"/>
        <v>0</v>
      </c>
      <c r="NM47" s="63">
        <f t="shared" ca="1" si="10"/>
        <v>0</v>
      </c>
      <c r="NN47" s="63">
        <f t="shared" ca="1" si="10"/>
        <v>0</v>
      </c>
      <c r="NO47" s="63">
        <f t="shared" ca="1" si="10"/>
        <v>0</v>
      </c>
      <c r="NP47" s="63">
        <f t="shared" ca="1" si="10"/>
        <v>0</v>
      </c>
      <c r="NQ47" s="63">
        <f t="shared" ca="1" si="10"/>
        <v>0</v>
      </c>
      <c r="NR47" s="63">
        <f t="shared" ca="1" si="10"/>
        <v>0</v>
      </c>
      <c r="NS47" s="63">
        <f t="shared" ca="1" si="10"/>
        <v>0</v>
      </c>
      <c r="NT47" s="63">
        <f t="shared" ca="1" si="10"/>
        <v>0</v>
      </c>
      <c r="NU47" s="63">
        <f t="shared" ca="1" si="10"/>
        <v>0</v>
      </c>
    </row>
    <row r="48" spans="1:385" ht="18" customHeight="1" collapsed="1" x14ac:dyDescent="0.25">
      <c r="A48" s="26"/>
      <c r="B48" s="68"/>
      <c r="C48" s="68"/>
      <c r="D48" s="68"/>
      <c r="E48" s="68"/>
      <c r="F48" s="68"/>
      <c r="G48" s="68"/>
      <c r="H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c r="AK48" s="68"/>
      <c r="AL48" s="68"/>
      <c r="AM48" s="68"/>
      <c r="AN48" s="68"/>
      <c r="AO48" s="68"/>
      <c r="AP48" s="68"/>
      <c r="AQ48" s="68"/>
      <c r="AR48" s="68"/>
      <c r="AS48" s="68"/>
      <c r="AT48" s="68"/>
      <c r="AU48" s="68"/>
      <c r="AV48" s="68"/>
      <c r="AW48" s="68"/>
      <c r="AX48" s="68"/>
      <c r="AY48" s="68"/>
      <c r="AZ48" s="68"/>
      <c r="BA48" s="68"/>
      <c r="BB48" s="68"/>
      <c r="BC48" s="68"/>
      <c r="BD48" s="68"/>
      <c r="BE48" s="68"/>
      <c r="BF48" s="68"/>
      <c r="BG48" s="68"/>
      <c r="BH48" s="68"/>
      <c r="BI48" s="68"/>
      <c r="BJ48" s="68"/>
      <c r="BK48" s="68"/>
      <c r="BL48" s="68"/>
      <c r="BM48" s="68"/>
      <c r="BN48" s="68"/>
      <c r="BO48" s="68"/>
      <c r="BP48" s="68"/>
      <c r="BQ48" s="68"/>
      <c r="BR48" s="68"/>
      <c r="BS48" s="68"/>
      <c r="BT48" s="68"/>
      <c r="BU48" s="68"/>
      <c r="BV48" s="68"/>
      <c r="BW48" s="68"/>
      <c r="BX48" s="68"/>
      <c r="BY48" s="68"/>
      <c r="BZ48" s="68"/>
      <c r="CA48" s="68"/>
      <c r="CB48" s="68"/>
      <c r="CC48" s="68"/>
      <c r="CD48" s="68"/>
      <c r="CE48" s="68"/>
      <c r="CF48" s="68"/>
      <c r="CG48" s="68"/>
      <c r="CH48" s="68"/>
      <c r="CI48" s="68"/>
      <c r="CJ48" s="68"/>
      <c r="CK48" s="68"/>
      <c r="CL48" s="68"/>
      <c r="CM48" s="68"/>
      <c r="CN48" s="68"/>
      <c r="CO48" s="68"/>
      <c r="CP48" s="68"/>
      <c r="CQ48" s="68"/>
      <c r="CR48" s="68"/>
      <c r="CS48" s="68"/>
      <c r="CT48" s="68"/>
      <c r="CU48" s="68"/>
      <c r="CV48" s="68"/>
      <c r="CW48" s="68"/>
      <c r="CX48" s="68"/>
      <c r="CY48" s="68"/>
      <c r="CZ48" s="68"/>
      <c r="DA48" s="68"/>
      <c r="DB48" s="68"/>
      <c r="DC48" s="68"/>
      <c r="DD48" s="68"/>
      <c r="DE48" s="68"/>
      <c r="DF48" s="68"/>
      <c r="DG48" s="68"/>
      <c r="DH48" s="68"/>
      <c r="DI48" s="68"/>
      <c r="DJ48" s="68"/>
      <c r="DK48" s="68"/>
      <c r="DL48" s="68"/>
      <c r="DM48" s="68"/>
      <c r="DN48" s="68"/>
      <c r="DO48" s="68"/>
      <c r="DP48" s="68"/>
      <c r="DQ48" s="68"/>
      <c r="DR48" s="68"/>
      <c r="DS48" s="68"/>
      <c r="DT48" s="68"/>
      <c r="DU48" s="68"/>
      <c r="DV48" s="68"/>
      <c r="DW48" s="68"/>
      <c r="DX48" s="68"/>
      <c r="DY48" s="68"/>
      <c r="DZ48" s="68"/>
      <c r="EA48" s="68"/>
      <c r="EB48" s="68"/>
      <c r="EC48" s="68"/>
      <c r="ED48" s="68"/>
      <c r="EE48" s="68"/>
      <c r="EF48" s="68"/>
      <c r="EG48" s="68"/>
      <c r="EH48" s="68"/>
      <c r="EI48" s="68"/>
      <c r="EJ48" s="68"/>
      <c r="EK48" s="68"/>
      <c r="EL48" s="68"/>
      <c r="EM48" s="68"/>
      <c r="EN48" s="68"/>
      <c r="EO48" s="68"/>
      <c r="EP48" s="68"/>
      <c r="EQ48" s="68"/>
      <c r="ER48" s="68"/>
      <c r="ES48" s="68"/>
      <c r="ET48" s="68"/>
      <c r="EU48" s="68"/>
      <c r="EV48" s="68"/>
      <c r="EW48" s="68"/>
      <c r="EX48" s="68"/>
      <c r="EY48" s="68"/>
      <c r="EZ48" s="68"/>
      <c r="FA48" s="68"/>
      <c r="FB48" s="68"/>
      <c r="FC48" s="68"/>
      <c r="FD48" s="68"/>
      <c r="FE48" s="68"/>
      <c r="FF48" s="68"/>
      <c r="FG48" s="68"/>
      <c r="FH48" s="68"/>
      <c r="FI48" s="68"/>
      <c r="FJ48" s="68"/>
      <c r="FK48" s="68"/>
      <c r="FL48" s="68"/>
      <c r="FM48" s="68"/>
      <c r="FN48" s="68"/>
      <c r="FO48" s="68"/>
      <c r="FP48" s="68"/>
      <c r="FQ48" s="68"/>
      <c r="FR48" s="68"/>
      <c r="FS48" s="68"/>
      <c r="FT48" s="68"/>
      <c r="FU48" s="68"/>
      <c r="FV48" s="68"/>
      <c r="FW48" s="68"/>
      <c r="FX48" s="68"/>
      <c r="FY48" s="68"/>
      <c r="FZ48" s="68"/>
      <c r="GA48" s="68"/>
      <c r="GB48" s="68"/>
      <c r="GC48" s="68"/>
      <c r="GD48" s="68"/>
      <c r="GE48" s="68"/>
      <c r="GF48" s="68"/>
      <c r="GG48" s="68"/>
      <c r="GH48" s="68"/>
      <c r="GI48" s="68"/>
      <c r="GJ48" s="68"/>
      <c r="GK48" s="68"/>
      <c r="GL48" s="68"/>
      <c r="GM48" s="68"/>
      <c r="GN48" s="68"/>
      <c r="GO48" s="68"/>
      <c r="GP48" s="68"/>
      <c r="GQ48" s="68"/>
      <c r="GR48" s="68"/>
      <c r="GS48" s="68"/>
      <c r="GT48" s="68"/>
      <c r="GU48" s="68"/>
      <c r="GV48" s="68"/>
      <c r="GW48" s="68"/>
      <c r="GX48" s="68"/>
      <c r="GY48" s="68"/>
      <c r="GZ48" s="68"/>
      <c r="HA48" s="68"/>
      <c r="HB48" s="68"/>
      <c r="HC48" s="68"/>
      <c r="HD48" s="68"/>
      <c r="HE48" s="68"/>
      <c r="HF48" s="68"/>
      <c r="HG48" s="68"/>
      <c r="HH48" s="68"/>
      <c r="HI48" s="68"/>
      <c r="HJ48" s="68"/>
      <c r="HK48" s="68"/>
      <c r="HL48" s="68"/>
      <c r="HM48" s="68"/>
      <c r="HN48" s="68"/>
      <c r="HO48" s="68"/>
      <c r="HP48" s="68"/>
      <c r="HQ48" s="68"/>
      <c r="HR48" s="68"/>
      <c r="HS48" s="68"/>
      <c r="HT48" s="68"/>
      <c r="HU48" s="68"/>
      <c r="HV48" s="68"/>
      <c r="HW48" s="68"/>
      <c r="HX48" s="68"/>
      <c r="HY48" s="68"/>
      <c r="HZ48" s="68"/>
      <c r="IA48" s="68"/>
      <c r="IB48" s="68"/>
      <c r="IC48" s="68"/>
      <c r="ID48" s="68"/>
      <c r="IE48" s="68"/>
      <c r="IF48" s="68"/>
      <c r="IG48" s="68"/>
      <c r="IH48" s="68"/>
      <c r="II48" s="68"/>
      <c r="IJ48" s="68"/>
      <c r="IK48" s="68"/>
      <c r="IL48" s="68"/>
      <c r="IM48" s="68"/>
      <c r="IN48" s="68"/>
      <c r="IO48" s="68"/>
      <c r="IP48" s="68"/>
      <c r="IQ48" s="68"/>
      <c r="IR48" s="68"/>
      <c r="IS48" s="68"/>
      <c r="IT48" s="68"/>
      <c r="IU48" s="68"/>
      <c r="IV48" s="68"/>
      <c r="IW48" s="68"/>
      <c r="IX48" s="68"/>
      <c r="IY48" s="68"/>
      <c r="IZ48" s="68"/>
      <c r="JA48" s="68"/>
      <c r="JB48" s="68"/>
      <c r="JC48" s="68"/>
      <c r="JD48" s="68"/>
      <c r="JE48" s="68"/>
      <c r="JF48" s="68"/>
      <c r="JG48" s="68"/>
      <c r="JH48" s="68"/>
      <c r="JI48" s="68"/>
      <c r="JJ48" s="68"/>
      <c r="JK48" s="68"/>
      <c r="JL48" s="68"/>
      <c r="JM48" s="68"/>
      <c r="JN48" s="68"/>
      <c r="JO48" s="68"/>
      <c r="JP48" s="68"/>
      <c r="JQ48" s="68"/>
      <c r="JR48" s="68"/>
      <c r="JS48" s="68"/>
      <c r="JT48" s="68"/>
      <c r="JU48" s="68"/>
      <c r="JV48" s="68"/>
      <c r="JW48" s="68"/>
      <c r="JX48" s="68"/>
      <c r="JY48" s="68"/>
      <c r="JZ48" s="68"/>
      <c r="KA48" s="68"/>
      <c r="KB48" s="68"/>
      <c r="KC48" s="68"/>
      <c r="KD48" s="68"/>
      <c r="KE48" s="68"/>
      <c r="KF48" s="68"/>
      <c r="KG48" s="68"/>
      <c r="KH48" s="68"/>
      <c r="KI48" s="68"/>
      <c r="KJ48" s="68"/>
      <c r="KK48" s="68"/>
      <c r="KL48" s="68"/>
      <c r="KM48" s="68"/>
      <c r="KN48" s="68"/>
      <c r="KO48" s="68"/>
      <c r="KP48" s="68"/>
      <c r="KQ48" s="68"/>
      <c r="KR48" s="68"/>
      <c r="KS48" s="68"/>
      <c r="KT48" s="68"/>
      <c r="KU48" s="68"/>
      <c r="KV48" s="68"/>
      <c r="KW48" s="68"/>
      <c r="KX48" s="68"/>
      <c r="KY48" s="68"/>
      <c r="KZ48" s="68"/>
      <c r="LA48" s="68"/>
      <c r="LB48" s="68"/>
      <c r="LC48" s="68"/>
      <c r="LD48" s="68"/>
      <c r="LE48" s="68"/>
      <c r="LF48" s="68"/>
      <c r="LG48" s="68"/>
      <c r="LH48" s="68"/>
      <c r="LI48" s="68"/>
      <c r="LJ48" s="68"/>
      <c r="LK48" s="68"/>
      <c r="LL48" s="68"/>
      <c r="LM48" s="68"/>
      <c r="LN48" s="68"/>
      <c r="LO48" s="68"/>
      <c r="LP48" s="68"/>
      <c r="LQ48" s="68"/>
      <c r="LR48" s="68"/>
      <c r="LS48" s="68"/>
      <c r="LT48" s="68"/>
      <c r="LU48" s="68"/>
      <c r="LV48" s="68"/>
      <c r="LW48" s="68"/>
      <c r="LX48" s="68"/>
      <c r="LY48" s="68"/>
      <c r="LZ48" s="68"/>
      <c r="MA48" s="68"/>
      <c r="MB48" s="68"/>
      <c r="MC48" s="68"/>
      <c r="MD48" s="68"/>
      <c r="ME48" s="68"/>
      <c r="MF48" s="68"/>
      <c r="MG48" s="68"/>
      <c r="MH48" s="68"/>
      <c r="MI48" s="68"/>
      <c r="MJ48" s="68"/>
      <c r="MK48" s="68"/>
      <c r="ML48" s="68"/>
      <c r="MM48" s="68"/>
      <c r="MN48" s="68"/>
      <c r="MO48" s="68"/>
      <c r="MP48" s="68"/>
      <c r="MQ48" s="68"/>
      <c r="MR48" s="68"/>
      <c r="MS48" s="68"/>
      <c r="MT48" s="68"/>
      <c r="MU48" s="68"/>
      <c r="MV48" s="68"/>
      <c r="MW48" s="68"/>
      <c r="MX48" s="68"/>
      <c r="MY48" s="68"/>
      <c r="MZ48" s="68"/>
      <c r="NA48" s="68"/>
      <c r="NB48" s="68"/>
      <c r="NC48" s="68"/>
      <c r="ND48" s="68"/>
      <c r="NE48" s="68"/>
      <c r="NF48" s="68"/>
      <c r="NG48" s="68"/>
      <c r="NH48" s="68"/>
      <c r="NI48" s="68"/>
      <c r="NJ48" s="70">
        <f t="array" aca="1" ref="NJ48" ca="1">SUMPRODUCT((OFFSET($A48,0,31*($A$3-1)+1,1,31)&lt;&gt;"")*(IF(OFFSET($A48,0,31*($A$3-1)+1,1,31)=Database!$K$11,0.5,IF(OFFSET($A48,0,31*($A$3-1)+1,1,31)=Database!$K$12,0.5,1))*(OFFSET($A$4,0,31*($A$3-1)+1,1,31))))</f>
        <v>0</v>
      </c>
      <c r="NK48" s="72">
        <f t="array" aca="1" ref="NK48" ca="1">SUMPRODUCT((OFFSET($A48,0,1,1,372)&lt;&gt;"")*(IF(OFFSET($A48,0,1,1,372)=Database!$K$11,0.5,IF(OFFSET($A48,0,1,1,372)=Database!$K$12,0.5,1))*(OFFSET($A$3,0,1,1,372))))</f>
        <v>0</v>
      </c>
      <c r="NL48" s="63">
        <f t="shared" ca="1" si="10"/>
        <v>0</v>
      </c>
      <c r="NM48" s="63">
        <f t="shared" ca="1" si="10"/>
        <v>0</v>
      </c>
      <c r="NN48" s="63">
        <f t="shared" ca="1" si="10"/>
        <v>0</v>
      </c>
      <c r="NO48" s="63">
        <f t="shared" ca="1" si="10"/>
        <v>0</v>
      </c>
      <c r="NP48" s="63">
        <f t="shared" ca="1" si="10"/>
        <v>0</v>
      </c>
      <c r="NQ48" s="63">
        <f t="shared" ca="1" si="10"/>
        <v>0</v>
      </c>
      <c r="NR48" s="63">
        <f t="shared" ca="1" si="10"/>
        <v>0</v>
      </c>
      <c r="NS48" s="63">
        <f t="shared" ca="1" si="10"/>
        <v>0</v>
      </c>
      <c r="NT48" s="63">
        <f t="shared" ca="1" si="10"/>
        <v>0</v>
      </c>
      <c r="NU48" s="63">
        <f t="shared" ca="1" si="10"/>
        <v>0</v>
      </c>
    </row>
    <row r="49" spans="1:385" ht="18" hidden="1" customHeight="1" outlineLevel="1" x14ac:dyDescent="0.25">
      <c r="A49" s="26"/>
      <c r="B49" s="68"/>
      <c r="C49" s="68"/>
      <c r="D49" s="68"/>
      <c r="E49" s="68"/>
      <c r="F49" s="68"/>
      <c r="G49" s="68"/>
      <c r="H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c r="AK49" s="68"/>
      <c r="AL49" s="68"/>
      <c r="AM49" s="68"/>
      <c r="AN49" s="68"/>
      <c r="AO49" s="68"/>
      <c r="AP49" s="68"/>
      <c r="AQ49" s="68"/>
      <c r="AR49" s="68"/>
      <c r="AS49" s="68"/>
      <c r="AT49" s="68"/>
      <c r="AU49" s="68"/>
      <c r="AV49" s="68"/>
      <c r="AW49" s="68"/>
      <c r="AX49" s="68"/>
      <c r="AY49" s="68"/>
      <c r="AZ49" s="68"/>
      <c r="BA49" s="68"/>
      <c r="BB49" s="68"/>
      <c r="BC49" s="68"/>
      <c r="BD49" s="68"/>
      <c r="BE49" s="68"/>
      <c r="BF49" s="68"/>
      <c r="BG49" s="68"/>
      <c r="BH49" s="68"/>
      <c r="BI49" s="68"/>
      <c r="BJ49" s="68"/>
      <c r="BK49" s="68"/>
      <c r="BL49" s="68"/>
      <c r="BM49" s="68"/>
      <c r="BN49" s="68"/>
      <c r="BO49" s="68"/>
      <c r="BP49" s="68"/>
      <c r="BQ49" s="68"/>
      <c r="BR49" s="68"/>
      <c r="BS49" s="68"/>
      <c r="BT49" s="68"/>
      <c r="BU49" s="68"/>
      <c r="BV49" s="68"/>
      <c r="BW49" s="68"/>
      <c r="BX49" s="68"/>
      <c r="BY49" s="68"/>
      <c r="BZ49" s="68"/>
      <c r="CA49" s="68"/>
      <c r="CB49" s="68"/>
      <c r="CC49" s="68"/>
      <c r="CD49" s="68"/>
      <c r="CE49" s="68"/>
      <c r="CF49" s="68"/>
      <c r="CG49" s="68"/>
      <c r="CH49" s="68"/>
      <c r="CI49" s="68"/>
      <c r="CJ49" s="68"/>
      <c r="CK49" s="68"/>
      <c r="CL49" s="68"/>
      <c r="CM49" s="68"/>
      <c r="CN49" s="68"/>
      <c r="CO49" s="68"/>
      <c r="CP49" s="68"/>
      <c r="CQ49" s="68"/>
      <c r="CR49" s="68"/>
      <c r="CS49" s="68"/>
      <c r="CT49" s="68"/>
      <c r="CU49" s="68"/>
      <c r="CV49" s="68"/>
      <c r="CW49" s="68"/>
      <c r="CX49" s="68"/>
      <c r="CY49" s="68"/>
      <c r="CZ49" s="68"/>
      <c r="DA49" s="68"/>
      <c r="DB49" s="68"/>
      <c r="DC49" s="68"/>
      <c r="DD49" s="68"/>
      <c r="DE49" s="68"/>
      <c r="DF49" s="68"/>
      <c r="DG49" s="68"/>
      <c r="DH49" s="68"/>
      <c r="DI49" s="68"/>
      <c r="DJ49" s="68"/>
      <c r="DK49" s="68"/>
      <c r="DL49" s="68"/>
      <c r="DM49" s="68"/>
      <c r="DN49" s="68"/>
      <c r="DO49" s="68"/>
      <c r="DP49" s="68"/>
      <c r="DQ49" s="68"/>
      <c r="DR49" s="68"/>
      <c r="DS49" s="68"/>
      <c r="DT49" s="68"/>
      <c r="DU49" s="68"/>
      <c r="DV49" s="68"/>
      <c r="DW49" s="68"/>
      <c r="DX49" s="68"/>
      <c r="DY49" s="68"/>
      <c r="DZ49" s="68"/>
      <c r="EA49" s="68"/>
      <c r="EB49" s="68"/>
      <c r="EC49" s="68"/>
      <c r="ED49" s="68"/>
      <c r="EE49" s="68"/>
      <c r="EF49" s="68"/>
      <c r="EG49" s="68"/>
      <c r="EH49" s="68"/>
      <c r="EI49" s="68"/>
      <c r="EJ49" s="68"/>
      <c r="EK49" s="68"/>
      <c r="EL49" s="68"/>
      <c r="EM49" s="68"/>
      <c r="EN49" s="68"/>
      <c r="EO49" s="68"/>
      <c r="EP49" s="68"/>
      <c r="EQ49" s="68"/>
      <c r="ER49" s="68"/>
      <c r="ES49" s="68"/>
      <c r="ET49" s="68"/>
      <c r="EU49" s="68"/>
      <c r="EV49" s="68"/>
      <c r="EW49" s="68"/>
      <c r="EX49" s="68"/>
      <c r="EY49" s="68"/>
      <c r="EZ49" s="68"/>
      <c r="FA49" s="68"/>
      <c r="FB49" s="68"/>
      <c r="FC49" s="68"/>
      <c r="FD49" s="68"/>
      <c r="FE49" s="68"/>
      <c r="FF49" s="68"/>
      <c r="FG49" s="68"/>
      <c r="FH49" s="68"/>
      <c r="FI49" s="68"/>
      <c r="FJ49" s="68"/>
      <c r="FK49" s="68"/>
      <c r="FL49" s="68"/>
      <c r="FM49" s="68"/>
      <c r="FN49" s="68"/>
      <c r="FO49" s="68"/>
      <c r="FP49" s="68"/>
      <c r="FQ49" s="68"/>
      <c r="FR49" s="68"/>
      <c r="FS49" s="68"/>
      <c r="FT49" s="68"/>
      <c r="FU49" s="68"/>
      <c r="FV49" s="68"/>
      <c r="FW49" s="68"/>
      <c r="FX49" s="68"/>
      <c r="FY49" s="68"/>
      <c r="FZ49" s="68"/>
      <c r="GA49" s="68"/>
      <c r="GB49" s="68"/>
      <c r="GC49" s="68"/>
      <c r="GD49" s="68"/>
      <c r="GE49" s="68"/>
      <c r="GF49" s="68"/>
      <c r="GG49" s="68"/>
      <c r="GH49" s="68"/>
      <c r="GI49" s="68"/>
      <c r="GJ49" s="68"/>
      <c r="GK49" s="68"/>
      <c r="GL49" s="68"/>
      <c r="GM49" s="68"/>
      <c r="GN49" s="68"/>
      <c r="GO49" s="68"/>
      <c r="GP49" s="68"/>
      <c r="GQ49" s="68"/>
      <c r="GR49" s="68"/>
      <c r="GS49" s="68"/>
      <c r="GT49" s="68"/>
      <c r="GU49" s="68"/>
      <c r="GV49" s="68"/>
      <c r="GW49" s="68"/>
      <c r="GX49" s="68"/>
      <c r="GY49" s="68"/>
      <c r="GZ49" s="68"/>
      <c r="HA49" s="68"/>
      <c r="HB49" s="68"/>
      <c r="HC49" s="68"/>
      <c r="HD49" s="68"/>
      <c r="HE49" s="68"/>
      <c r="HF49" s="68"/>
      <c r="HG49" s="68"/>
      <c r="HH49" s="68"/>
      <c r="HI49" s="68"/>
      <c r="HJ49" s="68"/>
      <c r="HK49" s="68"/>
      <c r="HL49" s="68"/>
      <c r="HM49" s="68"/>
      <c r="HN49" s="68"/>
      <c r="HO49" s="68"/>
      <c r="HP49" s="68"/>
      <c r="HQ49" s="68"/>
      <c r="HR49" s="68"/>
      <c r="HS49" s="68"/>
      <c r="HT49" s="68"/>
      <c r="HU49" s="68"/>
      <c r="HV49" s="68"/>
      <c r="HW49" s="68"/>
      <c r="HX49" s="68"/>
      <c r="HY49" s="68"/>
      <c r="HZ49" s="68"/>
      <c r="IA49" s="68"/>
      <c r="IB49" s="68"/>
      <c r="IC49" s="68"/>
      <c r="ID49" s="68"/>
      <c r="IE49" s="68"/>
      <c r="IF49" s="68"/>
      <c r="IG49" s="68"/>
      <c r="IH49" s="68"/>
      <c r="II49" s="68"/>
      <c r="IJ49" s="68"/>
      <c r="IK49" s="68"/>
      <c r="IL49" s="68"/>
      <c r="IM49" s="68"/>
      <c r="IN49" s="68"/>
      <c r="IO49" s="68"/>
      <c r="IP49" s="68"/>
      <c r="IQ49" s="68"/>
      <c r="IR49" s="68"/>
      <c r="IS49" s="68"/>
      <c r="IT49" s="68"/>
      <c r="IU49" s="68"/>
      <c r="IV49" s="68"/>
      <c r="IW49" s="68"/>
      <c r="IX49" s="68"/>
      <c r="IY49" s="68"/>
      <c r="IZ49" s="68"/>
      <c r="JA49" s="68"/>
      <c r="JB49" s="68"/>
      <c r="JC49" s="68"/>
      <c r="JD49" s="68"/>
      <c r="JE49" s="68"/>
      <c r="JF49" s="68"/>
      <c r="JG49" s="68"/>
      <c r="JH49" s="68"/>
      <c r="JI49" s="68"/>
      <c r="JJ49" s="68"/>
      <c r="JK49" s="68"/>
      <c r="JL49" s="68"/>
      <c r="JM49" s="68"/>
      <c r="JN49" s="68"/>
      <c r="JO49" s="68"/>
      <c r="JP49" s="68"/>
      <c r="JQ49" s="68"/>
      <c r="JR49" s="68"/>
      <c r="JS49" s="68"/>
      <c r="JT49" s="68"/>
      <c r="JU49" s="68"/>
      <c r="JV49" s="68"/>
      <c r="JW49" s="68"/>
      <c r="JX49" s="68"/>
      <c r="JY49" s="68"/>
      <c r="JZ49" s="68"/>
      <c r="KA49" s="68"/>
      <c r="KB49" s="68"/>
      <c r="KC49" s="68"/>
      <c r="KD49" s="68"/>
      <c r="KE49" s="68"/>
      <c r="KF49" s="68"/>
      <c r="KG49" s="68"/>
      <c r="KH49" s="68"/>
      <c r="KI49" s="68"/>
      <c r="KJ49" s="68"/>
      <c r="KK49" s="68"/>
      <c r="KL49" s="68"/>
      <c r="KM49" s="68"/>
      <c r="KN49" s="68"/>
      <c r="KO49" s="68"/>
      <c r="KP49" s="68"/>
      <c r="KQ49" s="68"/>
      <c r="KR49" s="68"/>
      <c r="KS49" s="68"/>
      <c r="KT49" s="68"/>
      <c r="KU49" s="68"/>
      <c r="KV49" s="68"/>
      <c r="KW49" s="68"/>
      <c r="KX49" s="68"/>
      <c r="KY49" s="68"/>
      <c r="KZ49" s="68"/>
      <c r="LA49" s="68"/>
      <c r="LB49" s="68"/>
      <c r="LC49" s="68"/>
      <c r="LD49" s="68"/>
      <c r="LE49" s="68"/>
      <c r="LF49" s="68"/>
      <c r="LG49" s="68"/>
      <c r="LH49" s="68"/>
      <c r="LI49" s="68"/>
      <c r="LJ49" s="68"/>
      <c r="LK49" s="68"/>
      <c r="LL49" s="68"/>
      <c r="LM49" s="68"/>
      <c r="LN49" s="68"/>
      <c r="LO49" s="68"/>
      <c r="LP49" s="68"/>
      <c r="LQ49" s="68"/>
      <c r="LR49" s="68"/>
      <c r="LS49" s="68"/>
      <c r="LT49" s="68"/>
      <c r="LU49" s="68"/>
      <c r="LV49" s="68"/>
      <c r="LW49" s="68"/>
      <c r="LX49" s="68"/>
      <c r="LY49" s="68"/>
      <c r="LZ49" s="68"/>
      <c r="MA49" s="68"/>
      <c r="MB49" s="68"/>
      <c r="MC49" s="68"/>
      <c r="MD49" s="68"/>
      <c r="ME49" s="68"/>
      <c r="MF49" s="68"/>
      <c r="MG49" s="68"/>
      <c r="MH49" s="68"/>
      <c r="MI49" s="68"/>
      <c r="MJ49" s="68"/>
      <c r="MK49" s="68"/>
      <c r="ML49" s="68"/>
      <c r="MM49" s="68"/>
      <c r="MN49" s="68"/>
      <c r="MO49" s="68"/>
      <c r="MP49" s="68"/>
      <c r="MQ49" s="68"/>
      <c r="MR49" s="68"/>
      <c r="MS49" s="68"/>
      <c r="MT49" s="68"/>
      <c r="MU49" s="68"/>
      <c r="MV49" s="68"/>
      <c r="MW49" s="68"/>
      <c r="MX49" s="68"/>
      <c r="MY49" s="68"/>
      <c r="MZ49" s="68"/>
      <c r="NA49" s="68"/>
      <c r="NB49" s="68"/>
      <c r="NC49" s="68"/>
      <c r="ND49" s="68"/>
      <c r="NE49" s="68"/>
      <c r="NF49" s="68"/>
      <c r="NG49" s="68"/>
      <c r="NH49" s="68"/>
      <c r="NI49" s="68"/>
      <c r="NJ49" s="70">
        <f t="array" aca="1" ref="NJ49" ca="1">SUMPRODUCT((OFFSET($A49,0,31*($A$3-1)+1,1,31)&lt;&gt;"")*(IF(OFFSET($A49,0,31*($A$3-1)+1,1,31)=Database!$K$11,0.5,IF(OFFSET($A49,0,31*($A$3-1)+1,1,31)=Database!$K$12,0.5,1))*(OFFSET($A$4,0,31*($A$3-1)+1,1,31))))</f>
        <v>0</v>
      </c>
      <c r="NK49" s="72">
        <f t="array" aca="1" ref="NK49" ca="1">SUMPRODUCT((OFFSET($A49,0,1,1,372)&lt;&gt;"")*(IF(OFFSET($A49,0,1,1,372)=Database!$K$11,0.5,IF(OFFSET($A49,0,1,1,372)=Database!$K$12,0.5,1))*(OFFSET($A$3,0,1,1,372))))</f>
        <v>0</v>
      </c>
      <c r="NL49" s="63">
        <f t="shared" ca="1" si="10"/>
        <v>0</v>
      </c>
      <c r="NM49" s="63">
        <f t="shared" ca="1" si="10"/>
        <v>0</v>
      </c>
      <c r="NN49" s="63">
        <f t="shared" ca="1" si="10"/>
        <v>0</v>
      </c>
      <c r="NO49" s="63">
        <f t="shared" ca="1" si="10"/>
        <v>0</v>
      </c>
      <c r="NP49" s="63">
        <f t="shared" ca="1" si="10"/>
        <v>0</v>
      </c>
      <c r="NQ49" s="63">
        <f t="shared" ca="1" si="10"/>
        <v>0</v>
      </c>
      <c r="NR49" s="63">
        <f t="shared" ca="1" si="10"/>
        <v>0</v>
      </c>
      <c r="NS49" s="63">
        <f t="shared" ca="1" si="10"/>
        <v>0</v>
      </c>
      <c r="NT49" s="63">
        <f t="shared" ca="1" si="10"/>
        <v>0</v>
      </c>
      <c r="NU49" s="63">
        <f t="shared" ca="1" si="10"/>
        <v>0</v>
      </c>
    </row>
    <row r="50" spans="1:385" ht="18" hidden="1" customHeight="1" outlineLevel="1" x14ac:dyDescent="0.25">
      <c r="A50" s="26"/>
      <c r="B50" s="68"/>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8"/>
      <c r="AY50" s="68"/>
      <c r="AZ50" s="68"/>
      <c r="BA50" s="68"/>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8"/>
      <c r="CX50" s="68"/>
      <c r="CY50" s="68"/>
      <c r="CZ50" s="68"/>
      <c r="DA50" s="68"/>
      <c r="DB50" s="68"/>
      <c r="DC50" s="68"/>
      <c r="DD50" s="68"/>
      <c r="DE50" s="68"/>
      <c r="DF50" s="68"/>
      <c r="DG50" s="68"/>
      <c r="DH50" s="68"/>
      <c r="DI50" s="68"/>
      <c r="DJ50" s="68"/>
      <c r="DK50" s="68"/>
      <c r="DL50" s="68"/>
      <c r="DM50" s="68"/>
      <c r="DN50" s="68"/>
      <c r="DO50" s="68"/>
      <c r="DP50" s="68"/>
      <c r="DQ50" s="68"/>
      <c r="DR50" s="68"/>
      <c r="DS50" s="68"/>
      <c r="DT50" s="68"/>
      <c r="DU50" s="68"/>
      <c r="DV50" s="68"/>
      <c r="DW50" s="68"/>
      <c r="DX50" s="68"/>
      <c r="DY50" s="68"/>
      <c r="DZ50" s="68"/>
      <c r="EA50" s="68"/>
      <c r="EB50" s="68"/>
      <c r="EC50" s="68"/>
      <c r="ED50" s="68"/>
      <c r="EE50" s="68"/>
      <c r="EF50" s="68"/>
      <c r="EG50" s="68"/>
      <c r="EH50" s="68"/>
      <c r="EI50" s="68"/>
      <c r="EJ50" s="68"/>
      <c r="EK50" s="68"/>
      <c r="EL50" s="68"/>
      <c r="EM50" s="68"/>
      <c r="EN50" s="68"/>
      <c r="EO50" s="68"/>
      <c r="EP50" s="68"/>
      <c r="EQ50" s="68"/>
      <c r="ER50" s="68"/>
      <c r="ES50" s="68"/>
      <c r="ET50" s="68"/>
      <c r="EU50" s="68"/>
      <c r="EV50" s="68"/>
      <c r="EW50" s="68"/>
      <c r="EX50" s="68"/>
      <c r="EY50" s="68"/>
      <c r="EZ50" s="68"/>
      <c r="FA50" s="68"/>
      <c r="FB50" s="68"/>
      <c r="FC50" s="68"/>
      <c r="FD50" s="68"/>
      <c r="FE50" s="68"/>
      <c r="FF50" s="68"/>
      <c r="FG50" s="68"/>
      <c r="FH50" s="68"/>
      <c r="FI50" s="68"/>
      <c r="FJ50" s="68"/>
      <c r="FK50" s="68"/>
      <c r="FL50" s="68"/>
      <c r="FM50" s="68"/>
      <c r="FN50" s="68"/>
      <c r="FO50" s="68"/>
      <c r="FP50" s="68"/>
      <c r="FQ50" s="68"/>
      <c r="FR50" s="68"/>
      <c r="FS50" s="68"/>
      <c r="FT50" s="68"/>
      <c r="FU50" s="68"/>
      <c r="FV50" s="68"/>
      <c r="FW50" s="68"/>
      <c r="FX50" s="68"/>
      <c r="FY50" s="68"/>
      <c r="FZ50" s="68"/>
      <c r="GA50" s="68"/>
      <c r="GB50" s="68"/>
      <c r="GC50" s="68"/>
      <c r="GD50" s="68"/>
      <c r="GE50" s="68"/>
      <c r="GF50" s="68"/>
      <c r="GG50" s="68"/>
      <c r="GH50" s="68"/>
      <c r="GI50" s="68"/>
      <c r="GJ50" s="68"/>
      <c r="GK50" s="68"/>
      <c r="GL50" s="68"/>
      <c r="GM50" s="68"/>
      <c r="GN50" s="68"/>
      <c r="GO50" s="68"/>
      <c r="GP50" s="68"/>
      <c r="GQ50" s="68"/>
      <c r="GR50" s="68"/>
      <c r="GS50" s="68"/>
      <c r="GT50" s="68"/>
      <c r="GU50" s="68"/>
      <c r="GV50" s="68"/>
      <c r="GW50" s="68"/>
      <c r="GX50" s="68"/>
      <c r="GY50" s="68"/>
      <c r="GZ50" s="68"/>
      <c r="HA50" s="68"/>
      <c r="HB50" s="68"/>
      <c r="HC50" s="68"/>
      <c r="HD50" s="68"/>
      <c r="HE50" s="68"/>
      <c r="HF50" s="68"/>
      <c r="HG50" s="68"/>
      <c r="HH50" s="68"/>
      <c r="HI50" s="68"/>
      <c r="HJ50" s="68"/>
      <c r="HK50" s="68"/>
      <c r="HL50" s="68"/>
      <c r="HM50" s="68"/>
      <c r="HN50" s="68"/>
      <c r="HO50" s="68"/>
      <c r="HP50" s="68"/>
      <c r="HQ50" s="68"/>
      <c r="HR50" s="68"/>
      <c r="HS50" s="68"/>
      <c r="HT50" s="68"/>
      <c r="HU50" s="68"/>
      <c r="HV50" s="68"/>
      <c r="HW50" s="68"/>
      <c r="HX50" s="68"/>
      <c r="HY50" s="68"/>
      <c r="HZ50" s="68"/>
      <c r="IA50" s="68"/>
      <c r="IB50" s="68"/>
      <c r="IC50" s="68"/>
      <c r="ID50" s="68"/>
      <c r="IE50" s="68"/>
      <c r="IF50" s="68"/>
      <c r="IG50" s="68"/>
      <c r="IH50" s="68"/>
      <c r="II50" s="68"/>
      <c r="IJ50" s="68"/>
      <c r="IK50" s="68"/>
      <c r="IL50" s="68"/>
      <c r="IM50" s="68"/>
      <c r="IN50" s="68"/>
      <c r="IO50" s="68"/>
      <c r="IP50" s="68"/>
      <c r="IQ50" s="68"/>
      <c r="IR50" s="68"/>
      <c r="IS50" s="68"/>
      <c r="IT50" s="68"/>
      <c r="IU50" s="68"/>
      <c r="IV50" s="68"/>
      <c r="IW50" s="68"/>
      <c r="IX50" s="68"/>
      <c r="IY50" s="68"/>
      <c r="IZ50" s="68"/>
      <c r="JA50" s="68"/>
      <c r="JB50" s="68"/>
      <c r="JC50" s="68"/>
      <c r="JD50" s="68"/>
      <c r="JE50" s="68"/>
      <c r="JF50" s="68"/>
      <c r="JG50" s="68"/>
      <c r="JH50" s="68"/>
      <c r="JI50" s="68"/>
      <c r="JJ50" s="68"/>
      <c r="JK50" s="68"/>
      <c r="JL50" s="68"/>
      <c r="JM50" s="68"/>
      <c r="JN50" s="68"/>
      <c r="JO50" s="68"/>
      <c r="JP50" s="68"/>
      <c r="JQ50" s="68"/>
      <c r="JR50" s="68"/>
      <c r="JS50" s="68"/>
      <c r="JT50" s="68"/>
      <c r="JU50" s="68"/>
      <c r="JV50" s="68"/>
      <c r="JW50" s="68"/>
      <c r="JX50" s="68"/>
      <c r="JY50" s="68"/>
      <c r="JZ50" s="68"/>
      <c r="KA50" s="68"/>
      <c r="KB50" s="68"/>
      <c r="KC50" s="68"/>
      <c r="KD50" s="68"/>
      <c r="KE50" s="68"/>
      <c r="KF50" s="68"/>
      <c r="KG50" s="68"/>
      <c r="KH50" s="68"/>
      <c r="KI50" s="68"/>
      <c r="KJ50" s="68"/>
      <c r="KK50" s="68"/>
      <c r="KL50" s="68"/>
      <c r="KM50" s="68"/>
      <c r="KN50" s="68"/>
      <c r="KO50" s="68"/>
      <c r="KP50" s="68"/>
      <c r="KQ50" s="68"/>
      <c r="KR50" s="68"/>
      <c r="KS50" s="68"/>
      <c r="KT50" s="68"/>
      <c r="KU50" s="68"/>
      <c r="KV50" s="68"/>
      <c r="KW50" s="68"/>
      <c r="KX50" s="68"/>
      <c r="KY50" s="68"/>
      <c r="KZ50" s="68"/>
      <c r="LA50" s="68"/>
      <c r="LB50" s="68"/>
      <c r="LC50" s="68"/>
      <c r="LD50" s="68"/>
      <c r="LE50" s="68"/>
      <c r="LF50" s="68"/>
      <c r="LG50" s="68"/>
      <c r="LH50" s="68"/>
      <c r="LI50" s="68"/>
      <c r="LJ50" s="68"/>
      <c r="LK50" s="68"/>
      <c r="LL50" s="68"/>
      <c r="LM50" s="68"/>
      <c r="LN50" s="68"/>
      <c r="LO50" s="68"/>
      <c r="LP50" s="68"/>
      <c r="LQ50" s="68"/>
      <c r="LR50" s="68"/>
      <c r="LS50" s="68"/>
      <c r="LT50" s="68"/>
      <c r="LU50" s="68"/>
      <c r="LV50" s="68"/>
      <c r="LW50" s="68"/>
      <c r="LX50" s="68"/>
      <c r="LY50" s="68"/>
      <c r="LZ50" s="68"/>
      <c r="MA50" s="68"/>
      <c r="MB50" s="68"/>
      <c r="MC50" s="68"/>
      <c r="MD50" s="68"/>
      <c r="ME50" s="68"/>
      <c r="MF50" s="68"/>
      <c r="MG50" s="68"/>
      <c r="MH50" s="68"/>
      <c r="MI50" s="68"/>
      <c r="MJ50" s="68"/>
      <c r="MK50" s="68"/>
      <c r="ML50" s="68"/>
      <c r="MM50" s="68"/>
      <c r="MN50" s="68"/>
      <c r="MO50" s="68"/>
      <c r="MP50" s="68"/>
      <c r="MQ50" s="68"/>
      <c r="MR50" s="68"/>
      <c r="MS50" s="68"/>
      <c r="MT50" s="68"/>
      <c r="MU50" s="68"/>
      <c r="MV50" s="68"/>
      <c r="MW50" s="68"/>
      <c r="MX50" s="68"/>
      <c r="MY50" s="68"/>
      <c r="MZ50" s="68"/>
      <c r="NA50" s="68"/>
      <c r="NB50" s="68"/>
      <c r="NC50" s="68"/>
      <c r="ND50" s="68"/>
      <c r="NE50" s="68"/>
      <c r="NF50" s="68"/>
      <c r="NG50" s="68"/>
      <c r="NH50" s="68"/>
      <c r="NI50" s="68"/>
      <c r="NJ50" s="70">
        <f t="array" aca="1" ref="NJ50" ca="1">SUMPRODUCT((OFFSET($A50,0,31*($A$3-1)+1,1,31)&lt;&gt;"")*(IF(OFFSET($A50,0,31*($A$3-1)+1,1,31)=Database!$K$11,0.5,IF(OFFSET($A50,0,31*($A$3-1)+1,1,31)=Database!$K$12,0.5,1))*(OFFSET($A$4,0,31*($A$3-1)+1,1,31))))</f>
        <v>0</v>
      </c>
      <c r="NK50" s="72">
        <f t="array" aca="1" ref="NK50" ca="1">SUMPRODUCT((OFFSET($A50,0,1,1,372)&lt;&gt;"")*(IF(OFFSET($A50,0,1,1,372)=Database!$K$11,0.5,IF(OFFSET($A50,0,1,1,372)=Database!$K$12,0.5,1))*(OFFSET($A$3,0,1,1,372))))</f>
        <v>0</v>
      </c>
      <c r="NL50" s="63">
        <f t="shared" ca="1" si="10"/>
        <v>0</v>
      </c>
      <c r="NM50" s="63">
        <f t="shared" ca="1" si="10"/>
        <v>0</v>
      </c>
      <c r="NN50" s="63">
        <f t="shared" ca="1" si="10"/>
        <v>0</v>
      </c>
      <c r="NO50" s="63">
        <f t="shared" ca="1" si="10"/>
        <v>0</v>
      </c>
      <c r="NP50" s="63">
        <f t="shared" ca="1" si="10"/>
        <v>0</v>
      </c>
      <c r="NQ50" s="63">
        <f t="shared" ca="1" si="10"/>
        <v>0</v>
      </c>
      <c r="NR50" s="63">
        <f t="shared" ca="1" si="10"/>
        <v>0</v>
      </c>
      <c r="NS50" s="63">
        <f t="shared" ca="1" si="10"/>
        <v>0</v>
      </c>
      <c r="NT50" s="63">
        <f t="shared" ca="1" si="10"/>
        <v>0</v>
      </c>
      <c r="NU50" s="63">
        <f t="shared" ca="1" si="10"/>
        <v>0</v>
      </c>
    </row>
    <row r="51" spans="1:385" ht="18" hidden="1" customHeight="1" outlineLevel="1" x14ac:dyDescent="0.25">
      <c r="A51" s="26"/>
      <c r="B51" s="68"/>
      <c r="C51" s="68"/>
      <c r="D51" s="68"/>
      <c r="E51" s="68"/>
      <c r="F51" s="68"/>
      <c r="G51" s="68"/>
      <c r="H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c r="AK51" s="68"/>
      <c r="AL51" s="68"/>
      <c r="AM51" s="68"/>
      <c r="AN51" s="68"/>
      <c r="AO51" s="68"/>
      <c r="AP51" s="68"/>
      <c r="AQ51" s="68"/>
      <c r="AR51" s="68"/>
      <c r="AS51" s="68"/>
      <c r="AT51" s="68"/>
      <c r="AU51" s="68"/>
      <c r="AV51" s="68"/>
      <c r="AW51" s="68"/>
      <c r="AX51" s="68"/>
      <c r="AY51" s="68"/>
      <c r="AZ51" s="68"/>
      <c r="BA51" s="68"/>
      <c r="BB51" s="68"/>
      <c r="BC51" s="68"/>
      <c r="BD51" s="68"/>
      <c r="BE51" s="68"/>
      <c r="BF51" s="68"/>
      <c r="BG51" s="68"/>
      <c r="BH51" s="68"/>
      <c r="BI51" s="68"/>
      <c r="BJ51" s="68"/>
      <c r="BK51" s="68"/>
      <c r="BL51" s="68"/>
      <c r="BM51" s="68"/>
      <c r="BN51" s="68"/>
      <c r="BO51" s="68"/>
      <c r="BP51" s="68"/>
      <c r="BQ51" s="68"/>
      <c r="BR51" s="68"/>
      <c r="BS51" s="68"/>
      <c r="BT51" s="68"/>
      <c r="BU51" s="68"/>
      <c r="BV51" s="68"/>
      <c r="BW51" s="68"/>
      <c r="BX51" s="68"/>
      <c r="BY51" s="68"/>
      <c r="BZ51" s="68"/>
      <c r="CA51" s="68"/>
      <c r="CB51" s="68"/>
      <c r="CC51" s="68"/>
      <c r="CD51" s="68"/>
      <c r="CE51" s="68"/>
      <c r="CF51" s="68"/>
      <c r="CG51" s="68"/>
      <c r="CH51" s="68"/>
      <c r="CI51" s="68"/>
      <c r="CJ51" s="68"/>
      <c r="CK51" s="68"/>
      <c r="CL51" s="68"/>
      <c r="CM51" s="68"/>
      <c r="CN51" s="68"/>
      <c r="CO51" s="68"/>
      <c r="CP51" s="68"/>
      <c r="CQ51" s="68"/>
      <c r="CR51" s="68"/>
      <c r="CS51" s="68"/>
      <c r="CT51" s="68"/>
      <c r="CU51" s="68"/>
      <c r="CV51" s="68"/>
      <c r="CW51" s="68"/>
      <c r="CX51" s="68"/>
      <c r="CY51" s="68"/>
      <c r="CZ51" s="68"/>
      <c r="DA51" s="68"/>
      <c r="DB51" s="68"/>
      <c r="DC51" s="68"/>
      <c r="DD51" s="68"/>
      <c r="DE51" s="68"/>
      <c r="DF51" s="68"/>
      <c r="DG51" s="68"/>
      <c r="DH51" s="68"/>
      <c r="DI51" s="68"/>
      <c r="DJ51" s="68"/>
      <c r="DK51" s="68"/>
      <c r="DL51" s="68"/>
      <c r="DM51" s="68"/>
      <c r="DN51" s="68"/>
      <c r="DO51" s="68"/>
      <c r="DP51" s="68"/>
      <c r="DQ51" s="68"/>
      <c r="DR51" s="68"/>
      <c r="DS51" s="68"/>
      <c r="DT51" s="68"/>
      <c r="DU51" s="68"/>
      <c r="DV51" s="68"/>
      <c r="DW51" s="68"/>
      <c r="DX51" s="68"/>
      <c r="DY51" s="68"/>
      <c r="DZ51" s="68"/>
      <c r="EA51" s="68"/>
      <c r="EB51" s="68"/>
      <c r="EC51" s="68"/>
      <c r="ED51" s="68"/>
      <c r="EE51" s="68"/>
      <c r="EF51" s="68"/>
      <c r="EG51" s="68"/>
      <c r="EH51" s="68"/>
      <c r="EI51" s="68"/>
      <c r="EJ51" s="68"/>
      <c r="EK51" s="68"/>
      <c r="EL51" s="68"/>
      <c r="EM51" s="68"/>
      <c r="EN51" s="68"/>
      <c r="EO51" s="68"/>
      <c r="EP51" s="68"/>
      <c r="EQ51" s="68"/>
      <c r="ER51" s="68"/>
      <c r="ES51" s="68"/>
      <c r="ET51" s="68"/>
      <c r="EU51" s="68"/>
      <c r="EV51" s="68"/>
      <c r="EW51" s="68"/>
      <c r="EX51" s="68"/>
      <c r="EY51" s="68"/>
      <c r="EZ51" s="68"/>
      <c r="FA51" s="68"/>
      <c r="FB51" s="68"/>
      <c r="FC51" s="68"/>
      <c r="FD51" s="68"/>
      <c r="FE51" s="68"/>
      <c r="FF51" s="68"/>
      <c r="FG51" s="68"/>
      <c r="FH51" s="68"/>
      <c r="FI51" s="68"/>
      <c r="FJ51" s="68"/>
      <c r="FK51" s="68"/>
      <c r="FL51" s="68"/>
      <c r="FM51" s="68"/>
      <c r="FN51" s="68"/>
      <c r="FO51" s="68"/>
      <c r="FP51" s="68"/>
      <c r="FQ51" s="68"/>
      <c r="FR51" s="68"/>
      <c r="FS51" s="68"/>
      <c r="FT51" s="68"/>
      <c r="FU51" s="68"/>
      <c r="FV51" s="68"/>
      <c r="FW51" s="68"/>
      <c r="FX51" s="68"/>
      <c r="FY51" s="68"/>
      <c r="FZ51" s="68"/>
      <c r="GA51" s="68"/>
      <c r="GB51" s="68"/>
      <c r="GC51" s="68"/>
      <c r="GD51" s="68"/>
      <c r="GE51" s="68"/>
      <c r="GF51" s="68"/>
      <c r="GG51" s="68"/>
      <c r="GH51" s="68"/>
      <c r="GI51" s="68"/>
      <c r="GJ51" s="68"/>
      <c r="GK51" s="68"/>
      <c r="GL51" s="68"/>
      <c r="GM51" s="68"/>
      <c r="GN51" s="68"/>
      <c r="GO51" s="68"/>
      <c r="GP51" s="68"/>
      <c r="GQ51" s="68"/>
      <c r="GR51" s="68"/>
      <c r="GS51" s="68"/>
      <c r="GT51" s="68"/>
      <c r="GU51" s="68"/>
      <c r="GV51" s="68"/>
      <c r="GW51" s="68"/>
      <c r="GX51" s="68"/>
      <c r="GY51" s="68"/>
      <c r="GZ51" s="68"/>
      <c r="HA51" s="68"/>
      <c r="HB51" s="68"/>
      <c r="HC51" s="68"/>
      <c r="HD51" s="68"/>
      <c r="HE51" s="68"/>
      <c r="HF51" s="68"/>
      <c r="HG51" s="68"/>
      <c r="HH51" s="68"/>
      <c r="HI51" s="68"/>
      <c r="HJ51" s="68"/>
      <c r="HK51" s="68"/>
      <c r="HL51" s="68"/>
      <c r="HM51" s="68"/>
      <c r="HN51" s="68"/>
      <c r="HO51" s="68"/>
      <c r="HP51" s="68"/>
      <c r="HQ51" s="68"/>
      <c r="HR51" s="68"/>
      <c r="HS51" s="68"/>
      <c r="HT51" s="68"/>
      <c r="HU51" s="68"/>
      <c r="HV51" s="68"/>
      <c r="HW51" s="68"/>
      <c r="HX51" s="68"/>
      <c r="HY51" s="68"/>
      <c r="HZ51" s="68"/>
      <c r="IA51" s="68"/>
      <c r="IB51" s="68"/>
      <c r="IC51" s="68"/>
      <c r="ID51" s="68"/>
      <c r="IE51" s="68"/>
      <c r="IF51" s="68"/>
      <c r="IG51" s="68"/>
      <c r="IH51" s="68"/>
      <c r="II51" s="68"/>
      <c r="IJ51" s="68"/>
      <c r="IK51" s="68"/>
      <c r="IL51" s="68"/>
      <c r="IM51" s="68"/>
      <c r="IN51" s="68"/>
      <c r="IO51" s="68"/>
      <c r="IP51" s="68"/>
      <c r="IQ51" s="68"/>
      <c r="IR51" s="68"/>
      <c r="IS51" s="68"/>
      <c r="IT51" s="68"/>
      <c r="IU51" s="68"/>
      <c r="IV51" s="68"/>
      <c r="IW51" s="68"/>
      <c r="IX51" s="68"/>
      <c r="IY51" s="68"/>
      <c r="IZ51" s="68"/>
      <c r="JA51" s="68"/>
      <c r="JB51" s="68"/>
      <c r="JC51" s="68"/>
      <c r="JD51" s="68"/>
      <c r="JE51" s="68"/>
      <c r="JF51" s="68"/>
      <c r="JG51" s="68"/>
      <c r="JH51" s="68"/>
      <c r="JI51" s="68"/>
      <c r="JJ51" s="68"/>
      <c r="JK51" s="68"/>
      <c r="JL51" s="68"/>
      <c r="JM51" s="68"/>
      <c r="JN51" s="68"/>
      <c r="JO51" s="68"/>
      <c r="JP51" s="68"/>
      <c r="JQ51" s="68"/>
      <c r="JR51" s="68"/>
      <c r="JS51" s="68"/>
      <c r="JT51" s="68"/>
      <c r="JU51" s="68"/>
      <c r="JV51" s="68"/>
      <c r="JW51" s="68"/>
      <c r="JX51" s="68"/>
      <c r="JY51" s="68"/>
      <c r="JZ51" s="68"/>
      <c r="KA51" s="68"/>
      <c r="KB51" s="68"/>
      <c r="KC51" s="68"/>
      <c r="KD51" s="68"/>
      <c r="KE51" s="68"/>
      <c r="KF51" s="68"/>
      <c r="KG51" s="68"/>
      <c r="KH51" s="68"/>
      <c r="KI51" s="68"/>
      <c r="KJ51" s="68"/>
      <c r="KK51" s="68"/>
      <c r="KL51" s="68"/>
      <c r="KM51" s="68"/>
      <c r="KN51" s="68"/>
      <c r="KO51" s="68"/>
      <c r="KP51" s="68"/>
      <c r="KQ51" s="68"/>
      <c r="KR51" s="68"/>
      <c r="KS51" s="68"/>
      <c r="KT51" s="68"/>
      <c r="KU51" s="68"/>
      <c r="KV51" s="68"/>
      <c r="KW51" s="68"/>
      <c r="KX51" s="68"/>
      <c r="KY51" s="68"/>
      <c r="KZ51" s="68"/>
      <c r="LA51" s="68"/>
      <c r="LB51" s="68"/>
      <c r="LC51" s="68"/>
      <c r="LD51" s="68"/>
      <c r="LE51" s="68"/>
      <c r="LF51" s="68"/>
      <c r="LG51" s="68"/>
      <c r="LH51" s="68"/>
      <c r="LI51" s="68"/>
      <c r="LJ51" s="68"/>
      <c r="LK51" s="68"/>
      <c r="LL51" s="68"/>
      <c r="LM51" s="68"/>
      <c r="LN51" s="68"/>
      <c r="LO51" s="68"/>
      <c r="LP51" s="68"/>
      <c r="LQ51" s="68"/>
      <c r="LR51" s="68"/>
      <c r="LS51" s="68"/>
      <c r="LT51" s="68"/>
      <c r="LU51" s="68"/>
      <c r="LV51" s="68"/>
      <c r="LW51" s="68"/>
      <c r="LX51" s="68"/>
      <c r="LY51" s="68"/>
      <c r="LZ51" s="68"/>
      <c r="MA51" s="68"/>
      <c r="MB51" s="68"/>
      <c r="MC51" s="68"/>
      <c r="MD51" s="68"/>
      <c r="ME51" s="68"/>
      <c r="MF51" s="68"/>
      <c r="MG51" s="68"/>
      <c r="MH51" s="68"/>
      <c r="MI51" s="68"/>
      <c r="MJ51" s="68"/>
      <c r="MK51" s="68"/>
      <c r="ML51" s="68"/>
      <c r="MM51" s="68"/>
      <c r="MN51" s="68"/>
      <c r="MO51" s="68"/>
      <c r="MP51" s="68"/>
      <c r="MQ51" s="68"/>
      <c r="MR51" s="68"/>
      <c r="MS51" s="68"/>
      <c r="MT51" s="68"/>
      <c r="MU51" s="68"/>
      <c r="MV51" s="68"/>
      <c r="MW51" s="68"/>
      <c r="MX51" s="68"/>
      <c r="MY51" s="68"/>
      <c r="MZ51" s="68"/>
      <c r="NA51" s="68"/>
      <c r="NB51" s="68"/>
      <c r="NC51" s="68"/>
      <c r="ND51" s="68"/>
      <c r="NE51" s="68"/>
      <c r="NF51" s="68"/>
      <c r="NG51" s="68"/>
      <c r="NH51" s="68"/>
      <c r="NI51" s="68"/>
      <c r="NJ51" s="70">
        <f t="array" aca="1" ref="NJ51" ca="1">SUMPRODUCT((OFFSET($A51,0,31*($A$3-1)+1,1,31)&lt;&gt;"")*(IF(OFFSET($A51,0,31*($A$3-1)+1,1,31)=Database!$K$11,0.5,IF(OFFSET($A51,0,31*($A$3-1)+1,1,31)=Database!$K$12,0.5,1))*(OFFSET($A$4,0,31*($A$3-1)+1,1,31))))</f>
        <v>0</v>
      </c>
      <c r="NK51" s="72">
        <f t="array" aca="1" ref="NK51" ca="1">SUMPRODUCT((OFFSET($A51,0,1,1,372)&lt;&gt;"")*(IF(OFFSET($A51,0,1,1,372)=Database!$K$11,0.5,IF(OFFSET($A51,0,1,1,372)=Database!$K$12,0.5,1))*(OFFSET($A$3,0,1,1,372))))</f>
        <v>0</v>
      </c>
      <c r="NL51" s="63">
        <f t="shared" ca="1" si="10"/>
        <v>0</v>
      </c>
      <c r="NM51" s="63">
        <f t="shared" ca="1" si="10"/>
        <v>0</v>
      </c>
      <c r="NN51" s="63">
        <f t="shared" ca="1" si="10"/>
        <v>0</v>
      </c>
      <c r="NO51" s="63">
        <f t="shared" ca="1" si="10"/>
        <v>0</v>
      </c>
      <c r="NP51" s="63">
        <f t="shared" ca="1" si="10"/>
        <v>0</v>
      </c>
      <c r="NQ51" s="63">
        <f t="shared" ca="1" si="10"/>
        <v>0</v>
      </c>
      <c r="NR51" s="63">
        <f t="shared" ca="1" si="10"/>
        <v>0</v>
      </c>
      <c r="NS51" s="63">
        <f t="shared" ca="1" si="10"/>
        <v>0</v>
      </c>
      <c r="NT51" s="63">
        <f t="shared" ca="1" si="10"/>
        <v>0</v>
      </c>
      <c r="NU51" s="63">
        <f t="shared" ca="1" si="10"/>
        <v>0</v>
      </c>
    </row>
    <row r="52" spans="1:385" ht="18" hidden="1" customHeight="1" outlineLevel="1" x14ac:dyDescent="0.25">
      <c r="A52" s="26"/>
      <c r="B52" s="68"/>
      <c r="C52" s="68"/>
      <c r="D52" s="68"/>
      <c r="E52" s="68"/>
      <c r="F52" s="68"/>
      <c r="G52" s="68"/>
      <c r="H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c r="AK52" s="68"/>
      <c r="AL52" s="68"/>
      <c r="AM52" s="68"/>
      <c r="AN52" s="68"/>
      <c r="AO52" s="68"/>
      <c r="AP52" s="68"/>
      <c r="AQ52" s="68"/>
      <c r="AR52" s="68"/>
      <c r="AS52" s="68"/>
      <c r="AT52" s="68"/>
      <c r="AU52" s="68"/>
      <c r="AV52" s="68"/>
      <c r="AW52" s="68"/>
      <c r="AX52" s="68"/>
      <c r="AY52" s="68"/>
      <c r="AZ52" s="68"/>
      <c r="BA52" s="68"/>
      <c r="BB52" s="68"/>
      <c r="BC52" s="68"/>
      <c r="BD52" s="68"/>
      <c r="BE52" s="68"/>
      <c r="BF52" s="68"/>
      <c r="BG52" s="68"/>
      <c r="BH52" s="68"/>
      <c r="BI52" s="68"/>
      <c r="BJ52" s="68"/>
      <c r="BK52" s="68"/>
      <c r="BL52" s="68"/>
      <c r="BM52" s="68"/>
      <c r="BN52" s="68"/>
      <c r="BO52" s="68"/>
      <c r="BP52" s="68"/>
      <c r="BQ52" s="68"/>
      <c r="BR52" s="68"/>
      <c r="BS52" s="68"/>
      <c r="BT52" s="68"/>
      <c r="BU52" s="68"/>
      <c r="BV52" s="68"/>
      <c r="BW52" s="68"/>
      <c r="BX52" s="68"/>
      <c r="BY52" s="68"/>
      <c r="BZ52" s="68"/>
      <c r="CA52" s="68"/>
      <c r="CB52" s="68"/>
      <c r="CC52" s="68"/>
      <c r="CD52" s="68"/>
      <c r="CE52" s="68"/>
      <c r="CF52" s="68"/>
      <c r="CG52" s="68"/>
      <c r="CH52" s="68"/>
      <c r="CI52" s="68"/>
      <c r="CJ52" s="68"/>
      <c r="CK52" s="68"/>
      <c r="CL52" s="68"/>
      <c r="CM52" s="68"/>
      <c r="CN52" s="68"/>
      <c r="CO52" s="68"/>
      <c r="CP52" s="68"/>
      <c r="CQ52" s="68"/>
      <c r="CR52" s="68"/>
      <c r="CS52" s="68"/>
      <c r="CT52" s="68"/>
      <c r="CU52" s="68"/>
      <c r="CV52" s="68"/>
      <c r="CW52" s="68"/>
      <c r="CX52" s="68"/>
      <c r="CY52" s="68"/>
      <c r="CZ52" s="68"/>
      <c r="DA52" s="68"/>
      <c r="DB52" s="68"/>
      <c r="DC52" s="68"/>
      <c r="DD52" s="68"/>
      <c r="DE52" s="68"/>
      <c r="DF52" s="68"/>
      <c r="DG52" s="68"/>
      <c r="DH52" s="68"/>
      <c r="DI52" s="68"/>
      <c r="DJ52" s="68"/>
      <c r="DK52" s="68"/>
      <c r="DL52" s="68"/>
      <c r="DM52" s="68"/>
      <c r="DN52" s="68"/>
      <c r="DO52" s="68"/>
      <c r="DP52" s="68"/>
      <c r="DQ52" s="68"/>
      <c r="DR52" s="68"/>
      <c r="DS52" s="68"/>
      <c r="DT52" s="68"/>
      <c r="DU52" s="68"/>
      <c r="DV52" s="68"/>
      <c r="DW52" s="68"/>
      <c r="DX52" s="68"/>
      <c r="DY52" s="68"/>
      <c r="DZ52" s="68"/>
      <c r="EA52" s="68"/>
      <c r="EB52" s="68"/>
      <c r="EC52" s="68"/>
      <c r="ED52" s="68"/>
      <c r="EE52" s="68"/>
      <c r="EF52" s="68"/>
      <c r="EG52" s="68"/>
      <c r="EH52" s="68"/>
      <c r="EI52" s="68"/>
      <c r="EJ52" s="68"/>
      <c r="EK52" s="68"/>
      <c r="EL52" s="68"/>
      <c r="EM52" s="68"/>
      <c r="EN52" s="68"/>
      <c r="EO52" s="68"/>
      <c r="EP52" s="68"/>
      <c r="EQ52" s="68"/>
      <c r="ER52" s="68"/>
      <c r="ES52" s="68"/>
      <c r="ET52" s="68"/>
      <c r="EU52" s="68"/>
      <c r="EV52" s="68"/>
      <c r="EW52" s="68"/>
      <c r="EX52" s="68"/>
      <c r="EY52" s="68"/>
      <c r="EZ52" s="68"/>
      <c r="FA52" s="68"/>
      <c r="FB52" s="68"/>
      <c r="FC52" s="68"/>
      <c r="FD52" s="68"/>
      <c r="FE52" s="68"/>
      <c r="FF52" s="68"/>
      <c r="FG52" s="68"/>
      <c r="FH52" s="68"/>
      <c r="FI52" s="68"/>
      <c r="FJ52" s="68"/>
      <c r="FK52" s="68"/>
      <c r="FL52" s="68"/>
      <c r="FM52" s="68"/>
      <c r="FN52" s="68"/>
      <c r="FO52" s="68"/>
      <c r="FP52" s="68"/>
      <c r="FQ52" s="68"/>
      <c r="FR52" s="68"/>
      <c r="FS52" s="68"/>
      <c r="FT52" s="68"/>
      <c r="FU52" s="68"/>
      <c r="FV52" s="68"/>
      <c r="FW52" s="68"/>
      <c r="FX52" s="68"/>
      <c r="FY52" s="68"/>
      <c r="FZ52" s="68"/>
      <c r="GA52" s="68"/>
      <c r="GB52" s="68"/>
      <c r="GC52" s="68"/>
      <c r="GD52" s="68"/>
      <c r="GE52" s="68"/>
      <c r="GF52" s="68"/>
      <c r="GG52" s="68"/>
      <c r="GH52" s="68"/>
      <c r="GI52" s="68"/>
      <c r="GJ52" s="68"/>
      <c r="GK52" s="68"/>
      <c r="GL52" s="68"/>
      <c r="GM52" s="68"/>
      <c r="GN52" s="68"/>
      <c r="GO52" s="68"/>
      <c r="GP52" s="68"/>
      <c r="GQ52" s="68"/>
      <c r="GR52" s="68"/>
      <c r="GS52" s="68"/>
      <c r="GT52" s="68"/>
      <c r="GU52" s="68"/>
      <c r="GV52" s="68"/>
      <c r="GW52" s="68"/>
      <c r="GX52" s="68"/>
      <c r="GY52" s="68"/>
      <c r="GZ52" s="68"/>
      <c r="HA52" s="68"/>
      <c r="HB52" s="68"/>
      <c r="HC52" s="68"/>
      <c r="HD52" s="68"/>
      <c r="HE52" s="68"/>
      <c r="HF52" s="68"/>
      <c r="HG52" s="68"/>
      <c r="HH52" s="68"/>
      <c r="HI52" s="68"/>
      <c r="HJ52" s="68"/>
      <c r="HK52" s="68"/>
      <c r="HL52" s="68"/>
      <c r="HM52" s="68"/>
      <c r="HN52" s="68"/>
      <c r="HO52" s="68"/>
      <c r="HP52" s="68"/>
      <c r="HQ52" s="68"/>
      <c r="HR52" s="68"/>
      <c r="HS52" s="68"/>
      <c r="HT52" s="68"/>
      <c r="HU52" s="68"/>
      <c r="HV52" s="68"/>
      <c r="HW52" s="68"/>
      <c r="HX52" s="68"/>
      <c r="HY52" s="68"/>
      <c r="HZ52" s="68"/>
      <c r="IA52" s="68"/>
      <c r="IB52" s="68"/>
      <c r="IC52" s="68"/>
      <c r="ID52" s="68"/>
      <c r="IE52" s="68"/>
      <c r="IF52" s="68"/>
      <c r="IG52" s="68"/>
      <c r="IH52" s="68"/>
      <c r="II52" s="68"/>
      <c r="IJ52" s="68"/>
      <c r="IK52" s="68"/>
      <c r="IL52" s="68"/>
      <c r="IM52" s="68"/>
      <c r="IN52" s="68"/>
      <c r="IO52" s="68"/>
      <c r="IP52" s="68"/>
      <c r="IQ52" s="68"/>
      <c r="IR52" s="68"/>
      <c r="IS52" s="68"/>
      <c r="IT52" s="68"/>
      <c r="IU52" s="68"/>
      <c r="IV52" s="68"/>
      <c r="IW52" s="68"/>
      <c r="IX52" s="68"/>
      <c r="IY52" s="68"/>
      <c r="IZ52" s="68"/>
      <c r="JA52" s="68"/>
      <c r="JB52" s="68"/>
      <c r="JC52" s="68"/>
      <c r="JD52" s="68"/>
      <c r="JE52" s="68"/>
      <c r="JF52" s="68"/>
      <c r="JG52" s="68"/>
      <c r="JH52" s="68"/>
      <c r="JI52" s="68"/>
      <c r="JJ52" s="68"/>
      <c r="JK52" s="68"/>
      <c r="JL52" s="68"/>
      <c r="JM52" s="68"/>
      <c r="JN52" s="68"/>
      <c r="JO52" s="68"/>
      <c r="JP52" s="68"/>
      <c r="JQ52" s="68"/>
      <c r="JR52" s="68"/>
      <c r="JS52" s="68"/>
      <c r="JT52" s="68"/>
      <c r="JU52" s="68"/>
      <c r="JV52" s="68"/>
      <c r="JW52" s="68"/>
      <c r="JX52" s="68"/>
      <c r="JY52" s="68"/>
      <c r="JZ52" s="68"/>
      <c r="KA52" s="68"/>
      <c r="KB52" s="68"/>
      <c r="KC52" s="68"/>
      <c r="KD52" s="68"/>
      <c r="KE52" s="68"/>
      <c r="KF52" s="68"/>
      <c r="KG52" s="68"/>
      <c r="KH52" s="68"/>
      <c r="KI52" s="68"/>
      <c r="KJ52" s="68"/>
      <c r="KK52" s="68"/>
      <c r="KL52" s="68"/>
      <c r="KM52" s="68"/>
      <c r="KN52" s="68"/>
      <c r="KO52" s="68"/>
      <c r="KP52" s="68"/>
      <c r="KQ52" s="68"/>
      <c r="KR52" s="68"/>
      <c r="KS52" s="68"/>
      <c r="KT52" s="68"/>
      <c r="KU52" s="68"/>
      <c r="KV52" s="68"/>
      <c r="KW52" s="68"/>
      <c r="KX52" s="68"/>
      <c r="KY52" s="68"/>
      <c r="KZ52" s="68"/>
      <c r="LA52" s="68"/>
      <c r="LB52" s="68"/>
      <c r="LC52" s="68"/>
      <c r="LD52" s="68"/>
      <c r="LE52" s="68"/>
      <c r="LF52" s="68"/>
      <c r="LG52" s="68"/>
      <c r="LH52" s="68"/>
      <c r="LI52" s="68"/>
      <c r="LJ52" s="68"/>
      <c r="LK52" s="68"/>
      <c r="LL52" s="68"/>
      <c r="LM52" s="68"/>
      <c r="LN52" s="68"/>
      <c r="LO52" s="68"/>
      <c r="LP52" s="68"/>
      <c r="LQ52" s="68"/>
      <c r="LR52" s="68"/>
      <c r="LS52" s="68"/>
      <c r="LT52" s="68"/>
      <c r="LU52" s="68"/>
      <c r="LV52" s="68"/>
      <c r="LW52" s="68"/>
      <c r="LX52" s="68"/>
      <c r="LY52" s="68"/>
      <c r="LZ52" s="68"/>
      <c r="MA52" s="68"/>
      <c r="MB52" s="68"/>
      <c r="MC52" s="68"/>
      <c r="MD52" s="68"/>
      <c r="ME52" s="68"/>
      <c r="MF52" s="68"/>
      <c r="MG52" s="68"/>
      <c r="MH52" s="68"/>
      <c r="MI52" s="68"/>
      <c r="MJ52" s="68"/>
      <c r="MK52" s="68"/>
      <c r="ML52" s="68"/>
      <c r="MM52" s="68"/>
      <c r="MN52" s="68"/>
      <c r="MO52" s="68"/>
      <c r="MP52" s="68"/>
      <c r="MQ52" s="68"/>
      <c r="MR52" s="68"/>
      <c r="MS52" s="68"/>
      <c r="MT52" s="68"/>
      <c r="MU52" s="68"/>
      <c r="MV52" s="68"/>
      <c r="MW52" s="68"/>
      <c r="MX52" s="68"/>
      <c r="MY52" s="68"/>
      <c r="MZ52" s="68"/>
      <c r="NA52" s="68"/>
      <c r="NB52" s="68"/>
      <c r="NC52" s="68"/>
      <c r="ND52" s="68"/>
      <c r="NE52" s="68"/>
      <c r="NF52" s="68"/>
      <c r="NG52" s="68"/>
      <c r="NH52" s="68"/>
      <c r="NI52" s="68"/>
      <c r="NJ52" s="70">
        <f t="array" aca="1" ref="NJ52" ca="1">SUMPRODUCT((OFFSET($A52,0,31*($A$3-1)+1,1,31)&lt;&gt;"")*(IF(OFFSET($A52,0,31*($A$3-1)+1,1,31)=Database!$K$11,0.5,IF(OFFSET($A52,0,31*($A$3-1)+1,1,31)=Database!$K$12,0.5,1))*(OFFSET($A$4,0,31*($A$3-1)+1,1,31))))</f>
        <v>0</v>
      </c>
      <c r="NK52" s="72">
        <f t="array" aca="1" ref="NK52" ca="1">SUMPRODUCT((OFFSET($A52,0,1,1,372)&lt;&gt;"")*(IF(OFFSET($A52,0,1,1,372)=Database!$K$11,0.5,IF(OFFSET($A52,0,1,1,372)=Database!$K$12,0.5,1))*(OFFSET($A$3,0,1,1,372))))</f>
        <v>0</v>
      </c>
      <c r="NL52" s="63">
        <f t="shared" ca="1" si="10"/>
        <v>0</v>
      </c>
      <c r="NM52" s="63">
        <f t="shared" ca="1" si="10"/>
        <v>0</v>
      </c>
      <c r="NN52" s="63">
        <f t="shared" ca="1" si="10"/>
        <v>0</v>
      </c>
      <c r="NO52" s="63">
        <f t="shared" ca="1" si="10"/>
        <v>0</v>
      </c>
      <c r="NP52" s="63">
        <f t="shared" ca="1" si="10"/>
        <v>0</v>
      </c>
      <c r="NQ52" s="63">
        <f t="shared" ca="1" si="10"/>
        <v>0</v>
      </c>
      <c r="NR52" s="63">
        <f t="shared" ca="1" si="10"/>
        <v>0</v>
      </c>
      <c r="NS52" s="63">
        <f t="shared" ca="1" si="10"/>
        <v>0</v>
      </c>
      <c r="NT52" s="63">
        <f t="shared" ca="1" si="10"/>
        <v>0</v>
      </c>
      <c r="NU52" s="63">
        <f t="shared" ca="1" si="10"/>
        <v>0</v>
      </c>
    </row>
    <row r="53" spans="1:385" ht="18" hidden="1" customHeight="1" outlineLevel="1" x14ac:dyDescent="0.25">
      <c r="A53" s="26"/>
      <c r="B53" s="68"/>
      <c r="C53" s="68"/>
      <c r="D53" s="68"/>
      <c r="E53" s="68"/>
      <c r="F53" s="68"/>
      <c r="G53" s="68"/>
      <c r="H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c r="AK53" s="68"/>
      <c r="AL53" s="68"/>
      <c r="AM53" s="68"/>
      <c r="AN53" s="68"/>
      <c r="AO53" s="68"/>
      <c r="AP53" s="68"/>
      <c r="AQ53" s="68"/>
      <c r="AR53" s="68"/>
      <c r="AS53" s="68"/>
      <c r="AT53" s="68"/>
      <c r="AU53" s="68"/>
      <c r="AV53" s="68"/>
      <c r="AW53" s="68"/>
      <c r="AX53" s="68"/>
      <c r="AY53" s="68"/>
      <c r="AZ53" s="68"/>
      <c r="BA53" s="68"/>
      <c r="BB53" s="68"/>
      <c r="BC53" s="68"/>
      <c r="BD53" s="68"/>
      <c r="BE53" s="68"/>
      <c r="BF53" s="68"/>
      <c r="BG53" s="68"/>
      <c r="BH53" s="68"/>
      <c r="BI53" s="68"/>
      <c r="BJ53" s="68"/>
      <c r="BK53" s="68"/>
      <c r="BL53" s="68"/>
      <c r="BM53" s="68"/>
      <c r="BN53" s="68"/>
      <c r="BO53" s="68"/>
      <c r="BP53" s="68"/>
      <c r="BQ53" s="68"/>
      <c r="BR53" s="68"/>
      <c r="BS53" s="68"/>
      <c r="BT53" s="68"/>
      <c r="BU53" s="68"/>
      <c r="BV53" s="68"/>
      <c r="BW53" s="68"/>
      <c r="BX53" s="68"/>
      <c r="BY53" s="68"/>
      <c r="BZ53" s="68"/>
      <c r="CA53" s="68"/>
      <c r="CB53" s="68"/>
      <c r="CC53" s="68"/>
      <c r="CD53" s="68"/>
      <c r="CE53" s="68"/>
      <c r="CF53" s="68"/>
      <c r="CG53" s="68"/>
      <c r="CH53" s="68"/>
      <c r="CI53" s="68"/>
      <c r="CJ53" s="68"/>
      <c r="CK53" s="68"/>
      <c r="CL53" s="68"/>
      <c r="CM53" s="68"/>
      <c r="CN53" s="68"/>
      <c r="CO53" s="68"/>
      <c r="CP53" s="68"/>
      <c r="CQ53" s="68"/>
      <c r="CR53" s="68"/>
      <c r="CS53" s="68"/>
      <c r="CT53" s="68"/>
      <c r="CU53" s="68"/>
      <c r="CV53" s="68"/>
      <c r="CW53" s="68"/>
      <c r="CX53" s="68"/>
      <c r="CY53" s="68"/>
      <c r="CZ53" s="68"/>
      <c r="DA53" s="68"/>
      <c r="DB53" s="68"/>
      <c r="DC53" s="68"/>
      <c r="DD53" s="68"/>
      <c r="DE53" s="68"/>
      <c r="DF53" s="68"/>
      <c r="DG53" s="68"/>
      <c r="DH53" s="68"/>
      <c r="DI53" s="68"/>
      <c r="DJ53" s="68"/>
      <c r="DK53" s="68"/>
      <c r="DL53" s="68"/>
      <c r="DM53" s="68"/>
      <c r="DN53" s="68"/>
      <c r="DO53" s="68"/>
      <c r="DP53" s="68"/>
      <c r="DQ53" s="68"/>
      <c r="DR53" s="68"/>
      <c r="DS53" s="68"/>
      <c r="DT53" s="68"/>
      <c r="DU53" s="68"/>
      <c r="DV53" s="68"/>
      <c r="DW53" s="68"/>
      <c r="DX53" s="68"/>
      <c r="DY53" s="68"/>
      <c r="DZ53" s="68"/>
      <c r="EA53" s="68"/>
      <c r="EB53" s="68"/>
      <c r="EC53" s="68"/>
      <c r="ED53" s="68"/>
      <c r="EE53" s="68"/>
      <c r="EF53" s="68"/>
      <c r="EG53" s="68"/>
      <c r="EH53" s="68"/>
      <c r="EI53" s="68"/>
      <c r="EJ53" s="68"/>
      <c r="EK53" s="68"/>
      <c r="EL53" s="68"/>
      <c r="EM53" s="68"/>
      <c r="EN53" s="68"/>
      <c r="EO53" s="68"/>
      <c r="EP53" s="68"/>
      <c r="EQ53" s="68"/>
      <c r="ER53" s="68"/>
      <c r="ES53" s="68"/>
      <c r="ET53" s="68"/>
      <c r="EU53" s="68"/>
      <c r="EV53" s="68"/>
      <c r="EW53" s="68"/>
      <c r="EX53" s="68"/>
      <c r="EY53" s="68"/>
      <c r="EZ53" s="68"/>
      <c r="FA53" s="68"/>
      <c r="FB53" s="68"/>
      <c r="FC53" s="68"/>
      <c r="FD53" s="68"/>
      <c r="FE53" s="68"/>
      <c r="FF53" s="68"/>
      <c r="FG53" s="68"/>
      <c r="FH53" s="68"/>
      <c r="FI53" s="68"/>
      <c r="FJ53" s="68"/>
      <c r="FK53" s="68"/>
      <c r="FL53" s="68"/>
      <c r="FM53" s="68"/>
      <c r="FN53" s="68"/>
      <c r="FO53" s="68"/>
      <c r="FP53" s="68"/>
      <c r="FQ53" s="68"/>
      <c r="FR53" s="68"/>
      <c r="FS53" s="68"/>
      <c r="FT53" s="68"/>
      <c r="FU53" s="68"/>
      <c r="FV53" s="68"/>
      <c r="FW53" s="68"/>
      <c r="FX53" s="68"/>
      <c r="FY53" s="68"/>
      <c r="FZ53" s="68"/>
      <c r="GA53" s="68"/>
      <c r="GB53" s="68"/>
      <c r="GC53" s="68"/>
      <c r="GD53" s="68"/>
      <c r="GE53" s="68"/>
      <c r="GF53" s="68"/>
      <c r="GG53" s="68"/>
      <c r="GH53" s="68"/>
      <c r="GI53" s="68"/>
      <c r="GJ53" s="68"/>
      <c r="GK53" s="68"/>
      <c r="GL53" s="68"/>
      <c r="GM53" s="68"/>
      <c r="GN53" s="68"/>
      <c r="GO53" s="68"/>
      <c r="GP53" s="68"/>
      <c r="GQ53" s="68"/>
      <c r="GR53" s="68"/>
      <c r="GS53" s="68"/>
      <c r="GT53" s="68"/>
      <c r="GU53" s="68"/>
      <c r="GV53" s="68"/>
      <c r="GW53" s="68"/>
      <c r="GX53" s="68"/>
      <c r="GY53" s="68"/>
      <c r="GZ53" s="68"/>
      <c r="HA53" s="68"/>
      <c r="HB53" s="68"/>
      <c r="HC53" s="68"/>
      <c r="HD53" s="68"/>
      <c r="HE53" s="68"/>
      <c r="HF53" s="68"/>
      <c r="HG53" s="68"/>
      <c r="HH53" s="68"/>
      <c r="HI53" s="68"/>
      <c r="HJ53" s="68"/>
      <c r="HK53" s="68"/>
      <c r="HL53" s="68"/>
      <c r="HM53" s="68"/>
      <c r="HN53" s="68"/>
      <c r="HO53" s="68"/>
      <c r="HP53" s="68"/>
      <c r="HQ53" s="68"/>
      <c r="HR53" s="68"/>
      <c r="HS53" s="68"/>
      <c r="HT53" s="68"/>
      <c r="HU53" s="68"/>
      <c r="HV53" s="68"/>
      <c r="HW53" s="68"/>
      <c r="HX53" s="68"/>
      <c r="HY53" s="68"/>
      <c r="HZ53" s="68"/>
      <c r="IA53" s="68"/>
      <c r="IB53" s="68"/>
      <c r="IC53" s="68"/>
      <c r="ID53" s="68"/>
      <c r="IE53" s="68"/>
      <c r="IF53" s="68"/>
      <c r="IG53" s="68"/>
      <c r="IH53" s="68"/>
      <c r="II53" s="68"/>
      <c r="IJ53" s="68"/>
      <c r="IK53" s="68"/>
      <c r="IL53" s="68"/>
      <c r="IM53" s="68"/>
      <c r="IN53" s="68"/>
      <c r="IO53" s="68"/>
      <c r="IP53" s="68"/>
      <c r="IQ53" s="68"/>
      <c r="IR53" s="68"/>
      <c r="IS53" s="68"/>
      <c r="IT53" s="68"/>
      <c r="IU53" s="68"/>
      <c r="IV53" s="68"/>
      <c r="IW53" s="68"/>
      <c r="IX53" s="68"/>
      <c r="IY53" s="68"/>
      <c r="IZ53" s="68"/>
      <c r="JA53" s="68"/>
      <c r="JB53" s="68"/>
      <c r="JC53" s="68"/>
      <c r="JD53" s="68"/>
      <c r="JE53" s="68"/>
      <c r="JF53" s="68"/>
      <c r="JG53" s="68"/>
      <c r="JH53" s="68"/>
      <c r="JI53" s="68"/>
      <c r="JJ53" s="68"/>
      <c r="JK53" s="68"/>
      <c r="JL53" s="68"/>
      <c r="JM53" s="68"/>
      <c r="JN53" s="68"/>
      <c r="JO53" s="68"/>
      <c r="JP53" s="68"/>
      <c r="JQ53" s="68"/>
      <c r="JR53" s="68"/>
      <c r="JS53" s="68"/>
      <c r="JT53" s="68"/>
      <c r="JU53" s="68"/>
      <c r="JV53" s="68"/>
      <c r="JW53" s="68"/>
      <c r="JX53" s="68"/>
      <c r="JY53" s="68"/>
      <c r="JZ53" s="68"/>
      <c r="KA53" s="68"/>
      <c r="KB53" s="68"/>
      <c r="KC53" s="68"/>
      <c r="KD53" s="68"/>
      <c r="KE53" s="68"/>
      <c r="KF53" s="68"/>
      <c r="KG53" s="68"/>
      <c r="KH53" s="68"/>
      <c r="KI53" s="68"/>
      <c r="KJ53" s="68"/>
      <c r="KK53" s="68"/>
      <c r="KL53" s="68"/>
      <c r="KM53" s="68"/>
      <c r="KN53" s="68"/>
      <c r="KO53" s="68"/>
      <c r="KP53" s="68"/>
      <c r="KQ53" s="68"/>
      <c r="KR53" s="68"/>
      <c r="KS53" s="68"/>
      <c r="KT53" s="68"/>
      <c r="KU53" s="68"/>
      <c r="KV53" s="68"/>
      <c r="KW53" s="68"/>
      <c r="KX53" s="68"/>
      <c r="KY53" s="68"/>
      <c r="KZ53" s="68"/>
      <c r="LA53" s="68"/>
      <c r="LB53" s="68"/>
      <c r="LC53" s="68"/>
      <c r="LD53" s="68"/>
      <c r="LE53" s="68"/>
      <c r="LF53" s="68"/>
      <c r="LG53" s="68"/>
      <c r="LH53" s="68"/>
      <c r="LI53" s="68"/>
      <c r="LJ53" s="68"/>
      <c r="LK53" s="68"/>
      <c r="LL53" s="68"/>
      <c r="LM53" s="68"/>
      <c r="LN53" s="68"/>
      <c r="LO53" s="68"/>
      <c r="LP53" s="68"/>
      <c r="LQ53" s="68"/>
      <c r="LR53" s="68"/>
      <c r="LS53" s="68"/>
      <c r="LT53" s="68"/>
      <c r="LU53" s="68"/>
      <c r="LV53" s="68"/>
      <c r="LW53" s="68"/>
      <c r="LX53" s="68"/>
      <c r="LY53" s="68"/>
      <c r="LZ53" s="68"/>
      <c r="MA53" s="68"/>
      <c r="MB53" s="68"/>
      <c r="MC53" s="68"/>
      <c r="MD53" s="68"/>
      <c r="ME53" s="68"/>
      <c r="MF53" s="68"/>
      <c r="MG53" s="68"/>
      <c r="MH53" s="68"/>
      <c r="MI53" s="68"/>
      <c r="MJ53" s="68"/>
      <c r="MK53" s="68"/>
      <c r="ML53" s="68"/>
      <c r="MM53" s="68"/>
      <c r="MN53" s="68"/>
      <c r="MO53" s="68"/>
      <c r="MP53" s="68"/>
      <c r="MQ53" s="68"/>
      <c r="MR53" s="68"/>
      <c r="MS53" s="68"/>
      <c r="MT53" s="68"/>
      <c r="MU53" s="68"/>
      <c r="MV53" s="68"/>
      <c r="MW53" s="68"/>
      <c r="MX53" s="68"/>
      <c r="MY53" s="68"/>
      <c r="MZ53" s="68"/>
      <c r="NA53" s="68"/>
      <c r="NB53" s="68"/>
      <c r="NC53" s="68"/>
      <c r="ND53" s="68"/>
      <c r="NE53" s="68"/>
      <c r="NF53" s="68"/>
      <c r="NG53" s="68"/>
      <c r="NH53" s="68"/>
      <c r="NI53" s="68"/>
      <c r="NJ53" s="70">
        <f t="array" aca="1" ref="NJ53" ca="1">SUMPRODUCT((OFFSET($A53,0,31*($A$3-1)+1,1,31)&lt;&gt;"")*(IF(OFFSET($A53,0,31*($A$3-1)+1,1,31)=Database!$K$11,0.5,IF(OFFSET($A53,0,31*($A$3-1)+1,1,31)=Database!$K$12,0.5,1))*(OFFSET($A$4,0,31*($A$3-1)+1,1,31))))</f>
        <v>0</v>
      </c>
      <c r="NK53" s="72">
        <f t="array" aca="1" ref="NK53" ca="1">SUMPRODUCT((OFFSET($A53,0,1,1,372)&lt;&gt;"")*(IF(OFFSET($A53,0,1,1,372)=Database!$K$11,0.5,IF(OFFSET($A53,0,1,1,372)=Database!$K$12,0.5,1))*(OFFSET($A$3,0,1,1,372))))</f>
        <v>0</v>
      </c>
      <c r="NL53" s="63">
        <f t="shared" ca="1" si="10"/>
        <v>0</v>
      </c>
      <c r="NM53" s="63">
        <f t="shared" ca="1" si="10"/>
        <v>0</v>
      </c>
      <c r="NN53" s="63">
        <f t="shared" ca="1" si="10"/>
        <v>0</v>
      </c>
      <c r="NO53" s="63">
        <f t="shared" ca="1" si="10"/>
        <v>0</v>
      </c>
      <c r="NP53" s="63">
        <f t="shared" ca="1" si="10"/>
        <v>0</v>
      </c>
      <c r="NQ53" s="63">
        <f t="shared" ca="1" si="10"/>
        <v>0</v>
      </c>
      <c r="NR53" s="63">
        <f t="shared" ca="1" si="10"/>
        <v>0</v>
      </c>
      <c r="NS53" s="63">
        <f t="shared" ca="1" si="10"/>
        <v>0</v>
      </c>
      <c r="NT53" s="63">
        <f t="shared" ca="1" si="10"/>
        <v>0</v>
      </c>
      <c r="NU53" s="63">
        <f t="shared" ca="1" si="10"/>
        <v>0</v>
      </c>
    </row>
    <row r="54" spans="1:385" ht="18" hidden="1" customHeight="1" outlineLevel="1" x14ac:dyDescent="0.25">
      <c r="A54" s="26"/>
      <c r="B54" s="68"/>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8"/>
      <c r="AY54" s="68"/>
      <c r="AZ54" s="68"/>
      <c r="BA54" s="68"/>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8"/>
      <c r="CX54" s="68"/>
      <c r="CY54" s="68"/>
      <c r="CZ54" s="68"/>
      <c r="DA54" s="68"/>
      <c r="DB54" s="68"/>
      <c r="DC54" s="68"/>
      <c r="DD54" s="68"/>
      <c r="DE54" s="68"/>
      <c r="DF54" s="68"/>
      <c r="DG54" s="68"/>
      <c r="DH54" s="68"/>
      <c r="DI54" s="68"/>
      <c r="DJ54" s="68"/>
      <c r="DK54" s="68"/>
      <c r="DL54" s="68"/>
      <c r="DM54" s="68"/>
      <c r="DN54" s="68"/>
      <c r="DO54" s="68"/>
      <c r="DP54" s="68"/>
      <c r="DQ54" s="68"/>
      <c r="DR54" s="68"/>
      <c r="DS54" s="68"/>
      <c r="DT54" s="68"/>
      <c r="DU54" s="68"/>
      <c r="DV54" s="68"/>
      <c r="DW54" s="68"/>
      <c r="DX54" s="68"/>
      <c r="DY54" s="68"/>
      <c r="DZ54" s="68"/>
      <c r="EA54" s="68"/>
      <c r="EB54" s="68"/>
      <c r="EC54" s="68"/>
      <c r="ED54" s="68"/>
      <c r="EE54" s="68"/>
      <c r="EF54" s="68"/>
      <c r="EG54" s="68"/>
      <c r="EH54" s="68"/>
      <c r="EI54" s="68"/>
      <c r="EJ54" s="68"/>
      <c r="EK54" s="68"/>
      <c r="EL54" s="68"/>
      <c r="EM54" s="68"/>
      <c r="EN54" s="68"/>
      <c r="EO54" s="68"/>
      <c r="EP54" s="68"/>
      <c r="EQ54" s="68"/>
      <c r="ER54" s="68"/>
      <c r="ES54" s="68"/>
      <c r="ET54" s="68"/>
      <c r="EU54" s="68"/>
      <c r="EV54" s="68"/>
      <c r="EW54" s="68"/>
      <c r="EX54" s="68"/>
      <c r="EY54" s="68"/>
      <c r="EZ54" s="68"/>
      <c r="FA54" s="68"/>
      <c r="FB54" s="68"/>
      <c r="FC54" s="68"/>
      <c r="FD54" s="68"/>
      <c r="FE54" s="68"/>
      <c r="FF54" s="68"/>
      <c r="FG54" s="68"/>
      <c r="FH54" s="68"/>
      <c r="FI54" s="68"/>
      <c r="FJ54" s="68"/>
      <c r="FK54" s="68"/>
      <c r="FL54" s="68"/>
      <c r="FM54" s="68"/>
      <c r="FN54" s="68"/>
      <c r="FO54" s="68"/>
      <c r="FP54" s="68"/>
      <c r="FQ54" s="68"/>
      <c r="FR54" s="68"/>
      <c r="FS54" s="68"/>
      <c r="FT54" s="68"/>
      <c r="FU54" s="68"/>
      <c r="FV54" s="68"/>
      <c r="FW54" s="68"/>
      <c r="FX54" s="68"/>
      <c r="FY54" s="68"/>
      <c r="FZ54" s="68"/>
      <c r="GA54" s="68"/>
      <c r="GB54" s="68"/>
      <c r="GC54" s="68"/>
      <c r="GD54" s="68"/>
      <c r="GE54" s="68"/>
      <c r="GF54" s="68"/>
      <c r="GG54" s="68"/>
      <c r="GH54" s="68"/>
      <c r="GI54" s="68"/>
      <c r="GJ54" s="68"/>
      <c r="GK54" s="68"/>
      <c r="GL54" s="68"/>
      <c r="GM54" s="68"/>
      <c r="GN54" s="68"/>
      <c r="GO54" s="68"/>
      <c r="GP54" s="68"/>
      <c r="GQ54" s="68"/>
      <c r="GR54" s="68"/>
      <c r="GS54" s="68"/>
      <c r="GT54" s="68"/>
      <c r="GU54" s="68"/>
      <c r="GV54" s="68"/>
      <c r="GW54" s="68"/>
      <c r="GX54" s="68"/>
      <c r="GY54" s="68"/>
      <c r="GZ54" s="68"/>
      <c r="HA54" s="68"/>
      <c r="HB54" s="68"/>
      <c r="HC54" s="68"/>
      <c r="HD54" s="68"/>
      <c r="HE54" s="68"/>
      <c r="HF54" s="68"/>
      <c r="HG54" s="68"/>
      <c r="HH54" s="68"/>
      <c r="HI54" s="68"/>
      <c r="HJ54" s="68"/>
      <c r="HK54" s="68"/>
      <c r="HL54" s="68"/>
      <c r="HM54" s="68"/>
      <c r="HN54" s="68"/>
      <c r="HO54" s="68"/>
      <c r="HP54" s="68"/>
      <c r="HQ54" s="68"/>
      <c r="HR54" s="68"/>
      <c r="HS54" s="68"/>
      <c r="HT54" s="68"/>
      <c r="HU54" s="68"/>
      <c r="HV54" s="68"/>
      <c r="HW54" s="68"/>
      <c r="HX54" s="68"/>
      <c r="HY54" s="68"/>
      <c r="HZ54" s="68"/>
      <c r="IA54" s="68"/>
      <c r="IB54" s="68"/>
      <c r="IC54" s="68"/>
      <c r="ID54" s="68"/>
      <c r="IE54" s="68"/>
      <c r="IF54" s="68"/>
      <c r="IG54" s="68"/>
      <c r="IH54" s="68"/>
      <c r="II54" s="68"/>
      <c r="IJ54" s="68"/>
      <c r="IK54" s="68"/>
      <c r="IL54" s="68"/>
      <c r="IM54" s="68"/>
      <c r="IN54" s="68"/>
      <c r="IO54" s="68"/>
      <c r="IP54" s="68"/>
      <c r="IQ54" s="68"/>
      <c r="IR54" s="68"/>
      <c r="IS54" s="68"/>
      <c r="IT54" s="68"/>
      <c r="IU54" s="68"/>
      <c r="IV54" s="68"/>
      <c r="IW54" s="68"/>
      <c r="IX54" s="68"/>
      <c r="IY54" s="68"/>
      <c r="IZ54" s="68"/>
      <c r="JA54" s="68"/>
      <c r="JB54" s="68"/>
      <c r="JC54" s="68"/>
      <c r="JD54" s="68"/>
      <c r="JE54" s="68"/>
      <c r="JF54" s="68"/>
      <c r="JG54" s="68"/>
      <c r="JH54" s="68"/>
      <c r="JI54" s="68"/>
      <c r="JJ54" s="68"/>
      <c r="JK54" s="68"/>
      <c r="JL54" s="68"/>
      <c r="JM54" s="68"/>
      <c r="JN54" s="68"/>
      <c r="JO54" s="68"/>
      <c r="JP54" s="68"/>
      <c r="JQ54" s="68"/>
      <c r="JR54" s="68"/>
      <c r="JS54" s="68"/>
      <c r="JT54" s="68"/>
      <c r="JU54" s="68"/>
      <c r="JV54" s="68"/>
      <c r="JW54" s="68"/>
      <c r="JX54" s="68"/>
      <c r="JY54" s="68"/>
      <c r="JZ54" s="68"/>
      <c r="KA54" s="68"/>
      <c r="KB54" s="68"/>
      <c r="KC54" s="68"/>
      <c r="KD54" s="68"/>
      <c r="KE54" s="68"/>
      <c r="KF54" s="68"/>
      <c r="KG54" s="68"/>
      <c r="KH54" s="68"/>
      <c r="KI54" s="68"/>
      <c r="KJ54" s="68"/>
      <c r="KK54" s="68"/>
      <c r="KL54" s="68"/>
      <c r="KM54" s="68"/>
      <c r="KN54" s="68"/>
      <c r="KO54" s="68"/>
      <c r="KP54" s="68"/>
      <c r="KQ54" s="68"/>
      <c r="KR54" s="68"/>
      <c r="KS54" s="68"/>
      <c r="KT54" s="68"/>
      <c r="KU54" s="68"/>
      <c r="KV54" s="68"/>
      <c r="KW54" s="68"/>
      <c r="KX54" s="68"/>
      <c r="KY54" s="68"/>
      <c r="KZ54" s="68"/>
      <c r="LA54" s="68"/>
      <c r="LB54" s="68"/>
      <c r="LC54" s="68"/>
      <c r="LD54" s="68"/>
      <c r="LE54" s="68"/>
      <c r="LF54" s="68"/>
      <c r="LG54" s="68"/>
      <c r="LH54" s="68"/>
      <c r="LI54" s="68"/>
      <c r="LJ54" s="68"/>
      <c r="LK54" s="68"/>
      <c r="LL54" s="68"/>
      <c r="LM54" s="68"/>
      <c r="LN54" s="68"/>
      <c r="LO54" s="68"/>
      <c r="LP54" s="68"/>
      <c r="LQ54" s="68"/>
      <c r="LR54" s="68"/>
      <c r="LS54" s="68"/>
      <c r="LT54" s="68"/>
      <c r="LU54" s="68"/>
      <c r="LV54" s="68"/>
      <c r="LW54" s="68"/>
      <c r="LX54" s="68"/>
      <c r="LY54" s="68"/>
      <c r="LZ54" s="68"/>
      <c r="MA54" s="68"/>
      <c r="MB54" s="68"/>
      <c r="MC54" s="68"/>
      <c r="MD54" s="68"/>
      <c r="ME54" s="68"/>
      <c r="MF54" s="68"/>
      <c r="MG54" s="68"/>
      <c r="MH54" s="68"/>
      <c r="MI54" s="68"/>
      <c r="MJ54" s="68"/>
      <c r="MK54" s="68"/>
      <c r="ML54" s="68"/>
      <c r="MM54" s="68"/>
      <c r="MN54" s="68"/>
      <c r="MO54" s="68"/>
      <c r="MP54" s="68"/>
      <c r="MQ54" s="68"/>
      <c r="MR54" s="68"/>
      <c r="MS54" s="68"/>
      <c r="MT54" s="68"/>
      <c r="MU54" s="68"/>
      <c r="MV54" s="68"/>
      <c r="MW54" s="68"/>
      <c r="MX54" s="68"/>
      <c r="MY54" s="68"/>
      <c r="MZ54" s="68"/>
      <c r="NA54" s="68"/>
      <c r="NB54" s="68"/>
      <c r="NC54" s="68"/>
      <c r="ND54" s="68"/>
      <c r="NE54" s="68"/>
      <c r="NF54" s="68"/>
      <c r="NG54" s="68"/>
      <c r="NH54" s="68"/>
      <c r="NI54" s="68"/>
      <c r="NJ54" s="70">
        <f t="array" aca="1" ref="NJ54" ca="1">SUMPRODUCT((OFFSET($A54,0,31*($A$3-1)+1,1,31)&lt;&gt;"")*(IF(OFFSET($A54,0,31*($A$3-1)+1,1,31)=Database!$K$11,0.5,IF(OFFSET($A54,0,31*($A$3-1)+1,1,31)=Database!$K$12,0.5,1))*(OFFSET($A$4,0,31*($A$3-1)+1,1,31))))</f>
        <v>0</v>
      </c>
      <c r="NK54" s="72">
        <f t="array" aca="1" ref="NK54" ca="1">SUMPRODUCT((OFFSET($A54,0,1,1,372)&lt;&gt;"")*(IF(OFFSET($A54,0,1,1,372)=Database!$K$11,0.5,IF(OFFSET($A54,0,1,1,372)=Database!$K$12,0.5,1))*(OFFSET($A$3,0,1,1,372))))</f>
        <v>0</v>
      </c>
      <c r="NL54" s="63">
        <f t="shared" ca="1" si="10"/>
        <v>0</v>
      </c>
      <c r="NM54" s="63">
        <f t="shared" ca="1" si="10"/>
        <v>0</v>
      </c>
      <c r="NN54" s="63">
        <f t="shared" ca="1" si="10"/>
        <v>0</v>
      </c>
      <c r="NO54" s="63">
        <f t="shared" ca="1" si="10"/>
        <v>0</v>
      </c>
      <c r="NP54" s="63">
        <f t="shared" ca="1" si="10"/>
        <v>0</v>
      </c>
      <c r="NQ54" s="63">
        <f t="shared" ca="1" si="10"/>
        <v>0</v>
      </c>
      <c r="NR54" s="63">
        <f t="shared" ca="1" si="10"/>
        <v>0</v>
      </c>
      <c r="NS54" s="63">
        <f t="shared" ca="1" si="10"/>
        <v>0</v>
      </c>
      <c r="NT54" s="63">
        <f t="shared" ca="1" si="10"/>
        <v>0</v>
      </c>
      <c r="NU54" s="63">
        <f t="shared" ca="1" si="10"/>
        <v>0</v>
      </c>
    </row>
    <row r="55" spans="1:385" ht="18" hidden="1" customHeight="1" outlineLevel="1" x14ac:dyDescent="0.25">
      <c r="A55" s="26"/>
      <c r="B55" s="68"/>
      <c r="C55" s="68"/>
      <c r="D55" s="68"/>
      <c r="E55" s="68"/>
      <c r="F55" s="68"/>
      <c r="G55" s="68"/>
      <c r="H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c r="AK55" s="68"/>
      <c r="AL55" s="68"/>
      <c r="AM55" s="68"/>
      <c r="AN55" s="68"/>
      <c r="AO55" s="68"/>
      <c r="AP55" s="68"/>
      <c r="AQ55" s="68"/>
      <c r="AR55" s="68"/>
      <c r="AS55" s="68"/>
      <c r="AT55" s="68"/>
      <c r="AU55" s="68"/>
      <c r="AV55" s="68"/>
      <c r="AW55" s="68"/>
      <c r="AX55" s="68"/>
      <c r="AY55" s="68"/>
      <c r="AZ55" s="68"/>
      <c r="BA55" s="68"/>
      <c r="BB55" s="68"/>
      <c r="BC55" s="68"/>
      <c r="BD55" s="68"/>
      <c r="BE55" s="68"/>
      <c r="BF55" s="68"/>
      <c r="BG55" s="68"/>
      <c r="BH55" s="68"/>
      <c r="BI55" s="68"/>
      <c r="BJ55" s="68"/>
      <c r="BK55" s="68"/>
      <c r="BL55" s="68"/>
      <c r="BM55" s="68"/>
      <c r="BN55" s="68"/>
      <c r="BO55" s="68"/>
      <c r="BP55" s="68"/>
      <c r="BQ55" s="68"/>
      <c r="BR55" s="68"/>
      <c r="BS55" s="68"/>
      <c r="BT55" s="68"/>
      <c r="BU55" s="68"/>
      <c r="BV55" s="68"/>
      <c r="BW55" s="68"/>
      <c r="BX55" s="68"/>
      <c r="BY55" s="68"/>
      <c r="BZ55" s="68"/>
      <c r="CA55" s="68"/>
      <c r="CB55" s="68"/>
      <c r="CC55" s="68"/>
      <c r="CD55" s="68"/>
      <c r="CE55" s="68"/>
      <c r="CF55" s="68"/>
      <c r="CG55" s="68"/>
      <c r="CH55" s="68"/>
      <c r="CI55" s="68"/>
      <c r="CJ55" s="68"/>
      <c r="CK55" s="68"/>
      <c r="CL55" s="68"/>
      <c r="CM55" s="68"/>
      <c r="CN55" s="68"/>
      <c r="CO55" s="68"/>
      <c r="CP55" s="68"/>
      <c r="CQ55" s="68"/>
      <c r="CR55" s="68"/>
      <c r="CS55" s="68"/>
      <c r="CT55" s="68"/>
      <c r="CU55" s="68"/>
      <c r="CV55" s="68"/>
      <c r="CW55" s="68"/>
      <c r="CX55" s="68"/>
      <c r="CY55" s="68"/>
      <c r="CZ55" s="68"/>
      <c r="DA55" s="68"/>
      <c r="DB55" s="68"/>
      <c r="DC55" s="68"/>
      <c r="DD55" s="68"/>
      <c r="DE55" s="68"/>
      <c r="DF55" s="68"/>
      <c r="DG55" s="68"/>
      <c r="DH55" s="68"/>
      <c r="DI55" s="68"/>
      <c r="DJ55" s="68"/>
      <c r="DK55" s="68"/>
      <c r="DL55" s="68"/>
      <c r="DM55" s="68"/>
      <c r="DN55" s="68"/>
      <c r="DO55" s="68"/>
      <c r="DP55" s="68"/>
      <c r="DQ55" s="68"/>
      <c r="DR55" s="68"/>
      <c r="DS55" s="68"/>
      <c r="DT55" s="68"/>
      <c r="DU55" s="68"/>
      <c r="DV55" s="68"/>
      <c r="DW55" s="68"/>
      <c r="DX55" s="68"/>
      <c r="DY55" s="68"/>
      <c r="DZ55" s="68"/>
      <c r="EA55" s="68"/>
      <c r="EB55" s="68"/>
      <c r="EC55" s="68"/>
      <c r="ED55" s="68"/>
      <c r="EE55" s="68"/>
      <c r="EF55" s="68"/>
      <c r="EG55" s="68"/>
      <c r="EH55" s="68"/>
      <c r="EI55" s="68"/>
      <c r="EJ55" s="68"/>
      <c r="EK55" s="68"/>
      <c r="EL55" s="68"/>
      <c r="EM55" s="68"/>
      <c r="EN55" s="68"/>
      <c r="EO55" s="68"/>
      <c r="EP55" s="68"/>
      <c r="EQ55" s="68"/>
      <c r="ER55" s="68"/>
      <c r="ES55" s="68"/>
      <c r="ET55" s="68"/>
      <c r="EU55" s="68"/>
      <c r="EV55" s="68"/>
      <c r="EW55" s="68"/>
      <c r="EX55" s="68"/>
      <c r="EY55" s="68"/>
      <c r="EZ55" s="68"/>
      <c r="FA55" s="68"/>
      <c r="FB55" s="68"/>
      <c r="FC55" s="68"/>
      <c r="FD55" s="68"/>
      <c r="FE55" s="68"/>
      <c r="FF55" s="68"/>
      <c r="FG55" s="68"/>
      <c r="FH55" s="68"/>
      <c r="FI55" s="68"/>
      <c r="FJ55" s="68"/>
      <c r="FK55" s="68"/>
      <c r="FL55" s="68"/>
      <c r="FM55" s="68"/>
      <c r="FN55" s="68"/>
      <c r="FO55" s="68"/>
      <c r="FP55" s="68"/>
      <c r="FQ55" s="68"/>
      <c r="FR55" s="68"/>
      <c r="FS55" s="68"/>
      <c r="FT55" s="68"/>
      <c r="FU55" s="68"/>
      <c r="FV55" s="68"/>
      <c r="FW55" s="68"/>
      <c r="FX55" s="68"/>
      <c r="FY55" s="68"/>
      <c r="FZ55" s="68"/>
      <c r="GA55" s="68"/>
      <c r="GB55" s="68"/>
      <c r="GC55" s="68"/>
      <c r="GD55" s="68"/>
      <c r="GE55" s="68"/>
      <c r="GF55" s="68"/>
      <c r="GG55" s="68"/>
      <c r="GH55" s="68"/>
      <c r="GI55" s="68"/>
      <c r="GJ55" s="68"/>
      <c r="GK55" s="68"/>
      <c r="GL55" s="68"/>
      <c r="GM55" s="68"/>
      <c r="GN55" s="68"/>
      <c r="GO55" s="68"/>
      <c r="GP55" s="68"/>
      <c r="GQ55" s="68"/>
      <c r="GR55" s="68"/>
      <c r="GS55" s="68"/>
      <c r="GT55" s="68"/>
      <c r="GU55" s="68"/>
      <c r="GV55" s="68"/>
      <c r="GW55" s="68"/>
      <c r="GX55" s="68"/>
      <c r="GY55" s="68"/>
      <c r="GZ55" s="68"/>
      <c r="HA55" s="68"/>
      <c r="HB55" s="68"/>
      <c r="HC55" s="68"/>
      <c r="HD55" s="68"/>
      <c r="HE55" s="68"/>
      <c r="HF55" s="68"/>
      <c r="HG55" s="68"/>
      <c r="HH55" s="68"/>
      <c r="HI55" s="68"/>
      <c r="HJ55" s="68"/>
      <c r="HK55" s="68"/>
      <c r="HL55" s="68"/>
      <c r="HM55" s="68"/>
      <c r="HN55" s="68"/>
      <c r="HO55" s="68"/>
      <c r="HP55" s="68"/>
      <c r="HQ55" s="68"/>
      <c r="HR55" s="68"/>
      <c r="HS55" s="68"/>
      <c r="HT55" s="68"/>
      <c r="HU55" s="68"/>
      <c r="HV55" s="68"/>
      <c r="HW55" s="68"/>
      <c r="HX55" s="68"/>
      <c r="HY55" s="68"/>
      <c r="HZ55" s="68"/>
      <c r="IA55" s="68"/>
      <c r="IB55" s="68"/>
      <c r="IC55" s="68"/>
      <c r="ID55" s="68"/>
      <c r="IE55" s="68"/>
      <c r="IF55" s="68"/>
      <c r="IG55" s="68"/>
      <c r="IH55" s="68"/>
      <c r="II55" s="68"/>
      <c r="IJ55" s="68"/>
      <c r="IK55" s="68"/>
      <c r="IL55" s="68"/>
      <c r="IM55" s="68"/>
      <c r="IN55" s="68"/>
      <c r="IO55" s="68"/>
      <c r="IP55" s="68"/>
      <c r="IQ55" s="68"/>
      <c r="IR55" s="68"/>
      <c r="IS55" s="68"/>
      <c r="IT55" s="68"/>
      <c r="IU55" s="68"/>
      <c r="IV55" s="68"/>
      <c r="IW55" s="68"/>
      <c r="IX55" s="68"/>
      <c r="IY55" s="68"/>
      <c r="IZ55" s="68"/>
      <c r="JA55" s="68"/>
      <c r="JB55" s="68"/>
      <c r="JC55" s="68"/>
      <c r="JD55" s="68"/>
      <c r="JE55" s="68"/>
      <c r="JF55" s="68"/>
      <c r="JG55" s="68"/>
      <c r="JH55" s="68"/>
      <c r="JI55" s="68"/>
      <c r="JJ55" s="68"/>
      <c r="JK55" s="68"/>
      <c r="JL55" s="68"/>
      <c r="JM55" s="68"/>
      <c r="JN55" s="68"/>
      <c r="JO55" s="68"/>
      <c r="JP55" s="68"/>
      <c r="JQ55" s="68"/>
      <c r="JR55" s="68"/>
      <c r="JS55" s="68"/>
      <c r="JT55" s="68"/>
      <c r="JU55" s="68"/>
      <c r="JV55" s="68"/>
      <c r="JW55" s="68"/>
      <c r="JX55" s="68"/>
      <c r="JY55" s="68"/>
      <c r="JZ55" s="68"/>
      <c r="KA55" s="68"/>
      <c r="KB55" s="68"/>
      <c r="KC55" s="68"/>
      <c r="KD55" s="68"/>
      <c r="KE55" s="68"/>
      <c r="KF55" s="68"/>
      <c r="KG55" s="68"/>
      <c r="KH55" s="68"/>
      <c r="KI55" s="68"/>
      <c r="KJ55" s="68"/>
      <c r="KK55" s="68"/>
      <c r="KL55" s="68"/>
      <c r="KM55" s="68"/>
      <c r="KN55" s="68"/>
      <c r="KO55" s="68"/>
      <c r="KP55" s="68"/>
      <c r="KQ55" s="68"/>
      <c r="KR55" s="68"/>
      <c r="KS55" s="68"/>
      <c r="KT55" s="68"/>
      <c r="KU55" s="68"/>
      <c r="KV55" s="68"/>
      <c r="KW55" s="68"/>
      <c r="KX55" s="68"/>
      <c r="KY55" s="68"/>
      <c r="KZ55" s="68"/>
      <c r="LA55" s="68"/>
      <c r="LB55" s="68"/>
      <c r="LC55" s="68"/>
      <c r="LD55" s="68"/>
      <c r="LE55" s="68"/>
      <c r="LF55" s="68"/>
      <c r="LG55" s="68"/>
      <c r="LH55" s="68"/>
      <c r="LI55" s="68"/>
      <c r="LJ55" s="68"/>
      <c r="LK55" s="68"/>
      <c r="LL55" s="68"/>
      <c r="LM55" s="68"/>
      <c r="LN55" s="68"/>
      <c r="LO55" s="68"/>
      <c r="LP55" s="68"/>
      <c r="LQ55" s="68"/>
      <c r="LR55" s="68"/>
      <c r="LS55" s="68"/>
      <c r="LT55" s="68"/>
      <c r="LU55" s="68"/>
      <c r="LV55" s="68"/>
      <c r="LW55" s="68"/>
      <c r="LX55" s="68"/>
      <c r="LY55" s="68"/>
      <c r="LZ55" s="68"/>
      <c r="MA55" s="68"/>
      <c r="MB55" s="68"/>
      <c r="MC55" s="68"/>
      <c r="MD55" s="68"/>
      <c r="ME55" s="68"/>
      <c r="MF55" s="68"/>
      <c r="MG55" s="68"/>
      <c r="MH55" s="68"/>
      <c r="MI55" s="68"/>
      <c r="MJ55" s="68"/>
      <c r="MK55" s="68"/>
      <c r="ML55" s="68"/>
      <c r="MM55" s="68"/>
      <c r="MN55" s="68"/>
      <c r="MO55" s="68"/>
      <c r="MP55" s="68"/>
      <c r="MQ55" s="68"/>
      <c r="MR55" s="68"/>
      <c r="MS55" s="68"/>
      <c r="MT55" s="68"/>
      <c r="MU55" s="68"/>
      <c r="MV55" s="68"/>
      <c r="MW55" s="68"/>
      <c r="MX55" s="68"/>
      <c r="MY55" s="68"/>
      <c r="MZ55" s="68"/>
      <c r="NA55" s="68"/>
      <c r="NB55" s="68"/>
      <c r="NC55" s="68"/>
      <c r="ND55" s="68"/>
      <c r="NE55" s="68"/>
      <c r="NF55" s="68"/>
      <c r="NG55" s="68"/>
      <c r="NH55" s="68"/>
      <c r="NI55" s="68"/>
      <c r="NJ55" s="70">
        <f t="array" aca="1" ref="NJ55" ca="1">SUMPRODUCT((OFFSET($A55,0,31*($A$3-1)+1,1,31)&lt;&gt;"")*(IF(OFFSET($A55,0,31*($A$3-1)+1,1,31)=Database!$K$11,0.5,IF(OFFSET($A55,0,31*($A$3-1)+1,1,31)=Database!$K$12,0.5,1))*(OFFSET($A$4,0,31*($A$3-1)+1,1,31))))</f>
        <v>0</v>
      </c>
      <c r="NK55" s="72">
        <f t="array" aca="1" ref="NK55" ca="1">SUMPRODUCT((OFFSET($A55,0,1,1,372)&lt;&gt;"")*(IF(OFFSET($A55,0,1,1,372)=Database!$K$11,0.5,IF(OFFSET($A55,0,1,1,372)=Database!$K$12,0.5,1))*(OFFSET($A$3,0,1,1,372))))</f>
        <v>0</v>
      </c>
      <c r="NL55" s="63">
        <f t="shared" ca="1" si="10"/>
        <v>0</v>
      </c>
      <c r="NM55" s="63">
        <f t="shared" ca="1" si="10"/>
        <v>0</v>
      </c>
      <c r="NN55" s="63">
        <f t="shared" ca="1" si="10"/>
        <v>0</v>
      </c>
      <c r="NO55" s="63">
        <f t="shared" ca="1" si="10"/>
        <v>0</v>
      </c>
      <c r="NP55" s="63">
        <f t="shared" ca="1" si="10"/>
        <v>0</v>
      </c>
      <c r="NQ55" s="63">
        <f t="shared" ca="1" si="10"/>
        <v>0</v>
      </c>
      <c r="NR55" s="63">
        <f t="shared" ca="1" si="10"/>
        <v>0</v>
      </c>
      <c r="NS55" s="63">
        <f t="shared" ca="1" si="10"/>
        <v>0</v>
      </c>
      <c r="NT55" s="63">
        <f t="shared" ca="1" si="10"/>
        <v>0</v>
      </c>
      <c r="NU55" s="63">
        <f t="shared" ca="1" si="10"/>
        <v>0</v>
      </c>
    </row>
    <row r="56" spans="1:385" ht="18" hidden="1" customHeight="1" outlineLevel="1" x14ac:dyDescent="0.25">
      <c r="A56" s="26"/>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c r="AP56" s="68"/>
      <c r="AQ56" s="68"/>
      <c r="AR56" s="68"/>
      <c r="AS56" s="68"/>
      <c r="AT56" s="68"/>
      <c r="AU56" s="68"/>
      <c r="AV56" s="68"/>
      <c r="AW56" s="68"/>
      <c r="AX56" s="68"/>
      <c r="AY56" s="68"/>
      <c r="AZ56" s="68"/>
      <c r="BA56" s="68"/>
      <c r="BB56" s="68"/>
      <c r="BC56" s="68"/>
      <c r="BD56" s="68"/>
      <c r="BE56" s="68"/>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8"/>
      <c r="CJ56" s="68"/>
      <c r="CK56" s="68"/>
      <c r="CL56" s="68"/>
      <c r="CM56" s="68"/>
      <c r="CN56" s="68"/>
      <c r="CO56" s="68"/>
      <c r="CP56" s="68"/>
      <c r="CQ56" s="68"/>
      <c r="CR56" s="68"/>
      <c r="CS56" s="68"/>
      <c r="CT56" s="68"/>
      <c r="CU56" s="68"/>
      <c r="CV56" s="68"/>
      <c r="CW56" s="68"/>
      <c r="CX56" s="68"/>
      <c r="CY56" s="68"/>
      <c r="CZ56" s="68"/>
      <c r="DA56" s="68"/>
      <c r="DB56" s="68"/>
      <c r="DC56" s="68"/>
      <c r="DD56" s="68"/>
      <c r="DE56" s="68"/>
      <c r="DF56" s="68"/>
      <c r="DG56" s="68"/>
      <c r="DH56" s="68"/>
      <c r="DI56" s="68"/>
      <c r="DJ56" s="68"/>
      <c r="DK56" s="68"/>
      <c r="DL56" s="68"/>
      <c r="DM56" s="68"/>
      <c r="DN56" s="68"/>
      <c r="DO56" s="68"/>
      <c r="DP56" s="68"/>
      <c r="DQ56" s="68"/>
      <c r="DR56" s="68"/>
      <c r="DS56" s="68"/>
      <c r="DT56" s="68"/>
      <c r="DU56" s="68"/>
      <c r="DV56" s="68"/>
      <c r="DW56" s="68"/>
      <c r="DX56" s="68"/>
      <c r="DY56" s="68"/>
      <c r="DZ56" s="68"/>
      <c r="EA56" s="68"/>
      <c r="EB56" s="68"/>
      <c r="EC56" s="68"/>
      <c r="ED56" s="68"/>
      <c r="EE56" s="68"/>
      <c r="EF56" s="68"/>
      <c r="EG56" s="68"/>
      <c r="EH56" s="68"/>
      <c r="EI56" s="68"/>
      <c r="EJ56" s="68"/>
      <c r="EK56" s="68"/>
      <c r="EL56" s="68"/>
      <c r="EM56" s="68"/>
      <c r="EN56" s="68"/>
      <c r="EO56" s="68"/>
      <c r="EP56" s="68"/>
      <c r="EQ56" s="68"/>
      <c r="ER56" s="68"/>
      <c r="ES56" s="68"/>
      <c r="ET56" s="68"/>
      <c r="EU56" s="68"/>
      <c r="EV56" s="68"/>
      <c r="EW56" s="68"/>
      <c r="EX56" s="68"/>
      <c r="EY56" s="68"/>
      <c r="EZ56" s="68"/>
      <c r="FA56" s="68"/>
      <c r="FB56" s="68"/>
      <c r="FC56" s="68"/>
      <c r="FD56" s="68"/>
      <c r="FE56" s="68"/>
      <c r="FF56" s="68"/>
      <c r="FG56" s="68"/>
      <c r="FH56" s="68"/>
      <c r="FI56" s="68"/>
      <c r="FJ56" s="68"/>
      <c r="FK56" s="68"/>
      <c r="FL56" s="68"/>
      <c r="FM56" s="68"/>
      <c r="FN56" s="68"/>
      <c r="FO56" s="68"/>
      <c r="FP56" s="68"/>
      <c r="FQ56" s="68"/>
      <c r="FR56" s="68"/>
      <c r="FS56" s="68"/>
      <c r="FT56" s="68"/>
      <c r="FU56" s="68"/>
      <c r="FV56" s="68"/>
      <c r="FW56" s="68"/>
      <c r="FX56" s="68"/>
      <c r="FY56" s="68"/>
      <c r="FZ56" s="68"/>
      <c r="GA56" s="68"/>
      <c r="GB56" s="68"/>
      <c r="GC56" s="68"/>
      <c r="GD56" s="68"/>
      <c r="GE56" s="68"/>
      <c r="GF56" s="68"/>
      <c r="GG56" s="68"/>
      <c r="GH56" s="68"/>
      <c r="GI56" s="68"/>
      <c r="GJ56" s="68"/>
      <c r="GK56" s="68"/>
      <c r="GL56" s="68"/>
      <c r="GM56" s="68"/>
      <c r="GN56" s="68"/>
      <c r="GO56" s="68"/>
      <c r="GP56" s="68"/>
      <c r="GQ56" s="68"/>
      <c r="GR56" s="68"/>
      <c r="GS56" s="68"/>
      <c r="GT56" s="68"/>
      <c r="GU56" s="68"/>
      <c r="GV56" s="68"/>
      <c r="GW56" s="68"/>
      <c r="GX56" s="68"/>
      <c r="GY56" s="68"/>
      <c r="GZ56" s="68"/>
      <c r="HA56" s="68"/>
      <c r="HB56" s="68"/>
      <c r="HC56" s="68"/>
      <c r="HD56" s="68"/>
      <c r="HE56" s="68"/>
      <c r="HF56" s="68"/>
      <c r="HG56" s="68"/>
      <c r="HH56" s="68"/>
      <c r="HI56" s="68"/>
      <c r="HJ56" s="68"/>
      <c r="HK56" s="68"/>
      <c r="HL56" s="68"/>
      <c r="HM56" s="68"/>
      <c r="HN56" s="68"/>
      <c r="HO56" s="68"/>
      <c r="HP56" s="68"/>
      <c r="HQ56" s="68"/>
      <c r="HR56" s="68"/>
      <c r="HS56" s="68"/>
      <c r="HT56" s="68"/>
      <c r="HU56" s="68"/>
      <c r="HV56" s="68"/>
      <c r="HW56" s="68"/>
      <c r="HX56" s="68"/>
      <c r="HY56" s="68"/>
      <c r="HZ56" s="68"/>
      <c r="IA56" s="68"/>
      <c r="IB56" s="68"/>
      <c r="IC56" s="68"/>
      <c r="ID56" s="68"/>
      <c r="IE56" s="68"/>
      <c r="IF56" s="68"/>
      <c r="IG56" s="68"/>
      <c r="IH56" s="68"/>
      <c r="II56" s="68"/>
      <c r="IJ56" s="68"/>
      <c r="IK56" s="68"/>
      <c r="IL56" s="68"/>
      <c r="IM56" s="68"/>
      <c r="IN56" s="68"/>
      <c r="IO56" s="68"/>
      <c r="IP56" s="68"/>
      <c r="IQ56" s="68"/>
      <c r="IR56" s="68"/>
      <c r="IS56" s="68"/>
      <c r="IT56" s="68"/>
      <c r="IU56" s="68"/>
      <c r="IV56" s="68"/>
      <c r="IW56" s="68"/>
      <c r="IX56" s="68"/>
      <c r="IY56" s="68"/>
      <c r="IZ56" s="68"/>
      <c r="JA56" s="68"/>
      <c r="JB56" s="68"/>
      <c r="JC56" s="68"/>
      <c r="JD56" s="68"/>
      <c r="JE56" s="68"/>
      <c r="JF56" s="68"/>
      <c r="JG56" s="68"/>
      <c r="JH56" s="68"/>
      <c r="JI56" s="68"/>
      <c r="JJ56" s="68"/>
      <c r="JK56" s="68"/>
      <c r="JL56" s="68"/>
      <c r="JM56" s="68"/>
      <c r="JN56" s="68"/>
      <c r="JO56" s="68"/>
      <c r="JP56" s="68"/>
      <c r="JQ56" s="68"/>
      <c r="JR56" s="68"/>
      <c r="JS56" s="68"/>
      <c r="JT56" s="68"/>
      <c r="JU56" s="68"/>
      <c r="JV56" s="68"/>
      <c r="JW56" s="68"/>
      <c r="JX56" s="68"/>
      <c r="JY56" s="68"/>
      <c r="JZ56" s="68"/>
      <c r="KA56" s="68"/>
      <c r="KB56" s="68"/>
      <c r="KC56" s="68"/>
      <c r="KD56" s="68"/>
      <c r="KE56" s="68"/>
      <c r="KF56" s="68"/>
      <c r="KG56" s="68"/>
      <c r="KH56" s="68"/>
      <c r="KI56" s="68"/>
      <c r="KJ56" s="68"/>
      <c r="KK56" s="68"/>
      <c r="KL56" s="68"/>
      <c r="KM56" s="68"/>
      <c r="KN56" s="68"/>
      <c r="KO56" s="68"/>
      <c r="KP56" s="68"/>
      <c r="KQ56" s="68"/>
      <c r="KR56" s="68"/>
      <c r="KS56" s="68"/>
      <c r="KT56" s="68"/>
      <c r="KU56" s="68"/>
      <c r="KV56" s="68"/>
      <c r="KW56" s="68"/>
      <c r="KX56" s="68"/>
      <c r="KY56" s="68"/>
      <c r="KZ56" s="68"/>
      <c r="LA56" s="68"/>
      <c r="LB56" s="68"/>
      <c r="LC56" s="68"/>
      <c r="LD56" s="68"/>
      <c r="LE56" s="68"/>
      <c r="LF56" s="68"/>
      <c r="LG56" s="68"/>
      <c r="LH56" s="68"/>
      <c r="LI56" s="68"/>
      <c r="LJ56" s="68"/>
      <c r="LK56" s="68"/>
      <c r="LL56" s="68"/>
      <c r="LM56" s="68"/>
      <c r="LN56" s="68"/>
      <c r="LO56" s="68"/>
      <c r="LP56" s="68"/>
      <c r="LQ56" s="68"/>
      <c r="LR56" s="68"/>
      <c r="LS56" s="68"/>
      <c r="LT56" s="68"/>
      <c r="LU56" s="68"/>
      <c r="LV56" s="68"/>
      <c r="LW56" s="68"/>
      <c r="LX56" s="68"/>
      <c r="LY56" s="68"/>
      <c r="LZ56" s="68"/>
      <c r="MA56" s="68"/>
      <c r="MB56" s="68"/>
      <c r="MC56" s="68"/>
      <c r="MD56" s="68"/>
      <c r="ME56" s="68"/>
      <c r="MF56" s="68"/>
      <c r="MG56" s="68"/>
      <c r="MH56" s="68"/>
      <c r="MI56" s="68"/>
      <c r="MJ56" s="68"/>
      <c r="MK56" s="68"/>
      <c r="ML56" s="68"/>
      <c r="MM56" s="68"/>
      <c r="MN56" s="68"/>
      <c r="MO56" s="68"/>
      <c r="MP56" s="68"/>
      <c r="MQ56" s="68"/>
      <c r="MR56" s="68"/>
      <c r="MS56" s="68"/>
      <c r="MT56" s="68"/>
      <c r="MU56" s="68"/>
      <c r="MV56" s="68"/>
      <c r="MW56" s="68"/>
      <c r="MX56" s="68"/>
      <c r="MY56" s="68"/>
      <c r="MZ56" s="68"/>
      <c r="NA56" s="68"/>
      <c r="NB56" s="68"/>
      <c r="NC56" s="68"/>
      <c r="ND56" s="68"/>
      <c r="NE56" s="68"/>
      <c r="NF56" s="68"/>
      <c r="NG56" s="68"/>
      <c r="NH56" s="68"/>
      <c r="NI56" s="68"/>
      <c r="NJ56" s="70">
        <f t="array" aca="1" ref="NJ56" ca="1">SUMPRODUCT((OFFSET($A56,0,31*($A$3-1)+1,1,31)&lt;&gt;"")*(IF(OFFSET($A56,0,31*($A$3-1)+1,1,31)=Database!$K$11,0.5,IF(OFFSET($A56,0,31*($A$3-1)+1,1,31)=Database!$K$12,0.5,1))*(OFFSET($A$4,0,31*($A$3-1)+1,1,31))))</f>
        <v>0</v>
      </c>
      <c r="NK56" s="72">
        <f t="array" aca="1" ref="NK56" ca="1">SUMPRODUCT((OFFSET($A56,0,1,1,372)&lt;&gt;"")*(IF(OFFSET($A56,0,1,1,372)=Database!$K$11,0.5,IF(OFFSET($A56,0,1,1,372)=Database!$K$12,0.5,1))*(OFFSET($A$3,0,1,1,372))))</f>
        <v>0</v>
      </c>
      <c r="NL56" s="63">
        <f t="shared" ca="1" si="10"/>
        <v>0</v>
      </c>
      <c r="NM56" s="63">
        <f t="shared" ca="1" si="10"/>
        <v>0</v>
      </c>
      <c r="NN56" s="63">
        <f t="shared" ca="1" si="10"/>
        <v>0</v>
      </c>
      <c r="NO56" s="63">
        <f t="shared" ca="1" si="10"/>
        <v>0</v>
      </c>
      <c r="NP56" s="63">
        <f t="shared" ca="1" si="10"/>
        <v>0</v>
      </c>
      <c r="NQ56" s="63">
        <f t="shared" ca="1" si="10"/>
        <v>0</v>
      </c>
      <c r="NR56" s="63">
        <f t="shared" ca="1" si="10"/>
        <v>0</v>
      </c>
      <c r="NS56" s="63">
        <f t="shared" ca="1" si="10"/>
        <v>0</v>
      </c>
      <c r="NT56" s="63">
        <f t="shared" ca="1" si="10"/>
        <v>0</v>
      </c>
      <c r="NU56" s="63">
        <f t="shared" ca="1" si="10"/>
        <v>0</v>
      </c>
    </row>
    <row r="57" spans="1:385" ht="18" hidden="1" customHeight="1" outlineLevel="1" x14ac:dyDescent="0.25">
      <c r="A57" s="26"/>
      <c r="B57" s="68"/>
      <c r="C57" s="68"/>
      <c r="D57" s="68"/>
      <c r="E57" s="68"/>
      <c r="F57" s="68"/>
      <c r="G57" s="68"/>
      <c r="H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c r="AK57" s="68"/>
      <c r="AL57" s="68"/>
      <c r="AM57" s="68"/>
      <c r="AN57" s="68"/>
      <c r="AO57" s="68"/>
      <c r="AP57" s="68"/>
      <c r="AQ57" s="68"/>
      <c r="AR57" s="68"/>
      <c r="AS57" s="68"/>
      <c r="AT57" s="68"/>
      <c r="AU57" s="68"/>
      <c r="AV57" s="68"/>
      <c r="AW57" s="68"/>
      <c r="AX57" s="68"/>
      <c r="AY57" s="68"/>
      <c r="AZ57" s="68"/>
      <c r="BA57" s="68"/>
      <c r="BB57" s="68"/>
      <c r="BC57" s="68"/>
      <c r="BD57" s="68"/>
      <c r="BE57" s="68"/>
      <c r="BF57" s="68"/>
      <c r="BG57" s="68"/>
      <c r="BH57" s="68"/>
      <c r="BI57" s="68"/>
      <c r="BJ57" s="68"/>
      <c r="BK57" s="68"/>
      <c r="BL57" s="68"/>
      <c r="BM57" s="68"/>
      <c r="BN57" s="68"/>
      <c r="BO57" s="68"/>
      <c r="BP57" s="68"/>
      <c r="BQ57" s="68"/>
      <c r="BR57" s="68"/>
      <c r="BS57" s="68"/>
      <c r="BT57" s="68"/>
      <c r="BU57" s="68"/>
      <c r="BV57" s="68"/>
      <c r="BW57" s="68"/>
      <c r="BX57" s="68"/>
      <c r="BY57" s="68"/>
      <c r="BZ57" s="68"/>
      <c r="CA57" s="68"/>
      <c r="CB57" s="68"/>
      <c r="CC57" s="68"/>
      <c r="CD57" s="68"/>
      <c r="CE57" s="68"/>
      <c r="CF57" s="68"/>
      <c r="CG57" s="68"/>
      <c r="CH57" s="68"/>
      <c r="CI57" s="68"/>
      <c r="CJ57" s="68"/>
      <c r="CK57" s="68"/>
      <c r="CL57" s="68"/>
      <c r="CM57" s="68"/>
      <c r="CN57" s="68"/>
      <c r="CO57" s="68"/>
      <c r="CP57" s="68"/>
      <c r="CQ57" s="68"/>
      <c r="CR57" s="68"/>
      <c r="CS57" s="68"/>
      <c r="CT57" s="68"/>
      <c r="CU57" s="68"/>
      <c r="CV57" s="68"/>
      <c r="CW57" s="68"/>
      <c r="CX57" s="68"/>
      <c r="CY57" s="68"/>
      <c r="CZ57" s="68"/>
      <c r="DA57" s="68"/>
      <c r="DB57" s="68"/>
      <c r="DC57" s="68"/>
      <c r="DD57" s="68"/>
      <c r="DE57" s="68"/>
      <c r="DF57" s="68"/>
      <c r="DG57" s="68"/>
      <c r="DH57" s="68"/>
      <c r="DI57" s="68"/>
      <c r="DJ57" s="68"/>
      <c r="DK57" s="68"/>
      <c r="DL57" s="68"/>
      <c r="DM57" s="68"/>
      <c r="DN57" s="68"/>
      <c r="DO57" s="68"/>
      <c r="DP57" s="68"/>
      <c r="DQ57" s="68"/>
      <c r="DR57" s="68"/>
      <c r="DS57" s="68"/>
      <c r="DT57" s="68"/>
      <c r="DU57" s="68"/>
      <c r="DV57" s="68"/>
      <c r="DW57" s="68"/>
      <c r="DX57" s="68"/>
      <c r="DY57" s="68"/>
      <c r="DZ57" s="68"/>
      <c r="EA57" s="68"/>
      <c r="EB57" s="68"/>
      <c r="EC57" s="68"/>
      <c r="ED57" s="68"/>
      <c r="EE57" s="68"/>
      <c r="EF57" s="68"/>
      <c r="EG57" s="68"/>
      <c r="EH57" s="68"/>
      <c r="EI57" s="68"/>
      <c r="EJ57" s="68"/>
      <c r="EK57" s="68"/>
      <c r="EL57" s="68"/>
      <c r="EM57" s="68"/>
      <c r="EN57" s="68"/>
      <c r="EO57" s="68"/>
      <c r="EP57" s="68"/>
      <c r="EQ57" s="68"/>
      <c r="ER57" s="68"/>
      <c r="ES57" s="68"/>
      <c r="ET57" s="68"/>
      <c r="EU57" s="68"/>
      <c r="EV57" s="68"/>
      <c r="EW57" s="68"/>
      <c r="EX57" s="68"/>
      <c r="EY57" s="68"/>
      <c r="EZ57" s="68"/>
      <c r="FA57" s="68"/>
      <c r="FB57" s="68"/>
      <c r="FC57" s="68"/>
      <c r="FD57" s="68"/>
      <c r="FE57" s="68"/>
      <c r="FF57" s="68"/>
      <c r="FG57" s="68"/>
      <c r="FH57" s="68"/>
      <c r="FI57" s="68"/>
      <c r="FJ57" s="68"/>
      <c r="FK57" s="68"/>
      <c r="FL57" s="68"/>
      <c r="FM57" s="68"/>
      <c r="FN57" s="68"/>
      <c r="FO57" s="68"/>
      <c r="FP57" s="68"/>
      <c r="FQ57" s="68"/>
      <c r="FR57" s="68"/>
      <c r="FS57" s="68"/>
      <c r="FT57" s="68"/>
      <c r="FU57" s="68"/>
      <c r="FV57" s="68"/>
      <c r="FW57" s="68"/>
      <c r="FX57" s="68"/>
      <c r="FY57" s="68"/>
      <c r="FZ57" s="68"/>
      <c r="GA57" s="68"/>
      <c r="GB57" s="68"/>
      <c r="GC57" s="68"/>
      <c r="GD57" s="68"/>
      <c r="GE57" s="68"/>
      <c r="GF57" s="68"/>
      <c r="GG57" s="68"/>
      <c r="GH57" s="68"/>
      <c r="GI57" s="68"/>
      <c r="GJ57" s="68"/>
      <c r="GK57" s="68"/>
      <c r="GL57" s="68"/>
      <c r="GM57" s="68"/>
      <c r="GN57" s="68"/>
      <c r="GO57" s="68"/>
      <c r="GP57" s="68"/>
      <c r="GQ57" s="68"/>
      <c r="GR57" s="68"/>
      <c r="GS57" s="68"/>
      <c r="GT57" s="68"/>
      <c r="GU57" s="68"/>
      <c r="GV57" s="68"/>
      <c r="GW57" s="68"/>
      <c r="GX57" s="68"/>
      <c r="GY57" s="68"/>
      <c r="GZ57" s="68"/>
      <c r="HA57" s="68"/>
      <c r="HB57" s="68"/>
      <c r="HC57" s="68"/>
      <c r="HD57" s="68"/>
      <c r="HE57" s="68"/>
      <c r="HF57" s="68"/>
      <c r="HG57" s="68"/>
      <c r="HH57" s="68"/>
      <c r="HI57" s="68"/>
      <c r="HJ57" s="68"/>
      <c r="HK57" s="68"/>
      <c r="HL57" s="68"/>
      <c r="HM57" s="68"/>
      <c r="HN57" s="68"/>
      <c r="HO57" s="68"/>
      <c r="HP57" s="68"/>
      <c r="HQ57" s="68"/>
      <c r="HR57" s="68"/>
      <c r="HS57" s="68"/>
      <c r="HT57" s="68"/>
      <c r="HU57" s="68"/>
      <c r="HV57" s="68"/>
      <c r="HW57" s="68"/>
      <c r="HX57" s="68"/>
      <c r="HY57" s="68"/>
      <c r="HZ57" s="68"/>
      <c r="IA57" s="68"/>
      <c r="IB57" s="68"/>
      <c r="IC57" s="68"/>
      <c r="ID57" s="68"/>
      <c r="IE57" s="68"/>
      <c r="IF57" s="68"/>
      <c r="IG57" s="68"/>
      <c r="IH57" s="68"/>
      <c r="II57" s="68"/>
      <c r="IJ57" s="68"/>
      <c r="IK57" s="68"/>
      <c r="IL57" s="68"/>
      <c r="IM57" s="68"/>
      <c r="IN57" s="68"/>
      <c r="IO57" s="68"/>
      <c r="IP57" s="68"/>
      <c r="IQ57" s="68"/>
      <c r="IR57" s="68"/>
      <c r="IS57" s="68"/>
      <c r="IT57" s="68"/>
      <c r="IU57" s="68"/>
      <c r="IV57" s="68"/>
      <c r="IW57" s="68"/>
      <c r="IX57" s="68"/>
      <c r="IY57" s="68"/>
      <c r="IZ57" s="68"/>
      <c r="JA57" s="68"/>
      <c r="JB57" s="68"/>
      <c r="JC57" s="68"/>
      <c r="JD57" s="68"/>
      <c r="JE57" s="68"/>
      <c r="JF57" s="68"/>
      <c r="JG57" s="68"/>
      <c r="JH57" s="68"/>
      <c r="JI57" s="68"/>
      <c r="JJ57" s="68"/>
      <c r="JK57" s="68"/>
      <c r="JL57" s="68"/>
      <c r="JM57" s="68"/>
      <c r="JN57" s="68"/>
      <c r="JO57" s="68"/>
      <c r="JP57" s="68"/>
      <c r="JQ57" s="68"/>
      <c r="JR57" s="68"/>
      <c r="JS57" s="68"/>
      <c r="JT57" s="68"/>
      <c r="JU57" s="68"/>
      <c r="JV57" s="68"/>
      <c r="JW57" s="68"/>
      <c r="JX57" s="68"/>
      <c r="JY57" s="68"/>
      <c r="JZ57" s="68"/>
      <c r="KA57" s="68"/>
      <c r="KB57" s="68"/>
      <c r="KC57" s="68"/>
      <c r="KD57" s="68"/>
      <c r="KE57" s="68"/>
      <c r="KF57" s="68"/>
      <c r="KG57" s="68"/>
      <c r="KH57" s="68"/>
      <c r="KI57" s="68"/>
      <c r="KJ57" s="68"/>
      <c r="KK57" s="68"/>
      <c r="KL57" s="68"/>
      <c r="KM57" s="68"/>
      <c r="KN57" s="68"/>
      <c r="KO57" s="68"/>
      <c r="KP57" s="68"/>
      <c r="KQ57" s="68"/>
      <c r="KR57" s="68"/>
      <c r="KS57" s="68"/>
      <c r="KT57" s="68"/>
      <c r="KU57" s="68"/>
      <c r="KV57" s="68"/>
      <c r="KW57" s="68"/>
      <c r="KX57" s="68"/>
      <c r="KY57" s="68"/>
      <c r="KZ57" s="68"/>
      <c r="LA57" s="68"/>
      <c r="LB57" s="68"/>
      <c r="LC57" s="68"/>
      <c r="LD57" s="68"/>
      <c r="LE57" s="68"/>
      <c r="LF57" s="68"/>
      <c r="LG57" s="68"/>
      <c r="LH57" s="68"/>
      <c r="LI57" s="68"/>
      <c r="LJ57" s="68"/>
      <c r="LK57" s="68"/>
      <c r="LL57" s="68"/>
      <c r="LM57" s="68"/>
      <c r="LN57" s="68"/>
      <c r="LO57" s="68"/>
      <c r="LP57" s="68"/>
      <c r="LQ57" s="68"/>
      <c r="LR57" s="68"/>
      <c r="LS57" s="68"/>
      <c r="LT57" s="68"/>
      <c r="LU57" s="68"/>
      <c r="LV57" s="68"/>
      <c r="LW57" s="68"/>
      <c r="LX57" s="68"/>
      <c r="LY57" s="68"/>
      <c r="LZ57" s="68"/>
      <c r="MA57" s="68"/>
      <c r="MB57" s="68"/>
      <c r="MC57" s="68"/>
      <c r="MD57" s="68"/>
      <c r="ME57" s="68"/>
      <c r="MF57" s="68"/>
      <c r="MG57" s="68"/>
      <c r="MH57" s="68"/>
      <c r="MI57" s="68"/>
      <c r="MJ57" s="68"/>
      <c r="MK57" s="68"/>
      <c r="ML57" s="68"/>
      <c r="MM57" s="68"/>
      <c r="MN57" s="68"/>
      <c r="MO57" s="68"/>
      <c r="MP57" s="68"/>
      <c r="MQ57" s="68"/>
      <c r="MR57" s="68"/>
      <c r="MS57" s="68"/>
      <c r="MT57" s="68"/>
      <c r="MU57" s="68"/>
      <c r="MV57" s="68"/>
      <c r="MW57" s="68"/>
      <c r="MX57" s="68"/>
      <c r="MY57" s="68"/>
      <c r="MZ57" s="68"/>
      <c r="NA57" s="68"/>
      <c r="NB57" s="68"/>
      <c r="NC57" s="68"/>
      <c r="ND57" s="68"/>
      <c r="NE57" s="68"/>
      <c r="NF57" s="68"/>
      <c r="NG57" s="68"/>
      <c r="NH57" s="68"/>
      <c r="NI57" s="68"/>
      <c r="NJ57" s="70">
        <f t="array" aca="1" ref="NJ57" ca="1">SUMPRODUCT((OFFSET($A57,0,31*($A$3-1)+1,1,31)&lt;&gt;"")*(IF(OFFSET($A57,0,31*($A$3-1)+1,1,31)=Database!$K$11,0.5,IF(OFFSET($A57,0,31*($A$3-1)+1,1,31)=Database!$K$12,0.5,1))*(OFFSET($A$4,0,31*($A$3-1)+1,1,31))))</f>
        <v>0</v>
      </c>
      <c r="NK57" s="72">
        <f t="array" aca="1" ref="NK57" ca="1">SUMPRODUCT((OFFSET($A57,0,1,1,372)&lt;&gt;"")*(IF(OFFSET($A57,0,1,1,372)=Database!$K$11,0.5,IF(OFFSET($A57,0,1,1,372)=Database!$K$12,0.5,1))*(OFFSET($A$3,0,1,1,372))))</f>
        <v>0</v>
      </c>
      <c r="NL57" s="63">
        <f t="shared" ca="1" si="10"/>
        <v>0</v>
      </c>
      <c r="NM57" s="63">
        <f t="shared" ca="1" si="10"/>
        <v>0</v>
      </c>
      <c r="NN57" s="63">
        <f t="shared" ca="1" si="10"/>
        <v>0</v>
      </c>
      <c r="NO57" s="63">
        <f t="shared" ca="1" si="10"/>
        <v>0</v>
      </c>
      <c r="NP57" s="63">
        <f t="shared" ca="1" si="10"/>
        <v>0</v>
      </c>
      <c r="NQ57" s="63">
        <f t="shared" ca="1" si="10"/>
        <v>0</v>
      </c>
      <c r="NR57" s="63">
        <f t="shared" ca="1" si="10"/>
        <v>0</v>
      </c>
      <c r="NS57" s="63">
        <f t="shared" ca="1" si="10"/>
        <v>0</v>
      </c>
      <c r="NT57" s="63">
        <f t="shared" ca="1" si="10"/>
        <v>0</v>
      </c>
      <c r="NU57" s="63">
        <f t="shared" ca="1" si="10"/>
        <v>0</v>
      </c>
    </row>
    <row r="58" spans="1:385" ht="18" hidden="1" customHeight="1" outlineLevel="1" x14ac:dyDescent="0.25">
      <c r="A58" s="26"/>
      <c r="B58" s="68"/>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8"/>
      <c r="AY58" s="68"/>
      <c r="AZ58" s="68"/>
      <c r="BA58" s="68"/>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8"/>
      <c r="CX58" s="68"/>
      <c r="CY58" s="68"/>
      <c r="CZ58" s="68"/>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8"/>
      <c r="EW58" s="68"/>
      <c r="EX58" s="68"/>
      <c r="EY58" s="68"/>
      <c r="EZ58" s="68"/>
      <c r="FA58" s="68"/>
      <c r="FB58" s="68"/>
      <c r="FC58" s="68"/>
      <c r="FD58" s="68"/>
      <c r="FE58" s="68"/>
      <c r="FF58" s="68"/>
      <c r="FG58" s="68"/>
      <c r="FH58" s="68"/>
      <c r="FI58" s="68"/>
      <c r="FJ58" s="68"/>
      <c r="FK58" s="68"/>
      <c r="FL58" s="68"/>
      <c r="FM58" s="68"/>
      <c r="FN58" s="68"/>
      <c r="FO58" s="68"/>
      <c r="FP58" s="68"/>
      <c r="FQ58" s="68"/>
      <c r="FR58" s="68"/>
      <c r="FS58" s="68"/>
      <c r="FT58" s="68"/>
      <c r="FU58" s="68"/>
      <c r="FV58" s="68"/>
      <c r="FW58" s="68"/>
      <c r="FX58" s="68"/>
      <c r="FY58" s="68"/>
      <c r="FZ58" s="68"/>
      <c r="GA58" s="68"/>
      <c r="GB58" s="68"/>
      <c r="GC58" s="68"/>
      <c r="GD58" s="68"/>
      <c r="GE58" s="68"/>
      <c r="GF58" s="68"/>
      <c r="GG58" s="68"/>
      <c r="GH58" s="68"/>
      <c r="GI58" s="68"/>
      <c r="GJ58" s="68"/>
      <c r="GK58" s="68"/>
      <c r="GL58" s="68"/>
      <c r="GM58" s="68"/>
      <c r="GN58" s="68"/>
      <c r="GO58" s="68"/>
      <c r="GP58" s="68"/>
      <c r="GQ58" s="68"/>
      <c r="GR58" s="68"/>
      <c r="GS58" s="68"/>
      <c r="GT58" s="68"/>
      <c r="GU58" s="68"/>
      <c r="GV58" s="68"/>
      <c r="GW58" s="68"/>
      <c r="GX58" s="68"/>
      <c r="GY58" s="68"/>
      <c r="GZ58" s="68"/>
      <c r="HA58" s="68"/>
      <c r="HB58" s="68"/>
      <c r="HC58" s="68"/>
      <c r="HD58" s="68"/>
      <c r="HE58" s="68"/>
      <c r="HF58" s="68"/>
      <c r="HG58" s="68"/>
      <c r="HH58" s="68"/>
      <c r="HI58" s="68"/>
      <c r="HJ58" s="68"/>
      <c r="HK58" s="68"/>
      <c r="HL58" s="68"/>
      <c r="HM58" s="68"/>
      <c r="HN58" s="68"/>
      <c r="HO58" s="68"/>
      <c r="HP58" s="68"/>
      <c r="HQ58" s="68"/>
      <c r="HR58" s="68"/>
      <c r="HS58" s="68"/>
      <c r="HT58" s="68"/>
      <c r="HU58" s="68"/>
      <c r="HV58" s="68"/>
      <c r="HW58" s="68"/>
      <c r="HX58" s="68"/>
      <c r="HY58" s="68"/>
      <c r="HZ58" s="68"/>
      <c r="IA58" s="68"/>
      <c r="IB58" s="68"/>
      <c r="IC58" s="68"/>
      <c r="ID58" s="68"/>
      <c r="IE58" s="68"/>
      <c r="IF58" s="68"/>
      <c r="IG58" s="68"/>
      <c r="IH58" s="68"/>
      <c r="II58" s="68"/>
      <c r="IJ58" s="68"/>
      <c r="IK58" s="68"/>
      <c r="IL58" s="68"/>
      <c r="IM58" s="68"/>
      <c r="IN58" s="68"/>
      <c r="IO58" s="68"/>
      <c r="IP58" s="68"/>
      <c r="IQ58" s="68"/>
      <c r="IR58" s="68"/>
      <c r="IS58" s="68"/>
      <c r="IT58" s="68"/>
      <c r="IU58" s="68"/>
      <c r="IV58" s="68"/>
      <c r="IW58" s="68"/>
      <c r="IX58" s="68"/>
      <c r="IY58" s="68"/>
      <c r="IZ58" s="68"/>
      <c r="JA58" s="68"/>
      <c r="JB58" s="68"/>
      <c r="JC58" s="68"/>
      <c r="JD58" s="68"/>
      <c r="JE58" s="68"/>
      <c r="JF58" s="68"/>
      <c r="JG58" s="68"/>
      <c r="JH58" s="68"/>
      <c r="JI58" s="68"/>
      <c r="JJ58" s="68"/>
      <c r="JK58" s="68"/>
      <c r="JL58" s="68"/>
      <c r="JM58" s="68"/>
      <c r="JN58" s="68"/>
      <c r="JO58" s="68"/>
      <c r="JP58" s="68"/>
      <c r="JQ58" s="68"/>
      <c r="JR58" s="68"/>
      <c r="JS58" s="68"/>
      <c r="JT58" s="68"/>
      <c r="JU58" s="68"/>
      <c r="JV58" s="68"/>
      <c r="JW58" s="68"/>
      <c r="JX58" s="68"/>
      <c r="JY58" s="68"/>
      <c r="JZ58" s="68"/>
      <c r="KA58" s="68"/>
      <c r="KB58" s="68"/>
      <c r="KC58" s="68"/>
      <c r="KD58" s="68"/>
      <c r="KE58" s="68"/>
      <c r="KF58" s="68"/>
      <c r="KG58" s="68"/>
      <c r="KH58" s="68"/>
      <c r="KI58" s="68"/>
      <c r="KJ58" s="68"/>
      <c r="KK58" s="68"/>
      <c r="KL58" s="68"/>
      <c r="KM58" s="68"/>
      <c r="KN58" s="68"/>
      <c r="KO58" s="68"/>
      <c r="KP58" s="68"/>
      <c r="KQ58" s="68"/>
      <c r="KR58" s="68"/>
      <c r="KS58" s="68"/>
      <c r="KT58" s="68"/>
      <c r="KU58" s="68"/>
      <c r="KV58" s="68"/>
      <c r="KW58" s="68"/>
      <c r="KX58" s="68"/>
      <c r="KY58" s="68"/>
      <c r="KZ58" s="68"/>
      <c r="LA58" s="68"/>
      <c r="LB58" s="68"/>
      <c r="LC58" s="68"/>
      <c r="LD58" s="68"/>
      <c r="LE58" s="68"/>
      <c r="LF58" s="68"/>
      <c r="LG58" s="68"/>
      <c r="LH58" s="68"/>
      <c r="LI58" s="68"/>
      <c r="LJ58" s="68"/>
      <c r="LK58" s="68"/>
      <c r="LL58" s="68"/>
      <c r="LM58" s="68"/>
      <c r="LN58" s="68"/>
      <c r="LO58" s="68"/>
      <c r="LP58" s="68"/>
      <c r="LQ58" s="68"/>
      <c r="LR58" s="68"/>
      <c r="LS58" s="68"/>
      <c r="LT58" s="68"/>
      <c r="LU58" s="68"/>
      <c r="LV58" s="68"/>
      <c r="LW58" s="68"/>
      <c r="LX58" s="68"/>
      <c r="LY58" s="68"/>
      <c r="LZ58" s="68"/>
      <c r="MA58" s="68"/>
      <c r="MB58" s="68"/>
      <c r="MC58" s="68"/>
      <c r="MD58" s="68"/>
      <c r="ME58" s="68"/>
      <c r="MF58" s="68"/>
      <c r="MG58" s="68"/>
      <c r="MH58" s="68"/>
      <c r="MI58" s="68"/>
      <c r="MJ58" s="68"/>
      <c r="MK58" s="68"/>
      <c r="ML58" s="68"/>
      <c r="MM58" s="68"/>
      <c r="MN58" s="68"/>
      <c r="MO58" s="68"/>
      <c r="MP58" s="68"/>
      <c r="MQ58" s="68"/>
      <c r="MR58" s="68"/>
      <c r="MS58" s="68"/>
      <c r="MT58" s="68"/>
      <c r="MU58" s="68"/>
      <c r="MV58" s="68"/>
      <c r="MW58" s="68"/>
      <c r="MX58" s="68"/>
      <c r="MY58" s="68"/>
      <c r="MZ58" s="68"/>
      <c r="NA58" s="68"/>
      <c r="NB58" s="68"/>
      <c r="NC58" s="68"/>
      <c r="ND58" s="68"/>
      <c r="NE58" s="68"/>
      <c r="NF58" s="68"/>
      <c r="NG58" s="68"/>
      <c r="NH58" s="68"/>
      <c r="NI58" s="68"/>
      <c r="NJ58" s="70">
        <f t="array" aca="1" ref="NJ58" ca="1">SUMPRODUCT((OFFSET($A58,0,31*($A$3-1)+1,1,31)&lt;&gt;"")*(IF(OFFSET($A58,0,31*($A$3-1)+1,1,31)=Database!$K$11,0.5,IF(OFFSET($A58,0,31*($A$3-1)+1,1,31)=Database!$K$12,0.5,1))*(OFFSET($A$4,0,31*($A$3-1)+1,1,31))))</f>
        <v>0</v>
      </c>
      <c r="NK58" s="72">
        <f t="array" aca="1" ref="NK58" ca="1">SUMPRODUCT((OFFSET($A58,0,1,1,372)&lt;&gt;"")*(IF(OFFSET($A58,0,1,1,372)=Database!$K$11,0.5,IF(OFFSET($A58,0,1,1,372)=Database!$K$12,0.5,1))*(OFFSET($A$3,0,1,1,372))))</f>
        <v>0</v>
      </c>
      <c r="NL58" s="63">
        <f t="shared" ca="1" si="10"/>
        <v>0</v>
      </c>
      <c r="NM58" s="63">
        <f t="shared" ca="1" si="10"/>
        <v>0</v>
      </c>
      <c r="NN58" s="63">
        <f t="shared" ca="1" si="10"/>
        <v>0</v>
      </c>
      <c r="NO58" s="63">
        <f t="shared" ca="1" si="10"/>
        <v>0</v>
      </c>
      <c r="NP58" s="63">
        <f t="shared" ca="1" si="10"/>
        <v>0</v>
      </c>
      <c r="NQ58" s="63">
        <f t="shared" ca="1" si="10"/>
        <v>0</v>
      </c>
      <c r="NR58" s="63">
        <f t="shared" ca="1" si="10"/>
        <v>0</v>
      </c>
      <c r="NS58" s="63">
        <f t="shared" ca="1" si="10"/>
        <v>0</v>
      </c>
      <c r="NT58" s="63">
        <f t="shared" ca="1" si="10"/>
        <v>0</v>
      </c>
      <c r="NU58" s="63">
        <f t="shared" ca="1" si="10"/>
        <v>0</v>
      </c>
    </row>
    <row r="59" spans="1:385" ht="18" hidden="1" customHeight="1" outlineLevel="1" x14ac:dyDescent="0.25">
      <c r="A59" s="26"/>
      <c r="B59" s="68"/>
      <c r="C59" s="68"/>
      <c r="D59" s="68"/>
      <c r="E59" s="68"/>
      <c r="F59" s="68"/>
      <c r="G59" s="68"/>
      <c r="H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c r="AP59" s="68"/>
      <c r="AQ59" s="68"/>
      <c r="AR59" s="68"/>
      <c r="AS59" s="68"/>
      <c r="AT59" s="68"/>
      <c r="AU59" s="68"/>
      <c r="AV59" s="68"/>
      <c r="AW59" s="68"/>
      <c r="AX59" s="68"/>
      <c r="AY59" s="68"/>
      <c r="AZ59" s="68"/>
      <c r="BA59" s="68"/>
      <c r="BB59" s="68"/>
      <c r="BC59" s="68"/>
      <c r="BD59" s="68"/>
      <c r="BE59" s="68"/>
      <c r="BF59" s="68"/>
      <c r="BG59" s="68"/>
      <c r="BH59" s="68"/>
      <c r="BI59" s="68"/>
      <c r="BJ59" s="68"/>
      <c r="BK59" s="68"/>
      <c r="BL59" s="68"/>
      <c r="BM59" s="68"/>
      <c r="BN59" s="68"/>
      <c r="BO59" s="68"/>
      <c r="BP59" s="68"/>
      <c r="BQ59" s="68"/>
      <c r="BR59" s="68"/>
      <c r="BS59" s="68"/>
      <c r="BT59" s="68"/>
      <c r="BU59" s="68"/>
      <c r="BV59" s="68"/>
      <c r="BW59" s="68"/>
      <c r="BX59" s="68"/>
      <c r="BY59" s="68"/>
      <c r="BZ59" s="68"/>
      <c r="CA59" s="68"/>
      <c r="CB59" s="68"/>
      <c r="CC59" s="68"/>
      <c r="CD59" s="68"/>
      <c r="CE59" s="68"/>
      <c r="CF59" s="68"/>
      <c r="CG59" s="68"/>
      <c r="CH59" s="68"/>
      <c r="CI59" s="68"/>
      <c r="CJ59" s="68"/>
      <c r="CK59" s="68"/>
      <c r="CL59" s="68"/>
      <c r="CM59" s="68"/>
      <c r="CN59" s="68"/>
      <c r="CO59" s="68"/>
      <c r="CP59" s="68"/>
      <c r="CQ59" s="68"/>
      <c r="CR59" s="68"/>
      <c r="CS59" s="68"/>
      <c r="CT59" s="68"/>
      <c r="CU59" s="68"/>
      <c r="CV59" s="68"/>
      <c r="CW59" s="68"/>
      <c r="CX59" s="68"/>
      <c r="CY59" s="68"/>
      <c r="CZ59" s="68"/>
      <c r="DA59" s="68"/>
      <c r="DB59" s="68"/>
      <c r="DC59" s="68"/>
      <c r="DD59" s="68"/>
      <c r="DE59" s="68"/>
      <c r="DF59" s="68"/>
      <c r="DG59" s="68"/>
      <c r="DH59" s="68"/>
      <c r="DI59" s="68"/>
      <c r="DJ59" s="68"/>
      <c r="DK59" s="68"/>
      <c r="DL59" s="68"/>
      <c r="DM59" s="68"/>
      <c r="DN59" s="68"/>
      <c r="DO59" s="68"/>
      <c r="DP59" s="68"/>
      <c r="DQ59" s="68"/>
      <c r="DR59" s="68"/>
      <c r="DS59" s="68"/>
      <c r="DT59" s="68"/>
      <c r="DU59" s="68"/>
      <c r="DV59" s="68"/>
      <c r="DW59" s="68"/>
      <c r="DX59" s="68"/>
      <c r="DY59" s="68"/>
      <c r="DZ59" s="68"/>
      <c r="EA59" s="68"/>
      <c r="EB59" s="68"/>
      <c r="EC59" s="68"/>
      <c r="ED59" s="68"/>
      <c r="EE59" s="68"/>
      <c r="EF59" s="68"/>
      <c r="EG59" s="68"/>
      <c r="EH59" s="68"/>
      <c r="EI59" s="68"/>
      <c r="EJ59" s="68"/>
      <c r="EK59" s="68"/>
      <c r="EL59" s="68"/>
      <c r="EM59" s="68"/>
      <c r="EN59" s="68"/>
      <c r="EO59" s="68"/>
      <c r="EP59" s="68"/>
      <c r="EQ59" s="68"/>
      <c r="ER59" s="68"/>
      <c r="ES59" s="68"/>
      <c r="ET59" s="68"/>
      <c r="EU59" s="68"/>
      <c r="EV59" s="68"/>
      <c r="EW59" s="68"/>
      <c r="EX59" s="68"/>
      <c r="EY59" s="68"/>
      <c r="EZ59" s="68"/>
      <c r="FA59" s="68"/>
      <c r="FB59" s="68"/>
      <c r="FC59" s="68"/>
      <c r="FD59" s="68"/>
      <c r="FE59" s="68"/>
      <c r="FF59" s="68"/>
      <c r="FG59" s="68"/>
      <c r="FH59" s="68"/>
      <c r="FI59" s="68"/>
      <c r="FJ59" s="68"/>
      <c r="FK59" s="68"/>
      <c r="FL59" s="68"/>
      <c r="FM59" s="68"/>
      <c r="FN59" s="68"/>
      <c r="FO59" s="68"/>
      <c r="FP59" s="68"/>
      <c r="FQ59" s="68"/>
      <c r="FR59" s="68"/>
      <c r="FS59" s="68"/>
      <c r="FT59" s="68"/>
      <c r="FU59" s="68"/>
      <c r="FV59" s="68"/>
      <c r="FW59" s="68"/>
      <c r="FX59" s="68"/>
      <c r="FY59" s="68"/>
      <c r="FZ59" s="68"/>
      <c r="GA59" s="68"/>
      <c r="GB59" s="68"/>
      <c r="GC59" s="68"/>
      <c r="GD59" s="68"/>
      <c r="GE59" s="68"/>
      <c r="GF59" s="68"/>
      <c r="GG59" s="68"/>
      <c r="GH59" s="68"/>
      <c r="GI59" s="68"/>
      <c r="GJ59" s="68"/>
      <c r="GK59" s="68"/>
      <c r="GL59" s="68"/>
      <c r="GM59" s="68"/>
      <c r="GN59" s="68"/>
      <c r="GO59" s="68"/>
      <c r="GP59" s="68"/>
      <c r="GQ59" s="68"/>
      <c r="GR59" s="68"/>
      <c r="GS59" s="68"/>
      <c r="GT59" s="68"/>
      <c r="GU59" s="68"/>
      <c r="GV59" s="68"/>
      <c r="GW59" s="68"/>
      <c r="GX59" s="68"/>
      <c r="GY59" s="68"/>
      <c r="GZ59" s="68"/>
      <c r="HA59" s="68"/>
      <c r="HB59" s="68"/>
      <c r="HC59" s="68"/>
      <c r="HD59" s="68"/>
      <c r="HE59" s="68"/>
      <c r="HF59" s="68"/>
      <c r="HG59" s="68"/>
      <c r="HH59" s="68"/>
      <c r="HI59" s="68"/>
      <c r="HJ59" s="68"/>
      <c r="HK59" s="68"/>
      <c r="HL59" s="68"/>
      <c r="HM59" s="68"/>
      <c r="HN59" s="68"/>
      <c r="HO59" s="68"/>
      <c r="HP59" s="68"/>
      <c r="HQ59" s="68"/>
      <c r="HR59" s="68"/>
      <c r="HS59" s="68"/>
      <c r="HT59" s="68"/>
      <c r="HU59" s="68"/>
      <c r="HV59" s="68"/>
      <c r="HW59" s="68"/>
      <c r="HX59" s="68"/>
      <c r="HY59" s="68"/>
      <c r="HZ59" s="68"/>
      <c r="IA59" s="68"/>
      <c r="IB59" s="68"/>
      <c r="IC59" s="68"/>
      <c r="ID59" s="68"/>
      <c r="IE59" s="68"/>
      <c r="IF59" s="68"/>
      <c r="IG59" s="68"/>
      <c r="IH59" s="68"/>
      <c r="II59" s="68"/>
      <c r="IJ59" s="68"/>
      <c r="IK59" s="68"/>
      <c r="IL59" s="68"/>
      <c r="IM59" s="68"/>
      <c r="IN59" s="68"/>
      <c r="IO59" s="68"/>
      <c r="IP59" s="68"/>
      <c r="IQ59" s="68"/>
      <c r="IR59" s="68"/>
      <c r="IS59" s="68"/>
      <c r="IT59" s="68"/>
      <c r="IU59" s="68"/>
      <c r="IV59" s="68"/>
      <c r="IW59" s="68"/>
      <c r="IX59" s="68"/>
      <c r="IY59" s="68"/>
      <c r="IZ59" s="68"/>
      <c r="JA59" s="68"/>
      <c r="JB59" s="68"/>
      <c r="JC59" s="68"/>
      <c r="JD59" s="68"/>
      <c r="JE59" s="68"/>
      <c r="JF59" s="68"/>
      <c r="JG59" s="68"/>
      <c r="JH59" s="68"/>
      <c r="JI59" s="68"/>
      <c r="JJ59" s="68"/>
      <c r="JK59" s="68"/>
      <c r="JL59" s="68"/>
      <c r="JM59" s="68"/>
      <c r="JN59" s="68"/>
      <c r="JO59" s="68"/>
      <c r="JP59" s="68"/>
      <c r="JQ59" s="68"/>
      <c r="JR59" s="68"/>
      <c r="JS59" s="68"/>
      <c r="JT59" s="68"/>
      <c r="JU59" s="68"/>
      <c r="JV59" s="68"/>
      <c r="JW59" s="68"/>
      <c r="JX59" s="68"/>
      <c r="JY59" s="68"/>
      <c r="JZ59" s="68"/>
      <c r="KA59" s="68"/>
      <c r="KB59" s="68"/>
      <c r="KC59" s="68"/>
      <c r="KD59" s="68"/>
      <c r="KE59" s="68"/>
      <c r="KF59" s="68"/>
      <c r="KG59" s="68"/>
      <c r="KH59" s="68"/>
      <c r="KI59" s="68"/>
      <c r="KJ59" s="68"/>
      <c r="KK59" s="68"/>
      <c r="KL59" s="68"/>
      <c r="KM59" s="68"/>
      <c r="KN59" s="68"/>
      <c r="KO59" s="68"/>
      <c r="KP59" s="68"/>
      <c r="KQ59" s="68"/>
      <c r="KR59" s="68"/>
      <c r="KS59" s="68"/>
      <c r="KT59" s="68"/>
      <c r="KU59" s="68"/>
      <c r="KV59" s="68"/>
      <c r="KW59" s="68"/>
      <c r="KX59" s="68"/>
      <c r="KY59" s="68"/>
      <c r="KZ59" s="68"/>
      <c r="LA59" s="68"/>
      <c r="LB59" s="68"/>
      <c r="LC59" s="68"/>
      <c r="LD59" s="68"/>
      <c r="LE59" s="68"/>
      <c r="LF59" s="68"/>
      <c r="LG59" s="68"/>
      <c r="LH59" s="68"/>
      <c r="LI59" s="68"/>
      <c r="LJ59" s="68"/>
      <c r="LK59" s="68"/>
      <c r="LL59" s="68"/>
      <c r="LM59" s="68"/>
      <c r="LN59" s="68"/>
      <c r="LO59" s="68"/>
      <c r="LP59" s="68"/>
      <c r="LQ59" s="68"/>
      <c r="LR59" s="68"/>
      <c r="LS59" s="68"/>
      <c r="LT59" s="68"/>
      <c r="LU59" s="68"/>
      <c r="LV59" s="68"/>
      <c r="LW59" s="68"/>
      <c r="LX59" s="68"/>
      <c r="LY59" s="68"/>
      <c r="LZ59" s="68"/>
      <c r="MA59" s="68"/>
      <c r="MB59" s="68"/>
      <c r="MC59" s="68"/>
      <c r="MD59" s="68"/>
      <c r="ME59" s="68"/>
      <c r="MF59" s="68"/>
      <c r="MG59" s="68"/>
      <c r="MH59" s="68"/>
      <c r="MI59" s="68"/>
      <c r="MJ59" s="68"/>
      <c r="MK59" s="68"/>
      <c r="ML59" s="68"/>
      <c r="MM59" s="68"/>
      <c r="MN59" s="68"/>
      <c r="MO59" s="68"/>
      <c r="MP59" s="68"/>
      <c r="MQ59" s="68"/>
      <c r="MR59" s="68"/>
      <c r="MS59" s="68"/>
      <c r="MT59" s="68"/>
      <c r="MU59" s="68"/>
      <c r="MV59" s="68"/>
      <c r="MW59" s="68"/>
      <c r="MX59" s="68"/>
      <c r="MY59" s="68"/>
      <c r="MZ59" s="68"/>
      <c r="NA59" s="68"/>
      <c r="NB59" s="68"/>
      <c r="NC59" s="68"/>
      <c r="ND59" s="68"/>
      <c r="NE59" s="68"/>
      <c r="NF59" s="68"/>
      <c r="NG59" s="68"/>
      <c r="NH59" s="68"/>
      <c r="NI59" s="68"/>
      <c r="NJ59" s="70">
        <f t="array" aca="1" ref="NJ59" ca="1">SUMPRODUCT((OFFSET($A59,0,31*($A$3-1)+1,1,31)&lt;&gt;"")*(IF(OFFSET($A59,0,31*($A$3-1)+1,1,31)=Database!$K$11,0.5,IF(OFFSET($A59,0,31*($A$3-1)+1,1,31)=Database!$K$12,0.5,1))*(OFFSET($A$4,0,31*($A$3-1)+1,1,31))))</f>
        <v>0</v>
      </c>
      <c r="NK59" s="72">
        <f t="array" aca="1" ref="NK59" ca="1">SUMPRODUCT((OFFSET($A59,0,1,1,372)&lt;&gt;"")*(IF(OFFSET($A59,0,1,1,372)=Database!$K$11,0.5,IF(OFFSET($A59,0,1,1,372)=Database!$K$12,0.5,1))*(OFFSET($A$3,0,1,1,372))))</f>
        <v>0</v>
      </c>
      <c r="NL59" s="63">
        <f t="shared" ca="1" si="10"/>
        <v>0</v>
      </c>
      <c r="NM59" s="63">
        <f t="shared" ca="1" si="10"/>
        <v>0</v>
      </c>
      <c r="NN59" s="63">
        <f t="shared" ca="1" si="10"/>
        <v>0</v>
      </c>
      <c r="NO59" s="63">
        <f t="shared" ca="1" si="10"/>
        <v>0</v>
      </c>
      <c r="NP59" s="63">
        <f t="shared" ca="1" si="10"/>
        <v>0</v>
      </c>
      <c r="NQ59" s="63">
        <f t="shared" ca="1" si="10"/>
        <v>0</v>
      </c>
      <c r="NR59" s="63">
        <f t="shared" ca="1" si="10"/>
        <v>0</v>
      </c>
      <c r="NS59" s="63">
        <f t="shared" ca="1" si="10"/>
        <v>0</v>
      </c>
      <c r="NT59" s="63">
        <f t="shared" ca="1" si="10"/>
        <v>0</v>
      </c>
      <c r="NU59" s="63">
        <f t="shared" ca="1" si="10"/>
        <v>0</v>
      </c>
    </row>
    <row r="60" spans="1:385" ht="18" hidden="1" customHeight="1" outlineLevel="1" x14ac:dyDescent="0.25">
      <c r="A60" s="26"/>
      <c r="B60" s="68"/>
      <c r="C60" s="68"/>
      <c r="D60" s="68"/>
      <c r="E60" s="68"/>
      <c r="F60" s="68"/>
      <c r="G60" s="68"/>
      <c r="H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8"/>
      <c r="AY60" s="68"/>
      <c r="AZ60" s="68"/>
      <c r="BA60" s="68"/>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68"/>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8"/>
      <c r="CX60" s="68"/>
      <c r="CY60" s="68"/>
      <c r="CZ60" s="68"/>
      <c r="DA60" s="68"/>
      <c r="DB60" s="68"/>
      <c r="DC60" s="68"/>
      <c r="DD60" s="68"/>
      <c r="DE60" s="68"/>
      <c r="DF60" s="68"/>
      <c r="DG60" s="68"/>
      <c r="DH60" s="68"/>
      <c r="DI60" s="68"/>
      <c r="DJ60" s="68"/>
      <c r="DK60" s="68"/>
      <c r="DL60" s="68"/>
      <c r="DM60" s="68"/>
      <c r="DN60" s="68"/>
      <c r="DO60" s="68"/>
      <c r="DP60" s="68"/>
      <c r="DQ60" s="68"/>
      <c r="DR60" s="68"/>
      <c r="DS60" s="68"/>
      <c r="DT60" s="68"/>
      <c r="DU60" s="68"/>
      <c r="DV60" s="68"/>
      <c r="DW60" s="68"/>
      <c r="DX60" s="68"/>
      <c r="DY60" s="68"/>
      <c r="DZ60" s="68"/>
      <c r="EA60" s="68"/>
      <c r="EB60" s="68"/>
      <c r="EC60" s="68"/>
      <c r="ED60" s="68"/>
      <c r="EE60" s="68"/>
      <c r="EF60" s="68"/>
      <c r="EG60" s="68"/>
      <c r="EH60" s="68"/>
      <c r="EI60" s="68"/>
      <c r="EJ60" s="68"/>
      <c r="EK60" s="68"/>
      <c r="EL60" s="68"/>
      <c r="EM60" s="68"/>
      <c r="EN60" s="68"/>
      <c r="EO60" s="68"/>
      <c r="EP60" s="68"/>
      <c r="EQ60" s="68"/>
      <c r="ER60" s="68"/>
      <c r="ES60" s="68"/>
      <c r="ET60" s="68"/>
      <c r="EU60" s="68"/>
      <c r="EV60" s="68"/>
      <c r="EW60" s="68"/>
      <c r="EX60" s="68"/>
      <c r="EY60" s="68"/>
      <c r="EZ60" s="68"/>
      <c r="FA60" s="68"/>
      <c r="FB60" s="68"/>
      <c r="FC60" s="68"/>
      <c r="FD60" s="68"/>
      <c r="FE60" s="68"/>
      <c r="FF60" s="68"/>
      <c r="FG60" s="68"/>
      <c r="FH60" s="68"/>
      <c r="FI60" s="68"/>
      <c r="FJ60" s="68"/>
      <c r="FK60" s="68"/>
      <c r="FL60" s="68"/>
      <c r="FM60" s="68"/>
      <c r="FN60" s="68"/>
      <c r="FO60" s="68"/>
      <c r="FP60" s="68"/>
      <c r="FQ60" s="68"/>
      <c r="FR60" s="68"/>
      <c r="FS60" s="68"/>
      <c r="FT60" s="68"/>
      <c r="FU60" s="68"/>
      <c r="FV60" s="68"/>
      <c r="FW60" s="68"/>
      <c r="FX60" s="68"/>
      <c r="FY60" s="68"/>
      <c r="FZ60" s="68"/>
      <c r="GA60" s="68"/>
      <c r="GB60" s="68"/>
      <c r="GC60" s="68"/>
      <c r="GD60" s="68"/>
      <c r="GE60" s="68"/>
      <c r="GF60" s="68"/>
      <c r="GG60" s="68"/>
      <c r="GH60" s="68"/>
      <c r="GI60" s="68"/>
      <c r="GJ60" s="68"/>
      <c r="GK60" s="68"/>
      <c r="GL60" s="68"/>
      <c r="GM60" s="68"/>
      <c r="GN60" s="68"/>
      <c r="GO60" s="68"/>
      <c r="GP60" s="68"/>
      <c r="GQ60" s="68"/>
      <c r="GR60" s="68"/>
      <c r="GS60" s="68"/>
      <c r="GT60" s="68"/>
      <c r="GU60" s="68"/>
      <c r="GV60" s="68"/>
      <c r="GW60" s="68"/>
      <c r="GX60" s="68"/>
      <c r="GY60" s="68"/>
      <c r="GZ60" s="68"/>
      <c r="HA60" s="68"/>
      <c r="HB60" s="68"/>
      <c r="HC60" s="68"/>
      <c r="HD60" s="68"/>
      <c r="HE60" s="68"/>
      <c r="HF60" s="68"/>
      <c r="HG60" s="68"/>
      <c r="HH60" s="68"/>
      <c r="HI60" s="68"/>
      <c r="HJ60" s="68"/>
      <c r="HK60" s="68"/>
      <c r="HL60" s="68"/>
      <c r="HM60" s="68"/>
      <c r="HN60" s="68"/>
      <c r="HO60" s="68"/>
      <c r="HP60" s="68"/>
      <c r="HQ60" s="68"/>
      <c r="HR60" s="68"/>
      <c r="HS60" s="68"/>
      <c r="HT60" s="68"/>
      <c r="HU60" s="68"/>
      <c r="HV60" s="68"/>
      <c r="HW60" s="68"/>
      <c r="HX60" s="68"/>
      <c r="HY60" s="68"/>
      <c r="HZ60" s="68"/>
      <c r="IA60" s="68"/>
      <c r="IB60" s="68"/>
      <c r="IC60" s="68"/>
      <c r="ID60" s="68"/>
      <c r="IE60" s="68"/>
      <c r="IF60" s="68"/>
      <c r="IG60" s="68"/>
      <c r="IH60" s="68"/>
      <c r="II60" s="68"/>
      <c r="IJ60" s="68"/>
      <c r="IK60" s="68"/>
      <c r="IL60" s="68"/>
      <c r="IM60" s="68"/>
      <c r="IN60" s="68"/>
      <c r="IO60" s="68"/>
      <c r="IP60" s="68"/>
      <c r="IQ60" s="68"/>
      <c r="IR60" s="68"/>
      <c r="IS60" s="68"/>
      <c r="IT60" s="68"/>
      <c r="IU60" s="68"/>
      <c r="IV60" s="68"/>
      <c r="IW60" s="68"/>
      <c r="IX60" s="68"/>
      <c r="IY60" s="68"/>
      <c r="IZ60" s="68"/>
      <c r="JA60" s="68"/>
      <c r="JB60" s="68"/>
      <c r="JC60" s="68"/>
      <c r="JD60" s="68"/>
      <c r="JE60" s="68"/>
      <c r="JF60" s="68"/>
      <c r="JG60" s="68"/>
      <c r="JH60" s="68"/>
      <c r="JI60" s="68"/>
      <c r="JJ60" s="68"/>
      <c r="JK60" s="68"/>
      <c r="JL60" s="68"/>
      <c r="JM60" s="68"/>
      <c r="JN60" s="68"/>
      <c r="JO60" s="68"/>
      <c r="JP60" s="68"/>
      <c r="JQ60" s="68"/>
      <c r="JR60" s="68"/>
      <c r="JS60" s="68"/>
      <c r="JT60" s="68"/>
      <c r="JU60" s="68"/>
      <c r="JV60" s="68"/>
      <c r="JW60" s="68"/>
      <c r="JX60" s="68"/>
      <c r="JY60" s="68"/>
      <c r="JZ60" s="68"/>
      <c r="KA60" s="68"/>
      <c r="KB60" s="68"/>
      <c r="KC60" s="68"/>
      <c r="KD60" s="68"/>
      <c r="KE60" s="68"/>
      <c r="KF60" s="68"/>
      <c r="KG60" s="68"/>
      <c r="KH60" s="68"/>
      <c r="KI60" s="68"/>
      <c r="KJ60" s="68"/>
      <c r="KK60" s="68"/>
      <c r="KL60" s="68"/>
      <c r="KM60" s="68"/>
      <c r="KN60" s="68"/>
      <c r="KO60" s="68"/>
      <c r="KP60" s="68"/>
      <c r="KQ60" s="68"/>
      <c r="KR60" s="68"/>
      <c r="KS60" s="68"/>
      <c r="KT60" s="68"/>
      <c r="KU60" s="68"/>
      <c r="KV60" s="68"/>
      <c r="KW60" s="68"/>
      <c r="KX60" s="68"/>
      <c r="KY60" s="68"/>
      <c r="KZ60" s="68"/>
      <c r="LA60" s="68"/>
      <c r="LB60" s="68"/>
      <c r="LC60" s="68"/>
      <c r="LD60" s="68"/>
      <c r="LE60" s="68"/>
      <c r="LF60" s="68"/>
      <c r="LG60" s="68"/>
      <c r="LH60" s="68"/>
      <c r="LI60" s="68"/>
      <c r="LJ60" s="68"/>
      <c r="LK60" s="68"/>
      <c r="LL60" s="68"/>
      <c r="LM60" s="68"/>
      <c r="LN60" s="68"/>
      <c r="LO60" s="68"/>
      <c r="LP60" s="68"/>
      <c r="LQ60" s="68"/>
      <c r="LR60" s="68"/>
      <c r="LS60" s="68"/>
      <c r="LT60" s="68"/>
      <c r="LU60" s="68"/>
      <c r="LV60" s="68"/>
      <c r="LW60" s="68"/>
      <c r="LX60" s="68"/>
      <c r="LY60" s="68"/>
      <c r="LZ60" s="68"/>
      <c r="MA60" s="68"/>
      <c r="MB60" s="68"/>
      <c r="MC60" s="68"/>
      <c r="MD60" s="68"/>
      <c r="ME60" s="68"/>
      <c r="MF60" s="68"/>
      <c r="MG60" s="68"/>
      <c r="MH60" s="68"/>
      <c r="MI60" s="68"/>
      <c r="MJ60" s="68"/>
      <c r="MK60" s="68"/>
      <c r="ML60" s="68"/>
      <c r="MM60" s="68"/>
      <c r="MN60" s="68"/>
      <c r="MO60" s="68"/>
      <c r="MP60" s="68"/>
      <c r="MQ60" s="68"/>
      <c r="MR60" s="68"/>
      <c r="MS60" s="68"/>
      <c r="MT60" s="68"/>
      <c r="MU60" s="68"/>
      <c r="MV60" s="68"/>
      <c r="MW60" s="68"/>
      <c r="MX60" s="68"/>
      <c r="MY60" s="68"/>
      <c r="MZ60" s="68"/>
      <c r="NA60" s="68"/>
      <c r="NB60" s="68"/>
      <c r="NC60" s="68"/>
      <c r="ND60" s="68"/>
      <c r="NE60" s="68"/>
      <c r="NF60" s="68"/>
      <c r="NG60" s="68"/>
      <c r="NH60" s="68"/>
      <c r="NI60" s="68"/>
      <c r="NJ60" s="70">
        <f t="array" aca="1" ref="NJ60" ca="1">SUMPRODUCT((OFFSET($A60,0,31*($A$3-1)+1,1,31)&lt;&gt;"")*(IF(OFFSET($A60,0,31*($A$3-1)+1,1,31)=Database!$K$11,0.5,IF(OFFSET($A60,0,31*($A$3-1)+1,1,31)=Database!$K$12,0.5,1))*(OFFSET($A$4,0,31*($A$3-1)+1,1,31))))</f>
        <v>0</v>
      </c>
      <c r="NK60" s="72">
        <f t="array" aca="1" ref="NK60" ca="1">SUMPRODUCT((OFFSET($A60,0,1,1,372)&lt;&gt;"")*(IF(OFFSET($A60,0,1,1,372)=Database!$K$11,0.5,IF(OFFSET($A60,0,1,1,372)=Database!$K$12,0.5,1))*(OFFSET($A$3,0,1,1,372))))</f>
        <v>0</v>
      </c>
      <c r="NL60" s="63">
        <f t="shared" ca="1" si="8"/>
        <v>0</v>
      </c>
      <c r="NM60" s="63">
        <f t="shared" ca="1" si="8"/>
        <v>0</v>
      </c>
      <c r="NN60" s="63">
        <f t="shared" ca="1" si="8"/>
        <v>0</v>
      </c>
      <c r="NO60" s="63">
        <f t="shared" ca="1" si="8"/>
        <v>0</v>
      </c>
      <c r="NP60" s="63">
        <f t="shared" ca="1" si="8"/>
        <v>0</v>
      </c>
      <c r="NQ60" s="63">
        <f t="shared" ca="1" si="8"/>
        <v>0</v>
      </c>
      <c r="NR60" s="63">
        <f t="shared" ca="1" si="8"/>
        <v>0</v>
      </c>
      <c r="NS60" s="63">
        <f t="shared" ca="1" si="8"/>
        <v>0</v>
      </c>
      <c r="NT60" s="63">
        <f t="shared" ca="1" si="8"/>
        <v>0</v>
      </c>
      <c r="NU60" s="63">
        <f t="shared" ca="1" si="8"/>
        <v>0</v>
      </c>
    </row>
    <row r="61" spans="1:385" ht="18" hidden="1" customHeight="1" outlineLevel="1" x14ac:dyDescent="0.25">
      <c r="A61" s="26"/>
      <c r="B61" s="68"/>
      <c r="C61" s="68"/>
      <c r="D61" s="68"/>
      <c r="E61" s="68"/>
      <c r="F61" s="68"/>
      <c r="G61" s="68"/>
      <c r="H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c r="AK61" s="68"/>
      <c r="AL61" s="68"/>
      <c r="AM61" s="68"/>
      <c r="AN61" s="68"/>
      <c r="AO61" s="68"/>
      <c r="AP61" s="68"/>
      <c r="AQ61" s="68"/>
      <c r="AR61" s="68"/>
      <c r="AS61" s="68"/>
      <c r="AT61" s="68"/>
      <c r="AU61" s="68"/>
      <c r="AV61" s="68"/>
      <c r="AW61" s="68"/>
      <c r="AX61" s="68"/>
      <c r="AY61" s="68"/>
      <c r="AZ61" s="68"/>
      <c r="BA61" s="68"/>
      <c r="BB61" s="68"/>
      <c r="BC61" s="68"/>
      <c r="BD61" s="68"/>
      <c r="BE61" s="68"/>
      <c r="BF61" s="68"/>
      <c r="BG61" s="68"/>
      <c r="BH61" s="68"/>
      <c r="BI61" s="68"/>
      <c r="BJ61" s="68"/>
      <c r="BK61" s="68"/>
      <c r="BL61" s="68"/>
      <c r="BM61" s="68"/>
      <c r="BN61" s="68"/>
      <c r="BO61" s="68"/>
      <c r="BP61" s="68"/>
      <c r="BQ61" s="68"/>
      <c r="BR61" s="68"/>
      <c r="BS61" s="68"/>
      <c r="BT61" s="68"/>
      <c r="BU61" s="68"/>
      <c r="BV61" s="68"/>
      <c r="BW61" s="68"/>
      <c r="BX61" s="68"/>
      <c r="BY61" s="68"/>
      <c r="BZ61" s="68"/>
      <c r="CA61" s="68"/>
      <c r="CB61" s="68"/>
      <c r="CC61" s="68"/>
      <c r="CD61" s="68"/>
      <c r="CE61" s="68"/>
      <c r="CF61" s="68"/>
      <c r="CG61" s="68"/>
      <c r="CH61" s="68"/>
      <c r="CI61" s="68"/>
      <c r="CJ61" s="68"/>
      <c r="CK61" s="68"/>
      <c r="CL61" s="68"/>
      <c r="CM61" s="68"/>
      <c r="CN61" s="68"/>
      <c r="CO61" s="68"/>
      <c r="CP61" s="68"/>
      <c r="CQ61" s="68"/>
      <c r="CR61" s="68"/>
      <c r="CS61" s="68"/>
      <c r="CT61" s="68"/>
      <c r="CU61" s="68"/>
      <c r="CV61" s="68"/>
      <c r="CW61" s="68"/>
      <c r="CX61" s="68"/>
      <c r="CY61" s="68"/>
      <c r="CZ61" s="68"/>
      <c r="DA61" s="68"/>
      <c r="DB61" s="68"/>
      <c r="DC61" s="68"/>
      <c r="DD61" s="68"/>
      <c r="DE61" s="68"/>
      <c r="DF61" s="68"/>
      <c r="DG61" s="68"/>
      <c r="DH61" s="68"/>
      <c r="DI61" s="68"/>
      <c r="DJ61" s="68"/>
      <c r="DK61" s="68"/>
      <c r="DL61" s="68"/>
      <c r="DM61" s="68"/>
      <c r="DN61" s="68"/>
      <c r="DO61" s="68"/>
      <c r="DP61" s="68"/>
      <c r="DQ61" s="68"/>
      <c r="DR61" s="68"/>
      <c r="DS61" s="68"/>
      <c r="DT61" s="68"/>
      <c r="DU61" s="68"/>
      <c r="DV61" s="68"/>
      <c r="DW61" s="68"/>
      <c r="DX61" s="68"/>
      <c r="DY61" s="68"/>
      <c r="DZ61" s="68"/>
      <c r="EA61" s="68"/>
      <c r="EB61" s="68"/>
      <c r="EC61" s="68"/>
      <c r="ED61" s="68"/>
      <c r="EE61" s="68"/>
      <c r="EF61" s="68"/>
      <c r="EG61" s="68"/>
      <c r="EH61" s="68"/>
      <c r="EI61" s="68"/>
      <c r="EJ61" s="68"/>
      <c r="EK61" s="68"/>
      <c r="EL61" s="68"/>
      <c r="EM61" s="68"/>
      <c r="EN61" s="68"/>
      <c r="EO61" s="68"/>
      <c r="EP61" s="68"/>
      <c r="EQ61" s="68"/>
      <c r="ER61" s="68"/>
      <c r="ES61" s="68"/>
      <c r="ET61" s="68"/>
      <c r="EU61" s="68"/>
      <c r="EV61" s="68"/>
      <c r="EW61" s="68"/>
      <c r="EX61" s="68"/>
      <c r="EY61" s="68"/>
      <c r="EZ61" s="68"/>
      <c r="FA61" s="68"/>
      <c r="FB61" s="68"/>
      <c r="FC61" s="68"/>
      <c r="FD61" s="68"/>
      <c r="FE61" s="68"/>
      <c r="FF61" s="68"/>
      <c r="FG61" s="68"/>
      <c r="FH61" s="68"/>
      <c r="FI61" s="68"/>
      <c r="FJ61" s="68"/>
      <c r="FK61" s="68"/>
      <c r="FL61" s="68"/>
      <c r="FM61" s="68"/>
      <c r="FN61" s="68"/>
      <c r="FO61" s="68"/>
      <c r="FP61" s="68"/>
      <c r="FQ61" s="68"/>
      <c r="FR61" s="68"/>
      <c r="FS61" s="68"/>
      <c r="FT61" s="68"/>
      <c r="FU61" s="68"/>
      <c r="FV61" s="68"/>
      <c r="FW61" s="68"/>
      <c r="FX61" s="68"/>
      <c r="FY61" s="68"/>
      <c r="FZ61" s="68"/>
      <c r="GA61" s="68"/>
      <c r="GB61" s="68"/>
      <c r="GC61" s="68"/>
      <c r="GD61" s="68"/>
      <c r="GE61" s="68"/>
      <c r="GF61" s="68"/>
      <c r="GG61" s="68"/>
      <c r="GH61" s="68"/>
      <c r="GI61" s="68"/>
      <c r="GJ61" s="68"/>
      <c r="GK61" s="68"/>
      <c r="GL61" s="68"/>
      <c r="GM61" s="68"/>
      <c r="GN61" s="68"/>
      <c r="GO61" s="68"/>
      <c r="GP61" s="68"/>
      <c r="GQ61" s="68"/>
      <c r="GR61" s="68"/>
      <c r="GS61" s="68"/>
      <c r="GT61" s="68"/>
      <c r="GU61" s="68"/>
      <c r="GV61" s="68"/>
      <c r="GW61" s="68"/>
      <c r="GX61" s="68"/>
      <c r="GY61" s="68"/>
      <c r="GZ61" s="68"/>
      <c r="HA61" s="68"/>
      <c r="HB61" s="68"/>
      <c r="HC61" s="68"/>
      <c r="HD61" s="68"/>
      <c r="HE61" s="68"/>
      <c r="HF61" s="68"/>
      <c r="HG61" s="68"/>
      <c r="HH61" s="68"/>
      <c r="HI61" s="68"/>
      <c r="HJ61" s="68"/>
      <c r="HK61" s="68"/>
      <c r="HL61" s="68"/>
      <c r="HM61" s="68"/>
      <c r="HN61" s="68"/>
      <c r="HO61" s="68"/>
      <c r="HP61" s="68"/>
      <c r="HQ61" s="68"/>
      <c r="HR61" s="68"/>
      <c r="HS61" s="68"/>
      <c r="HT61" s="68"/>
      <c r="HU61" s="68"/>
      <c r="HV61" s="68"/>
      <c r="HW61" s="68"/>
      <c r="HX61" s="68"/>
      <c r="HY61" s="68"/>
      <c r="HZ61" s="68"/>
      <c r="IA61" s="68"/>
      <c r="IB61" s="68"/>
      <c r="IC61" s="68"/>
      <c r="ID61" s="68"/>
      <c r="IE61" s="68"/>
      <c r="IF61" s="68"/>
      <c r="IG61" s="68"/>
      <c r="IH61" s="68"/>
      <c r="II61" s="68"/>
      <c r="IJ61" s="68"/>
      <c r="IK61" s="68"/>
      <c r="IL61" s="68"/>
      <c r="IM61" s="68"/>
      <c r="IN61" s="68"/>
      <c r="IO61" s="68"/>
      <c r="IP61" s="68"/>
      <c r="IQ61" s="68"/>
      <c r="IR61" s="68"/>
      <c r="IS61" s="68"/>
      <c r="IT61" s="68"/>
      <c r="IU61" s="68"/>
      <c r="IV61" s="68"/>
      <c r="IW61" s="68"/>
      <c r="IX61" s="68"/>
      <c r="IY61" s="68"/>
      <c r="IZ61" s="68"/>
      <c r="JA61" s="68"/>
      <c r="JB61" s="68"/>
      <c r="JC61" s="68"/>
      <c r="JD61" s="68"/>
      <c r="JE61" s="68"/>
      <c r="JF61" s="68"/>
      <c r="JG61" s="68"/>
      <c r="JH61" s="68"/>
      <c r="JI61" s="68"/>
      <c r="JJ61" s="68"/>
      <c r="JK61" s="68"/>
      <c r="JL61" s="68"/>
      <c r="JM61" s="68"/>
      <c r="JN61" s="68"/>
      <c r="JO61" s="68"/>
      <c r="JP61" s="68"/>
      <c r="JQ61" s="68"/>
      <c r="JR61" s="68"/>
      <c r="JS61" s="68"/>
      <c r="JT61" s="68"/>
      <c r="JU61" s="68"/>
      <c r="JV61" s="68"/>
      <c r="JW61" s="68"/>
      <c r="JX61" s="68"/>
      <c r="JY61" s="68"/>
      <c r="JZ61" s="68"/>
      <c r="KA61" s="68"/>
      <c r="KB61" s="68"/>
      <c r="KC61" s="68"/>
      <c r="KD61" s="68"/>
      <c r="KE61" s="68"/>
      <c r="KF61" s="68"/>
      <c r="KG61" s="68"/>
      <c r="KH61" s="68"/>
      <c r="KI61" s="68"/>
      <c r="KJ61" s="68"/>
      <c r="KK61" s="68"/>
      <c r="KL61" s="68"/>
      <c r="KM61" s="68"/>
      <c r="KN61" s="68"/>
      <c r="KO61" s="68"/>
      <c r="KP61" s="68"/>
      <c r="KQ61" s="68"/>
      <c r="KR61" s="68"/>
      <c r="KS61" s="68"/>
      <c r="KT61" s="68"/>
      <c r="KU61" s="68"/>
      <c r="KV61" s="68"/>
      <c r="KW61" s="68"/>
      <c r="KX61" s="68"/>
      <c r="KY61" s="68"/>
      <c r="KZ61" s="68"/>
      <c r="LA61" s="68"/>
      <c r="LB61" s="68"/>
      <c r="LC61" s="68"/>
      <c r="LD61" s="68"/>
      <c r="LE61" s="68"/>
      <c r="LF61" s="68"/>
      <c r="LG61" s="68"/>
      <c r="LH61" s="68"/>
      <c r="LI61" s="68"/>
      <c r="LJ61" s="68"/>
      <c r="LK61" s="68"/>
      <c r="LL61" s="68"/>
      <c r="LM61" s="68"/>
      <c r="LN61" s="68"/>
      <c r="LO61" s="68"/>
      <c r="LP61" s="68"/>
      <c r="LQ61" s="68"/>
      <c r="LR61" s="68"/>
      <c r="LS61" s="68"/>
      <c r="LT61" s="68"/>
      <c r="LU61" s="68"/>
      <c r="LV61" s="68"/>
      <c r="LW61" s="68"/>
      <c r="LX61" s="68"/>
      <c r="LY61" s="68"/>
      <c r="LZ61" s="68"/>
      <c r="MA61" s="68"/>
      <c r="MB61" s="68"/>
      <c r="MC61" s="68"/>
      <c r="MD61" s="68"/>
      <c r="ME61" s="68"/>
      <c r="MF61" s="68"/>
      <c r="MG61" s="68"/>
      <c r="MH61" s="68"/>
      <c r="MI61" s="68"/>
      <c r="MJ61" s="68"/>
      <c r="MK61" s="68"/>
      <c r="ML61" s="68"/>
      <c r="MM61" s="68"/>
      <c r="MN61" s="68"/>
      <c r="MO61" s="68"/>
      <c r="MP61" s="68"/>
      <c r="MQ61" s="68"/>
      <c r="MR61" s="68"/>
      <c r="MS61" s="68"/>
      <c r="MT61" s="68"/>
      <c r="MU61" s="68"/>
      <c r="MV61" s="68"/>
      <c r="MW61" s="68"/>
      <c r="MX61" s="68"/>
      <c r="MY61" s="68"/>
      <c r="MZ61" s="68"/>
      <c r="NA61" s="68"/>
      <c r="NB61" s="68"/>
      <c r="NC61" s="68"/>
      <c r="ND61" s="68"/>
      <c r="NE61" s="68"/>
      <c r="NF61" s="68"/>
      <c r="NG61" s="68"/>
      <c r="NH61" s="68"/>
      <c r="NI61" s="68"/>
      <c r="NJ61" s="70">
        <f t="array" aca="1" ref="NJ61" ca="1">SUMPRODUCT((OFFSET($A61,0,31*($A$3-1)+1,1,31)&lt;&gt;"")*(IF(OFFSET($A61,0,31*($A$3-1)+1,1,31)=Database!$K$11,0.5,IF(OFFSET($A61,0,31*($A$3-1)+1,1,31)=Database!$K$12,0.5,1))*(OFFSET($A$4,0,31*($A$3-1)+1,1,31))))</f>
        <v>0</v>
      </c>
      <c r="NK61" s="72">
        <f t="array" aca="1" ref="NK61" ca="1">SUMPRODUCT((OFFSET($A61,0,1,1,372)&lt;&gt;"")*(IF(OFFSET($A61,0,1,1,372)=Database!$K$11,0.5,IF(OFFSET($A61,0,1,1,372)=Database!$K$12,0.5,1))*(OFFSET($A$3,0,1,1,372))))</f>
        <v>0</v>
      </c>
      <c r="NL61" s="63">
        <f t="shared" ca="1" si="8"/>
        <v>0</v>
      </c>
      <c r="NM61" s="63">
        <f t="shared" ca="1" si="8"/>
        <v>0</v>
      </c>
      <c r="NN61" s="63">
        <f t="shared" ca="1" si="8"/>
        <v>0</v>
      </c>
      <c r="NO61" s="63">
        <f t="shared" ca="1" si="8"/>
        <v>0</v>
      </c>
      <c r="NP61" s="63">
        <f t="shared" ca="1" si="8"/>
        <v>0</v>
      </c>
      <c r="NQ61" s="63">
        <f t="shared" ca="1" si="8"/>
        <v>0</v>
      </c>
      <c r="NR61" s="63">
        <f t="shared" ca="1" si="8"/>
        <v>0</v>
      </c>
      <c r="NS61" s="63">
        <f t="shared" ca="1" si="8"/>
        <v>0</v>
      </c>
      <c r="NT61" s="63">
        <f t="shared" ca="1" si="8"/>
        <v>0</v>
      </c>
      <c r="NU61" s="63">
        <f t="shared" ca="1" si="8"/>
        <v>0</v>
      </c>
    </row>
    <row r="62" spans="1:385" ht="18" hidden="1" customHeight="1" outlineLevel="1" x14ac:dyDescent="0.25">
      <c r="A62" s="26"/>
      <c r="B62" s="68"/>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8"/>
      <c r="AY62" s="68"/>
      <c r="AZ62" s="68"/>
      <c r="BA62" s="68"/>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8"/>
      <c r="CX62" s="68"/>
      <c r="CY62" s="68"/>
      <c r="CZ62" s="68"/>
      <c r="DA62" s="68"/>
      <c r="DB62" s="68"/>
      <c r="DC62" s="68"/>
      <c r="DD62" s="68"/>
      <c r="DE62" s="68"/>
      <c r="DF62" s="68"/>
      <c r="DG62" s="68"/>
      <c r="DH62" s="68"/>
      <c r="DI62" s="68"/>
      <c r="DJ62" s="68"/>
      <c r="DK62" s="68"/>
      <c r="DL62" s="68"/>
      <c r="DM62" s="68"/>
      <c r="DN62" s="68"/>
      <c r="DO62" s="68"/>
      <c r="DP62" s="68"/>
      <c r="DQ62" s="68"/>
      <c r="DR62" s="68"/>
      <c r="DS62" s="68"/>
      <c r="DT62" s="68"/>
      <c r="DU62" s="68"/>
      <c r="DV62" s="68"/>
      <c r="DW62" s="68"/>
      <c r="DX62" s="68"/>
      <c r="DY62" s="68"/>
      <c r="DZ62" s="68"/>
      <c r="EA62" s="68"/>
      <c r="EB62" s="68"/>
      <c r="EC62" s="68"/>
      <c r="ED62" s="68"/>
      <c r="EE62" s="68"/>
      <c r="EF62" s="68"/>
      <c r="EG62" s="68"/>
      <c r="EH62" s="68"/>
      <c r="EI62" s="68"/>
      <c r="EJ62" s="68"/>
      <c r="EK62" s="68"/>
      <c r="EL62" s="68"/>
      <c r="EM62" s="68"/>
      <c r="EN62" s="68"/>
      <c r="EO62" s="68"/>
      <c r="EP62" s="68"/>
      <c r="EQ62" s="68"/>
      <c r="ER62" s="68"/>
      <c r="ES62" s="68"/>
      <c r="ET62" s="68"/>
      <c r="EU62" s="68"/>
      <c r="EV62" s="68"/>
      <c r="EW62" s="68"/>
      <c r="EX62" s="68"/>
      <c r="EY62" s="68"/>
      <c r="EZ62" s="68"/>
      <c r="FA62" s="68"/>
      <c r="FB62" s="68"/>
      <c r="FC62" s="68"/>
      <c r="FD62" s="68"/>
      <c r="FE62" s="68"/>
      <c r="FF62" s="68"/>
      <c r="FG62" s="68"/>
      <c r="FH62" s="68"/>
      <c r="FI62" s="68"/>
      <c r="FJ62" s="68"/>
      <c r="FK62" s="68"/>
      <c r="FL62" s="68"/>
      <c r="FM62" s="68"/>
      <c r="FN62" s="68"/>
      <c r="FO62" s="68"/>
      <c r="FP62" s="68"/>
      <c r="FQ62" s="68"/>
      <c r="FR62" s="68"/>
      <c r="FS62" s="68"/>
      <c r="FT62" s="68"/>
      <c r="FU62" s="68"/>
      <c r="FV62" s="68"/>
      <c r="FW62" s="68"/>
      <c r="FX62" s="68"/>
      <c r="FY62" s="68"/>
      <c r="FZ62" s="68"/>
      <c r="GA62" s="68"/>
      <c r="GB62" s="68"/>
      <c r="GC62" s="68"/>
      <c r="GD62" s="68"/>
      <c r="GE62" s="68"/>
      <c r="GF62" s="68"/>
      <c r="GG62" s="68"/>
      <c r="GH62" s="68"/>
      <c r="GI62" s="68"/>
      <c r="GJ62" s="68"/>
      <c r="GK62" s="68"/>
      <c r="GL62" s="68"/>
      <c r="GM62" s="68"/>
      <c r="GN62" s="68"/>
      <c r="GO62" s="68"/>
      <c r="GP62" s="68"/>
      <c r="GQ62" s="68"/>
      <c r="GR62" s="68"/>
      <c r="GS62" s="68"/>
      <c r="GT62" s="68"/>
      <c r="GU62" s="68"/>
      <c r="GV62" s="68"/>
      <c r="GW62" s="68"/>
      <c r="GX62" s="68"/>
      <c r="GY62" s="68"/>
      <c r="GZ62" s="68"/>
      <c r="HA62" s="68"/>
      <c r="HB62" s="68"/>
      <c r="HC62" s="68"/>
      <c r="HD62" s="68"/>
      <c r="HE62" s="68"/>
      <c r="HF62" s="68"/>
      <c r="HG62" s="68"/>
      <c r="HH62" s="68"/>
      <c r="HI62" s="68"/>
      <c r="HJ62" s="68"/>
      <c r="HK62" s="68"/>
      <c r="HL62" s="68"/>
      <c r="HM62" s="68"/>
      <c r="HN62" s="68"/>
      <c r="HO62" s="68"/>
      <c r="HP62" s="68"/>
      <c r="HQ62" s="68"/>
      <c r="HR62" s="68"/>
      <c r="HS62" s="68"/>
      <c r="HT62" s="68"/>
      <c r="HU62" s="68"/>
      <c r="HV62" s="68"/>
      <c r="HW62" s="68"/>
      <c r="HX62" s="68"/>
      <c r="HY62" s="68"/>
      <c r="HZ62" s="68"/>
      <c r="IA62" s="68"/>
      <c r="IB62" s="68"/>
      <c r="IC62" s="68"/>
      <c r="ID62" s="68"/>
      <c r="IE62" s="68"/>
      <c r="IF62" s="68"/>
      <c r="IG62" s="68"/>
      <c r="IH62" s="68"/>
      <c r="II62" s="68"/>
      <c r="IJ62" s="68"/>
      <c r="IK62" s="68"/>
      <c r="IL62" s="68"/>
      <c r="IM62" s="68"/>
      <c r="IN62" s="68"/>
      <c r="IO62" s="68"/>
      <c r="IP62" s="68"/>
      <c r="IQ62" s="68"/>
      <c r="IR62" s="68"/>
      <c r="IS62" s="68"/>
      <c r="IT62" s="68"/>
      <c r="IU62" s="68"/>
      <c r="IV62" s="68"/>
      <c r="IW62" s="68"/>
      <c r="IX62" s="68"/>
      <c r="IY62" s="68"/>
      <c r="IZ62" s="68"/>
      <c r="JA62" s="68"/>
      <c r="JB62" s="68"/>
      <c r="JC62" s="68"/>
      <c r="JD62" s="68"/>
      <c r="JE62" s="68"/>
      <c r="JF62" s="68"/>
      <c r="JG62" s="68"/>
      <c r="JH62" s="68"/>
      <c r="JI62" s="68"/>
      <c r="JJ62" s="68"/>
      <c r="JK62" s="68"/>
      <c r="JL62" s="68"/>
      <c r="JM62" s="68"/>
      <c r="JN62" s="68"/>
      <c r="JO62" s="68"/>
      <c r="JP62" s="68"/>
      <c r="JQ62" s="68"/>
      <c r="JR62" s="68"/>
      <c r="JS62" s="68"/>
      <c r="JT62" s="68"/>
      <c r="JU62" s="68"/>
      <c r="JV62" s="68"/>
      <c r="JW62" s="68"/>
      <c r="JX62" s="68"/>
      <c r="JY62" s="68"/>
      <c r="JZ62" s="68"/>
      <c r="KA62" s="68"/>
      <c r="KB62" s="68"/>
      <c r="KC62" s="68"/>
      <c r="KD62" s="68"/>
      <c r="KE62" s="68"/>
      <c r="KF62" s="68"/>
      <c r="KG62" s="68"/>
      <c r="KH62" s="68"/>
      <c r="KI62" s="68"/>
      <c r="KJ62" s="68"/>
      <c r="KK62" s="68"/>
      <c r="KL62" s="68"/>
      <c r="KM62" s="68"/>
      <c r="KN62" s="68"/>
      <c r="KO62" s="68"/>
      <c r="KP62" s="68"/>
      <c r="KQ62" s="68"/>
      <c r="KR62" s="68"/>
      <c r="KS62" s="68"/>
      <c r="KT62" s="68"/>
      <c r="KU62" s="68"/>
      <c r="KV62" s="68"/>
      <c r="KW62" s="68"/>
      <c r="KX62" s="68"/>
      <c r="KY62" s="68"/>
      <c r="KZ62" s="68"/>
      <c r="LA62" s="68"/>
      <c r="LB62" s="68"/>
      <c r="LC62" s="68"/>
      <c r="LD62" s="68"/>
      <c r="LE62" s="68"/>
      <c r="LF62" s="68"/>
      <c r="LG62" s="68"/>
      <c r="LH62" s="68"/>
      <c r="LI62" s="68"/>
      <c r="LJ62" s="68"/>
      <c r="LK62" s="68"/>
      <c r="LL62" s="68"/>
      <c r="LM62" s="68"/>
      <c r="LN62" s="68"/>
      <c r="LO62" s="68"/>
      <c r="LP62" s="68"/>
      <c r="LQ62" s="68"/>
      <c r="LR62" s="68"/>
      <c r="LS62" s="68"/>
      <c r="LT62" s="68"/>
      <c r="LU62" s="68"/>
      <c r="LV62" s="68"/>
      <c r="LW62" s="68"/>
      <c r="LX62" s="68"/>
      <c r="LY62" s="68"/>
      <c r="LZ62" s="68"/>
      <c r="MA62" s="68"/>
      <c r="MB62" s="68"/>
      <c r="MC62" s="68"/>
      <c r="MD62" s="68"/>
      <c r="ME62" s="68"/>
      <c r="MF62" s="68"/>
      <c r="MG62" s="68"/>
      <c r="MH62" s="68"/>
      <c r="MI62" s="68"/>
      <c r="MJ62" s="68"/>
      <c r="MK62" s="68"/>
      <c r="ML62" s="68"/>
      <c r="MM62" s="68"/>
      <c r="MN62" s="68"/>
      <c r="MO62" s="68"/>
      <c r="MP62" s="68"/>
      <c r="MQ62" s="68"/>
      <c r="MR62" s="68"/>
      <c r="MS62" s="68"/>
      <c r="MT62" s="68"/>
      <c r="MU62" s="68"/>
      <c r="MV62" s="68"/>
      <c r="MW62" s="68"/>
      <c r="MX62" s="68"/>
      <c r="MY62" s="68"/>
      <c r="MZ62" s="68"/>
      <c r="NA62" s="68"/>
      <c r="NB62" s="68"/>
      <c r="NC62" s="68"/>
      <c r="ND62" s="68"/>
      <c r="NE62" s="68"/>
      <c r="NF62" s="68"/>
      <c r="NG62" s="68"/>
      <c r="NH62" s="68"/>
      <c r="NI62" s="68"/>
      <c r="NJ62" s="70">
        <f t="array" aca="1" ref="NJ62" ca="1">SUMPRODUCT((OFFSET($A62,0,31*($A$3-1)+1,1,31)&lt;&gt;"")*(IF(OFFSET($A62,0,31*($A$3-1)+1,1,31)=Database!$K$11,0.5,IF(OFFSET($A62,0,31*($A$3-1)+1,1,31)=Database!$K$12,0.5,1))*(OFFSET($A$4,0,31*($A$3-1)+1,1,31))))</f>
        <v>0</v>
      </c>
      <c r="NK62" s="72">
        <f t="array" aca="1" ref="NK62" ca="1">SUMPRODUCT((OFFSET($A62,0,1,1,372)&lt;&gt;"")*(IF(OFFSET($A62,0,1,1,372)=Database!$K$11,0.5,IF(OFFSET($A62,0,1,1,372)=Database!$K$12,0.5,1))*(OFFSET($A$3,0,1,1,372))))</f>
        <v>0</v>
      </c>
      <c r="NL62" s="63">
        <f t="shared" ca="1" si="8"/>
        <v>0</v>
      </c>
      <c r="NM62" s="63">
        <f t="shared" ca="1" si="8"/>
        <v>0</v>
      </c>
      <c r="NN62" s="63">
        <f t="shared" ca="1" si="8"/>
        <v>0</v>
      </c>
      <c r="NO62" s="63">
        <f t="shared" ca="1" si="8"/>
        <v>0</v>
      </c>
      <c r="NP62" s="63">
        <f t="shared" ca="1" si="8"/>
        <v>0</v>
      </c>
      <c r="NQ62" s="63">
        <f t="shared" ca="1" si="8"/>
        <v>0</v>
      </c>
      <c r="NR62" s="63">
        <f t="shared" ca="1" si="8"/>
        <v>0</v>
      </c>
      <c r="NS62" s="63">
        <f t="shared" ca="1" si="8"/>
        <v>0</v>
      </c>
      <c r="NT62" s="63">
        <f t="shared" ca="1" si="8"/>
        <v>0</v>
      </c>
      <c r="NU62" s="63">
        <f t="shared" ca="1" si="8"/>
        <v>0</v>
      </c>
    </row>
    <row r="63" spans="1:385" ht="18" hidden="1" customHeight="1" outlineLevel="1" x14ac:dyDescent="0.25">
      <c r="A63" s="26"/>
      <c r="B63" s="68"/>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8"/>
      <c r="AY63" s="68"/>
      <c r="AZ63" s="68"/>
      <c r="BA63" s="68"/>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8"/>
      <c r="CX63" s="68"/>
      <c r="CY63" s="68"/>
      <c r="CZ63" s="68"/>
      <c r="DA63" s="68"/>
      <c r="DB63" s="68"/>
      <c r="DC63" s="68"/>
      <c r="DD63" s="68"/>
      <c r="DE63" s="68"/>
      <c r="DF63" s="68"/>
      <c r="DG63" s="68"/>
      <c r="DH63" s="68"/>
      <c r="DI63" s="68"/>
      <c r="DJ63" s="68"/>
      <c r="DK63" s="68"/>
      <c r="DL63" s="68"/>
      <c r="DM63" s="68"/>
      <c r="DN63" s="68"/>
      <c r="DO63" s="68"/>
      <c r="DP63" s="68"/>
      <c r="DQ63" s="68"/>
      <c r="DR63" s="68"/>
      <c r="DS63" s="68"/>
      <c r="DT63" s="68"/>
      <c r="DU63" s="68"/>
      <c r="DV63" s="68"/>
      <c r="DW63" s="68"/>
      <c r="DX63" s="68"/>
      <c r="DY63" s="68"/>
      <c r="DZ63" s="68"/>
      <c r="EA63" s="68"/>
      <c r="EB63" s="68"/>
      <c r="EC63" s="68"/>
      <c r="ED63" s="68"/>
      <c r="EE63" s="68"/>
      <c r="EF63" s="68"/>
      <c r="EG63" s="68"/>
      <c r="EH63" s="68"/>
      <c r="EI63" s="68"/>
      <c r="EJ63" s="68"/>
      <c r="EK63" s="68"/>
      <c r="EL63" s="68"/>
      <c r="EM63" s="68"/>
      <c r="EN63" s="68"/>
      <c r="EO63" s="68"/>
      <c r="EP63" s="68"/>
      <c r="EQ63" s="68"/>
      <c r="ER63" s="68"/>
      <c r="ES63" s="68"/>
      <c r="ET63" s="68"/>
      <c r="EU63" s="68"/>
      <c r="EV63" s="68"/>
      <c r="EW63" s="68"/>
      <c r="EX63" s="68"/>
      <c r="EY63" s="68"/>
      <c r="EZ63" s="68"/>
      <c r="FA63" s="68"/>
      <c r="FB63" s="68"/>
      <c r="FC63" s="68"/>
      <c r="FD63" s="68"/>
      <c r="FE63" s="68"/>
      <c r="FF63" s="68"/>
      <c r="FG63" s="68"/>
      <c r="FH63" s="68"/>
      <c r="FI63" s="68"/>
      <c r="FJ63" s="68"/>
      <c r="FK63" s="68"/>
      <c r="FL63" s="68"/>
      <c r="FM63" s="68"/>
      <c r="FN63" s="68"/>
      <c r="FO63" s="68"/>
      <c r="FP63" s="68"/>
      <c r="FQ63" s="68"/>
      <c r="FR63" s="68"/>
      <c r="FS63" s="68"/>
      <c r="FT63" s="68"/>
      <c r="FU63" s="68"/>
      <c r="FV63" s="68"/>
      <c r="FW63" s="68"/>
      <c r="FX63" s="68"/>
      <c r="FY63" s="68"/>
      <c r="FZ63" s="68"/>
      <c r="GA63" s="68"/>
      <c r="GB63" s="68"/>
      <c r="GC63" s="68"/>
      <c r="GD63" s="68"/>
      <c r="GE63" s="68"/>
      <c r="GF63" s="68"/>
      <c r="GG63" s="68"/>
      <c r="GH63" s="68"/>
      <c r="GI63" s="68"/>
      <c r="GJ63" s="68"/>
      <c r="GK63" s="68"/>
      <c r="GL63" s="68"/>
      <c r="GM63" s="68"/>
      <c r="GN63" s="68"/>
      <c r="GO63" s="68"/>
      <c r="GP63" s="68"/>
      <c r="GQ63" s="68"/>
      <c r="GR63" s="68"/>
      <c r="GS63" s="68"/>
      <c r="GT63" s="68"/>
      <c r="GU63" s="68"/>
      <c r="GV63" s="68"/>
      <c r="GW63" s="68"/>
      <c r="GX63" s="68"/>
      <c r="GY63" s="68"/>
      <c r="GZ63" s="68"/>
      <c r="HA63" s="68"/>
      <c r="HB63" s="68"/>
      <c r="HC63" s="68"/>
      <c r="HD63" s="68"/>
      <c r="HE63" s="68"/>
      <c r="HF63" s="68"/>
      <c r="HG63" s="68"/>
      <c r="HH63" s="68"/>
      <c r="HI63" s="68"/>
      <c r="HJ63" s="68"/>
      <c r="HK63" s="68"/>
      <c r="HL63" s="68"/>
      <c r="HM63" s="68"/>
      <c r="HN63" s="68"/>
      <c r="HO63" s="68"/>
      <c r="HP63" s="68"/>
      <c r="HQ63" s="68"/>
      <c r="HR63" s="68"/>
      <c r="HS63" s="68"/>
      <c r="HT63" s="68"/>
      <c r="HU63" s="68"/>
      <c r="HV63" s="68"/>
      <c r="HW63" s="68"/>
      <c r="HX63" s="68"/>
      <c r="HY63" s="68"/>
      <c r="HZ63" s="68"/>
      <c r="IA63" s="68"/>
      <c r="IB63" s="68"/>
      <c r="IC63" s="68"/>
      <c r="ID63" s="68"/>
      <c r="IE63" s="68"/>
      <c r="IF63" s="68"/>
      <c r="IG63" s="68"/>
      <c r="IH63" s="68"/>
      <c r="II63" s="68"/>
      <c r="IJ63" s="68"/>
      <c r="IK63" s="68"/>
      <c r="IL63" s="68"/>
      <c r="IM63" s="68"/>
      <c r="IN63" s="68"/>
      <c r="IO63" s="68"/>
      <c r="IP63" s="68"/>
      <c r="IQ63" s="68"/>
      <c r="IR63" s="68"/>
      <c r="IS63" s="68"/>
      <c r="IT63" s="68"/>
      <c r="IU63" s="68"/>
      <c r="IV63" s="68"/>
      <c r="IW63" s="68"/>
      <c r="IX63" s="68"/>
      <c r="IY63" s="68"/>
      <c r="IZ63" s="68"/>
      <c r="JA63" s="68"/>
      <c r="JB63" s="68"/>
      <c r="JC63" s="68"/>
      <c r="JD63" s="68"/>
      <c r="JE63" s="68"/>
      <c r="JF63" s="68"/>
      <c r="JG63" s="68"/>
      <c r="JH63" s="68"/>
      <c r="JI63" s="68"/>
      <c r="JJ63" s="68"/>
      <c r="JK63" s="68"/>
      <c r="JL63" s="68"/>
      <c r="JM63" s="68"/>
      <c r="JN63" s="68"/>
      <c r="JO63" s="68"/>
      <c r="JP63" s="68"/>
      <c r="JQ63" s="68"/>
      <c r="JR63" s="68"/>
      <c r="JS63" s="68"/>
      <c r="JT63" s="68"/>
      <c r="JU63" s="68"/>
      <c r="JV63" s="68"/>
      <c r="JW63" s="68"/>
      <c r="JX63" s="68"/>
      <c r="JY63" s="68"/>
      <c r="JZ63" s="68"/>
      <c r="KA63" s="68"/>
      <c r="KB63" s="68"/>
      <c r="KC63" s="68"/>
      <c r="KD63" s="68"/>
      <c r="KE63" s="68"/>
      <c r="KF63" s="68"/>
      <c r="KG63" s="68"/>
      <c r="KH63" s="68"/>
      <c r="KI63" s="68"/>
      <c r="KJ63" s="68"/>
      <c r="KK63" s="68"/>
      <c r="KL63" s="68"/>
      <c r="KM63" s="68"/>
      <c r="KN63" s="68"/>
      <c r="KO63" s="68"/>
      <c r="KP63" s="68"/>
      <c r="KQ63" s="68"/>
      <c r="KR63" s="68"/>
      <c r="KS63" s="68"/>
      <c r="KT63" s="68"/>
      <c r="KU63" s="68"/>
      <c r="KV63" s="68"/>
      <c r="KW63" s="68"/>
      <c r="KX63" s="68"/>
      <c r="KY63" s="68"/>
      <c r="KZ63" s="68"/>
      <c r="LA63" s="68"/>
      <c r="LB63" s="68"/>
      <c r="LC63" s="68"/>
      <c r="LD63" s="68"/>
      <c r="LE63" s="68"/>
      <c r="LF63" s="68"/>
      <c r="LG63" s="68"/>
      <c r="LH63" s="68"/>
      <c r="LI63" s="68"/>
      <c r="LJ63" s="68"/>
      <c r="LK63" s="68"/>
      <c r="LL63" s="68"/>
      <c r="LM63" s="68"/>
      <c r="LN63" s="68"/>
      <c r="LO63" s="68"/>
      <c r="LP63" s="68"/>
      <c r="LQ63" s="68"/>
      <c r="LR63" s="68"/>
      <c r="LS63" s="68"/>
      <c r="LT63" s="68"/>
      <c r="LU63" s="68"/>
      <c r="LV63" s="68"/>
      <c r="LW63" s="68"/>
      <c r="LX63" s="68"/>
      <c r="LY63" s="68"/>
      <c r="LZ63" s="68"/>
      <c r="MA63" s="68"/>
      <c r="MB63" s="68"/>
      <c r="MC63" s="68"/>
      <c r="MD63" s="68"/>
      <c r="ME63" s="68"/>
      <c r="MF63" s="68"/>
      <c r="MG63" s="68"/>
      <c r="MH63" s="68"/>
      <c r="MI63" s="68"/>
      <c r="MJ63" s="68"/>
      <c r="MK63" s="68"/>
      <c r="ML63" s="68"/>
      <c r="MM63" s="68"/>
      <c r="MN63" s="68"/>
      <c r="MO63" s="68"/>
      <c r="MP63" s="68"/>
      <c r="MQ63" s="68"/>
      <c r="MR63" s="68"/>
      <c r="MS63" s="68"/>
      <c r="MT63" s="68"/>
      <c r="MU63" s="68"/>
      <c r="MV63" s="68"/>
      <c r="MW63" s="68"/>
      <c r="MX63" s="68"/>
      <c r="MY63" s="68"/>
      <c r="MZ63" s="68"/>
      <c r="NA63" s="68"/>
      <c r="NB63" s="68"/>
      <c r="NC63" s="68"/>
      <c r="ND63" s="68"/>
      <c r="NE63" s="68"/>
      <c r="NF63" s="68"/>
      <c r="NG63" s="68"/>
      <c r="NH63" s="68"/>
      <c r="NI63" s="68"/>
      <c r="NJ63" s="70">
        <f t="array" aca="1" ref="NJ63" ca="1">SUMPRODUCT((OFFSET($A63,0,31*($A$3-1)+1,1,31)&lt;&gt;"")*(IF(OFFSET($A63,0,31*($A$3-1)+1,1,31)=Database!$K$11,0.5,IF(OFFSET($A63,0,31*($A$3-1)+1,1,31)=Database!$K$12,0.5,1))*(OFFSET($A$4,0,31*($A$3-1)+1,1,31))))</f>
        <v>0</v>
      </c>
      <c r="NK63" s="72">
        <f t="array" aca="1" ref="NK63" ca="1">SUMPRODUCT((OFFSET($A63,0,1,1,372)&lt;&gt;"")*(IF(OFFSET($A63,0,1,1,372)=Database!$K$11,0.5,IF(OFFSET($A63,0,1,1,372)=Database!$K$12,0.5,1))*(OFFSET($A$3,0,1,1,372))))</f>
        <v>0</v>
      </c>
      <c r="NL63" s="63">
        <f t="shared" ca="1" si="8"/>
        <v>0</v>
      </c>
      <c r="NM63" s="63">
        <f t="shared" ca="1" si="8"/>
        <v>0</v>
      </c>
      <c r="NN63" s="63">
        <f t="shared" ca="1" si="8"/>
        <v>0</v>
      </c>
      <c r="NO63" s="63">
        <f t="shared" ca="1" si="8"/>
        <v>0</v>
      </c>
      <c r="NP63" s="63">
        <f t="shared" ca="1" si="8"/>
        <v>0</v>
      </c>
      <c r="NQ63" s="63">
        <f t="shared" ca="1" si="8"/>
        <v>0</v>
      </c>
      <c r="NR63" s="63">
        <f t="shared" ca="1" si="8"/>
        <v>0</v>
      </c>
      <c r="NS63" s="63">
        <f t="shared" ca="1" si="8"/>
        <v>0</v>
      </c>
      <c r="NT63" s="63">
        <f t="shared" ca="1" si="8"/>
        <v>0</v>
      </c>
      <c r="NU63" s="63">
        <f t="shared" ca="1" si="8"/>
        <v>0</v>
      </c>
    </row>
    <row r="64" spans="1:385" ht="18" hidden="1" customHeight="1" outlineLevel="1" x14ac:dyDescent="0.25">
      <c r="A64" s="26"/>
      <c r="B64" s="68"/>
      <c r="C64" s="68"/>
      <c r="D64" s="68"/>
      <c r="E64" s="68"/>
      <c r="F64" s="68"/>
      <c r="G64" s="68"/>
      <c r="H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c r="AK64" s="68"/>
      <c r="AL64" s="68"/>
      <c r="AM64" s="68"/>
      <c r="AN64" s="68"/>
      <c r="AO64" s="68"/>
      <c r="AP64" s="68"/>
      <c r="AQ64" s="68"/>
      <c r="AR64" s="68"/>
      <c r="AS64" s="68"/>
      <c r="AT64" s="68"/>
      <c r="AU64" s="68"/>
      <c r="AV64" s="68"/>
      <c r="AW64" s="68"/>
      <c r="AX64" s="68"/>
      <c r="AY64" s="68"/>
      <c r="AZ64" s="68"/>
      <c r="BA64" s="68"/>
      <c r="BB64" s="68"/>
      <c r="BC64" s="68"/>
      <c r="BD64" s="68"/>
      <c r="BE64" s="68"/>
      <c r="BF64" s="68"/>
      <c r="BG64" s="68"/>
      <c r="BH64" s="68"/>
      <c r="BI64" s="68"/>
      <c r="BJ64" s="68"/>
      <c r="BK64" s="68"/>
      <c r="BL64" s="68"/>
      <c r="BM64" s="68"/>
      <c r="BN64" s="68"/>
      <c r="BO64" s="68"/>
      <c r="BP64" s="68"/>
      <c r="BQ64" s="68"/>
      <c r="BR64" s="68"/>
      <c r="BS64" s="68"/>
      <c r="BT64" s="68"/>
      <c r="BU64" s="68"/>
      <c r="BV64" s="68"/>
      <c r="BW64" s="68"/>
      <c r="BX64" s="68"/>
      <c r="BY64" s="68"/>
      <c r="BZ64" s="68"/>
      <c r="CA64" s="68"/>
      <c r="CB64" s="68"/>
      <c r="CC64" s="68"/>
      <c r="CD64" s="68"/>
      <c r="CE64" s="68"/>
      <c r="CF64" s="68"/>
      <c r="CG64" s="68"/>
      <c r="CH64" s="68"/>
      <c r="CI64" s="68"/>
      <c r="CJ64" s="68"/>
      <c r="CK64" s="68"/>
      <c r="CL64" s="68"/>
      <c r="CM64" s="68"/>
      <c r="CN64" s="68"/>
      <c r="CO64" s="68"/>
      <c r="CP64" s="68"/>
      <c r="CQ64" s="68"/>
      <c r="CR64" s="68"/>
      <c r="CS64" s="68"/>
      <c r="CT64" s="68"/>
      <c r="CU64" s="68"/>
      <c r="CV64" s="68"/>
      <c r="CW64" s="68"/>
      <c r="CX64" s="68"/>
      <c r="CY64" s="68"/>
      <c r="CZ64" s="68"/>
      <c r="DA64" s="68"/>
      <c r="DB64" s="68"/>
      <c r="DC64" s="68"/>
      <c r="DD64" s="68"/>
      <c r="DE64" s="68"/>
      <c r="DF64" s="68"/>
      <c r="DG64" s="68"/>
      <c r="DH64" s="68"/>
      <c r="DI64" s="68"/>
      <c r="DJ64" s="68"/>
      <c r="DK64" s="68"/>
      <c r="DL64" s="68"/>
      <c r="DM64" s="68"/>
      <c r="DN64" s="68"/>
      <c r="DO64" s="68"/>
      <c r="DP64" s="68"/>
      <c r="DQ64" s="68"/>
      <c r="DR64" s="68"/>
      <c r="DS64" s="68"/>
      <c r="DT64" s="68"/>
      <c r="DU64" s="68"/>
      <c r="DV64" s="68"/>
      <c r="DW64" s="68"/>
      <c r="DX64" s="68"/>
      <c r="DY64" s="68"/>
      <c r="DZ64" s="68"/>
      <c r="EA64" s="68"/>
      <c r="EB64" s="68"/>
      <c r="EC64" s="68"/>
      <c r="ED64" s="68"/>
      <c r="EE64" s="68"/>
      <c r="EF64" s="68"/>
      <c r="EG64" s="68"/>
      <c r="EH64" s="68"/>
      <c r="EI64" s="68"/>
      <c r="EJ64" s="68"/>
      <c r="EK64" s="68"/>
      <c r="EL64" s="68"/>
      <c r="EM64" s="68"/>
      <c r="EN64" s="68"/>
      <c r="EO64" s="68"/>
      <c r="EP64" s="68"/>
      <c r="EQ64" s="68"/>
      <c r="ER64" s="68"/>
      <c r="ES64" s="68"/>
      <c r="ET64" s="68"/>
      <c r="EU64" s="68"/>
      <c r="EV64" s="68"/>
      <c r="EW64" s="68"/>
      <c r="EX64" s="68"/>
      <c r="EY64" s="68"/>
      <c r="EZ64" s="68"/>
      <c r="FA64" s="68"/>
      <c r="FB64" s="68"/>
      <c r="FC64" s="68"/>
      <c r="FD64" s="68"/>
      <c r="FE64" s="68"/>
      <c r="FF64" s="68"/>
      <c r="FG64" s="68"/>
      <c r="FH64" s="68"/>
      <c r="FI64" s="68"/>
      <c r="FJ64" s="68"/>
      <c r="FK64" s="68"/>
      <c r="FL64" s="68"/>
      <c r="FM64" s="68"/>
      <c r="FN64" s="68"/>
      <c r="FO64" s="68"/>
      <c r="FP64" s="68"/>
      <c r="FQ64" s="68"/>
      <c r="FR64" s="68"/>
      <c r="FS64" s="68"/>
      <c r="FT64" s="68"/>
      <c r="FU64" s="68"/>
      <c r="FV64" s="68"/>
      <c r="FW64" s="68"/>
      <c r="FX64" s="68"/>
      <c r="FY64" s="68"/>
      <c r="FZ64" s="68"/>
      <c r="GA64" s="68"/>
      <c r="GB64" s="68"/>
      <c r="GC64" s="68"/>
      <c r="GD64" s="68"/>
      <c r="GE64" s="68"/>
      <c r="GF64" s="68"/>
      <c r="GG64" s="68"/>
      <c r="GH64" s="68"/>
      <c r="GI64" s="68"/>
      <c r="GJ64" s="68"/>
      <c r="GK64" s="68"/>
      <c r="GL64" s="68"/>
      <c r="GM64" s="68"/>
      <c r="GN64" s="68"/>
      <c r="GO64" s="68"/>
      <c r="GP64" s="68"/>
      <c r="GQ64" s="68"/>
      <c r="GR64" s="68"/>
      <c r="GS64" s="68"/>
      <c r="GT64" s="68"/>
      <c r="GU64" s="68"/>
      <c r="GV64" s="68"/>
      <c r="GW64" s="68"/>
      <c r="GX64" s="68"/>
      <c r="GY64" s="68"/>
      <c r="GZ64" s="68"/>
      <c r="HA64" s="68"/>
      <c r="HB64" s="68"/>
      <c r="HC64" s="68"/>
      <c r="HD64" s="68"/>
      <c r="HE64" s="68"/>
      <c r="HF64" s="68"/>
      <c r="HG64" s="68"/>
      <c r="HH64" s="68"/>
      <c r="HI64" s="68"/>
      <c r="HJ64" s="68"/>
      <c r="HK64" s="68"/>
      <c r="HL64" s="68"/>
      <c r="HM64" s="68"/>
      <c r="HN64" s="68"/>
      <c r="HO64" s="68"/>
      <c r="HP64" s="68"/>
      <c r="HQ64" s="68"/>
      <c r="HR64" s="68"/>
      <c r="HS64" s="68"/>
      <c r="HT64" s="68"/>
      <c r="HU64" s="68"/>
      <c r="HV64" s="68"/>
      <c r="HW64" s="68"/>
      <c r="HX64" s="68"/>
      <c r="HY64" s="68"/>
      <c r="HZ64" s="68"/>
      <c r="IA64" s="68"/>
      <c r="IB64" s="68"/>
      <c r="IC64" s="68"/>
      <c r="ID64" s="68"/>
      <c r="IE64" s="68"/>
      <c r="IF64" s="68"/>
      <c r="IG64" s="68"/>
      <c r="IH64" s="68"/>
      <c r="II64" s="68"/>
      <c r="IJ64" s="68"/>
      <c r="IK64" s="68"/>
      <c r="IL64" s="68"/>
      <c r="IM64" s="68"/>
      <c r="IN64" s="68"/>
      <c r="IO64" s="68"/>
      <c r="IP64" s="68"/>
      <c r="IQ64" s="68"/>
      <c r="IR64" s="68"/>
      <c r="IS64" s="68"/>
      <c r="IT64" s="68"/>
      <c r="IU64" s="68"/>
      <c r="IV64" s="68"/>
      <c r="IW64" s="68"/>
      <c r="IX64" s="68"/>
      <c r="IY64" s="68"/>
      <c r="IZ64" s="68"/>
      <c r="JA64" s="68"/>
      <c r="JB64" s="68"/>
      <c r="JC64" s="68"/>
      <c r="JD64" s="68"/>
      <c r="JE64" s="68"/>
      <c r="JF64" s="68"/>
      <c r="JG64" s="68"/>
      <c r="JH64" s="68"/>
      <c r="JI64" s="68"/>
      <c r="JJ64" s="68"/>
      <c r="JK64" s="68"/>
      <c r="JL64" s="68"/>
      <c r="JM64" s="68"/>
      <c r="JN64" s="68"/>
      <c r="JO64" s="68"/>
      <c r="JP64" s="68"/>
      <c r="JQ64" s="68"/>
      <c r="JR64" s="68"/>
      <c r="JS64" s="68"/>
      <c r="JT64" s="68"/>
      <c r="JU64" s="68"/>
      <c r="JV64" s="68"/>
      <c r="JW64" s="68"/>
      <c r="JX64" s="68"/>
      <c r="JY64" s="68"/>
      <c r="JZ64" s="68"/>
      <c r="KA64" s="68"/>
      <c r="KB64" s="68"/>
      <c r="KC64" s="68"/>
      <c r="KD64" s="68"/>
      <c r="KE64" s="68"/>
      <c r="KF64" s="68"/>
      <c r="KG64" s="68"/>
      <c r="KH64" s="68"/>
      <c r="KI64" s="68"/>
      <c r="KJ64" s="68"/>
      <c r="KK64" s="68"/>
      <c r="KL64" s="68"/>
      <c r="KM64" s="68"/>
      <c r="KN64" s="68"/>
      <c r="KO64" s="68"/>
      <c r="KP64" s="68"/>
      <c r="KQ64" s="68"/>
      <c r="KR64" s="68"/>
      <c r="KS64" s="68"/>
      <c r="KT64" s="68"/>
      <c r="KU64" s="68"/>
      <c r="KV64" s="68"/>
      <c r="KW64" s="68"/>
      <c r="KX64" s="68"/>
      <c r="KY64" s="68"/>
      <c r="KZ64" s="68"/>
      <c r="LA64" s="68"/>
      <c r="LB64" s="68"/>
      <c r="LC64" s="68"/>
      <c r="LD64" s="68"/>
      <c r="LE64" s="68"/>
      <c r="LF64" s="68"/>
      <c r="LG64" s="68"/>
      <c r="LH64" s="68"/>
      <c r="LI64" s="68"/>
      <c r="LJ64" s="68"/>
      <c r="LK64" s="68"/>
      <c r="LL64" s="68"/>
      <c r="LM64" s="68"/>
      <c r="LN64" s="68"/>
      <c r="LO64" s="68"/>
      <c r="LP64" s="68"/>
      <c r="LQ64" s="68"/>
      <c r="LR64" s="68"/>
      <c r="LS64" s="68"/>
      <c r="LT64" s="68"/>
      <c r="LU64" s="68"/>
      <c r="LV64" s="68"/>
      <c r="LW64" s="68"/>
      <c r="LX64" s="68"/>
      <c r="LY64" s="68"/>
      <c r="LZ64" s="68"/>
      <c r="MA64" s="68"/>
      <c r="MB64" s="68"/>
      <c r="MC64" s="68"/>
      <c r="MD64" s="68"/>
      <c r="ME64" s="68"/>
      <c r="MF64" s="68"/>
      <c r="MG64" s="68"/>
      <c r="MH64" s="68"/>
      <c r="MI64" s="68"/>
      <c r="MJ64" s="68"/>
      <c r="MK64" s="68"/>
      <c r="ML64" s="68"/>
      <c r="MM64" s="68"/>
      <c r="MN64" s="68"/>
      <c r="MO64" s="68"/>
      <c r="MP64" s="68"/>
      <c r="MQ64" s="68"/>
      <c r="MR64" s="68"/>
      <c r="MS64" s="68"/>
      <c r="MT64" s="68"/>
      <c r="MU64" s="68"/>
      <c r="MV64" s="68"/>
      <c r="MW64" s="68"/>
      <c r="MX64" s="68"/>
      <c r="MY64" s="68"/>
      <c r="MZ64" s="68"/>
      <c r="NA64" s="68"/>
      <c r="NB64" s="68"/>
      <c r="NC64" s="68"/>
      <c r="ND64" s="68"/>
      <c r="NE64" s="68"/>
      <c r="NF64" s="68"/>
      <c r="NG64" s="68"/>
      <c r="NH64" s="68"/>
      <c r="NI64" s="68"/>
      <c r="NJ64" s="70">
        <f t="array" aca="1" ref="NJ64" ca="1">SUMPRODUCT((OFFSET($A64,0,31*($A$3-1)+1,1,31)&lt;&gt;"")*(IF(OFFSET($A64,0,31*($A$3-1)+1,1,31)=Database!$K$11,0.5,IF(OFFSET($A64,0,31*($A$3-1)+1,1,31)=Database!$K$12,0.5,1))*(OFFSET($A$4,0,31*($A$3-1)+1,1,31))))</f>
        <v>0</v>
      </c>
      <c r="NK64" s="72">
        <f t="array" aca="1" ref="NK64" ca="1">SUMPRODUCT((OFFSET($A64,0,1,1,372)&lt;&gt;"")*(IF(OFFSET($A64,0,1,1,372)=Database!$K$11,0.5,IF(OFFSET($A64,0,1,1,372)=Database!$K$12,0.5,1))*(OFFSET($A$3,0,1,1,372))))</f>
        <v>0</v>
      </c>
      <c r="NL64" s="63">
        <f t="shared" ca="1" si="8"/>
        <v>0</v>
      </c>
      <c r="NM64" s="63">
        <f t="shared" ca="1" si="8"/>
        <v>0</v>
      </c>
      <c r="NN64" s="63">
        <f t="shared" ca="1" si="8"/>
        <v>0</v>
      </c>
      <c r="NO64" s="63">
        <f t="shared" ca="1" si="8"/>
        <v>0</v>
      </c>
      <c r="NP64" s="63">
        <f t="shared" ca="1" si="8"/>
        <v>0</v>
      </c>
      <c r="NQ64" s="63">
        <f t="shared" ca="1" si="8"/>
        <v>0</v>
      </c>
      <c r="NR64" s="63">
        <f t="shared" ca="1" si="8"/>
        <v>0</v>
      </c>
      <c r="NS64" s="63">
        <f t="shared" ca="1" si="8"/>
        <v>0</v>
      </c>
      <c r="NT64" s="63">
        <f t="shared" ca="1" si="8"/>
        <v>0</v>
      </c>
      <c r="NU64" s="63">
        <f t="shared" ca="1" si="8"/>
        <v>0</v>
      </c>
    </row>
    <row r="65" spans="1:385" ht="18" hidden="1" customHeight="1" outlineLevel="1" x14ac:dyDescent="0.25">
      <c r="A65" s="26"/>
      <c r="B65" s="68"/>
      <c r="C65" s="68"/>
      <c r="D65" s="68"/>
      <c r="E65" s="68"/>
      <c r="F65" s="68"/>
      <c r="G65" s="68"/>
      <c r="H65" s="68"/>
      <c r="I65" s="68"/>
      <c r="J65" s="68"/>
      <c r="K65" s="68"/>
      <c r="L65" s="68"/>
      <c r="M65" s="68"/>
      <c r="N65" s="68"/>
      <c r="O65" s="68"/>
      <c r="P65" s="68"/>
      <c r="Q65" s="68"/>
      <c r="R65" s="68"/>
      <c r="S65" s="68"/>
      <c r="T65" s="68"/>
      <c r="U65" s="68"/>
      <c r="V65" s="68"/>
      <c r="W65" s="68"/>
      <c r="X65" s="68"/>
      <c r="Y65" s="68"/>
      <c r="Z65" s="68"/>
      <c r="AA65" s="68"/>
      <c r="AB65" s="68"/>
      <c r="AC65" s="68"/>
      <c r="AD65" s="68"/>
      <c r="AE65" s="68"/>
      <c r="AF65" s="68"/>
      <c r="AG65" s="68"/>
      <c r="AH65" s="68"/>
      <c r="AI65" s="68"/>
      <c r="AJ65" s="68"/>
      <c r="AK65" s="68"/>
      <c r="AL65" s="68"/>
      <c r="AM65" s="68"/>
      <c r="AN65" s="68"/>
      <c r="AO65" s="68"/>
      <c r="AP65" s="68"/>
      <c r="AQ65" s="68"/>
      <c r="AR65" s="68"/>
      <c r="AS65" s="68"/>
      <c r="AT65" s="68"/>
      <c r="AU65" s="68"/>
      <c r="AV65" s="68"/>
      <c r="AW65" s="68"/>
      <c r="AX65" s="68"/>
      <c r="AY65" s="68"/>
      <c r="AZ65" s="68"/>
      <c r="BA65" s="68"/>
      <c r="BB65" s="68"/>
      <c r="BC65" s="68"/>
      <c r="BD65" s="68"/>
      <c r="BE65" s="68"/>
      <c r="BF65" s="68"/>
      <c r="BG65" s="68"/>
      <c r="BH65" s="68"/>
      <c r="BI65" s="68"/>
      <c r="BJ65" s="68"/>
      <c r="BK65" s="68"/>
      <c r="BL65" s="68"/>
      <c r="BM65" s="68"/>
      <c r="BN65" s="68"/>
      <c r="BO65" s="68"/>
      <c r="BP65" s="68"/>
      <c r="BQ65" s="68"/>
      <c r="BR65" s="68"/>
      <c r="BS65" s="68"/>
      <c r="BT65" s="68"/>
      <c r="BU65" s="68"/>
      <c r="BV65" s="68"/>
      <c r="BW65" s="68"/>
      <c r="BX65" s="68"/>
      <c r="BY65" s="68"/>
      <c r="BZ65" s="68"/>
      <c r="CA65" s="68"/>
      <c r="CB65" s="68"/>
      <c r="CC65" s="68"/>
      <c r="CD65" s="68"/>
      <c r="CE65" s="68"/>
      <c r="CF65" s="68"/>
      <c r="CG65" s="68"/>
      <c r="CH65" s="68"/>
      <c r="CI65" s="68"/>
      <c r="CJ65" s="68"/>
      <c r="CK65" s="68"/>
      <c r="CL65" s="68"/>
      <c r="CM65" s="68"/>
      <c r="CN65" s="68"/>
      <c r="CO65" s="68"/>
      <c r="CP65" s="68"/>
      <c r="CQ65" s="68"/>
      <c r="CR65" s="68"/>
      <c r="CS65" s="68"/>
      <c r="CT65" s="68"/>
      <c r="CU65" s="68"/>
      <c r="CV65" s="68"/>
      <c r="CW65" s="68"/>
      <c r="CX65" s="68"/>
      <c r="CY65" s="68"/>
      <c r="CZ65" s="68"/>
      <c r="DA65" s="68"/>
      <c r="DB65" s="68"/>
      <c r="DC65" s="68"/>
      <c r="DD65" s="68"/>
      <c r="DE65" s="68"/>
      <c r="DF65" s="68"/>
      <c r="DG65" s="68"/>
      <c r="DH65" s="68"/>
      <c r="DI65" s="68"/>
      <c r="DJ65" s="68"/>
      <c r="DK65" s="68"/>
      <c r="DL65" s="68"/>
      <c r="DM65" s="68"/>
      <c r="DN65" s="68"/>
      <c r="DO65" s="68"/>
      <c r="DP65" s="68"/>
      <c r="DQ65" s="68"/>
      <c r="DR65" s="68"/>
      <c r="DS65" s="68"/>
      <c r="DT65" s="68"/>
      <c r="DU65" s="68"/>
      <c r="DV65" s="68"/>
      <c r="DW65" s="68"/>
      <c r="DX65" s="68"/>
      <c r="DY65" s="68"/>
      <c r="DZ65" s="68"/>
      <c r="EA65" s="68"/>
      <c r="EB65" s="68"/>
      <c r="EC65" s="68"/>
      <c r="ED65" s="68"/>
      <c r="EE65" s="68"/>
      <c r="EF65" s="68"/>
      <c r="EG65" s="68"/>
      <c r="EH65" s="68"/>
      <c r="EI65" s="68"/>
      <c r="EJ65" s="68"/>
      <c r="EK65" s="68"/>
      <c r="EL65" s="68"/>
      <c r="EM65" s="68"/>
      <c r="EN65" s="68"/>
      <c r="EO65" s="68"/>
      <c r="EP65" s="68"/>
      <c r="EQ65" s="68"/>
      <c r="ER65" s="68"/>
      <c r="ES65" s="68"/>
      <c r="ET65" s="68"/>
      <c r="EU65" s="68"/>
      <c r="EV65" s="68"/>
      <c r="EW65" s="68"/>
      <c r="EX65" s="68"/>
      <c r="EY65" s="68"/>
      <c r="EZ65" s="68"/>
      <c r="FA65" s="68"/>
      <c r="FB65" s="68"/>
      <c r="FC65" s="68"/>
      <c r="FD65" s="68"/>
      <c r="FE65" s="68"/>
      <c r="FF65" s="68"/>
      <c r="FG65" s="68"/>
      <c r="FH65" s="68"/>
      <c r="FI65" s="68"/>
      <c r="FJ65" s="68"/>
      <c r="FK65" s="68"/>
      <c r="FL65" s="68"/>
      <c r="FM65" s="68"/>
      <c r="FN65" s="68"/>
      <c r="FO65" s="68"/>
      <c r="FP65" s="68"/>
      <c r="FQ65" s="68"/>
      <c r="FR65" s="68"/>
      <c r="FS65" s="68"/>
      <c r="FT65" s="68"/>
      <c r="FU65" s="68"/>
      <c r="FV65" s="68"/>
      <c r="FW65" s="68"/>
      <c r="FX65" s="68"/>
      <c r="FY65" s="68"/>
      <c r="FZ65" s="68"/>
      <c r="GA65" s="68"/>
      <c r="GB65" s="68"/>
      <c r="GC65" s="68"/>
      <c r="GD65" s="68"/>
      <c r="GE65" s="68"/>
      <c r="GF65" s="68"/>
      <c r="GG65" s="68"/>
      <c r="GH65" s="68"/>
      <c r="GI65" s="68"/>
      <c r="GJ65" s="68"/>
      <c r="GK65" s="68"/>
      <c r="GL65" s="68"/>
      <c r="GM65" s="68"/>
      <c r="GN65" s="68"/>
      <c r="GO65" s="68"/>
      <c r="GP65" s="68"/>
      <c r="GQ65" s="68"/>
      <c r="GR65" s="68"/>
      <c r="GS65" s="68"/>
      <c r="GT65" s="68"/>
      <c r="GU65" s="68"/>
      <c r="GV65" s="68"/>
      <c r="GW65" s="68"/>
      <c r="GX65" s="68"/>
      <c r="GY65" s="68"/>
      <c r="GZ65" s="68"/>
      <c r="HA65" s="68"/>
      <c r="HB65" s="68"/>
      <c r="HC65" s="68"/>
      <c r="HD65" s="68"/>
      <c r="HE65" s="68"/>
      <c r="HF65" s="68"/>
      <c r="HG65" s="68"/>
      <c r="HH65" s="68"/>
      <c r="HI65" s="68"/>
      <c r="HJ65" s="68"/>
      <c r="HK65" s="68"/>
      <c r="HL65" s="68"/>
      <c r="HM65" s="68"/>
      <c r="HN65" s="68"/>
      <c r="HO65" s="68"/>
      <c r="HP65" s="68"/>
      <c r="HQ65" s="68"/>
      <c r="HR65" s="68"/>
      <c r="HS65" s="68"/>
      <c r="HT65" s="68"/>
      <c r="HU65" s="68"/>
      <c r="HV65" s="68"/>
      <c r="HW65" s="68"/>
      <c r="HX65" s="68"/>
      <c r="HY65" s="68"/>
      <c r="HZ65" s="68"/>
      <c r="IA65" s="68"/>
      <c r="IB65" s="68"/>
      <c r="IC65" s="68"/>
      <c r="ID65" s="68"/>
      <c r="IE65" s="68"/>
      <c r="IF65" s="68"/>
      <c r="IG65" s="68"/>
      <c r="IH65" s="68"/>
      <c r="II65" s="68"/>
      <c r="IJ65" s="68"/>
      <c r="IK65" s="68"/>
      <c r="IL65" s="68"/>
      <c r="IM65" s="68"/>
      <c r="IN65" s="68"/>
      <c r="IO65" s="68"/>
      <c r="IP65" s="68"/>
      <c r="IQ65" s="68"/>
      <c r="IR65" s="68"/>
      <c r="IS65" s="68"/>
      <c r="IT65" s="68"/>
      <c r="IU65" s="68"/>
      <c r="IV65" s="68"/>
      <c r="IW65" s="68"/>
      <c r="IX65" s="68"/>
      <c r="IY65" s="68"/>
      <c r="IZ65" s="68"/>
      <c r="JA65" s="68"/>
      <c r="JB65" s="68"/>
      <c r="JC65" s="68"/>
      <c r="JD65" s="68"/>
      <c r="JE65" s="68"/>
      <c r="JF65" s="68"/>
      <c r="JG65" s="68"/>
      <c r="JH65" s="68"/>
      <c r="JI65" s="68"/>
      <c r="JJ65" s="68"/>
      <c r="JK65" s="68"/>
      <c r="JL65" s="68"/>
      <c r="JM65" s="68"/>
      <c r="JN65" s="68"/>
      <c r="JO65" s="68"/>
      <c r="JP65" s="68"/>
      <c r="JQ65" s="68"/>
      <c r="JR65" s="68"/>
      <c r="JS65" s="68"/>
      <c r="JT65" s="68"/>
      <c r="JU65" s="68"/>
      <c r="JV65" s="68"/>
      <c r="JW65" s="68"/>
      <c r="JX65" s="68"/>
      <c r="JY65" s="68"/>
      <c r="JZ65" s="68"/>
      <c r="KA65" s="68"/>
      <c r="KB65" s="68"/>
      <c r="KC65" s="68"/>
      <c r="KD65" s="68"/>
      <c r="KE65" s="68"/>
      <c r="KF65" s="68"/>
      <c r="KG65" s="68"/>
      <c r="KH65" s="68"/>
      <c r="KI65" s="68"/>
      <c r="KJ65" s="68"/>
      <c r="KK65" s="68"/>
      <c r="KL65" s="68"/>
      <c r="KM65" s="68"/>
      <c r="KN65" s="68"/>
      <c r="KO65" s="68"/>
      <c r="KP65" s="68"/>
      <c r="KQ65" s="68"/>
      <c r="KR65" s="68"/>
      <c r="KS65" s="68"/>
      <c r="KT65" s="68"/>
      <c r="KU65" s="68"/>
      <c r="KV65" s="68"/>
      <c r="KW65" s="68"/>
      <c r="KX65" s="68"/>
      <c r="KY65" s="68"/>
      <c r="KZ65" s="68"/>
      <c r="LA65" s="68"/>
      <c r="LB65" s="68"/>
      <c r="LC65" s="68"/>
      <c r="LD65" s="68"/>
      <c r="LE65" s="68"/>
      <c r="LF65" s="68"/>
      <c r="LG65" s="68"/>
      <c r="LH65" s="68"/>
      <c r="LI65" s="68"/>
      <c r="LJ65" s="68"/>
      <c r="LK65" s="68"/>
      <c r="LL65" s="68"/>
      <c r="LM65" s="68"/>
      <c r="LN65" s="68"/>
      <c r="LO65" s="68"/>
      <c r="LP65" s="68"/>
      <c r="LQ65" s="68"/>
      <c r="LR65" s="68"/>
      <c r="LS65" s="68"/>
      <c r="LT65" s="68"/>
      <c r="LU65" s="68"/>
      <c r="LV65" s="68"/>
      <c r="LW65" s="68"/>
      <c r="LX65" s="68"/>
      <c r="LY65" s="68"/>
      <c r="LZ65" s="68"/>
      <c r="MA65" s="68"/>
      <c r="MB65" s="68"/>
      <c r="MC65" s="68"/>
      <c r="MD65" s="68"/>
      <c r="ME65" s="68"/>
      <c r="MF65" s="68"/>
      <c r="MG65" s="68"/>
      <c r="MH65" s="68"/>
      <c r="MI65" s="68"/>
      <c r="MJ65" s="68"/>
      <c r="MK65" s="68"/>
      <c r="ML65" s="68"/>
      <c r="MM65" s="68"/>
      <c r="MN65" s="68"/>
      <c r="MO65" s="68"/>
      <c r="MP65" s="68"/>
      <c r="MQ65" s="68"/>
      <c r="MR65" s="68"/>
      <c r="MS65" s="68"/>
      <c r="MT65" s="68"/>
      <c r="MU65" s="68"/>
      <c r="MV65" s="68"/>
      <c r="MW65" s="68"/>
      <c r="MX65" s="68"/>
      <c r="MY65" s="68"/>
      <c r="MZ65" s="68"/>
      <c r="NA65" s="68"/>
      <c r="NB65" s="68"/>
      <c r="NC65" s="68"/>
      <c r="ND65" s="68"/>
      <c r="NE65" s="68"/>
      <c r="NF65" s="68"/>
      <c r="NG65" s="68"/>
      <c r="NH65" s="68"/>
      <c r="NI65" s="68"/>
      <c r="NJ65" s="70">
        <f t="array" aca="1" ref="NJ65" ca="1">SUMPRODUCT((OFFSET($A65,0,31*($A$3-1)+1,1,31)&lt;&gt;"")*(IF(OFFSET($A65,0,31*($A$3-1)+1,1,31)=Database!$K$11,0.5,IF(OFFSET($A65,0,31*($A$3-1)+1,1,31)=Database!$K$12,0.5,1))*(OFFSET($A$4,0,31*($A$3-1)+1,1,31))))</f>
        <v>0</v>
      </c>
      <c r="NK65" s="72">
        <f t="array" aca="1" ref="NK65" ca="1">SUMPRODUCT((OFFSET($A65,0,1,1,372)&lt;&gt;"")*(IF(OFFSET($A65,0,1,1,372)=Database!$K$11,0.5,IF(OFFSET($A65,0,1,1,372)=Database!$K$12,0.5,1))*(OFFSET($A$3,0,1,1,372))))</f>
        <v>0</v>
      </c>
      <c r="NL65" s="63">
        <f t="shared" ca="1" si="8"/>
        <v>0</v>
      </c>
      <c r="NM65" s="63">
        <f t="shared" ca="1" si="8"/>
        <v>0</v>
      </c>
      <c r="NN65" s="63">
        <f t="shared" ca="1" si="8"/>
        <v>0</v>
      </c>
      <c r="NO65" s="63">
        <f t="shared" ca="1" si="8"/>
        <v>0</v>
      </c>
      <c r="NP65" s="63">
        <f t="shared" ca="1" si="8"/>
        <v>0</v>
      </c>
      <c r="NQ65" s="63">
        <f t="shared" ca="1" si="8"/>
        <v>0</v>
      </c>
      <c r="NR65" s="63">
        <f t="shared" ca="1" si="8"/>
        <v>0</v>
      </c>
      <c r="NS65" s="63">
        <f t="shared" ca="1" si="8"/>
        <v>0</v>
      </c>
      <c r="NT65" s="63">
        <f t="shared" ca="1" si="8"/>
        <v>0</v>
      </c>
      <c r="NU65" s="63">
        <f t="shared" ca="1" si="8"/>
        <v>0</v>
      </c>
    </row>
    <row r="66" spans="1:385" ht="18" hidden="1" customHeight="1" outlineLevel="1" x14ac:dyDescent="0.25">
      <c r="A66" s="26"/>
      <c r="B66" s="68"/>
      <c r="C66" s="68"/>
      <c r="D66" s="68"/>
      <c r="E66" s="68"/>
      <c r="F66" s="68"/>
      <c r="G66" s="68"/>
      <c r="H66" s="68"/>
      <c r="I66" s="68"/>
      <c r="J66" s="68"/>
      <c r="K66" s="68"/>
      <c r="L66" s="68"/>
      <c r="M66" s="68"/>
      <c r="N66" s="68"/>
      <c r="O66" s="68"/>
      <c r="P66" s="68"/>
      <c r="Q66" s="68"/>
      <c r="R66" s="68"/>
      <c r="S66" s="68"/>
      <c r="T66" s="68"/>
      <c r="U66" s="68"/>
      <c r="V66" s="68"/>
      <c r="W66" s="68"/>
      <c r="X66" s="68"/>
      <c r="Y66" s="68"/>
      <c r="Z66" s="68"/>
      <c r="AA66" s="68"/>
      <c r="AB66" s="68"/>
      <c r="AC66" s="68"/>
      <c r="AD66" s="68"/>
      <c r="AE66" s="68"/>
      <c r="AF66" s="68"/>
      <c r="AG66" s="68"/>
      <c r="AH66" s="68"/>
      <c r="AI66" s="68"/>
      <c r="AJ66" s="68"/>
      <c r="AK66" s="68"/>
      <c r="AL66" s="68"/>
      <c r="AM66" s="68"/>
      <c r="AN66" s="68"/>
      <c r="AO66" s="68"/>
      <c r="AP66" s="68"/>
      <c r="AQ66" s="68"/>
      <c r="AR66" s="68"/>
      <c r="AS66" s="68"/>
      <c r="AT66" s="68"/>
      <c r="AU66" s="68"/>
      <c r="AV66" s="68"/>
      <c r="AW66" s="68"/>
      <c r="AX66" s="68"/>
      <c r="AY66" s="68"/>
      <c r="AZ66" s="68"/>
      <c r="BA66" s="68"/>
      <c r="BB66" s="68"/>
      <c r="BC66" s="68"/>
      <c r="BD66" s="68"/>
      <c r="BE66" s="68"/>
      <c r="BF66" s="68"/>
      <c r="BG66" s="68"/>
      <c r="BH66" s="68"/>
      <c r="BI66" s="68"/>
      <c r="BJ66" s="68"/>
      <c r="BK66" s="68"/>
      <c r="BL66" s="68"/>
      <c r="BM66" s="68"/>
      <c r="BN66" s="68"/>
      <c r="BO66" s="68"/>
      <c r="BP66" s="68"/>
      <c r="BQ66" s="68"/>
      <c r="BR66" s="68"/>
      <c r="BS66" s="68"/>
      <c r="BT66" s="68"/>
      <c r="BU66" s="68"/>
      <c r="BV66" s="68"/>
      <c r="BW66" s="68"/>
      <c r="BX66" s="68"/>
      <c r="BY66" s="68"/>
      <c r="BZ66" s="68"/>
      <c r="CA66" s="68"/>
      <c r="CB66" s="68"/>
      <c r="CC66" s="68"/>
      <c r="CD66" s="68"/>
      <c r="CE66" s="68"/>
      <c r="CF66" s="68"/>
      <c r="CG66" s="68"/>
      <c r="CH66" s="68"/>
      <c r="CI66" s="68"/>
      <c r="CJ66" s="68"/>
      <c r="CK66" s="68"/>
      <c r="CL66" s="68"/>
      <c r="CM66" s="68"/>
      <c r="CN66" s="68"/>
      <c r="CO66" s="68"/>
      <c r="CP66" s="68"/>
      <c r="CQ66" s="68"/>
      <c r="CR66" s="68"/>
      <c r="CS66" s="68"/>
      <c r="CT66" s="68"/>
      <c r="CU66" s="68"/>
      <c r="CV66" s="68"/>
      <c r="CW66" s="68"/>
      <c r="CX66" s="68"/>
      <c r="CY66" s="68"/>
      <c r="CZ66" s="68"/>
      <c r="DA66" s="68"/>
      <c r="DB66" s="68"/>
      <c r="DC66" s="68"/>
      <c r="DD66" s="68"/>
      <c r="DE66" s="68"/>
      <c r="DF66" s="68"/>
      <c r="DG66" s="68"/>
      <c r="DH66" s="68"/>
      <c r="DI66" s="68"/>
      <c r="DJ66" s="68"/>
      <c r="DK66" s="68"/>
      <c r="DL66" s="68"/>
      <c r="DM66" s="68"/>
      <c r="DN66" s="68"/>
      <c r="DO66" s="68"/>
      <c r="DP66" s="68"/>
      <c r="DQ66" s="68"/>
      <c r="DR66" s="68"/>
      <c r="DS66" s="68"/>
      <c r="DT66" s="68"/>
      <c r="DU66" s="68"/>
      <c r="DV66" s="68"/>
      <c r="DW66" s="68"/>
      <c r="DX66" s="68"/>
      <c r="DY66" s="68"/>
      <c r="DZ66" s="68"/>
      <c r="EA66" s="68"/>
      <c r="EB66" s="68"/>
      <c r="EC66" s="68"/>
      <c r="ED66" s="68"/>
      <c r="EE66" s="68"/>
      <c r="EF66" s="68"/>
      <c r="EG66" s="68"/>
      <c r="EH66" s="68"/>
      <c r="EI66" s="68"/>
      <c r="EJ66" s="68"/>
      <c r="EK66" s="68"/>
      <c r="EL66" s="68"/>
      <c r="EM66" s="68"/>
      <c r="EN66" s="68"/>
      <c r="EO66" s="68"/>
      <c r="EP66" s="68"/>
      <c r="EQ66" s="68"/>
      <c r="ER66" s="68"/>
      <c r="ES66" s="68"/>
      <c r="ET66" s="68"/>
      <c r="EU66" s="68"/>
      <c r="EV66" s="68"/>
      <c r="EW66" s="68"/>
      <c r="EX66" s="68"/>
      <c r="EY66" s="68"/>
      <c r="EZ66" s="68"/>
      <c r="FA66" s="68"/>
      <c r="FB66" s="68"/>
      <c r="FC66" s="68"/>
      <c r="FD66" s="68"/>
      <c r="FE66" s="68"/>
      <c r="FF66" s="68"/>
      <c r="FG66" s="68"/>
      <c r="FH66" s="68"/>
      <c r="FI66" s="68"/>
      <c r="FJ66" s="68"/>
      <c r="FK66" s="68"/>
      <c r="FL66" s="68"/>
      <c r="FM66" s="68"/>
      <c r="FN66" s="68"/>
      <c r="FO66" s="68"/>
      <c r="FP66" s="68"/>
      <c r="FQ66" s="68"/>
      <c r="FR66" s="68"/>
      <c r="FS66" s="68"/>
      <c r="FT66" s="68"/>
      <c r="FU66" s="68"/>
      <c r="FV66" s="68"/>
      <c r="FW66" s="68"/>
      <c r="FX66" s="68"/>
      <c r="FY66" s="68"/>
      <c r="FZ66" s="68"/>
      <c r="GA66" s="68"/>
      <c r="GB66" s="68"/>
      <c r="GC66" s="68"/>
      <c r="GD66" s="68"/>
      <c r="GE66" s="68"/>
      <c r="GF66" s="68"/>
      <c r="GG66" s="68"/>
      <c r="GH66" s="68"/>
      <c r="GI66" s="68"/>
      <c r="GJ66" s="68"/>
      <c r="GK66" s="68"/>
      <c r="GL66" s="68"/>
      <c r="GM66" s="68"/>
      <c r="GN66" s="68"/>
      <c r="GO66" s="68"/>
      <c r="GP66" s="68"/>
      <c r="GQ66" s="68"/>
      <c r="GR66" s="68"/>
      <c r="GS66" s="68"/>
      <c r="GT66" s="68"/>
      <c r="GU66" s="68"/>
      <c r="GV66" s="68"/>
      <c r="GW66" s="68"/>
      <c r="GX66" s="68"/>
      <c r="GY66" s="68"/>
      <c r="GZ66" s="68"/>
      <c r="HA66" s="68"/>
      <c r="HB66" s="68"/>
      <c r="HC66" s="68"/>
      <c r="HD66" s="68"/>
      <c r="HE66" s="68"/>
      <c r="HF66" s="68"/>
      <c r="HG66" s="68"/>
      <c r="HH66" s="68"/>
      <c r="HI66" s="68"/>
      <c r="HJ66" s="68"/>
      <c r="HK66" s="68"/>
      <c r="HL66" s="68"/>
      <c r="HM66" s="68"/>
      <c r="HN66" s="68"/>
      <c r="HO66" s="68"/>
      <c r="HP66" s="68"/>
      <c r="HQ66" s="68"/>
      <c r="HR66" s="68"/>
      <c r="HS66" s="68"/>
      <c r="HT66" s="68"/>
      <c r="HU66" s="68"/>
      <c r="HV66" s="68"/>
      <c r="HW66" s="68"/>
      <c r="HX66" s="68"/>
      <c r="HY66" s="68"/>
      <c r="HZ66" s="68"/>
      <c r="IA66" s="68"/>
      <c r="IB66" s="68"/>
      <c r="IC66" s="68"/>
      <c r="ID66" s="68"/>
      <c r="IE66" s="68"/>
      <c r="IF66" s="68"/>
      <c r="IG66" s="68"/>
      <c r="IH66" s="68"/>
      <c r="II66" s="68"/>
      <c r="IJ66" s="68"/>
      <c r="IK66" s="68"/>
      <c r="IL66" s="68"/>
      <c r="IM66" s="68"/>
      <c r="IN66" s="68"/>
      <c r="IO66" s="68"/>
      <c r="IP66" s="68"/>
      <c r="IQ66" s="68"/>
      <c r="IR66" s="68"/>
      <c r="IS66" s="68"/>
      <c r="IT66" s="68"/>
      <c r="IU66" s="68"/>
      <c r="IV66" s="68"/>
      <c r="IW66" s="68"/>
      <c r="IX66" s="68"/>
      <c r="IY66" s="68"/>
      <c r="IZ66" s="68"/>
      <c r="JA66" s="68"/>
      <c r="JB66" s="68"/>
      <c r="JC66" s="68"/>
      <c r="JD66" s="68"/>
      <c r="JE66" s="68"/>
      <c r="JF66" s="68"/>
      <c r="JG66" s="68"/>
      <c r="JH66" s="68"/>
      <c r="JI66" s="68"/>
      <c r="JJ66" s="68"/>
      <c r="JK66" s="68"/>
      <c r="JL66" s="68"/>
      <c r="JM66" s="68"/>
      <c r="JN66" s="68"/>
      <c r="JO66" s="68"/>
      <c r="JP66" s="68"/>
      <c r="JQ66" s="68"/>
      <c r="JR66" s="68"/>
      <c r="JS66" s="68"/>
      <c r="JT66" s="68"/>
      <c r="JU66" s="68"/>
      <c r="JV66" s="68"/>
      <c r="JW66" s="68"/>
      <c r="JX66" s="68"/>
      <c r="JY66" s="68"/>
      <c r="JZ66" s="68"/>
      <c r="KA66" s="68"/>
      <c r="KB66" s="68"/>
      <c r="KC66" s="68"/>
      <c r="KD66" s="68"/>
      <c r="KE66" s="68"/>
      <c r="KF66" s="68"/>
      <c r="KG66" s="68"/>
      <c r="KH66" s="68"/>
      <c r="KI66" s="68"/>
      <c r="KJ66" s="68"/>
      <c r="KK66" s="68"/>
      <c r="KL66" s="68"/>
      <c r="KM66" s="68"/>
      <c r="KN66" s="68"/>
      <c r="KO66" s="68"/>
      <c r="KP66" s="68"/>
      <c r="KQ66" s="68"/>
      <c r="KR66" s="68"/>
      <c r="KS66" s="68"/>
      <c r="KT66" s="68"/>
      <c r="KU66" s="68"/>
      <c r="KV66" s="68"/>
      <c r="KW66" s="68"/>
      <c r="KX66" s="68"/>
      <c r="KY66" s="68"/>
      <c r="KZ66" s="68"/>
      <c r="LA66" s="68"/>
      <c r="LB66" s="68"/>
      <c r="LC66" s="68"/>
      <c r="LD66" s="68"/>
      <c r="LE66" s="68"/>
      <c r="LF66" s="68"/>
      <c r="LG66" s="68"/>
      <c r="LH66" s="68"/>
      <c r="LI66" s="68"/>
      <c r="LJ66" s="68"/>
      <c r="LK66" s="68"/>
      <c r="LL66" s="68"/>
      <c r="LM66" s="68"/>
      <c r="LN66" s="68"/>
      <c r="LO66" s="68"/>
      <c r="LP66" s="68"/>
      <c r="LQ66" s="68"/>
      <c r="LR66" s="68"/>
      <c r="LS66" s="68"/>
      <c r="LT66" s="68"/>
      <c r="LU66" s="68"/>
      <c r="LV66" s="68"/>
      <c r="LW66" s="68"/>
      <c r="LX66" s="68"/>
      <c r="LY66" s="68"/>
      <c r="LZ66" s="68"/>
      <c r="MA66" s="68"/>
      <c r="MB66" s="68"/>
      <c r="MC66" s="68"/>
      <c r="MD66" s="68"/>
      <c r="ME66" s="68"/>
      <c r="MF66" s="68"/>
      <c r="MG66" s="68"/>
      <c r="MH66" s="68"/>
      <c r="MI66" s="68"/>
      <c r="MJ66" s="68"/>
      <c r="MK66" s="68"/>
      <c r="ML66" s="68"/>
      <c r="MM66" s="68"/>
      <c r="MN66" s="68"/>
      <c r="MO66" s="68"/>
      <c r="MP66" s="68"/>
      <c r="MQ66" s="68"/>
      <c r="MR66" s="68"/>
      <c r="MS66" s="68"/>
      <c r="MT66" s="68"/>
      <c r="MU66" s="68"/>
      <c r="MV66" s="68"/>
      <c r="MW66" s="68"/>
      <c r="MX66" s="68"/>
      <c r="MY66" s="68"/>
      <c r="MZ66" s="68"/>
      <c r="NA66" s="68"/>
      <c r="NB66" s="68"/>
      <c r="NC66" s="68"/>
      <c r="ND66" s="68"/>
      <c r="NE66" s="68"/>
      <c r="NF66" s="68"/>
      <c r="NG66" s="68"/>
      <c r="NH66" s="68"/>
      <c r="NI66" s="68"/>
      <c r="NJ66" s="70">
        <f t="array" aca="1" ref="NJ66" ca="1">SUMPRODUCT((OFFSET($A66,0,31*($A$3-1)+1,1,31)&lt;&gt;"")*(IF(OFFSET($A66,0,31*($A$3-1)+1,1,31)=Database!$K$11,0.5,IF(OFFSET($A66,0,31*($A$3-1)+1,1,31)=Database!$K$12,0.5,1))*(OFFSET($A$4,0,31*($A$3-1)+1,1,31))))</f>
        <v>0</v>
      </c>
      <c r="NK66" s="72">
        <f t="array" aca="1" ref="NK66" ca="1">SUMPRODUCT((OFFSET($A66,0,1,1,372)&lt;&gt;"")*(IF(OFFSET($A66,0,1,1,372)=Database!$K$11,0.5,IF(OFFSET($A66,0,1,1,372)=Database!$K$12,0.5,1))*(OFFSET($A$3,0,1,1,372))))</f>
        <v>0</v>
      </c>
      <c r="NL66" s="63">
        <f t="shared" ca="1" si="8"/>
        <v>0</v>
      </c>
      <c r="NM66" s="63">
        <f t="shared" ca="1" si="8"/>
        <v>0</v>
      </c>
      <c r="NN66" s="63">
        <f t="shared" ca="1" si="8"/>
        <v>0</v>
      </c>
      <c r="NO66" s="63">
        <f t="shared" ca="1" si="8"/>
        <v>0</v>
      </c>
      <c r="NP66" s="63">
        <f t="shared" ca="1" si="8"/>
        <v>0</v>
      </c>
      <c r="NQ66" s="63">
        <f t="shared" ca="1" si="8"/>
        <v>0</v>
      </c>
      <c r="NR66" s="63">
        <f t="shared" ca="1" si="8"/>
        <v>0</v>
      </c>
      <c r="NS66" s="63">
        <f t="shared" ca="1" si="8"/>
        <v>0</v>
      </c>
      <c r="NT66" s="63">
        <f t="shared" ca="1" si="8"/>
        <v>0</v>
      </c>
      <c r="NU66" s="63">
        <f t="shared" ca="1" si="8"/>
        <v>0</v>
      </c>
    </row>
    <row r="67" spans="1:385" ht="18" hidden="1" customHeight="1" outlineLevel="1" x14ac:dyDescent="0.25">
      <c r="A67" s="26"/>
      <c r="B67" s="68"/>
      <c r="C67" s="68"/>
      <c r="D67" s="68"/>
      <c r="E67" s="68"/>
      <c r="F67" s="68"/>
      <c r="G67" s="68"/>
      <c r="H67" s="68"/>
      <c r="I67" s="68"/>
      <c r="J67" s="68"/>
      <c r="K67" s="68"/>
      <c r="L67" s="68"/>
      <c r="M67" s="68"/>
      <c r="N67" s="68"/>
      <c r="O67" s="68"/>
      <c r="P67" s="68"/>
      <c r="Q67" s="68"/>
      <c r="R67" s="68"/>
      <c r="S67" s="68"/>
      <c r="T67" s="68"/>
      <c r="U67" s="68"/>
      <c r="V67" s="68"/>
      <c r="W67" s="68"/>
      <c r="X67" s="68"/>
      <c r="Y67" s="68"/>
      <c r="Z67" s="68"/>
      <c r="AA67" s="68"/>
      <c r="AB67" s="68"/>
      <c r="AC67" s="68"/>
      <c r="AD67" s="68"/>
      <c r="AE67" s="68"/>
      <c r="AF67" s="68"/>
      <c r="AG67" s="68"/>
      <c r="AH67" s="68"/>
      <c r="AI67" s="68"/>
      <c r="AJ67" s="68"/>
      <c r="AK67" s="68"/>
      <c r="AL67" s="68"/>
      <c r="AM67" s="68"/>
      <c r="AN67" s="68"/>
      <c r="AO67" s="68"/>
      <c r="AP67" s="68"/>
      <c r="AQ67" s="68"/>
      <c r="AR67" s="68"/>
      <c r="AS67" s="68"/>
      <c r="AT67" s="68"/>
      <c r="AU67" s="68"/>
      <c r="AV67" s="68"/>
      <c r="AW67" s="68"/>
      <c r="AX67" s="68"/>
      <c r="AY67" s="68"/>
      <c r="AZ67" s="68"/>
      <c r="BA67" s="68"/>
      <c r="BB67" s="68"/>
      <c r="BC67" s="68"/>
      <c r="BD67" s="68"/>
      <c r="BE67" s="68"/>
      <c r="BF67" s="68"/>
      <c r="BG67" s="68"/>
      <c r="BH67" s="68"/>
      <c r="BI67" s="68"/>
      <c r="BJ67" s="68"/>
      <c r="BK67" s="68"/>
      <c r="BL67" s="68"/>
      <c r="BM67" s="68"/>
      <c r="BN67" s="68"/>
      <c r="BO67" s="68"/>
      <c r="BP67" s="68"/>
      <c r="BQ67" s="68"/>
      <c r="BR67" s="68"/>
      <c r="BS67" s="68"/>
      <c r="BT67" s="68"/>
      <c r="BU67" s="68"/>
      <c r="BV67" s="68"/>
      <c r="BW67" s="68"/>
      <c r="BX67" s="68"/>
      <c r="BY67" s="68"/>
      <c r="BZ67" s="68"/>
      <c r="CA67" s="68"/>
      <c r="CB67" s="68"/>
      <c r="CC67" s="68"/>
      <c r="CD67" s="68"/>
      <c r="CE67" s="68"/>
      <c r="CF67" s="68"/>
      <c r="CG67" s="68"/>
      <c r="CH67" s="68"/>
      <c r="CI67" s="68"/>
      <c r="CJ67" s="68"/>
      <c r="CK67" s="68"/>
      <c r="CL67" s="68"/>
      <c r="CM67" s="68"/>
      <c r="CN67" s="68"/>
      <c r="CO67" s="68"/>
      <c r="CP67" s="68"/>
      <c r="CQ67" s="68"/>
      <c r="CR67" s="68"/>
      <c r="CS67" s="68"/>
      <c r="CT67" s="68"/>
      <c r="CU67" s="68"/>
      <c r="CV67" s="68"/>
      <c r="CW67" s="68"/>
      <c r="CX67" s="68"/>
      <c r="CY67" s="68"/>
      <c r="CZ67" s="68"/>
      <c r="DA67" s="68"/>
      <c r="DB67" s="68"/>
      <c r="DC67" s="68"/>
      <c r="DD67" s="68"/>
      <c r="DE67" s="68"/>
      <c r="DF67" s="68"/>
      <c r="DG67" s="68"/>
      <c r="DH67" s="68"/>
      <c r="DI67" s="68"/>
      <c r="DJ67" s="68"/>
      <c r="DK67" s="68"/>
      <c r="DL67" s="68"/>
      <c r="DM67" s="68"/>
      <c r="DN67" s="68"/>
      <c r="DO67" s="68"/>
      <c r="DP67" s="68"/>
      <c r="DQ67" s="68"/>
      <c r="DR67" s="68"/>
      <c r="DS67" s="68"/>
      <c r="DT67" s="68"/>
      <c r="DU67" s="68"/>
      <c r="DV67" s="68"/>
      <c r="DW67" s="68"/>
      <c r="DX67" s="68"/>
      <c r="DY67" s="68"/>
      <c r="DZ67" s="68"/>
      <c r="EA67" s="68"/>
      <c r="EB67" s="68"/>
      <c r="EC67" s="68"/>
      <c r="ED67" s="68"/>
      <c r="EE67" s="68"/>
      <c r="EF67" s="68"/>
      <c r="EG67" s="68"/>
      <c r="EH67" s="68"/>
      <c r="EI67" s="68"/>
      <c r="EJ67" s="68"/>
      <c r="EK67" s="68"/>
      <c r="EL67" s="68"/>
      <c r="EM67" s="68"/>
      <c r="EN67" s="68"/>
      <c r="EO67" s="68"/>
      <c r="EP67" s="68"/>
      <c r="EQ67" s="68"/>
      <c r="ER67" s="68"/>
      <c r="ES67" s="68"/>
      <c r="ET67" s="68"/>
      <c r="EU67" s="68"/>
      <c r="EV67" s="68"/>
      <c r="EW67" s="68"/>
      <c r="EX67" s="68"/>
      <c r="EY67" s="68"/>
      <c r="EZ67" s="68"/>
      <c r="FA67" s="68"/>
      <c r="FB67" s="68"/>
      <c r="FC67" s="68"/>
      <c r="FD67" s="68"/>
      <c r="FE67" s="68"/>
      <c r="FF67" s="68"/>
      <c r="FG67" s="68"/>
      <c r="FH67" s="68"/>
      <c r="FI67" s="68"/>
      <c r="FJ67" s="68"/>
      <c r="FK67" s="68"/>
      <c r="FL67" s="68"/>
      <c r="FM67" s="68"/>
      <c r="FN67" s="68"/>
      <c r="FO67" s="68"/>
      <c r="FP67" s="68"/>
      <c r="FQ67" s="68"/>
      <c r="FR67" s="68"/>
      <c r="FS67" s="68"/>
      <c r="FT67" s="68"/>
      <c r="FU67" s="68"/>
      <c r="FV67" s="68"/>
      <c r="FW67" s="68"/>
      <c r="FX67" s="68"/>
      <c r="FY67" s="68"/>
      <c r="FZ67" s="68"/>
      <c r="GA67" s="68"/>
      <c r="GB67" s="68"/>
      <c r="GC67" s="68"/>
      <c r="GD67" s="68"/>
      <c r="GE67" s="68"/>
      <c r="GF67" s="68"/>
      <c r="GG67" s="68"/>
      <c r="GH67" s="68"/>
      <c r="GI67" s="68"/>
      <c r="GJ67" s="68"/>
      <c r="GK67" s="68"/>
      <c r="GL67" s="68"/>
      <c r="GM67" s="68"/>
      <c r="GN67" s="68"/>
      <c r="GO67" s="68"/>
      <c r="GP67" s="68"/>
      <c r="GQ67" s="68"/>
      <c r="GR67" s="68"/>
      <c r="GS67" s="68"/>
      <c r="GT67" s="68"/>
      <c r="GU67" s="68"/>
      <c r="GV67" s="68"/>
      <c r="GW67" s="68"/>
      <c r="GX67" s="68"/>
      <c r="GY67" s="68"/>
      <c r="GZ67" s="68"/>
      <c r="HA67" s="68"/>
      <c r="HB67" s="68"/>
      <c r="HC67" s="68"/>
      <c r="HD67" s="68"/>
      <c r="HE67" s="68"/>
      <c r="HF67" s="68"/>
      <c r="HG67" s="68"/>
      <c r="HH67" s="68"/>
      <c r="HI67" s="68"/>
      <c r="HJ67" s="68"/>
      <c r="HK67" s="68"/>
      <c r="HL67" s="68"/>
      <c r="HM67" s="68"/>
      <c r="HN67" s="68"/>
      <c r="HO67" s="68"/>
      <c r="HP67" s="68"/>
      <c r="HQ67" s="68"/>
      <c r="HR67" s="68"/>
      <c r="HS67" s="68"/>
      <c r="HT67" s="68"/>
      <c r="HU67" s="68"/>
      <c r="HV67" s="68"/>
      <c r="HW67" s="68"/>
      <c r="HX67" s="68"/>
      <c r="HY67" s="68"/>
      <c r="HZ67" s="68"/>
      <c r="IA67" s="68"/>
      <c r="IB67" s="68"/>
      <c r="IC67" s="68"/>
      <c r="ID67" s="68"/>
      <c r="IE67" s="68"/>
      <c r="IF67" s="68"/>
      <c r="IG67" s="68"/>
      <c r="IH67" s="68"/>
      <c r="II67" s="68"/>
      <c r="IJ67" s="68"/>
      <c r="IK67" s="68"/>
      <c r="IL67" s="68"/>
      <c r="IM67" s="68"/>
      <c r="IN67" s="68"/>
      <c r="IO67" s="68"/>
      <c r="IP67" s="68"/>
      <c r="IQ67" s="68"/>
      <c r="IR67" s="68"/>
      <c r="IS67" s="68"/>
      <c r="IT67" s="68"/>
      <c r="IU67" s="68"/>
      <c r="IV67" s="68"/>
      <c r="IW67" s="68"/>
      <c r="IX67" s="68"/>
      <c r="IY67" s="68"/>
      <c r="IZ67" s="68"/>
      <c r="JA67" s="68"/>
      <c r="JB67" s="68"/>
      <c r="JC67" s="68"/>
      <c r="JD67" s="68"/>
      <c r="JE67" s="68"/>
      <c r="JF67" s="68"/>
      <c r="JG67" s="68"/>
      <c r="JH67" s="68"/>
      <c r="JI67" s="68"/>
      <c r="JJ67" s="68"/>
      <c r="JK67" s="68"/>
      <c r="JL67" s="68"/>
      <c r="JM67" s="68"/>
      <c r="JN67" s="68"/>
      <c r="JO67" s="68"/>
      <c r="JP67" s="68"/>
      <c r="JQ67" s="68"/>
      <c r="JR67" s="68"/>
      <c r="JS67" s="68"/>
      <c r="JT67" s="68"/>
      <c r="JU67" s="68"/>
      <c r="JV67" s="68"/>
      <c r="JW67" s="68"/>
      <c r="JX67" s="68"/>
      <c r="JY67" s="68"/>
      <c r="JZ67" s="68"/>
      <c r="KA67" s="68"/>
      <c r="KB67" s="68"/>
      <c r="KC67" s="68"/>
      <c r="KD67" s="68"/>
      <c r="KE67" s="68"/>
      <c r="KF67" s="68"/>
      <c r="KG67" s="68"/>
      <c r="KH67" s="68"/>
      <c r="KI67" s="68"/>
      <c r="KJ67" s="68"/>
      <c r="KK67" s="68"/>
      <c r="KL67" s="68"/>
      <c r="KM67" s="68"/>
      <c r="KN67" s="68"/>
      <c r="KO67" s="68"/>
      <c r="KP67" s="68"/>
      <c r="KQ67" s="68"/>
      <c r="KR67" s="68"/>
      <c r="KS67" s="68"/>
      <c r="KT67" s="68"/>
      <c r="KU67" s="68"/>
      <c r="KV67" s="68"/>
      <c r="KW67" s="68"/>
      <c r="KX67" s="68"/>
      <c r="KY67" s="68"/>
      <c r="KZ67" s="68"/>
      <c r="LA67" s="68"/>
      <c r="LB67" s="68"/>
      <c r="LC67" s="68"/>
      <c r="LD67" s="68"/>
      <c r="LE67" s="68"/>
      <c r="LF67" s="68"/>
      <c r="LG67" s="68"/>
      <c r="LH67" s="68"/>
      <c r="LI67" s="68"/>
      <c r="LJ67" s="68"/>
      <c r="LK67" s="68"/>
      <c r="LL67" s="68"/>
      <c r="LM67" s="68"/>
      <c r="LN67" s="68"/>
      <c r="LO67" s="68"/>
      <c r="LP67" s="68"/>
      <c r="LQ67" s="68"/>
      <c r="LR67" s="68"/>
      <c r="LS67" s="68"/>
      <c r="LT67" s="68"/>
      <c r="LU67" s="68"/>
      <c r="LV67" s="68"/>
      <c r="LW67" s="68"/>
      <c r="LX67" s="68"/>
      <c r="LY67" s="68"/>
      <c r="LZ67" s="68"/>
      <c r="MA67" s="68"/>
      <c r="MB67" s="68"/>
      <c r="MC67" s="68"/>
      <c r="MD67" s="68"/>
      <c r="ME67" s="68"/>
      <c r="MF67" s="68"/>
      <c r="MG67" s="68"/>
      <c r="MH67" s="68"/>
      <c r="MI67" s="68"/>
      <c r="MJ67" s="68"/>
      <c r="MK67" s="68"/>
      <c r="ML67" s="68"/>
      <c r="MM67" s="68"/>
      <c r="MN67" s="68"/>
      <c r="MO67" s="68"/>
      <c r="MP67" s="68"/>
      <c r="MQ67" s="68"/>
      <c r="MR67" s="68"/>
      <c r="MS67" s="68"/>
      <c r="MT67" s="68"/>
      <c r="MU67" s="68"/>
      <c r="MV67" s="68"/>
      <c r="MW67" s="68"/>
      <c r="MX67" s="68"/>
      <c r="MY67" s="68"/>
      <c r="MZ67" s="68"/>
      <c r="NA67" s="68"/>
      <c r="NB67" s="68"/>
      <c r="NC67" s="68"/>
      <c r="ND67" s="68"/>
      <c r="NE67" s="68"/>
      <c r="NF67" s="68"/>
      <c r="NG67" s="68"/>
      <c r="NH67" s="68"/>
      <c r="NI67" s="68"/>
      <c r="NJ67" s="70">
        <f t="array" aca="1" ref="NJ67" ca="1">SUMPRODUCT((OFFSET($A67,0,31*($A$3-1)+1,1,31)&lt;&gt;"")*(IF(OFFSET($A67,0,31*($A$3-1)+1,1,31)=Database!$K$11,0.5,IF(OFFSET($A67,0,31*($A$3-1)+1,1,31)=Database!$K$12,0.5,1))*(OFFSET($A$4,0,31*($A$3-1)+1,1,31))))</f>
        <v>0</v>
      </c>
      <c r="NK67" s="72">
        <f t="array" aca="1" ref="NK67" ca="1">SUMPRODUCT((OFFSET($A67,0,1,1,372)&lt;&gt;"")*(IF(OFFSET($A67,0,1,1,372)=Database!$K$11,0.5,IF(OFFSET($A67,0,1,1,372)=Database!$K$12,0.5,1))*(OFFSET($A$3,0,1,1,372))))</f>
        <v>0</v>
      </c>
      <c r="NL67" s="63">
        <f t="shared" ca="1" si="8"/>
        <v>0</v>
      </c>
      <c r="NM67" s="63">
        <f t="shared" ca="1" si="8"/>
        <v>0</v>
      </c>
      <c r="NN67" s="63">
        <f t="shared" ca="1" si="8"/>
        <v>0</v>
      </c>
      <c r="NO67" s="63">
        <f t="shared" ca="1" si="8"/>
        <v>0</v>
      </c>
      <c r="NP67" s="63">
        <f t="shared" ca="1" si="8"/>
        <v>0</v>
      </c>
      <c r="NQ67" s="63">
        <f t="shared" ca="1" si="8"/>
        <v>0</v>
      </c>
      <c r="NR67" s="63">
        <f t="shared" ca="1" si="8"/>
        <v>0</v>
      </c>
      <c r="NS67" s="63">
        <f t="shared" ca="1" si="8"/>
        <v>0</v>
      </c>
      <c r="NT67" s="63">
        <f t="shared" ca="1" si="8"/>
        <v>0</v>
      </c>
      <c r="NU67" s="63">
        <f t="shared" ca="1" si="8"/>
        <v>0</v>
      </c>
    </row>
    <row r="68" spans="1:385" ht="18" hidden="1" customHeight="1" outlineLevel="1" x14ac:dyDescent="0.25">
      <c r="A68" s="26"/>
      <c r="B68" s="68"/>
      <c r="C68" s="68"/>
      <c r="D68" s="68"/>
      <c r="E68" s="68"/>
      <c r="F68" s="68"/>
      <c r="G68" s="68"/>
      <c r="H68" s="68"/>
      <c r="I68" s="68"/>
      <c r="J68" s="68"/>
      <c r="K68" s="68"/>
      <c r="L68" s="68"/>
      <c r="M68" s="68"/>
      <c r="N68" s="68"/>
      <c r="O68" s="68"/>
      <c r="P68" s="68"/>
      <c r="Q68" s="68"/>
      <c r="R68" s="68"/>
      <c r="S68" s="68"/>
      <c r="T68" s="68"/>
      <c r="U68" s="68"/>
      <c r="V68" s="68"/>
      <c r="W68" s="68"/>
      <c r="X68" s="68"/>
      <c r="Y68" s="68"/>
      <c r="Z68" s="68"/>
      <c r="AA68" s="68"/>
      <c r="AB68" s="68"/>
      <c r="AC68" s="68"/>
      <c r="AD68" s="68"/>
      <c r="AE68" s="68"/>
      <c r="AF68" s="68"/>
      <c r="AG68" s="68"/>
      <c r="AH68" s="68"/>
      <c r="AI68" s="68"/>
      <c r="AJ68" s="68"/>
      <c r="AK68" s="68"/>
      <c r="AL68" s="68"/>
      <c r="AM68" s="68"/>
      <c r="AN68" s="68"/>
      <c r="AO68" s="68"/>
      <c r="AP68" s="68"/>
      <c r="AQ68" s="68"/>
      <c r="AR68" s="68"/>
      <c r="AS68" s="68"/>
      <c r="AT68" s="68"/>
      <c r="AU68" s="68"/>
      <c r="AV68" s="68"/>
      <c r="AW68" s="68"/>
      <c r="AX68" s="68"/>
      <c r="AY68" s="68"/>
      <c r="AZ68" s="68"/>
      <c r="BA68" s="68"/>
      <c r="BB68" s="68"/>
      <c r="BC68" s="68"/>
      <c r="BD68" s="68"/>
      <c r="BE68" s="68"/>
      <c r="BF68" s="68"/>
      <c r="BG68" s="68"/>
      <c r="BH68" s="68"/>
      <c r="BI68" s="68"/>
      <c r="BJ68" s="68"/>
      <c r="BK68" s="68"/>
      <c r="BL68" s="68"/>
      <c r="BM68" s="68"/>
      <c r="BN68" s="68"/>
      <c r="BO68" s="68"/>
      <c r="BP68" s="68"/>
      <c r="BQ68" s="68"/>
      <c r="BR68" s="68"/>
      <c r="BS68" s="68"/>
      <c r="BT68" s="68"/>
      <c r="BU68" s="68"/>
      <c r="BV68" s="68"/>
      <c r="BW68" s="68"/>
      <c r="BX68" s="68"/>
      <c r="BY68" s="68"/>
      <c r="BZ68" s="68"/>
      <c r="CA68" s="68"/>
      <c r="CB68" s="68"/>
      <c r="CC68" s="68"/>
      <c r="CD68" s="68"/>
      <c r="CE68" s="68"/>
      <c r="CF68" s="68"/>
      <c r="CG68" s="68"/>
      <c r="CH68" s="68"/>
      <c r="CI68" s="68"/>
      <c r="CJ68" s="68"/>
      <c r="CK68" s="68"/>
      <c r="CL68" s="68"/>
      <c r="CM68" s="68"/>
      <c r="CN68" s="68"/>
      <c r="CO68" s="68"/>
      <c r="CP68" s="68"/>
      <c r="CQ68" s="68"/>
      <c r="CR68" s="68"/>
      <c r="CS68" s="68"/>
      <c r="CT68" s="68"/>
      <c r="CU68" s="68"/>
      <c r="CV68" s="68"/>
      <c r="CW68" s="68"/>
      <c r="CX68" s="68"/>
      <c r="CY68" s="68"/>
      <c r="CZ68" s="68"/>
      <c r="DA68" s="68"/>
      <c r="DB68" s="68"/>
      <c r="DC68" s="68"/>
      <c r="DD68" s="68"/>
      <c r="DE68" s="68"/>
      <c r="DF68" s="68"/>
      <c r="DG68" s="68"/>
      <c r="DH68" s="68"/>
      <c r="DI68" s="68"/>
      <c r="DJ68" s="68"/>
      <c r="DK68" s="68"/>
      <c r="DL68" s="68"/>
      <c r="DM68" s="68"/>
      <c r="DN68" s="68"/>
      <c r="DO68" s="68"/>
      <c r="DP68" s="68"/>
      <c r="DQ68" s="68"/>
      <c r="DR68" s="68"/>
      <c r="DS68" s="68"/>
      <c r="DT68" s="68"/>
      <c r="DU68" s="68"/>
      <c r="DV68" s="68"/>
      <c r="DW68" s="68"/>
      <c r="DX68" s="68"/>
      <c r="DY68" s="68"/>
      <c r="DZ68" s="68"/>
      <c r="EA68" s="68"/>
      <c r="EB68" s="68"/>
      <c r="EC68" s="68"/>
      <c r="ED68" s="68"/>
      <c r="EE68" s="68"/>
      <c r="EF68" s="68"/>
      <c r="EG68" s="68"/>
      <c r="EH68" s="68"/>
      <c r="EI68" s="68"/>
      <c r="EJ68" s="68"/>
      <c r="EK68" s="68"/>
      <c r="EL68" s="68"/>
      <c r="EM68" s="68"/>
      <c r="EN68" s="68"/>
      <c r="EO68" s="68"/>
      <c r="EP68" s="68"/>
      <c r="EQ68" s="68"/>
      <c r="ER68" s="68"/>
      <c r="ES68" s="68"/>
      <c r="ET68" s="68"/>
      <c r="EU68" s="68"/>
      <c r="EV68" s="68"/>
      <c r="EW68" s="68"/>
      <c r="EX68" s="68"/>
      <c r="EY68" s="68"/>
      <c r="EZ68" s="68"/>
      <c r="FA68" s="68"/>
      <c r="FB68" s="68"/>
      <c r="FC68" s="68"/>
      <c r="FD68" s="68"/>
      <c r="FE68" s="68"/>
      <c r="FF68" s="68"/>
      <c r="FG68" s="68"/>
      <c r="FH68" s="68"/>
      <c r="FI68" s="68"/>
      <c r="FJ68" s="68"/>
      <c r="FK68" s="68"/>
      <c r="FL68" s="68"/>
      <c r="FM68" s="68"/>
      <c r="FN68" s="68"/>
      <c r="FO68" s="68"/>
      <c r="FP68" s="68"/>
      <c r="FQ68" s="68"/>
      <c r="FR68" s="68"/>
      <c r="FS68" s="68"/>
      <c r="FT68" s="68"/>
      <c r="FU68" s="68"/>
      <c r="FV68" s="68"/>
      <c r="FW68" s="68"/>
      <c r="FX68" s="68"/>
      <c r="FY68" s="68"/>
      <c r="FZ68" s="68"/>
      <c r="GA68" s="68"/>
      <c r="GB68" s="68"/>
      <c r="GC68" s="68"/>
      <c r="GD68" s="68"/>
      <c r="GE68" s="68"/>
      <c r="GF68" s="68"/>
      <c r="GG68" s="68"/>
      <c r="GH68" s="68"/>
      <c r="GI68" s="68"/>
      <c r="GJ68" s="68"/>
      <c r="GK68" s="68"/>
      <c r="GL68" s="68"/>
      <c r="GM68" s="68"/>
      <c r="GN68" s="68"/>
      <c r="GO68" s="68"/>
      <c r="GP68" s="68"/>
      <c r="GQ68" s="68"/>
      <c r="GR68" s="68"/>
      <c r="GS68" s="68"/>
      <c r="GT68" s="68"/>
      <c r="GU68" s="68"/>
      <c r="GV68" s="68"/>
      <c r="GW68" s="68"/>
      <c r="GX68" s="68"/>
      <c r="GY68" s="68"/>
      <c r="GZ68" s="68"/>
      <c r="HA68" s="68"/>
      <c r="HB68" s="68"/>
      <c r="HC68" s="68"/>
      <c r="HD68" s="68"/>
      <c r="HE68" s="68"/>
      <c r="HF68" s="68"/>
      <c r="HG68" s="68"/>
      <c r="HH68" s="68"/>
      <c r="HI68" s="68"/>
      <c r="HJ68" s="68"/>
      <c r="HK68" s="68"/>
      <c r="HL68" s="68"/>
      <c r="HM68" s="68"/>
      <c r="HN68" s="68"/>
      <c r="HO68" s="68"/>
      <c r="HP68" s="68"/>
      <c r="HQ68" s="68"/>
      <c r="HR68" s="68"/>
      <c r="HS68" s="68"/>
      <c r="HT68" s="68"/>
      <c r="HU68" s="68"/>
      <c r="HV68" s="68"/>
      <c r="HW68" s="68"/>
      <c r="HX68" s="68"/>
      <c r="HY68" s="68"/>
      <c r="HZ68" s="68"/>
      <c r="IA68" s="68"/>
      <c r="IB68" s="68"/>
      <c r="IC68" s="68"/>
      <c r="ID68" s="68"/>
      <c r="IE68" s="68"/>
      <c r="IF68" s="68"/>
      <c r="IG68" s="68"/>
      <c r="IH68" s="68"/>
      <c r="II68" s="68"/>
      <c r="IJ68" s="68"/>
      <c r="IK68" s="68"/>
      <c r="IL68" s="68"/>
      <c r="IM68" s="68"/>
      <c r="IN68" s="68"/>
      <c r="IO68" s="68"/>
      <c r="IP68" s="68"/>
      <c r="IQ68" s="68"/>
      <c r="IR68" s="68"/>
      <c r="IS68" s="68"/>
      <c r="IT68" s="68"/>
      <c r="IU68" s="68"/>
      <c r="IV68" s="68"/>
      <c r="IW68" s="68"/>
      <c r="IX68" s="68"/>
      <c r="IY68" s="68"/>
      <c r="IZ68" s="68"/>
      <c r="JA68" s="68"/>
      <c r="JB68" s="68"/>
      <c r="JC68" s="68"/>
      <c r="JD68" s="68"/>
      <c r="JE68" s="68"/>
      <c r="JF68" s="68"/>
      <c r="JG68" s="68"/>
      <c r="JH68" s="68"/>
      <c r="JI68" s="68"/>
      <c r="JJ68" s="68"/>
      <c r="JK68" s="68"/>
      <c r="JL68" s="68"/>
      <c r="JM68" s="68"/>
      <c r="JN68" s="68"/>
      <c r="JO68" s="68"/>
      <c r="JP68" s="68"/>
      <c r="JQ68" s="68"/>
      <c r="JR68" s="68"/>
      <c r="JS68" s="68"/>
      <c r="JT68" s="68"/>
      <c r="JU68" s="68"/>
      <c r="JV68" s="68"/>
      <c r="JW68" s="68"/>
      <c r="JX68" s="68"/>
      <c r="JY68" s="68"/>
      <c r="JZ68" s="68"/>
      <c r="KA68" s="68"/>
      <c r="KB68" s="68"/>
      <c r="KC68" s="68"/>
      <c r="KD68" s="68"/>
      <c r="KE68" s="68"/>
      <c r="KF68" s="68"/>
      <c r="KG68" s="68"/>
      <c r="KH68" s="68"/>
      <c r="KI68" s="68"/>
      <c r="KJ68" s="68"/>
      <c r="KK68" s="68"/>
      <c r="KL68" s="68"/>
      <c r="KM68" s="68"/>
      <c r="KN68" s="68"/>
      <c r="KO68" s="68"/>
      <c r="KP68" s="68"/>
      <c r="KQ68" s="68"/>
      <c r="KR68" s="68"/>
      <c r="KS68" s="68"/>
      <c r="KT68" s="68"/>
      <c r="KU68" s="68"/>
      <c r="KV68" s="68"/>
      <c r="KW68" s="68"/>
      <c r="KX68" s="68"/>
      <c r="KY68" s="68"/>
      <c r="KZ68" s="68"/>
      <c r="LA68" s="68"/>
      <c r="LB68" s="68"/>
      <c r="LC68" s="68"/>
      <c r="LD68" s="68"/>
      <c r="LE68" s="68"/>
      <c r="LF68" s="68"/>
      <c r="LG68" s="68"/>
      <c r="LH68" s="68"/>
      <c r="LI68" s="68"/>
      <c r="LJ68" s="68"/>
      <c r="LK68" s="68"/>
      <c r="LL68" s="68"/>
      <c r="LM68" s="68"/>
      <c r="LN68" s="68"/>
      <c r="LO68" s="68"/>
      <c r="LP68" s="68"/>
      <c r="LQ68" s="68"/>
      <c r="LR68" s="68"/>
      <c r="LS68" s="68"/>
      <c r="LT68" s="68"/>
      <c r="LU68" s="68"/>
      <c r="LV68" s="68"/>
      <c r="LW68" s="68"/>
      <c r="LX68" s="68"/>
      <c r="LY68" s="68"/>
      <c r="LZ68" s="68"/>
      <c r="MA68" s="68"/>
      <c r="MB68" s="68"/>
      <c r="MC68" s="68"/>
      <c r="MD68" s="68"/>
      <c r="ME68" s="68"/>
      <c r="MF68" s="68"/>
      <c r="MG68" s="68"/>
      <c r="MH68" s="68"/>
      <c r="MI68" s="68"/>
      <c r="MJ68" s="68"/>
      <c r="MK68" s="68"/>
      <c r="ML68" s="68"/>
      <c r="MM68" s="68"/>
      <c r="MN68" s="68"/>
      <c r="MO68" s="68"/>
      <c r="MP68" s="68"/>
      <c r="MQ68" s="68"/>
      <c r="MR68" s="68"/>
      <c r="MS68" s="68"/>
      <c r="MT68" s="68"/>
      <c r="MU68" s="68"/>
      <c r="MV68" s="68"/>
      <c r="MW68" s="68"/>
      <c r="MX68" s="68"/>
      <c r="MY68" s="68"/>
      <c r="MZ68" s="68"/>
      <c r="NA68" s="68"/>
      <c r="NB68" s="68"/>
      <c r="NC68" s="68"/>
      <c r="ND68" s="68"/>
      <c r="NE68" s="68"/>
      <c r="NF68" s="68"/>
      <c r="NG68" s="68"/>
      <c r="NH68" s="68"/>
      <c r="NI68" s="68"/>
      <c r="NJ68" s="70">
        <f t="array" aca="1" ref="NJ68" ca="1">SUMPRODUCT((OFFSET($A68,0,31*($A$3-1)+1,1,31)&lt;&gt;"")*(IF(OFFSET($A68,0,31*($A$3-1)+1,1,31)=Database!$K$11,0.5,IF(OFFSET($A68,0,31*($A$3-1)+1,1,31)=Database!$K$12,0.5,1))*(OFFSET($A$4,0,31*($A$3-1)+1,1,31))))</f>
        <v>0</v>
      </c>
      <c r="NK68" s="72">
        <f t="array" aca="1" ref="NK68" ca="1">SUMPRODUCT((OFFSET($A68,0,1,1,372)&lt;&gt;"")*(IF(OFFSET($A68,0,1,1,372)=Database!$K$11,0.5,IF(OFFSET($A68,0,1,1,372)=Database!$K$12,0.5,1))*(OFFSET($A$3,0,1,1,372))))</f>
        <v>0</v>
      </c>
      <c r="NL68" s="63">
        <f t="shared" ca="1" si="8"/>
        <v>0</v>
      </c>
      <c r="NM68" s="63">
        <f t="shared" ca="1" si="8"/>
        <v>0</v>
      </c>
      <c r="NN68" s="63">
        <f t="shared" ca="1" si="8"/>
        <v>0</v>
      </c>
      <c r="NO68" s="63">
        <f t="shared" ca="1" si="8"/>
        <v>0</v>
      </c>
      <c r="NP68" s="63">
        <f t="shared" ca="1" si="8"/>
        <v>0</v>
      </c>
      <c r="NQ68" s="63">
        <f t="shared" ca="1" si="8"/>
        <v>0</v>
      </c>
      <c r="NR68" s="63">
        <f t="shared" ca="1" si="8"/>
        <v>0</v>
      </c>
      <c r="NS68" s="63">
        <f t="shared" ca="1" si="8"/>
        <v>0</v>
      </c>
      <c r="NT68" s="63">
        <f t="shared" ca="1" si="8"/>
        <v>0</v>
      </c>
      <c r="NU68" s="63">
        <f t="shared" ca="1" si="8"/>
        <v>0</v>
      </c>
    </row>
    <row r="69" spans="1:385" ht="18" customHeight="1" collapsed="1" x14ac:dyDescent="0.25">
      <c r="A69" s="26"/>
      <c r="B69" s="68"/>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8"/>
      <c r="AY69" s="68"/>
      <c r="AZ69" s="68"/>
      <c r="BA69" s="68"/>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8"/>
      <c r="CX69" s="68"/>
      <c r="CY69" s="68"/>
      <c r="CZ69" s="68"/>
      <c r="DA69" s="68"/>
      <c r="DB69" s="68"/>
      <c r="DC69" s="68"/>
      <c r="DD69" s="68"/>
      <c r="DE69" s="68"/>
      <c r="DF69" s="68"/>
      <c r="DG69" s="68"/>
      <c r="DH69" s="68"/>
      <c r="DI69" s="68"/>
      <c r="DJ69" s="68"/>
      <c r="DK69" s="68"/>
      <c r="DL69" s="68"/>
      <c r="DM69" s="68"/>
      <c r="DN69" s="68"/>
      <c r="DO69" s="68"/>
      <c r="DP69" s="68"/>
      <c r="DQ69" s="68"/>
      <c r="DR69" s="68"/>
      <c r="DS69" s="68"/>
      <c r="DT69" s="68"/>
      <c r="DU69" s="68"/>
      <c r="DV69" s="68"/>
      <c r="DW69" s="68"/>
      <c r="DX69" s="68"/>
      <c r="DY69" s="68"/>
      <c r="DZ69" s="68"/>
      <c r="EA69" s="68"/>
      <c r="EB69" s="68"/>
      <c r="EC69" s="68"/>
      <c r="ED69" s="68"/>
      <c r="EE69" s="68"/>
      <c r="EF69" s="68"/>
      <c r="EG69" s="68"/>
      <c r="EH69" s="68"/>
      <c r="EI69" s="68"/>
      <c r="EJ69" s="68"/>
      <c r="EK69" s="68"/>
      <c r="EL69" s="68"/>
      <c r="EM69" s="68"/>
      <c r="EN69" s="68"/>
      <c r="EO69" s="68"/>
      <c r="EP69" s="68"/>
      <c r="EQ69" s="68"/>
      <c r="ER69" s="68"/>
      <c r="ES69" s="68"/>
      <c r="ET69" s="68"/>
      <c r="EU69" s="68"/>
      <c r="EV69" s="68"/>
      <c r="EW69" s="68"/>
      <c r="EX69" s="68"/>
      <c r="EY69" s="68"/>
      <c r="EZ69" s="68"/>
      <c r="FA69" s="68"/>
      <c r="FB69" s="68"/>
      <c r="FC69" s="68"/>
      <c r="FD69" s="68"/>
      <c r="FE69" s="68"/>
      <c r="FF69" s="68"/>
      <c r="FG69" s="68"/>
      <c r="FH69" s="68"/>
      <c r="FI69" s="68"/>
      <c r="FJ69" s="68"/>
      <c r="FK69" s="68"/>
      <c r="FL69" s="68"/>
      <c r="FM69" s="68"/>
      <c r="FN69" s="68"/>
      <c r="FO69" s="68"/>
      <c r="FP69" s="68"/>
      <c r="FQ69" s="68"/>
      <c r="FR69" s="68"/>
      <c r="FS69" s="68"/>
      <c r="FT69" s="68"/>
      <c r="FU69" s="68"/>
      <c r="FV69" s="68"/>
      <c r="FW69" s="68"/>
      <c r="FX69" s="68"/>
      <c r="FY69" s="68"/>
      <c r="FZ69" s="68"/>
      <c r="GA69" s="68"/>
      <c r="GB69" s="68"/>
      <c r="GC69" s="68"/>
      <c r="GD69" s="68"/>
      <c r="GE69" s="68"/>
      <c r="GF69" s="68"/>
      <c r="GG69" s="68"/>
      <c r="GH69" s="68"/>
      <c r="GI69" s="68"/>
      <c r="GJ69" s="68"/>
      <c r="GK69" s="68"/>
      <c r="GL69" s="68"/>
      <c r="GM69" s="68"/>
      <c r="GN69" s="68"/>
      <c r="GO69" s="68"/>
      <c r="GP69" s="68"/>
      <c r="GQ69" s="68"/>
      <c r="GR69" s="68"/>
      <c r="GS69" s="68"/>
      <c r="GT69" s="68"/>
      <c r="GU69" s="68"/>
      <c r="GV69" s="68"/>
      <c r="GW69" s="68"/>
      <c r="GX69" s="68"/>
      <c r="GY69" s="68"/>
      <c r="GZ69" s="68"/>
      <c r="HA69" s="68"/>
      <c r="HB69" s="68"/>
      <c r="HC69" s="68"/>
      <c r="HD69" s="68"/>
      <c r="HE69" s="68"/>
      <c r="HF69" s="68"/>
      <c r="HG69" s="68"/>
      <c r="HH69" s="68"/>
      <c r="HI69" s="68"/>
      <c r="HJ69" s="68"/>
      <c r="HK69" s="68"/>
      <c r="HL69" s="68"/>
      <c r="HM69" s="68"/>
      <c r="HN69" s="68"/>
      <c r="HO69" s="68"/>
      <c r="HP69" s="68"/>
      <c r="HQ69" s="68"/>
      <c r="HR69" s="68"/>
      <c r="HS69" s="68"/>
      <c r="HT69" s="68"/>
      <c r="HU69" s="68"/>
      <c r="HV69" s="68"/>
      <c r="HW69" s="68"/>
      <c r="HX69" s="68"/>
      <c r="HY69" s="68"/>
      <c r="HZ69" s="68"/>
      <c r="IA69" s="68"/>
      <c r="IB69" s="68"/>
      <c r="IC69" s="68"/>
      <c r="ID69" s="68"/>
      <c r="IE69" s="68"/>
      <c r="IF69" s="68"/>
      <c r="IG69" s="68"/>
      <c r="IH69" s="68"/>
      <c r="II69" s="68"/>
      <c r="IJ69" s="68"/>
      <c r="IK69" s="68"/>
      <c r="IL69" s="68"/>
      <c r="IM69" s="68"/>
      <c r="IN69" s="68"/>
      <c r="IO69" s="68"/>
      <c r="IP69" s="68"/>
      <c r="IQ69" s="68"/>
      <c r="IR69" s="68"/>
      <c r="IS69" s="68"/>
      <c r="IT69" s="68"/>
      <c r="IU69" s="68"/>
      <c r="IV69" s="68"/>
      <c r="IW69" s="68"/>
      <c r="IX69" s="68"/>
      <c r="IY69" s="68"/>
      <c r="IZ69" s="68"/>
      <c r="JA69" s="68"/>
      <c r="JB69" s="68"/>
      <c r="JC69" s="68"/>
      <c r="JD69" s="68"/>
      <c r="JE69" s="68"/>
      <c r="JF69" s="68"/>
      <c r="JG69" s="68"/>
      <c r="JH69" s="68"/>
      <c r="JI69" s="68"/>
      <c r="JJ69" s="68"/>
      <c r="JK69" s="68"/>
      <c r="JL69" s="68"/>
      <c r="JM69" s="68"/>
      <c r="JN69" s="68"/>
      <c r="JO69" s="68"/>
      <c r="JP69" s="68"/>
      <c r="JQ69" s="68"/>
      <c r="JR69" s="68"/>
      <c r="JS69" s="68"/>
      <c r="JT69" s="68"/>
      <c r="JU69" s="68"/>
      <c r="JV69" s="68"/>
      <c r="JW69" s="68"/>
      <c r="JX69" s="68"/>
      <c r="JY69" s="68"/>
      <c r="JZ69" s="68"/>
      <c r="KA69" s="68"/>
      <c r="KB69" s="68"/>
      <c r="KC69" s="68"/>
      <c r="KD69" s="68"/>
      <c r="KE69" s="68"/>
      <c r="KF69" s="68"/>
      <c r="KG69" s="68"/>
      <c r="KH69" s="68"/>
      <c r="KI69" s="68"/>
      <c r="KJ69" s="68"/>
      <c r="KK69" s="68"/>
      <c r="KL69" s="68"/>
      <c r="KM69" s="68"/>
      <c r="KN69" s="68"/>
      <c r="KO69" s="68"/>
      <c r="KP69" s="68"/>
      <c r="KQ69" s="68"/>
      <c r="KR69" s="68"/>
      <c r="KS69" s="68"/>
      <c r="KT69" s="68"/>
      <c r="KU69" s="68"/>
      <c r="KV69" s="68"/>
      <c r="KW69" s="68"/>
      <c r="KX69" s="68"/>
      <c r="KY69" s="68"/>
      <c r="KZ69" s="68"/>
      <c r="LA69" s="68"/>
      <c r="LB69" s="68"/>
      <c r="LC69" s="68"/>
      <c r="LD69" s="68"/>
      <c r="LE69" s="68"/>
      <c r="LF69" s="68"/>
      <c r="LG69" s="68"/>
      <c r="LH69" s="68"/>
      <c r="LI69" s="68"/>
      <c r="LJ69" s="68"/>
      <c r="LK69" s="68"/>
      <c r="LL69" s="68"/>
      <c r="LM69" s="68"/>
      <c r="LN69" s="68"/>
      <c r="LO69" s="68"/>
      <c r="LP69" s="68"/>
      <c r="LQ69" s="68"/>
      <c r="LR69" s="68"/>
      <c r="LS69" s="68"/>
      <c r="LT69" s="68"/>
      <c r="LU69" s="68"/>
      <c r="LV69" s="68"/>
      <c r="LW69" s="68"/>
      <c r="LX69" s="68"/>
      <c r="LY69" s="68"/>
      <c r="LZ69" s="68"/>
      <c r="MA69" s="68"/>
      <c r="MB69" s="68"/>
      <c r="MC69" s="68"/>
      <c r="MD69" s="68"/>
      <c r="ME69" s="68"/>
      <c r="MF69" s="68"/>
      <c r="MG69" s="68"/>
      <c r="MH69" s="68"/>
      <c r="MI69" s="68"/>
      <c r="MJ69" s="68"/>
      <c r="MK69" s="68"/>
      <c r="ML69" s="68"/>
      <c r="MM69" s="68"/>
      <c r="MN69" s="68"/>
      <c r="MO69" s="68"/>
      <c r="MP69" s="68"/>
      <c r="MQ69" s="68"/>
      <c r="MR69" s="68"/>
      <c r="MS69" s="68"/>
      <c r="MT69" s="68"/>
      <c r="MU69" s="68"/>
      <c r="MV69" s="68"/>
      <c r="MW69" s="68"/>
      <c r="MX69" s="68"/>
      <c r="MY69" s="68"/>
      <c r="MZ69" s="68"/>
      <c r="NA69" s="68"/>
      <c r="NB69" s="68"/>
      <c r="NC69" s="68"/>
      <c r="ND69" s="68"/>
      <c r="NE69" s="68"/>
      <c r="NF69" s="68"/>
      <c r="NG69" s="68"/>
      <c r="NH69" s="68"/>
      <c r="NI69" s="68"/>
      <c r="NJ69" s="70">
        <f t="array" aca="1" ref="NJ69" ca="1">SUMPRODUCT((OFFSET($A69,0,31*($A$3-1)+1,1,31)&lt;&gt;"")*(IF(OFFSET($A69,0,31*($A$3-1)+1,1,31)=Database!$K$11,0.5,IF(OFFSET($A69,0,31*($A$3-1)+1,1,31)=Database!$K$12,0.5,1))*(OFFSET($A$4,0,31*($A$3-1)+1,1,31))))</f>
        <v>0</v>
      </c>
      <c r="NK69" s="72">
        <f t="array" aca="1" ref="NK69" ca="1">SUMPRODUCT((OFFSET($A69,0,1,1,372)&lt;&gt;"")*(IF(OFFSET($A69,0,1,1,372)=Database!$K$11,0.5,IF(OFFSET($A69,0,1,1,372)=Database!$K$12,0.5,1))*(OFFSET($A$3,0,1,1,372))))</f>
        <v>0</v>
      </c>
      <c r="NL69" s="63">
        <f t="shared" ca="1" si="8"/>
        <v>0</v>
      </c>
      <c r="NM69" s="63">
        <f t="shared" ca="1" si="8"/>
        <v>0</v>
      </c>
      <c r="NN69" s="63">
        <f t="shared" ca="1" si="8"/>
        <v>0</v>
      </c>
      <c r="NO69" s="63">
        <f t="shared" ca="1" si="8"/>
        <v>0</v>
      </c>
      <c r="NP69" s="63">
        <f t="shared" ca="1" si="8"/>
        <v>0</v>
      </c>
      <c r="NQ69" s="63">
        <f t="shared" ca="1" si="8"/>
        <v>0</v>
      </c>
      <c r="NR69" s="63">
        <f t="shared" ca="1" si="8"/>
        <v>0</v>
      </c>
      <c r="NS69" s="63">
        <f t="shared" ca="1" si="8"/>
        <v>0</v>
      </c>
      <c r="NT69" s="63">
        <f t="shared" ca="1" si="8"/>
        <v>0</v>
      </c>
      <c r="NU69" s="63">
        <f t="shared" ca="1" si="8"/>
        <v>0</v>
      </c>
    </row>
    <row r="70" spans="1:385" ht="18" hidden="1" customHeight="1" outlineLevel="1" x14ac:dyDescent="0.25">
      <c r="A70" s="26"/>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24"/>
      <c r="BQ70" s="24"/>
      <c r="BR70" s="24"/>
      <c r="BS70" s="24"/>
      <c r="BT70" s="24"/>
      <c r="BU70" s="24"/>
      <c r="BV70" s="24"/>
      <c r="BW70" s="24"/>
      <c r="BX70" s="24"/>
      <c r="BY70" s="24"/>
      <c r="BZ70" s="24"/>
      <c r="CA70" s="24"/>
      <c r="CB70" s="24"/>
      <c r="CC70" s="24"/>
      <c r="CD70" s="24"/>
      <c r="CE70" s="24"/>
      <c r="CF70" s="24"/>
      <c r="CG70" s="24"/>
      <c r="CH70" s="24"/>
      <c r="CI70" s="24"/>
      <c r="CJ70" s="24"/>
      <c r="CK70" s="24"/>
      <c r="CL70" s="24"/>
      <c r="CM70" s="24"/>
      <c r="CN70" s="24"/>
      <c r="CO70" s="24"/>
      <c r="CP70" s="24"/>
      <c r="CQ70" s="24"/>
      <c r="CR70" s="24"/>
      <c r="CS70" s="24"/>
      <c r="CT70" s="24"/>
      <c r="CU70" s="24"/>
      <c r="CV70" s="24"/>
      <c r="CW70" s="24"/>
      <c r="CX70" s="24"/>
      <c r="CY70" s="24"/>
      <c r="CZ70" s="24"/>
      <c r="DA70" s="24"/>
      <c r="DB70" s="24"/>
      <c r="DC70" s="24"/>
      <c r="DD70" s="24"/>
      <c r="DE70" s="24"/>
      <c r="DF70" s="24"/>
      <c r="DG70" s="24"/>
      <c r="DH70" s="24"/>
      <c r="DI70" s="24"/>
      <c r="DJ70" s="24"/>
      <c r="DK70" s="24"/>
      <c r="DL70" s="24"/>
      <c r="DM70" s="24"/>
      <c r="DN70" s="24"/>
      <c r="DO70" s="24"/>
      <c r="DP70" s="24"/>
      <c r="DQ70" s="24"/>
      <c r="DR70" s="24"/>
      <c r="DS70" s="24"/>
      <c r="DT70" s="24"/>
      <c r="DU70" s="24"/>
      <c r="DV70" s="24"/>
      <c r="DW70" s="24"/>
      <c r="DX70" s="24"/>
      <c r="DY70" s="24"/>
      <c r="DZ70" s="24"/>
      <c r="EA70" s="24"/>
      <c r="EB70" s="24"/>
      <c r="EC70" s="24"/>
      <c r="ED70" s="24"/>
      <c r="EE70" s="24"/>
      <c r="EF70" s="24"/>
      <c r="EG70" s="24"/>
      <c r="EH70" s="24"/>
      <c r="EI70" s="24"/>
      <c r="EJ70" s="24"/>
      <c r="EK70" s="24"/>
      <c r="EL70" s="24"/>
      <c r="EM70" s="24"/>
      <c r="EN70" s="24"/>
      <c r="EO70" s="24"/>
      <c r="EP70" s="24"/>
      <c r="EQ70" s="24"/>
      <c r="ER70" s="24"/>
      <c r="ES70" s="24"/>
      <c r="ET70" s="24"/>
      <c r="EU70" s="24"/>
      <c r="EV70" s="24"/>
      <c r="EW70" s="24"/>
      <c r="EX70" s="24"/>
      <c r="EY70" s="24"/>
      <c r="EZ70" s="24"/>
      <c r="FA70" s="24"/>
      <c r="FB70" s="24"/>
      <c r="FC70" s="24"/>
      <c r="FD70" s="24"/>
      <c r="FE70" s="24"/>
      <c r="FF70" s="24"/>
      <c r="FG70" s="24"/>
      <c r="FH70" s="24"/>
      <c r="FI70" s="24"/>
      <c r="FJ70" s="24"/>
      <c r="FK70" s="24"/>
      <c r="FL70" s="24"/>
      <c r="FM70" s="24"/>
      <c r="FN70" s="24"/>
      <c r="FO70" s="24"/>
      <c r="FP70" s="24"/>
      <c r="FQ70" s="24"/>
      <c r="FR70" s="24"/>
      <c r="FS70" s="24"/>
      <c r="FT70" s="24"/>
      <c r="FU70" s="24"/>
      <c r="FV70" s="24"/>
      <c r="FW70" s="24"/>
      <c r="FX70" s="24"/>
      <c r="FY70" s="24"/>
      <c r="FZ70" s="24"/>
      <c r="GA70" s="24"/>
      <c r="GB70" s="24"/>
      <c r="GC70" s="24"/>
      <c r="GD70" s="24"/>
      <c r="GE70" s="24"/>
      <c r="GF70" s="24"/>
      <c r="GG70" s="24"/>
      <c r="GH70" s="24"/>
      <c r="GI70" s="24"/>
      <c r="GJ70" s="24"/>
      <c r="GK70" s="24"/>
      <c r="GL70" s="24"/>
      <c r="GM70" s="24"/>
      <c r="GN70" s="24"/>
      <c r="GO70" s="24"/>
      <c r="GP70" s="24"/>
      <c r="GQ70" s="24"/>
      <c r="GR70" s="24"/>
      <c r="GS70" s="24"/>
      <c r="GT70" s="24"/>
      <c r="GU70" s="24"/>
      <c r="GV70" s="24"/>
      <c r="GW70" s="24"/>
      <c r="GX70" s="24"/>
      <c r="GY70" s="24"/>
      <c r="GZ70" s="24"/>
      <c r="HA70" s="24"/>
      <c r="HB70" s="24"/>
      <c r="HC70" s="24"/>
      <c r="HD70" s="24"/>
      <c r="HE70" s="24"/>
      <c r="HF70" s="24"/>
      <c r="HG70" s="24"/>
      <c r="HH70" s="24"/>
      <c r="HI70" s="24"/>
      <c r="HJ70" s="24"/>
      <c r="HK70" s="24"/>
      <c r="HL70" s="24"/>
      <c r="HM70" s="24"/>
      <c r="HN70" s="24"/>
      <c r="HO70" s="24"/>
      <c r="HP70" s="24"/>
      <c r="HQ70" s="24"/>
      <c r="HR70" s="24"/>
      <c r="HS70" s="24"/>
      <c r="HT70" s="24"/>
      <c r="HU70" s="24"/>
      <c r="HV70" s="24"/>
      <c r="HW70" s="24"/>
      <c r="HX70" s="24"/>
      <c r="HY70" s="24"/>
      <c r="HZ70" s="24"/>
      <c r="IA70" s="24"/>
      <c r="IB70" s="24"/>
      <c r="IC70" s="24"/>
      <c r="ID70" s="24"/>
      <c r="IE70" s="24"/>
      <c r="IF70" s="24"/>
      <c r="IG70" s="24"/>
      <c r="IH70" s="24"/>
      <c r="II70" s="24"/>
      <c r="IJ70" s="24"/>
      <c r="IK70" s="24"/>
      <c r="IL70" s="24"/>
      <c r="IM70" s="24"/>
      <c r="IN70" s="24"/>
      <c r="IO70" s="24"/>
      <c r="IP70" s="24"/>
      <c r="IQ70" s="24"/>
      <c r="IR70" s="24"/>
      <c r="IS70" s="24"/>
      <c r="IT70" s="24"/>
      <c r="IU70" s="24"/>
      <c r="IV70" s="24"/>
      <c r="IW70" s="24"/>
      <c r="IX70" s="24"/>
      <c r="IY70" s="24"/>
      <c r="IZ70" s="24"/>
      <c r="JA70" s="24"/>
      <c r="JB70" s="24"/>
      <c r="JC70" s="24"/>
      <c r="JD70" s="24"/>
      <c r="JE70" s="24"/>
      <c r="JF70" s="24"/>
      <c r="JG70" s="24"/>
      <c r="JH70" s="24"/>
      <c r="JI70" s="24"/>
      <c r="JJ70" s="24"/>
      <c r="JK70" s="24"/>
      <c r="JL70" s="24"/>
      <c r="JM70" s="24"/>
      <c r="JN70" s="24"/>
      <c r="JO70" s="24"/>
      <c r="JP70" s="24"/>
      <c r="JQ70" s="24"/>
      <c r="JR70" s="24"/>
      <c r="JS70" s="24"/>
      <c r="JT70" s="24"/>
      <c r="JU70" s="24"/>
      <c r="JV70" s="24"/>
      <c r="JW70" s="24"/>
      <c r="JX70" s="24"/>
      <c r="JY70" s="24"/>
      <c r="JZ70" s="24"/>
      <c r="KA70" s="24"/>
      <c r="KB70" s="24"/>
      <c r="KC70" s="24"/>
      <c r="KD70" s="24"/>
      <c r="KE70" s="24"/>
      <c r="KF70" s="24"/>
      <c r="KG70" s="24"/>
      <c r="KH70" s="24"/>
      <c r="KI70" s="24"/>
      <c r="KJ70" s="24"/>
      <c r="KK70" s="24"/>
      <c r="KL70" s="24"/>
      <c r="KM70" s="24"/>
      <c r="KN70" s="24"/>
      <c r="KO70" s="24"/>
      <c r="KP70" s="24"/>
      <c r="KQ70" s="24"/>
      <c r="KR70" s="24"/>
      <c r="KS70" s="24"/>
      <c r="KT70" s="24"/>
      <c r="KU70" s="24"/>
      <c r="KV70" s="24"/>
      <c r="KW70" s="24"/>
      <c r="KX70" s="24"/>
      <c r="KY70" s="24"/>
      <c r="KZ70" s="24"/>
      <c r="LA70" s="24"/>
      <c r="LB70" s="24"/>
      <c r="LC70" s="24"/>
      <c r="LD70" s="24"/>
      <c r="LE70" s="24"/>
      <c r="LF70" s="24"/>
      <c r="LG70" s="24"/>
      <c r="LH70" s="24"/>
      <c r="LI70" s="24"/>
      <c r="LJ70" s="24"/>
      <c r="LK70" s="24"/>
      <c r="LL70" s="24"/>
      <c r="LM70" s="24"/>
      <c r="LN70" s="24"/>
      <c r="LO70" s="24"/>
      <c r="LP70" s="24"/>
      <c r="LQ70" s="24"/>
      <c r="LR70" s="24"/>
      <c r="LS70" s="24"/>
      <c r="LT70" s="24"/>
      <c r="LU70" s="24"/>
      <c r="LV70" s="24"/>
      <c r="LW70" s="24"/>
      <c r="LX70" s="24"/>
      <c r="LY70" s="24"/>
      <c r="LZ70" s="24"/>
      <c r="MA70" s="24"/>
      <c r="MB70" s="24"/>
      <c r="MC70" s="24"/>
      <c r="MD70" s="24"/>
      <c r="ME70" s="24"/>
      <c r="MF70" s="24"/>
      <c r="MG70" s="24"/>
      <c r="MH70" s="24"/>
      <c r="MI70" s="24"/>
      <c r="MJ70" s="24"/>
      <c r="MK70" s="24"/>
      <c r="ML70" s="24"/>
      <c r="MM70" s="24"/>
      <c r="MN70" s="24"/>
      <c r="MO70" s="24"/>
      <c r="MP70" s="24"/>
      <c r="MQ70" s="24"/>
      <c r="MR70" s="24"/>
      <c r="MS70" s="24"/>
      <c r="MT70" s="24"/>
      <c r="MU70" s="24"/>
      <c r="MV70" s="24"/>
      <c r="MW70" s="24"/>
      <c r="MX70" s="24"/>
      <c r="MY70" s="24"/>
      <c r="MZ70" s="24"/>
      <c r="NA70" s="24"/>
      <c r="NB70" s="24"/>
      <c r="NC70" s="24"/>
      <c r="ND70" s="24"/>
      <c r="NE70" s="24"/>
      <c r="NF70" s="24"/>
      <c r="NG70" s="24"/>
      <c r="NH70" s="24"/>
      <c r="NI70" s="24"/>
      <c r="NJ70" s="22">
        <f t="array" aca="1" ref="NJ70" ca="1">SUMPRODUCT((OFFSET($A70,0,31*($A$3-1)+1,1,31)&lt;&gt;"")*(IF(OFFSET($A70,0,31*($A$3-1)+1,1,31)=Database!$K$11,0.5,IF(OFFSET($A70,0,31*($A$3-1)+1,1,31)=Database!$K$12,0.5,1))*(OFFSET($A$4,0,31*($A$3-1)+1,1,31))))</f>
        <v>0</v>
      </c>
      <c r="NK70" s="23">
        <f t="array" aca="1" ref="NK70" ca="1">SUMPRODUCT((OFFSET($A70,0,1,1,372)&lt;&gt;"")*(IF(OFFSET($A70,0,1,1,372)=Database!$K$11,0.5,IF(OFFSET($A70,0,1,1,372)=Database!$K$12,0.5,1))*(OFFSET($A$3,0,1,1,372))))</f>
        <v>0</v>
      </c>
      <c r="NL70" s="21">
        <f t="shared" ca="1" si="8"/>
        <v>0</v>
      </c>
      <c r="NM70" s="21">
        <f t="shared" ca="1" si="8"/>
        <v>0</v>
      </c>
      <c r="NN70" s="21">
        <f t="shared" ca="1" si="8"/>
        <v>0</v>
      </c>
      <c r="NO70" s="21">
        <f t="shared" ca="1" si="8"/>
        <v>0</v>
      </c>
      <c r="NP70" s="21">
        <f t="shared" ca="1" si="8"/>
        <v>0</v>
      </c>
      <c r="NQ70" s="21">
        <f t="shared" ca="1" si="8"/>
        <v>0</v>
      </c>
      <c r="NR70" s="21">
        <f t="shared" ca="1" si="8"/>
        <v>0</v>
      </c>
      <c r="NS70" s="21">
        <f t="shared" ca="1" si="8"/>
        <v>0</v>
      </c>
      <c r="NT70" s="21">
        <f t="shared" ca="1" si="8"/>
        <v>0</v>
      </c>
      <c r="NU70" s="21">
        <f t="shared" ca="1" si="8"/>
        <v>0</v>
      </c>
    </row>
    <row r="71" spans="1:385" ht="18" hidden="1" customHeight="1" outlineLevel="1" x14ac:dyDescent="0.25">
      <c r="A71" s="26"/>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c r="BE71" s="24"/>
      <c r="BF71" s="24"/>
      <c r="BG71" s="24"/>
      <c r="BH71" s="24"/>
      <c r="BI71" s="24"/>
      <c r="BJ71" s="24"/>
      <c r="BK71" s="24"/>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4"/>
      <c r="DA71" s="24"/>
      <c r="DB71" s="24"/>
      <c r="DC71" s="24"/>
      <c r="DD71" s="24"/>
      <c r="DE71" s="24"/>
      <c r="DF71" s="24"/>
      <c r="DG71" s="24"/>
      <c r="DH71" s="24"/>
      <c r="DI71" s="24"/>
      <c r="DJ71" s="24"/>
      <c r="DK71" s="24"/>
      <c r="DL71" s="24"/>
      <c r="DM71" s="24"/>
      <c r="DN71" s="24"/>
      <c r="DO71" s="24"/>
      <c r="DP71" s="24"/>
      <c r="DQ71" s="24"/>
      <c r="DR71" s="24"/>
      <c r="DS71" s="24"/>
      <c r="DT71" s="24"/>
      <c r="DU71" s="24"/>
      <c r="DV71" s="24"/>
      <c r="DW71" s="24"/>
      <c r="DX71" s="24"/>
      <c r="DY71" s="24"/>
      <c r="DZ71" s="24"/>
      <c r="EA71" s="24"/>
      <c r="EB71" s="24"/>
      <c r="EC71" s="24"/>
      <c r="ED71" s="24"/>
      <c r="EE71" s="24"/>
      <c r="EF71" s="24"/>
      <c r="EG71" s="24"/>
      <c r="EH71" s="24"/>
      <c r="EI71" s="24"/>
      <c r="EJ71" s="24"/>
      <c r="EK71" s="24"/>
      <c r="EL71" s="24"/>
      <c r="EM71" s="24"/>
      <c r="EN71" s="24"/>
      <c r="EO71" s="24"/>
      <c r="EP71" s="24"/>
      <c r="EQ71" s="24"/>
      <c r="ER71" s="24"/>
      <c r="ES71" s="24"/>
      <c r="ET71" s="24"/>
      <c r="EU71" s="24"/>
      <c r="EV71" s="24"/>
      <c r="EW71" s="24"/>
      <c r="EX71" s="24"/>
      <c r="EY71" s="24"/>
      <c r="EZ71" s="24"/>
      <c r="FA71" s="24"/>
      <c r="FB71" s="24"/>
      <c r="FC71" s="24"/>
      <c r="FD71" s="24"/>
      <c r="FE71" s="24"/>
      <c r="FF71" s="24"/>
      <c r="FG71" s="24"/>
      <c r="FH71" s="24"/>
      <c r="FI71" s="24"/>
      <c r="FJ71" s="24"/>
      <c r="FK71" s="24"/>
      <c r="FL71" s="24"/>
      <c r="FM71" s="24"/>
      <c r="FN71" s="24"/>
      <c r="FO71" s="24"/>
      <c r="FP71" s="24"/>
      <c r="FQ71" s="24"/>
      <c r="FR71" s="24"/>
      <c r="FS71" s="24"/>
      <c r="FT71" s="24"/>
      <c r="FU71" s="24"/>
      <c r="FV71" s="24"/>
      <c r="FW71" s="24"/>
      <c r="FX71" s="24"/>
      <c r="FY71" s="24"/>
      <c r="FZ71" s="24"/>
      <c r="GA71" s="24"/>
      <c r="GB71" s="24"/>
      <c r="GC71" s="24"/>
      <c r="GD71" s="24"/>
      <c r="GE71" s="24"/>
      <c r="GF71" s="24"/>
      <c r="GG71" s="24"/>
      <c r="GH71" s="24"/>
      <c r="GI71" s="24"/>
      <c r="GJ71" s="24"/>
      <c r="GK71" s="24"/>
      <c r="GL71" s="24"/>
      <c r="GM71" s="24"/>
      <c r="GN71" s="24"/>
      <c r="GO71" s="24"/>
      <c r="GP71" s="24"/>
      <c r="GQ71" s="24"/>
      <c r="GR71" s="24"/>
      <c r="GS71" s="24"/>
      <c r="GT71" s="24"/>
      <c r="GU71" s="24"/>
      <c r="GV71" s="24"/>
      <c r="GW71" s="24"/>
      <c r="GX71" s="24"/>
      <c r="GY71" s="24"/>
      <c r="GZ71" s="24"/>
      <c r="HA71" s="24"/>
      <c r="HB71" s="24"/>
      <c r="HC71" s="24"/>
      <c r="HD71" s="24"/>
      <c r="HE71" s="24"/>
      <c r="HF71" s="24"/>
      <c r="HG71" s="24"/>
      <c r="HH71" s="24"/>
      <c r="HI71" s="24"/>
      <c r="HJ71" s="24"/>
      <c r="HK71" s="24"/>
      <c r="HL71" s="24"/>
      <c r="HM71" s="24"/>
      <c r="HN71" s="24"/>
      <c r="HO71" s="24"/>
      <c r="HP71" s="24"/>
      <c r="HQ71" s="24"/>
      <c r="HR71" s="24"/>
      <c r="HS71" s="24"/>
      <c r="HT71" s="24"/>
      <c r="HU71" s="24"/>
      <c r="HV71" s="24"/>
      <c r="HW71" s="24"/>
      <c r="HX71" s="24"/>
      <c r="HY71" s="24"/>
      <c r="HZ71" s="24"/>
      <c r="IA71" s="24"/>
      <c r="IB71" s="24"/>
      <c r="IC71" s="24"/>
      <c r="ID71" s="24"/>
      <c r="IE71" s="24"/>
      <c r="IF71" s="24"/>
      <c r="IG71" s="24"/>
      <c r="IH71" s="24"/>
      <c r="II71" s="24"/>
      <c r="IJ71" s="24"/>
      <c r="IK71" s="24"/>
      <c r="IL71" s="24"/>
      <c r="IM71" s="24"/>
      <c r="IN71" s="24"/>
      <c r="IO71" s="24"/>
      <c r="IP71" s="24"/>
      <c r="IQ71" s="24"/>
      <c r="IR71" s="24"/>
      <c r="IS71" s="24"/>
      <c r="IT71" s="24"/>
      <c r="IU71" s="24"/>
      <c r="IV71" s="24"/>
      <c r="IW71" s="24"/>
      <c r="IX71" s="24"/>
      <c r="IY71" s="24"/>
      <c r="IZ71" s="24"/>
      <c r="JA71" s="24"/>
      <c r="JB71" s="24"/>
      <c r="JC71" s="24"/>
      <c r="JD71" s="24"/>
      <c r="JE71" s="24"/>
      <c r="JF71" s="24"/>
      <c r="JG71" s="24"/>
      <c r="JH71" s="24"/>
      <c r="JI71" s="24"/>
      <c r="JJ71" s="24"/>
      <c r="JK71" s="24"/>
      <c r="JL71" s="24"/>
      <c r="JM71" s="24"/>
      <c r="JN71" s="24"/>
      <c r="JO71" s="24"/>
      <c r="JP71" s="24"/>
      <c r="JQ71" s="24"/>
      <c r="JR71" s="24"/>
      <c r="JS71" s="24"/>
      <c r="JT71" s="24"/>
      <c r="JU71" s="24"/>
      <c r="JV71" s="24"/>
      <c r="JW71" s="24"/>
      <c r="JX71" s="24"/>
      <c r="JY71" s="24"/>
      <c r="JZ71" s="24"/>
      <c r="KA71" s="24"/>
      <c r="KB71" s="24"/>
      <c r="KC71" s="24"/>
      <c r="KD71" s="24"/>
      <c r="KE71" s="24"/>
      <c r="KF71" s="24"/>
      <c r="KG71" s="24"/>
      <c r="KH71" s="24"/>
      <c r="KI71" s="24"/>
      <c r="KJ71" s="24"/>
      <c r="KK71" s="24"/>
      <c r="KL71" s="24"/>
      <c r="KM71" s="24"/>
      <c r="KN71" s="24"/>
      <c r="KO71" s="24"/>
      <c r="KP71" s="24"/>
      <c r="KQ71" s="24"/>
      <c r="KR71" s="24"/>
      <c r="KS71" s="24"/>
      <c r="KT71" s="24"/>
      <c r="KU71" s="24"/>
      <c r="KV71" s="24"/>
      <c r="KW71" s="24"/>
      <c r="KX71" s="24"/>
      <c r="KY71" s="24"/>
      <c r="KZ71" s="24"/>
      <c r="LA71" s="24"/>
      <c r="LB71" s="24"/>
      <c r="LC71" s="24"/>
      <c r="LD71" s="24"/>
      <c r="LE71" s="24"/>
      <c r="LF71" s="24"/>
      <c r="LG71" s="24"/>
      <c r="LH71" s="24"/>
      <c r="LI71" s="24"/>
      <c r="LJ71" s="24"/>
      <c r="LK71" s="24"/>
      <c r="LL71" s="24"/>
      <c r="LM71" s="24"/>
      <c r="LN71" s="24"/>
      <c r="LO71" s="24"/>
      <c r="LP71" s="24"/>
      <c r="LQ71" s="24"/>
      <c r="LR71" s="24"/>
      <c r="LS71" s="24"/>
      <c r="LT71" s="24"/>
      <c r="LU71" s="24"/>
      <c r="LV71" s="24"/>
      <c r="LW71" s="24"/>
      <c r="LX71" s="24"/>
      <c r="LY71" s="24"/>
      <c r="LZ71" s="24"/>
      <c r="MA71" s="24"/>
      <c r="MB71" s="24"/>
      <c r="MC71" s="24"/>
      <c r="MD71" s="24"/>
      <c r="ME71" s="24"/>
      <c r="MF71" s="24"/>
      <c r="MG71" s="24"/>
      <c r="MH71" s="24"/>
      <c r="MI71" s="24"/>
      <c r="MJ71" s="24"/>
      <c r="MK71" s="24"/>
      <c r="ML71" s="24"/>
      <c r="MM71" s="24"/>
      <c r="MN71" s="24"/>
      <c r="MO71" s="24"/>
      <c r="MP71" s="24"/>
      <c r="MQ71" s="24"/>
      <c r="MR71" s="24"/>
      <c r="MS71" s="24"/>
      <c r="MT71" s="24"/>
      <c r="MU71" s="24"/>
      <c r="MV71" s="24"/>
      <c r="MW71" s="24"/>
      <c r="MX71" s="24"/>
      <c r="MY71" s="24"/>
      <c r="MZ71" s="24"/>
      <c r="NA71" s="24"/>
      <c r="NB71" s="24"/>
      <c r="NC71" s="24"/>
      <c r="ND71" s="24"/>
      <c r="NE71" s="24"/>
      <c r="NF71" s="24"/>
      <c r="NG71" s="24"/>
      <c r="NH71" s="24"/>
      <c r="NI71" s="24"/>
      <c r="NJ71" s="22">
        <f t="array" aca="1" ref="NJ71" ca="1">SUMPRODUCT((OFFSET($A71,0,31*($A$3-1)+1,1,31)&lt;&gt;"")*(IF(OFFSET($A71,0,31*($A$3-1)+1,1,31)=Database!$K$11,0.5,IF(OFFSET($A71,0,31*($A$3-1)+1,1,31)=Database!$K$12,0.5,1))*(OFFSET($A$4,0,31*($A$3-1)+1,1,31))))</f>
        <v>0</v>
      </c>
      <c r="NK71" s="23">
        <f t="array" aca="1" ref="NK71" ca="1">SUMPRODUCT((OFFSET($A71,0,1,1,372)&lt;&gt;"")*(IF(OFFSET($A71,0,1,1,372)=Database!$K$11,0.5,IF(OFFSET($A71,0,1,1,372)=Database!$K$12,0.5,1))*(OFFSET($A$3,0,1,1,372))))</f>
        <v>0</v>
      </c>
      <c r="NL71" s="21">
        <f t="shared" ca="1" si="8"/>
        <v>0</v>
      </c>
      <c r="NM71" s="21">
        <f t="shared" ca="1" si="8"/>
        <v>0</v>
      </c>
      <c r="NN71" s="21">
        <f t="shared" ca="1" si="8"/>
        <v>0</v>
      </c>
      <c r="NO71" s="21">
        <f t="shared" ca="1" si="8"/>
        <v>0</v>
      </c>
      <c r="NP71" s="21">
        <f t="shared" ca="1" si="8"/>
        <v>0</v>
      </c>
      <c r="NQ71" s="21">
        <f t="shared" ca="1" si="8"/>
        <v>0</v>
      </c>
      <c r="NR71" s="21">
        <f t="shared" ca="1" si="8"/>
        <v>0</v>
      </c>
      <c r="NS71" s="21">
        <f t="shared" ca="1" si="8"/>
        <v>0</v>
      </c>
      <c r="NT71" s="21">
        <f t="shared" ca="1" si="8"/>
        <v>0</v>
      </c>
      <c r="NU71" s="21">
        <f t="shared" ca="1" si="8"/>
        <v>0</v>
      </c>
    </row>
    <row r="72" spans="1:385" ht="18" hidden="1" customHeight="1" outlineLevel="1" x14ac:dyDescent="0.25">
      <c r="A72" s="26"/>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24"/>
      <c r="BQ72" s="24"/>
      <c r="BR72" s="24"/>
      <c r="BS72" s="24"/>
      <c r="BT72" s="24"/>
      <c r="BU72" s="24"/>
      <c r="BV72" s="24"/>
      <c r="BW72" s="24"/>
      <c r="BX72" s="24"/>
      <c r="BY72" s="24"/>
      <c r="BZ72" s="24"/>
      <c r="CA72" s="24"/>
      <c r="CB72" s="24"/>
      <c r="CC72" s="24"/>
      <c r="CD72" s="24"/>
      <c r="CE72" s="24"/>
      <c r="CF72" s="24"/>
      <c r="CG72" s="24"/>
      <c r="CH72" s="24"/>
      <c r="CI72" s="24"/>
      <c r="CJ72" s="24"/>
      <c r="CK72" s="24"/>
      <c r="CL72" s="24"/>
      <c r="CM72" s="24"/>
      <c r="CN72" s="24"/>
      <c r="CO72" s="24"/>
      <c r="CP72" s="24"/>
      <c r="CQ72" s="24"/>
      <c r="CR72" s="24"/>
      <c r="CS72" s="24"/>
      <c r="CT72" s="24"/>
      <c r="CU72" s="24"/>
      <c r="CV72" s="24"/>
      <c r="CW72" s="24"/>
      <c r="CX72" s="24"/>
      <c r="CY72" s="24"/>
      <c r="CZ72" s="24"/>
      <c r="DA72" s="24"/>
      <c r="DB72" s="24"/>
      <c r="DC72" s="24"/>
      <c r="DD72" s="24"/>
      <c r="DE72" s="24"/>
      <c r="DF72" s="24"/>
      <c r="DG72" s="24"/>
      <c r="DH72" s="24"/>
      <c r="DI72" s="24"/>
      <c r="DJ72" s="24"/>
      <c r="DK72" s="24"/>
      <c r="DL72" s="24"/>
      <c r="DM72" s="24"/>
      <c r="DN72" s="24"/>
      <c r="DO72" s="24"/>
      <c r="DP72" s="24"/>
      <c r="DQ72" s="24"/>
      <c r="DR72" s="24"/>
      <c r="DS72" s="24"/>
      <c r="DT72" s="24"/>
      <c r="DU72" s="24"/>
      <c r="DV72" s="24"/>
      <c r="DW72" s="24"/>
      <c r="DX72" s="24"/>
      <c r="DY72" s="24"/>
      <c r="DZ72" s="24"/>
      <c r="EA72" s="24"/>
      <c r="EB72" s="24"/>
      <c r="EC72" s="24"/>
      <c r="ED72" s="24"/>
      <c r="EE72" s="24"/>
      <c r="EF72" s="24"/>
      <c r="EG72" s="24"/>
      <c r="EH72" s="24"/>
      <c r="EI72" s="24"/>
      <c r="EJ72" s="24"/>
      <c r="EK72" s="24"/>
      <c r="EL72" s="24"/>
      <c r="EM72" s="24"/>
      <c r="EN72" s="24"/>
      <c r="EO72" s="24"/>
      <c r="EP72" s="24"/>
      <c r="EQ72" s="24"/>
      <c r="ER72" s="24"/>
      <c r="ES72" s="24"/>
      <c r="ET72" s="24"/>
      <c r="EU72" s="24"/>
      <c r="EV72" s="24"/>
      <c r="EW72" s="24"/>
      <c r="EX72" s="24"/>
      <c r="EY72" s="24"/>
      <c r="EZ72" s="24"/>
      <c r="FA72" s="24"/>
      <c r="FB72" s="24"/>
      <c r="FC72" s="24"/>
      <c r="FD72" s="24"/>
      <c r="FE72" s="24"/>
      <c r="FF72" s="24"/>
      <c r="FG72" s="24"/>
      <c r="FH72" s="24"/>
      <c r="FI72" s="24"/>
      <c r="FJ72" s="24"/>
      <c r="FK72" s="24"/>
      <c r="FL72" s="24"/>
      <c r="FM72" s="24"/>
      <c r="FN72" s="24"/>
      <c r="FO72" s="24"/>
      <c r="FP72" s="24"/>
      <c r="FQ72" s="24"/>
      <c r="FR72" s="24"/>
      <c r="FS72" s="24"/>
      <c r="FT72" s="24"/>
      <c r="FU72" s="24"/>
      <c r="FV72" s="24"/>
      <c r="FW72" s="24"/>
      <c r="FX72" s="24"/>
      <c r="FY72" s="24"/>
      <c r="FZ72" s="24"/>
      <c r="GA72" s="24"/>
      <c r="GB72" s="24"/>
      <c r="GC72" s="24"/>
      <c r="GD72" s="24"/>
      <c r="GE72" s="24"/>
      <c r="GF72" s="24"/>
      <c r="GG72" s="24"/>
      <c r="GH72" s="24"/>
      <c r="GI72" s="24"/>
      <c r="GJ72" s="24"/>
      <c r="GK72" s="24"/>
      <c r="GL72" s="24"/>
      <c r="GM72" s="24"/>
      <c r="GN72" s="24"/>
      <c r="GO72" s="24"/>
      <c r="GP72" s="24"/>
      <c r="GQ72" s="24"/>
      <c r="GR72" s="24"/>
      <c r="GS72" s="24"/>
      <c r="GT72" s="24"/>
      <c r="GU72" s="24"/>
      <c r="GV72" s="24"/>
      <c r="GW72" s="24"/>
      <c r="GX72" s="24"/>
      <c r="GY72" s="24"/>
      <c r="GZ72" s="24"/>
      <c r="HA72" s="24"/>
      <c r="HB72" s="24"/>
      <c r="HC72" s="24"/>
      <c r="HD72" s="24"/>
      <c r="HE72" s="24"/>
      <c r="HF72" s="24"/>
      <c r="HG72" s="24"/>
      <c r="HH72" s="24"/>
      <c r="HI72" s="24"/>
      <c r="HJ72" s="24"/>
      <c r="HK72" s="24"/>
      <c r="HL72" s="24"/>
      <c r="HM72" s="24"/>
      <c r="HN72" s="24"/>
      <c r="HO72" s="24"/>
      <c r="HP72" s="24"/>
      <c r="HQ72" s="24"/>
      <c r="HR72" s="24"/>
      <c r="HS72" s="24"/>
      <c r="HT72" s="24"/>
      <c r="HU72" s="24"/>
      <c r="HV72" s="24"/>
      <c r="HW72" s="24"/>
      <c r="HX72" s="24"/>
      <c r="HY72" s="24"/>
      <c r="HZ72" s="24"/>
      <c r="IA72" s="24"/>
      <c r="IB72" s="24"/>
      <c r="IC72" s="24"/>
      <c r="ID72" s="24"/>
      <c r="IE72" s="24"/>
      <c r="IF72" s="24"/>
      <c r="IG72" s="24"/>
      <c r="IH72" s="24"/>
      <c r="II72" s="24"/>
      <c r="IJ72" s="24"/>
      <c r="IK72" s="24"/>
      <c r="IL72" s="24"/>
      <c r="IM72" s="24"/>
      <c r="IN72" s="24"/>
      <c r="IO72" s="24"/>
      <c r="IP72" s="24"/>
      <c r="IQ72" s="24"/>
      <c r="IR72" s="24"/>
      <c r="IS72" s="24"/>
      <c r="IT72" s="24"/>
      <c r="IU72" s="24"/>
      <c r="IV72" s="24"/>
      <c r="IW72" s="24"/>
      <c r="IX72" s="24"/>
      <c r="IY72" s="24"/>
      <c r="IZ72" s="24"/>
      <c r="JA72" s="24"/>
      <c r="JB72" s="24"/>
      <c r="JC72" s="24"/>
      <c r="JD72" s="24"/>
      <c r="JE72" s="24"/>
      <c r="JF72" s="24"/>
      <c r="JG72" s="24"/>
      <c r="JH72" s="24"/>
      <c r="JI72" s="24"/>
      <c r="JJ72" s="24"/>
      <c r="JK72" s="24"/>
      <c r="JL72" s="24"/>
      <c r="JM72" s="24"/>
      <c r="JN72" s="24"/>
      <c r="JO72" s="24"/>
      <c r="JP72" s="24"/>
      <c r="JQ72" s="24"/>
      <c r="JR72" s="24"/>
      <c r="JS72" s="24"/>
      <c r="JT72" s="24"/>
      <c r="JU72" s="24"/>
      <c r="JV72" s="24"/>
      <c r="JW72" s="24"/>
      <c r="JX72" s="24"/>
      <c r="JY72" s="24"/>
      <c r="JZ72" s="24"/>
      <c r="KA72" s="24"/>
      <c r="KB72" s="24"/>
      <c r="KC72" s="24"/>
      <c r="KD72" s="24"/>
      <c r="KE72" s="24"/>
      <c r="KF72" s="24"/>
      <c r="KG72" s="24"/>
      <c r="KH72" s="24"/>
      <c r="KI72" s="24"/>
      <c r="KJ72" s="24"/>
      <c r="KK72" s="24"/>
      <c r="KL72" s="24"/>
      <c r="KM72" s="24"/>
      <c r="KN72" s="24"/>
      <c r="KO72" s="24"/>
      <c r="KP72" s="24"/>
      <c r="KQ72" s="24"/>
      <c r="KR72" s="24"/>
      <c r="KS72" s="24"/>
      <c r="KT72" s="24"/>
      <c r="KU72" s="24"/>
      <c r="KV72" s="24"/>
      <c r="KW72" s="24"/>
      <c r="KX72" s="24"/>
      <c r="KY72" s="24"/>
      <c r="KZ72" s="24"/>
      <c r="LA72" s="24"/>
      <c r="LB72" s="24"/>
      <c r="LC72" s="24"/>
      <c r="LD72" s="24"/>
      <c r="LE72" s="24"/>
      <c r="LF72" s="24"/>
      <c r="LG72" s="24"/>
      <c r="LH72" s="24"/>
      <c r="LI72" s="24"/>
      <c r="LJ72" s="24"/>
      <c r="LK72" s="24"/>
      <c r="LL72" s="24"/>
      <c r="LM72" s="24"/>
      <c r="LN72" s="24"/>
      <c r="LO72" s="24"/>
      <c r="LP72" s="24"/>
      <c r="LQ72" s="24"/>
      <c r="LR72" s="24"/>
      <c r="LS72" s="24"/>
      <c r="LT72" s="24"/>
      <c r="LU72" s="24"/>
      <c r="LV72" s="24"/>
      <c r="LW72" s="24"/>
      <c r="LX72" s="24"/>
      <c r="LY72" s="24"/>
      <c r="LZ72" s="24"/>
      <c r="MA72" s="24"/>
      <c r="MB72" s="24"/>
      <c r="MC72" s="24"/>
      <c r="MD72" s="24"/>
      <c r="ME72" s="24"/>
      <c r="MF72" s="24"/>
      <c r="MG72" s="24"/>
      <c r="MH72" s="24"/>
      <c r="MI72" s="24"/>
      <c r="MJ72" s="24"/>
      <c r="MK72" s="24"/>
      <c r="ML72" s="24"/>
      <c r="MM72" s="24"/>
      <c r="MN72" s="24"/>
      <c r="MO72" s="24"/>
      <c r="MP72" s="24"/>
      <c r="MQ72" s="24"/>
      <c r="MR72" s="24"/>
      <c r="MS72" s="24"/>
      <c r="MT72" s="24"/>
      <c r="MU72" s="24"/>
      <c r="MV72" s="24"/>
      <c r="MW72" s="24"/>
      <c r="MX72" s="24"/>
      <c r="MY72" s="24"/>
      <c r="MZ72" s="24"/>
      <c r="NA72" s="24"/>
      <c r="NB72" s="24"/>
      <c r="NC72" s="24"/>
      <c r="ND72" s="24"/>
      <c r="NE72" s="24"/>
      <c r="NF72" s="24"/>
      <c r="NG72" s="24"/>
      <c r="NH72" s="24"/>
      <c r="NI72" s="24"/>
      <c r="NJ72" s="22">
        <f t="array" aca="1" ref="NJ72" ca="1">SUMPRODUCT((OFFSET($A72,0,31*($A$3-1)+1,1,31)&lt;&gt;"")*(IF(OFFSET($A72,0,31*($A$3-1)+1,1,31)=Database!$K$11,0.5,IF(OFFSET($A72,0,31*($A$3-1)+1,1,31)=Database!$K$12,0.5,1))*(OFFSET($A$4,0,31*($A$3-1)+1,1,31))))</f>
        <v>0</v>
      </c>
      <c r="NK72" s="23">
        <f t="array" aca="1" ref="NK72" ca="1">SUMPRODUCT((OFFSET($A72,0,1,1,372)&lt;&gt;"")*(IF(OFFSET($A72,0,1,1,372)=Database!$K$11,0.5,IF(OFFSET($A72,0,1,1,372)=Database!$K$12,0.5,1))*(OFFSET($A$3,0,1,1,372))))</f>
        <v>0</v>
      </c>
      <c r="NL72" s="21">
        <f t="shared" ref="NL72:NU88" ca="1" si="11">SUMPRODUCT((OFFSET($A72,0,1,1,372)&lt;&gt;"")*(OFFSET($A$3,0,1,1,372))*((OFFSET($A72,0,1,1,372))=NL$5))</f>
        <v>0</v>
      </c>
      <c r="NM72" s="21">
        <f t="shared" ca="1" si="11"/>
        <v>0</v>
      </c>
      <c r="NN72" s="21">
        <f t="shared" ca="1" si="11"/>
        <v>0</v>
      </c>
      <c r="NO72" s="21">
        <f t="shared" ca="1" si="11"/>
        <v>0</v>
      </c>
      <c r="NP72" s="21">
        <f t="shared" ca="1" si="11"/>
        <v>0</v>
      </c>
      <c r="NQ72" s="21">
        <f t="shared" ca="1" si="11"/>
        <v>0</v>
      </c>
      <c r="NR72" s="21">
        <f t="shared" ca="1" si="11"/>
        <v>0</v>
      </c>
      <c r="NS72" s="21">
        <f t="shared" ca="1" si="11"/>
        <v>0</v>
      </c>
      <c r="NT72" s="21">
        <f t="shared" ca="1" si="11"/>
        <v>0</v>
      </c>
      <c r="NU72" s="21">
        <f t="shared" ca="1" si="11"/>
        <v>0</v>
      </c>
    </row>
    <row r="73" spans="1:385" ht="18" hidden="1" customHeight="1" outlineLevel="1" x14ac:dyDescent="0.25">
      <c r="A73" s="26"/>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c r="BE73" s="24"/>
      <c r="BF73" s="24"/>
      <c r="BG73" s="24"/>
      <c r="BH73" s="24"/>
      <c r="BI73" s="24"/>
      <c r="BJ73" s="24"/>
      <c r="BK73" s="24"/>
      <c r="BL73" s="24"/>
      <c r="BM73" s="24"/>
      <c r="BN73" s="24"/>
      <c r="BO73" s="24"/>
      <c r="BP73" s="24"/>
      <c r="BQ73" s="24"/>
      <c r="BR73" s="24"/>
      <c r="BS73" s="24"/>
      <c r="BT73" s="24"/>
      <c r="BU73" s="24"/>
      <c r="BV73" s="24"/>
      <c r="BW73" s="24"/>
      <c r="BX73" s="24"/>
      <c r="BY73" s="24"/>
      <c r="BZ73" s="24"/>
      <c r="CA73" s="24"/>
      <c r="CB73" s="24"/>
      <c r="CC73" s="24"/>
      <c r="CD73" s="24"/>
      <c r="CE73" s="24"/>
      <c r="CF73" s="24"/>
      <c r="CG73" s="24"/>
      <c r="CH73" s="24"/>
      <c r="CI73" s="24"/>
      <c r="CJ73" s="24"/>
      <c r="CK73" s="24"/>
      <c r="CL73" s="24"/>
      <c r="CM73" s="24"/>
      <c r="CN73" s="24"/>
      <c r="CO73" s="24"/>
      <c r="CP73" s="24"/>
      <c r="CQ73" s="24"/>
      <c r="CR73" s="24"/>
      <c r="CS73" s="24"/>
      <c r="CT73" s="24"/>
      <c r="CU73" s="24"/>
      <c r="CV73" s="24"/>
      <c r="CW73" s="24"/>
      <c r="CX73" s="24"/>
      <c r="CY73" s="24"/>
      <c r="CZ73" s="24"/>
      <c r="DA73" s="24"/>
      <c r="DB73" s="24"/>
      <c r="DC73" s="24"/>
      <c r="DD73" s="24"/>
      <c r="DE73" s="24"/>
      <c r="DF73" s="24"/>
      <c r="DG73" s="24"/>
      <c r="DH73" s="24"/>
      <c r="DI73" s="24"/>
      <c r="DJ73" s="24"/>
      <c r="DK73" s="24"/>
      <c r="DL73" s="24"/>
      <c r="DM73" s="24"/>
      <c r="DN73" s="24"/>
      <c r="DO73" s="24"/>
      <c r="DP73" s="24"/>
      <c r="DQ73" s="24"/>
      <c r="DR73" s="24"/>
      <c r="DS73" s="24"/>
      <c r="DT73" s="24"/>
      <c r="DU73" s="24"/>
      <c r="DV73" s="24"/>
      <c r="DW73" s="24"/>
      <c r="DX73" s="24"/>
      <c r="DY73" s="24"/>
      <c r="DZ73" s="24"/>
      <c r="EA73" s="24"/>
      <c r="EB73" s="24"/>
      <c r="EC73" s="24"/>
      <c r="ED73" s="24"/>
      <c r="EE73" s="24"/>
      <c r="EF73" s="24"/>
      <c r="EG73" s="24"/>
      <c r="EH73" s="24"/>
      <c r="EI73" s="24"/>
      <c r="EJ73" s="24"/>
      <c r="EK73" s="24"/>
      <c r="EL73" s="24"/>
      <c r="EM73" s="24"/>
      <c r="EN73" s="24"/>
      <c r="EO73" s="24"/>
      <c r="EP73" s="24"/>
      <c r="EQ73" s="24"/>
      <c r="ER73" s="24"/>
      <c r="ES73" s="24"/>
      <c r="ET73" s="24"/>
      <c r="EU73" s="24"/>
      <c r="EV73" s="24"/>
      <c r="EW73" s="24"/>
      <c r="EX73" s="24"/>
      <c r="EY73" s="24"/>
      <c r="EZ73" s="24"/>
      <c r="FA73" s="24"/>
      <c r="FB73" s="24"/>
      <c r="FC73" s="24"/>
      <c r="FD73" s="24"/>
      <c r="FE73" s="24"/>
      <c r="FF73" s="24"/>
      <c r="FG73" s="24"/>
      <c r="FH73" s="24"/>
      <c r="FI73" s="24"/>
      <c r="FJ73" s="24"/>
      <c r="FK73" s="24"/>
      <c r="FL73" s="24"/>
      <c r="FM73" s="24"/>
      <c r="FN73" s="24"/>
      <c r="FO73" s="24"/>
      <c r="FP73" s="24"/>
      <c r="FQ73" s="24"/>
      <c r="FR73" s="24"/>
      <c r="FS73" s="24"/>
      <c r="FT73" s="24"/>
      <c r="FU73" s="24"/>
      <c r="FV73" s="24"/>
      <c r="FW73" s="24"/>
      <c r="FX73" s="24"/>
      <c r="FY73" s="24"/>
      <c r="FZ73" s="24"/>
      <c r="GA73" s="24"/>
      <c r="GB73" s="24"/>
      <c r="GC73" s="24"/>
      <c r="GD73" s="24"/>
      <c r="GE73" s="24"/>
      <c r="GF73" s="24"/>
      <c r="GG73" s="24"/>
      <c r="GH73" s="24"/>
      <c r="GI73" s="24"/>
      <c r="GJ73" s="24"/>
      <c r="GK73" s="24"/>
      <c r="GL73" s="24"/>
      <c r="GM73" s="24"/>
      <c r="GN73" s="24"/>
      <c r="GO73" s="24"/>
      <c r="GP73" s="24"/>
      <c r="GQ73" s="24"/>
      <c r="GR73" s="24"/>
      <c r="GS73" s="24"/>
      <c r="GT73" s="24"/>
      <c r="GU73" s="24"/>
      <c r="GV73" s="24"/>
      <c r="GW73" s="24"/>
      <c r="GX73" s="24"/>
      <c r="GY73" s="24"/>
      <c r="GZ73" s="24"/>
      <c r="HA73" s="24"/>
      <c r="HB73" s="24"/>
      <c r="HC73" s="24"/>
      <c r="HD73" s="24"/>
      <c r="HE73" s="24"/>
      <c r="HF73" s="24"/>
      <c r="HG73" s="24"/>
      <c r="HH73" s="24"/>
      <c r="HI73" s="24"/>
      <c r="HJ73" s="24"/>
      <c r="HK73" s="24"/>
      <c r="HL73" s="24"/>
      <c r="HM73" s="24"/>
      <c r="HN73" s="24"/>
      <c r="HO73" s="24"/>
      <c r="HP73" s="24"/>
      <c r="HQ73" s="24"/>
      <c r="HR73" s="24"/>
      <c r="HS73" s="24"/>
      <c r="HT73" s="24"/>
      <c r="HU73" s="24"/>
      <c r="HV73" s="24"/>
      <c r="HW73" s="24"/>
      <c r="HX73" s="24"/>
      <c r="HY73" s="24"/>
      <c r="HZ73" s="24"/>
      <c r="IA73" s="24"/>
      <c r="IB73" s="24"/>
      <c r="IC73" s="24"/>
      <c r="ID73" s="24"/>
      <c r="IE73" s="24"/>
      <c r="IF73" s="24"/>
      <c r="IG73" s="24"/>
      <c r="IH73" s="24"/>
      <c r="II73" s="24"/>
      <c r="IJ73" s="24"/>
      <c r="IK73" s="24"/>
      <c r="IL73" s="24"/>
      <c r="IM73" s="24"/>
      <c r="IN73" s="24"/>
      <c r="IO73" s="24"/>
      <c r="IP73" s="24"/>
      <c r="IQ73" s="24"/>
      <c r="IR73" s="24"/>
      <c r="IS73" s="24"/>
      <c r="IT73" s="24"/>
      <c r="IU73" s="24"/>
      <c r="IV73" s="24"/>
      <c r="IW73" s="24"/>
      <c r="IX73" s="24"/>
      <c r="IY73" s="24"/>
      <c r="IZ73" s="24"/>
      <c r="JA73" s="24"/>
      <c r="JB73" s="24"/>
      <c r="JC73" s="24"/>
      <c r="JD73" s="24"/>
      <c r="JE73" s="24"/>
      <c r="JF73" s="24"/>
      <c r="JG73" s="24"/>
      <c r="JH73" s="24"/>
      <c r="JI73" s="24"/>
      <c r="JJ73" s="24"/>
      <c r="JK73" s="24"/>
      <c r="JL73" s="24"/>
      <c r="JM73" s="24"/>
      <c r="JN73" s="24"/>
      <c r="JO73" s="24"/>
      <c r="JP73" s="24"/>
      <c r="JQ73" s="24"/>
      <c r="JR73" s="24"/>
      <c r="JS73" s="24"/>
      <c r="JT73" s="24"/>
      <c r="JU73" s="24"/>
      <c r="JV73" s="24"/>
      <c r="JW73" s="24"/>
      <c r="JX73" s="24"/>
      <c r="JY73" s="24"/>
      <c r="JZ73" s="24"/>
      <c r="KA73" s="24"/>
      <c r="KB73" s="24"/>
      <c r="KC73" s="24"/>
      <c r="KD73" s="24"/>
      <c r="KE73" s="24"/>
      <c r="KF73" s="24"/>
      <c r="KG73" s="24"/>
      <c r="KH73" s="24"/>
      <c r="KI73" s="24"/>
      <c r="KJ73" s="24"/>
      <c r="KK73" s="24"/>
      <c r="KL73" s="24"/>
      <c r="KM73" s="24"/>
      <c r="KN73" s="24"/>
      <c r="KO73" s="24"/>
      <c r="KP73" s="24"/>
      <c r="KQ73" s="24"/>
      <c r="KR73" s="24"/>
      <c r="KS73" s="24"/>
      <c r="KT73" s="24"/>
      <c r="KU73" s="24"/>
      <c r="KV73" s="24"/>
      <c r="KW73" s="24"/>
      <c r="KX73" s="24"/>
      <c r="KY73" s="24"/>
      <c r="KZ73" s="24"/>
      <c r="LA73" s="24"/>
      <c r="LB73" s="24"/>
      <c r="LC73" s="24"/>
      <c r="LD73" s="24"/>
      <c r="LE73" s="24"/>
      <c r="LF73" s="24"/>
      <c r="LG73" s="24"/>
      <c r="LH73" s="24"/>
      <c r="LI73" s="24"/>
      <c r="LJ73" s="24"/>
      <c r="LK73" s="24"/>
      <c r="LL73" s="24"/>
      <c r="LM73" s="24"/>
      <c r="LN73" s="24"/>
      <c r="LO73" s="24"/>
      <c r="LP73" s="24"/>
      <c r="LQ73" s="24"/>
      <c r="LR73" s="24"/>
      <c r="LS73" s="24"/>
      <c r="LT73" s="24"/>
      <c r="LU73" s="24"/>
      <c r="LV73" s="24"/>
      <c r="LW73" s="24"/>
      <c r="LX73" s="24"/>
      <c r="LY73" s="24"/>
      <c r="LZ73" s="24"/>
      <c r="MA73" s="24"/>
      <c r="MB73" s="24"/>
      <c r="MC73" s="24"/>
      <c r="MD73" s="24"/>
      <c r="ME73" s="24"/>
      <c r="MF73" s="24"/>
      <c r="MG73" s="24"/>
      <c r="MH73" s="24"/>
      <c r="MI73" s="24"/>
      <c r="MJ73" s="24"/>
      <c r="MK73" s="24"/>
      <c r="ML73" s="24"/>
      <c r="MM73" s="24"/>
      <c r="MN73" s="24"/>
      <c r="MO73" s="24"/>
      <c r="MP73" s="24"/>
      <c r="MQ73" s="24"/>
      <c r="MR73" s="24"/>
      <c r="MS73" s="24"/>
      <c r="MT73" s="24"/>
      <c r="MU73" s="24"/>
      <c r="MV73" s="24"/>
      <c r="MW73" s="24"/>
      <c r="MX73" s="24"/>
      <c r="MY73" s="24"/>
      <c r="MZ73" s="24"/>
      <c r="NA73" s="24"/>
      <c r="NB73" s="24"/>
      <c r="NC73" s="24"/>
      <c r="ND73" s="24"/>
      <c r="NE73" s="24"/>
      <c r="NF73" s="24"/>
      <c r="NG73" s="24"/>
      <c r="NH73" s="24"/>
      <c r="NI73" s="24"/>
      <c r="NJ73" s="22">
        <f t="array" aca="1" ref="NJ73" ca="1">SUMPRODUCT((OFFSET($A73,0,31*($A$3-1)+1,1,31)&lt;&gt;"")*(IF(OFFSET($A73,0,31*($A$3-1)+1,1,31)=Database!$K$11,0.5,IF(OFFSET($A73,0,31*($A$3-1)+1,1,31)=Database!$K$12,0.5,1))*(OFFSET($A$4,0,31*($A$3-1)+1,1,31))))</f>
        <v>0</v>
      </c>
      <c r="NK73" s="23">
        <f t="array" aca="1" ref="NK73" ca="1">SUMPRODUCT((OFFSET($A73,0,1,1,372)&lt;&gt;"")*(IF(OFFSET($A73,0,1,1,372)=Database!$K$11,0.5,IF(OFFSET($A73,0,1,1,372)=Database!$K$12,0.5,1))*(OFFSET($A$3,0,1,1,372))))</f>
        <v>0</v>
      </c>
      <c r="NL73" s="21">
        <f t="shared" ca="1" si="11"/>
        <v>0</v>
      </c>
      <c r="NM73" s="21">
        <f t="shared" ca="1" si="11"/>
        <v>0</v>
      </c>
      <c r="NN73" s="21">
        <f t="shared" ca="1" si="11"/>
        <v>0</v>
      </c>
      <c r="NO73" s="21">
        <f t="shared" ca="1" si="11"/>
        <v>0</v>
      </c>
      <c r="NP73" s="21">
        <f t="shared" ca="1" si="11"/>
        <v>0</v>
      </c>
      <c r="NQ73" s="21">
        <f t="shared" ca="1" si="11"/>
        <v>0</v>
      </c>
      <c r="NR73" s="21">
        <f t="shared" ca="1" si="11"/>
        <v>0</v>
      </c>
      <c r="NS73" s="21">
        <f t="shared" ca="1" si="11"/>
        <v>0</v>
      </c>
      <c r="NT73" s="21">
        <f t="shared" ca="1" si="11"/>
        <v>0</v>
      </c>
      <c r="NU73" s="21">
        <f t="shared" ca="1" si="11"/>
        <v>0</v>
      </c>
    </row>
    <row r="74" spans="1:385" ht="18" hidden="1" customHeight="1" outlineLevel="1" x14ac:dyDescent="0.25">
      <c r="A74" s="26"/>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c r="BE74" s="24"/>
      <c r="BF74" s="24"/>
      <c r="BG74" s="24"/>
      <c r="BH74" s="24"/>
      <c r="BI74" s="24"/>
      <c r="BJ74" s="24"/>
      <c r="BK74" s="24"/>
      <c r="BL74" s="24"/>
      <c r="BM74" s="24"/>
      <c r="BN74" s="24"/>
      <c r="BO74" s="24"/>
      <c r="BP74" s="24"/>
      <c r="BQ74" s="24"/>
      <c r="BR74" s="24"/>
      <c r="BS74" s="24"/>
      <c r="BT74" s="24"/>
      <c r="BU74" s="24"/>
      <c r="BV74" s="24"/>
      <c r="BW74" s="24"/>
      <c r="BX74" s="24"/>
      <c r="BY74" s="24"/>
      <c r="BZ74" s="24"/>
      <c r="CA74" s="24"/>
      <c r="CB74" s="24"/>
      <c r="CC74" s="24"/>
      <c r="CD74" s="24"/>
      <c r="CE74" s="24"/>
      <c r="CF74" s="24"/>
      <c r="CG74" s="24"/>
      <c r="CH74" s="24"/>
      <c r="CI74" s="24"/>
      <c r="CJ74" s="24"/>
      <c r="CK74" s="24"/>
      <c r="CL74" s="24"/>
      <c r="CM74" s="24"/>
      <c r="CN74" s="24"/>
      <c r="CO74" s="24"/>
      <c r="CP74" s="24"/>
      <c r="CQ74" s="24"/>
      <c r="CR74" s="24"/>
      <c r="CS74" s="24"/>
      <c r="CT74" s="24"/>
      <c r="CU74" s="24"/>
      <c r="CV74" s="24"/>
      <c r="CW74" s="24"/>
      <c r="CX74" s="24"/>
      <c r="CY74" s="24"/>
      <c r="CZ74" s="24"/>
      <c r="DA74" s="24"/>
      <c r="DB74" s="24"/>
      <c r="DC74" s="24"/>
      <c r="DD74" s="24"/>
      <c r="DE74" s="24"/>
      <c r="DF74" s="24"/>
      <c r="DG74" s="24"/>
      <c r="DH74" s="24"/>
      <c r="DI74" s="24"/>
      <c r="DJ74" s="24"/>
      <c r="DK74" s="24"/>
      <c r="DL74" s="24"/>
      <c r="DM74" s="24"/>
      <c r="DN74" s="24"/>
      <c r="DO74" s="24"/>
      <c r="DP74" s="24"/>
      <c r="DQ74" s="24"/>
      <c r="DR74" s="24"/>
      <c r="DS74" s="24"/>
      <c r="DT74" s="24"/>
      <c r="DU74" s="24"/>
      <c r="DV74" s="24"/>
      <c r="DW74" s="24"/>
      <c r="DX74" s="24"/>
      <c r="DY74" s="24"/>
      <c r="DZ74" s="24"/>
      <c r="EA74" s="24"/>
      <c r="EB74" s="24"/>
      <c r="EC74" s="24"/>
      <c r="ED74" s="24"/>
      <c r="EE74" s="24"/>
      <c r="EF74" s="24"/>
      <c r="EG74" s="24"/>
      <c r="EH74" s="24"/>
      <c r="EI74" s="24"/>
      <c r="EJ74" s="24"/>
      <c r="EK74" s="24"/>
      <c r="EL74" s="24"/>
      <c r="EM74" s="24"/>
      <c r="EN74" s="24"/>
      <c r="EO74" s="24"/>
      <c r="EP74" s="24"/>
      <c r="EQ74" s="24"/>
      <c r="ER74" s="24"/>
      <c r="ES74" s="24"/>
      <c r="ET74" s="24"/>
      <c r="EU74" s="24"/>
      <c r="EV74" s="24"/>
      <c r="EW74" s="24"/>
      <c r="EX74" s="24"/>
      <c r="EY74" s="24"/>
      <c r="EZ74" s="24"/>
      <c r="FA74" s="24"/>
      <c r="FB74" s="24"/>
      <c r="FC74" s="24"/>
      <c r="FD74" s="24"/>
      <c r="FE74" s="24"/>
      <c r="FF74" s="24"/>
      <c r="FG74" s="24"/>
      <c r="FH74" s="24"/>
      <c r="FI74" s="24"/>
      <c r="FJ74" s="24"/>
      <c r="FK74" s="24"/>
      <c r="FL74" s="24"/>
      <c r="FM74" s="24"/>
      <c r="FN74" s="24"/>
      <c r="FO74" s="24"/>
      <c r="FP74" s="24"/>
      <c r="FQ74" s="24"/>
      <c r="FR74" s="24"/>
      <c r="FS74" s="24"/>
      <c r="FT74" s="24"/>
      <c r="FU74" s="24"/>
      <c r="FV74" s="24"/>
      <c r="FW74" s="24"/>
      <c r="FX74" s="24"/>
      <c r="FY74" s="24"/>
      <c r="FZ74" s="24"/>
      <c r="GA74" s="24"/>
      <c r="GB74" s="24"/>
      <c r="GC74" s="24"/>
      <c r="GD74" s="24"/>
      <c r="GE74" s="24"/>
      <c r="GF74" s="24"/>
      <c r="GG74" s="24"/>
      <c r="GH74" s="24"/>
      <c r="GI74" s="24"/>
      <c r="GJ74" s="24"/>
      <c r="GK74" s="24"/>
      <c r="GL74" s="24"/>
      <c r="GM74" s="24"/>
      <c r="GN74" s="24"/>
      <c r="GO74" s="24"/>
      <c r="GP74" s="24"/>
      <c r="GQ74" s="24"/>
      <c r="GR74" s="24"/>
      <c r="GS74" s="24"/>
      <c r="GT74" s="24"/>
      <c r="GU74" s="24"/>
      <c r="GV74" s="24"/>
      <c r="GW74" s="24"/>
      <c r="GX74" s="24"/>
      <c r="GY74" s="24"/>
      <c r="GZ74" s="24"/>
      <c r="HA74" s="24"/>
      <c r="HB74" s="24"/>
      <c r="HC74" s="24"/>
      <c r="HD74" s="24"/>
      <c r="HE74" s="24"/>
      <c r="HF74" s="24"/>
      <c r="HG74" s="24"/>
      <c r="HH74" s="24"/>
      <c r="HI74" s="24"/>
      <c r="HJ74" s="24"/>
      <c r="HK74" s="24"/>
      <c r="HL74" s="24"/>
      <c r="HM74" s="24"/>
      <c r="HN74" s="24"/>
      <c r="HO74" s="24"/>
      <c r="HP74" s="24"/>
      <c r="HQ74" s="24"/>
      <c r="HR74" s="24"/>
      <c r="HS74" s="24"/>
      <c r="HT74" s="24"/>
      <c r="HU74" s="24"/>
      <c r="HV74" s="24"/>
      <c r="HW74" s="24"/>
      <c r="HX74" s="24"/>
      <c r="HY74" s="24"/>
      <c r="HZ74" s="24"/>
      <c r="IA74" s="24"/>
      <c r="IB74" s="24"/>
      <c r="IC74" s="24"/>
      <c r="ID74" s="24"/>
      <c r="IE74" s="24"/>
      <c r="IF74" s="24"/>
      <c r="IG74" s="24"/>
      <c r="IH74" s="24"/>
      <c r="II74" s="24"/>
      <c r="IJ74" s="24"/>
      <c r="IK74" s="24"/>
      <c r="IL74" s="24"/>
      <c r="IM74" s="24"/>
      <c r="IN74" s="24"/>
      <c r="IO74" s="24"/>
      <c r="IP74" s="24"/>
      <c r="IQ74" s="24"/>
      <c r="IR74" s="24"/>
      <c r="IS74" s="24"/>
      <c r="IT74" s="24"/>
      <c r="IU74" s="24"/>
      <c r="IV74" s="24"/>
      <c r="IW74" s="24"/>
      <c r="IX74" s="24"/>
      <c r="IY74" s="24"/>
      <c r="IZ74" s="24"/>
      <c r="JA74" s="24"/>
      <c r="JB74" s="24"/>
      <c r="JC74" s="24"/>
      <c r="JD74" s="24"/>
      <c r="JE74" s="24"/>
      <c r="JF74" s="24"/>
      <c r="JG74" s="24"/>
      <c r="JH74" s="24"/>
      <c r="JI74" s="24"/>
      <c r="JJ74" s="24"/>
      <c r="JK74" s="24"/>
      <c r="JL74" s="24"/>
      <c r="JM74" s="24"/>
      <c r="JN74" s="24"/>
      <c r="JO74" s="24"/>
      <c r="JP74" s="24"/>
      <c r="JQ74" s="24"/>
      <c r="JR74" s="24"/>
      <c r="JS74" s="24"/>
      <c r="JT74" s="24"/>
      <c r="JU74" s="24"/>
      <c r="JV74" s="24"/>
      <c r="JW74" s="24"/>
      <c r="JX74" s="24"/>
      <c r="JY74" s="24"/>
      <c r="JZ74" s="24"/>
      <c r="KA74" s="24"/>
      <c r="KB74" s="24"/>
      <c r="KC74" s="24"/>
      <c r="KD74" s="24"/>
      <c r="KE74" s="24"/>
      <c r="KF74" s="24"/>
      <c r="KG74" s="24"/>
      <c r="KH74" s="24"/>
      <c r="KI74" s="24"/>
      <c r="KJ74" s="24"/>
      <c r="KK74" s="24"/>
      <c r="KL74" s="24"/>
      <c r="KM74" s="24"/>
      <c r="KN74" s="24"/>
      <c r="KO74" s="24"/>
      <c r="KP74" s="24"/>
      <c r="KQ74" s="24"/>
      <c r="KR74" s="24"/>
      <c r="KS74" s="24"/>
      <c r="KT74" s="24"/>
      <c r="KU74" s="24"/>
      <c r="KV74" s="24"/>
      <c r="KW74" s="24"/>
      <c r="KX74" s="24"/>
      <c r="KY74" s="24"/>
      <c r="KZ74" s="24"/>
      <c r="LA74" s="24"/>
      <c r="LB74" s="24"/>
      <c r="LC74" s="24"/>
      <c r="LD74" s="24"/>
      <c r="LE74" s="24"/>
      <c r="LF74" s="24"/>
      <c r="LG74" s="24"/>
      <c r="LH74" s="24"/>
      <c r="LI74" s="24"/>
      <c r="LJ74" s="24"/>
      <c r="LK74" s="24"/>
      <c r="LL74" s="24"/>
      <c r="LM74" s="24"/>
      <c r="LN74" s="24"/>
      <c r="LO74" s="24"/>
      <c r="LP74" s="24"/>
      <c r="LQ74" s="24"/>
      <c r="LR74" s="24"/>
      <c r="LS74" s="24"/>
      <c r="LT74" s="24"/>
      <c r="LU74" s="24"/>
      <c r="LV74" s="24"/>
      <c r="LW74" s="24"/>
      <c r="LX74" s="24"/>
      <c r="LY74" s="24"/>
      <c r="LZ74" s="24"/>
      <c r="MA74" s="24"/>
      <c r="MB74" s="24"/>
      <c r="MC74" s="24"/>
      <c r="MD74" s="24"/>
      <c r="ME74" s="24"/>
      <c r="MF74" s="24"/>
      <c r="MG74" s="24"/>
      <c r="MH74" s="24"/>
      <c r="MI74" s="24"/>
      <c r="MJ74" s="24"/>
      <c r="MK74" s="24"/>
      <c r="ML74" s="24"/>
      <c r="MM74" s="24"/>
      <c r="MN74" s="24"/>
      <c r="MO74" s="24"/>
      <c r="MP74" s="24"/>
      <c r="MQ74" s="24"/>
      <c r="MR74" s="24"/>
      <c r="MS74" s="24"/>
      <c r="MT74" s="24"/>
      <c r="MU74" s="24"/>
      <c r="MV74" s="24"/>
      <c r="MW74" s="24"/>
      <c r="MX74" s="24"/>
      <c r="MY74" s="24"/>
      <c r="MZ74" s="24"/>
      <c r="NA74" s="24"/>
      <c r="NB74" s="24"/>
      <c r="NC74" s="24"/>
      <c r="ND74" s="24"/>
      <c r="NE74" s="24"/>
      <c r="NF74" s="24"/>
      <c r="NG74" s="24"/>
      <c r="NH74" s="24"/>
      <c r="NI74" s="24"/>
      <c r="NJ74" s="22">
        <f t="array" aca="1" ref="NJ74" ca="1">SUMPRODUCT((OFFSET($A74,0,31*($A$3-1)+1,1,31)&lt;&gt;"")*(IF(OFFSET($A74,0,31*($A$3-1)+1,1,31)=Database!$K$11,0.5,IF(OFFSET($A74,0,31*($A$3-1)+1,1,31)=Database!$K$12,0.5,1))*(OFFSET($A$4,0,31*($A$3-1)+1,1,31))))</f>
        <v>0</v>
      </c>
      <c r="NK74" s="23">
        <f t="array" aca="1" ref="NK74" ca="1">SUMPRODUCT((OFFSET($A74,0,1,1,372)&lt;&gt;"")*(IF(OFFSET($A74,0,1,1,372)=Database!$K$11,0.5,IF(OFFSET($A74,0,1,1,372)=Database!$K$12,0.5,1))*(OFFSET($A$3,0,1,1,372))))</f>
        <v>0</v>
      </c>
      <c r="NL74" s="21">
        <f t="shared" ca="1" si="11"/>
        <v>0</v>
      </c>
      <c r="NM74" s="21">
        <f t="shared" ca="1" si="11"/>
        <v>0</v>
      </c>
      <c r="NN74" s="21">
        <f t="shared" ca="1" si="11"/>
        <v>0</v>
      </c>
      <c r="NO74" s="21">
        <f t="shared" ca="1" si="11"/>
        <v>0</v>
      </c>
      <c r="NP74" s="21">
        <f t="shared" ca="1" si="11"/>
        <v>0</v>
      </c>
      <c r="NQ74" s="21">
        <f t="shared" ca="1" si="11"/>
        <v>0</v>
      </c>
      <c r="NR74" s="21">
        <f t="shared" ca="1" si="11"/>
        <v>0</v>
      </c>
      <c r="NS74" s="21">
        <f t="shared" ca="1" si="11"/>
        <v>0</v>
      </c>
      <c r="NT74" s="21">
        <f t="shared" ca="1" si="11"/>
        <v>0</v>
      </c>
      <c r="NU74" s="21">
        <f t="shared" ca="1" si="11"/>
        <v>0</v>
      </c>
    </row>
    <row r="75" spans="1:385" ht="18" hidden="1" customHeight="1" outlineLevel="1" x14ac:dyDescent="0.25">
      <c r="A75" s="26"/>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c r="BE75" s="24"/>
      <c r="BF75" s="24"/>
      <c r="BG75" s="24"/>
      <c r="BH75" s="24"/>
      <c r="BI75" s="24"/>
      <c r="BJ75" s="24"/>
      <c r="BK75" s="24"/>
      <c r="BL75" s="24"/>
      <c r="BM75" s="24"/>
      <c r="BN75" s="24"/>
      <c r="BO75" s="24"/>
      <c r="BP75" s="24"/>
      <c r="BQ75" s="24"/>
      <c r="BR75" s="24"/>
      <c r="BS75" s="24"/>
      <c r="BT75" s="24"/>
      <c r="BU75" s="24"/>
      <c r="BV75" s="24"/>
      <c r="BW75" s="24"/>
      <c r="BX75" s="24"/>
      <c r="BY75" s="24"/>
      <c r="BZ75" s="24"/>
      <c r="CA75" s="24"/>
      <c r="CB75" s="24"/>
      <c r="CC75" s="24"/>
      <c r="CD75" s="24"/>
      <c r="CE75" s="24"/>
      <c r="CF75" s="24"/>
      <c r="CG75" s="24"/>
      <c r="CH75" s="24"/>
      <c r="CI75" s="24"/>
      <c r="CJ75" s="24"/>
      <c r="CK75" s="24"/>
      <c r="CL75" s="24"/>
      <c r="CM75" s="24"/>
      <c r="CN75" s="24"/>
      <c r="CO75" s="24"/>
      <c r="CP75" s="24"/>
      <c r="CQ75" s="24"/>
      <c r="CR75" s="24"/>
      <c r="CS75" s="24"/>
      <c r="CT75" s="24"/>
      <c r="CU75" s="24"/>
      <c r="CV75" s="24"/>
      <c r="CW75" s="24"/>
      <c r="CX75" s="24"/>
      <c r="CY75" s="24"/>
      <c r="CZ75" s="24"/>
      <c r="DA75" s="24"/>
      <c r="DB75" s="24"/>
      <c r="DC75" s="24"/>
      <c r="DD75" s="24"/>
      <c r="DE75" s="24"/>
      <c r="DF75" s="24"/>
      <c r="DG75" s="24"/>
      <c r="DH75" s="24"/>
      <c r="DI75" s="24"/>
      <c r="DJ75" s="24"/>
      <c r="DK75" s="24"/>
      <c r="DL75" s="24"/>
      <c r="DM75" s="24"/>
      <c r="DN75" s="24"/>
      <c r="DO75" s="24"/>
      <c r="DP75" s="24"/>
      <c r="DQ75" s="24"/>
      <c r="DR75" s="24"/>
      <c r="DS75" s="24"/>
      <c r="DT75" s="24"/>
      <c r="DU75" s="24"/>
      <c r="DV75" s="24"/>
      <c r="DW75" s="24"/>
      <c r="DX75" s="24"/>
      <c r="DY75" s="24"/>
      <c r="DZ75" s="24"/>
      <c r="EA75" s="24"/>
      <c r="EB75" s="24"/>
      <c r="EC75" s="24"/>
      <c r="ED75" s="24"/>
      <c r="EE75" s="24"/>
      <c r="EF75" s="24"/>
      <c r="EG75" s="24"/>
      <c r="EH75" s="24"/>
      <c r="EI75" s="24"/>
      <c r="EJ75" s="24"/>
      <c r="EK75" s="24"/>
      <c r="EL75" s="24"/>
      <c r="EM75" s="24"/>
      <c r="EN75" s="24"/>
      <c r="EO75" s="24"/>
      <c r="EP75" s="24"/>
      <c r="EQ75" s="24"/>
      <c r="ER75" s="24"/>
      <c r="ES75" s="24"/>
      <c r="ET75" s="24"/>
      <c r="EU75" s="24"/>
      <c r="EV75" s="24"/>
      <c r="EW75" s="24"/>
      <c r="EX75" s="24"/>
      <c r="EY75" s="24"/>
      <c r="EZ75" s="24"/>
      <c r="FA75" s="24"/>
      <c r="FB75" s="24"/>
      <c r="FC75" s="24"/>
      <c r="FD75" s="24"/>
      <c r="FE75" s="24"/>
      <c r="FF75" s="24"/>
      <c r="FG75" s="24"/>
      <c r="FH75" s="24"/>
      <c r="FI75" s="24"/>
      <c r="FJ75" s="24"/>
      <c r="FK75" s="24"/>
      <c r="FL75" s="24"/>
      <c r="FM75" s="24"/>
      <c r="FN75" s="24"/>
      <c r="FO75" s="24"/>
      <c r="FP75" s="24"/>
      <c r="FQ75" s="24"/>
      <c r="FR75" s="24"/>
      <c r="FS75" s="24"/>
      <c r="FT75" s="24"/>
      <c r="FU75" s="24"/>
      <c r="FV75" s="24"/>
      <c r="FW75" s="24"/>
      <c r="FX75" s="24"/>
      <c r="FY75" s="24"/>
      <c r="FZ75" s="24"/>
      <c r="GA75" s="24"/>
      <c r="GB75" s="24"/>
      <c r="GC75" s="24"/>
      <c r="GD75" s="24"/>
      <c r="GE75" s="24"/>
      <c r="GF75" s="24"/>
      <c r="GG75" s="24"/>
      <c r="GH75" s="24"/>
      <c r="GI75" s="24"/>
      <c r="GJ75" s="24"/>
      <c r="GK75" s="24"/>
      <c r="GL75" s="24"/>
      <c r="GM75" s="24"/>
      <c r="GN75" s="24"/>
      <c r="GO75" s="24"/>
      <c r="GP75" s="24"/>
      <c r="GQ75" s="24"/>
      <c r="GR75" s="24"/>
      <c r="GS75" s="24"/>
      <c r="GT75" s="24"/>
      <c r="GU75" s="24"/>
      <c r="GV75" s="24"/>
      <c r="GW75" s="24"/>
      <c r="GX75" s="24"/>
      <c r="GY75" s="24"/>
      <c r="GZ75" s="24"/>
      <c r="HA75" s="24"/>
      <c r="HB75" s="24"/>
      <c r="HC75" s="24"/>
      <c r="HD75" s="24"/>
      <c r="HE75" s="24"/>
      <c r="HF75" s="24"/>
      <c r="HG75" s="24"/>
      <c r="HH75" s="24"/>
      <c r="HI75" s="24"/>
      <c r="HJ75" s="24"/>
      <c r="HK75" s="24"/>
      <c r="HL75" s="24"/>
      <c r="HM75" s="24"/>
      <c r="HN75" s="24"/>
      <c r="HO75" s="24"/>
      <c r="HP75" s="24"/>
      <c r="HQ75" s="24"/>
      <c r="HR75" s="24"/>
      <c r="HS75" s="24"/>
      <c r="HT75" s="24"/>
      <c r="HU75" s="24"/>
      <c r="HV75" s="24"/>
      <c r="HW75" s="24"/>
      <c r="HX75" s="24"/>
      <c r="HY75" s="24"/>
      <c r="HZ75" s="24"/>
      <c r="IA75" s="24"/>
      <c r="IB75" s="24"/>
      <c r="IC75" s="24"/>
      <c r="ID75" s="24"/>
      <c r="IE75" s="24"/>
      <c r="IF75" s="24"/>
      <c r="IG75" s="24"/>
      <c r="IH75" s="24"/>
      <c r="II75" s="24"/>
      <c r="IJ75" s="24"/>
      <c r="IK75" s="24"/>
      <c r="IL75" s="24"/>
      <c r="IM75" s="24"/>
      <c r="IN75" s="24"/>
      <c r="IO75" s="24"/>
      <c r="IP75" s="24"/>
      <c r="IQ75" s="24"/>
      <c r="IR75" s="24"/>
      <c r="IS75" s="24"/>
      <c r="IT75" s="24"/>
      <c r="IU75" s="24"/>
      <c r="IV75" s="24"/>
      <c r="IW75" s="24"/>
      <c r="IX75" s="24"/>
      <c r="IY75" s="24"/>
      <c r="IZ75" s="24"/>
      <c r="JA75" s="24"/>
      <c r="JB75" s="24"/>
      <c r="JC75" s="24"/>
      <c r="JD75" s="24"/>
      <c r="JE75" s="24"/>
      <c r="JF75" s="24"/>
      <c r="JG75" s="24"/>
      <c r="JH75" s="24"/>
      <c r="JI75" s="24"/>
      <c r="JJ75" s="24"/>
      <c r="JK75" s="24"/>
      <c r="JL75" s="24"/>
      <c r="JM75" s="24"/>
      <c r="JN75" s="24"/>
      <c r="JO75" s="24"/>
      <c r="JP75" s="24"/>
      <c r="JQ75" s="24"/>
      <c r="JR75" s="24"/>
      <c r="JS75" s="24"/>
      <c r="JT75" s="24"/>
      <c r="JU75" s="24"/>
      <c r="JV75" s="24"/>
      <c r="JW75" s="24"/>
      <c r="JX75" s="24"/>
      <c r="JY75" s="24"/>
      <c r="JZ75" s="24"/>
      <c r="KA75" s="24"/>
      <c r="KB75" s="24"/>
      <c r="KC75" s="24"/>
      <c r="KD75" s="24"/>
      <c r="KE75" s="24"/>
      <c r="KF75" s="24"/>
      <c r="KG75" s="24"/>
      <c r="KH75" s="24"/>
      <c r="KI75" s="24"/>
      <c r="KJ75" s="24"/>
      <c r="KK75" s="24"/>
      <c r="KL75" s="24"/>
      <c r="KM75" s="24"/>
      <c r="KN75" s="24"/>
      <c r="KO75" s="24"/>
      <c r="KP75" s="24"/>
      <c r="KQ75" s="24"/>
      <c r="KR75" s="24"/>
      <c r="KS75" s="24"/>
      <c r="KT75" s="24"/>
      <c r="KU75" s="24"/>
      <c r="KV75" s="24"/>
      <c r="KW75" s="24"/>
      <c r="KX75" s="24"/>
      <c r="KY75" s="24"/>
      <c r="KZ75" s="24"/>
      <c r="LA75" s="24"/>
      <c r="LB75" s="24"/>
      <c r="LC75" s="24"/>
      <c r="LD75" s="24"/>
      <c r="LE75" s="24"/>
      <c r="LF75" s="24"/>
      <c r="LG75" s="24"/>
      <c r="LH75" s="24"/>
      <c r="LI75" s="24"/>
      <c r="LJ75" s="24"/>
      <c r="LK75" s="24"/>
      <c r="LL75" s="24"/>
      <c r="LM75" s="24"/>
      <c r="LN75" s="24"/>
      <c r="LO75" s="24"/>
      <c r="LP75" s="24"/>
      <c r="LQ75" s="24"/>
      <c r="LR75" s="24"/>
      <c r="LS75" s="24"/>
      <c r="LT75" s="24"/>
      <c r="LU75" s="24"/>
      <c r="LV75" s="24"/>
      <c r="LW75" s="24"/>
      <c r="LX75" s="24"/>
      <c r="LY75" s="24"/>
      <c r="LZ75" s="24"/>
      <c r="MA75" s="24"/>
      <c r="MB75" s="24"/>
      <c r="MC75" s="24"/>
      <c r="MD75" s="24"/>
      <c r="ME75" s="24"/>
      <c r="MF75" s="24"/>
      <c r="MG75" s="24"/>
      <c r="MH75" s="24"/>
      <c r="MI75" s="24"/>
      <c r="MJ75" s="24"/>
      <c r="MK75" s="24"/>
      <c r="ML75" s="24"/>
      <c r="MM75" s="24"/>
      <c r="MN75" s="24"/>
      <c r="MO75" s="24"/>
      <c r="MP75" s="24"/>
      <c r="MQ75" s="24"/>
      <c r="MR75" s="24"/>
      <c r="MS75" s="24"/>
      <c r="MT75" s="24"/>
      <c r="MU75" s="24"/>
      <c r="MV75" s="24"/>
      <c r="MW75" s="24"/>
      <c r="MX75" s="24"/>
      <c r="MY75" s="24"/>
      <c r="MZ75" s="24"/>
      <c r="NA75" s="24"/>
      <c r="NB75" s="24"/>
      <c r="NC75" s="24"/>
      <c r="ND75" s="24"/>
      <c r="NE75" s="24"/>
      <c r="NF75" s="24"/>
      <c r="NG75" s="24"/>
      <c r="NH75" s="24"/>
      <c r="NI75" s="24"/>
      <c r="NJ75" s="22">
        <f t="array" aca="1" ref="NJ75" ca="1">SUMPRODUCT((OFFSET($A75,0,31*($A$3-1)+1,1,31)&lt;&gt;"")*(IF(OFFSET($A75,0,31*($A$3-1)+1,1,31)=Database!$K$11,0.5,IF(OFFSET($A75,0,31*($A$3-1)+1,1,31)=Database!$K$12,0.5,1))*(OFFSET($A$4,0,31*($A$3-1)+1,1,31))))</f>
        <v>0</v>
      </c>
      <c r="NK75" s="23">
        <f t="array" aca="1" ref="NK75" ca="1">SUMPRODUCT((OFFSET($A75,0,1,1,372)&lt;&gt;"")*(IF(OFFSET($A75,0,1,1,372)=Database!$K$11,0.5,IF(OFFSET($A75,0,1,1,372)=Database!$K$12,0.5,1))*(OFFSET($A$3,0,1,1,372))))</f>
        <v>0</v>
      </c>
      <c r="NL75" s="21">
        <f t="shared" ca="1" si="11"/>
        <v>0</v>
      </c>
      <c r="NM75" s="21">
        <f t="shared" ca="1" si="11"/>
        <v>0</v>
      </c>
      <c r="NN75" s="21">
        <f t="shared" ca="1" si="11"/>
        <v>0</v>
      </c>
      <c r="NO75" s="21">
        <f t="shared" ca="1" si="11"/>
        <v>0</v>
      </c>
      <c r="NP75" s="21">
        <f t="shared" ca="1" si="11"/>
        <v>0</v>
      </c>
      <c r="NQ75" s="21">
        <f t="shared" ca="1" si="11"/>
        <v>0</v>
      </c>
      <c r="NR75" s="21">
        <f t="shared" ca="1" si="11"/>
        <v>0</v>
      </c>
      <c r="NS75" s="21">
        <f t="shared" ca="1" si="11"/>
        <v>0</v>
      </c>
      <c r="NT75" s="21">
        <f t="shared" ca="1" si="11"/>
        <v>0</v>
      </c>
      <c r="NU75" s="21">
        <f t="shared" ca="1" si="11"/>
        <v>0</v>
      </c>
    </row>
    <row r="76" spans="1:385" ht="18" hidden="1" customHeight="1" outlineLevel="1" x14ac:dyDescent="0.25">
      <c r="A76" s="26"/>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c r="BE76" s="24"/>
      <c r="BF76" s="24"/>
      <c r="BG76" s="24"/>
      <c r="BH76" s="24"/>
      <c r="BI76" s="24"/>
      <c r="BJ76" s="24"/>
      <c r="BK76" s="24"/>
      <c r="BL76" s="24"/>
      <c r="BM76" s="24"/>
      <c r="BN76" s="24"/>
      <c r="BO76" s="24"/>
      <c r="BP76" s="24"/>
      <c r="BQ76" s="24"/>
      <c r="BR76" s="24"/>
      <c r="BS76" s="24"/>
      <c r="BT76" s="24"/>
      <c r="BU76" s="24"/>
      <c r="BV76" s="24"/>
      <c r="BW76" s="24"/>
      <c r="BX76" s="24"/>
      <c r="BY76" s="24"/>
      <c r="BZ76" s="24"/>
      <c r="CA76" s="24"/>
      <c r="CB76" s="24"/>
      <c r="CC76" s="24"/>
      <c r="CD76" s="24"/>
      <c r="CE76" s="24"/>
      <c r="CF76" s="24"/>
      <c r="CG76" s="24"/>
      <c r="CH76" s="24"/>
      <c r="CI76" s="24"/>
      <c r="CJ76" s="24"/>
      <c r="CK76" s="24"/>
      <c r="CL76" s="24"/>
      <c r="CM76" s="24"/>
      <c r="CN76" s="24"/>
      <c r="CO76" s="24"/>
      <c r="CP76" s="24"/>
      <c r="CQ76" s="24"/>
      <c r="CR76" s="24"/>
      <c r="CS76" s="24"/>
      <c r="CT76" s="24"/>
      <c r="CU76" s="24"/>
      <c r="CV76" s="24"/>
      <c r="CW76" s="24"/>
      <c r="CX76" s="24"/>
      <c r="CY76" s="24"/>
      <c r="CZ76" s="24"/>
      <c r="DA76" s="24"/>
      <c r="DB76" s="24"/>
      <c r="DC76" s="24"/>
      <c r="DD76" s="24"/>
      <c r="DE76" s="24"/>
      <c r="DF76" s="24"/>
      <c r="DG76" s="24"/>
      <c r="DH76" s="24"/>
      <c r="DI76" s="24"/>
      <c r="DJ76" s="24"/>
      <c r="DK76" s="24"/>
      <c r="DL76" s="24"/>
      <c r="DM76" s="24"/>
      <c r="DN76" s="24"/>
      <c r="DO76" s="24"/>
      <c r="DP76" s="24"/>
      <c r="DQ76" s="24"/>
      <c r="DR76" s="24"/>
      <c r="DS76" s="24"/>
      <c r="DT76" s="24"/>
      <c r="DU76" s="24"/>
      <c r="DV76" s="24"/>
      <c r="DW76" s="24"/>
      <c r="DX76" s="24"/>
      <c r="DY76" s="24"/>
      <c r="DZ76" s="24"/>
      <c r="EA76" s="24"/>
      <c r="EB76" s="24"/>
      <c r="EC76" s="24"/>
      <c r="ED76" s="24"/>
      <c r="EE76" s="24"/>
      <c r="EF76" s="24"/>
      <c r="EG76" s="24"/>
      <c r="EH76" s="24"/>
      <c r="EI76" s="24"/>
      <c r="EJ76" s="24"/>
      <c r="EK76" s="24"/>
      <c r="EL76" s="24"/>
      <c r="EM76" s="24"/>
      <c r="EN76" s="24"/>
      <c r="EO76" s="24"/>
      <c r="EP76" s="24"/>
      <c r="EQ76" s="24"/>
      <c r="ER76" s="24"/>
      <c r="ES76" s="24"/>
      <c r="ET76" s="24"/>
      <c r="EU76" s="24"/>
      <c r="EV76" s="24"/>
      <c r="EW76" s="24"/>
      <c r="EX76" s="24"/>
      <c r="EY76" s="24"/>
      <c r="EZ76" s="24"/>
      <c r="FA76" s="24"/>
      <c r="FB76" s="24"/>
      <c r="FC76" s="24"/>
      <c r="FD76" s="24"/>
      <c r="FE76" s="24"/>
      <c r="FF76" s="24"/>
      <c r="FG76" s="24"/>
      <c r="FH76" s="24"/>
      <c r="FI76" s="24"/>
      <c r="FJ76" s="24"/>
      <c r="FK76" s="24"/>
      <c r="FL76" s="24"/>
      <c r="FM76" s="24"/>
      <c r="FN76" s="24"/>
      <c r="FO76" s="24"/>
      <c r="FP76" s="24"/>
      <c r="FQ76" s="24"/>
      <c r="FR76" s="24"/>
      <c r="FS76" s="24"/>
      <c r="FT76" s="24"/>
      <c r="FU76" s="24"/>
      <c r="FV76" s="24"/>
      <c r="FW76" s="24"/>
      <c r="FX76" s="24"/>
      <c r="FY76" s="24"/>
      <c r="FZ76" s="24"/>
      <c r="GA76" s="24"/>
      <c r="GB76" s="24"/>
      <c r="GC76" s="24"/>
      <c r="GD76" s="24"/>
      <c r="GE76" s="24"/>
      <c r="GF76" s="24"/>
      <c r="GG76" s="24"/>
      <c r="GH76" s="24"/>
      <c r="GI76" s="24"/>
      <c r="GJ76" s="24"/>
      <c r="GK76" s="24"/>
      <c r="GL76" s="24"/>
      <c r="GM76" s="24"/>
      <c r="GN76" s="24"/>
      <c r="GO76" s="24"/>
      <c r="GP76" s="24"/>
      <c r="GQ76" s="24"/>
      <c r="GR76" s="24"/>
      <c r="GS76" s="24"/>
      <c r="GT76" s="24"/>
      <c r="GU76" s="24"/>
      <c r="GV76" s="24"/>
      <c r="GW76" s="24"/>
      <c r="GX76" s="24"/>
      <c r="GY76" s="24"/>
      <c r="GZ76" s="24"/>
      <c r="HA76" s="24"/>
      <c r="HB76" s="24"/>
      <c r="HC76" s="24"/>
      <c r="HD76" s="24"/>
      <c r="HE76" s="24"/>
      <c r="HF76" s="24"/>
      <c r="HG76" s="24"/>
      <c r="HH76" s="24"/>
      <c r="HI76" s="24"/>
      <c r="HJ76" s="24"/>
      <c r="HK76" s="24"/>
      <c r="HL76" s="24"/>
      <c r="HM76" s="24"/>
      <c r="HN76" s="24"/>
      <c r="HO76" s="24"/>
      <c r="HP76" s="24"/>
      <c r="HQ76" s="24"/>
      <c r="HR76" s="24"/>
      <c r="HS76" s="24"/>
      <c r="HT76" s="24"/>
      <c r="HU76" s="24"/>
      <c r="HV76" s="24"/>
      <c r="HW76" s="24"/>
      <c r="HX76" s="24"/>
      <c r="HY76" s="24"/>
      <c r="HZ76" s="24"/>
      <c r="IA76" s="24"/>
      <c r="IB76" s="24"/>
      <c r="IC76" s="24"/>
      <c r="ID76" s="24"/>
      <c r="IE76" s="24"/>
      <c r="IF76" s="24"/>
      <c r="IG76" s="24"/>
      <c r="IH76" s="24"/>
      <c r="II76" s="24"/>
      <c r="IJ76" s="24"/>
      <c r="IK76" s="24"/>
      <c r="IL76" s="24"/>
      <c r="IM76" s="24"/>
      <c r="IN76" s="24"/>
      <c r="IO76" s="24"/>
      <c r="IP76" s="24"/>
      <c r="IQ76" s="24"/>
      <c r="IR76" s="24"/>
      <c r="IS76" s="24"/>
      <c r="IT76" s="24"/>
      <c r="IU76" s="24"/>
      <c r="IV76" s="24"/>
      <c r="IW76" s="24"/>
      <c r="IX76" s="24"/>
      <c r="IY76" s="24"/>
      <c r="IZ76" s="24"/>
      <c r="JA76" s="24"/>
      <c r="JB76" s="24"/>
      <c r="JC76" s="24"/>
      <c r="JD76" s="24"/>
      <c r="JE76" s="24"/>
      <c r="JF76" s="24"/>
      <c r="JG76" s="24"/>
      <c r="JH76" s="24"/>
      <c r="JI76" s="24"/>
      <c r="JJ76" s="24"/>
      <c r="JK76" s="24"/>
      <c r="JL76" s="24"/>
      <c r="JM76" s="24"/>
      <c r="JN76" s="24"/>
      <c r="JO76" s="24"/>
      <c r="JP76" s="24"/>
      <c r="JQ76" s="24"/>
      <c r="JR76" s="24"/>
      <c r="JS76" s="24"/>
      <c r="JT76" s="24"/>
      <c r="JU76" s="24"/>
      <c r="JV76" s="24"/>
      <c r="JW76" s="24"/>
      <c r="JX76" s="24"/>
      <c r="JY76" s="24"/>
      <c r="JZ76" s="24"/>
      <c r="KA76" s="24"/>
      <c r="KB76" s="24"/>
      <c r="KC76" s="24"/>
      <c r="KD76" s="24"/>
      <c r="KE76" s="24"/>
      <c r="KF76" s="24"/>
      <c r="KG76" s="24"/>
      <c r="KH76" s="24"/>
      <c r="KI76" s="24"/>
      <c r="KJ76" s="24"/>
      <c r="KK76" s="24"/>
      <c r="KL76" s="24"/>
      <c r="KM76" s="24"/>
      <c r="KN76" s="24"/>
      <c r="KO76" s="24"/>
      <c r="KP76" s="24"/>
      <c r="KQ76" s="24"/>
      <c r="KR76" s="24"/>
      <c r="KS76" s="24"/>
      <c r="KT76" s="24"/>
      <c r="KU76" s="24"/>
      <c r="KV76" s="24"/>
      <c r="KW76" s="24"/>
      <c r="KX76" s="24"/>
      <c r="KY76" s="24"/>
      <c r="KZ76" s="24"/>
      <c r="LA76" s="24"/>
      <c r="LB76" s="24"/>
      <c r="LC76" s="24"/>
      <c r="LD76" s="24"/>
      <c r="LE76" s="24"/>
      <c r="LF76" s="24"/>
      <c r="LG76" s="24"/>
      <c r="LH76" s="24"/>
      <c r="LI76" s="24"/>
      <c r="LJ76" s="24"/>
      <c r="LK76" s="24"/>
      <c r="LL76" s="24"/>
      <c r="LM76" s="24"/>
      <c r="LN76" s="24"/>
      <c r="LO76" s="24"/>
      <c r="LP76" s="24"/>
      <c r="LQ76" s="24"/>
      <c r="LR76" s="24"/>
      <c r="LS76" s="24"/>
      <c r="LT76" s="24"/>
      <c r="LU76" s="24"/>
      <c r="LV76" s="24"/>
      <c r="LW76" s="24"/>
      <c r="LX76" s="24"/>
      <c r="LY76" s="24"/>
      <c r="LZ76" s="24"/>
      <c r="MA76" s="24"/>
      <c r="MB76" s="24"/>
      <c r="MC76" s="24"/>
      <c r="MD76" s="24"/>
      <c r="ME76" s="24"/>
      <c r="MF76" s="24"/>
      <c r="MG76" s="24"/>
      <c r="MH76" s="24"/>
      <c r="MI76" s="24"/>
      <c r="MJ76" s="24"/>
      <c r="MK76" s="24"/>
      <c r="ML76" s="24"/>
      <c r="MM76" s="24"/>
      <c r="MN76" s="24"/>
      <c r="MO76" s="24"/>
      <c r="MP76" s="24"/>
      <c r="MQ76" s="24"/>
      <c r="MR76" s="24"/>
      <c r="MS76" s="24"/>
      <c r="MT76" s="24"/>
      <c r="MU76" s="24"/>
      <c r="MV76" s="24"/>
      <c r="MW76" s="24"/>
      <c r="MX76" s="24"/>
      <c r="MY76" s="24"/>
      <c r="MZ76" s="24"/>
      <c r="NA76" s="24"/>
      <c r="NB76" s="24"/>
      <c r="NC76" s="24"/>
      <c r="ND76" s="24"/>
      <c r="NE76" s="24"/>
      <c r="NF76" s="24"/>
      <c r="NG76" s="24"/>
      <c r="NH76" s="24"/>
      <c r="NI76" s="24"/>
      <c r="NJ76" s="22">
        <f t="array" aca="1" ref="NJ76" ca="1">SUMPRODUCT((OFFSET($A76,0,31*($A$3-1)+1,1,31)&lt;&gt;"")*(IF(OFFSET($A76,0,31*($A$3-1)+1,1,31)=Database!$K$11,0.5,IF(OFFSET($A76,0,31*($A$3-1)+1,1,31)=Database!$K$12,0.5,1))*(OFFSET($A$4,0,31*($A$3-1)+1,1,31))))</f>
        <v>0</v>
      </c>
      <c r="NK76" s="23">
        <f t="array" aca="1" ref="NK76" ca="1">SUMPRODUCT((OFFSET($A76,0,1,1,372)&lt;&gt;"")*(IF(OFFSET($A76,0,1,1,372)=Database!$K$11,0.5,IF(OFFSET($A76,0,1,1,372)=Database!$K$12,0.5,1))*(OFFSET($A$3,0,1,1,372))))</f>
        <v>0</v>
      </c>
      <c r="NL76" s="21">
        <f t="shared" ca="1" si="11"/>
        <v>0</v>
      </c>
      <c r="NM76" s="21">
        <f t="shared" ca="1" si="11"/>
        <v>0</v>
      </c>
      <c r="NN76" s="21">
        <f t="shared" ca="1" si="11"/>
        <v>0</v>
      </c>
      <c r="NO76" s="21">
        <f t="shared" ca="1" si="11"/>
        <v>0</v>
      </c>
      <c r="NP76" s="21">
        <f t="shared" ca="1" si="11"/>
        <v>0</v>
      </c>
      <c r="NQ76" s="21">
        <f t="shared" ca="1" si="11"/>
        <v>0</v>
      </c>
      <c r="NR76" s="21">
        <f t="shared" ca="1" si="11"/>
        <v>0</v>
      </c>
      <c r="NS76" s="21">
        <f t="shared" ca="1" si="11"/>
        <v>0</v>
      </c>
      <c r="NT76" s="21">
        <f t="shared" ca="1" si="11"/>
        <v>0</v>
      </c>
      <c r="NU76" s="21">
        <f t="shared" ca="1" si="11"/>
        <v>0</v>
      </c>
    </row>
    <row r="77" spans="1:385" ht="18" hidden="1" customHeight="1" outlineLevel="1" x14ac:dyDescent="0.25">
      <c r="A77" s="26"/>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c r="BE77" s="24"/>
      <c r="BF77" s="24"/>
      <c r="BG77" s="24"/>
      <c r="BH77" s="24"/>
      <c r="BI77" s="24"/>
      <c r="BJ77" s="24"/>
      <c r="BK77" s="24"/>
      <c r="BL77" s="24"/>
      <c r="BM77" s="24"/>
      <c r="BN77" s="24"/>
      <c r="BO77" s="24"/>
      <c r="BP77" s="24"/>
      <c r="BQ77" s="24"/>
      <c r="BR77" s="24"/>
      <c r="BS77" s="24"/>
      <c r="BT77" s="24"/>
      <c r="BU77" s="24"/>
      <c r="BV77" s="24"/>
      <c r="BW77" s="24"/>
      <c r="BX77" s="24"/>
      <c r="BY77" s="24"/>
      <c r="BZ77" s="24"/>
      <c r="CA77" s="24"/>
      <c r="CB77" s="24"/>
      <c r="CC77" s="24"/>
      <c r="CD77" s="24"/>
      <c r="CE77" s="24"/>
      <c r="CF77" s="24"/>
      <c r="CG77" s="24"/>
      <c r="CH77" s="24"/>
      <c r="CI77" s="24"/>
      <c r="CJ77" s="24"/>
      <c r="CK77" s="24"/>
      <c r="CL77" s="24"/>
      <c r="CM77" s="24"/>
      <c r="CN77" s="24"/>
      <c r="CO77" s="24"/>
      <c r="CP77" s="24"/>
      <c r="CQ77" s="24"/>
      <c r="CR77" s="24"/>
      <c r="CS77" s="24"/>
      <c r="CT77" s="24"/>
      <c r="CU77" s="24"/>
      <c r="CV77" s="24"/>
      <c r="CW77" s="24"/>
      <c r="CX77" s="24"/>
      <c r="CY77" s="24"/>
      <c r="CZ77" s="24"/>
      <c r="DA77" s="24"/>
      <c r="DB77" s="24"/>
      <c r="DC77" s="24"/>
      <c r="DD77" s="24"/>
      <c r="DE77" s="24"/>
      <c r="DF77" s="24"/>
      <c r="DG77" s="24"/>
      <c r="DH77" s="24"/>
      <c r="DI77" s="24"/>
      <c r="DJ77" s="24"/>
      <c r="DK77" s="24"/>
      <c r="DL77" s="24"/>
      <c r="DM77" s="24"/>
      <c r="DN77" s="24"/>
      <c r="DO77" s="24"/>
      <c r="DP77" s="24"/>
      <c r="DQ77" s="24"/>
      <c r="DR77" s="24"/>
      <c r="DS77" s="24"/>
      <c r="DT77" s="24"/>
      <c r="DU77" s="24"/>
      <c r="DV77" s="24"/>
      <c r="DW77" s="24"/>
      <c r="DX77" s="24"/>
      <c r="DY77" s="24"/>
      <c r="DZ77" s="24"/>
      <c r="EA77" s="24"/>
      <c r="EB77" s="24"/>
      <c r="EC77" s="24"/>
      <c r="ED77" s="24"/>
      <c r="EE77" s="24"/>
      <c r="EF77" s="24"/>
      <c r="EG77" s="24"/>
      <c r="EH77" s="24"/>
      <c r="EI77" s="24"/>
      <c r="EJ77" s="24"/>
      <c r="EK77" s="24"/>
      <c r="EL77" s="24"/>
      <c r="EM77" s="24"/>
      <c r="EN77" s="24"/>
      <c r="EO77" s="24"/>
      <c r="EP77" s="24"/>
      <c r="EQ77" s="24"/>
      <c r="ER77" s="24"/>
      <c r="ES77" s="24"/>
      <c r="ET77" s="24"/>
      <c r="EU77" s="24"/>
      <c r="EV77" s="24"/>
      <c r="EW77" s="24"/>
      <c r="EX77" s="24"/>
      <c r="EY77" s="24"/>
      <c r="EZ77" s="24"/>
      <c r="FA77" s="24"/>
      <c r="FB77" s="24"/>
      <c r="FC77" s="24"/>
      <c r="FD77" s="24"/>
      <c r="FE77" s="24"/>
      <c r="FF77" s="24"/>
      <c r="FG77" s="24"/>
      <c r="FH77" s="24"/>
      <c r="FI77" s="24"/>
      <c r="FJ77" s="24"/>
      <c r="FK77" s="24"/>
      <c r="FL77" s="24"/>
      <c r="FM77" s="24"/>
      <c r="FN77" s="24"/>
      <c r="FO77" s="24"/>
      <c r="FP77" s="24"/>
      <c r="FQ77" s="24"/>
      <c r="FR77" s="24"/>
      <c r="FS77" s="24"/>
      <c r="FT77" s="24"/>
      <c r="FU77" s="24"/>
      <c r="FV77" s="24"/>
      <c r="FW77" s="24"/>
      <c r="FX77" s="24"/>
      <c r="FY77" s="24"/>
      <c r="FZ77" s="24"/>
      <c r="GA77" s="24"/>
      <c r="GB77" s="24"/>
      <c r="GC77" s="24"/>
      <c r="GD77" s="24"/>
      <c r="GE77" s="24"/>
      <c r="GF77" s="24"/>
      <c r="GG77" s="24"/>
      <c r="GH77" s="24"/>
      <c r="GI77" s="24"/>
      <c r="GJ77" s="24"/>
      <c r="GK77" s="24"/>
      <c r="GL77" s="24"/>
      <c r="GM77" s="24"/>
      <c r="GN77" s="24"/>
      <c r="GO77" s="24"/>
      <c r="GP77" s="24"/>
      <c r="GQ77" s="24"/>
      <c r="GR77" s="24"/>
      <c r="GS77" s="24"/>
      <c r="GT77" s="24"/>
      <c r="GU77" s="24"/>
      <c r="GV77" s="24"/>
      <c r="GW77" s="24"/>
      <c r="GX77" s="24"/>
      <c r="GY77" s="24"/>
      <c r="GZ77" s="24"/>
      <c r="HA77" s="24"/>
      <c r="HB77" s="24"/>
      <c r="HC77" s="24"/>
      <c r="HD77" s="24"/>
      <c r="HE77" s="24"/>
      <c r="HF77" s="24"/>
      <c r="HG77" s="24"/>
      <c r="HH77" s="24"/>
      <c r="HI77" s="24"/>
      <c r="HJ77" s="24"/>
      <c r="HK77" s="24"/>
      <c r="HL77" s="24"/>
      <c r="HM77" s="24"/>
      <c r="HN77" s="24"/>
      <c r="HO77" s="24"/>
      <c r="HP77" s="24"/>
      <c r="HQ77" s="24"/>
      <c r="HR77" s="24"/>
      <c r="HS77" s="24"/>
      <c r="HT77" s="24"/>
      <c r="HU77" s="24"/>
      <c r="HV77" s="24"/>
      <c r="HW77" s="24"/>
      <c r="HX77" s="24"/>
      <c r="HY77" s="24"/>
      <c r="HZ77" s="24"/>
      <c r="IA77" s="24"/>
      <c r="IB77" s="24"/>
      <c r="IC77" s="24"/>
      <c r="ID77" s="24"/>
      <c r="IE77" s="24"/>
      <c r="IF77" s="24"/>
      <c r="IG77" s="24"/>
      <c r="IH77" s="24"/>
      <c r="II77" s="24"/>
      <c r="IJ77" s="24"/>
      <c r="IK77" s="24"/>
      <c r="IL77" s="24"/>
      <c r="IM77" s="24"/>
      <c r="IN77" s="24"/>
      <c r="IO77" s="24"/>
      <c r="IP77" s="24"/>
      <c r="IQ77" s="24"/>
      <c r="IR77" s="24"/>
      <c r="IS77" s="24"/>
      <c r="IT77" s="24"/>
      <c r="IU77" s="24"/>
      <c r="IV77" s="24"/>
      <c r="IW77" s="24"/>
      <c r="IX77" s="24"/>
      <c r="IY77" s="24"/>
      <c r="IZ77" s="24"/>
      <c r="JA77" s="24"/>
      <c r="JB77" s="24"/>
      <c r="JC77" s="24"/>
      <c r="JD77" s="24"/>
      <c r="JE77" s="24"/>
      <c r="JF77" s="24"/>
      <c r="JG77" s="24"/>
      <c r="JH77" s="24"/>
      <c r="JI77" s="24"/>
      <c r="JJ77" s="24"/>
      <c r="JK77" s="24"/>
      <c r="JL77" s="24"/>
      <c r="JM77" s="24"/>
      <c r="JN77" s="24"/>
      <c r="JO77" s="24"/>
      <c r="JP77" s="24"/>
      <c r="JQ77" s="24"/>
      <c r="JR77" s="24"/>
      <c r="JS77" s="24"/>
      <c r="JT77" s="24"/>
      <c r="JU77" s="24"/>
      <c r="JV77" s="24"/>
      <c r="JW77" s="24"/>
      <c r="JX77" s="24"/>
      <c r="JY77" s="24"/>
      <c r="JZ77" s="24"/>
      <c r="KA77" s="24"/>
      <c r="KB77" s="24"/>
      <c r="KC77" s="24"/>
      <c r="KD77" s="24"/>
      <c r="KE77" s="24"/>
      <c r="KF77" s="24"/>
      <c r="KG77" s="24"/>
      <c r="KH77" s="24"/>
      <c r="KI77" s="24"/>
      <c r="KJ77" s="24"/>
      <c r="KK77" s="24"/>
      <c r="KL77" s="24"/>
      <c r="KM77" s="24"/>
      <c r="KN77" s="24"/>
      <c r="KO77" s="24"/>
      <c r="KP77" s="24"/>
      <c r="KQ77" s="24"/>
      <c r="KR77" s="24"/>
      <c r="KS77" s="24"/>
      <c r="KT77" s="24"/>
      <c r="KU77" s="24"/>
      <c r="KV77" s="24"/>
      <c r="KW77" s="24"/>
      <c r="KX77" s="24"/>
      <c r="KY77" s="24"/>
      <c r="KZ77" s="24"/>
      <c r="LA77" s="24"/>
      <c r="LB77" s="24"/>
      <c r="LC77" s="24"/>
      <c r="LD77" s="24"/>
      <c r="LE77" s="24"/>
      <c r="LF77" s="24"/>
      <c r="LG77" s="24"/>
      <c r="LH77" s="24"/>
      <c r="LI77" s="24"/>
      <c r="LJ77" s="24"/>
      <c r="LK77" s="24"/>
      <c r="LL77" s="24"/>
      <c r="LM77" s="24"/>
      <c r="LN77" s="24"/>
      <c r="LO77" s="24"/>
      <c r="LP77" s="24"/>
      <c r="LQ77" s="24"/>
      <c r="LR77" s="24"/>
      <c r="LS77" s="24"/>
      <c r="LT77" s="24"/>
      <c r="LU77" s="24"/>
      <c r="LV77" s="24"/>
      <c r="LW77" s="24"/>
      <c r="LX77" s="24"/>
      <c r="LY77" s="24"/>
      <c r="LZ77" s="24"/>
      <c r="MA77" s="24"/>
      <c r="MB77" s="24"/>
      <c r="MC77" s="24"/>
      <c r="MD77" s="24"/>
      <c r="ME77" s="24"/>
      <c r="MF77" s="24"/>
      <c r="MG77" s="24"/>
      <c r="MH77" s="24"/>
      <c r="MI77" s="24"/>
      <c r="MJ77" s="24"/>
      <c r="MK77" s="24"/>
      <c r="ML77" s="24"/>
      <c r="MM77" s="24"/>
      <c r="MN77" s="24"/>
      <c r="MO77" s="24"/>
      <c r="MP77" s="24"/>
      <c r="MQ77" s="24"/>
      <c r="MR77" s="24"/>
      <c r="MS77" s="24"/>
      <c r="MT77" s="24"/>
      <c r="MU77" s="24"/>
      <c r="MV77" s="24"/>
      <c r="MW77" s="24"/>
      <c r="MX77" s="24"/>
      <c r="MY77" s="24"/>
      <c r="MZ77" s="24"/>
      <c r="NA77" s="24"/>
      <c r="NB77" s="24"/>
      <c r="NC77" s="24"/>
      <c r="ND77" s="24"/>
      <c r="NE77" s="24"/>
      <c r="NF77" s="24"/>
      <c r="NG77" s="24"/>
      <c r="NH77" s="24"/>
      <c r="NI77" s="24"/>
      <c r="NJ77" s="22">
        <f t="array" aca="1" ref="NJ77" ca="1">SUMPRODUCT((OFFSET($A77,0,31*($A$3-1)+1,1,31)&lt;&gt;"")*(IF(OFFSET($A77,0,31*($A$3-1)+1,1,31)=Database!$K$11,0.5,IF(OFFSET($A77,0,31*($A$3-1)+1,1,31)=Database!$K$12,0.5,1))*(OFFSET($A$4,0,31*($A$3-1)+1,1,31))))</f>
        <v>0</v>
      </c>
      <c r="NK77" s="23">
        <f t="array" aca="1" ref="NK77" ca="1">SUMPRODUCT((OFFSET($A77,0,1,1,372)&lt;&gt;"")*(IF(OFFSET($A77,0,1,1,372)=Database!$K$11,0.5,IF(OFFSET($A77,0,1,1,372)=Database!$K$12,0.5,1))*(OFFSET($A$3,0,1,1,372))))</f>
        <v>0</v>
      </c>
      <c r="NL77" s="21">
        <f t="shared" ca="1" si="11"/>
        <v>0</v>
      </c>
      <c r="NM77" s="21">
        <f t="shared" ca="1" si="11"/>
        <v>0</v>
      </c>
      <c r="NN77" s="21">
        <f t="shared" ca="1" si="11"/>
        <v>0</v>
      </c>
      <c r="NO77" s="21">
        <f t="shared" ca="1" si="11"/>
        <v>0</v>
      </c>
      <c r="NP77" s="21">
        <f t="shared" ca="1" si="11"/>
        <v>0</v>
      </c>
      <c r="NQ77" s="21">
        <f t="shared" ca="1" si="11"/>
        <v>0</v>
      </c>
      <c r="NR77" s="21">
        <f t="shared" ca="1" si="11"/>
        <v>0</v>
      </c>
      <c r="NS77" s="21">
        <f t="shared" ca="1" si="11"/>
        <v>0</v>
      </c>
      <c r="NT77" s="21">
        <f t="shared" ca="1" si="11"/>
        <v>0</v>
      </c>
      <c r="NU77" s="21">
        <f t="shared" ca="1" si="11"/>
        <v>0</v>
      </c>
    </row>
    <row r="78" spans="1:385" ht="18" hidden="1" customHeight="1" outlineLevel="1" x14ac:dyDescent="0.25">
      <c r="A78" s="26"/>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c r="BE78" s="24"/>
      <c r="BF78" s="24"/>
      <c r="BG78" s="24"/>
      <c r="BH78" s="24"/>
      <c r="BI78" s="24"/>
      <c r="BJ78" s="24"/>
      <c r="BK78" s="24"/>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4"/>
      <c r="DA78" s="24"/>
      <c r="DB78" s="24"/>
      <c r="DC78" s="24"/>
      <c r="DD78" s="24"/>
      <c r="DE78" s="24"/>
      <c r="DF78" s="24"/>
      <c r="DG78" s="24"/>
      <c r="DH78" s="24"/>
      <c r="DI78" s="24"/>
      <c r="DJ78" s="24"/>
      <c r="DK78" s="24"/>
      <c r="DL78" s="24"/>
      <c r="DM78" s="24"/>
      <c r="DN78" s="24"/>
      <c r="DO78" s="24"/>
      <c r="DP78" s="24"/>
      <c r="DQ78" s="24"/>
      <c r="DR78" s="24"/>
      <c r="DS78" s="24"/>
      <c r="DT78" s="24"/>
      <c r="DU78" s="24"/>
      <c r="DV78" s="24"/>
      <c r="DW78" s="24"/>
      <c r="DX78" s="24"/>
      <c r="DY78" s="24"/>
      <c r="DZ78" s="24"/>
      <c r="EA78" s="24"/>
      <c r="EB78" s="24"/>
      <c r="EC78" s="24"/>
      <c r="ED78" s="24"/>
      <c r="EE78" s="24"/>
      <c r="EF78" s="24"/>
      <c r="EG78" s="24"/>
      <c r="EH78" s="24"/>
      <c r="EI78" s="24"/>
      <c r="EJ78" s="24"/>
      <c r="EK78" s="24"/>
      <c r="EL78" s="24"/>
      <c r="EM78" s="24"/>
      <c r="EN78" s="24"/>
      <c r="EO78" s="24"/>
      <c r="EP78" s="24"/>
      <c r="EQ78" s="24"/>
      <c r="ER78" s="24"/>
      <c r="ES78" s="24"/>
      <c r="ET78" s="24"/>
      <c r="EU78" s="24"/>
      <c r="EV78" s="24"/>
      <c r="EW78" s="24"/>
      <c r="EX78" s="24"/>
      <c r="EY78" s="24"/>
      <c r="EZ78" s="24"/>
      <c r="FA78" s="24"/>
      <c r="FB78" s="24"/>
      <c r="FC78" s="24"/>
      <c r="FD78" s="24"/>
      <c r="FE78" s="24"/>
      <c r="FF78" s="24"/>
      <c r="FG78" s="24"/>
      <c r="FH78" s="24"/>
      <c r="FI78" s="24"/>
      <c r="FJ78" s="24"/>
      <c r="FK78" s="24"/>
      <c r="FL78" s="24"/>
      <c r="FM78" s="24"/>
      <c r="FN78" s="24"/>
      <c r="FO78" s="24"/>
      <c r="FP78" s="24"/>
      <c r="FQ78" s="24"/>
      <c r="FR78" s="24"/>
      <c r="FS78" s="24"/>
      <c r="FT78" s="24"/>
      <c r="FU78" s="24"/>
      <c r="FV78" s="24"/>
      <c r="FW78" s="24"/>
      <c r="FX78" s="24"/>
      <c r="FY78" s="24"/>
      <c r="FZ78" s="24"/>
      <c r="GA78" s="24"/>
      <c r="GB78" s="24"/>
      <c r="GC78" s="24"/>
      <c r="GD78" s="24"/>
      <c r="GE78" s="24"/>
      <c r="GF78" s="24"/>
      <c r="GG78" s="24"/>
      <c r="GH78" s="24"/>
      <c r="GI78" s="24"/>
      <c r="GJ78" s="24"/>
      <c r="GK78" s="24"/>
      <c r="GL78" s="24"/>
      <c r="GM78" s="24"/>
      <c r="GN78" s="24"/>
      <c r="GO78" s="24"/>
      <c r="GP78" s="24"/>
      <c r="GQ78" s="24"/>
      <c r="GR78" s="24"/>
      <c r="GS78" s="24"/>
      <c r="GT78" s="24"/>
      <c r="GU78" s="24"/>
      <c r="GV78" s="24"/>
      <c r="GW78" s="24"/>
      <c r="GX78" s="24"/>
      <c r="GY78" s="24"/>
      <c r="GZ78" s="24"/>
      <c r="HA78" s="24"/>
      <c r="HB78" s="24"/>
      <c r="HC78" s="24"/>
      <c r="HD78" s="24"/>
      <c r="HE78" s="24"/>
      <c r="HF78" s="24"/>
      <c r="HG78" s="24"/>
      <c r="HH78" s="24"/>
      <c r="HI78" s="24"/>
      <c r="HJ78" s="24"/>
      <c r="HK78" s="24"/>
      <c r="HL78" s="24"/>
      <c r="HM78" s="24"/>
      <c r="HN78" s="24"/>
      <c r="HO78" s="24"/>
      <c r="HP78" s="24"/>
      <c r="HQ78" s="24"/>
      <c r="HR78" s="24"/>
      <c r="HS78" s="24"/>
      <c r="HT78" s="24"/>
      <c r="HU78" s="24"/>
      <c r="HV78" s="24"/>
      <c r="HW78" s="24"/>
      <c r="HX78" s="24"/>
      <c r="HY78" s="24"/>
      <c r="HZ78" s="24"/>
      <c r="IA78" s="24"/>
      <c r="IB78" s="24"/>
      <c r="IC78" s="24"/>
      <c r="ID78" s="24"/>
      <c r="IE78" s="24"/>
      <c r="IF78" s="24"/>
      <c r="IG78" s="24"/>
      <c r="IH78" s="24"/>
      <c r="II78" s="24"/>
      <c r="IJ78" s="24"/>
      <c r="IK78" s="24"/>
      <c r="IL78" s="24"/>
      <c r="IM78" s="24"/>
      <c r="IN78" s="24"/>
      <c r="IO78" s="24"/>
      <c r="IP78" s="24"/>
      <c r="IQ78" s="24"/>
      <c r="IR78" s="24"/>
      <c r="IS78" s="24"/>
      <c r="IT78" s="24"/>
      <c r="IU78" s="24"/>
      <c r="IV78" s="24"/>
      <c r="IW78" s="24"/>
      <c r="IX78" s="24"/>
      <c r="IY78" s="24"/>
      <c r="IZ78" s="24"/>
      <c r="JA78" s="24"/>
      <c r="JB78" s="24"/>
      <c r="JC78" s="24"/>
      <c r="JD78" s="24"/>
      <c r="JE78" s="24"/>
      <c r="JF78" s="24"/>
      <c r="JG78" s="24"/>
      <c r="JH78" s="24"/>
      <c r="JI78" s="24"/>
      <c r="JJ78" s="24"/>
      <c r="JK78" s="24"/>
      <c r="JL78" s="24"/>
      <c r="JM78" s="24"/>
      <c r="JN78" s="24"/>
      <c r="JO78" s="24"/>
      <c r="JP78" s="24"/>
      <c r="JQ78" s="24"/>
      <c r="JR78" s="24"/>
      <c r="JS78" s="24"/>
      <c r="JT78" s="24"/>
      <c r="JU78" s="24"/>
      <c r="JV78" s="24"/>
      <c r="JW78" s="24"/>
      <c r="JX78" s="24"/>
      <c r="JY78" s="24"/>
      <c r="JZ78" s="24"/>
      <c r="KA78" s="24"/>
      <c r="KB78" s="24"/>
      <c r="KC78" s="24"/>
      <c r="KD78" s="24"/>
      <c r="KE78" s="24"/>
      <c r="KF78" s="24"/>
      <c r="KG78" s="24"/>
      <c r="KH78" s="24"/>
      <c r="KI78" s="24"/>
      <c r="KJ78" s="24"/>
      <c r="KK78" s="24"/>
      <c r="KL78" s="24"/>
      <c r="KM78" s="24"/>
      <c r="KN78" s="24"/>
      <c r="KO78" s="24"/>
      <c r="KP78" s="24"/>
      <c r="KQ78" s="24"/>
      <c r="KR78" s="24"/>
      <c r="KS78" s="24"/>
      <c r="KT78" s="24"/>
      <c r="KU78" s="24"/>
      <c r="KV78" s="24"/>
      <c r="KW78" s="24"/>
      <c r="KX78" s="24"/>
      <c r="KY78" s="24"/>
      <c r="KZ78" s="24"/>
      <c r="LA78" s="24"/>
      <c r="LB78" s="24"/>
      <c r="LC78" s="24"/>
      <c r="LD78" s="24"/>
      <c r="LE78" s="24"/>
      <c r="LF78" s="24"/>
      <c r="LG78" s="24"/>
      <c r="LH78" s="24"/>
      <c r="LI78" s="24"/>
      <c r="LJ78" s="24"/>
      <c r="LK78" s="24"/>
      <c r="LL78" s="24"/>
      <c r="LM78" s="24"/>
      <c r="LN78" s="24"/>
      <c r="LO78" s="24"/>
      <c r="LP78" s="24"/>
      <c r="LQ78" s="24"/>
      <c r="LR78" s="24"/>
      <c r="LS78" s="24"/>
      <c r="LT78" s="24"/>
      <c r="LU78" s="24"/>
      <c r="LV78" s="24"/>
      <c r="LW78" s="24"/>
      <c r="LX78" s="24"/>
      <c r="LY78" s="24"/>
      <c r="LZ78" s="24"/>
      <c r="MA78" s="24"/>
      <c r="MB78" s="24"/>
      <c r="MC78" s="24"/>
      <c r="MD78" s="24"/>
      <c r="ME78" s="24"/>
      <c r="MF78" s="24"/>
      <c r="MG78" s="24"/>
      <c r="MH78" s="24"/>
      <c r="MI78" s="24"/>
      <c r="MJ78" s="24"/>
      <c r="MK78" s="24"/>
      <c r="ML78" s="24"/>
      <c r="MM78" s="24"/>
      <c r="MN78" s="24"/>
      <c r="MO78" s="24"/>
      <c r="MP78" s="24"/>
      <c r="MQ78" s="24"/>
      <c r="MR78" s="24"/>
      <c r="MS78" s="24"/>
      <c r="MT78" s="24"/>
      <c r="MU78" s="24"/>
      <c r="MV78" s="24"/>
      <c r="MW78" s="24"/>
      <c r="MX78" s="24"/>
      <c r="MY78" s="24"/>
      <c r="MZ78" s="24"/>
      <c r="NA78" s="24"/>
      <c r="NB78" s="24"/>
      <c r="NC78" s="24"/>
      <c r="ND78" s="24"/>
      <c r="NE78" s="24"/>
      <c r="NF78" s="24"/>
      <c r="NG78" s="24"/>
      <c r="NH78" s="24"/>
      <c r="NI78" s="24"/>
      <c r="NJ78" s="22">
        <f t="array" aca="1" ref="NJ78" ca="1">SUMPRODUCT((OFFSET($A78,0,31*($A$3-1)+1,1,31)&lt;&gt;"")*(IF(OFFSET($A78,0,31*($A$3-1)+1,1,31)=Database!$K$11,0.5,IF(OFFSET($A78,0,31*($A$3-1)+1,1,31)=Database!$K$12,0.5,1))*(OFFSET($A$4,0,31*($A$3-1)+1,1,31))))</f>
        <v>0</v>
      </c>
      <c r="NK78" s="23">
        <f t="array" aca="1" ref="NK78" ca="1">SUMPRODUCT((OFFSET($A78,0,1,1,372)&lt;&gt;"")*(IF(OFFSET($A78,0,1,1,372)=Database!$K$11,0.5,IF(OFFSET($A78,0,1,1,372)=Database!$K$12,0.5,1))*(OFFSET($A$3,0,1,1,372))))</f>
        <v>0</v>
      </c>
      <c r="NL78" s="21">
        <f t="shared" ca="1" si="11"/>
        <v>0</v>
      </c>
      <c r="NM78" s="21">
        <f t="shared" ca="1" si="11"/>
        <v>0</v>
      </c>
      <c r="NN78" s="21">
        <f t="shared" ca="1" si="11"/>
        <v>0</v>
      </c>
      <c r="NO78" s="21">
        <f t="shared" ca="1" si="11"/>
        <v>0</v>
      </c>
      <c r="NP78" s="21">
        <f t="shared" ca="1" si="11"/>
        <v>0</v>
      </c>
      <c r="NQ78" s="21">
        <f t="shared" ca="1" si="11"/>
        <v>0</v>
      </c>
      <c r="NR78" s="21">
        <f t="shared" ca="1" si="11"/>
        <v>0</v>
      </c>
      <c r="NS78" s="21">
        <f t="shared" ca="1" si="11"/>
        <v>0</v>
      </c>
      <c r="NT78" s="21">
        <f t="shared" ca="1" si="11"/>
        <v>0</v>
      </c>
      <c r="NU78" s="21">
        <f t="shared" ca="1" si="11"/>
        <v>0</v>
      </c>
    </row>
    <row r="79" spans="1:385" ht="18" hidden="1" customHeight="1" outlineLevel="1" x14ac:dyDescent="0.25">
      <c r="A79" s="26"/>
      <c r="B79" s="24"/>
      <c r="C79" s="24"/>
      <c r="D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c r="BE79" s="24"/>
      <c r="BF79" s="24"/>
      <c r="BG79" s="24"/>
      <c r="BH79" s="24"/>
      <c r="BI79" s="24"/>
      <c r="BJ79" s="24"/>
      <c r="BK79" s="24"/>
      <c r="BL79" s="24"/>
      <c r="BM79" s="24"/>
      <c r="BN79" s="24"/>
      <c r="BO79" s="24"/>
      <c r="BP79" s="24"/>
      <c r="BQ79" s="24"/>
      <c r="BR79" s="24"/>
      <c r="BS79" s="24"/>
      <c r="BT79" s="24"/>
      <c r="BU79" s="24"/>
      <c r="BV79" s="24"/>
      <c r="BW79" s="24"/>
      <c r="BX79" s="24"/>
      <c r="BY79" s="24"/>
      <c r="BZ79" s="24"/>
      <c r="CA79" s="24"/>
      <c r="CB79" s="24"/>
      <c r="CC79" s="24"/>
      <c r="CD79" s="24"/>
      <c r="CE79" s="24"/>
      <c r="CF79" s="24"/>
      <c r="CG79" s="24"/>
      <c r="CH79" s="24"/>
      <c r="CI79" s="24"/>
      <c r="CJ79" s="24"/>
      <c r="CK79" s="24"/>
      <c r="CL79" s="24"/>
      <c r="CM79" s="24"/>
      <c r="CN79" s="24"/>
      <c r="CO79" s="24"/>
      <c r="CP79" s="24"/>
      <c r="CQ79" s="24"/>
      <c r="CR79" s="24"/>
      <c r="CS79" s="24"/>
      <c r="CT79" s="24"/>
      <c r="CU79" s="24"/>
      <c r="CV79" s="24"/>
      <c r="CW79" s="24"/>
      <c r="CX79" s="24"/>
      <c r="CY79" s="24"/>
      <c r="CZ79" s="24"/>
      <c r="DA79" s="24"/>
      <c r="DB79" s="24"/>
      <c r="DC79" s="24"/>
      <c r="DD79" s="24"/>
      <c r="DE79" s="24"/>
      <c r="DF79" s="24"/>
      <c r="DG79" s="24"/>
      <c r="DH79" s="24"/>
      <c r="DI79" s="24"/>
      <c r="DJ79" s="24"/>
      <c r="DK79" s="24"/>
      <c r="DL79" s="24"/>
      <c r="DM79" s="24"/>
      <c r="DN79" s="24"/>
      <c r="DO79" s="24"/>
      <c r="DP79" s="24"/>
      <c r="DQ79" s="24"/>
      <c r="DR79" s="24"/>
      <c r="DS79" s="24"/>
      <c r="DT79" s="24"/>
      <c r="DU79" s="24"/>
      <c r="DV79" s="24"/>
      <c r="DW79" s="24"/>
      <c r="DX79" s="24"/>
      <c r="DY79" s="24"/>
      <c r="DZ79" s="24"/>
      <c r="EA79" s="24"/>
      <c r="EB79" s="24"/>
      <c r="EC79" s="24"/>
      <c r="ED79" s="24"/>
      <c r="EE79" s="24"/>
      <c r="EF79" s="24"/>
      <c r="EG79" s="24"/>
      <c r="EH79" s="24"/>
      <c r="EI79" s="24"/>
      <c r="EJ79" s="24"/>
      <c r="EK79" s="24"/>
      <c r="EL79" s="24"/>
      <c r="EM79" s="24"/>
      <c r="EN79" s="24"/>
      <c r="EO79" s="24"/>
      <c r="EP79" s="24"/>
      <c r="EQ79" s="24"/>
      <c r="ER79" s="24"/>
      <c r="ES79" s="24"/>
      <c r="ET79" s="24"/>
      <c r="EU79" s="24"/>
      <c r="EV79" s="24"/>
      <c r="EW79" s="24"/>
      <c r="EX79" s="24"/>
      <c r="EY79" s="24"/>
      <c r="EZ79" s="24"/>
      <c r="FA79" s="24"/>
      <c r="FB79" s="24"/>
      <c r="FC79" s="24"/>
      <c r="FD79" s="24"/>
      <c r="FE79" s="24"/>
      <c r="FF79" s="24"/>
      <c r="FG79" s="24"/>
      <c r="FH79" s="24"/>
      <c r="FI79" s="24"/>
      <c r="FJ79" s="24"/>
      <c r="FK79" s="24"/>
      <c r="FL79" s="24"/>
      <c r="FM79" s="24"/>
      <c r="FN79" s="24"/>
      <c r="FO79" s="24"/>
      <c r="FP79" s="24"/>
      <c r="FQ79" s="24"/>
      <c r="FR79" s="24"/>
      <c r="FS79" s="24"/>
      <c r="FT79" s="24"/>
      <c r="FU79" s="24"/>
      <c r="FV79" s="24"/>
      <c r="FW79" s="24"/>
      <c r="FX79" s="24"/>
      <c r="FY79" s="24"/>
      <c r="FZ79" s="24"/>
      <c r="GA79" s="24"/>
      <c r="GB79" s="24"/>
      <c r="GC79" s="24"/>
      <c r="GD79" s="24"/>
      <c r="GE79" s="24"/>
      <c r="GF79" s="24"/>
      <c r="GG79" s="24"/>
      <c r="GH79" s="24"/>
      <c r="GI79" s="24"/>
      <c r="GJ79" s="24"/>
      <c r="GK79" s="24"/>
      <c r="GL79" s="24"/>
      <c r="GM79" s="24"/>
      <c r="GN79" s="24"/>
      <c r="GO79" s="24"/>
      <c r="GP79" s="24"/>
      <c r="GQ79" s="24"/>
      <c r="GR79" s="24"/>
      <c r="GS79" s="24"/>
      <c r="GT79" s="24"/>
      <c r="GU79" s="24"/>
      <c r="GV79" s="24"/>
      <c r="GW79" s="24"/>
      <c r="GX79" s="24"/>
      <c r="GY79" s="24"/>
      <c r="GZ79" s="24"/>
      <c r="HA79" s="24"/>
      <c r="HB79" s="24"/>
      <c r="HC79" s="24"/>
      <c r="HD79" s="24"/>
      <c r="HE79" s="24"/>
      <c r="HF79" s="24"/>
      <c r="HG79" s="24"/>
      <c r="HH79" s="24"/>
      <c r="HI79" s="24"/>
      <c r="HJ79" s="24"/>
      <c r="HK79" s="24"/>
      <c r="HL79" s="24"/>
      <c r="HM79" s="24"/>
      <c r="HN79" s="24"/>
      <c r="HO79" s="24"/>
      <c r="HP79" s="24"/>
      <c r="HQ79" s="24"/>
      <c r="HR79" s="24"/>
      <c r="HS79" s="24"/>
      <c r="HT79" s="24"/>
      <c r="HU79" s="24"/>
      <c r="HV79" s="24"/>
      <c r="HW79" s="24"/>
      <c r="HX79" s="24"/>
      <c r="HY79" s="24"/>
      <c r="HZ79" s="24"/>
      <c r="IA79" s="24"/>
      <c r="IB79" s="24"/>
      <c r="IC79" s="24"/>
      <c r="ID79" s="24"/>
      <c r="IE79" s="24"/>
      <c r="IF79" s="24"/>
      <c r="IG79" s="24"/>
      <c r="IH79" s="24"/>
      <c r="II79" s="24"/>
      <c r="IJ79" s="24"/>
      <c r="IK79" s="24"/>
      <c r="IL79" s="24"/>
      <c r="IM79" s="24"/>
      <c r="IN79" s="24"/>
      <c r="IO79" s="24"/>
      <c r="IP79" s="24"/>
      <c r="IQ79" s="24"/>
      <c r="IR79" s="24"/>
      <c r="IS79" s="24"/>
      <c r="IT79" s="24"/>
      <c r="IU79" s="24"/>
      <c r="IV79" s="24"/>
      <c r="IW79" s="24"/>
      <c r="IX79" s="24"/>
      <c r="IY79" s="24"/>
      <c r="IZ79" s="24"/>
      <c r="JA79" s="24"/>
      <c r="JB79" s="24"/>
      <c r="JC79" s="24"/>
      <c r="JD79" s="24"/>
      <c r="JE79" s="24"/>
      <c r="JF79" s="24"/>
      <c r="JG79" s="24"/>
      <c r="JH79" s="24"/>
      <c r="JI79" s="24"/>
      <c r="JJ79" s="24"/>
      <c r="JK79" s="24"/>
      <c r="JL79" s="24"/>
      <c r="JM79" s="24"/>
      <c r="JN79" s="24"/>
      <c r="JO79" s="24"/>
      <c r="JP79" s="24"/>
      <c r="JQ79" s="24"/>
      <c r="JR79" s="24"/>
      <c r="JS79" s="24"/>
      <c r="JT79" s="24"/>
      <c r="JU79" s="24"/>
      <c r="JV79" s="24"/>
      <c r="JW79" s="24"/>
      <c r="JX79" s="24"/>
      <c r="JY79" s="24"/>
      <c r="JZ79" s="24"/>
      <c r="KA79" s="24"/>
      <c r="KB79" s="24"/>
      <c r="KC79" s="24"/>
      <c r="KD79" s="24"/>
      <c r="KE79" s="24"/>
      <c r="KF79" s="24"/>
      <c r="KG79" s="24"/>
      <c r="KH79" s="24"/>
      <c r="KI79" s="24"/>
      <c r="KJ79" s="24"/>
      <c r="KK79" s="24"/>
      <c r="KL79" s="24"/>
      <c r="KM79" s="24"/>
      <c r="KN79" s="24"/>
      <c r="KO79" s="24"/>
      <c r="KP79" s="24"/>
      <c r="KQ79" s="24"/>
      <c r="KR79" s="24"/>
      <c r="KS79" s="24"/>
      <c r="KT79" s="24"/>
      <c r="KU79" s="24"/>
      <c r="KV79" s="24"/>
      <c r="KW79" s="24"/>
      <c r="KX79" s="24"/>
      <c r="KY79" s="24"/>
      <c r="KZ79" s="24"/>
      <c r="LA79" s="24"/>
      <c r="LB79" s="24"/>
      <c r="LC79" s="24"/>
      <c r="LD79" s="24"/>
      <c r="LE79" s="24"/>
      <c r="LF79" s="24"/>
      <c r="LG79" s="24"/>
      <c r="LH79" s="24"/>
      <c r="LI79" s="24"/>
      <c r="LJ79" s="24"/>
      <c r="LK79" s="24"/>
      <c r="LL79" s="24"/>
      <c r="LM79" s="24"/>
      <c r="LN79" s="24"/>
      <c r="LO79" s="24"/>
      <c r="LP79" s="24"/>
      <c r="LQ79" s="24"/>
      <c r="LR79" s="24"/>
      <c r="LS79" s="24"/>
      <c r="LT79" s="24"/>
      <c r="LU79" s="24"/>
      <c r="LV79" s="24"/>
      <c r="LW79" s="24"/>
      <c r="LX79" s="24"/>
      <c r="LY79" s="24"/>
      <c r="LZ79" s="24"/>
      <c r="MA79" s="24"/>
      <c r="MB79" s="24"/>
      <c r="MC79" s="24"/>
      <c r="MD79" s="24"/>
      <c r="ME79" s="24"/>
      <c r="MF79" s="24"/>
      <c r="MG79" s="24"/>
      <c r="MH79" s="24"/>
      <c r="MI79" s="24"/>
      <c r="MJ79" s="24"/>
      <c r="MK79" s="24"/>
      <c r="ML79" s="24"/>
      <c r="MM79" s="24"/>
      <c r="MN79" s="24"/>
      <c r="MO79" s="24"/>
      <c r="MP79" s="24"/>
      <c r="MQ79" s="24"/>
      <c r="MR79" s="24"/>
      <c r="MS79" s="24"/>
      <c r="MT79" s="24"/>
      <c r="MU79" s="24"/>
      <c r="MV79" s="24"/>
      <c r="MW79" s="24"/>
      <c r="MX79" s="24"/>
      <c r="MY79" s="24"/>
      <c r="MZ79" s="24"/>
      <c r="NA79" s="24"/>
      <c r="NB79" s="24"/>
      <c r="NC79" s="24"/>
      <c r="ND79" s="24"/>
      <c r="NE79" s="24"/>
      <c r="NF79" s="24"/>
      <c r="NG79" s="24"/>
      <c r="NH79" s="24"/>
      <c r="NI79" s="24"/>
      <c r="NJ79" s="22">
        <f t="array" aca="1" ref="NJ79" ca="1">SUMPRODUCT((OFFSET($A79,0,31*($A$3-1)+1,1,31)&lt;&gt;"")*(IF(OFFSET($A79,0,31*($A$3-1)+1,1,31)=Database!$K$11,0.5,IF(OFFSET($A79,0,31*($A$3-1)+1,1,31)=Database!$K$12,0.5,1))*(OFFSET($A$4,0,31*($A$3-1)+1,1,31))))</f>
        <v>0</v>
      </c>
      <c r="NK79" s="23">
        <f t="array" aca="1" ref="NK79" ca="1">SUMPRODUCT((OFFSET($A79,0,1,1,372)&lt;&gt;"")*(IF(OFFSET($A79,0,1,1,372)=Database!$K$11,0.5,IF(OFFSET($A79,0,1,1,372)=Database!$K$12,0.5,1))*(OFFSET($A$3,0,1,1,372))))</f>
        <v>0</v>
      </c>
      <c r="NL79" s="21">
        <f t="shared" ca="1" si="11"/>
        <v>0</v>
      </c>
      <c r="NM79" s="21">
        <f t="shared" ca="1" si="11"/>
        <v>0</v>
      </c>
      <c r="NN79" s="21">
        <f t="shared" ca="1" si="11"/>
        <v>0</v>
      </c>
      <c r="NO79" s="21">
        <f t="shared" ca="1" si="11"/>
        <v>0</v>
      </c>
      <c r="NP79" s="21">
        <f t="shared" ca="1" si="11"/>
        <v>0</v>
      </c>
      <c r="NQ79" s="21">
        <f t="shared" ca="1" si="11"/>
        <v>0</v>
      </c>
      <c r="NR79" s="21">
        <f t="shared" ca="1" si="11"/>
        <v>0</v>
      </c>
      <c r="NS79" s="21">
        <f t="shared" ca="1" si="11"/>
        <v>0</v>
      </c>
      <c r="NT79" s="21">
        <f t="shared" ca="1" si="11"/>
        <v>0</v>
      </c>
      <c r="NU79" s="21">
        <f t="shared" ca="1" si="11"/>
        <v>0</v>
      </c>
    </row>
    <row r="80" spans="1:385" ht="18" hidden="1" customHeight="1" outlineLevel="1" x14ac:dyDescent="0.25">
      <c r="A80" s="26"/>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4"/>
      <c r="CA80" s="24"/>
      <c r="CB80" s="24"/>
      <c r="CC80" s="24"/>
      <c r="CD80" s="24"/>
      <c r="CE80" s="24"/>
      <c r="CF80" s="24"/>
      <c r="CG80" s="24"/>
      <c r="CH80" s="24"/>
      <c r="CI80" s="24"/>
      <c r="CJ80" s="24"/>
      <c r="CK80" s="24"/>
      <c r="CL80" s="24"/>
      <c r="CM80" s="24"/>
      <c r="CN80" s="24"/>
      <c r="CO80" s="24"/>
      <c r="CP80" s="24"/>
      <c r="CQ80" s="24"/>
      <c r="CR80" s="24"/>
      <c r="CS80" s="24"/>
      <c r="CT80" s="24"/>
      <c r="CU80" s="24"/>
      <c r="CV80" s="24"/>
      <c r="CW80" s="24"/>
      <c r="CX80" s="24"/>
      <c r="CY80" s="24"/>
      <c r="CZ80" s="24"/>
      <c r="DA80" s="24"/>
      <c r="DB80" s="24"/>
      <c r="DC80" s="24"/>
      <c r="DD80" s="24"/>
      <c r="DE80" s="24"/>
      <c r="DF80" s="24"/>
      <c r="DG80" s="24"/>
      <c r="DH80" s="24"/>
      <c r="DI80" s="24"/>
      <c r="DJ80" s="24"/>
      <c r="DK80" s="24"/>
      <c r="DL80" s="24"/>
      <c r="DM80" s="24"/>
      <c r="DN80" s="24"/>
      <c r="DO80" s="24"/>
      <c r="DP80" s="24"/>
      <c r="DQ80" s="24"/>
      <c r="DR80" s="24"/>
      <c r="DS80" s="24"/>
      <c r="DT80" s="24"/>
      <c r="DU80" s="24"/>
      <c r="DV80" s="24"/>
      <c r="DW80" s="24"/>
      <c r="DX80" s="24"/>
      <c r="DY80" s="24"/>
      <c r="DZ80" s="24"/>
      <c r="EA80" s="24"/>
      <c r="EB80" s="24"/>
      <c r="EC80" s="24"/>
      <c r="ED80" s="24"/>
      <c r="EE80" s="24"/>
      <c r="EF80" s="24"/>
      <c r="EG80" s="24"/>
      <c r="EH80" s="24"/>
      <c r="EI80" s="24"/>
      <c r="EJ80" s="24"/>
      <c r="EK80" s="24"/>
      <c r="EL80" s="24"/>
      <c r="EM80" s="24"/>
      <c r="EN80" s="24"/>
      <c r="EO80" s="24"/>
      <c r="EP80" s="24"/>
      <c r="EQ80" s="24"/>
      <c r="ER80" s="24"/>
      <c r="ES80" s="24"/>
      <c r="ET80" s="24"/>
      <c r="EU80" s="24"/>
      <c r="EV80" s="24"/>
      <c r="EW80" s="24"/>
      <c r="EX80" s="24"/>
      <c r="EY80" s="24"/>
      <c r="EZ80" s="24"/>
      <c r="FA80" s="24"/>
      <c r="FB80" s="24"/>
      <c r="FC80" s="24"/>
      <c r="FD80" s="24"/>
      <c r="FE80" s="24"/>
      <c r="FF80" s="24"/>
      <c r="FG80" s="24"/>
      <c r="FH80" s="24"/>
      <c r="FI80" s="24"/>
      <c r="FJ80" s="24"/>
      <c r="FK80" s="24"/>
      <c r="FL80" s="24"/>
      <c r="FM80" s="24"/>
      <c r="FN80" s="24"/>
      <c r="FO80" s="24"/>
      <c r="FP80" s="24"/>
      <c r="FQ80" s="24"/>
      <c r="FR80" s="24"/>
      <c r="FS80" s="24"/>
      <c r="FT80" s="24"/>
      <c r="FU80" s="24"/>
      <c r="FV80" s="24"/>
      <c r="FW80" s="24"/>
      <c r="FX80" s="24"/>
      <c r="FY80" s="24"/>
      <c r="FZ80" s="24"/>
      <c r="GA80" s="24"/>
      <c r="GB80" s="24"/>
      <c r="GC80" s="24"/>
      <c r="GD80" s="24"/>
      <c r="GE80" s="24"/>
      <c r="GF80" s="24"/>
      <c r="GG80" s="24"/>
      <c r="GH80" s="24"/>
      <c r="GI80" s="24"/>
      <c r="GJ80" s="24"/>
      <c r="GK80" s="24"/>
      <c r="GL80" s="24"/>
      <c r="GM80" s="24"/>
      <c r="GN80" s="24"/>
      <c r="GO80" s="24"/>
      <c r="GP80" s="24"/>
      <c r="GQ80" s="24"/>
      <c r="GR80" s="24"/>
      <c r="GS80" s="24"/>
      <c r="GT80" s="24"/>
      <c r="GU80" s="24"/>
      <c r="GV80" s="24"/>
      <c r="GW80" s="24"/>
      <c r="GX80" s="24"/>
      <c r="GY80" s="24"/>
      <c r="GZ80" s="24"/>
      <c r="HA80" s="24"/>
      <c r="HB80" s="24"/>
      <c r="HC80" s="24"/>
      <c r="HD80" s="24"/>
      <c r="HE80" s="24"/>
      <c r="HF80" s="24"/>
      <c r="HG80" s="24"/>
      <c r="HH80" s="24"/>
      <c r="HI80" s="24"/>
      <c r="HJ80" s="24"/>
      <c r="HK80" s="24"/>
      <c r="HL80" s="24"/>
      <c r="HM80" s="24"/>
      <c r="HN80" s="24"/>
      <c r="HO80" s="24"/>
      <c r="HP80" s="24"/>
      <c r="HQ80" s="24"/>
      <c r="HR80" s="24"/>
      <c r="HS80" s="24"/>
      <c r="HT80" s="24"/>
      <c r="HU80" s="24"/>
      <c r="HV80" s="24"/>
      <c r="HW80" s="24"/>
      <c r="HX80" s="24"/>
      <c r="HY80" s="24"/>
      <c r="HZ80" s="24"/>
      <c r="IA80" s="24"/>
      <c r="IB80" s="24"/>
      <c r="IC80" s="24"/>
      <c r="ID80" s="24"/>
      <c r="IE80" s="24"/>
      <c r="IF80" s="24"/>
      <c r="IG80" s="24"/>
      <c r="IH80" s="24"/>
      <c r="II80" s="24"/>
      <c r="IJ80" s="24"/>
      <c r="IK80" s="24"/>
      <c r="IL80" s="24"/>
      <c r="IM80" s="24"/>
      <c r="IN80" s="24"/>
      <c r="IO80" s="24"/>
      <c r="IP80" s="24"/>
      <c r="IQ80" s="24"/>
      <c r="IR80" s="24"/>
      <c r="IS80" s="24"/>
      <c r="IT80" s="24"/>
      <c r="IU80" s="24"/>
      <c r="IV80" s="24"/>
      <c r="IW80" s="24"/>
      <c r="IX80" s="24"/>
      <c r="IY80" s="24"/>
      <c r="IZ80" s="24"/>
      <c r="JA80" s="24"/>
      <c r="JB80" s="24"/>
      <c r="JC80" s="24"/>
      <c r="JD80" s="24"/>
      <c r="JE80" s="24"/>
      <c r="JF80" s="24"/>
      <c r="JG80" s="24"/>
      <c r="JH80" s="24"/>
      <c r="JI80" s="24"/>
      <c r="JJ80" s="24"/>
      <c r="JK80" s="24"/>
      <c r="JL80" s="24"/>
      <c r="JM80" s="24"/>
      <c r="JN80" s="24"/>
      <c r="JO80" s="24"/>
      <c r="JP80" s="24"/>
      <c r="JQ80" s="24"/>
      <c r="JR80" s="24"/>
      <c r="JS80" s="24"/>
      <c r="JT80" s="24"/>
      <c r="JU80" s="24"/>
      <c r="JV80" s="24"/>
      <c r="JW80" s="24"/>
      <c r="JX80" s="24"/>
      <c r="JY80" s="24"/>
      <c r="JZ80" s="24"/>
      <c r="KA80" s="24"/>
      <c r="KB80" s="24"/>
      <c r="KC80" s="24"/>
      <c r="KD80" s="24"/>
      <c r="KE80" s="24"/>
      <c r="KF80" s="24"/>
      <c r="KG80" s="24"/>
      <c r="KH80" s="24"/>
      <c r="KI80" s="24"/>
      <c r="KJ80" s="24"/>
      <c r="KK80" s="24"/>
      <c r="KL80" s="24"/>
      <c r="KM80" s="24"/>
      <c r="KN80" s="24"/>
      <c r="KO80" s="24"/>
      <c r="KP80" s="24"/>
      <c r="KQ80" s="24"/>
      <c r="KR80" s="24"/>
      <c r="KS80" s="24"/>
      <c r="KT80" s="24"/>
      <c r="KU80" s="24"/>
      <c r="KV80" s="24"/>
      <c r="KW80" s="24"/>
      <c r="KX80" s="24"/>
      <c r="KY80" s="24"/>
      <c r="KZ80" s="24"/>
      <c r="LA80" s="24"/>
      <c r="LB80" s="24"/>
      <c r="LC80" s="24"/>
      <c r="LD80" s="24"/>
      <c r="LE80" s="24"/>
      <c r="LF80" s="24"/>
      <c r="LG80" s="24"/>
      <c r="LH80" s="24"/>
      <c r="LI80" s="24"/>
      <c r="LJ80" s="24"/>
      <c r="LK80" s="24"/>
      <c r="LL80" s="24"/>
      <c r="LM80" s="24"/>
      <c r="LN80" s="24"/>
      <c r="LO80" s="24"/>
      <c r="LP80" s="24"/>
      <c r="LQ80" s="24"/>
      <c r="LR80" s="24"/>
      <c r="LS80" s="24"/>
      <c r="LT80" s="24"/>
      <c r="LU80" s="24"/>
      <c r="LV80" s="24"/>
      <c r="LW80" s="24"/>
      <c r="LX80" s="24"/>
      <c r="LY80" s="24"/>
      <c r="LZ80" s="24"/>
      <c r="MA80" s="24"/>
      <c r="MB80" s="24"/>
      <c r="MC80" s="24"/>
      <c r="MD80" s="24"/>
      <c r="ME80" s="24"/>
      <c r="MF80" s="24"/>
      <c r="MG80" s="24"/>
      <c r="MH80" s="24"/>
      <c r="MI80" s="24"/>
      <c r="MJ80" s="24"/>
      <c r="MK80" s="24"/>
      <c r="ML80" s="24"/>
      <c r="MM80" s="24"/>
      <c r="MN80" s="24"/>
      <c r="MO80" s="24"/>
      <c r="MP80" s="24"/>
      <c r="MQ80" s="24"/>
      <c r="MR80" s="24"/>
      <c r="MS80" s="24"/>
      <c r="MT80" s="24"/>
      <c r="MU80" s="24"/>
      <c r="MV80" s="24"/>
      <c r="MW80" s="24"/>
      <c r="MX80" s="24"/>
      <c r="MY80" s="24"/>
      <c r="MZ80" s="24"/>
      <c r="NA80" s="24"/>
      <c r="NB80" s="24"/>
      <c r="NC80" s="24"/>
      <c r="ND80" s="24"/>
      <c r="NE80" s="24"/>
      <c r="NF80" s="24"/>
      <c r="NG80" s="24"/>
      <c r="NH80" s="24"/>
      <c r="NI80" s="24"/>
      <c r="NJ80" s="22">
        <f t="array" aca="1" ref="NJ80" ca="1">SUMPRODUCT((OFFSET($A80,0,31*($A$3-1)+1,1,31)&lt;&gt;"")*(IF(OFFSET($A80,0,31*($A$3-1)+1,1,31)=Database!$K$11,0.5,IF(OFFSET($A80,0,31*($A$3-1)+1,1,31)=Database!$K$12,0.5,1))*(OFFSET($A$4,0,31*($A$3-1)+1,1,31))))</f>
        <v>0</v>
      </c>
      <c r="NK80" s="23">
        <f t="array" aca="1" ref="NK80" ca="1">SUMPRODUCT((OFFSET($A80,0,1,1,372)&lt;&gt;"")*(IF(OFFSET($A80,0,1,1,372)=Database!$K$11,0.5,IF(OFFSET($A80,0,1,1,372)=Database!$K$12,0.5,1))*(OFFSET($A$3,0,1,1,372))))</f>
        <v>0</v>
      </c>
      <c r="NL80" s="21">
        <f t="shared" ca="1" si="11"/>
        <v>0</v>
      </c>
      <c r="NM80" s="21">
        <f t="shared" ca="1" si="11"/>
        <v>0</v>
      </c>
      <c r="NN80" s="21">
        <f t="shared" ca="1" si="11"/>
        <v>0</v>
      </c>
      <c r="NO80" s="21">
        <f t="shared" ca="1" si="11"/>
        <v>0</v>
      </c>
      <c r="NP80" s="21">
        <f t="shared" ca="1" si="11"/>
        <v>0</v>
      </c>
      <c r="NQ80" s="21">
        <f t="shared" ca="1" si="11"/>
        <v>0</v>
      </c>
      <c r="NR80" s="21">
        <f t="shared" ca="1" si="11"/>
        <v>0</v>
      </c>
      <c r="NS80" s="21">
        <f t="shared" ca="1" si="11"/>
        <v>0</v>
      </c>
      <c r="NT80" s="21">
        <f t="shared" ca="1" si="11"/>
        <v>0</v>
      </c>
      <c r="NU80" s="21">
        <f t="shared" ca="1" si="11"/>
        <v>0</v>
      </c>
    </row>
    <row r="81" spans="1:385" ht="18" hidden="1" customHeight="1" outlineLevel="1" x14ac:dyDescent="0.25">
      <c r="A81" s="26"/>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c r="BE81" s="24"/>
      <c r="BF81" s="24"/>
      <c r="BG81" s="24"/>
      <c r="BH81" s="24"/>
      <c r="BI81" s="24"/>
      <c r="BJ81" s="24"/>
      <c r="BK81" s="24"/>
      <c r="BL81" s="24"/>
      <c r="BM81" s="24"/>
      <c r="BN81" s="24"/>
      <c r="BO81" s="24"/>
      <c r="BP81" s="24"/>
      <c r="BQ81" s="24"/>
      <c r="BR81" s="24"/>
      <c r="BS81" s="24"/>
      <c r="BT81" s="24"/>
      <c r="BU81" s="24"/>
      <c r="BV81" s="24"/>
      <c r="BW81" s="24"/>
      <c r="BX81" s="24"/>
      <c r="BY81" s="24"/>
      <c r="BZ81" s="24"/>
      <c r="CA81" s="24"/>
      <c r="CB81" s="24"/>
      <c r="CC81" s="24"/>
      <c r="CD81" s="24"/>
      <c r="CE81" s="24"/>
      <c r="CF81" s="24"/>
      <c r="CG81" s="24"/>
      <c r="CH81" s="24"/>
      <c r="CI81" s="24"/>
      <c r="CJ81" s="24"/>
      <c r="CK81" s="24"/>
      <c r="CL81" s="24"/>
      <c r="CM81" s="24"/>
      <c r="CN81" s="24"/>
      <c r="CO81" s="24"/>
      <c r="CP81" s="24"/>
      <c r="CQ81" s="24"/>
      <c r="CR81" s="24"/>
      <c r="CS81" s="24"/>
      <c r="CT81" s="24"/>
      <c r="CU81" s="24"/>
      <c r="CV81" s="24"/>
      <c r="CW81" s="24"/>
      <c r="CX81" s="24"/>
      <c r="CY81" s="24"/>
      <c r="CZ81" s="24"/>
      <c r="DA81" s="24"/>
      <c r="DB81" s="24"/>
      <c r="DC81" s="24"/>
      <c r="DD81" s="24"/>
      <c r="DE81" s="24"/>
      <c r="DF81" s="24"/>
      <c r="DG81" s="24"/>
      <c r="DH81" s="24"/>
      <c r="DI81" s="24"/>
      <c r="DJ81" s="24"/>
      <c r="DK81" s="24"/>
      <c r="DL81" s="24"/>
      <c r="DM81" s="24"/>
      <c r="DN81" s="24"/>
      <c r="DO81" s="24"/>
      <c r="DP81" s="24"/>
      <c r="DQ81" s="24"/>
      <c r="DR81" s="24"/>
      <c r="DS81" s="24"/>
      <c r="DT81" s="24"/>
      <c r="DU81" s="24"/>
      <c r="DV81" s="24"/>
      <c r="DW81" s="24"/>
      <c r="DX81" s="24"/>
      <c r="DY81" s="24"/>
      <c r="DZ81" s="24"/>
      <c r="EA81" s="24"/>
      <c r="EB81" s="24"/>
      <c r="EC81" s="24"/>
      <c r="ED81" s="24"/>
      <c r="EE81" s="24"/>
      <c r="EF81" s="24"/>
      <c r="EG81" s="24"/>
      <c r="EH81" s="24"/>
      <c r="EI81" s="24"/>
      <c r="EJ81" s="24"/>
      <c r="EK81" s="24"/>
      <c r="EL81" s="24"/>
      <c r="EM81" s="24"/>
      <c r="EN81" s="24"/>
      <c r="EO81" s="24"/>
      <c r="EP81" s="24"/>
      <c r="EQ81" s="24"/>
      <c r="ER81" s="24"/>
      <c r="ES81" s="24"/>
      <c r="ET81" s="24"/>
      <c r="EU81" s="24"/>
      <c r="EV81" s="24"/>
      <c r="EW81" s="24"/>
      <c r="EX81" s="24"/>
      <c r="EY81" s="24"/>
      <c r="EZ81" s="24"/>
      <c r="FA81" s="24"/>
      <c r="FB81" s="24"/>
      <c r="FC81" s="24"/>
      <c r="FD81" s="24"/>
      <c r="FE81" s="24"/>
      <c r="FF81" s="24"/>
      <c r="FG81" s="24"/>
      <c r="FH81" s="24"/>
      <c r="FI81" s="24"/>
      <c r="FJ81" s="24"/>
      <c r="FK81" s="24"/>
      <c r="FL81" s="24"/>
      <c r="FM81" s="24"/>
      <c r="FN81" s="24"/>
      <c r="FO81" s="24"/>
      <c r="FP81" s="24"/>
      <c r="FQ81" s="24"/>
      <c r="FR81" s="24"/>
      <c r="FS81" s="24"/>
      <c r="FT81" s="24"/>
      <c r="FU81" s="24"/>
      <c r="FV81" s="24"/>
      <c r="FW81" s="24"/>
      <c r="FX81" s="24"/>
      <c r="FY81" s="24"/>
      <c r="FZ81" s="24"/>
      <c r="GA81" s="24"/>
      <c r="GB81" s="24"/>
      <c r="GC81" s="24"/>
      <c r="GD81" s="24"/>
      <c r="GE81" s="24"/>
      <c r="GF81" s="24"/>
      <c r="GG81" s="24"/>
      <c r="GH81" s="24"/>
      <c r="GI81" s="24"/>
      <c r="GJ81" s="24"/>
      <c r="GK81" s="24"/>
      <c r="GL81" s="24"/>
      <c r="GM81" s="24"/>
      <c r="GN81" s="24"/>
      <c r="GO81" s="24"/>
      <c r="GP81" s="24"/>
      <c r="GQ81" s="24"/>
      <c r="GR81" s="24"/>
      <c r="GS81" s="24"/>
      <c r="GT81" s="24"/>
      <c r="GU81" s="24"/>
      <c r="GV81" s="24"/>
      <c r="GW81" s="24"/>
      <c r="GX81" s="24"/>
      <c r="GY81" s="24"/>
      <c r="GZ81" s="24"/>
      <c r="HA81" s="24"/>
      <c r="HB81" s="24"/>
      <c r="HC81" s="24"/>
      <c r="HD81" s="24"/>
      <c r="HE81" s="24"/>
      <c r="HF81" s="24"/>
      <c r="HG81" s="24"/>
      <c r="HH81" s="24"/>
      <c r="HI81" s="24"/>
      <c r="HJ81" s="24"/>
      <c r="HK81" s="24"/>
      <c r="HL81" s="24"/>
      <c r="HM81" s="24"/>
      <c r="HN81" s="24"/>
      <c r="HO81" s="24"/>
      <c r="HP81" s="24"/>
      <c r="HQ81" s="24"/>
      <c r="HR81" s="24"/>
      <c r="HS81" s="24"/>
      <c r="HT81" s="24"/>
      <c r="HU81" s="24"/>
      <c r="HV81" s="24"/>
      <c r="HW81" s="24"/>
      <c r="HX81" s="24"/>
      <c r="HY81" s="24"/>
      <c r="HZ81" s="24"/>
      <c r="IA81" s="24"/>
      <c r="IB81" s="24"/>
      <c r="IC81" s="24"/>
      <c r="ID81" s="24"/>
      <c r="IE81" s="24"/>
      <c r="IF81" s="24"/>
      <c r="IG81" s="24"/>
      <c r="IH81" s="24"/>
      <c r="II81" s="24"/>
      <c r="IJ81" s="24"/>
      <c r="IK81" s="24"/>
      <c r="IL81" s="24"/>
      <c r="IM81" s="24"/>
      <c r="IN81" s="24"/>
      <c r="IO81" s="24"/>
      <c r="IP81" s="24"/>
      <c r="IQ81" s="24"/>
      <c r="IR81" s="24"/>
      <c r="IS81" s="24"/>
      <c r="IT81" s="24"/>
      <c r="IU81" s="24"/>
      <c r="IV81" s="24"/>
      <c r="IW81" s="24"/>
      <c r="IX81" s="24"/>
      <c r="IY81" s="24"/>
      <c r="IZ81" s="24"/>
      <c r="JA81" s="24"/>
      <c r="JB81" s="24"/>
      <c r="JC81" s="24"/>
      <c r="JD81" s="24"/>
      <c r="JE81" s="24"/>
      <c r="JF81" s="24"/>
      <c r="JG81" s="24"/>
      <c r="JH81" s="24"/>
      <c r="JI81" s="24"/>
      <c r="JJ81" s="24"/>
      <c r="JK81" s="24"/>
      <c r="JL81" s="24"/>
      <c r="JM81" s="24"/>
      <c r="JN81" s="24"/>
      <c r="JO81" s="24"/>
      <c r="JP81" s="24"/>
      <c r="JQ81" s="24"/>
      <c r="JR81" s="24"/>
      <c r="JS81" s="24"/>
      <c r="JT81" s="24"/>
      <c r="JU81" s="24"/>
      <c r="JV81" s="24"/>
      <c r="JW81" s="24"/>
      <c r="JX81" s="24"/>
      <c r="JY81" s="24"/>
      <c r="JZ81" s="24"/>
      <c r="KA81" s="24"/>
      <c r="KB81" s="24"/>
      <c r="KC81" s="24"/>
      <c r="KD81" s="24"/>
      <c r="KE81" s="24"/>
      <c r="KF81" s="24"/>
      <c r="KG81" s="24"/>
      <c r="KH81" s="24"/>
      <c r="KI81" s="24"/>
      <c r="KJ81" s="24"/>
      <c r="KK81" s="24"/>
      <c r="KL81" s="24"/>
      <c r="KM81" s="24"/>
      <c r="KN81" s="24"/>
      <c r="KO81" s="24"/>
      <c r="KP81" s="24"/>
      <c r="KQ81" s="24"/>
      <c r="KR81" s="24"/>
      <c r="KS81" s="24"/>
      <c r="KT81" s="24"/>
      <c r="KU81" s="24"/>
      <c r="KV81" s="24"/>
      <c r="KW81" s="24"/>
      <c r="KX81" s="24"/>
      <c r="KY81" s="24"/>
      <c r="KZ81" s="24"/>
      <c r="LA81" s="24"/>
      <c r="LB81" s="24"/>
      <c r="LC81" s="24"/>
      <c r="LD81" s="24"/>
      <c r="LE81" s="24"/>
      <c r="LF81" s="24"/>
      <c r="LG81" s="24"/>
      <c r="LH81" s="24"/>
      <c r="LI81" s="24"/>
      <c r="LJ81" s="24"/>
      <c r="LK81" s="24"/>
      <c r="LL81" s="24"/>
      <c r="LM81" s="24"/>
      <c r="LN81" s="24"/>
      <c r="LO81" s="24"/>
      <c r="LP81" s="24"/>
      <c r="LQ81" s="24"/>
      <c r="LR81" s="24"/>
      <c r="LS81" s="24"/>
      <c r="LT81" s="24"/>
      <c r="LU81" s="24"/>
      <c r="LV81" s="24"/>
      <c r="LW81" s="24"/>
      <c r="LX81" s="24"/>
      <c r="LY81" s="24"/>
      <c r="LZ81" s="24"/>
      <c r="MA81" s="24"/>
      <c r="MB81" s="24"/>
      <c r="MC81" s="24"/>
      <c r="MD81" s="24"/>
      <c r="ME81" s="24"/>
      <c r="MF81" s="24"/>
      <c r="MG81" s="24"/>
      <c r="MH81" s="24"/>
      <c r="MI81" s="24"/>
      <c r="MJ81" s="24"/>
      <c r="MK81" s="24"/>
      <c r="ML81" s="24"/>
      <c r="MM81" s="24"/>
      <c r="MN81" s="24"/>
      <c r="MO81" s="24"/>
      <c r="MP81" s="24"/>
      <c r="MQ81" s="24"/>
      <c r="MR81" s="24"/>
      <c r="MS81" s="24"/>
      <c r="MT81" s="24"/>
      <c r="MU81" s="24"/>
      <c r="MV81" s="24"/>
      <c r="MW81" s="24"/>
      <c r="MX81" s="24"/>
      <c r="MY81" s="24"/>
      <c r="MZ81" s="24"/>
      <c r="NA81" s="24"/>
      <c r="NB81" s="24"/>
      <c r="NC81" s="24"/>
      <c r="ND81" s="24"/>
      <c r="NE81" s="24"/>
      <c r="NF81" s="24"/>
      <c r="NG81" s="24"/>
      <c r="NH81" s="24"/>
      <c r="NI81" s="24"/>
      <c r="NJ81" s="22">
        <f t="array" aca="1" ref="NJ81" ca="1">SUMPRODUCT((OFFSET($A81,0,31*($A$3-1)+1,1,31)&lt;&gt;"")*(IF(OFFSET($A81,0,31*($A$3-1)+1,1,31)=Database!$K$11,0.5,IF(OFFSET($A81,0,31*($A$3-1)+1,1,31)=Database!$K$12,0.5,1))*(OFFSET($A$4,0,31*($A$3-1)+1,1,31))))</f>
        <v>0</v>
      </c>
      <c r="NK81" s="23">
        <f t="array" aca="1" ref="NK81" ca="1">SUMPRODUCT((OFFSET($A81,0,1,1,372)&lt;&gt;"")*(IF(OFFSET($A81,0,1,1,372)=Database!$K$11,0.5,IF(OFFSET($A81,0,1,1,372)=Database!$K$12,0.5,1))*(OFFSET($A$3,0,1,1,372))))</f>
        <v>0</v>
      </c>
      <c r="NL81" s="21">
        <f t="shared" ca="1" si="11"/>
        <v>0</v>
      </c>
      <c r="NM81" s="21">
        <f t="shared" ca="1" si="11"/>
        <v>0</v>
      </c>
      <c r="NN81" s="21">
        <f t="shared" ca="1" si="11"/>
        <v>0</v>
      </c>
      <c r="NO81" s="21">
        <f t="shared" ca="1" si="11"/>
        <v>0</v>
      </c>
      <c r="NP81" s="21">
        <f t="shared" ca="1" si="11"/>
        <v>0</v>
      </c>
      <c r="NQ81" s="21">
        <f t="shared" ca="1" si="11"/>
        <v>0</v>
      </c>
      <c r="NR81" s="21">
        <f t="shared" ca="1" si="11"/>
        <v>0</v>
      </c>
      <c r="NS81" s="21">
        <f t="shared" ca="1" si="11"/>
        <v>0</v>
      </c>
      <c r="NT81" s="21">
        <f t="shared" ca="1" si="11"/>
        <v>0</v>
      </c>
      <c r="NU81" s="21">
        <f t="shared" ca="1" si="11"/>
        <v>0</v>
      </c>
    </row>
    <row r="82" spans="1:385" ht="18" hidden="1" customHeight="1" outlineLevel="1" x14ac:dyDescent="0.25">
      <c r="A82" s="26"/>
      <c r="B82" s="24"/>
      <c r="C82" s="24"/>
      <c r="D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c r="BE82" s="24"/>
      <c r="BF82" s="24"/>
      <c r="BG82" s="24"/>
      <c r="BH82" s="24"/>
      <c r="BI82" s="24"/>
      <c r="BJ82" s="24"/>
      <c r="BK82" s="24"/>
      <c r="BL82" s="24"/>
      <c r="BM82" s="24"/>
      <c r="BN82" s="24"/>
      <c r="BO82" s="24"/>
      <c r="BP82" s="24"/>
      <c r="BQ82" s="24"/>
      <c r="BR82" s="24"/>
      <c r="BS82" s="24"/>
      <c r="BT82" s="24"/>
      <c r="BU82" s="24"/>
      <c r="BV82" s="24"/>
      <c r="BW82" s="24"/>
      <c r="BX82" s="24"/>
      <c r="BY82" s="24"/>
      <c r="BZ82" s="24"/>
      <c r="CA82" s="24"/>
      <c r="CB82" s="24"/>
      <c r="CC82" s="24"/>
      <c r="CD82" s="24"/>
      <c r="CE82" s="24"/>
      <c r="CF82" s="24"/>
      <c r="CG82" s="24"/>
      <c r="CH82" s="24"/>
      <c r="CI82" s="24"/>
      <c r="CJ82" s="24"/>
      <c r="CK82" s="24"/>
      <c r="CL82" s="24"/>
      <c r="CM82" s="24"/>
      <c r="CN82" s="24"/>
      <c r="CO82" s="24"/>
      <c r="CP82" s="24"/>
      <c r="CQ82" s="24"/>
      <c r="CR82" s="24"/>
      <c r="CS82" s="24"/>
      <c r="CT82" s="24"/>
      <c r="CU82" s="24"/>
      <c r="CV82" s="24"/>
      <c r="CW82" s="24"/>
      <c r="CX82" s="24"/>
      <c r="CY82" s="24"/>
      <c r="CZ82" s="24"/>
      <c r="DA82" s="24"/>
      <c r="DB82" s="24"/>
      <c r="DC82" s="24"/>
      <c r="DD82" s="24"/>
      <c r="DE82" s="24"/>
      <c r="DF82" s="24"/>
      <c r="DG82" s="24"/>
      <c r="DH82" s="24"/>
      <c r="DI82" s="24"/>
      <c r="DJ82" s="24"/>
      <c r="DK82" s="24"/>
      <c r="DL82" s="24"/>
      <c r="DM82" s="24"/>
      <c r="DN82" s="24"/>
      <c r="DO82" s="24"/>
      <c r="DP82" s="24"/>
      <c r="DQ82" s="24"/>
      <c r="DR82" s="24"/>
      <c r="DS82" s="24"/>
      <c r="DT82" s="24"/>
      <c r="DU82" s="24"/>
      <c r="DV82" s="24"/>
      <c r="DW82" s="24"/>
      <c r="DX82" s="24"/>
      <c r="DY82" s="24"/>
      <c r="DZ82" s="24"/>
      <c r="EA82" s="24"/>
      <c r="EB82" s="24"/>
      <c r="EC82" s="24"/>
      <c r="ED82" s="24"/>
      <c r="EE82" s="24"/>
      <c r="EF82" s="24"/>
      <c r="EG82" s="24"/>
      <c r="EH82" s="24"/>
      <c r="EI82" s="24"/>
      <c r="EJ82" s="24"/>
      <c r="EK82" s="24"/>
      <c r="EL82" s="24"/>
      <c r="EM82" s="24"/>
      <c r="EN82" s="24"/>
      <c r="EO82" s="24"/>
      <c r="EP82" s="24"/>
      <c r="EQ82" s="24"/>
      <c r="ER82" s="24"/>
      <c r="ES82" s="24"/>
      <c r="ET82" s="24"/>
      <c r="EU82" s="24"/>
      <c r="EV82" s="24"/>
      <c r="EW82" s="24"/>
      <c r="EX82" s="24"/>
      <c r="EY82" s="24"/>
      <c r="EZ82" s="24"/>
      <c r="FA82" s="24"/>
      <c r="FB82" s="24"/>
      <c r="FC82" s="24"/>
      <c r="FD82" s="24"/>
      <c r="FE82" s="24"/>
      <c r="FF82" s="24"/>
      <c r="FG82" s="24"/>
      <c r="FH82" s="24"/>
      <c r="FI82" s="24"/>
      <c r="FJ82" s="24"/>
      <c r="FK82" s="24"/>
      <c r="FL82" s="24"/>
      <c r="FM82" s="24"/>
      <c r="FN82" s="24"/>
      <c r="FO82" s="24"/>
      <c r="FP82" s="24"/>
      <c r="FQ82" s="24"/>
      <c r="FR82" s="24"/>
      <c r="FS82" s="24"/>
      <c r="FT82" s="24"/>
      <c r="FU82" s="24"/>
      <c r="FV82" s="24"/>
      <c r="FW82" s="24"/>
      <c r="FX82" s="24"/>
      <c r="FY82" s="24"/>
      <c r="FZ82" s="24"/>
      <c r="GA82" s="24"/>
      <c r="GB82" s="24"/>
      <c r="GC82" s="24"/>
      <c r="GD82" s="24"/>
      <c r="GE82" s="24"/>
      <c r="GF82" s="24"/>
      <c r="GG82" s="24"/>
      <c r="GH82" s="24"/>
      <c r="GI82" s="24"/>
      <c r="GJ82" s="24"/>
      <c r="GK82" s="24"/>
      <c r="GL82" s="24"/>
      <c r="GM82" s="24"/>
      <c r="GN82" s="24"/>
      <c r="GO82" s="24"/>
      <c r="GP82" s="24"/>
      <c r="GQ82" s="24"/>
      <c r="GR82" s="24"/>
      <c r="GS82" s="24"/>
      <c r="GT82" s="24"/>
      <c r="GU82" s="24"/>
      <c r="GV82" s="24"/>
      <c r="GW82" s="24"/>
      <c r="GX82" s="24"/>
      <c r="GY82" s="24"/>
      <c r="GZ82" s="24"/>
      <c r="HA82" s="24"/>
      <c r="HB82" s="24"/>
      <c r="HC82" s="24"/>
      <c r="HD82" s="24"/>
      <c r="HE82" s="24"/>
      <c r="HF82" s="24"/>
      <c r="HG82" s="24"/>
      <c r="HH82" s="24"/>
      <c r="HI82" s="24"/>
      <c r="HJ82" s="24"/>
      <c r="HK82" s="24"/>
      <c r="HL82" s="24"/>
      <c r="HM82" s="24"/>
      <c r="HN82" s="24"/>
      <c r="HO82" s="24"/>
      <c r="HP82" s="24"/>
      <c r="HQ82" s="24"/>
      <c r="HR82" s="24"/>
      <c r="HS82" s="24"/>
      <c r="HT82" s="24"/>
      <c r="HU82" s="24"/>
      <c r="HV82" s="24"/>
      <c r="HW82" s="24"/>
      <c r="HX82" s="24"/>
      <c r="HY82" s="24"/>
      <c r="HZ82" s="24"/>
      <c r="IA82" s="24"/>
      <c r="IB82" s="24"/>
      <c r="IC82" s="24"/>
      <c r="ID82" s="24"/>
      <c r="IE82" s="24"/>
      <c r="IF82" s="24"/>
      <c r="IG82" s="24"/>
      <c r="IH82" s="24"/>
      <c r="II82" s="24"/>
      <c r="IJ82" s="24"/>
      <c r="IK82" s="24"/>
      <c r="IL82" s="24"/>
      <c r="IM82" s="24"/>
      <c r="IN82" s="24"/>
      <c r="IO82" s="24"/>
      <c r="IP82" s="24"/>
      <c r="IQ82" s="24"/>
      <c r="IR82" s="24"/>
      <c r="IS82" s="24"/>
      <c r="IT82" s="24"/>
      <c r="IU82" s="24"/>
      <c r="IV82" s="24"/>
      <c r="IW82" s="24"/>
      <c r="IX82" s="24"/>
      <c r="IY82" s="24"/>
      <c r="IZ82" s="24"/>
      <c r="JA82" s="24"/>
      <c r="JB82" s="24"/>
      <c r="JC82" s="24"/>
      <c r="JD82" s="24"/>
      <c r="JE82" s="24"/>
      <c r="JF82" s="24"/>
      <c r="JG82" s="24"/>
      <c r="JH82" s="24"/>
      <c r="JI82" s="24"/>
      <c r="JJ82" s="24"/>
      <c r="JK82" s="24"/>
      <c r="JL82" s="24"/>
      <c r="JM82" s="24"/>
      <c r="JN82" s="24"/>
      <c r="JO82" s="24"/>
      <c r="JP82" s="24"/>
      <c r="JQ82" s="24"/>
      <c r="JR82" s="24"/>
      <c r="JS82" s="24"/>
      <c r="JT82" s="24"/>
      <c r="JU82" s="24"/>
      <c r="JV82" s="24"/>
      <c r="JW82" s="24"/>
      <c r="JX82" s="24"/>
      <c r="JY82" s="24"/>
      <c r="JZ82" s="24"/>
      <c r="KA82" s="24"/>
      <c r="KB82" s="24"/>
      <c r="KC82" s="24"/>
      <c r="KD82" s="24"/>
      <c r="KE82" s="24"/>
      <c r="KF82" s="24"/>
      <c r="KG82" s="24"/>
      <c r="KH82" s="24"/>
      <c r="KI82" s="24"/>
      <c r="KJ82" s="24"/>
      <c r="KK82" s="24"/>
      <c r="KL82" s="24"/>
      <c r="KM82" s="24"/>
      <c r="KN82" s="24"/>
      <c r="KO82" s="24"/>
      <c r="KP82" s="24"/>
      <c r="KQ82" s="24"/>
      <c r="KR82" s="24"/>
      <c r="KS82" s="24"/>
      <c r="KT82" s="24"/>
      <c r="KU82" s="24"/>
      <c r="KV82" s="24"/>
      <c r="KW82" s="24"/>
      <c r="KX82" s="24"/>
      <c r="KY82" s="24"/>
      <c r="KZ82" s="24"/>
      <c r="LA82" s="24"/>
      <c r="LB82" s="24"/>
      <c r="LC82" s="24"/>
      <c r="LD82" s="24"/>
      <c r="LE82" s="24"/>
      <c r="LF82" s="24"/>
      <c r="LG82" s="24"/>
      <c r="LH82" s="24"/>
      <c r="LI82" s="24"/>
      <c r="LJ82" s="24"/>
      <c r="LK82" s="24"/>
      <c r="LL82" s="24"/>
      <c r="LM82" s="24"/>
      <c r="LN82" s="24"/>
      <c r="LO82" s="24"/>
      <c r="LP82" s="24"/>
      <c r="LQ82" s="24"/>
      <c r="LR82" s="24"/>
      <c r="LS82" s="24"/>
      <c r="LT82" s="24"/>
      <c r="LU82" s="24"/>
      <c r="LV82" s="24"/>
      <c r="LW82" s="24"/>
      <c r="LX82" s="24"/>
      <c r="LY82" s="24"/>
      <c r="LZ82" s="24"/>
      <c r="MA82" s="24"/>
      <c r="MB82" s="24"/>
      <c r="MC82" s="24"/>
      <c r="MD82" s="24"/>
      <c r="ME82" s="24"/>
      <c r="MF82" s="24"/>
      <c r="MG82" s="24"/>
      <c r="MH82" s="24"/>
      <c r="MI82" s="24"/>
      <c r="MJ82" s="24"/>
      <c r="MK82" s="24"/>
      <c r="ML82" s="24"/>
      <c r="MM82" s="24"/>
      <c r="MN82" s="24"/>
      <c r="MO82" s="24"/>
      <c r="MP82" s="24"/>
      <c r="MQ82" s="24"/>
      <c r="MR82" s="24"/>
      <c r="MS82" s="24"/>
      <c r="MT82" s="24"/>
      <c r="MU82" s="24"/>
      <c r="MV82" s="24"/>
      <c r="MW82" s="24"/>
      <c r="MX82" s="24"/>
      <c r="MY82" s="24"/>
      <c r="MZ82" s="24"/>
      <c r="NA82" s="24"/>
      <c r="NB82" s="24"/>
      <c r="NC82" s="24"/>
      <c r="ND82" s="24"/>
      <c r="NE82" s="24"/>
      <c r="NF82" s="24"/>
      <c r="NG82" s="24"/>
      <c r="NH82" s="24"/>
      <c r="NI82" s="24"/>
      <c r="NJ82" s="22">
        <f t="array" aca="1" ref="NJ82" ca="1">SUMPRODUCT((OFFSET($A82,0,31*($A$3-1)+1,1,31)&lt;&gt;"")*(IF(OFFSET($A82,0,31*($A$3-1)+1,1,31)=Database!$K$11,0.5,IF(OFFSET($A82,0,31*($A$3-1)+1,1,31)=Database!$K$12,0.5,1))*(OFFSET($A$4,0,31*($A$3-1)+1,1,31))))</f>
        <v>0</v>
      </c>
      <c r="NK82" s="23">
        <f t="array" aca="1" ref="NK82" ca="1">SUMPRODUCT((OFFSET($A82,0,1,1,372)&lt;&gt;"")*(IF(OFFSET($A82,0,1,1,372)=Database!$K$11,0.5,IF(OFFSET($A82,0,1,1,372)=Database!$K$12,0.5,1))*(OFFSET($A$3,0,1,1,372))))</f>
        <v>0</v>
      </c>
      <c r="NL82" s="21">
        <f t="shared" ca="1" si="11"/>
        <v>0</v>
      </c>
      <c r="NM82" s="21">
        <f t="shared" ca="1" si="11"/>
        <v>0</v>
      </c>
      <c r="NN82" s="21">
        <f t="shared" ca="1" si="11"/>
        <v>0</v>
      </c>
      <c r="NO82" s="21">
        <f t="shared" ca="1" si="11"/>
        <v>0</v>
      </c>
      <c r="NP82" s="21">
        <f t="shared" ca="1" si="11"/>
        <v>0</v>
      </c>
      <c r="NQ82" s="21">
        <f t="shared" ca="1" si="11"/>
        <v>0</v>
      </c>
      <c r="NR82" s="21">
        <f t="shared" ca="1" si="11"/>
        <v>0</v>
      </c>
      <c r="NS82" s="21">
        <f t="shared" ca="1" si="11"/>
        <v>0</v>
      </c>
      <c r="NT82" s="21">
        <f t="shared" ca="1" si="11"/>
        <v>0</v>
      </c>
      <c r="NU82" s="21">
        <f t="shared" ca="1" si="11"/>
        <v>0</v>
      </c>
    </row>
    <row r="83" spans="1:385" ht="18" hidden="1" customHeight="1" outlineLevel="1" x14ac:dyDescent="0.25">
      <c r="A83" s="26"/>
      <c r="B83" s="24"/>
      <c r="C83" s="24"/>
      <c r="D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c r="BE83" s="24"/>
      <c r="BF83" s="24"/>
      <c r="BG83" s="24"/>
      <c r="BH83" s="24"/>
      <c r="BI83" s="24"/>
      <c r="BJ83" s="24"/>
      <c r="BK83" s="24"/>
      <c r="BL83" s="24"/>
      <c r="BM83" s="24"/>
      <c r="BN83" s="24"/>
      <c r="BO83" s="24"/>
      <c r="BP83" s="24"/>
      <c r="BQ83" s="24"/>
      <c r="BR83" s="24"/>
      <c r="BS83" s="24"/>
      <c r="BT83" s="24"/>
      <c r="BU83" s="24"/>
      <c r="BV83" s="24"/>
      <c r="BW83" s="24"/>
      <c r="BX83" s="24"/>
      <c r="BY83" s="24"/>
      <c r="BZ83" s="24"/>
      <c r="CA83" s="24"/>
      <c r="CB83" s="24"/>
      <c r="CC83" s="24"/>
      <c r="CD83" s="24"/>
      <c r="CE83" s="24"/>
      <c r="CF83" s="24"/>
      <c r="CG83" s="24"/>
      <c r="CH83" s="24"/>
      <c r="CI83" s="24"/>
      <c r="CJ83" s="24"/>
      <c r="CK83" s="24"/>
      <c r="CL83" s="24"/>
      <c r="CM83" s="24"/>
      <c r="CN83" s="24"/>
      <c r="CO83" s="24"/>
      <c r="CP83" s="24"/>
      <c r="CQ83" s="24"/>
      <c r="CR83" s="24"/>
      <c r="CS83" s="24"/>
      <c r="CT83" s="24"/>
      <c r="CU83" s="24"/>
      <c r="CV83" s="24"/>
      <c r="CW83" s="24"/>
      <c r="CX83" s="24"/>
      <c r="CY83" s="24"/>
      <c r="CZ83" s="24"/>
      <c r="DA83" s="24"/>
      <c r="DB83" s="24"/>
      <c r="DC83" s="24"/>
      <c r="DD83" s="24"/>
      <c r="DE83" s="24"/>
      <c r="DF83" s="24"/>
      <c r="DG83" s="24"/>
      <c r="DH83" s="24"/>
      <c r="DI83" s="24"/>
      <c r="DJ83" s="24"/>
      <c r="DK83" s="24"/>
      <c r="DL83" s="24"/>
      <c r="DM83" s="24"/>
      <c r="DN83" s="24"/>
      <c r="DO83" s="24"/>
      <c r="DP83" s="24"/>
      <c r="DQ83" s="24"/>
      <c r="DR83" s="24"/>
      <c r="DS83" s="24"/>
      <c r="DT83" s="24"/>
      <c r="DU83" s="24"/>
      <c r="DV83" s="24"/>
      <c r="DW83" s="24"/>
      <c r="DX83" s="24"/>
      <c r="DY83" s="24"/>
      <c r="DZ83" s="24"/>
      <c r="EA83" s="24"/>
      <c r="EB83" s="24"/>
      <c r="EC83" s="24"/>
      <c r="ED83" s="24"/>
      <c r="EE83" s="24"/>
      <c r="EF83" s="24"/>
      <c r="EG83" s="24"/>
      <c r="EH83" s="24"/>
      <c r="EI83" s="24"/>
      <c r="EJ83" s="24"/>
      <c r="EK83" s="24"/>
      <c r="EL83" s="24"/>
      <c r="EM83" s="24"/>
      <c r="EN83" s="24"/>
      <c r="EO83" s="24"/>
      <c r="EP83" s="24"/>
      <c r="EQ83" s="24"/>
      <c r="ER83" s="24"/>
      <c r="ES83" s="24"/>
      <c r="ET83" s="24"/>
      <c r="EU83" s="24"/>
      <c r="EV83" s="24"/>
      <c r="EW83" s="24"/>
      <c r="EX83" s="24"/>
      <c r="EY83" s="24"/>
      <c r="EZ83" s="24"/>
      <c r="FA83" s="24"/>
      <c r="FB83" s="24"/>
      <c r="FC83" s="24"/>
      <c r="FD83" s="24"/>
      <c r="FE83" s="24"/>
      <c r="FF83" s="24"/>
      <c r="FG83" s="24"/>
      <c r="FH83" s="24"/>
      <c r="FI83" s="24"/>
      <c r="FJ83" s="24"/>
      <c r="FK83" s="24"/>
      <c r="FL83" s="24"/>
      <c r="FM83" s="24"/>
      <c r="FN83" s="24"/>
      <c r="FO83" s="24"/>
      <c r="FP83" s="24"/>
      <c r="FQ83" s="24"/>
      <c r="FR83" s="24"/>
      <c r="FS83" s="24"/>
      <c r="FT83" s="24"/>
      <c r="FU83" s="24"/>
      <c r="FV83" s="24"/>
      <c r="FW83" s="24"/>
      <c r="FX83" s="24"/>
      <c r="FY83" s="24"/>
      <c r="FZ83" s="24"/>
      <c r="GA83" s="24"/>
      <c r="GB83" s="24"/>
      <c r="GC83" s="24"/>
      <c r="GD83" s="24"/>
      <c r="GE83" s="24"/>
      <c r="GF83" s="24"/>
      <c r="GG83" s="24"/>
      <c r="GH83" s="24"/>
      <c r="GI83" s="24"/>
      <c r="GJ83" s="24"/>
      <c r="GK83" s="24"/>
      <c r="GL83" s="24"/>
      <c r="GM83" s="24"/>
      <c r="GN83" s="24"/>
      <c r="GO83" s="24"/>
      <c r="GP83" s="24"/>
      <c r="GQ83" s="24"/>
      <c r="GR83" s="24"/>
      <c r="GS83" s="24"/>
      <c r="GT83" s="24"/>
      <c r="GU83" s="24"/>
      <c r="GV83" s="24"/>
      <c r="GW83" s="24"/>
      <c r="GX83" s="24"/>
      <c r="GY83" s="24"/>
      <c r="GZ83" s="24"/>
      <c r="HA83" s="24"/>
      <c r="HB83" s="24"/>
      <c r="HC83" s="24"/>
      <c r="HD83" s="24"/>
      <c r="HE83" s="24"/>
      <c r="HF83" s="24"/>
      <c r="HG83" s="24"/>
      <c r="HH83" s="24"/>
      <c r="HI83" s="24"/>
      <c r="HJ83" s="24"/>
      <c r="HK83" s="24"/>
      <c r="HL83" s="24"/>
      <c r="HM83" s="24"/>
      <c r="HN83" s="24"/>
      <c r="HO83" s="24"/>
      <c r="HP83" s="24"/>
      <c r="HQ83" s="24"/>
      <c r="HR83" s="24"/>
      <c r="HS83" s="24"/>
      <c r="HT83" s="24"/>
      <c r="HU83" s="24"/>
      <c r="HV83" s="24"/>
      <c r="HW83" s="24"/>
      <c r="HX83" s="24"/>
      <c r="HY83" s="24"/>
      <c r="HZ83" s="24"/>
      <c r="IA83" s="24"/>
      <c r="IB83" s="24"/>
      <c r="IC83" s="24"/>
      <c r="ID83" s="24"/>
      <c r="IE83" s="24"/>
      <c r="IF83" s="24"/>
      <c r="IG83" s="24"/>
      <c r="IH83" s="24"/>
      <c r="II83" s="24"/>
      <c r="IJ83" s="24"/>
      <c r="IK83" s="24"/>
      <c r="IL83" s="24"/>
      <c r="IM83" s="24"/>
      <c r="IN83" s="24"/>
      <c r="IO83" s="24"/>
      <c r="IP83" s="24"/>
      <c r="IQ83" s="24"/>
      <c r="IR83" s="24"/>
      <c r="IS83" s="24"/>
      <c r="IT83" s="24"/>
      <c r="IU83" s="24"/>
      <c r="IV83" s="24"/>
      <c r="IW83" s="24"/>
      <c r="IX83" s="24"/>
      <c r="IY83" s="24"/>
      <c r="IZ83" s="24"/>
      <c r="JA83" s="24"/>
      <c r="JB83" s="24"/>
      <c r="JC83" s="24"/>
      <c r="JD83" s="24"/>
      <c r="JE83" s="24"/>
      <c r="JF83" s="24"/>
      <c r="JG83" s="24"/>
      <c r="JH83" s="24"/>
      <c r="JI83" s="24"/>
      <c r="JJ83" s="24"/>
      <c r="JK83" s="24"/>
      <c r="JL83" s="24"/>
      <c r="JM83" s="24"/>
      <c r="JN83" s="24"/>
      <c r="JO83" s="24"/>
      <c r="JP83" s="24"/>
      <c r="JQ83" s="24"/>
      <c r="JR83" s="24"/>
      <c r="JS83" s="24"/>
      <c r="JT83" s="24"/>
      <c r="JU83" s="24"/>
      <c r="JV83" s="24"/>
      <c r="JW83" s="24"/>
      <c r="JX83" s="24"/>
      <c r="JY83" s="24"/>
      <c r="JZ83" s="24"/>
      <c r="KA83" s="24"/>
      <c r="KB83" s="24"/>
      <c r="KC83" s="24"/>
      <c r="KD83" s="24"/>
      <c r="KE83" s="24"/>
      <c r="KF83" s="24"/>
      <c r="KG83" s="24"/>
      <c r="KH83" s="24"/>
      <c r="KI83" s="24"/>
      <c r="KJ83" s="24"/>
      <c r="KK83" s="24"/>
      <c r="KL83" s="24"/>
      <c r="KM83" s="24"/>
      <c r="KN83" s="24"/>
      <c r="KO83" s="24"/>
      <c r="KP83" s="24"/>
      <c r="KQ83" s="24"/>
      <c r="KR83" s="24"/>
      <c r="KS83" s="24"/>
      <c r="KT83" s="24"/>
      <c r="KU83" s="24"/>
      <c r="KV83" s="24"/>
      <c r="KW83" s="24"/>
      <c r="KX83" s="24"/>
      <c r="KY83" s="24"/>
      <c r="KZ83" s="24"/>
      <c r="LA83" s="24"/>
      <c r="LB83" s="24"/>
      <c r="LC83" s="24"/>
      <c r="LD83" s="24"/>
      <c r="LE83" s="24"/>
      <c r="LF83" s="24"/>
      <c r="LG83" s="24"/>
      <c r="LH83" s="24"/>
      <c r="LI83" s="24"/>
      <c r="LJ83" s="24"/>
      <c r="LK83" s="24"/>
      <c r="LL83" s="24"/>
      <c r="LM83" s="24"/>
      <c r="LN83" s="24"/>
      <c r="LO83" s="24"/>
      <c r="LP83" s="24"/>
      <c r="LQ83" s="24"/>
      <c r="LR83" s="24"/>
      <c r="LS83" s="24"/>
      <c r="LT83" s="24"/>
      <c r="LU83" s="24"/>
      <c r="LV83" s="24"/>
      <c r="LW83" s="24"/>
      <c r="LX83" s="24"/>
      <c r="LY83" s="24"/>
      <c r="LZ83" s="24"/>
      <c r="MA83" s="24"/>
      <c r="MB83" s="24"/>
      <c r="MC83" s="24"/>
      <c r="MD83" s="24"/>
      <c r="ME83" s="24"/>
      <c r="MF83" s="24"/>
      <c r="MG83" s="24"/>
      <c r="MH83" s="24"/>
      <c r="MI83" s="24"/>
      <c r="MJ83" s="24"/>
      <c r="MK83" s="24"/>
      <c r="ML83" s="24"/>
      <c r="MM83" s="24"/>
      <c r="MN83" s="24"/>
      <c r="MO83" s="24"/>
      <c r="MP83" s="24"/>
      <c r="MQ83" s="24"/>
      <c r="MR83" s="24"/>
      <c r="MS83" s="24"/>
      <c r="MT83" s="24"/>
      <c r="MU83" s="24"/>
      <c r="MV83" s="24"/>
      <c r="MW83" s="24"/>
      <c r="MX83" s="24"/>
      <c r="MY83" s="24"/>
      <c r="MZ83" s="24"/>
      <c r="NA83" s="24"/>
      <c r="NB83" s="24"/>
      <c r="NC83" s="24"/>
      <c r="ND83" s="24"/>
      <c r="NE83" s="24"/>
      <c r="NF83" s="24"/>
      <c r="NG83" s="24"/>
      <c r="NH83" s="24"/>
      <c r="NI83" s="24"/>
      <c r="NJ83" s="22">
        <f t="array" aca="1" ref="NJ83" ca="1">SUMPRODUCT((OFFSET($A83,0,31*($A$3-1)+1,1,31)&lt;&gt;"")*(IF(OFFSET($A83,0,31*($A$3-1)+1,1,31)=Database!$K$11,0.5,IF(OFFSET($A83,0,31*($A$3-1)+1,1,31)=Database!$K$12,0.5,1))*(OFFSET($A$4,0,31*($A$3-1)+1,1,31))))</f>
        <v>0</v>
      </c>
      <c r="NK83" s="23">
        <f t="array" aca="1" ref="NK83" ca="1">SUMPRODUCT((OFFSET($A83,0,1,1,372)&lt;&gt;"")*(IF(OFFSET($A83,0,1,1,372)=Database!$K$11,0.5,IF(OFFSET($A83,0,1,1,372)=Database!$K$12,0.5,1))*(OFFSET($A$3,0,1,1,372))))</f>
        <v>0</v>
      </c>
      <c r="NL83" s="21">
        <f t="shared" ca="1" si="11"/>
        <v>0</v>
      </c>
      <c r="NM83" s="21">
        <f t="shared" ca="1" si="11"/>
        <v>0</v>
      </c>
      <c r="NN83" s="21">
        <f t="shared" ca="1" si="11"/>
        <v>0</v>
      </c>
      <c r="NO83" s="21">
        <f t="shared" ca="1" si="11"/>
        <v>0</v>
      </c>
      <c r="NP83" s="21">
        <f t="shared" ca="1" si="11"/>
        <v>0</v>
      </c>
      <c r="NQ83" s="21">
        <f t="shared" ca="1" si="11"/>
        <v>0</v>
      </c>
      <c r="NR83" s="21">
        <f t="shared" ca="1" si="11"/>
        <v>0</v>
      </c>
      <c r="NS83" s="21">
        <f t="shared" ca="1" si="11"/>
        <v>0</v>
      </c>
      <c r="NT83" s="21">
        <f t="shared" ca="1" si="11"/>
        <v>0</v>
      </c>
      <c r="NU83" s="21">
        <f t="shared" ca="1" si="11"/>
        <v>0</v>
      </c>
    </row>
    <row r="84" spans="1:385" ht="18" hidden="1" customHeight="1" outlineLevel="1" x14ac:dyDescent="0.25">
      <c r="A84" s="26"/>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c r="BE84" s="24"/>
      <c r="BF84" s="24"/>
      <c r="BG84" s="24"/>
      <c r="BH84" s="24"/>
      <c r="BI84" s="24"/>
      <c r="BJ84" s="24"/>
      <c r="BK84" s="24"/>
      <c r="BL84" s="24"/>
      <c r="BM84" s="24"/>
      <c r="BN84" s="24"/>
      <c r="BO84" s="24"/>
      <c r="BP84" s="24"/>
      <c r="BQ84" s="24"/>
      <c r="BR84" s="24"/>
      <c r="BS84" s="24"/>
      <c r="BT84" s="24"/>
      <c r="BU84" s="24"/>
      <c r="BV84" s="24"/>
      <c r="BW84" s="24"/>
      <c r="BX84" s="24"/>
      <c r="BY84" s="24"/>
      <c r="BZ84" s="24"/>
      <c r="CA84" s="24"/>
      <c r="CB84" s="24"/>
      <c r="CC84" s="24"/>
      <c r="CD84" s="24"/>
      <c r="CE84" s="24"/>
      <c r="CF84" s="24"/>
      <c r="CG84" s="24"/>
      <c r="CH84" s="24"/>
      <c r="CI84" s="24"/>
      <c r="CJ84" s="24"/>
      <c r="CK84" s="24"/>
      <c r="CL84" s="24"/>
      <c r="CM84" s="24"/>
      <c r="CN84" s="24"/>
      <c r="CO84" s="24"/>
      <c r="CP84" s="24"/>
      <c r="CQ84" s="24"/>
      <c r="CR84" s="24"/>
      <c r="CS84" s="24"/>
      <c r="CT84" s="24"/>
      <c r="CU84" s="24"/>
      <c r="CV84" s="24"/>
      <c r="CW84" s="24"/>
      <c r="CX84" s="24"/>
      <c r="CY84" s="24"/>
      <c r="CZ84" s="24"/>
      <c r="DA84" s="24"/>
      <c r="DB84" s="24"/>
      <c r="DC84" s="24"/>
      <c r="DD84" s="24"/>
      <c r="DE84" s="24"/>
      <c r="DF84" s="24"/>
      <c r="DG84" s="24"/>
      <c r="DH84" s="24"/>
      <c r="DI84" s="24"/>
      <c r="DJ84" s="24"/>
      <c r="DK84" s="24"/>
      <c r="DL84" s="24"/>
      <c r="DM84" s="24"/>
      <c r="DN84" s="24"/>
      <c r="DO84" s="24"/>
      <c r="DP84" s="24"/>
      <c r="DQ84" s="24"/>
      <c r="DR84" s="24"/>
      <c r="DS84" s="24"/>
      <c r="DT84" s="24"/>
      <c r="DU84" s="24"/>
      <c r="DV84" s="24"/>
      <c r="DW84" s="24"/>
      <c r="DX84" s="24"/>
      <c r="DY84" s="24"/>
      <c r="DZ84" s="24"/>
      <c r="EA84" s="24"/>
      <c r="EB84" s="24"/>
      <c r="EC84" s="24"/>
      <c r="ED84" s="24"/>
      <c r="EE84" s="24"/>
      <c r="EF84" s="24"/>
      <c r="EG84" s="24"/>
      <c r="EH84" s="24"/>
      <c r="EI84" s="24"/>
      <c r="EJ84" s="24"/>
      <c r="EK84" s="24"/>
      <c r="EL84" s="24"/>
      <c r="EM84" s="24"/>
      <c r="EN84" s="24"/>
      <c r="EO84" s="24"/>
      <c r="EP84" s="24"/>
      <c r="EQ84" s="24"/>
      <c r="ER84" s="24"/>
      <c r="ES84" s="24"/>
      <c r="ET84" s="24"/>
      <c r="EU84" s="24"/>
      <c r="EV84" s="24"/>
      <c r="EW84" s="24"/>
      <c r="EX84" s="24"/>
      <c r="EY84" s="24"/>
      <c r="EZ84" s="24"/>
      <c r="FA84" s="24"/>
      <c r="FB84" s="24"/>
      <c r="FC84" s="24"/>
      <c r="FD84" s="24"/>
      <c r="FE84" s="24"/>
      <c r="FF84" s="24"/>
      <c r="FG84" s="24"/>
      <c r="FH84" s="24"/>
      <c r="FI84" s="24"/>
      <c r="FJ84" s="24"/>
      <c r="FK84" s="24"/>
      <c r="FL84" s="24"/>
      <c r="FM84" s="24"/>
      <c r="FN84" s="24"/>
      <c r="FO84" s="24"/>
      <c r="FP84" s="24"/>
      <c r="FQ84" s="24"/>
      <c r="FR84" s="24"/>
      <c r="FS84" s="24"/>
      <c r="FT84" s="24"/>
      <c r="FU84" s="24"/>
      <c r="FV84" s="24"/>
      <c r="FW84" s="24"/>
      <c r="FX84" s="24"/>
      <c r="FY84" s="24"/>
      <c r="FZ84" s="24"/>
      <c r="GA84" s="24"/>
      <c r="GB84" s="24"/>
      <c r="GC84" s="24"/>
      <c r="GD84" s="24"/>
      <c r="GE84" s="24"/>
      <c r="GF84" s="24"/>
      <c r="GG84" s="24"/>
      <c r="GH84" s="24"/>
      <c r="GI84" s="24"/>
      <c r="GJ84" s="24"/>
      <c r="GK84" s="24"/>
      <c r="GL84" s="24"/>
      <c r="GM84" s="24"/>
      <c r="GN84" s="24"/>
      <c r="GO84" s="24"/>
      <c r="GP84" s="24"/>
      <c r="GQ84" s="24"/>
      <c r="GR84" s="24"/>
      <c r="GS84" s="24"/>
      <c r="GT84" s="24"/>
      <c r="GU84" s="24"/>
      <c r="GV84" s="24"/>
      <c r="GW84" s="24"/>
      <c r="GX84" s="24"/>
      <c r="GY84" s="24"/>
      <c r="GZ84" s="24"/>
      <c r="HA84" s="24"/>
      <c r="HB84" s="24"/>
      <c r="HC84" s="24"/>
      <c r="HD84" s="24"/>
      <c r="HE84" s="24"/>
      <c r="HF84" s="24"/>
      <c r="HG84" s="24"/>
      <c r="HH84" s="24"/>
      <c r="HI84" s="24"/>
      <c r="HJ84" s="24"/>
      <c r="HK84" s="24"/>
      <c r="HL84" s="24"/>
      <c r="HM84" s="24"/>
      <c r="HN84" s="24"/>
      <c r="HO84" s="24"/>
      <c r="HP84" s="24"/>
      <c r="HQ84" s="24"/>
      <c r="HR84" s="24"/>
      <c r="HS84" s="24"/>
      <c r="HT84" s="24"/>
      <c r="HU84" s="24"/>
      <c r="HV84" s="24"/>
      <c r="HW84" s="24"/>
      <c r="HX84" s="24"/>
      <c r="HY84" s="24"/>
      <c r="HZ84" s="24"/>
      <c r="IA84" s="24"/>
      <c r="IB84" s="24"/>
      <c r="IC84" s="24"/>
      <c r="ID84" s="24"/>
      <c r="IE84" s="24"/>
      <c r="IF84" s="24"/>
      <c r="IG84" s="24"/>
      <c r="IH84" s="24"/>
      <c r="II84" s="24"/>
      <c r="IJ84" s="24"/>
      <c r="IK84" s="24"/>
      <c r="IL84" s="24"/>
      <c r="IM84" s="24"/>
      <c r="IN84" s="24"/>
      <c r="IO84" s="24"/>
      <c r="IP84" s="24"/>
      <c r="IQ84" s="24"/>
      <c r="IR84" s="24"/>
      <c r="IS84" s="24"/>
      <c r="IT84" s="24"/>
      <c r="IU84" s="24"/>
      <c r="IV84" s="24"/>
      <c r="IW84" s="24"/>
      <c r="IX84" s="24"/>
      <c r="IY84" s="24"/>
      <c r="IZ84" s="24"/>
      <c r="JA84" s="24"/>
      <c r="JB84" s="24"/>
      <c r="JC84" s="24"/>
      <c r="JD84" s="24"/>
      <c r="JE84" s="24"/>
      <c r="JF84" s="24"/>
      <c r="JG84" s="24"/>
      <c r="JH84" s="24"/>
      <c r="JI84" s="24"/>
      <c r="JJ84" s="24"/>
      <c r="JK84" s="24"/>
      <c r="JL84" s="24"/>
      <c r="JM84" s="24"/>
      <c r="JN84" s="24"/>
      <c r="JO84" s="24"/>
      <c r="JP84" s="24"/>
      <c r="JQ84" s="24"/>
      <c r="JR84" s="24"/>
      <c r="JS84" s="24"/>
      <c r="JT84" s="24"/>
      <c r="JU84" s="24"/>
      <c r="JV84" s="24"/>
      <c r="JW84" s="24"/>
      <c r="JX84" s="24"/>
      <c r="JY84" s="24"/>
      <c r="JZ84" s="24"/>
      <c r="KA84" s="24"/>
      <c r="KB84" s="24"/>
      <c r="KC84" s="24"/>
      <c r="KD84" s="24"/>
      <c r="KE84" s="24"/>
      <c r="KF84" s="24"/>
      <c r="KG84" s="24"/>
      <c r="KH84" s="24"/>
      <c r="KI84" s="24"/>
      <c r="KJ84" s="24"/>
      <c r="KK84" s="24"/>
      <c r="KL84" s="24"/>
      <c r="KM84" s="24"/>
      <c r="KN84" s="24"/>
      <c r="KO84" s="24"/>
      <c r="KP84" s="24"/>
      <c r="KQ84" s="24"/>
      <c r="KR84" s="24"/>
      <c r="KS84" s="24"/>
      <c r="KT84" s="24"/>
      <c r="KU84" s="24"/>
      <c r="KV84" s="24"/>
      <c r="KW84" s="24"/>
      <c r="KX84" s="24"/>
      <c r="KY84" s="24"/>
      <c r="KZ84" s="24"/>
      <c r="LA84" s="24"/>
      <c r="LB84" s="24"/>
      <c r="LC84" s="24"/>
      <c r="LD84" s="24"/>
      <c r="LE84" s="24"/>
      <c r="LF84" s="24"/>
      <c r="LG84" s="24"/>
      <c r="LH84" s="24"/>
      <c r="LI84" s="24"/>
      <c r="LJ84" s="24"/>
      <c r="LK84" s="24"/>
      <c r="LL84" s="24"/>
      <c r="LM84" s="24"/>
      <c r="LN84" s="24"/>
      <c r="LO84" s="24"/>
      <c r="LP84" s="24"/>
      <c r="LQ84" s="24"/>
      <c r="LR84" s="24"/>
      <c r="LS84" s="24"/>
      <c r="LT84" s="24"/>
      <c r="LU84" s="24"/>
      <c r="LV84" s="24"/>
      <c r="LW84" s="24"/>
      <c r="LX84" s="24"/>
      <c r="LY84" s="24"/>
      <c r="LZ84" s="24"/>
      <c r="MA84" s="24"/>
      <c r="MB84" s="24"/>
      <c r="MC84" s="24"/>
      <c r="MD84" s="24"/>
      <c r="ME84" s="24"/>
      <c r="MF84" s="24"/>
      <c r="MG84" s="24"/>
      <c r="MH84" s="24"/>
      <c r="MI84" s="24"/>
      <c r="MJ84" s="24"/>
      <c r="MK84" s="24"/>
      <c r="ML84" s="24"/>
      <c r="MM84" s="24"/>
      <c r="MN84" s="24"/>
      <c r="MO84" s="24"/>
      <c r="MP84" s="24"/>
      <c r="MQ84" s="24"/>
      <c r="MR84" s="24"/>
      <c r="MS84" s="24"/>
      <c r="MT84" s="24"/>
      <c r="MU84" s="24"/>
      <c r="MV84" s="24"/>
      <c r="MW84" s="24"/>
      <c r="MX84" s="24"/>
      <c r="MY84" s="24"/>
      <c r="MZ84" s="24"/>
      <c r="NA84" s="24"/>
      <c r="NB84" s="24"/>
      <c r="NC84" s="24"/>
      <c r="ND84" s="24"/>
      <c r="NE84" s="24"/>
      <c r="NF84" s="24"/>
      <c r="NG84" s="24"/>
      <c r="NH84" s="24"/>
      <c r="NI84" s="24"/>
      <c r="NJ84" s="22">
        <f t="array" aca="1" ref="NJ84" ca="1">SUMPRODUCT((OFFSET($A84,0,31*($A$3-1)+1,1,31)&lt;&gt;"")*(IF(OFFSET($A84,0,31*($A$3-1)+1,1,31)=Database!$K$11,0.5,IF(OFFSET($A84,0,31*($A$3-1)+1,1,31)=Database!$K$12,0.5,1))*(OFFSET($A$4,0,31*($A$3-1)+1,1,31))))</f>
        <v>0</v>
      </c>
      <c r="NK84" s="23">
        <f t="array" aca="1" ref="NK84" ca="1">SUMPRODUCT((OFFSET($A84,0,1,1,372)&lt;&gt;"")*(IF(OFFSET($A84,0,1,1,372)=Database!$K$11,0.5,IF(OFFSET($A84,0,1,1,372)=Database!$K$12,0.5,1))*(OFFSET($A$3,0,1,1,372))))</f>
        <v>0</v>
      </c>
      <c r="NL84" s="21">
        <f t="shared" ca="1" si="11"/>
        <v>0</v>
      </c>
      <c r="NM84" s="21">
        <f t="shared" ca="1" si="11"/>
        <v>0</v>
      </c>
      <c r="NN84" s="21">
        <f t="shared" ca="1" si="11"/>
        <v>0</v>
      </c>
      <c r="NO84" s="21">
        <f t="shared" ca="1" si="11"/>
        <v>0</v>
      </c>
      <c r="NP84" s="21">
        <f t="shared" ca="1" si="11"/>
        <v>0</v>
      </c>
      <c r="NQ84" s="21">
        <f t="shared" ca="1" si="11"/>
        <v>0</v>
      </c>
      <c r="NR84" s="21">
        <f t="shared" ca="1" si="11"/>
        <v>0</v>
      </c>
      <c r="NS84" s="21">
        <f t="shared" ca="1" si="11"/>
        <v>0</v>
      </c>
      <c r="NT84" s="21">
        <f t="shared" ca="1" si="11"/>
        <v>0</v>
      </c>
      <c r="NU84" s="21">
        <f t="shared" ca="1" si="11"/>
        <v>0</v>
      </c>
    </row>
    <row r="85" spans="1:385" ht="18" hidden="1" customHeight="1" outlineLevel="1" x14ac:dyDescent="0.25">
      <c r="A85" s="26"/>
      <c r="B85" s="24"/>
      <c r="C85" s="24"/>
      <c r="D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c r="BI85" s="24"/>
      <c r="BJ85" s="24"/>
      <c r="BK85" s="24"/>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4"/>
      <c r="DA85" s="24"/>
      <c r="DB85" s="24"/>
      <c r="DC85" s="24"/>
      <c r="DD85" s="24"/>
      <c r="DE85" s="24"/>
      <c r="DF85" s="24"/>
      <c r="DG85" s="24"/>
      <c r="DH85" s="24"/>
      <c r="DI85" s="24"/>
      <c r="DJ85" s="24"/>
      <c r="DK85" s="24"/>
      <c r="DL85" s="24"/>
      <c r="DM85" s="24"/>
      <c r="DN85" s="24"/>
      <c r="DO85" s="24"/>
      <c r="DP85" s="24"/>
      <c r="DQ85" s="24"/>
      <c r="DR85" s="24"/>
      <c r="DS85" s="24"/>
      <c r="DT85" s="24"/>
      <c r="DU85" s="24"/>
      <c r="DV85" s="24"/>
      <c r="DW85" s="24"/>
      <c r="DX85" s="24"/>
      <c r="DY85" s="24"/>
      <c r="DZ85" s="24"/>
      <c r="EA85" s="24"/>
      <c r="EB85" s="24"/>
      <c r="EC85" s="24"/>
      <c r="ED85" s="24"/>
      <c r="EE85" s="24"/>
      <c r="EF85" s="24"/>
      <c r="EG85" s="24"/>
      <c r="EH85" s="24"/>
      <c r="EI85" s="24"/>
      <c r="EJ85" s="24"/>
      <c r="EK85" s="24"/>
      <c r="EL85" s="24"/>
      <c r="EM85" s="24"/>
      <c r="EN85" s="24"/>
      <c r="EO85" s="24"/>
      <c r="EP85" s="24"/>
      <c r="EQ85" s="24"/>
      <c r="ER85" s="24"/>
      <c r="ES85" s="24"/>
      <c r="ET85" s="24"/>
      <c r="EU85" s="24"/>
      <c r="EV85" s="24"/>
      <c r="EW85" s="24"/>
      <c r="EX85" s="24"/>
      <c r="EY85" s="24"/>
      <c r="EZ85" s="24"/>
      <c r="FA85" s="24"/>
      <c r="FB85" s="24"/>
      <c r="FC85" s="24"/>
      <c r="FD85" s="24"/>
      <c r="FE85" s="24"/>
      <c r="FF85" s="24"/>
      <c r="FG85" s="24"/>
      <c r="FH85" s="24"/>
      <c r="FI85" s="24"/>
      <c r="FJ85" s="24"/>
      <c r="FK85" s="24"/>
      <c r="FL85" s="24"/>
      <c r="FM85" s="24"/>
      <c r="FN85" s="24"/>
      <c r="FO85" s="24"/>
      <c r="FP85" s="24"/>
      <c r="FQ85" s="24"/>
      <c r="FR85" s="24"/>
      <c r="FS85" s="24"/>
      <c r="FT85" s="24"/>
      <c r="FU85" s="24"/>
      <c r="FV85" s="24"/>
      <c r="FW85" s="24"/>
      <c r="FX85" s="24"/>
      <c r="FY85" s="24"/>
      <c r="FZ85" s="24"/>
      <c r="GA85" s="24"/>
      <c r="GB85" s="24"/>
      <c r="GC85" s="24"/>
      <c r="GD85" s="24"/>
      <c r="GE85" s="24"/>
      <c r="GF85" s="24"/>
      <c r="GG85" s="24"/>
      <c r="GH85" s="24"/>
      <c r="GI85" s="24"/>
      <c r="GJ85" s="24"/>
      <c r="GK85" s="24"/>
      <c r="GL85" s="24"/>
      <c r="GM85" s="24"/>
      <c r="GN85" s="24"/>
      <c r="GO85" s="24"/>
      <c r="GP85" s="24"/>
      <c r="GQ85" s="24"/>
      <c r="GR85" s="24"/>
      <c r="GS85" s="24"/>
      <c r="GT85" s="24"/>
      <c r="GU85" s="24"/>
      <c r="GV85" s="24"/>
      <c r="GW85" s="24"/>
      <c r="GX85" s="24"/>
      <c r="GY85" s="24"/>
      <c r="GZ85" s="24"/>
      <c r="HA85" s="24"/>
      <c r="HB85" s="24"/>
      <c r="HC85" s="24"/>
      <c r="HD85" s="24"/>
      <c r="HE85" s="24"/>
      <c r="HF85" s="24"/>
      <c r="HG85" s="24"/>
      <c r="HH85" s="24"/>
      <c r="HI85" s="24"/>
      <c r="HJ85" s="24"/>
      <c r="HK85" s="24"/>
      <c r="HL85" s="24"/>
      <c r="HM85" s="24"/>
      <c r="HN85" s="24"/>
      <c r="HO85" s="24"/>
      <c r="HP85" s="24"/>
      <c r="HQ85" s="24"/>
      <c r="HR85" s="24"/>
      <c r="HS85" s="24"/>
      <c r="HT85" s="24"/>
      <c r="HU85" s="24"/>
      <c r="HV85" s="24"/>
      <c r="HW85" s="24"/>
      <c r="HX85" s="24"/>
      <c r="HY85" s="24"/>
      <c r="HZ85" s="24"/>
      <c r="IA85" s="24"/>
      <c r="IB85" s="24"/>
      <c r="IC85" s="24"/>
      <c r="ID85" s="24"/>
      <c r="IE85" s="24"/>
      <c r="IF85" s="24"/>
      <c r="IG85" s="24"/>
      <c r="IH85" s="24"/>
      <c r="II85" s="24"/>
      <c r="IJ85" s="24"/>
      <c r="IK85" s="24"/>
      <c r="IL85" s="24"/>
      <c r="IM85" s="24"/>
      <c r="IN85" s="24"/>
      <c r="IO85" s="24"/>
      <c r="IP85" s="24"/>
      <c r="IQ85" s="24"/>
      <c r="IR85" s="24"/>
      <c r="IS85" s="24"/>
      <c r="IT85" s="24"/>
      <c r="IU85" s="24"/>
      <c r="IV85" s="24"/>
      <c r="IW85" s="24"/>
      <c r="IX85" s="24"/>
      <c r="IY85" s="24"/>
      <c r="IZ85" s="24"/>
      <c r="JA85" s="24"/>
      <c r="JB85" s="24"/>
      <c r="JC85" s="24"/>
      <c r="JD85" s="24"/>
      <c r="JE85" s="24"/>
      <c r="JF85" s="24"/>
      <c r="JG85" s="24"/>
      <c r="JH85" s="24"/>
      <c r="JI85" s="24"/>
      <c r="JJ85" s="24"/>
      <c r="JK85" s="24"/>
      <c r="JL85" s="24"/>
      <c r="JM85" s="24"/>
      <c r="JN85" s="24"/>
      <c r="JO85" s="24"/>
      <c r="JP85" s="24"/>
      <c r="JQ85" s="24"/>
      <c r="JR85" s="24"/>
      <c r="JS85" s="24"/>
      <c r="JT85" s="24"/>
      <c r="JU85" s="24"/>
      <c r="JV85" s="24"/>
      <c r="JW85" s="24"/>
      <c r="JX85" s="24"/>
      <c r="JY85" s="24"/>
      <c r="JZ85" s="24"/>
      <c r="KA85" s="24"/>
      <c r="KB85" s="24"/>
      <c r="KC85" s="24"/>
      <c r="KD85" s="24"/>
      <c r="KE85" s="24"/>
      <c r="KF85" s="24"/>
      <c r="KG85" s="24"/>
      <c r="KH85" s="24"/>
      <c r="KI85" s="24"/>
      <c r="KJ85" s="24"/>
      <c r="KK85" s="24"/>
      <c r="KL85" s="24"/>
      <c r="KM85" s="24"/>
      <c r="KN85" s="24"/>
      <c r="KO85" s="24"/>
      <c r="KP85" s="24"/>
      <c r="KQ85" s="24"/>
      <c r="KR85" s="24"/>
      <c r="KS85" s="24"/>
      <c r="KT85" s="24"/>
      <c r="KU85" s="24"/>
      <c r="KV85" s="24"/>
      <c r="KW85" s="24"/>
      <c r="KX85" s="24"/>
      <c r="KY85" s="24"/>
      <c r="KZ85" s="24"/>
      <c r="LA85" s="24"/>
      <c r="LB85" s="24"/>
      <c r="LC85" s="24"/>
      <c r="LD85" s="24"/>
      <c r="LE85" s="24"/>
      <c r="LF85" s="24"/>
      <c r="LG85" s="24"/>
      <c r="LH85" s="24"/>
      <c r="LI85" s="24"/>
      <c r="LJ85" s="24"/>
      <c r="LK85" s="24"/>
      <c r="LL85" s="24"/>
      <c r="LM85" s="24"/>
      <c r="LN85" s="24"/>
      <c r="LO85" s="24"/>
      <c r="LP85" s="24"/>
      <c r="LQ85" s="24"/>
      <c r="LR85" s="24"/>
      <c r="LS85" s="24"/>
      <c r="LT85" s="24"/>
      <c r="LU85" s="24"/>
      <c r="LV85" s="24"/>
      <c r="LW85" s="24"/>
      <c r="LX85" s="24"/>
      <c r="LY85" s="24"/>
      <c r="LZ85" s="24"/>
      <c r="MA85" s="24"/>
      <c r="MB85" s="24"/>
      <c r="MC85" s="24"/>
      <c r="MD85" s="24"/>
      <c r="ME85" s="24"/>
      <c r="MF85" s="24"/>
      <c r="MG85" s="24"/>
      <c r="MH85" s="24"/>
      <c r="MI85" s="24"/>
      <c r="MJ85" s="24"/>
      <c r="MK85" s="24"/>
      <c r="ML85" s="24"/>
      <c r="MM85" s="24"/>
      <c r="MN85" s="24"/>
      <c r="MO85" s="24"/>
      <c r="MP85" s="24"/>
      <c r="MQ85" s="24"/>
      <c r="MR85" s="24"/>
      <c r="MS85" s="24"/>
      <c r="MT85" s="24"/>
      <c r="MU85" s="24"/>
      <c r="MV85" s="24"/>
      <c r="MW85" s="24"/>
      <c r="MX85" s="24"/>
      <c r="MY85" s="24"/>
      <c r="MZ85" s="24"/>
      <c r="NA85" s="24"/>
      <c r="NB85" s="24"/>
      <c r="NC85" s="24"/>
      <c r="ND85" s="24"/>
      <c r="NE85" s="24"/>
      <c r="NF85" s="24"/>
      <c r="NG85" s="24"/>
      <c r="NH85" s="24"/>
      <c r="NI85" s="24"/>
      <c r="NJ85" s="22">
        <f t="array" aca="1" ref="NJ85" ca="1">SUMPRODUCT((OFFSET($A85,0,31*($A$3-1)+1,1,31)&lt;&gt;"")*(IF(OFFSET($A85,0,31*($A$3-1)+1,1,31)=Database!$K$11,0.5,IF(OFFSET($A85,0,31*($A$3-1)+1,1,31)=Database!$K$12,0.5,1))*(OFFSET($A$4,0,31*($A$3-1)+1,1,31))))</f>
        <v>0</v>
      </c>
      <c r="NK85" s="23">
        <f t="array" aca="1" ref="NK85" ca="1">SUMPRODUCT((OFFSET($A85,0,1,1,372)&lt;&gt;"")*(IF(OFFSET($A85,0,1,1,372)=Database!$K$11,0.5,IF(OFFSET($A85,0,1,1,372)=Database!$K$12,0.5,1))*(OFFSET($A$3,0,1,1,372))))</f>
        <v>0</v>
      </c>
      <c r="NL85" s="21">
        <f t="shared" ca="1" si="11"/>
        <v>0</v>
      </c>
      <c r="NM85" s="21">
        <f t="shared" ca="1" si="11"/>
        <v>0</v>
      </c>
      <c r="NN85" s="21">
        <f t="shared" ca="1" si="11"/>
        <v>0</v>
      </c>
      <c r="NO85" s="21">
        <f t="shared" ca="1" si="11"/>
        <v>0</v>
      </c>
      <c r="NP85" s="21">
        <f t="shared" ca="1" si="11"/>
        <v>0</v>
      </c>
      <c r="NQ85" s="21">
        <f t="shared" ca="1" si="11"/>
        <v>0</v>
      </c>
      <c r="NR85" s="21">
        <f t="shared" ca="1" si="11"/>
        <v>0</v>
      </c>
      <c r="NS85" s="21">
        <f t="shared" ca="1" si="11"/>
        <v>0</v>
      </c>
      <c r="NT85" s="21">
        <f t="shared" ca="1" si="11"/>
        <v>0</v>
      </c>
      <c r="NU85" s="21">
        <f t="shared" ca="1" si="11"/>
        <v>0</v>
      </c>
    </row>
    <row r="86" spans="1:385" ht="18" hidden="1" customHeight="1" outlineLevel="1" x14ac:dyDescent="0.25">
      <c r="A86" s="26"/>
      <c r="B86" s="24"/>
      <c r="C86" s="24"/>
      <c r="D86" s="24"/>
      <c r="E86" s="24"/>
      <c r="F86" s="24"/>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c r="BE86" s="24"/>
      <c r="BF86" s="24"/>
      <c r="BG86" s="24"/>
      <c r="BH86" s="24"/>
      <c r="BI86" s="24"/>
      <c r="BJ86" s="24"/>
      <c r="BK86" s="24"/>
      <c r="BL86" s="24"/>
      <c r="BM86" s="24"/>
      <c r="BN86" s="24"/>
      <c r="BO86" s="24"/>
      <c r="BP86" s="24"/>
      <c r="BQ86" s="24"/>
      <c r="BR86" s="24"/>
      <c r="BS86" s="24"/>
      <c r="BT86" s="24"/>
      <c r="BU86" s="24"/>
      <c r="BV86" s="24"/>
      <c r="BW86" s="24"/>
      <c r="BX86" s="24"/>
      <c r="BY86" s="24"/>
      <c r="BZ86" s="24"/>
      <c r="CA86" s="24"/>
      <c r="CB86" s="24"/>
      <c r="CC86" s="24"/>
      <c r="CD86" s="24"/>
      <c r="CE86" s="24"/>
      <c r="CF86" s="24"/>
      <c r="CG86" s="24"/>
      <c r="CH86" s="24"/>
      <c r="CI86" s="24"/>
      <c r="CJ86" s="24"/>
      <c r="CK86" s="24"/>
      <c r="CL86" s="24"/>
      <c r="CM86" s="24"/>
      <c r="CN86" s="24"/>
      <c r="CO86" s="24"/>
      <c r="CP86" s="24"/>
      <c r="CQ86" s="24"/>
      <c r="CR86" s="24"/>
      <c r="CS86" s="24"/>
      <c r="CT86" s="24"/>
      <c r="CU86" s="24"/>
      <c r="CV86" s="24"/>
      <c r="CW86" s="24"/>
      <c r="CX86" s="24"/>
      <c r="CY86" s="24"/>
      <c r="CZ86" s="24"/>
      <c r="DA86" s="24"/>
      <c r="DB86" s="24"/>
      <c r="DC86" s="24"/>
      <c r="DD86" s="24"/>
      <c r="DE86" s="24"/>
      <c r="DF86" s="24"/>
      <c r="DG86" s="24"/>
      <c r="DH86" s="24"/>
      <c r="DI86" s="24"/>
      <c r="DJ86" s="24"/>
      <c r="DK86" s="24"/>
      <c r="DL86" s="24"/>
      <c r="DM86" s="24"/>
      <c r="DN86" s="24"/>
      <c r="DO86" s="24"/>
      <c r="DP86" s="24"/>
      <c r="DQ86" s="24"/>
      <c r="DR86" s="24"/>
      <c r="DS86" s="24"/>
      <c r="DT86" s="24"/>
      <c r="DU86" s="24"/>
      <c r="DV86" s="24"/>
      <c r="DW86" s="24"/>
      <c r="DX86" s="24"/>
      <c r="DY86" s="24"/>
      <c r="DZ86" s="24"/>
      <c r="EA86" s="24"/>
      <c r="EB86" s="24"/>
      <c r="EC86" s="24"/>
      <c r="ED86" s="24"/>
      <c r="EE86" s="24"/>
      <c r="EF86" s="24"/>
      <c r="EG86" s="24"/>
      <c r="EH86" s="24"/>
      <c r="EI86" s="24"/>
      <c r="EJ86" s="24"/>
      <c r="EK86" s="24"/>
      <c r="EL86" s="24"/>
      <c r="EM86" s="24"/>
      <c r="EN86" s="24"/>
      <c r="EO86" s="24"/>
      <c r="EP86" s="24"/>
      <c r="EQ86" s="24"/>
      <c r="ER86" s="24"/>
      <c r="ES86" s="24"/>
      <c r="ET86" s="24"/>
      <c r="EU86" s="24"/>
      <c r="EV86" s="24"/>
      <c r="EW86" s="24"/>
      <c r="EX86" s="24"/>
      <c r="EY86" s="24"/>
      <c r="EZ86" s="24"/>
      <c r="FA86" s="24"/>
      <c r="FB86" s="24"/>
      <c r="FC86" s="24"/>
      <c r="FD86" s="24"/>
      <c r="FE86" s="24"/>
      <c r="FF86" s="24"/>
      <c r="FG86" s="24"/>
      <c r="FH86" s="24"/>
      <c r="FI86" s="24"/>
      <c r="FJ86" s="24"/>
      <c r="FK86" s="24"/>
      <c r="FL86" s="24"/>
      <c r="FM86" s="24"/>
      <c r="FN86" s="24"/>
      <c r="FO86" s="24"/>
      <c r="FP86" s="24"/>
      <c r="FQ86" s="24"/>
      <c r="FR86" s="24"/>
      <c r="FS86" s="24"/>
      <c r="FT86" s="24"/>
      <c r="FU86" s="24"/>
      <c r="FV86" s="24"/>
      <c r="FW86" s="24"/>
      <c r="FX86" s="24"/>
      <c r="FY86" s="24"/>
      <c r="FZ86" s="24"/>
      <c r="GA86" s="24"/>
      <c r="GB86" s="24"/>
      <c r="GC86" s="24"/>
      <c r="GD86" s="24"/>
      <c r="GE86" s="24"/>
      <c r="GF86" s="24"/>
      <c r="GG86" s="24"/>
      <c r="GH86" s="24"/>
      <c r="GI86" s="24"/>
      <c r="GJ86" s="24"/>
      <c r="GK86" s="24"/>
      <c r="GL86" s="24"/>
      <c r="GM86" s="24"/>
      <c r="GN86" s="24"/>
      <c r="GO86" s="24"/>
      <c r="GP86" s="24"/>
      <c r="GQ86" s="24"/>
      <c r="GR86" s="24"/>
      <c r="GS86" s="24"/>
      <c r="GT86" s="24"/>
      <c r="GU86" s="24"/>
      <c r="GV86" s="24"/>
      <c r="GW86" s="24"/>
      <c r="GX86" s="24"/>
      <c r="GY86" s="24"/>
      <c r="GZ86" s="24"/>
      <c r="HA86" s="24"/>
      <c r="HB86" s="24"/>
      <c r="HC86" s="24"/>
      <c r="HD86" s="24"/>
      <c r="HE86" s="24"/>
      <c r="HF86" s="24"/>
      <c r="HG86" s="24"/>
      <c r="HH86" s="24"/>
      <c r="HI86" s="24"/>
      <c r="HJ86" s="24"/>
      <c r="HK86" s="24"/>
      <c r="HL86" s="24"/>
      <c r="HM86" s="24"/>
      <c r="HN86" s="24"/>
      <c r="HO86" s="24"/>
      <c r="HP86" s="24"/>
      <c r="HQ86" s="24"/>
      <c r="HR86" s="24"/>
      <c r="HS86" s="24"/>
      <c r="HT86" s="24"/>
      <c r="HU86" s="24"/>
      <c r="HV86" s="24"/>
      <c r="HW86" s="24"/>
      <c r="HX86" s="24"/>
      <c r="HY86" s="24"/>
      <c r="HZ86" s="24"/>
      <c r="IA86" s="24"/>
      <c r="IB86" s="24"/>
      <c r="IC86" s="24"/>
      <c r="ID86" s="24"/>
      <c r="IE86" s="24"/>
      <c r="IF86" s="24"/>
      <c r="IG86" s="24"/>
      <c r="IH86" s="24"/>
      <c r="II86" s="24"/>
      <c r="IJ86" s="24"/>
      <c r="IK86" s="24"/>
      <c r="IL86" s="24"/>
      <c r="IM86" s="24"/>
      <c r="IN86" s="24"/>
      <c r="IO86" s="24"/>
      <c r="IP86" s="24"/>
      <c r="IQ86" s="24"/>
      <c r="IR86" s="24"/>
      <c r="IS86" s="24"/>
      <c r="IT86" s="24"/>
      <c r="IU86" s="24"/>
      <c r="IV86" s="24"/>
      <c r="IW86" s="24"/>
      <c r="IX86" s="24"/>
      <c r="IY86" s="24"/>
      <c r="IZ86" s="24"/>
      <c r="JA86" s="24"/>
      <c r="JB86" s="24"/>
      <c r="JC86" s="24"/>
      <c r="JD86" s="24"/>
      <c r="JE86" s="24"/>
      <c r="JF86" s="24"/>
      <c r="JG86" s="24"/>
      <c r="JH86" s="24"/>
      <c r="JI86" s="24"/>
      <c r="JJ86" s="24"/>
      <c r="JK86" s="24"/>
      <c r="JL86" s="24"/>
      <c r="JM86" s="24"/>
      <c r="JN86" s="24"/>
      <c r="JO86" s="24"/>
      <c r="JP86" s="24"/>
      <c r="JQ86" s="24"/>
      <c r="JR86" s="24"/>
      <c r="JS86" s="24"/>
      <c r="JT86" s="24"/>
      <c r="JU86" s="24"/>
      <c r="JV86" s="24"/>
      <c r="JW86" s="24"/>
      <c r="JX86" s="24"/>
      <c r="JY86" s="24"/>
      <c r="JZ86" s="24"/>
      <c r="KA86" s="24"/>
      <c r="KB86" s="24"/>
      <c r="KC86" s="24"/>
      <c r="KD86" s="24"/>
      <c r="KE86" s="24"/>
      <c r="KF86" s="24"/>
      <c r="KG86" s="24"/>
      <c r="KH86" s="24"/>
      <c r="KI86" s="24"/>
      <c r="KJ86" s="24"/>
      <c r="KK86" s="24"/>
      <c r="KL86" s="24"/>
      <c r="KM86" s="24"/>
      <c r="KN86" s="24"/>
      <c r="KO86" s="24"/>
      <c r="KP86" s="24"/>
      <c r="KQ86" s="24"/>
      <c r="KR86" s="24"/>
      <c r="KS86" s="24"/>
      <c r="KT86" s="24"/>
      <c r="KU86" s="24"/>
      <c r="KV86" s="24"/>
      <c r="KW86" s="24"/>
      <c r="KX86" s="24"/>
      <c r="KY86" s="24"/>
      <c r="KZ86" s="24"/>
      <c r="LA86" s="24"/>
      <c r="LB86" s="24"/>
      <c r="LC86" s="24"/>
      <c r="LD86" s="24"/>
      <c r="LE86" s="24"/>
      <c r="LF86" s="24"/>
      <c r="LG86" s="24"/>
      <c r="LH86" s="24"/>
      <c r="LI86" s="24"/>
      <c r="LJ86" s="24"/>
      <c r="LK86" s="24"/>
      <c r="LL86" s="24"/>
      <c r="LM86" s="24"/>
      <c r="LN86" s="24"/>
      <c r="LO86" s="24"/>
      <c r="LP86" s="24"/>
      <c r="LQ86" s="24"/>
      <c r="LR86" s="24"/>
      <c r="LS86" s="24"/>
      <c r="LT86" s="24"/>
      <c r="LU86" s="24"/>
      <c r="LV86" s="24"/>
      <c r="LW86" s="24"/>
      <c r="LX86" s="24"/>
      <c r="LY86" s="24"/>
      <c r="LZ86" s="24"/>
      <c r="MA86" s="24"/>
      <c r="MB86" s="24"/>
      <c r="MC86" s="24"/>
      <c r="MD86" s="24"/>
      <c r="ME86" s="24"/>
      <c r="MF86" s="24"/>
      <c r="MG86" s="24"/>
      <c r="MH86" s="24"/>
      <c r="MI86" s="24"/>
      <c r="MJ86" s="24"/>
      <c r="MK86" s="24"/>
      <c r="ML86" s="24"/>
      <c r="MM86" s="24"/>
      <c r="MN86" s="24"/>
      <c r="MO86" s="24"/>
      <c r="MP86" s="24"/>
      <c r="MQ86" s="24"/>
      <c r="MR86" s="24"/>
      <c r="MS86" s="24"/>
      <c r="MT86" s="24"/>
      <c r="MU86" s="24"/>
      <c r="MV86" s="24"/>
      <c r="MW86" s="24"/>
      <c r="MX86" s="24"/>
      <c r="MY86" s="24"/>
      <c r="MZ86" s="24"/>
      <c r="NA86" s="24"/>
      <c r="NB86" s="24"/>
      <c r="NC86" s="24"/>
      <c r="ND86" s="24"/>
      <c r="NE86" s="24"/>
      <c r="NF86" s="24"/>
      <c r="NG86" s="24"/>
      <c r="NH86" s="24"/>
      <c r="NI86" s="24"/>
      <c r="NJ86" s="22">
        <f t="array" aca="1" ref="NJ86" ca="1">SUMPRODUCT((OFFSET($A86,0,31*($A$3-1)+1,1,31)&lt;&gt;"")*(IF(OFFSET($A86,0,31*($A$3-1)+1,1,31)=Database!$K$11,0.5,IF(OFFSET($A86,0,31*($A$3-1)+1,1,31)=Database!$K$12,0.5,1))*(OFFSET($A$4,0,31*($A$3-1)+1,1,31))))</f>
        <v>0</v>
      </c>
      <c r="NK86" s="23">
        <f t="array" aca="1" ref="NK86" ca="1">SUMPRODUCT((OFFSET($A86,0,1,1,372)&lt;&gt;"")*(IF(OFFSET($A86,0,1,1,372)=Database!$K$11,0.5,IF(OFFSET($A86,0,1,1,372)=Database!$K$12,0.5,1))*(OFFSET($A$3,0,1,1,372))))</f>
        <v>0</v>
      </c>
      <c r="NL86" s="21">
        <f t="shared" ca="1" si="11"/>
        <v>0</v>
      </c>
      <c r="NM86" s="21">
        <f t="shared" ca="1" si="11"/>
        <v>0</v>
      </c>
      <c r="NN86" s="21">
        <f t="shared" ca="1" si="11"/>
        <v>0</v>
      </c>
      <c r="NO86" s="21">
        <f t="shared" ca="1" si="11"/>
        <v>0</v>
      </c>
      <c r="NP86" s="21">
        <f t="shared" ca="1" si="11"/>
        <v>0</v>
      </c>
      <c r="NQ86" s="21">
        <f t="shared" ca="1" si="11"/>
        <v>0</v>
      </c>
      <c r="NR86" s="21">
        <f t="shared" ca="1" si="11"/>
        <v>0</v>
      </c>
      <c r="NS86" s="21">
        <f t="shared" ca="1" si="11"/>
        <v>0</v>
      </c>
      <c r="NT86" s="21">
        <f t="shared" ca="1" si="11"/>
        <v>0</v>
      </c>
      <c r="NU86" s="21">
        <f t="shared" ca="1" si="11"/>
        <v>0</v>
      </c>
    </row>
    <row r="87" spans="1:385" ht="18" hidden="1" customHeight="1" outlineLevel="1" x14ac:dyDescent="0.25">
      <c r="A87" s="26"/>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c r="BE87" s="24"/>
      <c r="BF87" s="24"/>
      <c r="BG87" s="24"/>
      <c r="BH87" s="24"/>
      <c r="BI87" s="24"/>
      <c r="BJ87" s="24"/>
      <c r="BK87" s="24"/>
      <c r="BL87" s="24"/>
      <c r="BM87" s="24"/>
      <c r="BN87" s="24"/>
      <c r="BO87" s="24"/>
      <c r="BP87" s="24"/>
      <c r="BQ87" s="24"/>
      <c r="BR87" s="24"/>
      <c r="BS87" s="24"/>
      <c r="BT87" s="24"/>
      <c r="BU87" s="24"/>
      <c r="BV87" s="24"/>
      <c r="BW87" s="24"/>
      <c r="BX87" s="24"/>
      <c r="BY87" s="24"/>
      <c r="BZ87" s="24"/>
      <c r="CA87" s="24"/>
      <c r="CB87" s="24"/>
      <c r="CC87" s="24"/>
      <c r="CD87" s="24"/>
      <c r="CE87" s="24"/>
      <c r="CF87" s="24"/>
      <c r="CG87" s="24"/>
      <c r="CH87" s="24"/>
      <c r="CI87" s="24"/>
      <c r="CJ87" s="24"/>
      <c r="CK87" s="24"/>
      <c r="CL87" s="24"/>
      <c r="CM87" s="24"/>
      <c r="CN87" s="24"/>
      <c r="CO87" s="24"/>
      <c r="CP87" s="24"/>
      <c r="CQ87" s="24"/>
      <c r="CR87" s="24"/>
      <c r="CS87" s="24"/>
      <c r="CT87" s="24"/>
      <c r="CU87" s="24"/>
      <c r="CV87" s="24"/>
      <c r="CW87" s="24"/>
      <c r="CX87" s="24"/>
      <c r="CY87" s="24"/>
      <c r="CZ87" s="24"/>
      <c r="DA87" s="24"/>
      <c r="DB87" s="24"/>
      <c r="DC87" s="24"/>
      <c r="DD87" s="24"/>
      <c r="DE87" s="24"/>
      <c r="DF87" s="24"/>
      <c r="DG87" s="24"/>
      <c r="DH87" s="24"/>
      <c r="DI87" s="24"/>
      <c r="DJ87" s="24"/>
      <c r="DK87" s="24"/>
      <c r="DL87" s="24"/>
      <c r="DM87" s="24"/>
      <c r="DN87" s="24"/>
      <c r="DO87" s="24"/>
      <c r="DP87" s="24"/>
      <c r="DQ87" s="24"/>
      <c r="DR87" s="24"/>
      <c r="DS87" s="24"/>
      <c r="DT87" s="24"/>
      <c r="DU87" s="24"/>
      <c r="DV87" s="24"/>
      <c r="DW87" s="24"/>
      <c r="DX87" s="24"/>
      <c r="DY87" s="24"/>
      <c r="DZ87" s="24"/>
      <c r="EA87" s="24"/>
      <c r="EB87" s="24"/>
      <c r="EC87" s="24"/>
      <c r="ED87" s="24"/>
      <c r="EE87" s="24"/>
      <c r="EF87" s="24"/>
      <c r="EG87" s="24"/>
      <c r="EH87" s="24"/>
      <c r="EI87" s="24"/>
      <c r="EJ87" s="24"/>
      <c r="EK87" s="24"/>
      <c r="EL87" s="24"/>
      <c r="EM87" s="24"/>
      <c r="EN87" s="24"/>
      <c r="EO87" s="24"/>
      <c r="EP87" s="24"/>
      <c r="EQ87" s="24"/>
      <c r="ER87" s="24"/>
      <c r="ES87" s="24"/>
      <c r="ET87" s="24"/>
      <c r="EU87" s="24"/>
      <c r="EV87" s="24"/>
      <c r="EW87" s="24"/>
      <c r="EX87" s="24"/>
      <c r="EY87" s="24"/>
      <c r="EZ87" s="24"/>
      <c r="FA87" s="24"/>
      <c r="FB87" s="24"/>
      <c r="FC87" s="24"/>
      <c r="FD87" s="24"/>
      <c r="FE87" s="24"/>
      <c r="FF87" s="24"/>
      <c r="FG87" s="24"/>
      <c r="FH87" s="24"/>
      <c r="FI87" s="24"/>
      <c r="FJ87" s="24"/>
      <c r="FK87" s="24"/>
      <c r="FL87" s="24"/>
      <c r="FM87" s="24"/>
      <c r="FN87" s="24"/>
      <c r="FO87" s="24"/>
      <c r="FP87" s="24"/>
      <c r="FQ87" s="24"/>
      <c r="FR87" s="24"/>
      <c r="FS87" s="24"/>
      <c r="FT87" s="24"/>
      <c r="FU87" s="24"/>
      <c r="FV87" s="24"/>
      <c r="FW87" s="24"/>
      <c r="FX87" s="24"/>
      <c r="FY87" s="24"/>
      <c r="FZ87" s="24"/>
      <c r="GA87" s="24"/>
      <c r="GB87" s="24"/>
      <c r="GC87" s="24"/>
      <c r="GD87" s="24"/>
      <c r="GE87" s="24"/>
      <c r="GF87" s="24"/>
      <c r="GG87" s="24"/>
      <c r="GH87" s="24"/>
      <c r="GI87" s="24"/>
      <c r="GJ87" s="24"/>
      <c r="GK87" s="24"/>
      <c r="GL87" s="24"/>
      <c r="GM87" s="24"/>
      <c r="GN87" s="24"/>
      <c r="GO87" s="24"/>
      <c r="GP87" s="24"/>
      <c r="GQ87" s="24"/>
      <c r="GR87" s="24"/>
      <c r="GS87" s="24"/>
      <c r="GT87" s="24"/>
      <c r="GU87" s="24"/>
      <c r="GV87" s="24"/>
      <c r="GW87" s="24"/>
      <c r="GX87" s="24"/>
      <c r="GY87" s="24"/>
      <c r="GZ87" s="24"/>
      <c r="HA87" s="24"/>
      <c r="HB87" s="24"/>
      <c r="HC87" s="24"/>
      <c r="HD87" s="24"/>
      <c r="HE87" s="24"/>
      <c r="HF87" s="24"/>
      <c r="HG87" s="24"/>
      <c r="HH87" s="24"/>
      <c r="HI87" s="24"/>
      <c r="HJ87" s="24"/>
      <c r="HK87" s="24"/>
      <c r="HL87" s="24"/>
      <c r="HM87" s="24"/>
      <c r="HN87" s="24"/>
      <c r="HO87" s="24"/>
      <c r="HP87" s="24"/>
      <c r="HQ87" s="24"/>
      <c r="HR87" s="24"/>
      <c r="HS87" s="24"/>
      <c r="HT87" s="24"/>
      <c r="HU87" s="24"/>
      <c r="HV87" s="24"/>
      <c r="HW87" s="24"/>
      <c r="HX87" s="24"/>
      <c r="HY87" s="24"/>
      <c r="HZ87" s="24"/>
      <c r="IA87" s="24"/>
      <c r="IB87" s="24"/>
      <c r="IC87" s="24"/>
      <c r="ID87" s="24"/>
      <c r="IE87" s="24"/>
      <c r="IF87" s="24"/>
      <c r="IG87" s="24"/>
      <c r="IH87" s="24"/>
      <c r="II87" s="24"/>
      <c r="IJ87" s="24"/>
      <c r="IK87" s="24"/>
      <c r="IL87" s="24"/>
      <c r="IM87" s="24"/>
      <c r="IN87" s="24"/>
      <c r="IO87" s="24"/>
      <c r="IP87" s="24"/>
      <c r="IQ87" s="24"/>
      <c r="IR87" s="24"/>
      <c r="IS87" s="24"/>
      <c r="IT87" s="24"/>
      <c r="IU87" s="24"/>
      <c r="IV87" s="24"/>
      <c r="IW87" s="24"/>
      <c r="IX87" s="24"/>
      <c r="IY87" s="24"/>
      <c r="IZ87" s="24"/>
      <c r="JA87" s="24"/>
      <c r="JB87" s="24"/>
      <c r="JC87" s="24"/>
      <c r="JD87" s="24"/>
      <c r="JE87" s="24"/>
      <c r="JF87" s="24"/>
      <c r="JG87" s="24"/>
      <c r="JH87" s="24"/>
      <c r="JI87" s="24"/>
      <c r="JJ87" s="24"/>
      <c r="JK87" s="24"/>
      <c r="JL87" s="24"/>
      <c r="JM87" s="24"/>
      <c r="JN87" s="24"/>
      <c r="JO87" s="24"/>
      <c r="JP87" s="24"/>
      <c r="JQ87" s="24"/>
      <c r="JR87" s="24"/>
      <c r="JS87" s="24"/>
      <c r="JT87" s="24"/>
      <c r="JU87" s="24"/>
      <c r="JV87" s="24"/>
      <c r="JW87" s="24"/>
      <c r="JX87" s="24"/>
      <c r="JY87" s="24"/>
      <c r="JZ87" s="24"/>
      <c r="KA87" s="24"/>
      <c r="KB87" s="24"/>
      <c r="KC87" s="24"/>
      <c r="KD87" s="24"/>
      <c r="KE87" s="24"/>
      <c r="KF87" s="24"/>
      <c r="KG87" s="24"/>
      <c r="KH87" s="24"/>
      <c r="KI87" s="24"/>
      <c r="KJ87" s="24"/>
      <c r="KK87" s="24"/>
      <c r="KL87" s="24"/>
      <c r="KM87" s="24"/>
      <c r="KN87" s="24"/>
      <c r="KO87" s="24"/>
      <c r="KP87" s="24"/>
      <c r="KQ87" s="24"/>
      <c r="KR87" s="24"/>
      <c r="KS87" s="24"/>
      <c r="KT87" s="24"/>
      <c r="KU87" s="24"/>
      <c r="KV87" s="24"/>
      <c r="KW87" s="24"/>
      <c r="KX87" s="24"/>
      <c r="KY87" s="24"/>
      <c r="KZ87" s="24"/>
      <c r="LA87" s="24"/>
      <c r="LB87" s="24"/>
      <c r="LC87" s="24"/>
      <c r="LD87" s="24"/>
      <c r="LE87" s="24"/>
      <c r="LF87" s="24"/>
      <c r="LG87" s="24"/>
      <c r="LH87" s="24"/>
      <c r="LI87" s="24"/>
      <c r="LJ87" s="24"/>
      <c r="LK87" s="24"/>
      <c r="LL87" s="24"/>
      <c r="LM87" s="24"/>
      <c r="LN87" s="24"/>
      <c r="LO87" s="24"/>
      <c r="LP87" s="24"/>
      <c r="LQ87" s="24"/>
      <c r="LR87" s="24"/>
      <c r="LS87" s="24"/>
      <c r="LT87" s="24"/>
      <c r="LU87" s="24"/>
      <c r="LV87" s="24"/>
      <c r="LW87" s="24"/>
      <c r="LX87" s="24"/>
      <c r="LY87" s="24"/>
      <c r="LZ87" s="24"/>
      <c r="MA87" s="24"/>
      <c r="MB87" s="24"/>
      <c r="MC87" s="24"/>
      <c r="MD87" s="24"/>
      <c r="ME87" s="24"/>
      <c r="MF87" s="24"/>
      <c r="MG87" s="24"/>
      <c r="MH87" s="24"/>
      <c r="MI87" s="24"/>
      <c r="MJ87" s="24"/>
      <c r="MK87" s="24"/>
      <c r="ML87" s="24"/>
      <c r="MM87" s="24"/>
      <c r="MN87" s="24"/>
      <c r="MO87" s="24"/>
      <c r="MP87" s="24"/>
      <c r="MQ87" s="24"/>
      <c r="MR87" s="24"/>
      <c r="MS87" s="24"/>
      <c r="MT87" s="24"/>
      <c r="MU87" s="24"/>
      <c r="MV87" s="24"/>
      <c r="MW87" s="24"/>
      <c r="MX87" s="24"/>
      <c r="MY87" s="24"/>
      <c r="MZ87" s="24"/>
      <c r="NA87" s="24"/>
      <c r="NB87" s="24"/>
      <c r="NC87" s="24"/>
      <c r="ND87" s="24"/>
      <c r="NE87" s="24"/>
      <c r="NF87" s="24"/>
      <c r="NG87" s="24"/>
      <c r="NH87" s="24"/>
      <c r="NI87" s="24"/>
      <c r="NJ87" s="22">
        <f t="array" aca="1" ref="NJ87" ca="1">SUMPRODUCT((OFFSET($A87,0,31*($A$3-1)+1,1,31)&lt;&gt;"")*(IF(OFFSET($A87,0,31*($A$3-1)+1,1,31)=Database!$K$11,0.5,IF(OFFSET($A87,0,31*($A$3-1)+1,1,31)=Database!$K$12,0.5,1))*(OFFSET($A$4,0,31*($A$3-1)+1,1,31))))</f>
        <v>0</v>
      </c>
      <c r="NK87" s="23">
        <f t="array" aca="1" ref="NK87" ca="1">SUMPRODUCT((OFFSET($A87,0,1,1,372)&lt;&gt;"")*(IF(OFFSET($A87,0,1,1,372)=Database!$K$11,0.5,IF(OFFSET($A87,0,1,1,372)=Database!$K$12,0.5,1))*(OFFSET($A$3,0,1,1,372))))</f>
        <v>0</v>
      </c>
      <c r="NL87" s="21">
        <f t="shared" ca="1" si="11"/>
        <v>0</v>
      </c>
      <c r="NM87" s="21">
        <f t="shared" ca="1" si="11"/>
        <v>0</v>
      </c>
      <c r="NN87" s="21">
        <f t="shared" ca="1" si="11"/>
        <v>0</v>
      </c>
      <c r="NO87" s="21">
        <f t="shared" ca="1" si="11"/>
        <v>0</v>
      </c>
      <c r="NP87" s="21">
        <f t="shared" ca="1" si="11"/>
        <v>0</v>
      </c>
      <c r="NQ87" s="21">
        <f t="shared" ca="1" si="11"/>
        <v>0</v>
      </c>
      <c r="NR87" s="21">
        <f t="shared" ca="1" si="11"/>
        <v>0</v>
      </c>
      <c r="NS87" s="21">
        <f t="shared" ca="1" si="11"/>
        <v>0</v>
      </c>
      <c r="NT87" s="21">
        <f t="shared" ca="1" si="11"/>
        <v>0</v>
      </c>
      <c r="NU87" s="21">
        <f t="shared" ca="1" si="11"/>
        <v>0</v>
      </c>
    </row>
    <row r="88" spans="1:385" ht="18" hidden="1" customHeight="1" outlineLevel="1" x14ac:dyDescent="0.25">
      <c r="A88" s="26"/>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c r="BE88" s="24"/>
      <c r="BF88" s="24"/>
      <c r="BG88" s="24"/>
      <c r="BH88" s="24"/>
      <c r="BI88" s="24"/>
      <c r="BJ88" s="24"/>
      <c r="BK88" s="24"/>
      <c r="BL88" s="24"/>
      <c r="BM88" s="24"/>
      <c r="BN88" s="24"/>
      <c r="BO88" s="24"/>
      <c r="BP88" s="24"/>
      <c r="BQ88" s="24"/>
      <c r="BR88" s="24"/>
      <c r="BS88" s="24"/>
      <c r="BT88" s="24"/>
      <c r="BU88" s="24"/>
      <c r="BV88" s="24"/>
      <c r="BW88" s="24"/>
      <c r="BX88" s="24"/>
      <c r="BY88" s="24"/>
      <c r="BZ88" s="24"/>
      <c r="CA88" s="24"/>
      <c r="CB88" s="24"/>
      <c r="CC88" s="24"/>
      <c r="CD88" s="24"/>
      <c r="CE88" s="24"/>
      <c r="CF88" s="24"/>
      <c r="CG88" s="24"/>
      <c r="CH88" s="24"/>
      <c r="CI88" s="24"/>
      <c r="CJ88" s="24"/>
      <c r="CK88" s="24"/>
      <c r="CL88" s="24"/>
      <c r="CM88" s="24"/>
      <c r="CN88" s="24"/>
      <c r="CO88" s="24"/>
      <c r="CP88" s="24"/>
      <c r="CQ88" s="24"/>
      <c r="CR88" s="24"/>
      <c r="CS88" s="24"/>
      <c r="CT88" s="24"/>
      <c r="CU88" s="24"/>
      <c r="CV88" s="24"/>
      <c r="CW88" s="24"/>
      <c r="CX88" s="24"/>
      <c r="CY88" s="24"/>
      <c r="CZ88" s="24"/>
      <c r="DA88" s="24"/>
      <c r="DB88" s="24"/>
      <c r="DC88" s="24"/>
      <c r="DD88" s="24"/>
      <c r="DE88" s="24"/>
      <c r="DF88" s="24"/>
      <c r="DG88" s="24"/>
      <c r="DH88" s="24"/>
      <c r="DI88" s="24"/>
      <c r="DJ88" s="24"/>
      <c r="DK88" s="24"/>
      <c r="DL88" s="24"/>
      <c r="DM88" s="24"/>
      <c r="DN88" s="24"/>
      <c r="DO88" s="24"/>
      <c r="DP88" s="24"/>
      <c r="DQ88" s="24"/>
      <c r="DR88" s="24"/>
      <c r="DS88" s="24"/>
      <c r="DT88" s="24"/>
      <c r="DU88" s="24"/>
      <c r="DV88" s="24"/>
      <c r="DW88" s="24"/>
      <c r="DX88" s="24"/>
      <c r="DY88" s="24"/>
      <c r="DZ88" s="24"/>
      <c r="EA88" s="24"/>
      <c r="EB88" s="24"/>
      <c r="EC88" s="24"/>
      <c r="ED88" s="24"/>
      <c r="EE88" s="24"/>
      <c r="EF88" s="24"/>
      <c r="EG88" s="24"/>
      <c r="EH88" s="24"/>
      <c r="EI88" s="24"/>
      <c r="EJ88" s="24"/>
      <c r="EK88" s="24"/>
      <c r="EL88" s="24"/>
      <c r="EM88" s="24"/>
      <c r="EN88" s="24"/>
      <c r="EO88" s="24"/>
      <c r="EP88" s="24"/>
      <c r="EQ88" s="24"/>
      <c r="ER88" s="24"/>
      <c r="ES88" s="24"/>
      <c r="ET88" s="24"/>
      <c r="EU88" s="24"/>
      <c r="EV88" s="24"/>
      <c r="EW88" s="24"/>
      <c r="EX88" s="24"/>
      <c r="EY88" s="24"/>
      <c r="EZ88" s="24"/>
      <c r="FA88" s="24"/>
      <c r="FB88" s="24"/>
      <c r="FC88" s="24"/>
      <c r="FD88" s="24"/>
      <c r="FE88" s="24"/>
      <c r="FF88" s="24"/>
      <c r="FG88" s="24"/>
      <c r="FH88" s="24"/>
      <c r="FI88" s="24"/>
      <c r="FJ88" s="24"/>
      <c r="FK88" s="24"/>
      <c r="FL88" s="24"/>
      <c r="FM88" s="24"/>
      <c r="FN88" s="24"/>
      <c r="FO88" s="24"/>
      <c r="FP88" s="24"/>
      <c r="FQ88" s="24"/>
      <c r="FR88" s="24"/>
      <c r="FS88" s="24"/>
      <c r="FT88" s="24"/>
      <c r="FU88" s="24"/>
      <c r="FV88" s="24"/>
      <c r="FW88" s="24"/>
      <c r="FX88" s="24"/>
      <c r="FY88" s="24"/>
      <c r="FZ88" s="24"/>
      <c r="GA88" s="24"/>
      <c r="GB88" s="24"/>
      <c r="GC88" s="24"/>
      <c r="GD88" s="24"/>
      <c r="GE88" s="24"/>
      <c r="GF88" s="24"/>
      <c r="GG88" s="24"/>
      <c r="GH88" s="24"/>
      <c r="GI88" s="24"/>
      <c r="GJ88" s="24"/>
      <c r="GK88" s="24"/>
      <c r="GL88" s="24"/>
      <c r="GM88" s="24"/>
      <c r="GN88" s="24"/>
      <c r="GO88" s="24"/>
      <c r="GP88" s="24"/>
      <c r="GQ88" s="24"/>
      <c r="GR88" s="24"/>
      <c r="GS88" s="24"/>
      <c r="GT88" s="24"/>
      <c r="GU88" s="24"/>
      <c r="GV88" s="24"/>
      <c r="GW88" s="24"/>
      <c r="GX88" s="24"/>
      <c r="GY88" s="24"/>
      <c r="GZ88" s="24"/>
      <c r="HA88" s="24"/>
      <c r="HB88" s="24"/>
      <c r="HC88" s="24"/>
      <c r="HD88" s="24"/>
      <c r="HE88" s="24"/>
      <c r="HF88" s="24"/>
      <c r="HG88" s="24"/>
      <c r="HH88" s="24"/>
      <c r="HI88" s="24"/>
      <c r="HJ88" s="24"/>
      <c r="HK88" s="24"/>
      <c r="HL88" s="24"/>
      <c r="HM88" s="24"/>
      <c r="HN88" s="24"/>
      <c r="HO88" s="24"/>
      <c r="HP88" s="24"/>
      <c r="HQ88" s="24"/>
      <c r="HR88" s="24"/>
      <c r="HS88" s="24"/>
      <c r="HT88" s="24"/>
      <c r="HU88" s="24"/>
      <c r="HV88" s="24"/>
      <c r="HW88" s="24"/>
      <c r="HX88" s="24"/>
      <c r="HY88" s="24"/>
      <c r="HZ88" s="24"/>
      <c r="IA88" s="24"/>
      <c r="IB88" s="24"/>
      <c r="IC88" s="24"/>
      <c r="ID88" s="24"/>
      <c r="IE88" s="24"/>
      <c r="IF88" s="24"/>
      <c r="IG88" s="24"/>
      <c r="IH88" s="24"/>
      <c r="II88" s="24"/>
      <c r="IJ88" s="24"/>
      <c r="IK88" s="24"/>
      <c r="IL88" s="24"/>
      <c r="IM88" s="24"/>
      <c r="IN88" s="24"/>
      <c r="IO88" s="24"/>
      <c r="IP88" s="24"/>
      <c r="IQ88" s="24"/>
      <c r="IR88" s="24"/>
      <c r="IS88" s="24"/>
      <c r="IT88" s="24"/>
      <c r="IU88" s="24"/>
      <c r="IV88" s="24"/>
      <c r="IW88" s="24"/>
      <c r="IX88" s="24"/>
      <c r="IY88" s="24"/>
      <c r="IZ88" s="24"/>
      <c r="JA88" s="24"/>
      <c r="JB88" s="24"/>
      <c r="JC88" s="24"/>
      <c r="JD88" s="24"/>
      <c r="JE88" s="24"/>
      <c r="JF88" s="24"/>
      <c r="JG88" s="24"/>
      <c r="JH88" s="24"/>
      <c r="JI88" s="24"/>
      <c r="JJ88" s="24"/>
      <c r="JK88" s="24"/>
      <c r="JL88" s="24"/>
      <c r="JM88" s="24"/>
      <c r="JN88" s="24"/>
      <c r="JO88" s="24"/>
      <c r="JP88" s="24"/>
      <c r="JQ88" s="24"/>
      <c r="JR88" s="24"/>
      <c r="JS88" s="24"/>
      <c r="JT88" s="24"/>
      <c r="JU88" s="24"/>
      <c r="JV88" s="24"/>
      <c r="JW88" s="24"/>
      <c r="JX88" s="24"/>
      <c r="JY88" s="24"/>
      <c r="JZ88" s="24"/>
      <c r="KA88" s="24"/>
      <c r="KB88" s="24"/>
      <c r="KC88" s="24"/>
      <c r="KD88" s="24"/>
      <c r="KE88" s="24"/>
      <c r="KF88" s="24"/>
      <c r="KG88" s="24"/>
      <c r="KH88" s="24"/>
      <c r="KI88" s="24"/>
      <c r="KJ88" s="24"/>
      <c r="KK88" s="24"/>
      <c r="KL88" s="24"/>
      <c r="KM88" s="24"/>
      <c r="KN88" s="24"/>
      <c r="KO88" s="24"/>
      <c r="KP88" s="24"/>
      <c r="KQ88" s="24"/>
      <c r="KR88" s="24"/>
      <c r="KS88" s="24"/>
      <c r="KT88" s="24"/>
      <c r="KU88" s="24"/>
      <c r="KV88" s="24"/>
      <c r="KW88" s="24"/>
      <c r="KX88" s="24"/>
      <c r="KY88" s="24"/>
      <c r="KZ88" s="24"/>
      <c r="LA88" s="24"/>
      <c r="LB88" s="24"/>
      <c r="LC88" s="24"/>
      <c r="LD88" s="24"/>
      <c r="LE88" s="24"/>
      <c r="LF88" s="24"/>
      <c r="LG88" s="24"/>
      <c r="LH88" s="24"/>
      <c r="LI88" s="24"/>
      <c r="LJ88" s="24"/>
      <c r="LK88" s="24"/>
      <c r="LL88" s="24"/>
      <c r="LM88" s="24"/>
      <c r="LN88" s="24"/>
      <c r="LO88" s="24"/>
      <c r="LP88" s="24"/>
      <c r="LQ88" s="24"/>
      <c r="LR88" s="24"/>
      <c r="LS88" s="24"/>
      <c r="LT88" s="24"/>
      <c r="LU88" s="24"/>
      <c r="LV88" s="24"/>
      <c r="LW88" s="24"/>
      <c r="LX88" s="24"/>
      <c r="LY88" s="24"/>
      <c r="LZ88" s="24"/>
      <c r="MA88" s="24"/>
      <c r="MB88" s="24"/>
      <c r="MC88" s="24"/>
      <c r="MD88" s="24"/>
      <c r="ME88" s="24"/>
      <c r="MF88" s="24"/>
      <c r="MG88" s="24"/>
      <c r="MH88" s="24"/>
      <c r="MI88" s="24"/>
      <c r="MJ88" s="24"/>
      <c r="MK88" s="24"/>
      <c r="ML88" s="24"/>
      <c r="MM88" s="24"/>
      <c r="MN88" s="24"/>
      <c r="MO88" s="24"/>
      <c r="MP88" s="24"/>
      <c r="MQ88" s="24"/>
      <c r="MR88" s="24"/>
      <c r="MS88" s="24"/>
      <c r="MT88" s="24"/>
      <c r="MU88" s="24"/>
      <c r="MV88" s="24"/>
      <c r="MW88" s="24"/>
      <c r="MX88" s="24"/>
      <c r="MY88" s="24"/>
      <c r="MZ88" s="24"/>
      <c r="NA88" s="24"/>
      <c r="NB88" s="24"/>
      <c r="NC88" s="24"/>
      <c r="ND88" s="24"/>
      <c r="NE88" s="24"/>
      <c r="NF88" s="24"/>
      <c r="NG88" s="24"/>
      <c r="NH88" s="24"/>
      <c r="NI88" s="24"/>
      <c r="NJ88" s="22">
        <f t="array" aca="1" ref="NJ88" ca="1">SUMPRODUCT((OFFSET($A88,0,31*($A$3-1)+1,1,31)&lt;&gt;"")*(IF(OFFSET($A88,0,31*($A$3-1)+1,1,31)=Database!$K$11,0.5,IF(OFFSET($A88,0,31*($A$3-1)+1,1,31)=Database!$K$12,0.5,1))*(OFFSET($A$4,0,31*($A$3-1)+1,1,31))))</f>
        <v>0</v>
      </c>
      <c r="NK88" s="23">
        <f t="array" aca="1" ref="NK88" ca="1">SUMPRODUCT((OFFSET($A88,0,1,1,372)&lt;&gt;"")*(IF(OFFSET($A88,0,1,1,372)=Database!$K$11,0.5,IF(OFFSET($A88,0,1,1,372)=Database!$K$12,0.5,1))*(OFFSET($A$3,0,1,1,372))))</f>
        <v>0</v>
      </c>
      <c r="NL88" s="21">
        <f t="shared" ca="1" si="11"/>
        <v>0</v>
      </c>
      <c r="NM88" s="21">
        <f t="shared" ca="1" si="11"/>
        <v>0</v>
      </c>
      <c r="NN88" s="21">
        <f t="shared" ca="1" si="11"/>
        <v>0</v>
      </c>
      <c r="NO88" s="21">
        <f t="shared" ca="1" si="11"/>
        <v>0</v>
      </c>
      <c r="NP88" s="21">
        <f t="shared" ca="1" si="11"/>
        <v>0</v>
      </c>
      <c r="NQ88" s="21">
        <f t="shared" ca="1" si="11"/>
        <v>0</v>
      </c>
      <c r="NR88" s="21">
        <f t="shared" ca="1" si="11"/>
        <v>0</v>
      </c>
      <c r="NS88" s="21">
        <f t="shared" ca="1" si="11"/>
        <v>0</v>
      </c>
      <c r="NT88" s="21">
        <f t="shared" ca="1" si="11"/>
        <v>0</v>
      </c>
      <c r="NU88" s="21">
        <f t="shared" ca="1" si="11"/>
        <v>0</v>
      </c>
    </row>
    <row r="89" spans="1:385" ht="18" hidden="1" customHeight="1" outlineLevel="1" x14ac:dyDescent="0.25">
      <c r="A89" s="26"/>
      <c r="B89" s="24"/>
      <c r="C89" s="24"/>
      <c r="D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c r="BE89" s="24"/>
      <c r="BF89" s="24"/>
      <c r="BG89" s="24"/>
      <c r="BH89" s="24"/>
      <c r="BI89" s="24"/>
      <c r="BJ89" s="24"/>
      <c r="BK89" s="24"/>
      <c r="BL89" s="24"/>
      <c r="BM89" s="24"/>
      <c r="BN89" s="24"/>
      <c r="BO89" s="24"/>
      <c r="BP89" s="24"/>
      <c r="BQ89" s="24"/>
      <c r="BR89" s="24"/>
      <c r="BS89" s="24"/>
      <c r="BT89" s="24"/>
      <c r="BU89" s="24"/>
      <c r="BV89" s="24"/>
      <c r="BW89" s="24"/>
      <c r="BX89" s="24"/>
      <c r="BY89" s="24"/>
      <c r="BZ89" s="24"/>
      <c r="CA89" s="24"/>
      <c r="CB89" s="24"/>
      <c r="CC89" s="24"/>
      <c r="CD89" s="24"/>
      <c r="CE89" s="24"/>
      <c r="CF89" s="24"/>
      <c r="CG89" s="24"/>
      <c r="CH89" s="24"/>
      <c r="CI89" s="24"/>
      <c r="CJ89" s="24"/>
      <c r="CK89" s="24"/>
      <c r="CL89" s="24"/>
      <c r="CM89" s="24"/>
      <c r="CN89" s="24"/>
      <c r="CO89" s="24"/>
      <c r="CP89" s="24"/>
      <c r="CQ89" s="24"/>
      <c r="CR89" s="24"/>
      <c r="CS89" s="24"/>
      <c r="CT89" s="24"/>
      <c r="CU89" s="24"/>
      <c r="CV89" s="24"/>
      <c r="CW89" s="24"/>
      <c r="CX89" s="24"/>
      <c r="CY89" s="24"/>
      <c r="CZ89" s="24"/>
      <c r="DA89" s="24"/>
      <c r="DB89" s="24"/>
      <c r="DC89" s="24"/>
      <c r="DD89" s="24"/>
      <c r="DE89" s="24"/>
      <c r="DF89" s="24"/>
      <c r="DG89" s="24"/>
      <c r="DH89" s="24"/>
      <c r="DI89" s="24"/>
      <c r="DJ89" s="24"/>
      <c r="DK89" s="24"/>
      <c r="DL89" s="24"/>
      <c r="DM89" s="24"/>
      <c r="DN89" s="24"/>
      <c r="DO89" s="24"/>
      <c r="DP89" s="24"/>
      <c r="DQ89" s="24"/>
      <c r="DR89" s="24"/>
      <c r="DS89" s="24"/>
      <c r="DT89" s="24"/>
      <c r="DU89" s="24"/>
      <c r="DV89" s="24"/>
      <c r="DW89" s="24"/>
      <c r="DX89" s="24"/>
      <c r="DY89" s="24"/>
      <c r="DZ89" s="24"/>
      <c r="EA89" s="24"/>
      <c r="EB89" s="24"/>
      <c r="EC89" s="24"/>
      <c r="ED89" s="24"/>
      <c r="EE89" s="24"/>
      <c r="EF89" s="24"/>
      <c r="EG89" s="24"/>
      <c r="EH89" s="24"/>
      <c r="EI89" s="24"/>
      <c r="EJ89" s="24"/>
      <c r="EK89" s="24"/>
      <c r="EL89" s="24"/>
      <c r="EM89" s="24"/>
      <c r="EN89" s="24"/>
      <c r="EO89" s="24"/>
      <c r="EP89" s="24"/>
      <c r="EQ89" s="24"/>
      <c r="ER89" s="24"/>
      <c r="ES89" s="24"/>
      <c r="ET89" s="24"/>
      <c r="EU89" s="24"/>
      <c r="EV89" s="24"/>
      <c r="EW89" s="24"/>
      <c r="EX89" s="24"/>
      <c r="EY89" s="24"/>
      <c r="EZ89" s="24"/>
      <c r="FA89" s="24"/>
      <c r="FB89" s="24"/>
      <c r="FC89" s="24"/>
      <c r="FD89" s="24"/>
      <c r="FE89" s="24"/>
      <c r="FF89" s="24"/>
      <c r="FG89" s="24"/>
      <c r="FH89" s="24"/>
      <c r="FI89" s="24"/>
      <c r="FJ89" s="24"/>
      <c r="FK89" s="24"/>
      <c r="FL89" s="24"/>
      <c r="FM89" s="24"/>
      <c r="FN89" s="24"/>
      <c r="FO89" s="24"/>
      <c r="FP89" s="24"/>
      <c r="FQ89" s="24"/>
      <c r="FR89" s="24"/>
      <c r="FS89" s="24"/>
      <c r="FT89" s="24"/>
      <c r="FU89" s="24"/>
      <c r="FV89" s="24"/>
      <c r="FW89" s="24"/>
      <c r="FX89" s="24"/>
      <c r="FY89" s="24"/>
      <c r="FZ89" s="24"/>
      <c r="GA89" s="24"/>
      <c r="GB89" s="24"/>
      <c r="GC89" s="24"/>
      <c r="GD89" s="24"/>
      <c r="GE89" s="24"/>
      <c r="GF89" s="24"/>
      <c r="GG89" s="24"/>
      <c r="GH89" s="24"/>
      <c r="GI89" s="24"/>
      <c r="GJ89" s="24"/>
      <c r="GK89" s="24"/>
      <c r="GL89" s="24"/>
      <c r="GM89" s="24"/>
      <c r="GN89" s="24"/>
      <c r="GO89" s="24"/>
      <c r="GP89" s="24"/>
      <c r="GQ89" s="24"/>
      <c r="GR89" s="24"/>
      <c r="GS89" s="24"/>
      <c r="GT89" s="24"/>
      <c r="GU89" s="24"/>
      <c r="GV89" s="24"/>
      <c r="GW89" s="24"/>
      <c r="GX89" s="24"/>
      <c r="GY89" s="24"/>
      <c r="GZ89" s="24"/>
      <c r="HA89" s="24"/>
      <c r="HB89" s="24"/>
      <c r="HC89" s="24"/>
      <c r="HD89" s="24"/>
      <c r="HE89" s="24"/>
      <c r="HF89" s="24"/>
      <c r="HG89" s="24"/>
      <c r="HH89" s="24"/>
      <c r="HI89" s="24"/>
      <c r="HJ89" s="24"/>
      <c r="HK89" s="24"/>
      <c r="HL89" s="24"/>
      <c r="HM89" s="24"/>
      <c r="HN89" s="24"/>
      <c r="HO89" s="24"/>
      <c r="HP89" s="24"/>
      <c r="HQ89" s="24"/>
      <c r="HR89" s="24"/>
      <c r="HS89" s="24"/>
      <c r="HT89" s="24"/>
      <c r="HU89" s="24"/>
      <c r="HV89" s="24"/>
      <c r="HW89" s="24"/>
      <c r="HX89" s="24"/>
      <c r="HY89" s="24"/>
      <c r="HZ89" s="24"/>
      <c r="IA89" s="24"/>
      <c r="IB89" s="24"/>
      <c r="IC89" s="24"/>
      <c r="ID89" s="24"/>
      <c r="IE89" s="24"/>
      <c r="IF89" s="24"/>
      <c r="IG89" s="24"/>
      <c r="IH89" s="24"/>
      <c r="II89" s="24"/>
      <c r="IJ89" s="24"/>
      <c r="IK89" s="24"/>
      <c r="IL89" s="24"/>
      <c r="IM89" s="24"/>
      <c r="IN89" s="24"/>
      <c r="IO89" s="24"/>
      <c r="IP89" s="24"/>
      <c r="IQ89" s="24"/>
      <c r="IR89" s="24"/>
      <c r="IS89" s="24"/>
      <c r="IT89" s="24"/>
      <c r="IU89" s="24"/>
      <c r="IV89" s="24"/>
      <c r="IW89" s="24"/>
      <c r="IX89" s="24"/>
      <c r="IY89" s="24"/>
      <c r="IZ89" s="24"/>
      <c r="JA89" s="24"/>
      <c r="JB89" s="24"/>
      <c r="JC89" s="24"/>
      <c r="JD89" s="24"/>
      <c r="JE89" s="24"/>
      <c r="JF89" s="24"/>
      <c r="JG89" s="24"/>
      <c r="JH89" s="24"/>
      <c r="JI89" s="24"/>
      <c r="JJ89" s="24"/>
      <c r="JK89" s="24"/>
      <c r="JL89" s="24"/>
      <c r="JM89" s="24"/>
      <c r="JN89" s="24"/>
      <c r="JO89" s="24"/>
      <c r="JP89" s="24"/>
      <c r="JQ89" s="24"/>
      <c r="JR89" s="24"/>
      <c r="JS89" s="24"/>
      <c r="JT89" s="24"/>
      <c r="JU89" s="24"/>
      <c r="JV89" s="24"/>
      <c r="JW89" s="24"/>
      <c r="JX89" s="24"/>
      <c r="JY89" s="24"/>
      <c r="JZ89" s="24"/>
      <c r="KA89" s="24"/>
      <c r="KB89" s="24"/>
      <c r="KC89" s="24"/>
      <c r="KD89" s="24"/>
      <c r="KE89" s="24"/>
      <c r="KF89" s="24"/>
      <c r="KG89" s="24"/>
      <c r="KH89" s="24"/>
      <c r="KI89" s="24"/>
      <c r="KJ89" s="24"/>
      <c r="KK89" s="24"/>
      <c r="KL89" s="24"/>
      <c r="KM89" s="24"/>
      <c r="KN89" s="24"/>
      <c r="KO89" s="24"/>
      <c r="KP89" s="24"/>
      <c r="KQ89" s="24"/>
      <c r="KR89" s="24"/>
      <c r="KS89" s="24"/>
      <c r="KT89" s="24"/>
      <c r="KU89" s="24"/>
      <c r="KV89" s="24"/>
      <c r="KW89" s="24"/>
      <c r="KX89" s="24"/>
      <c r="KY89" s="24"/>
      <c r="KZ89" s="24"/>
      <c r="LA89" s="24"/>
      <c r="LB89" s="24"/>
      <c r="LC89" s="24"/>
      <c r="LD89" s="24"/>
      <c r="LE89" s="24"/>
      <c r="LF89" s="24"/>
      <c r="LG89" s="24"/>
      <c r="LH89" s="24"/>
      <c r="LI89" s="24"/>
      <c r="LJ89" s="24"/>
      <c r="LK89" s="24"/>
      <c r="LL89" s="24"/>
      <c r="LM89" s="24"/>
      <c r="LN89" s="24"/>
      <c r="LO89" s="24"/>
      <c r="LP89" s="24"/>
      <c r="LQ89" s="24"/>
      <c r="LR89" s="24"/>
      <c r="LS89" s="24"/>
      <c r="LT89" s="24"/>
      <c r="LU89" s="24"/>
      <c r="LV89" s="24"/>
      <c r="LW89" s="24"/>
      <c r="LX89" s="24"/>
      <c r="LY89" s="24"/>
      <c r="LZ89" s="24"/>
      <c r="MA89" s="24"/>
      <c r="MB89" s="24"/>
      <c r="MC89" s="24"/>
      <c r="MD89" s="24"/>
      <c r="ME89" s="24"/>
      <c r="MF89" s="24"/>
      <c r="MG89" s="24"/>
      <c r="MH89" s="24"/>
      <c r="MI89" s="24"/>
      <c r="MJ89" s="24"/>
      <c r="MK89" s="24"/>
      <c r="ML89" s="24"/>
      <c r="MM89" s="24"/>
      <c r="MN89" s="24"/>
      <c r="MO89" s="24"/>
      <c r="MP89" s="24"/>
      <c r="MQ89" s="24"/>
      <c r="MR89" s="24"/>
      <c r="MS89" s="24"/>
      <c r="MT89" s="24"/>
      <c r="MU89" s="24"/>
      <c r="MV89" s="24"/>
      <c r="MW89" s="24"/>
      <c r="MX89" s="24"/>
      <c r="MY89" s="24"/>
      <c r="MZ89" s="24"/>
      <c r="NA89" s="24"/>
      <c r="NB89" s="24"/>
      <c r="NC89" s="24"/>
      <c r="ND89" s="24"/>
      <c r="NE89" s="24"/>
      <c r="NF89" s="24"/>
      <c r="NG89" s="24"/>
      <c r="NH89" s="24"/>
      <c r="NI89" s="24"/>
      <c r="NJ89" s="22">
        <f t="array" aca="1" ref="NJ89" ca="1">SUMPRODUCT((OFFSET($A89,0,31*($A$3-1)+1,1,31)&lt;&gt;"")*(IF(OFFSET($A89,0,31*($A$3-1)+1,1,31)=Database!$K$11,0.5,IF(OFFSET($A89,0,31*($A$3-1)+1,1,31)=Database!$K$12,0.5,1))*(OFFSET($A$4,0,31*($A$3-1)+1,1,31))))</f>
        <v>0</v>
      </c>
      <c r="NK89" s="23">
        <f t="array" aca="1" ref="NK89" ca="1">SUMPRODUCT((OFFSET($A89,0,1,1,372)&lt;&gt;"")*(IF(OFFSET($A89,0,1,1,372)=Database!$K$11,0.5,IF(OFFSET($A89,0,1,1,372)=Database!$K$12,0.5,1))*(OFFSET($A$3,0,1,1,372))))</f>
        <v>0</v>
      </c>
      <c r="NL89" s="21">
        <f t="shared" ref="NL89:NU89" ca="1" si="12">SUMPRODUCT((OFFSET($A89,0,1,1,372)&lt;&gt;"")*(OFFSET($A$3,0,1,1,372))*((OFFSET($A89,0,1,1,372))=NL$5))</f>
        <v>0</v>
      </c>
      <c r="NM89" s="21">
        <f t="shared" ca="1" si="12"/>
        <v>0</v>
      </c>
      <c r="NN89" s="21">
        <f t="shared" ca="1" si="12"/>
        <v>0</v>
      </c>
      <c r="NO89" s="21">
        <f t="shared" ca="1" si="12"/>
        <v>0</v>
      </c>
      <c r="NP89" s="21">
        <f t="shared" ca="1" si="12"/>
        <v>0</v>
      </c>
      <c r="NQ89" s="21">
        <f t="shared" ca="1" si="12"/>
        <v>0</v>
      </c>
      <c r="NR89" s="21">
        <f t="shared" ca="1" si="12"/>
        <v>0</v>
      </c>
      <c r="NS89" s="21">
        <f t="shared" ca="1" si="12"/>
        <v>0</v>
      </c>
      <c r="NT89" s="21">
        <f t="shared" ca="1" si="12"/>
        <v>0</v>
      </c>
      <c r="NU89" s="21">
        <f t="shared" ca="1" si="12"/>
        <v>0</v>
      </c>
    </row>
    <row r="90" spans="1:385" collapsed="1" x14ac:dyDescent="0.25"/>
  </sheetData>
  <mergeCells count="14">
    <mergeCell ref="OJ3:OK3"/>
    <mergeCell ref="OJ1:OK2"/>
    <mergeCell ref="NJ5:NJ6"/>
    <mergeCell ref="NK5:NK6"/>
    <mergeCell ref="NQ5:NQ6"/>
    <mergeCell ref="NR5:NR6"/>
    <mergeCell ref="NS5:NS6"/>
    <mergeCell ref="NT5:NT6"/>
    <mergeCell ref="NU5:NU6"/>
    <mergeCell ref="NO5:NO6"/>
    <mergeCell ref="NP5:NP6"/>
    <mergeCell ref="NL5:NL6"/>
    <mergeCell ref="NM5:NM6"/>
    <mergeCell ref="NN5:NN6"/>
  </mergeCells>
  <conditionalFormatting sqref="B8:NI89">
    <cfRule type="expression" dxfId="34" priority="49" stopIfTrue="1">
      <formula>ISNUMBER(MATCH(DATE($A$2,$A$1+$A$3-1,B$5),HolidayListNamedRange,0))</formula>
    </cfRule>
  </conditionalFormatting>
  <conditionalFormatting sqref="NJ8:NJ69">
    <cfRule type="dataBar" priority="2">
      <dataBar>
        <cfvo type="min"/>
        <cfvo type="max"/>
        <color theme="5" tint="0.59999389629810485"/>
      </dataBar>
      <extLst>
        <ext xmlns:x14="http://schemas.microsoft.com/office/spreadsheetml/2009/9/main" uri="{B025F937-C7B1-47D3-B67F-A62EFF666E3E}">
          <x14:id>{CA4799DC-52F6-47F8-B46F-377D86C31ACC}</x14:id>
        </ext>
      </extLst>
    </cfRule>
  </conditionalFormatting>
  <conditionalFormatting sqref="NK8:NK69">
    <cfRule type="dataBar" priority="1">
      <dataBar>
        <cfvo type="min"/>
        <cfvo type="max"/>
        <color theme="5" tint="0.59999389629810485"/>
      </dataBar>
      <extLst>
        <ext xmlns:x14="http://schemas.microsoft.com/office/spreadsheetml/2009/9/main" uri="{B025F937-C7B1-47D3-B67F-A62EFF666E3E}">
          <x14:id>{A072F435-A2D6-4DF1-BBFC-22AA86084FB3}</x14:id>
        </ext>
      </extLst>
    </cfRule>
  </conditionalFormatting>
  <dataValidations count="4">
    <dataValidation type="custom" allowBlank="1" showErrorMessage="1" errorTitle="Not a Valid Date" error="This isn't a valid Date" sqref="B8:NI89" xr:uid="{00000000-0002-0000-0000-000001000000}">
      <formula1>B$6&lt;&gt;""</formula1>
    </dataValidation>
    <dataValidation type="list" allowBlank="1" showInputMessage="1" showErrorMessage="1" sqref="A1" xr:uid="{00000000-0002-0000-0000-000002000000}">
      <formula1>"1,2,3,4,5,6,7,8,9,10,11,12"</formula1>
    </dataValidation>
    <dataValidation type="list" allowBlank="1" showInputMessage="1" showErrorMessage="1" sqref="A8:A89" xr:uid="{D9FBFA85-D856-4F0A-A5CC-FDA18A9A9B28}">
      <formula1>Employees</formula1>
    </dataValidation>
    <dataValidation type="list" allowBlank="1" showInputMessage="1" showErrorMessage="1" sqref="A2" xr:uid="{8D251B2C-6461-4038-B870-9575EF86726F}">
      <formula1>Years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Refresh">
                <anchor moveWithCells="1" sizeWithCells="1">
                  <from>
                    <xdr:col>380</xdr:col>
                    <xdr:colOff>142875</xdr:colOff>
                    <xdr:row>1</xdr:row>
                    <xdr:rowOff>28575</xdr:rowOff>
                  </from>
                  <to>
                    <xdr:col>384</xdr:col>
                    <xdr:colOff>257175</xdr:colOff>
                    <xdr:row>2</xdr:row>
                    <xdr:rowOff>38100</xdr:rowOff>
                  </to>
                </anchor>
              </controlPr>
            </control>
          </mc:Choice>
        </mc:AlternateContent>
        <mc:AlternateContent xmlns:mc="http://schemas.openxmlformats.org/markup-compatibility/2006">
          <mc:Choice Requires="x14">
            <control shapeId="1033" r:id="rId5" name="Button 9">
              <controlPr defaultSize="0" print="0" autoFill="0" autoPict="0" macro="[0]!Full_screen">
                <anchor moveWithCells="1" sizeWithCells="1">
                  <from>
                    <xdr:col>0</xdr:col>
                    <xdr:colOff>0</xdr:colOff>
                    <xdr:row>2</xdr:row>
                    <xdr:rowOff>457200</xdr:rowOff>
                  </from>
                  <to>
                    <xdr:col>0</xdr:col>
                    <xdr:colOff>1190625</xdr:colOff>
                    <xdr:row>3</xdr:row>
                    <xdr:rowOff>142875</xdr:rowOff>
                  </to>
                </anchor>
              </controlPr>
            </control>
          </mc:Choice>
        </mc:AlternateContent>
        <mc:AlternateContent xmlns:mc="http://schemas.openxmlformats.org/markup-compatibility/2006">
          <mc:Choice Requires="x14">
            <control shapeId="1035" r:id="rId6" name="Button 11">
              <controlPr defaultSize="0" print="0" autoFill="0" autoPict="0" macro="[0]!Clear_data">
                <anchor moveWithCells="1" sizeWithCells="1">
                  <from>
                    <xdr:col>0</xdr:col>
                    <xdr:colOff>0</xdr:colOff>
                    <xdr:row>3</xdr:row>
                    <xdr:rowOff>171450</xdr:rowOff>
                  </from>
                  <to>
                    <xdr:col>0</xdr:col>
                    <xdr:colOff>1190625</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Refresh">
                <anchor moveWithCells="1" sizeWithCells="1">
                  <from>
                    <xdr:col>0</xdr:col>
                    <xdr:colOff>9525</xdr:colOff>
                    <xdr:row>2</xdr:row>
                    <xdr:rowOff>219075</xdr:rowOff>
                  </from>
                  <to>
                    <xdr:col>0</xdr:col>
                    <xdr:colOff>1190625</xdr:colOff>
                    <xdr:row>2</xdr:row>
                    <xdr:rowOff>419100</xdr:rowOff>
                  </to>
                </anchor>
              </controlPr>
            </control>
          </mc:Choice>
        </mc:AlternateContent>
        <mc:AlternateContent xmlns:mc="http://schemas.openxmlformats.org/markup-compatibility/2006">
          <mc:Choice Requires="x14">
            <control shapeId="1037" r:id="rId8" name="Button 13">
              <controlPr defaultSize="0" print="0" autoFill="0" autoPict="0" macro="[0]!Full_screen">
                <anchor moveWithCells="1" sizeWithCells="1">
                  <from>
                    <xdr:col>380</xdr:col>
                    <xdr:colOff>133350</xdr:colOff>
                    <xdr:row>2</xdr:row>
                    <xdr:rowOff>66675</xdr:rowOff>
                  </from>
                  <to>
                    <xdr:col>384</xdr:col>
                    <xdr:colOff>257175</xdr:colOff>
                    <xdr:row>2</xdr:row>
                    <xdr:rowOff>276225</xdr:rowOff>
                  </to>
                </anchor>
              </controlPr>
            </control>
          </mc:Choice>
        </mc:AlternateContent>
        <mc:AlternateContent xmlns:mc="http://schemas.openxmlformats.org/markup-compatibility/2006">
          <mc:Choice Requires="x14">
            <control shapeId="1038" r:id="rId9" name="Button 14">
              <controlPr defaultSize="0" print="0" autoFill="0" autoPict="0" macro="[0]!Clear_data">
                <anchor moveWithCells="1" sizeWithCells="1">
                  <from>
                    <xdr:col>380</xdr:col>
                    <xdr:colOff>133350</xdr:colOff>
                    <xdr:row>2</xdr:row>
                    <xdr:rowOff>304800</xdr:rowOff>
                  </from>
                  <to>
                    <xdr:col>384</xdr:col>
                    <xdr:colOff>257175</xdr:colOff>
                    <xdr:row>2</xdr:row>
                    <xdr:rowOff>504825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A4799DC-52F6-47F8-B46F-377D86C31ACC}">
            <x14:dataBar minLength="0" maxLength="100" gradient="0">
              <x14:cfvo type="autoMin"/>
              <x14:cfvo type="autoMax"/>
              <x14:negativeFillColor rgb="FFFF0000"/>
              <x14:axisColor rgb="FF000000"/>
            </x14:dataBar>
          </x14:cfRule>
          <xm:sqref>NJ8:NJ69</xm:sqref>
        </x14:conditionalFormatting>
        <x14:conditionalFormatting xmlns:xm="http://schemas.microsoft.com/office/excel/2006/main">
          <x14:cfRule type="dataBar" id="{A072F435-A2D6-4DF1-BBFC-22AA86084FB3}">
            <x14:dataBar minLength="0" maxLength="100" gradient="0">
              <x14:cfvo type="autoMin"/>
              <x14:cfvo type="autoMax"/>
              <x14:negativeFillColor rgb="FFFF0000"/>
              <x14:axisColor rgb="FF000000"/>
            </x14:dataBar>
          </x14:cfRule>
          <xm:sqref>NK8:NK69</xm:sqref>
        </x14:conditionalFormatting>
        <x14:conditionalFormatting xmlns:xm="http://schemas.microsoft.com/office/excel/2006/main">
          <x14:cfRule type="expression" priority="43" id="{00000000-000E-0000-0000-00001B000000}">
            <xm:f>IF(VLOOKUP(B6,Database!$M$3:$N$9,2,0)="No",TRUE,FALSE)</xm:f>
            <x14:dxf>
              <font>
                <b/>
                <i val="0"/>
                <color theme="5"/>
              </font>
            </x14:dxf>
          </x14:cfRule>
          <xm:sqref>B6:NI6</xm:sqref>
        </x14:conditionalFormatting>
        <x14:conditionalFormatting xmlns:xm="http://schemas.microsoft.com/office/excel/2006/main">
          <x14:cfRule type="expression" priority="48" stopIfTrue="1" id="{00000000-000E-0000-0000-000020000000}">
            <xm:f>AND(B$5&lt;&gt;"",VLOOKUP(B$6,Database!$M$3:$N$9,2,0)&lt;&gt;"Yes")</xm:f>
            <x14:dxf>
              <fill>
                <patternFill>
                  <bgColor theme="0" tint="-0.14996795556505021"/>
                </patternFill>
              </fill>
              <border>
                <left style="dashed">
                  <color rgb="FFC00000"/>
                </left>
                <right style="dashed">
                  <color rgb="FFC00000"/>
                </right>
                <top style="dashed">
                  <color rgb="FFC00000"/>
                </top>
                <bottom style="dashed">
                  <color rgb="FFC00000"/>
                </bottom>
              </border>
            </x14:dxf>
          </x14:cfRule>
          <x14:cfRule type="expression" priority="50" id="{00000000-000E-0000-0000-000022000000}">
            <xm:f>OR(B8=Database!$K$3,B8=Database!$K$4,B8=Database!$K$5,B8=Database!$K$6,B8=Database!$K$7,B8=Database!$K$8,B8=Database!$K$9,B8=Database!$K$10)</xm:f>
            <x14:dxf>
              <font>
                <b/>
                <i val="0"/>
                <color theme="1"/>
              </font>
              <fill>
                <patternFill>
                  <bgColor theme="5" tint="0.59996337778862885"/>
                </patternFill>
              </fill>
            </x14:dxf>
          </x14:cfRule>
          <x14:cfRule type="expression" priority="51" id="{00000000-000E-0000-0000-000023000000}">
            <xm:f>OR(B8=Database!$K$11,B8=Database!$K$12)</xm:f>
            <x14:dxf>
              <fill>
                <gradientFill degree="90">
                  <stop position="0">
                    <color rgb="FFFFE389"/>
                  </stop>
                  <stop position="1">
                    <color rgb="FFFFE389"/>
                  </stop>
                </gradientFill>
              </fill>
            </x14:dxf>
          </x14:cfRule>
          <xm:sqref>B8:NI89</xm:sqref>
        </x14:conditionalFormatting>
      </x14:conditionalFormattings>
    </ex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8FCFAD"/>
  </sheetPr>
  <dimension ref="A1:Q992"/>
  <sheetViews>
    <sheetView showGridLines="0" showRowColHeaders="0" zoomScale="90" zoomScaleNormal="90" workbookViewId="0">
      <selection activeCell="F13" sqref="F13"/>
    </sheetView>
  </sheetViews>
  <sheetFormatPr defaultColWidth="0" defaultRowHeight="12.75" x14ac:dyDescent="0.2"/>
  <cols>
    <col min="1" max="1" width="14.7109375" style="16" customWidth="1"/>
    <col min="2" max="2" width="24" style="10" bestFit="1" customWidth="1"/>
    <col min="3" max="3" width="14.7109375" style="10" customWidth="1"/>
    <col min="4" max="4" width="14.7109375" style="16" customWidth="1"/>
    <col min="5" max="5" width="21.42578125" style="10" customWidth="1"/>
    <col min="6" max="6" width="17.140625" style="10" customWidth="1"/>
    <col min="7" max="7" width="14.7109375" style="16" customWidth="1"/>
    <col min="8" max="8" width="17.140625" style="10" customWidth="1"/>
    <col min="9" max="9" width="2" style="43" customWidth="1"/>
    <col min="10" max="10" width="16.7109375" style="10" customWidth="1"/>
    <col min="11" max="11" width="9.140625" style="10" customWidth="1"/>
    <col min="12" max="12" width="3.7109375" style="10" customWidth="1"/>
    <col min="13" max="13" width="12.7109375" style="10" bestFit="1" customWidth="1"/>
    <col min="14" max="14" width="9.140625" style="10" customWidth="1"/>
    <col min="15" max="15" width="3.7109375" style="10" customWidth="1"/>
    <col min="16" max="16" width="17.140625" style="32" customWidth="1"/>
    <col min="17" max="17" width="2.7109375" style="10" customWidth="1"/>
    <col min="18" max="16384" width="9.140625" style="10" hidden="1"/>
  </cols>
  <sheetData>
    <row r="1" spans="1:16" s="3" customFormat="1" ht="15.75" x14ac:dyDescent="0.2">
      <c r="A1" s="15"/>
      <c r="B1" s="94" t="s">
        <v>68</v>
      </c>
      <c r="C1" s="94"/>
      <c r="D1" s="94"/>
      <c r="E1" s="94"/>
      <c r="F1" s="94"/>
      <c r="G1" s="38"/>
      <c r="H1" s="38"/>
      <c r="I1" s="41"/>
      <c r="J1" s="95" t="s">
        <v>69</v>
      </c>
      <c r="K1" s="95"/>
      <c r="L1" s="95"/>
      <c r="M1" s="95"/>
      <c r="N1" s="95"/>
      <c r="O1" s="95"/>
      <c r="P1" s="95"/>
    </row>
    <row r="2" spans="1:16" s="14" customFormat="1" ht="27" customHeight="1" x14ac:dyDescent="0.2">
      <c r="A2" s="16"/>
      <c r="B2" s="33" t="s">
        <v>20</v>
      </c>
      <c r="C2" s="34" t="s">
        <v>21</v>
      </c>
      <c r="D2" s="16"/>
      <c r="E2" s="33" t="s">
        <v>63</v>
      </c>
      <c r="F2" s="34" t="s">
        <v>64</v>
      </c>
      <c r="G2" s="16"/>
      <c r="H2" s="39" t="s">
        <v>70</v>
      </c>
      <c r="I2" s="42"/>
      <c r="J2" s="35" t="s">
        <v>125</v>
      </c>
      <c r="K2" s="35" t="s">
        <v>55</v>
      </c>
      <c r="M2" s="36" t="s">
        <v>65</v>
      </c>
      <c r="N2" s="37" t="s">
        <v>66</v>
      </c>
      <c r="P2" s="35" t="s">
        <v>67</v>
      </c>
    </row>
    <row r="3" spans="1:16" x14ac:dyDescent="0.2">
      <c r="A3" s="16" t="str">
        <f t="shared" ref="A3:A66" si="0">IF(AND(B2&lt;&gt;"",B3=""),"Add vacaction---&gt;","")</f>
        <v/>
      </c>
      <c r="B3" s="17" t="s">
        <v>77</v>
      </c>
      <c r="C3" s="18">
        <v>44197</v>
      </c>
      <c r="D3" s="16" t="str">
        <f t="shared" ref="D3:D66" si="1">IF(AND(E2&lt;&gt;"",E3=""),"Add Employee---&gt;","")</f>
        <v/>
      </c>
      <c r="E3" s="17" t="s">
        <v>31</v>
      </c>
      <c r="F3" s="30" t="s">
        <v>72</v>
      </c>
      <c r="G3" s="16" t="str">
        <f>IF(AND(H2&lt;&gt;"",H3=""),"Add Department---&gt;","")</f>
        <v/>
      </c>
      <c r="H3" s="40" t="s">
        <v>71</v>
      </c>
      <c r="J3" s="11" t="s">
        <v>26</v>
      </c>
      <c r="K3" s="12" t="s">
        <v>28</v>
      </c>
      <c r="M3" s="9" t="s">
        <v>11</v>
      </c>
      <c r="N3" s="9" t="s">
        <v>42</v>
      </c>
      <c r="P3" s="12">
        <v>2018</v>
      </c>
    </row>
    <row r="4" spans="1:16" x14ac:dyDescent="0.2">
      <c r="A4" s="16" t="str">
        <f t="shared" si="0"/>
        <v/>
      </c>
      <c r="B4" s="17" t="s">
        <v>78</v>
      </c>
      <c r="C4" s="18">
        <v>44221</v>
      </c>
      <c r="D4" s="16" t="str">
        <f t="shared" si="1"/>
        <v/>
      </c>
      <c r="E4" s="17" t="s">
        <v>32</v>
      </c>
      <c r="F4" s="30" t="s">
        <v>72</v>
      </c>
      <c r="G4" s="16" t="str">
        <f t="shared" ref="G4:G67" si="2">IF(AND(H3&lt;&gt;"",H4=""),"Add Department---&gt;","")</f>
        <v/>
      </c>
      <c r="H4" s="13" t="s">
        <v>72</v>
      </c>
      <c r="J4" s="11" t="s">
        <v>91</v>
      </c>
      <c r="K4" s="12" t="s">
        <v>81</v>
      </c>
      <c r="M4" s="9" t="s">
        <v>12</v>
      </c>
      <c r="N4" s="9" t="s">
        <v>42</v>
      </c>
      <c r="P4" s="12">
        <v>2019</v>
      </c>
    </row>
    <row r="5" spans="1:16" x14ac:dyDescent="0.2">
      <c r="A5" s="16" t="str">
        <f t="shared" si="0"/>
        <v/>
      </c>
      <c r="B5" s="17" t="s">
        <v>79</v>
      </c>
      <c r="C5" s="18">
        <v>44276</v>
      </c>
      <c r="D5" s="16" t="str">
        <f t="shared" si="1"/>
        <v/>
      </c>
      <c r="E5" s="17" t="s">
        <v>33</v>
      </c>
      <c r="F5" s="30" t="s">
        <v>71</v>
      </c>
      <c r="G5" s="16" t="str">
        <f t="shared" si="2"/>
        <v/>
      </c>
      <c r="H5" s="13" t="s">
        <v>73</v>
      </c>
      <c r="J5" s="9" t="s">
        <v>84</v>
      </c>
      <c r="K5" s="12" t="s">
        <v>29</v>
      </c>
      <c r="M5" s="9" t="s">
        <v>13</v>
      </c>
      <c r="N5" s="9" t="s">
        <v>42</v>
      </c>
      <c r="P5" s="12">
        <v>2020</v>
      </c>
    </row>
    <row r="6" spans="1:16" x14ac:dyDescent="0.2">
      <c r="A6" s="16" t="str">
        <f t="shared" si="0"/>
        <v/>
      </c>
      <c r="B6" s="17" t="s">
        <v>22</v>
      </c>
      <c r="C6" s="18">
        <v>44307</v>
      </c>
      <c r="D6" s="16" t="str">
        <f t="shared" si="1"/>
        <v/>
      </c>
      <c r="E6" s="17" t="s">
        <v>34</v>
      </c>
      <c r="F6" s="30" t="s">
        <v>74</v>
      </c>
      <c r="G6" s="16" t="str">
        <f t="shared" si="2"/>
        <v/>
      </c>
      <c r="H6" s="13" t="s">
        <v>74</v>
      </c>
      <c r="J6" s="9" t="s">
        <v>53</v>
      </c>
      <c r="K6" s="12" t="s">
        <v>54</v>
      </c>
      <c r="M6" s="9" t="s">
        <v>14</v>
      </c>
      <c r="N6" s="9" t="s">
        <v>42</v>
      </c>
      <c r="P6" s="12">
        <v>2021</v>
      </c>
    </row>
    <row r="7" spans="1:16" x14ac:dyDescent="0.2">
      <c r="A7" s="16" t="str">
        <f t="shared" si="0"/>
        <v/>
      </c>
      <c r="B7" s="17" t="s">
        <v>80</v>
      </c>
      <c r="C7" s="18">
        <v>44377</v>
      </c>
      <c r="D7" s="16" t="str">
        <f t="shared" si="1"/>
        <v/>
      </c>
      <c r="E7" s="17" t="s">
        <v>35</v>
      </c>
      <c r="F7" s="30" t="s">
        <v>71</v>
      </c>
      <c r="G7" s="16" t="str">
        <f t="shared" si="2"/>
        <v/>
      </c>
      <c r="H7" s="13" t="s">
        <v>75</v>
      </c>
      <c r="J7" s="9" t="s">
        <v>27</v>
      </c>
      <c r="K7" s="12" t="s">
        <v>30</v>
      </c>
      <c r="M7" s="9" t="s">
        <v>15</v>
      </c>
      <c r="N7" s="9" t="s">
        <v>41</v>
      </c>
      <c r="P7" s="12">
        <v>2022</v>
      </c>
    </row>
    <row r="8" spans="1:16" x14ac:dyDescent="0.2">
      <c r="A8" s="16" t="str">
        <f t="shared" si="0"/>
        <v/>
      </c>
      <c r="B8" s="17" t="s">
        <v>82</v>
      </c>
      <c r="C8" s="18">
        <v>44298</v>
      </c>
      <c r="D8" s="16" t="str">
        <f t="shared" si="1"/>
        <v/>
      </c>
      <c r="E8" s="17" t="s">
        <v>36</v>
      </c>
      <c r="F8" s="30" t="s">
        <v>74</v>
      </c>
      <c r="G8" s="16" t="str">
        <f t="shared" si="2"/>
        <v/>
      </c>
      <c r="H8" s="13" t="s">
        <v>76</v>
      </c>
      <c r="J8" s="11" t="s">
        <v>92</v>
      </c>
      <c r="K8" s="12" t="s">
        <v>56</v>
      </c>
      <c r="M8" s="9" t="s">
        <v>16</v>
      </c>
      <c r="N8" s="9" t="s">
        <v>41</v>
      </c>
      <c r="P8" s="12">
        <v>2023</v>
      </c>
    </row>
    <row r="9" spans="1:16" x14ac:dyDescent="0.2">
      <c r="A9" s="16" t="str">
        <f t="shared" si="0"/>
        <v/>
      </c>
      <c r="B9" s="17" t="s">
        <v>23</v>
      </c>
      <c r="C9" s="18">
        <v>44317</v>
      </c>
      <c r="D9" s="16" t="str">
        <f t="shared" si="1"/>
        <v/>
      </c>
      <c r="E9" s="17" t="s">
        <v>37</v>
      </c>
      <c r="F9" s="30" t="s">
        <v>73</v>
      </c>
      <c r="G9" s="16" t="str">
        <f t="shared" si="2"/>
        <v>Add Department---&gt;</v>
      </c>
      <c r="J9" s="11" t="s">
        <v>58</v>
      </c>
      <c r="K9" s="12" t="s">
        <v>57</v>
      </c>
      <c r="M9" s="9" t="s">
        <v>17</v>
      </c>
      <c r="N9" s="9" t="s">
        <v>42</v>
      </c>
      <c r="P9" s="12"/>
    </row>
    <row r="10" spans="1:16" x14ac:dyDescent="0.2">
      <c r="A10" s="16" t="str">
        <f t="shared" si="0"/>
        <v/>
      </c>
      <c r="B10" s="17" t="s">
        <v>24</v>
      </c>
      <c r="C10" s="18">
        <v>44525</v>
      </c>
      <c r="D10" s="16" t="str">
        <f t="shared" si="1"/>
        <v/>
      </c>
      <c r="E10" s="17" t="s">
        <v>38</v>
      </c>
      <c r="F10" s="30" t="s">
        <v>72</v>
      </c>
      <c r="G10" s="16" t="str">
        <f t="shared" si="2"/>
        <v/>
      </c>
      <c r="J10" s="9" t="s">
        <v>83</v>
      </c>
      <c r="K10" s="12" t="s">
        <v>59</v>
      </c>
      <c r="P10" s="12"/>
    </row>
    <row r="11" spans="1:16" x14ac:dyDescent="0.2">
      <c r="A11" s="16" t="str">
        <f t="shared" si="0"/>
        <v/>
      </c>
      <c r="B11" s="17" t="s">
        <v>25</v>
      </c>
      <c r="C11" s="18">
        <v>44190</v>
      </c>
      <c r="D11" s="16" t="str">
        <f t="shared" si="1"/>
        <v/>
      </c>
      <c r="E11" s="17" t="s">
        <v>39</v>
      </c>
      <c r="F11" s="30" t="s">
        <v>72</v>
      </c>
      <c r="G11" s="16" t="str">
        <f t="shared" si="2"/>
        <v/>
      </c>
      <c r="J11" s="9" t="s">
        <v>85</v>
      </c>
      <c r="K11" s="12" t="s">
        <v>88</v>
      </c>
      <c r="P11" s="12"/>
    </row>
    <row r="12" spans="1:16" x14ac:dyDescent="0.2">
      <c r="A12" s="16" t="str">
        <f t="shared" si="0"/>
        <v>Add vacaction---&gt;</v>
      </c>
      <c r="D12" s="16" t="str">
        <f t="shared" si="1"/>
        <v/>
      </c>
      <c r="E12" s="17" t="s">
        <v>40</v>
      </c>
      <c r="F12" s="30" t="s">
        <v>76</v>
      </c>
      <c r="G12" s="16" t="str">
        <f t="shared" si="2"/>
        <v/>
      </c>
      <c r="J12" s="9" t="s">
        <v>86</v>
      </c>
      <c r="K12" s="12" t="s">
        <v>87</v>
      </c>
      <c r="P12" s="12"/>
    </row>
    <row r="13" spans="1:16" x14ac:dyDescent="0.2">
      <c r="A13" s="16" t="str">
        <f t="shared" si="0"/>
        <v/>
      </c>
      <c r="D13" s="16" t="str">
        <f t="shared" si="1"/>
        <v/>
      </c>
      <c r="E13" s="17" t="s">
        <v>43</v>
      </c>
      <c r="F13" s="30" t="s">
        <v>71</v>
      </c>
      <c r="G13" s="16" t="str">
        <f t="shared" si="2"/>
        <v/>
      </c>
      <c r="P13" s="12"/>
    </row>
    <row r="14" spans="1:16" x14ac:dyDescent="0.2">
      <c r="A14" s="16" t="str">
        <f t="shared" si="0"/>
        <v/>
      </c>
      <c r="D14" s="16" t="str">
        <f t="shared" si="1"/>
        <v/>
      </c>
      <c r="E14" s="17" t="s">
        <v>44</v>
      </c>
      <c r="F14" s="30" t="s">
        <v>74</v>
      </c>
      <c r="G14" s="16" t="str">
        <f t="shared" si="2"/>
        <v/>
      </c>
      <c r="P14" s="12"/>
    </row>
    <row r="15" spans="1:16" x14ac:dyDescent="0.2">
      <c r="A15" s="16" t="str">
        <f t="shared" si="0"/>
        <v/>
      </c>
      <c r="D15" s="16" t="str">
        <f t="shared" si="1"/>
        <v/>
      </c>
      <c r="E15" s="17" t="s">
        <v>45</v>
      </c>
      <c r="F15" s="30" t="s">
        <v>75</v>
      </c>
      <c r="G15" s="16" t="str">
        <f t="shared" si="2"/>
        <v/>
      </c>
      <c r="P15" s="12"/>
    </row>
    <row r="16" spans="1:16" x14ac:dyDescent="0.2">
      <c r="A16" s="16" t="str">
        <f t="shared" si="0"/>
        <v/>
      </c>
      <c r="D16" s="16" t="str">
        <f t="shared" si="1"/>
        <v/>
      </c>
      <c r="E16" s="17" t="s">
        <v>46</v>
      </c>
      <c r="F16" s="30" t="s">
        <v>71</v>
      </c>
      <c r="G16" s="16" t="str">
        <f t="shared" si="2"/>
        <v/>
      </c>
      <c r="P16" s="12"/>
    </row>
    <row r="17" spans="1:16" x14ac:dyDescent="0.2">
      <c r="A17" s="16" t="str">
        <f t="shared" si="0"/>
        <v/>
      </c>
      <c r="D17" s="16" t="str">
        <f t="shared" si="1"/>
        <v/>
      </c>
      <c r="E17" s="17" t="s">
        <v>47</v>
      </c>
      <c r="F17" s="30" t="s">
        <v>75</v>
      </c>
      <c r="G17" s="16" t="str">
        <f t="shared" si="2"/>
        <v/>
      </c>
      <c r="P17" s="12"/>
    </row>
    <row r="18" spans="1:16" x14ac:dyDescent="0.2">
      <c r="A18" s="16" t="str">
        <f t="shared" si="0"/>
        <v/>
      </c>
      <c r="D18" s="16" t="str">
        <f t="shared" si="1"/>
        <v/>
      </c>
      <c r="E18" s="17" t="s">
        <v>48</v>
      </c>
      <c r="F18" s="30" t="s">
        <v>72</v>
      </c>
      <c r="G18" s="16" t="str">
        <f t="shared" si="2"/>
        <v/>
      </c>
      <c r="P18" s="12"/>
    </row>
    <row r="19" spans="1:16" x14ac:dyDescent="0.2">
      <c r="A19" s="16" t="str">
        <f t="shared" si="0"/>
        <v/>
      </c>
      <c r="D19" s="16" t="str">
        <f t="shared" si="1"/>
        <v/>
      </c>
      <c r="E19" s="17" t="s">
        <v>49</v>
      </c>
      <c r="F19" s="30" t="s">
        <v>73</v>
      </c>
      <c r="G19" s="16" t="str">
        <f t="shared" si="2"/>
        <v/>
      </c>
      <c r="P19" s="12"/>
    </row>
    <row r="20" spans="1:16" x14ac:dyDescent="0.2">
      <c r="A20" s="16" t="str">
        <f t="shared" si="0"/>
        <v/>
      </c>
      <c r="D20" s="16" t="str">
        <f t="shared" si="1"/>
        <v/>
      </c>
      <c r="E20" s="17" t="s">
        <v>50</v>
      </c>
      <c r="F20" s="30" t="s">
        <v>76</v>
      </c>
      <c r="G20" s="16" t="str">
        <f t="shared" si="2"/>
        <v/>
      </c>
      <c r="P20" s="12"/>
    </row>
    <row r="21" spans="1:16" x14ac:dyDescent="0.2">
      <c r="A21" s="16" t="str">
        <f t="shared" si="0"/>
        <v/>
      </c>
      <c r="D21" s="16" t="str">
        <f t="shared" si="1"/>
        <v/>
      </c>
      <c r="E21" s="17" t="s">
        <v>51</v>
      </c>
      <c r="F21" s="30" t="s">
        <v>72</v>
      </c>
      <c r="G21" s="16" t="str">
        <f t="shared" si="2"/>
        <v/>
      </c>
      <c r="P21" s="12"/>
    </row>
    <row r="22" spans="1:16" x14ac:dyDescent="0.2">
      <c r="A22" s="16" t="str">
        <f t="shared" si="0"/>
        <v/>
      </c>
      <c r="D22" s="16" t="str">
        <f t="shared" si="1"/>
        <v/>
      </c>
      <c r="E22" s="19" t="s">
        <v>52</v>
      </c>
      <c r="F22" s="31" t="s">
        <v>71</v>
      </c>
      <c r="G22" s="16" t="str">
        <f t="shared" si="2"/>
        <v/>
      </c>
      <c r="P22" s="12"/>
    </row>
    <row r="23" spans="1:16" x14ac:dyDescent="0.2">
      <c r="A23" s="16" t="str">
        <f t="shared" si="0"/>
        <v/>
      </c>
      <c r="D23" s="16" t="str">
        <f t="shared" si="1"/>
        <v>Add Employee---&gt;</v>
      </c>
      <c r="G23" s="16" t="str">
        <f t="shared" si="2"/>
        <v/>
      </c>
    </row>
    <row r="24" spans="1:16" x14ac:dyDescent="0.2">
      <c r="A24" s="16" t="str">
        <f t="shared" si="0"/>
        <v/>
      </c>
      <c r="D24" s="16" t="str">
        <f t="shared" si="1"/>
        <v/>
      </c>
      <c r="G24" s="16" t="str">
        <f t="shared" si="2"/>
        <v/>
      </c>
    </row>
    <row r="25" spans="1:16" x14ac:dyDescent="0.2">
      <c r="A25" s="16" t="str">
        <f t="shared" si="0"/>
        <v/>
      </c>
      <c r="D25" s="16" t="str">
        <f t="shared" si="1"/>
        <v/>
      </c>
      <c r="G25" s="16" t="str">
        <f t="shared" si="2"/>
        <v/>
      </c>
    </row>
    <row r="26" spans="1:16" x14ac:dyDescent="0.2">
      <c r="A26" s="16" t="str">
        <f t="shared" si="0"/>
        <v/>
      </c>
      <c r="D26" s="16" t="str">
        <f t="shared" si="1"/>
        <v/>
      </c>
      <c r="G26" s="16" t="str">
        <f t="shared" si="2"/>
        <v/>
      </c>
    </row>
    <row r="27" spans="1:16" x14ac:dyDescent="0.2">
      <c r="A27" s="16" t="str">
        <f t="shared" si="0"/>
        <v/>
      </c>
      <c r="D27" s="16" t="str">
        <f t="shared" si="1"/>
        <v/>
      </c>
      <c r="G27" s="16" t="str">
        <f t="shared" si="2"/>
        <v/>
      </c>
    </row>
    <row r="28" spans="1:16" x14ac:dyDescent="0.2">
      <c r="A28" s="16" t="str">
        <f t="shared" si="0"/>
        <v/>
      </c>
      <c r="D28" s="16" t="str">
        <f t="shared" si="1"/>
        <v/>
      </c>
      <c r="G28" s="16" t="str">
        <f t="shared" si="2"/>
        <v/>
      </c>
    </row>
    <row r="29" spans="1:16" x14ac:dyDescent="0.2">
      <c r="A29" s="16" t="str">
        <f t="shared" si="0"/>
        <v/>
      </c>
      <c r="D29" s="16" t="str">
        <f t="shared" si="1"/>
        <v/>
      </c>
      <c r="G29" s="16" t="str">
        <f t="shared" si="2"/>
        <v/>
      </c>
    </row>
    <row r="30" spans="1:16" x14ac:dyDescent="0.2">
      <c r="A30" s="16" t="str">
        <f t="shared" si="0"/>
        <v/>
      </c>
      <c r="D30" s="16" t="str">
        <f t="shared" si="1"/>
        <v/>
      </c>
      <c r="G30" s="16" t="str">
        <f t="shared" si="2"/>
        <v/>
      </c>
    </row>
    <row r="31" spans="1:16" x14ac:dyDescent="0.2">
      <c r="A31" s="16" t="str">
        <f t="shared" si="0"/>
        <v/>
      </c>
      <c r="D31" s="16" t="str">
        <f t="shared" si="1"/>
        <v/>
      </c>
      <c r="G31" s="16" t="str">
        <f t="shared" si="2"/>
        <v/>
      </c>
    </row>
    <row r="32" spans="1:16" x14ac:dyDescent="0.2">
      <c r="A32" s="16" t="str">
        <f t="shared" si="0"/>
        <v/>
      </c>
      <c r="D32" s="16" t="str">
        <f t="shared" si="1"/>
        <v/>
      </c>
      <c r="G32" s="16" t="str">
        <f t="shared" si="2"/>
        <v/>
      </c>
    </row>
    <row r="33" spans="1:7" x14ac:dyDescent="0.2">
      <c r="A33" s="16" t="str">
        <f t="shared" si="0"/>
        <v/>
      </c>
      <c r="D33" s="16" t="str">
        <f t="shared" si="1"/>
        <v/>
      </c>
      <c r="G33" s="16" t="str">
        <f t="shared" si="2"/>
        <v/>
      </c>
    </row>
    <row r="34" spans="1:7" x14ac:dyDescent="0.2">
      <c r="A34" s="16" t="str">
        <f t="shared" si="0"/>
        <v/>
      </c>
      <c r="D34" s="16" t="str">
        <f t="shared" si="1"/>
        <v/>
      </c>
      <c r="G34" s="16" t="str">
        <f t="shared" si="2"/>
        <v/>
      </c>
    </row>
    <row r="35" spans="1:7" x14ac:dyDescent="0.2">
      <c r="A35" s="16" t="str">
        <f t="shared" si="0"/>
        <v/>
      </c>
      <c r="D35" s="16" t="str">
        <f t="shared" si="1"/>
        <v/>
      </c>
      <c r="G35" s="16" t="str">
        <f t="shared" si="2"/>
        <v/>
      </c>
    </row>
    <row r="36" spans="1:7" x14ac:dyDescent="0.2">
      <c r="A36" s="16" t="str">
        <f t="shared" si="0"/>
        <v/>
      </c>
      <c r="D36" s="16" t="str">
        <f t="shared" si="1"/>
        <v/>
      </c>
      <c r="G36" s="16" t="str">
        <f t="shared" si="2"/>
        <v/>
      </c>
    </row>
    <row r="37" spans="1:7" x14ac:dyDescent="0.2">
      <c r="A37" s="16" t="str">
        <f t="shared" si="0"/>
        <v/>
      </c>
      <c r="D37" s="16" t="str">
        <f t="shared" si="1"/>
        <v/>
      </c>
      <c r="G37" s="16" t="str">
        <f t="shared" si="2"/>
        <v/>
      </c>
    </row>
    <row r="38" spans="1:7" x14ac:dyDescent="0.2">
      <c r="A38" s="16" t="str">
        <f t="shared" si="0"/>
        <v/>
      </c>
      <c r="D38" s="16" t="str">
        <f t="shared" si="1"/>
        <v/>
      </c>
      <c r="G38" s="16" t="str">
        <f t="shared" si="2"/>
        <v/>
      </c>
    </row>
    <row r="39" spans="1:7" x14ac:dyDescent="0.2">
      <c r="A39" s="16" t="str">
        <f t="shared" si="0"/>
        <v/>
      </c>
      <c r="D39" s="16" t="str">
        <f t="shared" si="1"/>
        <v/>
      </c>
      <c r="G39" s="16" t="str">
        <f t="shared" si="2"/>
        <v/>
      </c>
    </row>
    <row r="40" spans="1:7" x14ac:dyDescent="0.2">
      <c r="A40" s="16" t="str">
        <f t="shared" si="0"/>
        <v/>
      </c>
      <c r="D40" s="16" t="str">
        <f t="shared" si="1"/>
        <v/>
      </c>
      <c r="G40" s="16" t="str">
        <f t="shared" si="2"/>
        <v/>
      </c>
    </row>
    <row r="41" spans="1:7" x14ac:dyDescent="0.2">
      <c r="A41" s="16" t="str">
        <f t="shared" si="0"/>
        <v/>
      </c>
      <c r="D41" s="16" t="str">
        <f t="shared" si="1"/>
        <v/>
      </c>
      <c r="G41" s="16" t="str">
        <f t="shared" si="2"/>
        <v/>
      </c>
    </row>
    <row r="42" spans="1:7" x14ac:dyDescent="0.2">
      <c r="A42" s="16" t="str">
        <f t="shared" si="0"/>
        <v/>
      </c>
      <c r="D42" s="16" t="str">
        <f t="shared" si="1"/>
        <v/>
      </c>
      <c r="G42" s="16" t="str">
        <f t="shared" si="2"/>
        <v/>
      </c>
    </row>
    <row r="43" spans="1:7" x14ac:dyDescent="0.2">
      <c r="A43" s="16" t="str">
        <f t="shared" si="0"/>
        <v/>
      </c>
      <c r="D43" s="16" t="str">
        <f t="shared" si="1"/>
        <v/>
      </c>
      <c r="G43" s="16" t="str">
        <f t="shared" si="2"/>
        <v/>
      </c>
    </row>
    <row r="44" spans="1:7" x14ac:dyDescent="0.2">
      <c r="A44" s="16" t="str">
        <f t="shared" si="0"/>
        <v/>
      </c>
      <c r="D44" s="16" t="str">
        <f t="shared" si="1"/>
        <v/>
      </c>
      <c r="G44" s="16" t="str">
        <f t="shared" si="2"/>
        <v/>
      </c>
    </row>
    <row r="45" spans="1:7" x14ac:dyDescent="0.2">
      <c r="A45" s="16" t="str">
        <f t="shared" si="0"/>
        <v/>
      </c>
      <c r="D45" s="16" t="str">
        <f t="shared" si="1"/>
        <v/>
      </c>
      <c r="G45" s="16" t="str">
        <f t="shared" si="2"/>
        <v/>
      </c>
    </row>
    <row r="46" spans="1:7" x14ac:dyDescent="0.2">
      <c r="A46" s="16" t="str">
        <f t="shared" si="0"/>
        <v/>
      </c>
      <c r="D46" s="16" t="str">
        <f t="shared" si="1"/>
        <v/>
      </c>
      <c r="G46" s="16" t="str">
        <f t="shared" si="2"/>
        <v/>
      </c>
    </row>
    <row r="47" spans="1:7" x14ac:dyDescent="0.2">
      <c r="A47" s="16" t="str">
        <f t="shared" si="0"/>
        <v/>
      </c>
      <c r="D47" s="16" t="str">
        <f t="shared" si="1"/>
        <v/>
      </c>
      <c r="G47" s="16" t="str">
        <f t="shared" si="2"/>
        <v/>
      </c>
    </row>
    <row r="48" spans="1:7" x14ac:dyDescent="0.2">
      <c r="A48" s="16" t="str">
        <f t="shared" si="0"/>
        <v/>
      </c>
      <c r="D48" s="16" t="str">
        <f t="shared" si="1"/>
        <v/>
      </c>
      <c r="G48" s="16" t="str">
        <f t="shared" si="2"/>
        <v/>
      </c>
    </row>
    <row r="49" spans="1:7" x14ac:dyDescent="0.2">
      <c r="A49" s="16" t="str">
        <f t="shared" si="0"/>
        <v/>
      </c>
      <c r="D49" s="16" t="str">
        <f t="shared" si="1"/>
        <v/>
      </c>
      <c r="G49" s="16" t="str">
        <f t="shared" si="2"/>
        <v/>
      </c>
    </row>
    <row r="50" spans="1:7" x14ac:dyDescent="0.2">
      <c r="A50" s="16" t="str">
        <f t="shared" si="0"/>
        <v/>
      </c>
      <c r="D50" s="16" t="str">
        <f t="shared" si="1"/>
        <v/>
      </c>
      <c r="G50" s="16" t="str">
        <f t="shared" si="2"/>
        <v/>
      </c>
    </row>
    <row r="51" spans="1:7" x14ac:dyDescent="0.2">
      <c r="A51" s="16" t="str">
        <f t="shared" si="0"/>
        <v/>
      </c>
      <c r="D51" s="16" t="str">
        <f t="shared" si="1"/>
        <v/>
      </c>
      <c r="G51" s="16" t="str">
        <f t="shared" si="2"/>
        <v/>
      </c>
    </row>
    <row r="52" spans="1:7" x14ac:dyDescent="0.2">
      <c r="A52" s="16" t="str">
        <f t="shared" si="0"/>
        <v/>
      </c>
      <c r="D52" s="16" t="str">
        <f t="shared" si="1"/>
        <v/>
      </c>
      <c r="G52" s="16" t="str">
        <f t="shared" si="2"/>
        <v/>
      </c>
    </row>
    <row r="53" spans="1:7" x14ac:dyDescent="0.2">
      <c r="A53" s="16" t="str">
        <f t="shared" si="0"/>
        <v/>
      </c>
      <c r="D53" s="16" t="str">
        <f t="shared" si="1"/>
        <v/>
      </c>
      <c r="G53" s="16" t="str">
        <f t="shared" si="2"/>
        <v/>
      </c>
    </row>
    <row r="54" spans="1:7" x14ac:dyDescent="0.2">
      <c r="A54" s="16" t="str">
        <f t="shared" si="0"/>
        <v/>
      </c>
      <c r="D54" s="16" t="str">
        <f t="shared" si="1"/>
        <v/>
      </c>
      <c r="G54" s="16" t="str">
        <f t="shared" si="2"/>
        <v/>
      </c>
    </row>
    <row r="55" spans="1:7" x14ac:dyDescent="0.2">
      <c r="A55" s="16" t="str">
        <f t="shared" si="0"/>
        <v/>
      </c>
      <c r="D55" s="16" t="str">
        <f t="shared" si="1"/>
        <v/>
      </c>
      <c r="G55" s="16" t="str">
        <f t="shared" si="2"/>
        <v/>
      </c>
    </row>
    <row r="56" spans="1:7" x14ac:dyDescent="0.2">
      <c r="A56" s="16" t="str">
        <f t="shared" si="0"/>
        <v/>
      </c>
      <c r="D56" s="16" t="str">
        <f t="shared" si="1"/>
        <v/>
      </c>
      <c r="G56" s="16" t="str">
        <f t="shared" si="2"/>
        <v/>
      </c>
    </row>
    <row r="57" spans="1:7" x14ac:dyDescent="0.2">
      <c r="A57" s="16" t="str">
        <f t="shared" si="0"/>
        <v/>
      </c>
      <c r="D57" s="16" t="str">
        <f t="shared" si="1"/>
        <v/>
      </c>
      <c r="G57" s="16" t="str">
        <f t="shared" si="2"/>
        <v/>
      </c>
    </row>
    <row r="58" spans="1:7" x14ac:dyDescent="0.2">
      <c r="A58" s="16" t="str">
        <f t="shared" si="0"/>
        <v/>
      </c>
      <c r="D58" s="16" t="str">
        <f t="shared" si="1"/>
        <v/>
      </c>
      <c r="G58" s="16" t="str">
        <f t="shared" si="2"/>
        <v/>
      </c>
    </row>
    <row r="59" spans="1:7" x14ac:dyDescent="0.2">
      <c r="A59" s="16" t="str">
        <f t="shared" si="0"/>
        <v/>
      </c>
      <c r="D59" s="16" t="str">
        <f t="shared" si="1"/>
        <v/>
      </c>
      <c r="G59" s="16" t="str">
        <f t="shared" si="2"/>
        <v/>
      </c>
    </row>
    <row r="60" spans="1:7" x14ac:dyDescent="0.2">
      <c r="A60" s="16" t="str">
        <f t="shared" si="0"/>
        <v/>
      </c>
      <c r="D60" s="16" t="str">
        <f t="shared" si="1"/>
        <v/>
      </c>
      <c r="G60" s="16" t="str">
        <f t="shared" si="2"/>
        <v/>
      </c>
    </row>
    <row r="61" spans="1:7" x14ac:dyDescent="0.2">
      <c r="A61" s="16" t="str">
        <f t="shared" si="0"/>
        <v/>
      </c>
      <c r="D61" s="16" t="str">
        <f t="shared" si="1"/>
        <v/>
      </c>
      <c r="G61" s="16" t="str">
        <f t="shared" si="2"/>
        <v/>
      </c>
    </row>
    <row r="62" spans="1:7" x14ac:dyDescent="0.2">
      <c r="A62" s="16" t="str">
        <f t="shared" si="0"/>
        <v/>
      </c>
      <c r="D62" s="16" t="str">
        <f t="shared" si="1"/>
        <v/>
      </c>
      <c r="G62" s="16" t="str">
        <f t="shared" si="2"/>
        <v/>
      </c>
    </row>
    <row r="63" spans="1:7" x14ac:dyDescent="0.2">
      <c r="A63" s="16" t="str">
        <f t="shared" si="0"/>
        <v/>
      </c>
      <c r="D63" s="16" t="str">
        <f t="shared" si="1"/>
        <v/>
      </c>
      <c r="G63" s="16" t="str">
        <f t="shared" si="2"/>
        <v/>
      </c>
    </row>
    <row r="64" spans="1:7" x14ac:dyDescent="0.2">
      <c r="A64" s="16" t="str">
        <f t="shared" si="0"/>
        <v/>
      </c>
      <c r="D64" s="16" t="str">
        <f t="shared" si="1"/>
        <v/>
      </c>
      <c r="G64" s="16" t="str">
        <f t="shared" si="2"/>
        <v/>
      </c>
    </row>
    <row r="65" spans="1:7" x14ac:dyDescent="0.2">
      <c r="A65" s="16" t="str">
        <f t="shared" si="0"/>
        <v/>
      </c>
      <c r="D65" s="16" t="str">
        <f t="shared" si="1"/>
        <v/>
      </c>
      <c r="G65" s="16" t="str">
        <f t="shared" si="2"/>
        <v/>
      </c>
    </row>
    <row r="66" spans="1:7" x14ac:dyDescent="0.2">
      <c r="A66" s="16" t="str">
        <f t="shared" si="0"/>
        <v/>
      </c>
      <c r="D66" s="16" t="str">
        <f t="shared" si="1"/>
        <v/>
      </c>
      <c r="G66" s="16" t="str">
        <f t="shared" si="2"/>
        <v/>
      </c>
    </row>
    <row r="67" spans="1:7" x14ac:dyDescent="0.2">
      <c r="A67" s="16" t="str">
        <f t="shared" ref="A67:A130" si="3">IF(AND(B66&lt;&gt;"",B67=""),"Add vacaction---&gt;","")</f>
        <v/>
      </c>
      <c r="D67" s="16" t="str">
        <f t="shared" ref="D67:D130" si="4">IF(AND(E66&lt;&gt;"",E67=""),"Add Employee---&gt;","")</f>
        <v/>
      </c>
      <c r="G67" s="16" t="str">
        <f t="shared" si="2"/>
        <v/>
      </c>
    </row>
    <row r="68" spans="1:7" x14ac:dyDescent="0.2">
      <c r="A68" s="16" t="str">
        <f t="shared" si="3"/>
        <v/>
      </c>
      <c r="D68" s="16" t="str">
        <f t="shared" si="4"/>
        <v/>
      </c>
      <c r="G68" s="16" t="str">
        <f t="shared" ref="G68:G131" si="5">IF(AND(H67&lt;&gt;"",H68=""),"Add Department---&gt;","")</f>
        <v/>
      </c>
    </row>
    <row r="69" spans="1:7" x14ac:dyDescent="0.2">
      <c r="A69" s="16" t="str">
        <f t="shared" si="3"/>
        <v/>
      </c>
      <c r="D69" s="16" t="str">
        <f t="shared" si="4"/>
        <v/>
      </c>
      <c r="G69" s="16" t="str">
        <f t="shared" si="5"/>
        <v/>
      </c>
    </row>
    <row r="70" spans="1:7" x14ac:dyDescent="0.2">
      <c r="A70" s="16" t="str">
        <f t="shared" si="3"/>
        <v/>
      </c>
      <c r="D70" s="16" t="str">
        <f t="shared" si="4"/>
        <v/>
      </c>
      <c r="G70" s="16" t="str">
        <f t="shared" si="5"/>
        <v/>
      </c>
    </row>
    <row r="71" spans="1:7" x14ac:dyDescent="0.2">
      <c r="A71" s="16" t="str">
        <f t="shared" si="3"/>
        <v/>
      </c>
      <c r="D71" s="16" t="str">
        <f t="shared" si="4"/>
        <v/>
      </c>
      <c r="G71" s="16" t="str">
        <f t="shared" si="5"/>
        <v/>
      </c>
    </row>
    <row r="72" spans="1:7" x14ac:dyDescent="0.2">
      <c r="A72" s="16" t="str">
        <f t="shared" si="3"/>
        <v/>
      </c>
      <c r="D72" s="16" t="str">
        <f t="shared" si="4"/>
        <v/>
      </c>
      <c r="G72" s="16" t="str">
        <f t="shared" si="5"/>
        <v/>
      </c>
    </row>
    <row r="73" spans="1:7" x14ac:dyDescent="0.2">
      <c r="A73" s="16" t="str">
        <f t="shared" si="3"/>
        <v/>
      </c>
      <c r="D73" s="16" t="str">
        <f t="shared" si="4"/>
        <v/>
      </c>
      <c r="G73" s="16" t="str">
        <f t="shared" si="5"/>
        <v/>
      </c>
    </row>
    <row r="74" spans="1:7" x14ac:dyDescent="0.2">
      <c r="A74" s="16" t="str">
        <f t="shared" si="3"/>
        <v/>
      </c>
      <c r="D74" s="16" t="str">
        <f t="shared" si="4"/>
        <v/>
      </c>
      <c r="G74" s="16" t="str">
        <f t="shared" si="5"/>
        <v/>
      </c>
    </row>
    <row r="75" spans="1:7" x14ac:dyDescent="0.2">
      <c r="A75" s="16" t="str">
        <f t="shared" si="3"/>
        <v/>
      </c>
      <c r="D75" s="16" t="str">
        <f t="shared" si="4"/>
        <v/>
      </c>
      <c r="G75" s="16" t="str">
        <f t="shared" si="5"/>
        <v/>
      </c>
    </row>
    <row r="76" spans="1:7" x14ac:dyDescent="0.2">
      <c r="A76" s="16" t="str">
        <f t="shared" si="3"/>
        <v/>
      </c>
      <c r="D76" s="16" t="str">
        <f t="shared" si="4"/>
        <v/>
      </c>
      <c r="G76" s="16" t="str">
        <f t="shared" si="5"/>
        <v/>
      </c>
    </row>
    <row r="77" spans="1:7" x14ac:dyDescent="0.2">
      <c r="A77" s="16" t="str">
        <f t="shared" si="3"/>
        <v/>
      </c>
      <c r="D77" s="16" t="str">
        <f t="shared" si="4"/>
        <v/>
      </c>
      <c r="G77" s="16" t="str">
        <f t="shared" si="5"/>
        <v/>
      </c>
    </row>
    <row r="78" spans="1:7" x14ac:dyDescent="0.2">
      <c r="A78" s="16" t="str">
        <f t="shared" si="3"/>
        <v/>
      </c>
      <c r="D78" s="16" t="str">
        <f t="shared" si="4"/>
        <v/>
      </c>
      <c r="G78" s="16" t="str">
        <f t="shared" si="5"/>
        <v/>
      </c>
    </row>
    <row r="79" spans="1:7" x14ac:dyDescent="0.2">
      <c r="A79" s="16" t="str">
        <f t="shared" si="3"/>
        <v/>
      </c>
      <c r="D79" s="16" t="str">
        <f t="shared" si="4"/>
        <v/>
      </c>
      <c r="G79" s="16" t="str">
        <f t="shared" si="5"/>
        <v/>
      </c>
    </row>
    <row r="80" spans="1:7" x14ac:dyDescent="0.2">
      <c r="A80" s="16" t="str">
        <f t="shared" si="3"/>
        <v/>
      </c>
      <c r="D80" s="16" t="str">
        <f t="shared" si="4"/>
        <v/>
      </c>
      <c r="G80" s="16" t="str">
        <f t="shared" si="5"/>
        <v/>
      </c>
    </row>
    <row r="81" spans="1:7" x14ac:dyDescent="0.2">
      <c r="A81" s="16" t="str">
        <f t="shared" si="3"/>
        <v/>
      </c>
      <c r="D81" s="16" t="str">
        <f t="shared" si="4"/>
        <v/>
      </c>
      <c r="G81" s="16" t="str">
        <f t="shared" si="5"/>
        <v/>
      </c>
    </row>
    <row r="82" spans="1:7" x14ac:dyDescent="0.2">
      <c r="A82" s="16" t="str">
        <f t="shared" si="3"/>
        <v/>
      </c>
      <c r="D82" s="16" t="str">
        <f t="shared" si="4"/>
        <v/>
      </c>
      <c r="G82" s="16" t="str">
        <f t="shared" si="5"/>
        <v/>
      </c>
    </row>
    <row r="83" spans="1:7" x14ac:dyDescent="0.2">
      <c r="A83" s="16" t="str">
        <f t="shared" si="3"/>
        <v/>
      </c>
      <c r="D83" s="16" t="str">
        <f t="shared" si="4"/>
        <v/>
      </c>
      <c r="G83" s="16" t="str">
        <f t="shared" si="5"/>
        <v/>
      </c>
    </row>
    <row r="84" spans="1:7" x14ac:dyDescent="0.2">
      <c r="A84" s="16" t="str">
        <f t="shared" si="3"/>
        <v/>
      </c>
      <c r="D84" s="16" t="str">
        <f t="shared" si="4"/>
        <v/>
      </c>
      <c r="G84" s="16" t="str">
        <f t="shared" si="5"/>
        <v/>
      </c>
    </row>
    <row r="85" spans="1:7" x14ac:dyDescent="0.2">
      <c r="A85" s="16" t="str">
        <f t="shared" si="3"/>
        <v/>
      </c>
      <c r="D85" s="16" t="str">
        <f t="shared" si="4"/>
        <v/>
      </c>
      <c r="G85" s="16" t="str">
        <f t="shared" si="5"/>
        <v/>
      </c>
    </row>
    <row r="86" spans="1:7" x14ac:dyDescent="0.2">
      <c r="A86" s="16" t="str">
        <f t="shared" si="3"/>
        <v/>
      </c>
      <c r="D86" s="16" t="str">
        <f t="shared" si="4"/>
        <v/>
      </c>
      <c r="G86" s="16" t="str">
        <f t="shared" si="5"/>
        <v/>
      </c>
    </row>
    <row r="87" spans="1:7" x14ac:dyDescent="0.2">
      <c r="A87" s="16" t="str">
        <f t="shared" si="3"/>
        <v/>
      </c>
      <c r="D87" s="16" t="str">
        <f t="shared" si="4"/>
        <v/>
      </c>
      <c r="G87" s="16" t="str">
        <f t="shared" si="5"/>
        <v/>
      </c>
    </row>
    <row r="88" spans="1:7" x14ac:dyDescent="0.2">
      <c r="A88" s="16" t="str">
        <f t="shared" si="3"/>
        <v/>
      </c>
      <c r="D88" s="16" t="str">
        <f t="shared" si="4"/>
        <v/>
      </c>
      <c r="G88" s="16" t="str">
        <f t="shared" si="5"/>
        <v/>
      </c>
    </row>
    <row r="89" spans="1:7" x14ac:dyDescent="0.2">
      <c r="A89" s="16" t="str">
        <f t="shared" si="3"/>
        <v/>
      </c>
      <c r="D89" s="16" t="str">
        <f t="shared" si="4"/>
        <v/>
      </c>
      <c r="G89" s="16" t="str">
        <f t="shared" si="5"/>
        <v/>
      </c>
    </row>
    <row r="90" spans="1:7" x14ac:dyDescent="0.2">
      <c r="A90" s="16" t="str">
        <f t="shared" si="3"/>
        <v/>
      </c>
      <c r="D90" s="16" t="str">
        <f t="shared" si="4"/>
        <v/>
      </c>
      <c r="G90" s="16" t="str">
        <f t="shared" si="5"/>
        <v/>
      </c>
    </row>
    <row r="91" spans="1:7" x14ac:dyDescent="0.2">
      <c r="A91" s="16" t="str">
        <f t="shared" si="3"/>
        <v/>
      </c>
      <c r="D91" s="16" t="str">
        <f t="shared" si="4"/>
        <v/>
      </c>
      <c r="G91" s="16" t="str">
        <f t="shared" si="5"/>
        <v/>
      </c>
    </row>
    <row r="92" spans="1:7" x14ac:dyDescent="0.2">
      <c r="A92" s="16" t="str">
        <f t="shared" si="3"/>
        <v/>
      </c>
      <c r="D92" s="16" t="str">
        <f t="shared" si="4"/>
        <v/>
      </c>
      <c r="G92" s="16" t="str">
        <f t="shared" si="5"/>
        <v/>
      </c>
    </row>
    <row r="93" spans="1:7" x14ac:dyDescent="0.2">
      <c r="A93" s="16" t="str">
        <f t="shared" si="3"/>
        <v/>
      </c>
      <c r="D93" s="16" t="str">
        <f t="shared" si="4"/>
        <v/>
      </c>
      <c r="G93" s="16" t="str">
        <f t="shared" si="5"/>
        <v/>
      </c>
    </row>
    <row r="94" spans="1:7" x14ac:dyDescent="0.2">
      <c r="A94" s="16" t="str">
        <f t="shared" si="3"/>
        <v/>
      </c>
      <c r="D94" s="16" t="str">
        <f t="shared" si="4"/>
        <v/>
      </c>
      <c r="G94" s="16" t="str">
        <f t="shared" si="5"/>
        <v/>
      </c>
    </row>
    <row r="95" spans="1:7" x14ac:dyDescent="0.2">
      <c r="A95" s="16" t="str">
        <f t="shared" si="3"/>
        <v/>
      </c>
      <c r="D95" s="16" t="str">
        <f t="shared" si="4"/>
        <v/>
      </c>
      <c r="G95" s="16" t="str">
        <f t="shared" si="5"/>
        <v/>
      </c>
    </row>
    <row r="96" spans="1:7" x14ac:dyDescent="0.2">
      <c r="A96" s="16" t="str">
        <f t="shared" si="3"/>
        <v/>
      </c>
      <c r="D96" s="16" t="str">
        <f t="shared" si="4"/>
        <v/>
      </c>
      <c r="G96" s="16" t="str">
        <f t="shared" si="5"/>
        <v/>
      </c>
    </row>
    <row r="97" spans="1:7" x14ac:dyDescent="0.2">
      <c r="A97" s="16" t="str">
        <f t="shared" si="3"/>
        <v/>
      </c>
      <c r="D97" s="16" t="str">
        <f t="shared" si="4"/>
        <v/>
      </c>
      <c r="G97" s="16" t="str">
        <f t="shared" si="5"/>
        <v/>
      </c>
    </row>
    <row r="98" spans="1:7" x14ac:dyDescent="0.2">
      <c r="A98" s="16" t="str">
        <f t="shared" si="3"/>
        <v/>
      </c>
      <c r="D98" s="16" t="str">
        <f t="shared" si="4"/>
        <v/>
      </c>
      <c r="G98" s="16" t="str">
        <f t="shared" si="5"/>
        <v/>
      </c>
    </row>
    <row r="99" spans="1:7" x14ac:dyDescent="0.2">
      <c r="A99" s="16" t="str">
        <f t="shared" si="3"/>
        <v/>
      </c>
      <c r="D99" s="16" t="str">
        <f t="shared" si="4"/>
        <v/>
      </c>
      <c r="G99" s="16" t="str">
        <f t="shared" si="5"/>
        <v/>
      </c>
    </row>
    <row r="100" spans="1:7" x14ac:dyDescent="0.2">
      <c r="A100" s="16" t="str">
        <f t="shared" si="3"/>
        <v/>
      </c>
      <c r="D100" s="16" t="str">
        <f t="shared" si="4"/>
        <v/>
      </c>
      <c r="G100" s="16" t="str">
        <f t="shared" si="5"/>
        <v/>
      </c>
    </row>
    <row r="101" spans="1:7" x14ac:dyDescent="0.2">
      <c r="A101" s="16" t="str">
        <f t="shared" si="3"/>
        <v/>
      </c>
      <c r="D101" s="16" t="str">
        <f t="shared" si="4"/>
        <v/>
      </c>
      <c r="G101" s="16" t="str">
        <f t="shared" si="5"/>
        <v/>
      </c>
    </row>
    <row r="102" spans="1:7" x14ac:dyDescent="0.2">
      <c r="A102" s="16" t="str">
        <f t="shared" si="3"/>
        <v/>
      </c>
      <c r="D102" s="16" t="str">
        <f t="shared" si="4"/>
        <v/>
      </c>
      <c r="G102" s="16" t="str">
        <f t="shared" si="5"/>
        <v/>
      </c>
    </row>
    <row r="103" spans="1:7" x14ac:dyDescent="0.2">
      <c r="A103" s="16" t="str">
        <f t="shared" si="3"/>
        <v/>
      </c>
      <c r="D103" s="16" t="str">
        <f t="shared" si="4"/>
        <v/>
      </c>
      <c r="G103" s="16" t="str">
        <f t="shared" si="5"/>
        <v/>
      </c>
    </row>
    <row r="104" spans="1:7" x14ac:dyDescent="0.2">
      <c r="A104" s="16" t="str">
        <f t="shared" si="3"/>
        <v/>
      </c>
      <c r="D104" s="16" t="str">
        <f t="shared" si="4"/>
        <v/>
      </c>
      <c r="G104" s="16" t="str">
        <f t="shared" si="5"/>
        <v/>
      </c>
    </row>
    <row r="105" spans="1:7" x14ac:dyDescent="0.2">
      <c r="A105" s="16" t="str">
        <f t="shared" si="3"/>
        <v/>
      </c>
      <c r="D105" s="16" t="str">
        <f t="shared" si="4"/>
        <v/>
      </c>
      <c r="G105" s="16" t="str">
        <f t="shared" si="5"/>
        <v/>
      </c>
    </row>
    <row r="106" spans="1:7" x14ac:dyDescent="0.2">
      <c r="A106" s="16" t="str">
        <f t="shared" si="3"/>
        <v/>
      </c>
      <c r="D106" s="16" t="str">
        <f t="shared" si="4"/>
        <v/>
      </c>
      <c r="G106" s="16" t="str">
        <f t="shared" si="5"/>
        <v/>
      </c>
    </row>
    <row r="107" spans="1:7" x14ac:dyDescent="0.2">
      <c r="A107" s="16" t="str">
        <f t="shared" si="3"/>
        <v/>
      </c>
      <c r="D107" s="16" t="str">
        <f t="shared" si="4"/>
        <v/>
      </c>
      <c r="G107" s="16" t="str">
        <f t="shared" si="5"/>
        <v/>
      </c>
    </row>
    <row r="108" spans="1:7" x14ac:dyDescent="0.2">
      <c r="A108" s="16" t="str">
        <f t="shared" si="3"/>
        <v/>
      </c>
      <c r="D108" s="16" t="str">
        <f t="shared" si="4"/>
        <v/>
      </c>
      <c r="G108" s="16" t="str">
        <f t="shared" si="5"/>
        <v/>
      </c>
    </row>
    <row r="109" spans="1:7" x14ac:dyDescent="0.2">
      <c r="A109" s="16" t="str">
        <f t="shared" si="3"/>
        <v/>
      </c>
      <c r="D109" s="16" t="str">
        <f t="shared" si="4"/>
        <v/>
      </c>
      <c r="G109" s="16" t="str">
        <f t="shared" si="5"/>
        <v/>
      </c>
    </row>
    <row r="110" spans="1:7" x14ac:dyDescent="0.2">
      <c r="A110" s="16" t="str">
        <f t="shared" si="3"/>
        <v/>
      </c>
      <c r="D110" s="16" t="str">
        <f t="shared" si="4"/>
        <v/>
      </c>
      <c r="G110" s="16" t="str">
        <f t="shared" si="5"/>
        <v/>
      </c>
    </row>
    <row r="111" spans="1:7" x14ac:dyDescent="0.2">
      <c r="A111" s="16" t="str">
        <f t="shared" si="3"/>
        <v/>
      </c>
      <c r="D111" s="16" t="str">
        <f t="shared" si="4"/>
        <v/>
      </c>
      <c r="G111" s="16" t="str">
        <f t="shared" si="5"/>
        <v/>
      </c>
    </row>
    <row r="112" spans="1:7" x14ac:dyDescent="0.2">
      <c r="A112" s="16" t="str">
        <f t="shared" si="3"/>
        <v/>
      </c>
      <c r="D112" s="16" t="str">
        <f t="shared" si="4"/>
        <v/>
      </c>
      <c r="G112" s="16" t="str">
        <f t="shared" si="5"/>
        <v/>
      </c>
    </row>
    <row r="113" spans="1:7" x14ac:dyDescent="0.2">
      <c r="A113" s="16" t="str">
        <f t="shared" si="3"/>
        <v/>
      </c>
      <c r="D113" s="16" t="str">
        <f t="shared" si="4"/>
        <v/>
      </c>
      <c r="G113" s="16" t="str">
        <f t="shared" si="5"/>
        <v/>
      </c>
    </row>
    <row r="114" spans="1:7" x14ac:dyDescent="0.2">
      <c r="A114" s="16" t="str">
        <f t="shared" si="3"/>
        <v/>
      </c>
      <c r="D114" s="16" t="str">
        <f t="shared" si="4"/>
        <v/>
      </c>
      <c r="G114" s="16" t="str">
        <f t="shared" si="5"/>
        <v/>
      </c>
    </row>
    <row r="115" spans="1:7" x14ac:dyDescent="0.2">
      <c r="A115" s="16" t="str">
        <f t="shared" si="3"/>
        <v/>
      </c>
      <c r="D115" s="16" t="str">
        <f t="shared" si="4"/>
        <v/>
      </c>
      <c r="G115" s="16" t="str">
        <f t="shared" si="5"/>
        <v/>
      </c>
    </row>
    <row r="116" spans="1:7" x14ac:dyDescent="0.2">
      <c r="A116" s="16" t="str">
        <f t="shared" si="3"/>
        <v/>
      </c>
      <c r="D116" s="16" t="str">
        <f t="shared" si="4"/>
        <v/>
      </c>
      <c r="G116" s="16" t="str">
        <f t="shared" si="5"/>
        <v/>
      </c>
    </row>
    <row r="117" spans="1:7" x14ac:dyDescent="0.2">
      <c r="A117" s="16" t="str">
        <f t="shared" si="3"/>
        <v/>
      </c>
      <c r="D117" s="16" t="str">
        <f t="shared" si="4"/>
        <v/>
      </c>
      <c r="G117" s="16" t="str">
        <f t="shared" si="5"/>
        <v/>
      </c>
    </row>
    <row r="118" spans="1:7" x14ac:dyDescent="0.2">
      <c r="A118" s="16" t="str">
        <f t="shared" si="3"/>
        <v/>
      </c>
      <c r="D118" s="16" t="str">
        <f t="shared" si="4"/>
        <v/>
      </c>
      <c r="G118" s="16" t="str">
        <f t="shared" si="5"/>
        <v/>
      </c>
    </row>
    <row r="119" spans="1:7" x14ac:dyDescent="0.2">
      <c r="A119" s="16" t="str">
        <f t="shared" si="3"/>
        <v/>
      </c>
      <c r="D119" s="16" t="str">
        <f t="shared" si="4"/>
        <v/>
      </c>
      <c r="G119" s="16" t="str">
        <f t="shared" si="5"/>
        <v/>
      </c>
    </row>
    <row r="120" spans="1:7" x14ac:dyDescent="0.2">
      <c r="A120" s="16" t="str">
        <f t="shared" si="3"/>
        <v/>
      </c>
      <c r="D120" s="16" t="str">
        <f t="shared" si="4"/>
        <v/>
      </c>
      <c r="G120" s="16" t="str">
        <f t="shared" si="5"/>
        <v/>
      </c>
    </row>
    <row r="121" spans="1:7" x14ac:dyDescent="0.2">
      <c r="A121" s="16" t="str">
        <f t="shared" si="3"/>
        <v/>
      </c>
      <c r="D121" s="16" t="str">
        <f t="shared" si="4"/>
        <v/>
      </c>
      <c r="G121" s="16" t="str">
        <f t="shared" si="5"/>
        <v/>
      </c>
    </row>
    <row r="122" spans="1:7" x14ac:dyDescent="0.2">
      <c r="A122" s="16" t="str">
        <f t="shared" si="3"/>
        <v/>
      </c>
      <c r="D122" s="16" t="str">
        <f t="shared" si="4"/>
        <v/>
      </c>
      <c r="G122" s="16" t="str">
        <f t="shared" si="5"/>
        <v/>
      </c>
    </row>
    <row r="123" spans="1:7" x14ac:dyDescent="0.2">
      <c r="A123" s="16" t="str">
        <f t="shared" si="3"/>
        <v/>
      </c>
      <c r="D123" s="16" t="str">
        <f t="shared" si="4"/>
        <v/>
      </c>
      <c r="G123" s="16" t="str">
        <f t="shared" si="5"/>
        <v/>
      </c>
    </row>
    <row r="124" spans="1:7" x14ac:dyDescent="0.2">
      <c r="A124" s="16" t="str">
        <f t="shared" si="3"/>
        <v/>
      </c>
      <c r="D124" s="16" t="str">
        <f t="shared" si="4"/>
        <v/>
      </c>
      <c r="G124" s="16" t="str">
        <f t="shared" si="5"/>
        <v/>
      </c>
    </row>
    <row r="125" spans="1:7" x14ac:dyDescent="0.2">
      <c r="A125" s="16" t="str">
        <f t="shared" si="3"/>
        <v/>
      </c>
      <c r="D125" s="16" t="str">
        <f t="shared" si="4"/>
        <v/>
      </c>
      <c r="G125" s="16" t="str">
        <f t="shared" si="5"/>
        <v/>
      </c>
    </row>
    <row r="126" spans="1:7" x14ac:dyDescent="0.2">
      <c r="A126" s="16" t="str">
        <f t="shared" si="3"/>
        <v/>
      </c>
      <c r="D126" s="16" t="str">
        <f t="shared" si="4"/>
        <v/>
      </c>
      <c r="G126" s="16" t="str">
        <f t="shared" si="5"/>
        <v/>
      </c>
    </row>
    <row r="127" spans="1:7" x14ac:dyDescent="0.2">
      <c r="A127" s="16" t="str">
        <f t="shared" si="3"/>
        <v/>
      </c>
      <c r="D127" s="16" t="str">
        <f t="shared" si="4"/>
        <v/>
      </c>
      <c r="G127" s="16" t="str">
        <f t="shared" si="5"/>
        <v/>
      </c>
    </row>
    <row r="128" spans="1:7" x14ac:dyDescent="0.2">
      <c r="A128" s="16" t="str">
        <f t="shared" si="3"/>
        <v/>
      </c>
      <c r="D128" s="16" t="str">
        <f t="shared" si="4"/>
        <v/>
      </c>
      <c r="G128" s="16" t="str">
        <f t="shared" si="5"/>
        <v/>
      </c>
    </row>
    <row r="129" spans="1:7" x14ac:dyDescent="0.2">
      <c r="A129" s="16" t="str">
        <f t="shared" si="3"/>
        <v/>
      </c>
      <c r="D129" s="16" t="str">
        <f t="shared" si="4"/>
        <v/>
      </c>
      <c r="G129" s="16" t="str">
        <f t="shared" si="5"/>
        <v/>
      </c>
    </row>
    <row r="130" spans="1:7" x14ac:dyDescent="0.2">
      <c r="A130" s="16" t="str">
        <f t="shared" si="3"/>
        <v/>
      </c>
      <c r="D130" s="16" t="str">
        <f t="shared" si="4"/>
        <v/>
      </c>
      <c r="G130" s="16" t="str">
        <f t="shared" si="5"/>
        <v/>
      </c>
    </row>
    <row r="131" spans="1:7" x14ac:dyDescent="0.2">
      <c r="A131" s="16" t="str">
        <f t="shared" ref="A131:A194" si="6">IF(AND(B130&lt;&gt;"",B131=""),"Add vacaction---&gt;","")</f>
        <v/>
      </c>
      <c r="D131" s="16" t="str">
        <f t="shared" ref="D131:D194" si="7">IF(AND(E130&lt;&gt;"",E131=""),"Add Employee---&gt;","")</f>
        <v/>
      </c>
      <c r="G131" s="16" t="str">
        <f t="shared" si="5"/>
        <v/>
      </c>
    </row>
    <row r="132" spans="1:7" x14ac:dyDescent="0.2">
      <c r="A132" s="16" t="str">
        <f t="shared" si="6"/>
        <v/>
      </c>
      <c r="D132" s="16" t="str">
        <f t="shared" si="7"/>
        <v/>
      </c>
      <c r="G132" s="16" t="str">
        <f t="shared" ref="G132:G195" si="8">IF(AND(H131&lt;&gt;"",H132=""),"Add Department---&gt;","")</f>
        <v/>
      </c>
    </row>
    <row r="133" spans="1:7" x14ac:dyDescent="0.2">
      <c r="A133" s="16" t="str">
        <f t="shared" si="6"/>
        <v/>
      </c>
      <c r="D133" s="16" t="str">
        <f t="shared" si="7"/>
        <v/>
      </c>
      <c r="G133" s="16" t="str">
        <f t="shared" si="8"/>
        <v/>
      </c>
    </row>
    <row r="134" spans="1:7" x14ac:dyDescent="0.2">
      <c r="A134" s="16" t="str">
        <f t="shared" si="6"/>
        <v/>
      </c>
      <c r="D134" s="16" t="str">
        <f t="shared" si="7"/>
        <v/>
      </c>
      <c r="G134" s="16" t="str">
        <f t="shared" si="8"/>
        <v/>
      </c>
    </row>
    <row r="135" spans="1:7" x14ac:dyDescent="0.2">
      <c r="A135" s="16" t="str">
        <f t="shared" si="6"/>
        <v/>
      </c>
      <c r="D135" s="16" t="str">
        <f t="shared" si="7"/>
        <v/>
      </c>
      <c r="G135" s="16" t="str">
        <f t="shared" si="8"/>
        <v/>
      </c>
    </row>
    <row r="136" spans="1:7" x14ac:dyDescent="0.2">
      <c r="A136" s="16" t="str">
        <f t="shared" si="6"/>
        <v/>
      </c>
      <c r="D136" s="16" t="str">
        <f t="shared" si="7"/>
        <v/>
      </c>
      <c r="G136" s="16" t="str">
        <f t="shared" si="8"/>
        <v/>
      </c>
    </row>
    <row r="137" spans="1:7" x14ac:dyDescent="0.2">
      <c r="A137" s="16" t="str">
        <f t="shared" si="6"/>
        <v/>
      </c>
      <c r="D137" s="16" t="str">
        <f t="shared" si="7"/>
        <v/>
      </c>
      <c r="G137" s="16" t="str">
        <f t="shared" si="8"/>
        <v/>
      </c>
    </row>
    <row r="138" spans="1:7" x14ac:dyDescent="0.2">
      <c r="A138" s="16" t="str">
        <f t="shared" si="6"/>
        <v/>
      </c>
      <c r="D138" s="16" t="str">
        <f t="shared" si="7"/>
        <v/>
      </c>
      <c r="G138" s="16" t="str">
        <f t="shared" si="8"/>
        <v/>
      </c>
    </row>
    <row r="139" spans="1:7" x14ac:dyDescent="0.2">
      <c r="A139" s="16" t="str">
        <f t="shared" si="6"/>
        <v/>
      </c>
      <c r="D139" s="16" t="str">
        <f t="shared" si="7"/>
        <v/>
      </c>
      <c r="G139" s="16" t="str">
        <f t="shared" si="8"/>
        <v/>
      </c>
    </row>
    <row r="140" spans="1:7" x14ac:dyDescent="0.2">
      <c r="A140" s="16" t="str">
        <f t="shared" si="6"/>
        <v/>
      </c>
      <c r="D140" s="16" t="str">
        <f t="shared" si="7"/>
        <v/>
      </c>
      <c r="G140" s="16" t="str">
        <f t="shared" si="8"/>
        <v/>
      </c>
    </row>
    <row r="141" spans="1:7" x14ac:dyDescent="0.2">
      <c r="A141" s="16" t="str">
        <f t="shared" si="6"/>
        <v/>
      </c>
      <c r="D141" s="16" t="str">
        <f t="shared" si="7"/>
        <v/>
      </c>
      <c r="G141" s="16" t="str">
        <f t="shared" si="8"/>
        <v/>
      </c>
    </row>
    <row r="142" spans="1:7" x14ac:dyDescent="0.2">
      <c r="A142" s="16" t="str">
        <f t="shared" si="6"/>
        <v/>
      </c>
      <c r="D142" s="16" t="str">
        <f t="shared" si="7"/>
        <v/>
      </c>
      <c r="G142" s="16" t="str">
        <f t="shared" si="8"/>
        <v/>
      </c>
    </row>
    <row r="143" spans="1:7" x14ac:dyDescent="0.2">
      <c r="A143" s="16" t="str">
        <f t="shared" si="6"/>
        <v/>
      </c>
      <c r="D143" s="16" t="str">
        <f t="shared" si="7"/>
        <v/>
      </c>
      <c r="G143" s="16" t="str">
        <f t="shared" si="8"/>
        <v/>
      </c>
    </row>
    <row r="144" spans="1:7" x14ac:dyDescent="0.2">
      <c r="A144" s="16" t="str">
        <f t="shared" si="6"/>
        <v/>
      </c>
      <c r="D144" s="16" t="str">
        <f t="shared" si="7"/>
        <v/>
      </c>
      <c r="G144" s="16" t="str">
        <f t="shared" si="8"/>
        <v/>
      </c>
    </row>
    <row r="145" spans="1:7" x14ac:dyDescent="0.2">
      <c r="A145" s="16" t="str">
        <f t="shared" si="6"/>
        <v/>
      </c>
      <c r="D145" s="16" t="str">
        <f t="shared" si="7"/>
        <v/>
      </c>
      <c r="G145" s="16" t="str">
        <f t="shared" si="8"/>
        <v/>
      </c>
    </row>
    <row r="146" spans="1:7" x14ac:dyDescent="0.2">
      <c r="A146" s="16" t="str">
        <f t="shared" si="6"/>
        <v/>
      </c>
      <c r="D146" s="16" t="str">
        <f t="shared" si="7"/>
        <v/>
      </c>
      <c r="G146" s="16" t="str">
        <f t="shared" si="8"/>
        <v/>
      </c>
    </row>
    <row r="147" spans="1:7" x14ac:dyDescent="0.2">
      <c r="A147" s="16" t="str">
        <f t="shared" si="6"/>
        <v/>
      </c>
      <c r="D147" s="16" t="str">
        <f t="shared" si="7"/>
        <v/>
      </c>
      <c r="G147" s="16" t="str">
        <f t="shared" si="8"/>
        <v/>
      </c>
    </row>
    <row r="148" spans="1:7" x14ac:dyDescent="0.2">
      <c r="A148" s="16" t="str">
        <f t="shared" si="6"/>
        <v/>
      </c>
      <c r="D148" s="16" t="str">
        <f t="shared" si="7"/>
        <v/>
      </c>
      <c r="G148" s="16" t="str">
        <f t="shared" si="8"/>
        <v/>
      </c>
    </row>
    <row r="149" spans="1:7" x14ac:dyDescent="0.2">
      <c r="A149" s="16" t="str">
        <f t="shared" si="6"/>
        <v/>
      </c>
      <c r="D149" s="16" t="str">
        <f t="shared" si="7"/>
        <v/>
      </c>
      <c r="G149" s="16" t="str">
        <f t="shared" si="8"/>
        <v/>
      </c>
    </row>
    <row r="150" spans="1:7" x14ac:dyDescent="0.2">
      <c r="A150" s="16" t="str">
        <f t="shared" si="6"/>
        <v/>
      </c>
      <c r="D150" s="16" t="str">
        <f t="shared" si="7"/>
        <v/>
      </c>
      <c r="G150" s="16" t="str">
        <f t="shared" si="8"/>
        <v/>
      </c>
    </row>
    <row r="151" spans="1:7" x14ac:dyDescent="0.2">
      <c r="A151" s="16" t="str">
        <f t="shared" si="6"/>
        <v/>
      </c>
      <c r="D151" s="16" t="str">
        <f t="shared" si="7"/>
        <v/>
      </c>
      <c r="G151" s="16" t="str">
        <f t="shared" si="8"/>
        <v/>
      </c>
    </row>
    <row r="152" spans="1:7" x14ac:dyDescent="0.2">
      <c r="A152" s="16" t="str">
        <f t="shared" si="6"/>
        <v/>
      </c>
      <c r="D152" s="16" t="str">
        <f t="shared" si="7"/>
        <v/>
      </c>
      <c r="G152" s="16" t="str">
        <f t="shared" si="8"/>
        <v/>
      </c>
    </row>
    <row r="153" spans="1:7" x14ac:dyDescent="0.2">
      <c r="A153" s="16" t="str">
        <f t="shared" si="6"/>
        <v/>
      </c>
      <c r="D153" s="16" t="str">
        <f t="shared" si="7"/>
        <v/>
      </c>
      <c r="G153" s="16" t="str">
        <f t="shared" si="8"/>
        <v/>
      </c>
    </row>
    <row r="154" spans="1:7" x14ac:dyDescent="0.2">
      <c r="A154" s="16" t="str">
        <f t="shared" si="6"/>
        <v/>
      </c>
      <c r="D154" s="16" t="str">
        <f t="shared" si="7"/>
        <v/>
      </c>
      <c r="G154" s="16" t="str">
        <f t="shared" si="8"/>
        <v/>
      </c>
    </row>
    <row r="155" spans="1:7" x14ac:dyDescent="0.2">
      <c r="A155" s="16" t="str">
        <f t="shared" si="6"/>
        <v/>
      </c>
      <c r="D155" s="16" t="str">
        <f t="shared" si="7"/>
        <v/>
      </c>
      <c r="G155" s="16" t="str">
        <f t="shared" si="8"/>
        <v/>
      </c>
    </row>
    <row r="156" spans="1:7" x14ac:dyDescent="0.2">
      <c r="A156" s="16" t="str">
        <f t="shared" si="6"/>
        <v/>
      </c>
      <c r="D156" s="16" t="str">
        <f t="shared" si="7"/>
        <v/>
      </c>
      <c r="G156" s="16" t="str">
        <f t="shared" si="8"/>
        <v/>
      </c>
    </row>
    <row r="157" spans="1:7" x14ac:dyDescent="0.2">
      <c r="A157" s="16" t="str">
        <f t="shared" si="6"/>
        <v/>
      </c>
      <c r="D157" s="16" t="str">
        <f t="shared" si="7"/>
        <v/>
      </c>
      <c r="G157" s="16" t="str">
        <f t="shared" si="8"/>
        <v/>
      </c>
    </row>
    <row r="158" spans="1:7" x14ac:dyDescent="0.2">
      <c r="A158" s="16" t="str">
        <f t="shared" si="6"/>
        <v/>
      </c>
      <c r="D158" s="16" t="str">
        <f t="shared" si="7"/>
        <v/>
      </c>
      <c r="G158" s="16" t="str">
        <f t="shared" si="8"/>
        <v/>
      </c>
    </row>
    <row r="159" spans="1:7" x14ac:dyDescent="0.2">
      <c r="A159" s="16" t="str">
        <f t="shared" si="6"/>
        <v/>
      </c>
      <c r="D159" s="16" t="str">
        <f t="shared" si="7"/>
        <v/>
      </c>
      <c r="G159" s="16" t="str">
        <f t="shared" si="8"/>
        <v/>
      </c>
    </row>
    <row r="160" spans="1:7" x14ac:dyDescent="0.2">
      <c r="A160" s="16" t="str">
        <f t="shared" si="6"/>
        <v/>
      </c>
      <c r="D160" s="16" t="str">
        <f t="shared" si="7"/>
        <v/>
      </c>
      <c r="G160" s="16" t="str">
        <f t="shared" si="8"/>
        <v/>
      </c>
    </row>
    <row r="161" spans="1:7" x14ac:dyDescent="0.2">
      <c r="A161" s="16" t="str">
        <f t="shared" si="6"/>
        <v/>
      </c>
      <c r="D161" s="16" t="str">
        <f t="shared" si="7"/>
        <v/>
      </c>
      <c r="G161" s="16" t="str">
        <f t="shared" si="8"/>
        <v/>
      </c>
    </row>
    <row r="162" spans="1:7" x14ac:dyDescent="0.2">
      <c r="A162" s="16" t="str">
        <f t="shared" si="6"/>
        <v/>
      </c>
      <c r="D162" s="16" t="str">
        <f t="shared" si="7"/>
        <v/>
      </c>
      <c r="G162" s="16" t="str">
        <f t="shared" si="8"/>
        <v/>
      </c>
    </row>
    <row r="163" spans="1:7" x14ac:dyDescent="0.2">
      <c r="A163" s="16" t="str">
        <f t="shared" si="6"/>
        <v/>
      </c>
      <c r="D163" s="16" t="str">
        <f t="shared" si="7"/>
        <v/>
      </c>
      <c r="G163" s="16" t="str">
        <f t="shared" si="8"/>
        <v/>
      </c>
    </row>
    <row r="164" spans="1:7" x14ac:dyDescent="0.2">
      <c r="A164" s="16" t="str">
        <f t="shared" si="6"/>
        <v/>
      </c>
      <c r="D164" s="16" t="str">
        <f t="shared" si="7"/>
        <v/>
      </c>
      <c r="G164" s="16" t="str">
        <f t="shared" si="8"/>
        <v/>
      </c>
    </row>
    <row r="165" spans="1:7" x14ac:dyDescent="0.2">
      <c r="A165" s="16" t="str">
        <f t="shared" si="6"/>
        <v/>
      </c>
      <c r="D165" s="16" t="str">
        <f t="shared" si="7"/>
        <v/>
      </c>
      <c r="G165" s="16" t="str">
        <f t="shared" si="8"/>
        <v/>
      </c>
    </row>
    <row r="166" spans="1:7" x14ac:dyDescent="0.2">
      <c r="A166" s="16" t="str">
        <f t="shared" si="6"/>
        <v/>
      </c>
      <c r="D166" s="16" t="str">
        <f t="shared" si="7"/>
        <v/>
      </c>
      <c r="G166" s="16" t="str">
        <f t="shared" si="8"/>
        <v/>
      </c>
    </row>
    <row r="167" spans="1:7" x14ac:dyDescent="0.2">
      <c r="A167" s="16" t="str">
        <f t="shared" si="6"/>
        <v/>
      </c>
      <c r="D167" s="16" t="str">
        <f t="shared" si="7"/>
        <v/>
      </c>
      <c r="G167" s="16" t="str">
        <f t="shared" si="8"/>
        <v/>
      </c>
    </row>
    <row r="168" spans="1:7" x14ac:dyDescent="0.2">
      <c r="A168" s="16" t="str">
        <f t="shared" si="6"/>
        <v/>
      </c>
      <c r="D168" s="16" t="str">
        <f t="shared" si="7"/>
        <v/>
      </c>
      <c r="G168" s="16" t="str">
        <f t="shared" si="8"/>
        <v/>
      </c>
    </row>
    <row r="169" spans="1:7" x14ac:dyDescent="0.2">
      <c r="A169" s="16" t="str">
        <f t="shared" si="6"/>
        <v/>
      </c>
      <c r="D169" s="16" t="str">
        <f t="shared" si="7"/>
        <v/>
      </c>
      <c r="G169" s="16" t="str">
        <f t="shared" si="8"/>
        <v/>
      </c>
    </row>
    <row r="170" spans="1:7" x14ac:dyDescent="0.2">
      <c r="A170" s="16" t="str">
        <f t="shared" si="6"/>
        <v/>
      </c>
      <c r="D170" s="16" t="str">
        <f t="shared" si="7"/>
        <v/>
      </c>
      <c r="G170" s="16" t="str">
        <f t="shared" si="8"/>
        <v/>
      </c>
    </row>
    <row r="171" spans="1:7" x14ac:dyDescent="0.2">
      <c r="A171" s="16" t="str">
        <f t="shared" si="6"/>
        <v/>
      </c>
      <c r="D171" s="16" t="str">
        <f t="shared" si="7"/>
        <v/>
      </c>
      <c r="G171" s="16" t="str">
        <f t="shared" si="8"/>
        <v/>
      </c>
    </row>
    <row r="172" spans="1:7" x14ac:dyDescent="0.2">
      <c r="A172" s="16" t="str">
        <f t="shared" si="6"/>
        <v/>
      </c>
      <c r="D172" s="16" t="str">
        <f t="shared" si="7"/>
        <v/>
      </c>
      <c r="G172" s="16" t="str">
        <f t="shared" si="8"/>
        <v/>
      </c>
    </row>
    <row r="173" spans="1:7" x14ac:dyDescent="0.2">
      <c r="A173" s="16" t="str">
        <f t="shared" si="6"/>
        <v/>
      </c>
      <c r="D173" s="16" t="str">
        <f t="shared" si="7"/>
        <v/>
      </c>
      <c r="G173" s="16" t="str">
        <f t="shared" si="8"/>
        <v/>
      </c>
    </row>
    <row r="174" spans="1:7" x14ac:dyDescent="0.2">
      <c r="A174" s="16" t="str">
        <f t="shared" si="6"/>
        <v/>
      </c>
      <c r="D174" s="16" t="str">
        <f t="shared" si="7"/>
        <v/>
      </c>
      <c r="G174" s="16" t="str">
        <f t="shared" si="8"/>
        <v/>
      </c>
    </row>
    <row r="175" spans="1:7" x14ac:dyDescent="0.2">
      <c r="A175" s="16" t="str">
        <f t="shared" si="6"/>
        <v/>
      </c>
      <c r="D175" s="16" t="str">
        <f t="shared" si="7"/>
        <v/>
      </c>
      <c r="G175" s="16" t="str">
        <f t="shared" si="8"/>
        <v/>
      </c>
    </row>
    <row r="176" spans="1:7" x14ac:dyDescent="0.2">
      <c r="A176" s="16" t="str">
        <f t="shared" si="6"/>
        <v/>
      </c>
      <c r="D176" s="16" t="str">
        <f t="shared" si="7"/>
        <v/>
      </c>
      <c r="G176" s="16" t="str">
        <f t="shared" si="8"/>
        <v/>
      </c>
    </row>
    <row r="177" spans="1:7" x14ac:dyDescent="0.2">
      <c r="A177" s="16" t="str">
        <f t="shared" si="6"/>
        <v/>
      </c>
      <c r="D177" s="16" t="str">
        <f t="shared" si="7"/>
        <v/>
      </c>
      <c r="G177" s="16" t="str">
        <f t="shared" si="8"/>
        <v/>
      </c>
    </row>
    <row r="178" spans="1:7" x14ac:dyDescent="0.2">
      <c r="A178" s="16" t="str">
        <f t="shared" si="6"/>
        <v/>
      </c>
      <c r="D178" s="16" t="str">
        <f t="shared" si="7"/>
        <v/>
      </c>
      <c r="G178" s="16" t="str">
        <f t="shared" si="8"/>
        <v/>
      </c>
    </row>
    <row r="179" spans="1:7" x14ac:dyDescent="0.2">
      <c r="A179" s="16" t="str">
        <f t="shared" si="6"/>
        <v/>
      </c>
      <c r="D179" s="16" t="str">
        <f t="shared" si="7"/>
        <v/>
      </c>
      <c r="G179" s="16" t="str">
        <f t="shared" si="8"/>
        <v/>
      </c>
    </row>
    <row r="180" spans="1:7" x14ac:dyDescent="0.2">
      <c r="A180" s="16" t="str">
        <f t="shared" si="6"/>
        <v/>
      </c>
      <c r="D180" s="16" t="str">
        <f t="shared" si="7"/>
        <v/>
      </c>
      <c r="G180" s="16" t="str">
        <f t="shared" si="8"/>
        <v/>
      </c>
    </row>
    <row r="181" spans="1:7" x14ac:dyDescent="0.2">
      <c r="A181" s="16" t="str">
        <f t="shared" si="6"/>
        <v/>
      </c>
      <c r="D181" s="16" t="str">
        <f t="shared" si="7"/>
        <v/>
      </c>
      <c r="G181" s="16" t="str">
        <f t="shared" si="8"/>
        <v/>
      </c>
    </row>
    <row r="182" spans="1:7" x14ac:dyDescent="0.2">
      <c r="A182" s="16" t="str">
        <f t="shared" si="6"/>
        <v/>
      </c>
      <c r="D182" s="16" t="str">
        <f t="shared" si="7"/>
        <v/>
      </c>
      <c r="G182" s="16" t="str">
        <f t="shared" si="8"/>
        <v/>
      </c>
    </row>
    <row r="183" spans="1:7" x14ac:dyDescent="0.2">
      <c r="A183" s="16" t="str">
        <f t="shared" si="6"/>
        <v/>
      </c>
      <c r="D183" s="16" t="str">
        <f t="shared" si="7"/>
        <v/>
      </c>
      <c r="G183" s="16" t="str">
        <f t="shared" si="8"/>
        <v/>
      </c>
    </row>
    <row r="184" spans="1:7" x14ac:dyDescent="0.2">
      <c r="A184" s="16" t="str">
        <f t="shared" si="6"/>
        <v/>
      </c>
      <c r="D184" s="16" t="str">
        <f t="shared" si="7"/>
        <v/>
      </c>
      <c r="G184" s="16" t="str">
        <f t="shared" si="8"/>
        <v/>
      </c>
    </row>
    <row r="185" spans="1:7" x14ac:dyDescent="0.2">
      <c r="A185" s="16" t="str">
        <f t="shared" si="6"/>
        <v/>
      </c>
      <c r="D185" s="16" t="str">
        <f t="shared" si="7"/>
        <v/>
      </c>
      <c r="G185" s="16" t="str">
        <f t="shared" si="8"/>
        <v/>
      </c>
    </row>
    <row r="186" spans="1:7" x14ac:dyDescent="0.2">
      <c r="A186" s="16" t="str">
        <f t="shared" si="6"/>
        <v/>
      </c>
      <c r="D186" s="16" t="str">
        <f t="shared" si="7"/>
        <v/>
      </c>
      <c r="G186" s="16" t="str">
        <f t="shared" si="8"/>
        <v/>
      </c>
    </row>
    <row r="187" spans="1:7" x14ac:dyDescent="0.2">
      <c r="A187" s="16" t="str">
        <f t="shared" si="6"/>
        <v/>
      </c>
      <c r="D187" s="16" t="str">
        <f t="shared" si="7"/>
        <v/>
      </c>
      <c r="G187" s="16" t="str">
        <f t="shared" si="8"/>
        <v/>
      </c>
    </row>
    <row r="188" spans="1:7" x14ac:dyDescent="0.2">
      <c r="A188" s="16" t="str">
        <f t="shared" si="6"/>
        <v/>
      </c>
      <c r="D188" s="16" t="str">
        <f t="shared" si="7"/>
        <v/>
      </c>
      <c r="G188" s="16" t="str">
        <f t="shared" si="8"/>
        <v/>
      </c>
    </row>
    <row r="189" spans="1:7" x14ac:dyDescent="0.2">
      <c r="A189" s="16" t="str">
        <f t="shared" si="6"/>
        <v/>
      </c>
      <c r="D189" s="16" t="str">
        <f t="shared" si="7"/>
        <v/>
      </c>
      <c r="G189" s="16" t="str">
        <f t="shared" si="8"/>
        <v/>
      </c>
    </row>
    <row r="190" spans="1:7" x14ac:dyDescent="0.2">
      <c r="A190" s="16" t="str">
        <f t="shared" si="6"/>
        <v/>
      </c>
      <c r="D190" s="16" t="str">
        <f t="shared" si="7"/>
        <v/>
      </c>
      <c r="G190" s="16" t="str">
        <f t="shared" si="8"/>
        <v/>
      </c>
    </row>
    <row r="191" spans="1:7" x14ac:dyDescent="0.2">
      <c r="A191" s="16" t="str">
        <f t="shared" si="6"/>
        <v/>
      </c>
      <c r="D191" s="16" t="str">
        <f t="shared" si="7"/>
        <v/>
      </c>
      <c r="G191" s="16" t="str">
        <f t="shared" si="8"/>
        <v/>
      </c>
    </row>
    <row r="192" spans="1:7" x14ac:dyDescent="0.2">
      <c r="A192" s="16" t="str">
        <f t="shared" si="6"/>
        <v/>
      </c>
      <c r="D192" s="16" t="str">
        <f t="shared" si="7"/>
        <v/>
      </c>
      <c r="G192" s="16" t="str">
        <f t="shared" si="8"/>
        <v/>
      </c>
    </row>
    <row r="193" spans="1:7" x14ac:dyDescent="0.2">
      <c r="A193" s="16" t="str">
        <f t="shared" si="6"/>
        <v/>
      </c>
      <c r="D193" s="16" t="str">
        <f t="shared" si="7"/>
        <v/>
      </c>
      <c r="G193" s="16" t="str">
        <f t="shared" si="8"/>
        <v/>
      </c>
    </row>
    <row r="194" spans="1:7" x14ac:dyDescent="0.2">
      <c r="A194" s="16" t="str">
        <f t="shared" si="6"/>
        <v/>
      </c>
      <c r="D194" s="16" t="str">
        <f t="shared" si="7"/>
        <v/>
      </c>
      <c r="G194" s="16" t="str">
        <f t="shared" si="8"/>
        <v/>
      </c>
    </row>
    <row r="195" spans="1:7" x14ac:dyDescent="0.2">
      <c r="A195" s="16" t="str">
        <f t="shared" ref="A195:A258" si="9">IF(AND(B194&lt;&gt;"",B195=""),"Add vacaction---&gt;","")</f>
        <v/>
      </c>
      <c r="D195" s="16" t="str">
        <f t="shared" ref="D195:D258" si="10">IF(AND(E194&lt;&gt;"",E195=""),"Add Employee---&gt;","")</f>
        <v/>
      </c>
      <c r="G195" s="16" t="str">
        <f t="shared" si="8"/>
        <v/>
      </c>
    </row>
    <row r="196" spans="1:7" x14ac:dyDescent="0.2">
      <c r="A196" s="16" t="str">
        <f t="shared" si="9"/>
        <v/>
      </c>
      <c r="D196" s="16" t="str">
        <f t="shared" si="10"/>
        <v/>
      </c>
      <c r="G196" s="16" t="str">
        <f t="shared" ref="G196:G259" si="11">IF(AND(H195&lt;&gt;"",H196=""),"Add Department---&gt;","")</f>
        <v/>
      </c>
    </row>
    <row r="197" spans="1:7" x14ac:dyDescent="0.2">
      <c r="A197" s="16" t="str">
        <f t="shared" si="9"/>
        <v/>
      </c>
      <c r="D197" s="16" t="str">
        <f t="shared" si="10"/>
        <v/>
      </c>
      <c r="G197" s="16" t="str">
        <f t="shared" si="11"/>
        <v/>
      </c>
    </row>
    <row r="198" spans="1:7" x14ac:dyDescent="0.2">
      <c r="A198" s="16" t="str">
        <f t="shared" si="9"/>
        <v/>
      </c>
      <c r="D198" s="16" t="str">
        <f t="shared" si="10"/>
        <v/>
      </c>
      <c r="G198" s="16" t="str">
        <f t="shared" si="11"/>
        <v/>
      </c>
    </row>
    <row r="199" spans="1:7" x14ac:dyDescent="0.2">
      <c r="A199" s="16" t="str">
        <f t="shared" si="9"/>
        <v/>
      </c>
      <c r="D199" s="16" t="str">
        <f t="shared" si="10"/>
        <v/>
      </c>
      <c r="G199" s="16" t="str">
        <f t="shared" si="11"/>
        <v/>
      </c>
    </row>
    <row r="200" spans="1:7" x14ac:dyDescent="0.2">
      <c r="A200" s="16" t="str">
        <f t="shared" si="9"/>
        <v/>
      </c>
      <c r="D200" s="16" t="str">
        <f t="shared" si="10"/>
        <v/>
      </c>
      <c r="G200" s="16" t="str">
        <f t="shared" si="11"/>
        <v/>
      </c>
    </row>
    <row r="201" spans="1:7" x14ac:dyDescent="0.2">
      <c r="A201" s="16" t="str">
        <f t="shared" si="9"/>
        <v/>
      </c>
      <c r="D201" s="16" t="str">
        <f t="shared" si="10"/>
        <v/>
      </c>
      <c r="G201" s="16" t="str">
        <f t="shared" si="11"/>
        <v/>
      </c>
    </row>
    <row r="202" spans="1:7" x14ac:dyDescent="0.2">
      <c r="A202" s="16" t="str">
        <f t="shared" si="9"/>
        <v/>
      </c>
      <c r="D202" s="16" t="str">
        <f t="shared" si="10"/>
        <v/>
      </c>
      <c r="G202" s="16" t="str">
        <f t="shared" si="11"/>
        <v/>
      </c>
    </row>
    <row r="203" spans="1:7" x14ac:dyDescent="0.2">
      <c r="A203" s="16" t="str">
        <f t="shared" si="9"/>
        <v/>
      </c>
      <c r="D203" s="16" t="str">
        <f t="shared" si="10"/>
        <v/>
      </c>
      <c r="G203" s="16" t="str">
        <f t="shared" si="11"/>
        <v/>
      </c>
    </row>
    <row r="204" spans="1:7" x14ac:dyDescent="0.2">
      <c r="A204" s="16" t="str">
        <f t="shared" si="9"/>
        <v/>
      </c>
      <c r="D204" s="16" t="str">
        <f t="shared" si="10"/>
        <v/>
      </c>
      <c r="G204" s="16" t="str">
        <f t="shared" si="11"/>
        <v/>
      </c>
    </row>
    <row r="205" spans="1:7" x14ac:dyDescent="0.2">
      <c r="A205" s="16" t="str">
        <f t="shared" si="9"/>
        <v/>
      </c>
      <c r="D205" s="16" t="str">
        <f t="shared" si="10"/>
        <v/>
      </c>
      <c r="G205" s="16" t="str">
        <f t="shared" si="11"/>
        <v/>
      </c>
    </row>
    <row r="206" spans="1:7" x14ac:dyDescent="0.2">
      <c r="A206" s="16" t="str">
        <f t="shared" si="9"/>
        <v/>
      </c>
      <c r="D206" s="16" t="str">
        <f t="shared" si="10"/>
        <v/>
      </c>
      <c r="G206" s="16" t="str">
        <f t="shared" si="11"/>
        <v/>
      </c>
    </row>
    <row r="207" spans="1:7" x14ac:dyDescent="0.2">
      <c r="A207" s="16" t="str">
        <f t="shared" si="9"/>
        <v/>
      </c>
      <c r="D207" s="16" t="str">
        <f t="shared" si="10"/>
        <v/>
      </c>
      <c r="G207" s="16" t="str">
        <f t="shared" si="11"/>
        <v/>
      </c>
    </row>
    <row r="208" spans="1:7" x14ac:dyDescent="0.2">
      <c r="A208" s="16" t="str">
        <f t="shared" si="9"/>
        <v/>
      </c>
      <c r="D208" s="16" t="str">
        <f t="shared" si="10"/>
        <v/>
      </c>
      <c r="G208" s="16" t="str">
        <f t="shared" si="11"/>
        <v/>
      </c>
    </row>
    <row r="209" spans="1:7" x14ac:dyDescent="0.2">
      <c r="A209" s="16" t="str">
        <f t="shared" si="9"/>
        <v/>
      </c>
      <c r="D209" s="16" t="str">
        <f t="shared" si="10"/>
        <v/>
      </c>
      <c r="G209" s="16" t="str">
        <f t="shared" si="11"/>
        <v/>
      </c>
    </row>
    <row r="210" spans="1:7" x14ac:dyDescent="0.2">
      <c r="A210" s="16" t="str">
        <f t="shared" si="9"/>
        <v/>
      </c>
      <c r="D210" s="16" t="str">
        <f t="shared" si="10"/>
        <v/>
      </c>
      <c r="G210" s="16" t="str">
        <f t="shared" si="11"/>
        <v/>
      </c>
    </row>
    <row r="211" spans="1:7" x14ac:dyDescent="0.2">
      <c r="A211" s="16" t="str">
        <f t="shared" si="9"/>
        <v/>
      </c>
      <c r="D211" s="16" t="str">
        <f t="shared" si="10"/>
        <v/>
      </c>
      <c r="G211" s="16" t="str">
        <f t="shared" si="11"/>
        <v/>
      </c>
    </row>
    <row r="212" spans="1:7" x14ac:dyDescent="0.2">
      <c r="A212" s="16" t="str">
        <f t="shared" si="9"/>
        <v/>
      </c>
      <c r="D212" s="16" t="str">
        <f t="shared" si="10"/>
        <v/>
      </c>
      <c r="G212" s="16" t="str">
        <f t="shared" si="11"/>
        <v/>
      </c>
    </row>
    <row r="213" spans="1:7" x14ac:dyDescent="0.2">
      <c r="A213" s="16" t="str">
        <f t="shared" si="9"/>
        <v/>
      </c>
      <c r="D213" s="16" t="str">
        <f t="shared" si="10"/>
        <v/>
      </c>
      <c r="G213" s="16" t="str">
        <f t="shared" si="11"/>
        <v/>
      </c>
    </row>
    <row r="214" spans="1:7" x14ac:dyDescent="0.2">
      <c r="A214" s="16" t="str">
        <f t="shared" si="9"/>
        <v/>
      </c>
      <c r="D214" s="16" t="str">
        <f t="shared" si="10"/>
        <v/>
      </c>
      <c r="G214" s="16" t="str">
        <f t="shared" si="11"/>
        <v/>
      </c>
    </row>
    <row r="215" spans="1:7" x14ac:dyDescent="0.2">
      <c r="A215" s="16" t="str">
        <f t="shared" si="9"/>
        <v/>
      </c>
      <c r="D215" s="16" t="str">
        <f t="shared" si="10"/>
        <v/>
      </c>
      <c r="G215" s="16" t="str">
        <f t="shared" si="11"/>
        <v/>
      </c>
    </row>
    <row r="216" spans="1:7" x14ac:dyDescent="0.2">
      <c r="A216" s="16" t="str">
        <f t="shared" si="9"/>
        <v/>
      </c>
      <c r="D216" s="16" t="str">
        <f t="shared" si="10"/>
        <v/>
      </c>
      <c r="G216" s="16" t="str">
        <f t="shared" si="11"/>
        <v/>
      </c>
    </row>
    <row r="217" spans="1:7" x14ac:dyDescent="0.2">
      <c r="A217" s="16" t="str">
        <f t="shared" si="9"/>
        <v/>
      </c>
      <c r="D217" s="16" t="str">
        <f t="shared" si="10"/>
        <v/>
      </c>
      <c r="G217" s="16" t="str">
        <f t="shared" si="11"/>
        <v/>
      </c>
    </row>
    <row r="218" spans="1:7" x14ac:dyDescent="0.2">
      <c r="A218" s="16" t="str">
        <f t="shared" si="9"/>
        <v/>
      </c>
      <c r="D218" s="16" t="str">
        <f t="shared" si="10"/>
        <v/>
      </c>
      <c r="G218" s="16" t="str">
        <f t="shared" si="11"/>
        <v/>
      </c>
    </row>
    <row r="219" spans="1:7" x14ac:dyDescent="0.2">
      <c r="A219" s="16" t="str">
        <f t="shared" si="9"/>
        <v/>
      </c>
      <c r="D219" s="16" t="str">
        <f t="shared" si="10"/>
        <v/>
      </c>
      <c r="G219" s="16" t="str">
        <f t="shared" si="11"/>
        <v/>
      </c>
    </row>
    <row r="220" spans="1:7" x14ac:dyDescent="0.2">
      <c r="A220" s="16" t="str">
        <f t="shared" si="9"/>
        <v/>
      </c>
      <c r="D220" s="16" t="str">
        <f t="shared" si="10"/>
        <v/>
      </c>
      <c r="G220" s="16" t="str">
        <f t="shared" si="11"/>
        <v/>
      </c>
    </row>
    <row r="221" spans="1:7" x14ac:dyDescent="0.2">
      <c r="A221" s="16" t="str">
        <f t="shared" si="9"/>
        <v/>
      </c>
      <c r="D221" s="16" t="str">
        <f t="shared" si="10"/>
        <v/>
      </c>
      <c r="G221" s="16" t="str">
        <f t="shared" si="11"/>
        <v/>
      </c>
    </row>
    <row r="222" spans="1:7" x14ac:dyDescent="0.2">
      <c r="A222" s="16" t="str">
        <f t="shared" si="9"/>
        <v/>
      </c>
      <c r="D222" s="16" t="str">
        <f t="shared" si="10"/>
        <v/>
      </c>
      <c r="G222" s="16" t="str">
        <f t="shared" si="11"/>
        <v/>
      </c>
    </row>
    <row r="223" spans="1:7" x14ac:dyDescent="0.2">
      <c r="A223" s="16" t="str">
        <f t="shared" si="9"/>
        <v/>
      </c>
      <c r="D223" s="16" t="str">
        <f t="shared" si="10"/>
        <v/>
      </c>
      <c r="G223" s="16" t="str">
        <f t="shared" si="11"/>
        <v/>
      </c>
    </row>
    <row r="224" spans="1:7" x14ac:dyDescent="0.2">
      <c r="A224" s="16" t="str">
        <f t="shared" si="9"/>
        <v/>
      </c>
      <c r="D224" s="16" t="str">
        <f t="shared" si="10"/>
        <v/>
      </c>
      <c r="G224" s="16" t="str">
        <f t="shared" si="11"/>
        <v/>
      </c>
    </row>
    <row r="225" spans="1:7" x14ac:dyDescent="0.2">
      <c r="A225" s="16" t="str">
        <f t="shared" si="9"/>
        <v/>
      </c>
      <c r="D225" s="16" t="str">
        <f t="shared" si="10"/>
        <v/>
      </c>
      <c r="G225" s="16" t="str">
        <f t="shared" si="11"/>
        <v/>
      </c>
    </row>
    <row r="226" spans="1:7" x14ac:dyDescent="0.2">
      <c r="A226" s="16" t="str">
        <f t="shared" si="9"/>
        <v/>
      </c>
      <c r="D226" s="16" t="str">
        <f t="shared" si="10"/>
        <v/>
      </c>
      <c r="G226" s="16" t="str">
        <f t="shared" si="11"/>
        <v/>
      </c>
    </row>
    <row r="227" spans="1:7" x14ac:dyDescent="0.2">
      <c r="A227" s="16" t="str">
        <f t="shared" si="9"/>
        <v/>
      </c>
      <c r="D227" s="16" t="str">
        <f t="shared" si="10"/>
        <v/>
      </c>
      <c r="G227" s="16" t="str">
        <f t="shared" si="11"/>
        <v/>
      </c>
    </row>
    <row r="228" spans="1:7" x14ac:dyDescent="0.2">
      <c r="A228" s="16" t="str">
        <f t="shared" si="9"/>
        <v/>
      </c>
      <c r="D228" s="16" t="str">
        <f t="shared" si="10"/>
        <v/>
      </c>
      <c r="G228" s="16" t="str">
        <f t="shared" si="11"/>
        <v/>
      </c>
    </row>
    <row r="229" spans="1:7" x14ac:dyDescent="0.2">
      <c r="A229" s="16" t="str">
        <f t="shared" si="9"/>
        <v/>
      </c>
      <c r="D229" s="16" t="str">
        <f t="shared" si="10"/>
        <v/>
      </c>
      <c r="G229" s="16" t="str">
        <f t="shared" si="11"/>
        <v/>
      </c>
    </row>
    <row r="230" spans="1:7" x14ac:dyDescent="0.2">
      <c r="A230" s="16" t="str">
        <f t="shared" si="9"/>
        <v/>
      </c>
      <c r="D230" s="16" t="str">
        <f t="shared" si="10"/>
        <v/>
      </c>
      <c r="G230" s="16" t="str">
        <f t="shared" si="11"/>
        <v/>
      </c>
    </row>
    <row r="231" spans="1:7" x14ac:dyDescent="0.2">
      <c r="A231" s="16" t="str">
        <f t="shared" si="9"/>
        <v/>
      </c>
      <c r="D231" s="16" t="str">
        <f t="shared" si="10"/>
        <v/>
      </c>
      <c r="G231" s="16" t="str">
        <f t="shared" si="11"/>
        <v/>
      </c>
    </row>
    <row r="232" spans="1:7" x14ac:dyDescent="0.2">
      <c r="A232" s="16" t="str">
        <f t="shared" si="9"/>
        <v/>
      </c>
      <c r="D232" s="16" t="str">
        <f t="shared" si="10"/>
        <v/>
      </c>
      <c r="G232" s="16" t="str">
        <f t="shared" si="11"/>
        <v/>
      </c>
    </row>
    <row r="233" spans="1:7" x14ac:dyDescent="0.2">
      <c r="A233" s="16" t="str">
        <f t="shared" si="9"/>
        <v/>
      </c>
      <c r="D233" s="16" t="str">
        <f t="shared" si="10"/>
        <v/>
      </c>
      <c r="G233" s="16" t="str">
        <f t="shared" si="11"/>
        <v/>
      </c>
    </row>
    <row r="234" spans="1:7" x14ac:dyDescent="0.2">
      <c r="A234" s="16" t="str">
        <f t="shared" si="9"/>
        <v/>
      </c>
      <c r="D234" s="16" t="str">
        <f t="shared" si="10"/>
        <v/>
      </c>
      <c r="G234" s="16" t="str">
        <f t="shared" si="11"/>
        <v/>
      </c>
    </row>
    <row r="235" spans="1:7" x14ac:dyDescent="0.2">
      <c r="A235" s="16" t="str">
        <f t="shared" si="9"/>
        <v/>
      </c>
      <c r="D235" s="16" t="str">
        <f t="shared" si="10"/>
        <v/>
      </c>
      <c r="G235" s="16" t="str">
        <f t="shared" si="11"/>
        <v/>
      </c>
    </row>
    <row r="236" spans="1:7" x14ac:dyDescent="0.2">
      <c r="A236" s="16" t="str">
        <f t="shared" si="9"/>
        <v/>
      </c>
      <c r="D236" s="16" t="str">
        <f t="shared" si="10"/>
        <v/>
      </c>
      <c r="G236" s="16" t="str">
        <f t="shared" si="11"/>
        <v/>
      </c>
    </row>
    <row r="237" spans="1:7" x14ac:dyDescent="0.2">
      <c r="A237" s="16" t="str">
        <f t="shared" si="9"/>
        <v/>
      </c>
      <c r="D237" s="16" t="str">
        <f t="shared" si="10"/>
        <v/>
      </c>
      <c r="G237" s="16" t="str">
        <f t="shared" si="11"/>
        <v/>
      </c>
    </row>
    <row r="238" spans="1:7" x14ac:dyDescent="0.2">
      <c r="A238" s="16" t="str">
        <f t="shared" si="9"/>
        <v/>
      </c>
      <c r="D238" s="16" t="str">
        <f t="shared" si="10"/>
        <v/>
      </c>
      <c r="G238" s="16" t="str">
        <f t="shared" si="11"/>
        <v/>
      </c>
    </row>
    <row r="239" spans="1:7" x14ac:dyDescent="0.2">
      <c r="A239" s="16" t="str">
        <f t="shared" si="9"/>
        <v/>
      </c>
      <c r="D239" s="16" t="str">
        <f t="shared" si="10"/>
        <v/>
      </c>
      <c r="G239" s="16" t="str">
        <f t="shared" si="11"/>
        <v/>
      </c>
    </row>
    <row r="240" spans="1:7" x14ac:dyDescent="0.2">
      <c r="A240" s="16" t="str">
        <f t="shared" si="9"/>
        <v/>
      </c>
      <c r="D240" s="16" t="str">
        <f t="shared" si="10"/>
        <v/>
      </c>
      <c r="G240" s="16" t="str">
        <f t="shared" si="11"/>
        <v/>
      </c>
    </row>
    <row r="241" spans="1:7" x14ac:dyDescent="0.2">
      <c r="A241" s="16" t="str">
        <f t="shared" si="9"/>
        <v/>
      </c>
      <c r="D241" s="16" t="str">
        <f t="shared" si="10"/>
        <v/>
      </c>
      <c r="G241" s="16" t="str">
        <f t="shared" si="11"/>
        <v/>
      </c>
    </row>
    <row r="242" spans="1:7" x14ac:dyDescent="0.2">
      <c r="A242" s="16" t="str">
        <f t="shared" si="9"/>
        <v/>
      </c>
      <c r="D242" s="16" t="str">
        <f t="shared" si="10"/>
        <v/>
      </c>
      <c r="G242" s="16" t="str">
        <f t="shared" si="11"/>
        <v/>
      </c>
    </row>
    <row r="243" spans="1:7" x14ac:dyDescent="0.2">
      <c r="A243" s="16" t="str">
        <f t="shared" si="9"/>
        <v/>
      </c>
      <c r="D243" s="16" t="str">
        <f t="shared" si="10"/>
        <v/>
      </c>
      <c r="G243" s="16" t="str">
        <f t="shared" si="11"/>
        <v/>
      </c>
    </row>
    <row r="244" spans="1:7" x14ac:dyDescent="0.2">
      <c r="A244" s="16" t="str">
        <f t="shared" si="9"/>
        <v/>
      </c>
      <c r="D244" s="16" t="str">
        <f t="shared" si="10"/>
        <v/>
      </c>
      <c r="G244" s="16" t="str">
        <f t="shared" si="11"/>
        <v/>
      </c>
    </row>
    <row r="245" spans="1:7" x14ac:dyDescent="0.2">
      <c r="A245" s="16" t="str">
        <f t="shared" si="9"/>
        <v/>
      </c>
      <c r="D245" s="16" t="str">
        <f t="shared" si="10"/>
        <v/>
      </c>
      <c r="G245" s="16" t="str">
        <f t="shared" si="11"/>
        <v/>
      </c>
    </row>
    <row r="246" spans="1:7" x14ac:dyDescent="0.2">
      <c r="A246" s="16" t="str">
        <f t="shared" si="9"/>
        <v/>
      </c>
      <c r="D246" s="16" t="str">
        <f t="shared" si="10"/>
        <v/>
      </c>
      <c r="G246" s="16" t="str">
        <f t="shared" si="11"/>
        <v/>
      </c>
    </row>
    <row r="247" spans="1:7" x14ac:dyDescent="0.2">
      <c r="A247" s="16" t="str">
        <f t="shared" si="9"/>
        <v/>
      </c>
      <c r="D247" s="16" t="str">
        <f t="shared" si="10"/>
        <v/>
      </c>
      <c r="G247" s="16" t="str">
        <f t="shared" si="11"/>
        <v/>
      </c>
    </row>
    <row r="248" spans="1:7" x14ac:dyDescent="0.2">
      <c r="A248" s="16" t="str">
        <f t="shared" si="9"/>
        <v/>
      </c>
      <c r="D248" s="16" t="str">
        <f t="shared" si="10"/>
        <v/>
      </c>
      <c r="G248" s="16" t="str">
        <f t="shared" si="11"/>
        <v/>
      </c>
    </row>
    <row r="249" spans="1:7" x14ac:dyDescent="0.2">
      <c r="A249" s="16" t="str">
        <f t="shared" si="9"/>
        <v/>
      </c>
      <c r="D249" s="16" t="str">
        <f t="shared" si="10"/>
        <v/>
      </c>
      <c r="G249" s="16" t="str">
        <f t="shared" si="11"/>
        <v/>
      </c>
    </row>
    <row r="250" spans="1:7" x14ac:dyDescent="0.2">
      <c r="A250" s="16" t="str">
        <f t="shared" si="9"/>
        <v/>
      </c>
      <c r="D250" s="16" t="str">
        <f t="shared" si="10"/>
        <v/>
      </c>
      <c r="G250" s="16" t="str">
        <f t="shared" si="11"/>
        <v/>
      </c>
    </row>
    <row r="251" spans="1:7" x14ac:dyDescent="0.2">
      <c r="A251" s="16" t="str">
        <f t="shared" si="9"/>
        <v/>
      </c>
      <c r="D251" s="16" t="str">
        <f t="shared" si="10"/>
        <v/>
      </c>
      <c r="G251" s="16" t="str">
        <f t="shared" si="11"/>
        <v/>
      </c>
    </row>
    <row r="252" spans="1:7" x14ac:dyDescent="0.2">
      <c r="A252" s="16" t="str">
        <f t="shared" si="9"/>
        <v/>
      </c>
      <c r="D252" s="16" t="str">
        <f t="shared" si="10"/>
        <v/>
      </c>
      <c r="G252" s="16" t="str">
        <f t="shared" si="11"/>
        <v/>
      </c>
    </row>
    <row r="253" spans="1:7" x14ac:dyDescent="0.2">
      <c r="A253" s="16" t="str">
        <f t="shared" si="9"/>
        <v/>
      </c>
      <c r="D253" s="16" t="str">
        <f t="shared" si="10"/>
        <v/>
      </c>
      <c r="G253" s="16" t="str">
        <f t="shared" si="11"/>
        <v/>
      </c>
    </row>
    <row r="254" spans="1:7" x14ac:dyDescent="0.2">
      <c r="A254" s="16" t="str">
        <f t="shared" si="9"/>
        <v/>
      </c>
      <c r="D254" s="16" t="str">
        <f t="shared" si="10"/>
        <v/>
      </c>
      <c r="G254" s="16" t="str">
        <f t="shared" si="11"/>
        <v/>
      </c>
    </row>
    <row r="255" spans="1:7" x14ac:dyDescent="0.2">
      <c r="A255" s="16" t="str">
        <f t="shared" si="9"/>
        <v/>
      </c>
      <c r="D255" s="16" t="str">
        <f t="shared" si="10"/>
        <v/>
      </c>
      <c r="G255" s="16" t="str">
        <f t="shared" si="11"/>
        <v/>
      </c>
    </row>
    <row r="256" spans="1:7" x14ac:dyDescent="0.2">
      <c r="A256" s="16" t="str">
        <f t="shared" si="9"/>
        <v/>
      </c>
      <c r="D256" s="16" t="str">
        <f t="shared" si="10"/>
        <v/>
      </c>
      <c r="G256" s="16" t="str">
        <f t="shared" si="11"/>
        <v/>
      </c>
    </row>
    <row r="257" spans="1:7" x14ac:dyDescent="0.2">
      <c r="A257" s="16" t="str">
        <f t="shared" si="9"/>
        <v/>
      </c>
      <c r="D257" s="16" t="str">
        <f t="shared" si="10"/>
        <v/>
      </c>
      <c r="G257" s="16" t="str">
        <f t="shared" si="11"/>
        <v/>
      </c>
    </row>
    <row r="258" spans="1:7" x14ac:dyDescent="0.2">
      <c r="A258" s="16" t="str">
        <f t="shared" si="9"/>
        <v/>
      </c>
      <c r="D258" s="16" t="str">
        <f t="shared" si="10"/>
        <v/>
      </c>
      <c r="G258" s="16" t="str">
        <f t="shared" si="11"/>
        <v/>
      </c>
    </row>
    <row r="259" spans="1:7" x14ac:dyDescent="0.2">
      <c r="A259" s="16" t="str">
        <f t="shared" ref="A259:A322" si="12">IF(AND(B258&lt;&gt;"",B259=""),"Add vacaction---&gt;","")</f>
        <v/>
      </c>
      <c r="D259" s="16" t="str">
        <f t="shared" ref="D259:D322" si="13">IF(AND(E258&lt;&gt;"",E259=""),"Add Employee---&gt;","")</f>
        <v/>
      </c>
      <c r="G259" s="16" t="str">
        <f t="shared" si="11"/>
        <v/>
      </c>
    </row>
    <row r="260" spans="1:7" x14ac:dyDescent="0.2">
      <c r="A260" s="16" t="str">
        <f t="shared" si="12"/>
        <v/>
      </c>
      <c r="D260" s="16" t="str">
        <f t="shared" si="13"/>
        <v/>
      </c>
      <c r="G260" s="16" t="str">
        <f t="shared" ref="G260:G323" si="14">IF(AND(H259&lt;&gt;"",H260=""),"Add Department---&gt;","")</f>
        <v/>
      </c>
    </row>
    <row r="261" spans="1:7" x14ac:dyDescent="0.2">
      <c r="A261" s="16" t="str">
        <f t="shared" si="12"/>
        <v/>
      </c>
      <c r="D261" s="16" t="str">
        <f t="shared" si="13"/>
        <v/>
      </c>
      <c r="G261" s="16" t="str">
        <f t="shared" si="14"/>
        <v/>
      </c>
    </row>
    <row r="262" spans="1:7" x14ac:dyDescent="0.2">
      <c r="A262" s="16" t="str">
        <f t="shared" si="12"/>
        <v/>
      </c>
      <c r="D262" s="16" t="str">
        <f t="shared" si="13"/>
        <v/>
      </c>
      <c r="G262" s="16" t="str">
        <f t="shared" si="14"/>
        <v/>
      </c>
    </row>
    <row r="263" spans="1:7" x14ac:dyDescent="0.2">
      <c r="A263" s="16" t="str">
        <f t="shared" si="12"/>
        <v/>
      </c>
      <c r="D263" s="16" t="str">
        <f t="shared" si="13"/>
        <v/>
      </c>
      <c r="G263" s="16" t="str">
        <f t="shared" si="14"/>
        <v/>
      </c>
    </row>
    <row r="264" spans="1:7" x14ac:dyDescent="0.2">
      <c r="A264" s="16" t="str">
        <f t="shared" si="12"/>
        <v/>
      </c>
      <c r="D264" s="16" t="str">
        <f t="shared" si="13"/>
        <v/>
      </c>
      <c r="G264" s="16" t="str">
        <f t="shared" si="14"/>
        <v/>
      </c>
    </row>
    <row r="265" spans="1:7" x14ac:dyDescent="0.2">
      <c r="A265" s="16" t="str">
        <f t="shared" si="12"/>
        <v/>
      </c>
      <c r="D265" s="16" t="str">
        <f t="shared" si="13"/>
        <v/>
      </c>
      <c r="G265" s="16" t="str">
        <f t="shared" si="14"/>
        <v/>
      </c>
    </row>
    <row r="266" spans="1:7" x14ac:dyDescent="0.2">
      <c r="A266" s="16" t="str">
        <f t="shared" si="12"/>
        <v/>
      </c>
      <c r="D266" s="16" t="str">
        <f t="shared" si="13"/>
        <v/>
      </c>
      <c r="G266" s="16" t="str">
        <f t="shared" si="14"/>
        <v/>
      </c>
    </row>
    <row r="267" spans="1:7" x14ac:dyDescent="0.2">
      <c r="A267" s="16" t="str">
        <f t="shared" si="12"/>
        <v/>
      </c>
      <c r="D267" s="16" t="str">
        <f t="shared" si="13"/>
        <v/>
      </c>
      <c r="G267" s="16" t="str">
        <f t="shared" si="14"/>
        <v/>
      </c>
    </row>
    <row r="268" spans="1:7" x14ac:dyDescent="0.2">
      <c r="A268" s="16" t="str">
        <f t="shared" si="12"/>
        <v/>
      </c>
      <c r="D268" s="16" t="str">
        <f t="shared" si="13"/>
        <v/>
      </c>
      <c r="G268" s="16" t="str">
        <f t="shared" si="14"/>
        <v/>
      </c>
    </row>
    <row r="269" spans="1:7" x14ac:dyDescent="0.2">
      <c r="A269" s="16" t="str">
        <f t="shared" si="12"/>
        <v/>
      </c>
      <c r="D269" s="16" t="str">
        <f t="shared" si="13"/>
        <v/>
      </c>
      <c r="G269" s="16" t="str">
        <f t="shared" si="14"/>
        <v/>
      </c>
    </row>
    <row r="270" spans="1:7" x14ac:dyDescent="0.2">
      <c r="A270" s="16" t="str">
        <f t="shared" si="12"/>
        <v/>
      </c>
      <c r="D270" s="16" t="str">
        <f t="shared" si="13"/>
        <v/>
      </c>
      <c r="G270" s="16" t="str">
        <f t="shared" si="14"/>
        <v/>
      </c>
    </row>
    <row r="271" spans="1:7" x14ac:dyDescent="0.2">
      <c r="A271" s="16" t="str">
        <f t="shared" si="12"/>
        <v/>
      </c>
      <c r="D271" s="16" t="str">
        <f t="shared" si="13"/>
        <v/>
      </c>
      <c r="G271" s="16" t="str">
        <f t="shared" si="14"/>
        <v/>
      </c>
    </row>
    <row r="272" spans="1:7" x14ac:dyDescent="0.2">
      <c r="A272" s="16" t="str">
        <f t="shared" si="12"/>
        <v/>
      </c>
      <c r="D272" s="16" t="str">
        <f t="shared" si="13"/>
        <v/>
      </c>
      <c r="G272" s="16" t="str">
        <f t="shared" si="14"/>
        <v/>
      </c>
    </row>
    <row r="273" spans="1:7" x14ac:dyDescent="0.2">
      <c r="A273" s="16" t="str">
        <f t="shared" si="12"/>
        <v/>
      </c>
      <c r="D273" s="16" t="str">
        <f t="shared" si="13"/>
        <v/>
      </c>
      <c r="G273" s="16" t="str">
        <f t="shared" si="14"/>
        <v/>
      </c>
    </row>
    <row r="274" spans="1:7" x14ac:dyDescent="0.2">
      <c r="A274" s="16" t="str">
        <f t="shared" si="12"/>
        <v/>
      </c>
      <c r="D274" s="16" t="str">
        <f t="shared" si="13"/>
        <v/>
      </c>
      <c r="G274" s="16" t="str">
        <f t="shared" si="14"/>
        <v/>
      </c>
    </row>
    <row r="275" spans="1:7" x14ac:dyDescent="0.2">
      <c r="A275" s="16" t="str">
        <f t="shared" si="12"/>
        <v/>
      </c>
      <c r="D275" s="16" t="str">
        <f t="shared" si="13"/>
        <v/>
      </c>
      <c r="G275" s="16" t="str">
        <f t="shared" si="14"/>
        <v/>
      </c>
    </row>
    <row r="276" spans="1:7" x14ac:dyDescent="0.2">
      <c r="A276" s="16" t="str">
        <f t="shared" si="12"/>
        <v/>
      </c>
      <c r="D276" s="16" t="str">
        <f t="shared" si="13"/>
        <v/>
      </c>
      <c r="G276" s="16" t="str">
        <f t="shared" si="14"/>
        <v/>
      </c>
    </row>
    <row r="277" spans="1:7" x14ac:dyDescent="0.2">
      <c r="A277" s="16" t="str">
        <f t="shared" si="12"/>
        <v/>
      </c>
      <c r="D277" s="16" t="str">
        <f t="shared" si="13"/>
        <v/>
      </c>
      <c r="G277" s="16" t="str">
        <f t="shared" si="14"/>
        <v/>
      </c>
    </row>
    <row r="278" spans="1:7" x14ac:dyDescent="0.2">
      <c r="A278" s="16" t="str">
        <f t="shared" si="12"/>
        <v/>
      </c>
      <c r="D278" s="16" t="str">
        <f t="shared" si="13"/>
        <v/>
      </c>
      <c r="G278" s="16" t="str">
        <f t="shared" si="14"/>
        <v/>
      </c>
    </row>
    <row r="279" spans="1:7" x14ac:dyDescent="0.2">
      <c r="A279" s="16" t="str">
        <f t="shared" si="12"/>
        <v/>
      </c>
      <c r="D279" s="16" t="str">
        <f t="shared" si="13"/>
        <v/>
      </c>
      <c r="G279" s="16" t="str">
        <f t="shared" si="14"/>
        <v/>
      </c>
    </row>
    <row r="280" spans="1:7" x14ac:dyDescent="0.2">
      <c r="A280" s="16" t="str">
        <f t="shared" si="12"/>
        <v/>
      </c>
      <c r="D280" s="16" t="str">
        <f t="shared" si="13"/>
        <v/>
      </c>
      <c r="G280" s="16" t="str">
        <f t="shared" si="14"/>
        <v/>
      </c>
    </row>
    <row r="281" spans="1:7" x14ac:dyDescent="0.2">
      <c r="A281" s="16" t="str">
        <f t="shared" si="12"/>
        <v/>
      </c>
      <c r="D281" s="16" t="str">
        <f t="shared" si="13"/>
        <v/>
      </c>
      <c r="G281" s="16" t="str">
        <f t="shared" si="14"/>
        <v/>
      </c>
    </row>
    <row r="282" spans="1:7" x14ac:dyDescent="0.2">
      <c r="A282" s="16" t="str">
        <f t="shared" si="12"/>
        <v/>
      </c>
      <c r="D282" s="16" t="str">
        <f t="shared" si="13"/>
        <v/>
      </c>
      <c r="G282" s="16" t="str">
        <f t="shared" si="14"/>
        <v/>
      </c>
    </row>
    <row r="283" spans="1:7" x14ac:dyDescent="0.2">
      <c r="A283" s="16" t="str">
        <f t="shared" si="12"/>
        <v/>
      </c>
      <c r="D283" s="16" t="str">
        <f t="shared" si="13"/>
        <v/>
      </c>
      <c r="G283" s="16" t="str">
        <f t="shared" si="14"/>
        <v/>
      </c>
    </row>
    <row r="284" spans="1:7" x14ac:dyDescent="0.2">
      <c r="A284" s="16" t="str">
        <f t="shared" si="12"/>
        <v/>
      </c>
      <c r="D284" s="16" t="str">
        <f t="shared" si="13"/>
        <v/>
      </c>
      <c r="G284" s="16" t="str">
        <f t="shared" si="14"/>
        <v/>
      </c>
    </row>
    <row r="285" spans="1:7" x14ac:dyDescent="0.2">
      <c r="A285" s="16" t="str">
        <f t="shared" si="12"/>
        <v/>
      </c>
      <c r="D285" s="16" t="str">
        <f t="shared" si="13"/>
        <v/>
      </c>
      <c r="G285" s="16" t="str">
        <f t="shared" si="14"/>
        <v/>
      </c>
    </row>
    <row r="286" spans="1:7" x14ac:dyDescent="0.2">
      <c r="A286" s="16" t="str">
        <f t="shared" si="12"/>
        <v/>
      </c>
      <c r="D286" s="16" t="str">
        <f t="shared" si="13"/>
        <v/>
      </c>
      <c r="G286" s="16" t="str">
        <f t="shared" si="14"/>
        <v/>
      </c>
    </row>
    <row r="287" spans="1:7" x14ac:dyDescent="0.2">
      <c r="A287" s="16" t="str">
        <f t="shared" si="12"/>
        <v/>
      </c>
      <c r="D287" s="16" t="str">
        <f t="shared" si="13"/>
        <v/>
      </c>
      <c r="G287" s="16" t="str">
        <f t="shared" si="14"/>
        <v/>
      </c>
    </row>
    <row r="288" spans="1:7" x14ac:dyDescent="0.2">
      <c r="A288" s="16" t="str">
        <f t="shared" si="12"/>
        <v/>
      </c>
      <c r="D288" s="16" t="str">
        <f t="shared" si="13"/>
        <v/>
      </c>
      <c r="G288" s="16" t="str">
        <f t="shared" si="14"/>
        <v/>
      </c>
    </row>
    <row r="289" spans="1:7" x14ac:dyDescent="0.2">
      <c r="A289" s="16" t="str">
        <f t="shared" si="12"/>
        <v/>
      </c>
      <c r="D289" s="16" t="str">
        <f t="shared" si="13"/>
        <v/>
      </c>
      <c r="G289" s="16" t="str">
        <f t="shared" si="14"/>
        <v/>
      </c>
    </row>
    <row r="290" spans="1:7" x14ac:dyDescent="0.2">
      <c r="A290" s="16" t="str">
        <f t="shared" si="12"/>
        <v/>
      </c>
      <c r="D290" s="16" t="str">
        <f t="shared" si="13"/>
        <v/>
      </c>
      <c r="G290" s="16" t="str">
        <f t="shared" si="14"/>
        <v/>
      </c>
    </row>
    <row r="291" spans="1:7" x14ac:dyDescent="0.2">
      <c r="A291" s="16" t="str">
        <f t="shared" si="12"/>
        <v/>
      </c>
      <c r="D291" s="16" t="str">
        <f t="shared" si="13"/>
        <v/>
      </c>
      <c r="G291" s="16" t="str">
        <f t="shared" si="14"/>
        <v/>
      </c>
    </row>
    <row r="292" spans="1:7" x14ac:dyDescent="0.2">
      <c r="A292" s="16" t="str">
        <f t="shared" si="12"/>
        <v/>
      </c>
      <c r="D292" s="16" t="str">
        <f t="shared" si="13"/>
        <v/>
      </c>
      <c r="G292" s="16" t="str">
        <f t="shared" si="14"/>
        <v/>
      </c>
    </row>
    <row r="293" spans="1:7" x14ac:dyDescent="0.2">
      <c r="A293" s="16" t="str">
        <f t="shared" si="12"/>
        <v/>
      </c>
      <c r="D293" s="16" t="str">
        <f t="shared" si="13"/>
        <v/>
      </c>
      <c r="G293" s="16" t="str">
        <f t="shared" si="14"/>
        <v/>
      </c>
    </row>
    <row r="294" spans="1:7" x14ac:dyDescent="0.2">
      <c r="A294" s="16" t="str">
        <f t="shared" si="12"/>
        <v/>
      </c>
      <c r="D294" s="16" t="str">
        <f t="shared" si="13"/>
        <v/>
      </c>
      <c r="G294" s="16" t="str">
        <f t="shared" si="14"/>
        <v/>
      </c>
    </row>
    <row r="295" spans="1:7" x14ac:dyDescent="0.2">
      <c r="A295" s="16" t="str">
        <f t="shared" si="12"/>
        <v/>
      </c>
      <c r="D295" s="16" t="str">
        <f t="shared" si="13"/>
        <v/>
      </c>
      <c r="G295" s="16" t="str">
        <f t="shared" si="14"/>
        <v/>
      </c>
    </row>
    <row r="296" spans="1:7" x14ac:dyDescent="0.2">
      <c r="A296" s="16" t="str">
        <f t="shared" si="12"/>
        <v/>
      </c>
      <c r="D296" s="16" t="str">
        <f t="shared" si="13"/>
        <v/>
      </c>
      <c r="G296" s="16" t="str">
        <f t="shared" si="14"/>
        <v/>
      </c>
    </row>
    <row r="297" spans="1:7" x14ac:dyDescent="0.2">
      <c r="A297" s="16" t="str">
        <f t="shared" si="12"/>
        <v/>
      </c>
      <c r="D297" s="16" t="str">
        <f t="shared" si="13"/>
        <v/>
      </c>
      <c r="G297" s="16" t="str">
        <f t="shared" si="14"/>
        <v/>
      </c>
    </row>
    <row r="298" spans="1:7" x14ac:dyDescent="0.2">
      <c r="A298" s="16" t="str">
        <f t="shared" si="12"/>
        <v/>
      </c>
      <c r="D298" s="16" t="str">
        <f t="shared" si="13"/>
        <v/>
      </c>
      <c r="G298" s="16" t="str">
        <f t="shared" si="14"/>
        <v/>
      </c>
    </row>
    <row r="299" spans="1:7" x14ac:dyDescent="0.2">
      <c r="A299" s="16" t="str">
        <f t="shared" si="12"/>
        <v/>
      </c>
      <c r="D299" s="16" t="str">
        <f t="shared" si="13"/>
        <v/>
      </c>
      <c r="G299" s="16" t="str">
        <f t="shared" si="14"/>
        <v/>
      </c>
    </row>
    <row r="300" spans="1:7" x14ac:dyDescent="0.2">
      <c r="A300" s="16" t="str">
        <f t="shared" si="12"/>
        <v/>
      </c>
      <c r="D300" s="16" t="str">
        <f t="shared" si="13"/>
        <v/>
      </c>
      <c r="G300" s="16" t="str">
        <f t="shared" si="14"/>
        <v/>
      </c>
    </row>
    <row r="301" spans="1:7" x14ac:dyDescent="0.2">
      <c r="A301" s="16" t="str">
        <f t="shared" si="12"/>
        <v/>
      </c>
      <c r="D301" s="16" t="str">
        <f t="shared" si="13"/>
        <v/>
      </c>
      <c r="G301" s="16" t="str">
        <f t="shared" si="14"/>
        <v/>
      </c>
    </row>
    <row r="302" spans="1:7" x14ac:dyDescent="0.2">
      <c r="A302" s="16" t="str">
        <f t="shared" si="12"/>
        <v/>
      </c>
      <c r="D302" s="16" t="str">
        <f t="shared" si="13"/>
        <v/>
      </c>
      <c r="G302" s="16" t="str">
        <f t="shared" si="14"/>
        <v/>
      </c>
    </row>
    <row r="303" spans="1:7" x14ac:dyDescent="0.2">
      <c r="A303" s="16" t="str">
        <f t="shared" si="12"/>
        <v/>
      </c>
      <c r="D303" s="16" t="str">
        <f t="shared" si="13"/>
        <v/>
      </c>
      <c r="G303" s="16" t="str">
        <f t="shared" si="14"/>
        <v/>
      </c>
    </row>
    <row r="304" spans="1:7" x14ac:dyDescent="0.2">
      <c r="A304" s="16" t="str">
        <f t="shared" si="12"/>
        <v/>
      </c>
      <c r="D304" s="16" t="str">
        <f t="shared" si="13"/>
        <v/>
      </c>
      <c r="G304" s="16" t="str">
        <f t="shared" si="14"/>
        <v/>
      </c>
    </row>
    <row r="305" spans="1:7" x14ac:dyDescent="0.2">
      <c r="A305" s="16" t="str">
        <f t="shared" si="12"/>
        <v/>
      </c>
      <c r="D305" s="16" t="str">
        <f t="shared" si="13"/>
        <v/>
      </c>
      <c r="G305" s="16" t="str">
        <f t="shared" si="14"/>
        <v/>
      </c>
    </row>
    <row r="306" spans="1:7" x14ac:dyDescent="0.2">
      <c r="A306" s="16" t="str">
        <f t="shared" si="12"/>
        <v/>
      </c>
      <c r="D306" s="16" t="str">
        <f t="shared" si="13"/>
        <v/>
      </c>
      <c r="G306" s="16" t="str">
        <f t="shared" si="14"/>
        <v/>
      </c>
    </row>
    <row r="307" spans="1:7" x14ac:dyDescent="0.2">
      <c r="A307" s="16" t="str">
        <f t="shared" si="12"/>
        <v/>
      </c>
      <c r="D307" s="16" t="str">
        <f t="shared" si="13"/>
        <v/>
      </c>
      <c r="G307" s="16" t="str">
        <f t="shared" si="14"/>
        <v/>
      </c>
    </row>
    <row r="308" spans="1:7" x14ac:dyDescent="0.2">
      <c r="A308" s="16" t="str">
        <f t="shared" si="12"/>
        <v/>
      </c>
      <c r="D308" s="16" t="str">
        <f t="shared" si="13"/>
        <v/>
      </c>
      <c r="G308" s="16" t="str">
        <f t="shared" si="14"/>
        <v/>
      </c>
    </row>
    <row r="309" spans="1:7" x14ac:dyDescent="0.2">
      <c r="A309" s="16" t="str">
        <f t="shared" si="12"/>
        <v/>
      </c>
      <c r="D309" s="16" t="str">
        <f t="shared" si="13"/>
        <v/>
      </c>
      <c r="G309" s="16" t="str">
        <f t="shared" si="14"/>
        <v/>
      </c>
    </row>
    <row r="310" spans="1:7" x14ac:dyDescent="0.2">
      <c r="A310" s="16" t="str">
        <f t="shared" si="12"/>
        <v/>
      </c>
      <c r="D310" s="16" t="str">
        <f t="shared" si="13"/>
        <v/>
      </c>
      <c r="G310" s="16" t="str">
        <f t="shared" si="14"/>
        <v/>
      </c>
    </row>
    <row r="311" spans="1:7" x14ac:dyDescent="0.2">
      <c r="A311" s="16" t="str">
        <f t="shared" si="12"/>
        <v/>
      </c>
      <c r="D311" s="16" t="str">
        <f t="shared" si="13"/>
        <v/>
      </c>
      <c r="G311" s="16" t="str">
        <f t="shared" si="14"/>
        <v/>
      </c>
    </row>
    <row r="312" spans="1:7" x14ac:dyDescent="0.2">
      <c r="A312" s="16" t="str">
        <f t="shared" si="12"/>
        <v/>
      </c>
      <c r="D312" s="16" t="str">
        <f t="shared" si="13"/>
        <v/>
      </c>
      <c r="G312" s="16" t="str">
        <f t="shared" si="14"/>
        <v/>
      </c>
    </row>
    <row r="313" spans="1:7" x14ac:dyDescent="0.2">
      <c r="A313" s="16" t="str">
        <f t="shared" si="12"/>
        <v/>
      </c>
      <c r="D313" s="16" t="str">
        <f t="shared" si="13"/>
        <v/>
      </c>
      <c r="G313" s="16" t="str">
        <f t="shared" si="14"/>
        <v/>
      </c>
    </row>
    <row r="314" spans="1:7" x14ac:dyDescent="0.2">
      <c r="A314" s="16" t="str">
        <f t="shared" si="12"/>
        <v/>
      </c>
      <c r="D314" s="16" t="str">
        <f t="shared" si="13"/>
        <v/>
      </c>
      <c r="G314" s="16" t="str">
        <f t="shared" si="14"/>
        <v/>
      </c>
    </row>
    <row r="315" spans="1:7" x14ac:dyDescent="0.2">
      <c r="A315" s="16" t="str">
        <f t="shared" si="12"/>
        <v/>
      </c>
      <c r="D315" s="16" t="str">
        <f t="shared" si="13"/>
        <v/>
      </c>
      <c r="G315" s="16" t="str">
        <f t="shared" si="14"/>
        <v/>
      </c>
    </row>
    <row r="316" spans="1:7" x14ac:dyDescent="0.2">
      <c r="A316" s="16" t="str">
        <f t="shared" si="12"/>
        <v/>
      </c>
      <c r="D316" s="16" t="str">
        <f t="shared" si="13"/>
        <v/>
      </c>
      <c r="G316" s="16" t="str">
        <f t="shared" si="14"/>
        <v/>
      </c>
    </row>
    <row r="317" spans="1:7" x14ac:dyDescent="0.2">
      <c r="A317" s="16" t="str">
        <f t="shared" si="12"/>
        <v/>
      </c>
      <c r="D317" s="16" t="str">
        <f t="shared" si="13"/>
        <v/>
      </c>
      <c r="G317" s="16" t="str">
        <f t="shared" si="14"/>
        <v/>
      </c>
    </row>
    <row r="318" spans="1:7" x14ac:dyDescent="0.2">
      <c r="A318" s="16" t="str">
        <f t="shared" si="12"/>
        <v/>
      </c>
      <c r="D318" s="16" t="str">
        <f t="shared" si="13"/>
        <v/>
      </c>
      <c r="G318" s="16" t="str">
        <f t="shared" si="14"/>
        <v/>
      </c>
    </row>
    <row r="319" spans="1:7" x14ac:dyDescent="0.2">
      <c r="A319" s="16" t="str">
        <f t="shared" si="12"/>
        <v/>
      </c>
      <c r="D319" s="16" t="str">
        <f t="shared" si="13"/>
        <v/>
      </c>
      <c r="G319" s="16" t="str">
        <f t="shared" si="14"/>
        <v/>
      </c>
    </row>
    <row r="320" spans="1:7" x14ac:dyDescent="0.2">
      <c r="A320" s="16" t="str">
        <f t="shared" si="12"/>
        <v/>
      </c>
      <c r="D320" s="16" t="str">
        <f t="shared" si="13"/>
        <v/>
      </c>
      <c r="G320" s="16" t="str">
        <f t="shared" si="14"/>
        <v/>
      </c>
    </row>
    <row r="321" spans="1:7" x14ac:dyDescent="0.2">
      <c r="A321" s="16" t="str">
        <f t="shared" si="12"/>
        <v/>
      </c>
      <c r="D321" s="16" t="str">
        <f t="shared" si="13"/>
        <v/>
      </c>
      <c r="G321" s="16" t="str">
        <f t="shared" si="14"/>
        <v/>
      </c>
    </row>
    <row r="322" spans="1:7" x14ac:dyDescent="0.2">
      <c r="A322" s="16" t="str">
        <f t="shared" si="12"/>
        <v/>
      </c>
      <c r="D322" s="16" t="str">
        <f t="shared" si="13"/>
        <v/>
      </c>
      <c r="G322" s="16" t="str">
        <f t="shared" si="14"/>
        <v/>
      </c>
    </row>
    <row r="323" spans="1:7" x14ac:dyDescent="0.2">
      <c r="A323" s="16" t="str">
        <f t="shared" ref="A323:A386" si="15">IF(AND(B322&lt;&gt;"",B323=""),"Add vacaction---&gt;","")</f>
        <v/>
      </c>
      <c r="D323" s="16" t="str">
        <f t="shared" ref="D323:D386" si="16">IF(AND(E322&lt;&gt;"",E323=""),"Add Employee---&gt;","")</f>
        <v/>
      </c>
      <c r="G323" s="16" t="str">
        <f t="shared" si="14"/>
        <v/>
      </c>
    </row>
    <row r="324" spans="1:7" x14ac:dyDescent="0.2">
      <c r="A324" s="16" t="str">
        <f t="shared" si="15"/>
        <v/>
      </c>
      <c r="D324" s="16" t="str">
        <f t="shared" si="16"/>
        <v/>
      </c>
      <c r="G324" s="16" t="str">
        <f t="shared" ref="G324:G387" si="17">IF(AND(H323&lt;&gt;"",H324=""),"Add Department---&gt;","")</f>
        <v/>
      </c>
    </row>
    <row r="325" spans="1:7" x14ac:dyDescent="0.2">
      <c r="A325" s="16" t="str">
        <f t="shared" si="15"/>
        <v/>
      </c>
      <c r="D325" s="16" t="str">
        <f t="shared" si="16"/>
        <v/>
      </c>
      <c r="G325" s="16" t="str">
        <f t="shared" si="17"/>
        <v/>
      </c>
    </row>
    <row r="326" spans="1:7" x14ac:dyDescent="0.2">
      <c r="A326" s="16" t="str">
        <f t="shared" si="15"/>
        <v/>
      </c>
      <c r="D326" s="16" t="str">
        <f t="shared" si="16"/>
        <v/>
      </c>
      <c r="G326" s="16" t="str">
        <f t="shared" si="17"/>
        <v/>
      </c>
    </row>
    <row r="327" spans="1:7" x14ac:dyDescent="0.2">
      <c r="A327" s="16" t="str">
        <f t="shared" si="15"/>
        <v/>
      </c>
      <c r="D327" s="16" t="str">
        <f t="shared" si="16"/>
        <v/>
      </c>
      <c r="G327" s="16" t="str">
        <f t="shared" si="17"/>
        <v/>
      </c>
    </row>
    <row r="328" spans="1:7" x14ac:dyDescent="0.2">
      <c r="A328" s="16" t="str">
        <f t="shared" si="15"/>
        <v/>
      </c>
      <c r="D328" s="16" t="str">
        <f t="shared" si="16"/>
        <v/>
      </c>
      <c r="G328" s="16" t="str">
        <f t="shared" si="17"/>
        <v/>
      </c>
    </row>
    <row r="329" spans="1:7" x14ac:dyDescent="0.2">
      <c r="A329" s="16" t="str">
        <f t="shared" si="15"/>
        <v/>
      </c>
      <c r="D329" s="16" t="str">
        <f t="shared" si="16"/>
        <v/>
      </c>
      <c r="G329" s="16" t="str">
        <f t="shared" si="17"/>
        <v/>
      </c>
    </row>
    <row r="330" spans="1:7" x14ac:dyDescent="0.2">
      <c r="A330" s="16" t="str">
        <f t="shared" si="15"/>
        <v/>
      </c>
      <c r="D330" s="16" t="str">
        <f t="shared" si="16"/>
        <v/>
      </c>
      <c r="G330" s="16" t="str">
        <f t="shared" si="17"/>
        <v/>
      </c>
    </row>
    <row r="331" spans="1:7" x14ac:dyDescent="0.2">
      <c r="A331" s="16" t="str">
        <f t="shared" si="15"/>
        <v/>
      </c>
      <c r="D331" s="16" t="str">
        <f t="shared" si="16"/>
        <v/>
      </c>
      <c r="G331" s="16" t="str">
        <f t="shared" si="17"/>
        <v/>
      </c>
    </row>
    <row r="332" spans="1:7" x14ac:dyDescent="0.2">
      <c r="A332" s="16" t="str">
        <f t="shared" si="15"/>
        <v/>
      </c>
      <c r="D332" s="16" t="str">
        <f t="shared" si="16"/>
        <v/>
      </c>
      <c r="G332" s="16" t="str">
        <f t="shared" si="17"/>
        <v/>
      </c>
    </row>
    <row r="333" spans="1:7" x14ac:dyDescent="0.2">
      <c r="A333" s="16" t="str">
        <f t="shared" si="15"/>
        <v/>
      </c>
      <c r="D333" s="16" t="str">
        <f t="shared" si="16"/>
        <v/>
      </c>
      <c r="G333" s="16" t="str">
        <f t="shared" si="17"/>
        <v/>
      </c>
    </row>
    <row r="334" spans="1:7" x14ac:dyDescent="0.2">
      <c r="A334" s="16" t="str">
        <f t="shared" si="15"/>
        <v/>
      </c>
      <c r="D334" s="16" t="str">
        <f t="shared" si="16"/>
        <v/>
      </c>
      <c r="G334" s="16" t="str">
        <f t="shared" si="17"/>
        <v/>
      </c>
    </row>
    <row r="335" spans="1:7" x14ac:dyDescent="0.2">
      <c r="A335" s="16" t="str">
        <f t="shared" si="15"/>
        <v/>
      </c>
      <c r="D335" s="16" t="str">
        <f t="shared" si="16"/>
        <v/>
      </c>
      <c r="G335" s="16" t="str">
        <f t="shared" si="17"/>
        <v/>
      </c>
    </row>
    <row r="336" spans="1:7" x14ac:dyDescent="0.2">
      <c r="A336" s="16" t="str">
        <f t="shared" si="15"/>
        <v/>
      </c>
      <c r="D336" s="16" t="str">
        <f t="shared" si="16"/>
        <v/>
      </c>
      <c r="G336" s="16" t="str">
        <f t="shared" si="17"/>
        <v/>
      </c>
    </row>
    <row r="337" spans="1:7" x14ac:dyDescent="0.2">
      <c r="A337" s="16" t="str">
        <f t="shared" si="15"/>
        <v/>
      </c>
      <c r="D337" s="16" t="str">
        <f t="shared" si="16"/>
        <v/>
      </c>
      <c r="G337" s="16" t="str">
        <f t="shared" si="17"/>
        <v/>
      </c>
    </row>
    <row r="338" spans="1:7" x14ac:dyDescent="0.2">
      <c r="A338" s="16" t="str">
        <f t="shared" si="15"/>
        <v/>
      </c>
      <c r="D338" s="16" t="str">
        <f t="shared" si="16"/>
        <v/>
      </c>
      <c r="G338" s="16" t="str">
        <f t="shared" si="17"/>
        <v/>
      </c>
    </row>
    <row r="339" spans="1:7" x14ac:dyDescent="0.2">
      <c r="A339" s="16" t="str">
        <f t="shared" si="15"/>
        <v/>
      </c>
      <c r="D339" s="16" t="str">
        <f t="shared" si="16"/>
        <v/>
      </c>
      <c r="G339" s="16" t="str">
        <f t="shared" si="17"/>
        <v/>
      </c>
    </row>
    <row r="340" spans="1:7" x14ac:dyDescent="0.2">
      <c r="A340" s="16" t="str">
        <f t="shared" si="15"/>
        <v/>
      </c>
      <c r="D340" s="16" t="str">
        <f t="shared" si="16"/>
        <v/>
      </c>
      <c r="G340" s="16" t="str">
        <f t="shared" si="17"/>
        <v/>
      </c>
    </row>
    <row r="341" spans="1:7" x14ac:dyDescent="0.2">
      <c r="A341" s="16" t="str">
        <f t="shared" si="15"/>
        <v/>
      </c>
      <c r="D341" s="16" t="str">
        <f t="shared" si="16"/>
        <v/>
      </c>
      <c r="G341" s="16" t="str">
        <f t="shared" si="17"/>
        <v/>
      </c>
    </row>
    <row r="342" spans="1:7" x14ac:dyDescent="0.2">
      <c r="A342" s="16" t="str">
        <f t="shared" si="15"/>
        <v/>
      </c>
      <c r="D342" s="16" t="str">
        <f t="shared" si="16"/>
        <v/>
      </c>
      <c r="G342" s="16" t="str">
        <f t="shared" si="17"/>
        <v/>
      </c>
    </row>
    <row r="343" spans="1:7" x14ac:dyDescent="0.2">
      <c r="A343" s="16" t="str">
        <f t="shared" si="15"/>
        <v/>
      </c>
      <c r="D343" s="16" t="str">
        <f t="shared" si="16"/>
        <v/>
      </c>
      <c r="G343" s="16" t="str">
        <f t="shared" si="17"/>
        <v/>
      </c>
    </row>
    <row r="344" spans="1:7" x14ac:dyDescent="0.2">
      <c r="A344" s="16" t="str">
        <f t="shared" si="15"/>
        <v/>
      </c>
      <c r="D344" s="16" t="str">
        <f t="shared" si="16"/>
        <v/>
      </c>
      <c r="G344" s="16" t="str">
        <f t="shared" si="17"/>
        <v/>
      </c>
    </row>
    <row r="345" spans="1:7" x14ac:dyDescent="0.2">
      <c r="A345" s="16" t="str">
        <f t="shared" si="15"/>
        <v/>
      </c>
      <c r="D345" s="16" t="str">
        <f t="shared" si="16"/>
        <v/>
      </c>
      <c r="G345" s="16" t="str">
        <f t="shared" si="17"/>
        <v/>
      </c>
    </row>
    <row r="346" spans="1:7" x14ac:dyDescent="0.2">
      <c r="A346" s="16" t="str">
        <f t="shared" si="15"/>
        <v/>
      </c>
      <c r="D346" s="16" t="str">
        <f t="shared" si="16"/>
        <v/>
      </c>
      <c r="G346" s="16" t="str">
        <f t="shared" si="17"/>
        <v/>
      </c>
    </row>
    <row r="347" spans="1:7" x14ac:dyDescent="0.2">
      <c r="A347" s="16" t="str">
        <f t="shared" si="15"/>
        <v/>
      </c>
      <c r="D347" s="16" t="str">
        <f t="shared" si="16"/>
        <v/>
      </c>
      <c r="G347" s="16" t="str">
        <f t="shared" si="17"/>
        <v/>
      </c>
    </row>
    <row r="348" spans="1:7" x14ac:dyDescent="0.2">
      <c r="A348" s="16" t="str">
        <f t="shared" si="15"/>
        <v/>
      </c>
      <c r="D348" s="16" t="str">
        <f t="shared" si="16"/>
        <v/>
      </c>
      <c r="G348" s="16" t="str">
        <f t="shared" si="17"/>
        <v/>
      </c>
    </row>
    <row r="349" spans="1:7" x14ac:dyDescent="0.2">
      <c r="A349" s="16" t="str">
        <f t="shared" si="15"/>
        <v/>
      </c>
      <c r="D349" s="16" t="str">
        <f t="shared" si="16"/>
        <v/>
      </c>
      <c r="G349" s="16" t="str">
        <f t="shared" si="17"/>
        <v/>
      </c>
    </row>
    <row r="350" spans="1:7" x14ac:dyDescent="0.2">
      <c r="A350" s="16" t="str">
        <f t="shared" si="15"/>
        <v/>
      </c>
      <c r="D350" s="16" t="str">
        <f t="shared" si="16"/>
        <v/>
      </c>
      <c r="G350" s="16" t="str">
        <f t="shared" si="17"/>
        <v/>
      </c>
    </row>
    <row r="351" spans="1:7" x14ac:dyDescent="0.2">
      <c r="A351" s="16" t="str">
        <f t="shared" si="15"/>
        <v/>
      </c>
      <c r="D351" s="16" t="str">
        <f t="shared" si="16"/>
        <v/>
      </c>
      <c r="G351" s="16" t="str">
        <f t="shared" si="17"/>
        <v/>
      </c>
    </row>
    <row r="352" spans="1:7" x14ac:dyDescent="0.2">
      <c r="A352" s="16" t="str">
        <f t="shared" si="15"/>
        <v/>
      </c>
      <c r="D352" s="16" t="str">
        <f t="shared" si="16"/>
        <v/>
      </c>
      <c r="G352" s="16" t="str">
        <f t="shared" si="17"/>
        <v/>
      </c>
    </row>
    <row r="353" spans="1:7" x14ac:dyDescent="0.2">
      <c r="A353" s="16" t="str">
        <f t="shared" si="15"/>
        <v/>
      </c>
      <c r="D353" s="16" t="str">
        <f t="shared" si="16"/>
        <v/>
      </c>
      <c r="G353" s="16" t="str">
        <f t="shared" si="17"/>
        <v/>
      </c>
    </row>
    <row r="354" spans="1:7" x14ac:dyDescent="0.2">
      <c r="A354" s="16" t="str">
        <f t="shared" si="15"/>
        <v/>
      </c>
      <c r="D354" s="16" t="str">
        <f t="shared" si="16"/>
        <v/>
      </c>
      <c r="G354" s="16" t="str">
        <f t="shared" si="17"/>
        <v/>
      </c>
    </row>
    <row r="355" spans="1:7" x14ac:dyDescent="0.2">
      <c r="A355" s="16" t="str">
        <f t="shared" si="15"/>
        <v/>
      </c>
      <c r="D355" s="16" t="str">
        <f t="shared" si="16"/>
        <v/>
      </c>
      <c r="G355" s="16" t="str">
        <f t="shared" si="17"/>
        <v/>
      </c>
    </row>
    <row r="356" spans="1:7" x14ac:dyDescent="0.2">
      <c r="A356" s="16" t="str">
        <f t="shared" si="15"/>
        <v/>
      </c>
      <c r="D356" s="16" t="str">
        <f t="shared" si="16"/>
        <v/>
      </c>
      <c r="G356" s="16" t="str">
        <f t="shared" si="17"/>
        <v/>
      </c>
    </row>
    <row r="357" spans="1:7" x14ac:dyDescent="0.2">
      <c r="A357" s="16" t="str">
        <f t="shared" si="15"/>
        <v/>
      </c>
      <c r="D357" s="16" t="str">
        <f t="shared" si="16"/>
        <v/>
      </c>
      <c r="G357" s="16" t="str">
        <f t="shared" si="17"/>
        <v/>
      </c>
    </row>
    <row r="358" spans="1:7" x14ac:dyDescent="0.2">
      <c r="A358" s="16" t="str">
        <f t="shared" si="15"/>
        <v/>
      </c>
      <c r="D358" s="16" t="str">
        <f t="shared" si="16"/>
        <v/>
      </c>
      <c r="G358" s="16" t="str">
        <f t="shared" si="17"/>
        <v/>
      </c>
    </row>
    <row r="359" spans="1:7" x14ac:dyDescent="0.2">
      <c r="A359" s="16" t="str">
        <f t="shared" si="15"/>
        <v/>
      </c>
      <c r="D359" s="16" t="str">
        <f t="shared" si="16"/>
        <v/>
      </c>
      <c r="G359" s="16" t="str">
        <f t="shared" si="17"/>
        <v/>
      </c>
    </row>
    <row r="360" spans="1:7" x14ac:dyDescent="0.2">
      <c r="A360" s="16" t="str">
        <f t="shared" si="15"/>
        <v/>
      </c>
      <c r="D360" s="16" t="str">
        <f t="shared" si="16"/>
        <v/>
      </c>
      <c r="G360" s="16" t="str">
        <f t="shared" si="17"/>
        <v/>
      </c>
    </row>
    <row r="361" spans="1:7" x14ac:dyDescent="0.2">
      <c r="A361" s="16" t="str">
        <f t="shared" si="15"/>
        <v/>
      </c>
      <c r="D361" s="16" t="str">
        <f t="shared" si="16"/>
        <v/>
      </c>
      <c r="G361" s="16" t="str">
        <f t="shared" si="17"/>
        <v/>
      </c>
    </row>
    <row r="362" spans="1:7" x14ac:dyDescent="0.2">
      <c r="A362" s="16" t="str">
        <f t="shared" si="15"/>
        <v/>
      </c>
      <c r="D362" s="16" t="str">
        <f t="shared" si="16"/>
        <v/>
      </c>
      <c r="G362" s="16" t="str">
        <f t="shared" si="17"/>
        <v/>
      </c>
    </row>
    <row r="363" spans="1:7" x14ac:dyDescent="0.2">
      <c r="A363" s="16" t="str">
        <f t="shared" si="15"/>
        <v/>
      </c>
      <c r="D363" s="16" t="str">
        <f t="shared" si="16"/>
        <v/>
      </c>
      <c r="G363" s="16" t="str">
        <f t="shared" si="17"/>
        <v/>
      </c>
    </row>
    <row r="364" spans="1:7" x14ac:dyDescent="0.2">
      <c r="A364" s="16" t="str">
        <f t="shared" si="15"/>
        <v/>
      </c>
      <c r="D364" s="16" t="str">
        <f t="shared" si="16"/>
        <v/>
      </c>
      <c r="G364" s="16" t="str">
        <f t="shared" si="17"/>
        <v/>
      </c>
    </row>
    <row r="365" spans="1:7" x14ac:dyDescent="0.2">
      <c r="A365" s="16" t="str">
        <f t="shared" si="15"/>
        <v/>
      </c>
      <c r="D365" s="16" t="str">
        <f t="shared" si="16"/>
        <v/>
      </c>
      <c r="G365" s="16" t="str">
        <f t="shared" si="17"/>
        <v/>
      </c>
    </row>
    <row r="366" spans="1:7" x14ac:dyDescent="0.2">
      <c r="A366" s="16" t="str">
        <f t="shared" si="15"/>
        <v/>
      </c>
      <c r="D366" s="16" t="str">
        <f t="shared" si="16"/>
        <v/>
      </c>
      <c r="G366" s="16" t="str">
        <f t="shared" si="17"/>
        <v/>
      </c>
    </row>
    <row r="367" spans="1:7" x14ac:dyDescent="0.2">
      <c r="A367" s="16" t="str">
        <f t="shared" si="15"/>
        <v/>
      </c>
      <c r="D367" s="16" t="str">
        <f t="shared" si="16"/>
        <v/>
      </c>
      <c r="G367" s="16" t="str">
        <f t="shared" si="17"/>
        <v/>
      </c>
    </row>
    <row r="368" spans="1:7" x14ac:dyDescent="0.2">
      <c r="A368" s="16" t="str">
        <f t="shared" si="15"/>
        <v/>
      </c>
      <c r="D368" s="16" t="str">
        <f t="shared" si="16"/>
        <v/>
      </c>
      <c r="G368" s="16" t="str">
        <f t="shared" si="17"/>
        <v/>
      </c>
    </row>
    <row r="369" spans="1:7" x14ac:dyDescent="0.2">
      <c r="A369" s="16" t="str">
        <f t="shared" si="15"/>
        <v/>
      </c>
      <c r="D369" s="16" t="str">
        <f t="shared" si="16"/>
        <v/>
      </c>
      <c r="G369" s="16" t="str">
        <f t="shared" si="17"/>
        <v/>
      </c>
    </row>
    <row r="370" spans="1:7" x14ac:dyDescent="0.2">
      <c r="A370" s="16" t="str">
        <f t="shared" si="15"/>
        <v/>
      </c>
      <c r="D370" s="16" t="str">
        <f t="shared" si="16"/>
        <v/>
      </c>
      <c r="G370" s="16" t="str">
        <f t="shared" si="17"/>
        <v/>
      </c>
    </row>
    <row r="371" spans="1:7" x14ac:dyDescent="0.2">
      <c r="A371" s="16" t="str">
        <f t="shared" si="15"/>
        <v/>
      </c>
      <c r="D371" s="16" t="str">
        <f t="shared" si="16"/>
        <v/>
      </c>
      <c r="G371" s="16" t="str">
        <f t="shared" si="17"/>
        <v/>
      </c>
    </row>
    <row r="372" spans="1:7" x14ac:dyDescent="0.2">
      <c r="A372" s="16" t="str">
        <f t="shared" si="15"/>
        <v/>
      </c>
      <c r="D372" s="16" t="str">
        <f t="shared" si="16"/>
        <v/>
      </c>
      <c r="G372" s="16" t="str">
        <f t="shared" si="17"/>
        <v/>
      </c>
    </row>
    <row r="373" spans="1:7" x14ac:dyDescent="0.2">
      <c r="A373" s="16" t="str">
        <f t="shared" si="15"/>
        <v/>
      </c>
      <c r="D373" s="16" t="str">
        <f t="shared" si="16"/>
        <v/>
      </c>
      <c r="G373" s="16" t="str">
        <f t="shared" si="17"/>
        <v/>
      </c>
    </row>
    <row r="374" spans="1:7" x14ac:dyDescent="0.2">
      <c r="A374" s="16" t="str">
        <f t="shared" si="15"/>
        <v/>
      </c>
      <c r="D374" s="16" t="str">
        <f t="shared" si="16"/>
        <v/>
      </c>
      <c r="G374" s="16" t="str">
        <f t="shared" si="17"/>
        <v/>
      </c>
    </row>
    <row r="375" spans="1:7" x14ac:dyDescent="0.2">
      <c r="A375" s="16" t="str">
        <f t="shared" si="15"/>
        <v/>
      </c>
      <c r="D375" s="16" t="str">
        <f t="shared" si="16"/>
        <v/>
      </c>
      <c r="G375" s="16" t="str">
        <f t="shared" si="17"/>
        <v/>
      </c>
    </row>
    <row r="376" spans="1:7" x14ac:dyDescent="0.2">
      <c r="A376" s="16" t="str">
        <f t="shared" si="15"/>
        <v/>
      </c>
      <c r="D376" s="16" t="str">
        <f t="shared" si="16"/>
        <v/>
      </c>
      <c r="G376" s="16" t="str">
        <f t="shared" si="17"/>
        <v/>
      </c>
    </row>
    <row r="377" spans="1:7" x14ac:dyDescent="0.2">
      <c r="A377" s="16" t="str">
        <f t="shared" si="15"/>
        <v/>
      </c>
      <c r="D377" s="16" t="str">
        <f t="shared" si="16"/>
        <v/>
      </c>
      <c r="G377" s="16" t="str">
        <f t="shared" si="17"/>
        <v/>
      </c>
    </row>
    <row r="378" spans="1:7" x14ac:dyDescent="0.2">
      <c r="A378" s="16" t="str">
        <f t="shared" si="15"/>
        <v/>
      </c>
      <c r="D378" s="16" t="str">
        <f t="shared" si="16"/>
        <v/>
      </c>
      <c r="G378" s="16" t="str">
        <f t="shared" si="17"/>
        <v/>
      </c>
    </row>
    <row r="379" spans="1:7" x14ac:dyDescent="0.2">
      <c r="A379" s="16" t="str">
        <f t="shared" si="15"/>
        <v/>
      </c>
      <c r="D379" s="16" t="str">
        <f t="shared" si="16"/>
        <v/>
      </c>
      <c r="G379" s="16" t="str">
        <f t="shared" si="17"/>
        <v/>
      </c>
    </row>
    <row r="380" spans="1:7" x14ac:dyDescent="0.2">
      <c r="A380" s="16" t="str">
        <f t="shared" si="15"/>
        <v/>
      </c>
      <c r="D380" s="16" t="str">
        <f t="shared" si="16"/>
        <v/>
      </c>
      <c r="G380" s="16" t="str">
        <f t="shared" si="17"/>
        <v/>
      </c>
    </row>
    <row r="381" spans="1:7" x14ac:dyDescent="0.2">
      <c r="A381" s="16" t="str">
        <f t="shared" si="15"/>
        <v/>
      </c>
      <c r="D381" s="16" t="str">
        <f t="shared" si="16"/>
        <v/>
      </c>
      <c r="G381" s="16" t="str">
        <f t="shared" si="17"/>
        <v/>
      </c>
    </row>
    <row r="382" spans="1:7" x14ac:dyDescent="0.2">
      <c r="A382" s="16" t="str">
        <f t="shared" si="15"/>
        <v/>
      </c>
      <c r="D382" s="16" t="str">
        <f t="shared" si="16"/>
        <v/>
      </c>
      <c r="G382" s="16" t="str">
        <f t="shared" si="17"/>
        <v/>
      </c>
    </row>
    <row r="383" spans="1:7" x14ac:dyDescent="0.2">
      <c r="A383" s="16" t="str">
        <f t="shared" si="15"/>
        <v/>
      </c>
      <c r="D383" s="16" t="str">
        <f t="shared" si="16"/>
        <v/>
      </c>
      <c r="G383" s="16" t="str">
        <f t="shared" si="17"/>
        <v/>
      </c>
    </row>
    <row r="384" spans="1:7" x14ac:dyDescent="0.2">
      <c r="A384" s="16" t="str">
        <f t="shared" si="15"/>
        <v/>
      </c>
      <c r="D384" s="16" t="str">
        <f t="shared" si="16"/>
        <v/>
      </c>
      <c r="G384" s="16" t="str">
        <f t="shared" si="17"/>
        <v/>
      </c>
    </row>
    <row r="385" spans="1:7" x14ac:dyDescent="0.2">
      <c r="A385" s="16" t="str">
        <f t="shared" si="15"/>
        <v/>
      </c>
      <c r="D385" s="16" t="str">
        <f t="shared" si="16"/>
        <v/>
      </c>
      <c r="G385" s="16" t="str">
        <f t="shared" si="17"/>
        <v/>
      </c>
    </row>
    <row r="386" spans="1:7" x14ac:dyDescent="0.2">
      <c r="A386" s="16" t="str">
        <f t="shared" si="15"/>
        <v/>
      </c>
      <c r="D386" s="16" t="str">
        <f t="shared" si="16"/>
        <v/>
      </c>
      <c r="G386" s="16" t="str">
        <f t="shared" si="17"/>
        <v/>
      </c>
    </row>
    <row r="387" spans="1:7" x14ac:dyDescent="0.2">
      <c r="A387" s="16" t="str">
        <f t="shared" ref="A387:A450" si="18">IF(AND(B386&lt;&gt;"",B387=""),"Add vacaction---&gt;","")</f>
        <v/>
      </c>
      <c r="D387" s="16" t="str">
        <f t="shared" ref="D387:D450" si="19">IF(AND(E386&lt;&gt;"",E387=""),"Add Employee---&gt;","")</f>
        <v/>
      </c>
      <c r="G387" s="16" t="str">
        <f t="shared" si="17"/>
        <v/>
      </c>
    </row>
    <row r="388" spans="1:7" x14ac:dyDescent="0.2">
      <c r="A388" s="16" t="str">
        <f t="shared" si="18"/>
        <v/>
      </c>
      <c r="D388" s="16" t="str">
        <f t="shared" si="19"/>
        <v/>
      </c>
      <c r="G388" s="16" t="str">
        <f t="shared" ref="G388:G451" si="20">IF(AND(H387&lt;&gt;"",H388=""),"Add Department---&gt;","")</f>
        <v/>
      </c>
    </row>
    <row r="389" spans="1:7" x14ac:dyDescent="0.2">
      <c r="A389" s="16" t="str">
        <f t="shared" si="18"/>
        <v/>
      </c>
      <c r="D389" s="16" t="str">
        <f t="shared" si="19"/>
        <v/>
      </c>
      <c r="G389" s="16" t="str">
        <f t="shared" si="20"/>
        <v/>
      </c>
    </row>
    <row r="390" spans="1:7" x14ac:dyDescent="0.2">
      <c r="A390" s="16" t="str">
        <f t="shared" si="18"/>
        <v/>
      </c>
      <c r="D390" s="16" t="str">
        <f t="shared" si="19"/>
        <v/>
      </c>
      <c r="G390" s="16" t="str">
        <f t="shared" si="20"/>
        <v/>
      </c>
    </row>
    <row r="391" spans="1:7" x14ac:dyDescent="0.2">
      <c r="A391" s="16" t="str">
        <f t="shared" si="18"/>
        <v/>
      </c>
      <c r="D391" s="16" t="str">
        <f t="shared" si="19"/>
        <v/>
      </c>
      <c r="G391" s="16" t="str">
        <f t="shared" si="20"/>
        <v/>
      </c>
    </row>
    <row r="392" spans="1:7" x14ac:dyDescent="0.2">
      <c r="A392" s="16" t="str">
        <f t="shared" si="18"/>
        <v/>
      </c>
      <c r="D392" s="16" t="str">
        <f t="shared" si="19"/>
        <v/>
      </c>
      <c r="G392" s="16" t="str">
        <f t="shared" si="20"/>
        <v/>
      </c>
    </row>
    <row r="393" spans="1:7" x14ac:dyDescent="0.2">
      <c r="A393" s="16" t="str">
        <f t="shared" si="18"/>
        <v/>
      </c>
      <c r="D393" s="16" t="str">
        <f t="shared" si="19"/>
        <v/>
      </c>
      <c r="G393" s="16" t="str">
        <f t="shared" si="20"/>
        <v/>
      </c>
    </row>
    <row r="394" spans="1:7" x14ac:dyDescent="0.2">
      <c r="A394" s="16" t="str">
        <f t="shared" si="18"/>
        <v/>
      </c>
      <c r="D394" s="16" t="str">
        <f t="shared" si="19"/>
        <v/>
      </c>
      <c r="G394" s="16" t="str">
        <f t="shared" si="20"/>
        <v/>
      </c>
    </row>
    <row r="395" spans="1:7" x14ac:dyDescent="0.2">
      <c r="A395" s="16" t="str">
        <f t="shared" si="18"/>
        <v/>
      </c>
      <c r="D395" s="16" t="str">
        <f t="shared" si="19"/>
        <v/>
      </c>
      <c r="G395" s="16" t="str">
        <f t="shared" si="20"/>
        <v/>
      </c>
    </row>
    <row r="396" spans="1:7" x14ac:dyDescent="0.2">
      <c r="A396" s="16" t="str">
        <f t="shared" si="18"/>
        <v/>
      </c>
      <c r="D396" s="16" t="str">
        <f t="shared" si="19"/>
        <v/>
      </c>
      <c r="G396" s="16" t="str">
        <f t="shared" si="20"/>
        <v/>
      </c>
    </row>
    <row r="397" spans="1:7" x14ac:dyDescent="0.2">
      <c r="A397" s="16" t="str">
        <f t="shared" si="18"/>
        <v/>
      </c>
      <c r="D397" s="16" t="str">
        <f t="shared" si="19"/>
        <v/>
      </c>
      <c r="G397" s="16" t="str">
        <f t="shared" si="20"/>
        <v/>
      </c>
    </row>
    <row r="398" spans="1:7" x14ac:dyDescent="0.2">
      <c r="A398" s="16" t="str">
        <f t="shared" si="18"/>
        <v/>
      </c>
      <c r="D398" s="16" t="str">
        <f t="shared" si="19"/>
        <v/>
      </c>
      <c r="G398" s="16" t="str">
        <f t="shared" si="20"/>
        <v/>
      </c>
    </row>
    <row r="399" spans="1:7" x14ac:dyDescent="0.2">
      <c r="A399" s="16" t="str">
        <f t="shared" si="18"/>
        <v/>
      </c>
      <c r="D399" s="16" t="str">
        <f t="shared" si="19"/>
        <v/>
      </c>
      <c r="G399" s="16" t="str">
        <f t="shared" si="20"/>
        <v/>
      </c>
    </row>
    <row r="400" spans="1:7" x14ac:dyDescent="0.2">
      <c r="A400" s="16" t="str">
        <f t="shared" si="18"/>
        <v/>
      </c>
      <c r="D400" s="16" t="str">
        <f t="shared" si="19"/>
        <v/>
      </c>
      <c r="G400" s="16" t="str">
        <f t="shared" si="20"/>
        <v/>
      </c>
    </row>
    <row r="401" spans="1:7" x14ac:dyDescent="0.2">
      <c r="A401" s="16" t="str">
        <f t="shared" si="18"/>
        <v/>
      </c>
      <c r="D401" s="16" t="str">
        <f t="shared" si="19"/>
        <v/>
      </c>
      <c r="G401" s="16" t="str">
        <f t="shared" si="20"/>
        <v/>
      </c>
    </row>
    <row r="402" spans="1:7" x14ac:dyDescent="0.2">
      <c r="A402" s="16" t="str">
        <f t="shared" si="18"/>
        <v/>
      </c>
      <c r="D402" s="16" t="str">
        <f t="shared" si="19"/>
        <v/>
      </c>
      <c r="G402" s="16" t="str">
        <f t="shared" si="20"/>
        <v/>
      </c>
    </row>
    <row r="403" spans="1:7" x14ac:dyDescent="0.2">
      <c r="A403" s="16" t="str">
        <f t="shared" si="18"/>
        <v/>
      </c>
      <c r="D403" s="16" t="str">
        <f t="shared" si="19"/>
        <v/>
      </c>
      <c r="G403" s="16" t="str">
        <f t="shared" si="20"/>
        <v/>
      </c>
    </row>
    <row r="404" spans="1:7" x14ac:dyDescent="0.2">
      <c r="A404" s="16" t="str">
        <f t="shared" si="18"/>
        <v/>
      </c>
      <c r="D404" s="16" t="str">
        <f t="shared" si="19"/>
        <v/>
      </c>
      <c r="G404" s="16" t="str">
        <f t="shared" si="20"/>
        <v/>
      </c>
    </row>
    <row r="405" spans="1:7" x14ac:dyDescent="0.2">
      <c r="A405" s="16" t="str">
        <f t="shared" si="18"/>
        <v/>
      </c>
      <c r="D405" s="16" t="str">
        <f t="shared" si="19"/>
        <v/>
      </c>
      <c r="G405" s="16" t="str">
        <f t="shared" si="20"/>
        <v/>
      </c>
    </row>
    <row r="406" spans="1:7" x14ac:dyDescent="0.2">
      <c r="A406" s="16" t="str">
        <f t="shared" si="18"/>
        <v/>
      </c>
      <c r="D406" s="16" t="str">
        <f t="shared" si="19"/>
        <v/>
      </c>
      <c r="G406" s="16" t="str">
        <f t="shared" si="20"/>
        <v/>
      </c>
    </row>
    <row r="407" spans="1:7" x14ac:dyDescent="0.2">
      <c r="A407" s="16" t="str">
        <f t="shared" si="18"/>
        <v/>
      </c>
      <c r="D407" s="16" t="str">
        <f t="shared" si="19"/>
        <v/>
      </c>
      <c r="G407" s="16" t="str">
        <f t="shared" si="20"/>
        <v/>
      </c>
    </row>
    <row r="408" spans="1:7" x14ac:dyDescent="0.2">
      <c r="A408" s="16" t="str">
        <f t="shared" si="18"/>
        <v/>
      </c>
      <c r="D408" s="16" t="str">
        <f t="shared" si="19"/>
        <v/>
      </c>
      <c r="G408" s="16" t="str">
        <f t="shared" si="20"/>
        <v/>
      </c>
    </row>
    <row r="409" spans="1:7" x14ac:dyDescent="0.2">
      <c r="A409" s="16" t="str">
        <f t="shared" si="18"/>
        <v/>
      </c>
      <c r="D409" s="16" t="str">
        <f t="shared" si="19"/>
        <v/>
      </c>
      <c r="G409" s="16" t="str">
        <f t="shared" si="20"/>
        <v/>
      </c>
    </row>
    <row r="410" spans="1:7" x14ac:dyDescent="0.2">
      <c r="A410" s="16" t="str">
        <f t="shared" si="18"/>
        <v/>
      </c>
      <c r="D410" s="16" t="str">
        <f t="shared" si="19"/>
        <v/>
      </c>
      <c r="G410" s="16" t="str">
        <f t="shared" si="20"/>
        <v/>
      </c>
    </row>
    <row r="411" spans="1:7" x14ac:dyDescent="0.2">
      <c r="A411" s="16" t="str">
        <f t="shared" si="18"/>
        <v/>
      </c>
      <c r="D411" s="16" t="str">
        <f t="shared" si="19"/>
        <v/>
      </c>
      <c r="G411" s="16" t="str">
        <f t="shared" si="20"/>
        <v/>
      </c>
    </row>
    <row r="412" spans="1:7" x14ac:dyDescent="0.2">
      <c r="A412" s="16" t="str">
        <f t="shared" si="18"/>
        <v/>
      </c>
      <c r="D412" s="16" t="str">
        <f t="shared" si="19"/>
        <v/>
      </c>
      <c r="G412" s="16" t="str">
        <f t="shared" si="20"/>
        <v/>
      </c>
    </row>
    <row r="413" spans="1:7" x14ac:dyDescent="0.2">
      <c r="A413" s="16" t="str">
        <f t="shared" si="18"/>
        <v/>
      </c>
      <c r="D413" s="16" t="str">
        <f t="shared" si="19"/>
        <v/>
      </c>
      <c r="G413" s="16" t="str">
        <f t="shared" si="20"/>
        <v/>
      </c>
    </row>
    <row r="414" spans="1:7" x14ac:dyDescent="0.2">
      <c r="A414" s="16" t="str">
        <f t="shared" si="18"/>
        <v/>
      </c>
      <c r="D414" s="16" t="str">
        <f t="shared" si="19"/>
        <v/>
      </c>
      <c r="G414" s="16" t="str">
        <f t="shared" si="20"/>
        <v/>
      </c>
    </row>
    <row r="415" spans="1:7" x14ac:dyDescent="0.2">
      <c r="A415" s="16" t="str">
        <f t="shared" si="18"/>
        <v/>
      </c>
      <c r="D415" s="16" t="str">
        <f t="shared" si="19"/>
        <v/>
      </c>
      <c r="G415" s="16" t="str">
        <f t="shared" si="20"/>
        <v/>
      </c>
    </row>
    <row r="416" spans="1:7" x14ac:dyDescent="0.2">
      <c r="A416" s="16" t="str">
        <f t="shared" si="18"/>
        <v/>
      </c>
      <c r="D416" s="16" t="str">
        <f t="shared" si="19"/>
        <v/>
      </c>
      <c r="G416" s="16" t="str">
        <f t="shared" si="20"/>
        <v/>
      </c>
    </row>
    <row r="417" spans="1:7" x14ac:dyDescent="0.2">
      <c r="A417" s="16" t="str">
        <f t="shared" si="18"/>
        <v/>
      </c>
      <c r="D417" s="16" t="str">
        <f t="shared" si="19"/>
        <v/>
      </c>
      <c r="G417" s="16" t="str">
        <f t="shared" si="20"/>
        <v/>
      </c>
    </row>
    <row r="418" spans="1:7" x14ac:dyDescent="0.2">
      <c r="A418" s="16" t="str">
        <f t="shared" si="18"/>
        <v/>
      </c>
      <c r="D418" s="16" t="str">
        <f t="shared" si="19"/>
        <v/>
      </c>
      <c r="G418" s="16" t="str">
        <f t="shared" si="20"/>
        <v/>
      </c>
    </row>
    <row r="419" spans="1:7" x14ac:dyDescent="0.2">
      <c r="A419" s="16" t="str">
        <f t="shared" si="18"/>
        <v/>
      </c>
      <c r="D419" s="16" t="str">
        <f t="shared" si="19"/>
        <v/>
      </c>
      <c r="G419" s="16" t="str">
        <f t="shared" si="20"/>
        <v/>
      </c>
    </row>
    <row r="420" spans="1:7" x14ac:dyDescent="0.2">
      <c r="A420" s="16" t="str">
        <f t="shared" si="18"/>
        <v/>
      </c>
      <c r="D420" s="16" t="str">
        <f t="shared" si="19"/>
        <v/>
      </c>
      <c r="G420" s="16" t="str">
        <f t="shared" si="20"/>
        <v/>
      </c>
    </row>
    <row r="421" spans="1:7" x14ac:dyDescent="0.2">
      <c r="A421" s="16" t="str">
        <f t="shared" si="18"/>
        <v/>
      </c>
      <c r="D421" s="16" t="str">
        <f t="shared" si="19"/>
        <v/>
      </c>
      <c r="G421" s="16" t="str">
        <f t="shared" si="20"/>
        <v/>
      </c>
    </row>
    <row r="422" spans="1:7" x14ac:dyDescent="0.2">
      <c r="A422" s="16" t="str">
        <f t="shared" si="18"/>
        <v/>
      </c>
      <c r="D422" s="16" t="str">
        <f t="shared" si="19"/>
        <v/>
      </c>
      <c r="G422" s="16" t="str">
        <f t="shared" si="20"/>
        <v/>
      </c>
    </row>
    <row r="423" spans="1:7" x14ac:dyDescent="0.2">
      <c r="A423" s="16" t="str">
        <f t="shared" si="18"/>
        <v/>
      </c>
      <c r="D423" s="16" t="str">
        <f t="shared" si="19"/>
        <v/>
      </c>
      <c r="G423" s="16" t="str">
        <f t="shared" si="20"/>
        <v/>
      </c>
    </row>
    <row r="424" spans="1:7" x14ac:dyDescent="0.2">
      <c r="A424" s="16" t="str">
        <f t="shared" si="18"/>
        <v/>
      </c>
      <c r="D424" s="16" t="str">
        <f t="shared" si="19"/>
        <v/>
      </c>
      <c r="G424" s="16" t="str">
        <f t="shared" si="20"/>
        <v/>
      </c>
    </row>
    <row r="425" spans="1:7" x14ac:dyDescent="0.2">
      <c r="A425" s="16" t="str">
        <f t="shared" si="18"/>
        <v/>
      </c>
      <c r="D425" s="16" t="str">
        <f t="shared" si="19"/>
        <v/>
      </c>
      <c r="G425" s="16" t="str">
        <f t="shared" si="20"/>
        <v/>
      </c>
    </row>
    <row r="426" spans="1:7" x14ac:dyDescent="0.2">
      <c r="A426" s="16" t="str">
        <f t="shared" si="18"/>
        <v/>
      </c>
      <c r="D426" s="16" t="str">
        <f t="shared" si="19"/>
        <v/>
      </c>
      <c r="G426" s="16" t="str">
        <f t="shared" si="20"/>
        <v/>
      </c>
    </row>
    <row r="427" spans="1:7" x14ac:dyDescent="0.2">
      <c r="A427" s="16" t="str">
        <f t="shared" si="18"/>
        <v/>
      </c>
      <c r="D427" s="16" t="str">
        <f t="shared" si="19"/>
        <v/>
      </c>
      <c r="G427" s="16" t="str">
        <f t="shared" si="20"/>
        <v/>
      </c>
    </row>
    <row r="428" spans="1:7" x14ac:dyDescent="0.2">
      <c r="A428" s="16" t="str">
        <f t="shared" si="18"/>
        <v/>
      </c>
      <c r="D428" s="16" t="str">
        <f t="shared" si="19"/>
        <v/>
      </c>
      <c r="G428" s="16" t="str">
        <f t="shared" si="20"/>
        <v/>
      </c>
    </row>
    <row r="429" spans="1:7" x14ac:dyDescent="0.2">
      <c r="A429" s="16" t="str">
        <f t="shared" si="18"/>
        <v/>
      </c>
      <c r="D429" s="16" t="str">
        <f t="shared" si="19"/>
        <v/>
      </c>
      <c r="G429" s="16" t="str">
        <f t="shared" si="20"/>
        <v/>
      </c>
    </row>
    <row r="430" spans="1:7" x14ac:dyDescent="0.2">
      <c r="A430" s="16" t="str">
        <f t="shared" si="18"/>
        <v/>
      </c>
      <c r="D430" s="16" t="str">
        <f t="shared" si="19"/>
        <v/>
      </c>
      <c r="G430" s="16" t="str">
        <f t="shared" si="20"/>
        <v/>
      </c>
    </row>
    <row r="431" spans="1:7" x14ac:dyDescent="0.2">
      <c r="A431" s="16" t="str">
        <f t="shared" si="18"/>
        <v/>
      </c>
      <c r="D431" s="16" t="str">
        <f t="shared" si="19"/>
        <v/>
      </c>
      <c r="G431" s="16" t="str">
        <f t="shared" si="20"/>
        <v/>
      </c>
    </row>
    <row r="432" spans="1:7" x14ac:dyDescent="0.2">
      <c r="A432" s="16" t="str">
        <f t="shared" si="18"/>
        <v/>
      </c>
      <c r="D432" s="16" t="str">
        <f t="shared" si="19"/>
        <v/>
      </c>
      <c r="G432" s="16" t="str">
        <f t="shared" si="20"/>
        <v/>
      </c>
    </row>
    <row r="433" spans="1:7" x14ac:dyDescent="0.2">
      <c r="A433" s="16" t="str">
        <f t="shared" si="18"/>
        <v/>
      </c>
      <c r="D433" s="16" t="str">
        <f t="shared" si="19"/>
        <v/>
      </c>
      <c r="G433" s="16" t="str">
        <f t="shared" si="20"/>
        <v/>
      </c>
    </row>
    <row r="434" spans="1:7" x14ac:dyDescent="0.2">
      <c r="A434" s="16" t="str">
        <f t="shared" si="18"/>
        <v/>
      </c>
      <c r="D434" s="16" t="str">
        <f t="shared" si="19"/>
        <v/>
      </c>
      <c r="G434" s="16" t="str">
        <f t="shared" si="20"/>
        <v/>
      </c>
    </row>
    <row r="435" spans="1:7" x14ac:dyDescent="0.2">
      <c r="A435" s="16" t="str">
        <f t="shared" si="18"/>
        <v/>
      </c>
      <c r="D435" s="16" t="str">
        <f t="shared" si="19"/>
        <v/>
      </c>
      <c r="G435" s="16" t="str">
        <f t="shared" si="20"/>
        <v/>
      </c>
    </row>
    <row r="436" spans="1:7" x14ac:dyDescent="0.2">
      <c r="A436" s="16" t="str">
        <f t="shared" si="18"/>
        <v/>
      </c>
      <c r="D436" s="16" t="str">
        <f t="shared" si="19"/>
        <v/>
      </c>
      <c r="G436" s="16" t="str">
        <f t="shared" si="20"/>
        <v/>
      </c>
    </row>
    <row r="437" spans="1:7" x14ac:dyDescent="0.2">
      <c r="A437" s="16" t="str">
        <f t="shared" si="18"/>
        <v/>
      </c>
      <c r="D437" s="16" t="str">
        <f t="shared" si="19"/>
        <v/>
      </c>
      <c r="G437" s="16" t="str">
        <f t="shared" si="20"/>
        <v/>
      </c>
    </row>
    <row r="438" spans="1:7" x14ac:dyDescent="0.2">
      <c r="A438" s="16" t="str">
        <f t="shared" si="18"/>
        <v/>
      </c>
      <c r="D438" s="16" t="str">
        <f t="shared" si="19"/>
        <v/>
      </c>
      <c r="G438" s="16" t="str">
        <f t="shared" si="20"/>
        <v/>
      </c>
    </row>
    <row r="439" spans="1:7" x14ac:dyDescent="0.2">
      <c r="A439" s="16" t="str">
        <f t="shared" si="18"/>
        <v/>
      </c>
      <c r="D439" s="16" t="str">
        <f t="shared" si="19"/>
        <v/>
      </c>
      <c r="G439" s="16" t="str">
        <f t="shared" si="20"/>
        <v/>
      </c>
    </row>
    <row r="440" spans="1:7" x14ac:dyDescent="0.2">
      <c r="A440" s="16" t="str">
        <f t="shared" si="18"/>
        <v/>
      </c>
      <c r="D440" s="16" t="str">
        <f t="shared" si="19"/>
        <v/>
      </c>
      <c r="G440" s="16" t="str">
        <f t="shared" si="20"/>
        <v/>
      </c>
    </row>
    <row r="441" spans="1:7" x14ac:dyDescent="0.2">
      <c r="A441" s="16" t="str">
        <f t="shared" si="18"/>
        <v/>
      </c>
      <c r="D441" s="16" t="str">
        <f t="shared" si="19"/>
        <v/>
      </c>
      <c r="G441" s="16" t="str">
        <f t="shared" si="20"/>
        <v/>
      </c>
    </row>
    <row r="442" spans="1:7" x14ac:dyDescent="0.2">
      <c r="A442" s="16" t="str">
        <f t="shared" si="18"/>
        <v/>
      </c>
      <c r="D442" s="16" t="str">
        <f t="shared" si="19"/>
        <v/>
      </c>
      <c r="G442" s="16" t="str">
        <f t="shared" si="20"/>
        <v/>
      </c>
    </row>
    <row r="443" spans="1:7" x14ac:dyDescent="0.2">
      <c r="A443" s="16" t="str">
        <f t="shared" si="18"/>
        <v/>
      </c>
      <c r="D443" s="16" t="str">
        <f t="shared" si="19"/>
        <v/>
      </c>
      <c r="G443" s="16" t="str">
        <f t="shared" si="20"/>
        <v/>
      </c>
    </row>
    <row r="444" spans="1:7" x14ac:dyDescent="0.2">
      <c r="A444" s="16" t="str">
        <f t="shared" si="18"/>
        <v/>
      </c>
      <c r="D444" s="16" t="str">
        <f t="shared" si="19"/>
        <v/>
      </c>
      <c r="G444" s="16" t="str">
        <f t="shared" si="20"/>
        <v/>
      </c>
    </row>
    <row r="445" spans="1:7" x14ac:dyDescent="0.2">
      <c r="A445" s="16" t="str">
        <f t="shared" si="18"/>
        <v/>
      </c>
      <c r="D445" s="16" t="str">
        <f t="shared" si="19"/>
        <v/>
      </c>
      <c r="G445" s="16" t="str">
        <f t="shared" si="20"/>
        <v/>
      </c>
    </row>
    <row r="446" spans="1:7" x14ac:dyDescent="0.2">
      <c r="A446" s="16" t="str">
        <f t="shared" si="18"/>
        <v/>
      </c>
      <c r="D446" s="16" t="str">
        <f t="shared" si="19"/>
        <v/>
      </c>
      <c r="G446" s="16" t="str">
        <f t="shared" si="20"/>
        <v/>
      </c>
    </row>
    <row r="447" spans="1:7" x14ac:dyDescent="0.2">
      <c r="A447" s="16" t="str">
        <f t="shared" si="18"/>
        <v/>
      </c>
      <c r="D447" s="16" t="str">
        <f t="shared" si="19"/>
        <v/>
      </c>
      <c r="G447" s="16" t="str">
        <f t="shared" si="20"/>
        <v/>
      </c>
    </row>
    <row r="448" spans="1:7" x14ac:dyDescent="0.2">
      <c r="A448" s="16" t="str">
        <f t="shared" si="18"/>
        <v/>
      </c>
      <c r="D448" s="16" t="str">
        <f t="shared" si="19"/>
        <v/>
      </c>
      <c r="G448" s="16" t="str">
        <f t="shared" si="20"/>
        <v/>
      </c>
    </row>
    <row r="449" spans="1:7" x14ac:dyDescent="0.2">
      <c r="A449" s="16" t="str">
        <f t="shared" si="18"/>
        <v/>
      </c>
      <c r="D449" s="16" t="str">
        <f t="shared" si="19"/>
        <v/>
      </c>
      <c r="G449" s="16" t="str">
        <f t="shared" si="20"/>
        <v/>
      </c>
    </row>
    <row r="450" spans="1:7" x14ac:dyDescent="0.2">
      <c r="A450" s="16" t="str">
        <f t="shared" si="18"/>
        <v/>
      </c>
      <c r="D450" s="16" t="str">
        <f t="shared" si="19"/>
        <v/>
      </c>
      <c r="G450" s="16" t="str">
        <f t="shared" si="20"/>
        <v/>
      </c>
    </row>
    <row r="451" spans="1:7" x14ac:dyDescent="0.2">
      <c r="A451" s="16" t="str">
        <f t="shared" ref="A451:A514" si="21">IF(AND(B450&lt;&gt;"",B451=""),"Add vacaction---&gt;","")</f>
        <v/>
      </c>
      <c r="D451" s="16" t="str">
        <f t="shared" ref="D451:D514" si="22">IF(AND(E450&lt;&gt;"",E451=""),"Add Employee---&gt;","")</f>
        <v/>
      </c>
      <c r="G451" s="16" t="str">
        <f t="shared" si="20"/>
        <v/>
      </c>
    </row>
    <row r="452" spans="1:7" x14ac:dyDescent="0.2">
      <c r="A452" s="16" t="str">
        <f t="shared" si="21"/>
        <v/>
      </c>
      <c r="D452" s="16" t="str">
        <f t="shared" si="22"/>
        <v/>
      </c>
      <c r="G452" s="16" t="str">
        <f t="shared" ref="G452:G515" si="23">IF(AND(H451&lt;&gt;"",H452=""),"Add Department---&gt;","")</f>
        <v/>
      </c>
    </row>
    <row r="453" spans="1:7" x14ac:dyDescent="0.2">
      <c r="A453" s="16" t="str">
        <f t="shared" si="21"/>
        <v/>
      </c>
      <c r="D453" s="16" t="str">
        <f t="shared" si="22"/>
        <v/>
      </c>
      <c r="G453" s="16" t="str">
        <f t="shared" si="23"/>
        <v/>
      </c>
    </row>
    <row r="454" spans="1:7" x14ac:dyDescent="0.2">
      <c r="A454" s="16" t="str">
        <f t="shared" si="21"/>
        <v/>
      </c>
      <c r="D454" s="16" t="str">
        <f t="shared" si="22"/>
        <v/>
      </c>
      <c r="G454" s="16" t="str">
        <f t="shared" si="23"/>
        <v/>
      </c>
    </row>
    <row r="455" spans="1:7" x14ac:dyDescent="0.2">
      <c r="A455" s="16" t="str">
        <f t="shared" si="21"/>
        <v/>
      </c>
      <c r="D455" s="16" t="str">
        <f t="shared" si="22"/>
        <v/>
      </c>
      <c r="G455" s="16" t="str">
        <f t="shared" si="23"/>
        <v/>
      </c>
    </row>
    <row r="456" spans="1:7" x14ac:dyDescent="0.2">
      <c r="A456" s="16" t="str">
        <f t="shared" si="21"/>
        <v/>
      </c>
      <c r="D456" s="16" t="str">
        <f t="shared" si="22"/>
        <v/>
      </c>
      <c r="G456" s="16" t="str">
        <f t="shared" si="23"/>
        <v/>
      </c>
    </row>
    <row r="457" spans="1:7" x14ac:dyDescent="0.2">
      <c r="A457" s="16" t="str">
        <f t="shared" si="21"/>
        <v/>
      </c>
      <c r="D457" s="16" t="str">
        <f t="shared" si="22"/>
        <v/>
      </c>
      <c r="G457" s="16" t="str">
        <f t="shared" si="23"/>
        <v/>
      </c>
    </row>
    <row r="458" spans="1:7" x14ac:dyDescent="0.2">
      <c r="A458" s="16" t="str">
        <f t="shared" si="21"/>
        <v/>
      </c>
      <c r="D458" s="16" t="str">
        <f t="shared" si="22"/>
        <v/>
      </c>
      <c r="G458" s="16" t="str">
        <f t="shared" si="23"/>
        <v/>
      </c>
    </row>
    <row r="459" spans="1:7" x14ac:dyDescent="0.2">
      <c r="A459" s="16" t="str">
        <f t="shared" si="21"/>
        <v/>
      </c>
      <c r="D459" s="16" t="str">
        <f t="shared" si="22"/>
        <v/>
      </c>
      <c r="G459" s="16" t="str">
        <f t="shared" si="23"/>
        <v/>
      </c>
    </row>
    <row r="460" spans="1:7" x14ac:dyDescent="0.2">
      <c r="A460" s="16" t="str">
        <f t="shared" si="21"/>
        <v/>
      </c>
      <c r="D460" s="16" t="str">
        <f t="shared" si="22"/>
        <v/>
      </c>
      <c r="G460" s="16" t="str">
        <f t="shared" si="23"/>
        <v/>
      </c>
    </row>
    <row r="461" spans="1:7" x14ac:dyDescent="0.2">
      <c r="A461" s="16" t="str">
        <f t="shared" si="21"/>
        <v/>
      </c>
      <c r="D461" s="16" t="str">
        <f t="shared" si="22"/>
        <v/>
      </c>
      <c r="G461" s="16" t="str">
        <f t="shared" si="23"/>
        <v/>
      </c>
    </row>
    <row r="462" spans="1:7" x14ac:dyDescent="0.2">
      <c r="A462" s="16" t="str">
        <f t="shared" si="21"/>
        <v/>
      </c>
      <c r="D462" s="16" t="str">
        <f t="shared" si="22"/>
        <v/>
      </c>
      <c r="G462" s="16" t="str">
        <f t="shared" si="23"/>
        <v/>
      </c>
    </row>
    <row r="463" spans="1:7" x14ac:dyDescent="0.2">
      <c r="A463" s="16" t="str">
        <f t="shared" si="21"/>
        <v/>
      </c>
      <c r="D463" s="16" t="str">
        <f t="shared" si="22"/>
        <v/>
      </c>
      <c r="G463" s="16" t="str">
        <f t="shared" si="23"/>
        <v/>
      </c>
    </row>
    <row r="464" spans="1:7" x14ac:dyDescent="0.2">
      <c r="A464" s="16" t="str">
        <f t="shared" si="21"/>
        <v/>
      </c>
      <c r="D464" s="16" t="str">
        <f t="shared" si="22"/>
        <v/>
      </c>
      <c r="G464" s="16" t="str">
        <f t="shared" si="23"/>
        <v/>
      </c>
    </row>
    <row r="465" spans="1:7" x14ac:dyDescent="0.2">
      <c r="A465" s="16" t="str">
        <f t="shared" si="21"/>
        <v/>
      </c>
      <c r="D465" s="16" t="str">
        <f t="shared" si="22"/>
        <v/>
      </c>
      <c r="G465" s="16" t="str">
        <f t="shared" si="23"/>
        <v/>
      </c>
    </row>
    <row r="466" spans="1:7" x14ac:dyDescent="0.2">
      <c r="A466" s="16" t="str">
        <f t="shared" si="21"/>
        <v/>
      </c>
      <c r="D466" s="16" t="str">
        <f t="shared" si="22"/>
        <v/>
      </c>
      <c r="G466" s="16" t="str">
        <f t="shared" si="23"/>
        <v/>
      </c>
    </row>
    <row r="467" spans="1:7" x14ac:dyDescent="0.2">
      <c r="A467" s="16" t="str">
        <f t="shared" si="21"/>
        <v/>
      </c>
      <c r="D467" s="16" t="str">
        <f t="shared" si="22"/>
        <v/>
      </c>
      <c r="G467" s="16" t="str">
        <f t="shared" si="23"/>
        <v/>
      </c>
    </row>
    <row r="468" spans="1:7" x14ac:dyDescent="0.2">
      <c r="A468" s="16" t="str">
        <f t="shared" si="21"/>
        <v/>
      </c>
      <c r="D468" s="16" t="str">
        <f t="shared" si="22"/>
        <v/>
      </c>
      <c r="G468" s="16" t="str">
        <f t="shared" si="23"/>
        <v/>
      </c>
    </row>
    <row r="469" spans="1:7" x14ac:dyDescent="0.2">
      <c r="A469" s="16" t="str">
        <f t="shared" si="21"/>
        <v/>
      </c>
      <c r="D469" s="16" t="str">
        <f t="shared" si="22"/>
        <v/>
      </c>
      <c r="G469" s="16" t="str">
        <f t="shared" si="23"/>
        <v/>
      </c>
    </row>
    <row r="470" spans="1:7" x14ac:dyDescent="0.2">
      <c r="A470" s="16" t="str">
        <f t="shared" si="21"/>
        <v/>
      </c>
      <c r="D470" s="16" t="str">
        <f t="shared" si="22"/>
        <v/>
      </c>
      <c r="G470" s="16" t="str">
        <f t="shared" si="23"/>
        <v/>
      </c>
    </row>
    <row r="471" spans="1:7" x14ac:dyDescent="0.2">
      <c r="A471" s="16" t="str">
        <f t="shared" si="21"/>
        <v/>
      </c>
      <c r="D471" s="16" t="str">
        <f t="shared" si="22"/>
        <v/>
      </c>
      <c r="G471" s="16" t="str">
        <f t="shared" si="23"/>
        <v/>
      </c>
    </row>
    <row r="472" spans="1:7" x14ac:dyDescent="0.2">
      <c r="A472" s="16" t="str">
        <f t="shared" si="21"/>
        <v/>
      </c>
      <c r="D472" s="16" t="str">
        <f t="shared" si="22"/>
        <v/>
      </c>
      <c r="G472" s="16" t="str">
        <f t="shared" si="23"/>
        <v/>
      </c>
    </row>
    <row r="473" spans="1:7" x14ac:dyDescent="0.2">
      <c r="A473" s="16" t="str">
        <f t="shared" si="21"/>
        <v/>
      </c>
      <c r="D473" s="16" t="str">
        <f t="shared" si="22"/>
        <v/>
      </c>
      <c r="G473" s="16" t="str">
        <f t="shared" si="23"/>
        <v/>
      </c>
    </row>
    <row r="474" spans="1:7" x14ac:dyDescent="0.2">
      <c r="A474" s="16" t="str">
        <f t="shared" si="21"/>
        <v/>
      </c>
      <c r="D474" s="16" t="str">
        <f t="shared" si="22"/>
        <v/>
      </c>
      <c r="G474" s="16" t="str">
        <f t="shared" si="23"/>
        <v/>
      </c>
    </row>
    <row r="475" spans="1:7" x14ac:dyDescent="0.2">
      <c r="A475" s="16" t="str">
        <f t="shared" si="21"/>
        <v/>
      </c>
      <c r="D475" s="16" t="str">
        <f t="shared" si="22"/>
        <v/>
      </c>
      <c r="G475" s="16" t="str">
        <f t="shared" si="23"/>
        <v/>
      </c>
    </row>
    <row r="476" spans="1:7" x14ac:dyDescent="0.2">
      <c r="A476" s="16" t="str">
        <f t="shared" si="21"/>
        <v/>
      </c>
      <c r="D476" s="16" t="str">
        <f t="shared" si="22"/>
        <v/>
      </c>
      <c r="G476" s="16" t="str">
        <f t="shared" si="23"/>
        <v/>
      </c>
    </row>
    <row r="477" spans="1:7" x14ac:dyDescent="0.2">
      <c r="A477" s="16" t="str">
        <f t="shared" si="21"/>
        <v/>
      </c>
      <c r="D477" s="16" t="str">
        <f t="shared" si="22"/>
        <v/>
      </c>
      <c r="G477" s="16" t="str">
        <f t="shared" si="23"/>
        <v/>
      </c>
    </row>
    <row r="478" spans="1:7" x14ac:dyDescent="0.2">
      <c r="A478" s="16" t="str">
        <f t="shared" si="21"/>
        <v/>
      </c>
      <c r="D478" s="16" t="str">
        <f t="shared" si="22"/>
        <v/>
      </c>
      <c r="G478" s="16" t="str">
        <f t="shared" si="23"/>
        <v/>
      </c>
    </row>
    <row r="479" spans="1:7" x14ac:dyDescent="0.2">
      <c r="A479" s="16" t="str">
        <f t="shared" si="21"/>
        <v/>
      </c>
      <c r="D479" s="16" t="str">
        <f t="shared" si="22"/>
        <v/>
      </c>
      <c r="G479" s="16" t="str">
        <f t="shared" si="23"/>
        <v/>
      </c>
    </row>
    <row r="480" spans="1:7" x14ac:dyDescent="0.2">
      <c r="A480" s="16" t="str">
        <f t="shared" si="21"/>
        <v/>
      </c>
      <c r="D480" s="16" t="str">
        <f t="shared" si="22"/>
        <v/>
      </c>
      <c r="G480" s="16" t="str">
        <f t="shared" si="23"/>
        <v/>
      </c>
    </row>
    <row r="481" spans="1:7" x14ac:dyDescent="0.2">
      <c r="A481" s="16" t="str">
        <f t="shared" si="21"/>
        <v/>
      </c>
      <c r="D481" s="16" t="str">
        <f t="shared" si="22"/>
        <v/>
      </c>
      <c r="G481" s="16" t="str">
        <f t="shared" si="23"/>
        <v/>
      </c>
    </row>
    <row r="482" spans="1:7" x14ac:dyDescent="0.2">
      <c r="A482" s="16" t="str">
        <f t="shared" si="21"/>
        <v/>
      </c>
      <c r="D482" s="16" t="str">
        <f t="shared" si="22"/>
        <v/>
      </c>
      <c r="G482" s="16" t="str">
        <f t="shared" si="23"/>
        <v/>
      </c>
    </row>
    <row r="483" spans="1:7" x14ac:dyDescent="0.2">
      <c r="A483" s="16" t="str">
        <f t="shared" si="21"/>
        <v/>
      </c>
      <c r="D483" s="16" t="str">
        <f t="shared" si="22"/>
        <v/>
      </c>
      <c r="G483" s="16" t="str">
        <f t="shared" si="23"/>
        <v/>
      </c>
    </row>
    <row r="484" spans="1:7" x14ac:dyDescent="0.2">
      <c r="A484" s="16" t="str">
        <f t="shared" si="21"/>
        <v/>
      </c>
      <c r="D484" s="16" t="str">
        <f t="shared" si="22"/>
        <v/>
      </c>
      <c r="G484" s="16" t="str">
        <f t="shared" si="23"/>
        <v/>
      </c>
    </row>
    <row r="485" spans="1:7" x14ac:dyDescent="0.2">
      <c r="A485" s="16" t="str">
        <f t="shared" si="21"/>
        <v/>
      </c>
      <c r="D485" s="16" t="str">
        <f t="shared" si="22"/>
        <v/>
      </c>
      <c r="G485" s="16" t="str">
        <f t="shared" si="23"/>
        <v/>
      </c>
    </row>
    <row r="486" spans="1:7" x14ac:dyDescent="0.2">
      <c r="A486" s="16" t="str">
        <f t="shared" si="21"/>
        <v/>
      </c>
      <c r="D486" s="16" t="str">
        <f t="shared" si="22"/>
        <v/>
      </c>
      <c r="G486" s="16" t="str">
        <f t="shared" si="23"/>
        <v/>
      </c>
    </row>
    <row r="487" spans="1:7" x14ac:dyDescent="0.2">
      <c r="A487" s="16" t="str">
        <f t="shared" si="21"/>
        <v/>
      </c>
      <c r="D487" s="16" t="str">
        <f t="shared" si="22"/>
        <v/>
      </c>
      <c r="G487" s="16" t="str">
        <f t="shared" si="23"/>
        <v/>
      </c>
    </row>
    <row r="488" spans="1:7" x14ac:dyDescent="0.2">
      <c r="A488" s="16" t="str">
        <f t="shared" si="21"/>
        <v/>
      </c>
      <c r="D488" s="16" t="str">
        <f t="shared" si="22"/>
        <v/>
      </c>
      <c r="G488" s="16" t="str">
        <f t="shared" si="23"/>
        <v/>
      </c>
    </row>
    <row r="489" spans="1:7" x14ac:dyDescent="0.2">
      <c r="A489" s="16" t="str">
        <f t="shared" si="21"/>
        <v/>
      </c>
      <c r="D489" s="16" t="str">
        <f t="shared" si="22"/>
        <v/>
      </c>
      <c r="G489" s="16" t="str">
        <f t="shared" si="23"/>
        <v/>
      </c>
    </row>
    <row r="490" spans="1:7" x14ac:dyDescent="0.2">
      <c r="A490" s="16" t="str">
        <f t="shared" si="21"/>
        <v/>
      </c>
      <c r="D490" s="16" t="str">
        <f t="shared" si="22"/>
        <v/>
      </c>
      <c r="G490" s="16" t="str">
        <f t="shared" si="23"/>
        <v/>
      </c>
    </row>
    <row r="491" spans="1:7" x14ac:dyDescent="0.2">
      <c r="A491" s="16" t="str">
        <f t="shared" si="21"/>
        <v/>
      </c>
      <c r="D491" s="16" t="str">
        <f t="shared" si="22"/>
        <v/>
      </c>
      <c r="G491" s="16" t="str">
        <f t="shared" si="23"/>
        <v/>
      </c>
    </row>
    <row r="492" spans="1:7" x14ac:dyDescent="0.2">
      <c r="A492" s="16" t="str">
        <f t="shared" si="21"/>
        <v/>
      </c>
      <c r="D492" s="16" t="str">
        <f t="shared" si="22"/>
        <v/>
      </c>
      <c r="G492" s="16" t="str">
        <f t="shared" si="23"/>
        <v/>
      </c>
    </row>
    <row r="493" spans="1:7" x14ac:dyDescent="0.2">
      <c r="A493" s="16" t="str">
        <f t="shared" si="21"/>
        <v/>
      </c>
      <c r="D493" s="16" t="str">
        <f t="shared" si="22"/>
        <v/>
      </c>
      <c r="G493" s="16" t="str">
        <f t="shared" si="23"/>
        <v/>
      </c>
    </row>
    <row r="494" spans="1:7" x14ac:dyDescent="0.2">
      <c r="A494" s="16" t="str">
        <f t="shared" si="21"/>
        <v/>
      </c>
      <c r="D494" s="16" t="str">
        <f t="shared" si="22"/>
        <v/>
      </c>
      <c r="G494" s="16" t="str">
        <f t="shared" si="23"/>
        <v/>
      </c>
    </row>
    <row r="495" spans="1:7" x14ac:dyDescent="0.2">
      <c r="A495" s="16" t="str">
        <f t="shared" si="21"/>
        <v/>
      </c>
      <c r="D495" s="16" t="str">
        <f t="shared" si="22"/>
        <v/>
      </c>
      <c r="G495" s="16" t="str">
        <f t="shared" si="23"/>
        <v/>
      </c>
    </row>
    <row r="496" spans="1:7" x14ac:dyDescent="0.2">
      <c r="A496" s="16" t="str">
        <f t="shared" si="21"/>
        <v/>
      </c>
      <c r="D496" s="16" t="str">
        <f t="shared" si="22"/>
        <v/>
      </c>
      <c r="G496" s="16" t="str">
        <f t="shared" si="23"/>
        <v/>
      </c>
    </row>
    <row r="497" spans="1:7" x14ac:dyDescent="0.2">
      <c r="A497" s="16" t="str">
        <f t="shared" si="21"/>
        <v/>
      </c>
      <c r="D497" s="16" t="str">
        <f t="shared" si="22"/>
        <v/>
      </c>
      <c r="G497" s="16" t="str">
        <f t="shared" si="23"/>
        <v/>
      </c>
    </row>
    <row r="498" spans="1:7" x14ac:dyDescent="0.2">
      <c r="A498" s="16" t="str">
        <f t="shared" si="21"/>
        <v/>
      </c>
      <c r="D498" s="16" t="str">
        <f t="shared" si="22"/>
        <v/>
      </c>
      <c r="G498" s="16" t="str">
        <f t="shared" si="23"/>
        <v/>
      </c>
    </row>
    <row r="499" spans="1:7" x14ac:dyDescent="0.2">
      <c r="A499" s="16" t="str">
        <f t="shared" si="21"/>
        <v/>
      </c>
      <c r="D499" s="16" t="str">
        <f t="shared" si="22"/>
        <v/>
      </c>
      <c r="G499" s="16" t="str">
        <f t="shared" si="23"/>
        <v/>
      </c>
    </row>
    <row r="500" spans="1:7" x14ac:dyDescent="0.2">
      <c r="A500" s="16" t="str">
        <f t="shared" si="21"/>
        <v/>
      </c>
      <c r="D500" s="16" t="str">
        <f t="shared" si="22"/>
        <v/>
      </c>
      <c r="G500" s="16" t="str">
        <f t="shared" si="23"/>
        <v/>
      </c>
    </row>
    <row r="501" spans="1:7" x14ac:dyDescent="0.2">
      <c r="A501" s="16" t="str">
        <f t="shared" si="21"/>
        <v/>
      </c>
      <c r="D501" s="16" t="str">
        <f t="shared" si="22"/>
        <v/>
      </c>
      <c r="G501" s="16" t="str">
        <f t="shared" si="23"/>
        <v/>
      </c>
    </row>
    <row r="502" spans="1:7" x14ac:dyDescent="0.2">
      <c r="A502" s="16" t="str">
        <f t="shared" si="21"/>
        <v/>
      </c>
      <c r="D502" s="16" t="str">
        <f t="shared" si="22"/>
        <v/>
      </c>
      <c r="G502" s="16" t="str">
        <f t="shared" si="23"/>
        <v/>
      </c>
    </row>
    <row r="503" spans="1:7" x14ac:dyDescent="0.2">
      <c r="A503" s="16" t="str">
        <f t="shared" si="21"/>
        <v/>
      </c>
      <c r="D503" s="16" t="str">
        <f t="shared" si="22"/>
        <v/>
      </c>
      <c r="G503" s="16" t="str">
        <f t="shared" si="23"/>
        <v/>
      </c>
    </row>
    <row r="504" spans="1:7" x14ac:dyDescent="0.2">
      <c r="A504" s="16" t="str">
        <f t="shared" si="21"/>
        <v/>
      </c>
      <c r="D504" s="16" t="str">
        <f t="shared" si="22"/>
        <v/>
      </c>
      <c r="G504" s="16" t="str">
        <f t="shared" si="23"/>
        <v/>
      </c>
    </row>
    <row r="505" spans="1:7" x14ac:dyDescent="0.2">
      <c r="A505" s="16" t="str">
        <f t="shared" si="21"/>
        <v/>
      </c>
      <c r="D505" s="16" t="str">
        <f t="shared" si="22"/>
        <v/>
      </c>
      <c r="G505" s="16" t="str">
        <f t="shared" si="23"/>
        <v/>
      </c>
    </row>
    <row r="506" spans="1:7" x14ac:dyDescent="0.2">
      <c r="A506" s="16" t="str">
        <f t="shared" si="21"/>
        <v/>
      </c>
      <c r="D506" s="16" t="str">
        <f t="shared" si="22"/>
        <v/>
      </c>
      <c r="G506" s="16" t="str">
        <f t="shared" si="23"/>
        <v/>
      </c>
    </row>
    <row r="507" spans="1:7" x14ac:dyDescent="0.2">
      <c r="A507" s="16" t="str">
        <f t="shared" si="21"/>
        <v/>
      </c>
      <c r="D507" s="16" t="str">
        <f t="shared" si="22"/>
        <v/>
      </c>
      <c r="G507" s="16" t="str">
        <f t="shared" si="23"/>
        <v/>
      </c>
    </row>
    <row r="508" spans="1:7" x14ac:dyDescent="0.2">
      <c r="A508" s="16" t="str">
        <f t="shared" si="21"/>
        <v/>
      </c>
      <c r="D508" s="16" t="str">
        <f t="shared" si="22"/>
        <v/>
      </c>
      <c r="G508" s="16" t="str">
        <f t="shared" si="23"/>
        <v/>
      </c>
    </row>
    <row r="509" spans="1:7" x14ac:dyDescent="0.2">
      <c r="A509" s="16" t="str">
        <f t="shared" si="21"/>
        <v/>
      </c>
      <c r="D509" s="16" t="str">
        <f t="shared" si="22"/>
        <v/>
      </c>
      <c r="G509" s="16" t="str">
        <f t="shared" si="23"/>
        <v/>
      </c>
    </row>
    <row r="510" spans="1:7" x14ac:dyDescent="0.2">
      <c r="A510" s="16" t="str">
        <f t="shared" si="21"/>
        <v/>
      </c>
      <c r="D510" s="16" t="str">
        <f t="shared" si="22"/>
        <v/>
      </c>
      <c r="G510" s="16" t="str">
        <f t="shared" si="23"/>
        <v/>
      </c>
    </row>
    <row r="511" spans="1:7" x14ac:dyDescent="0.2">
      <c r="A511" s="16" t="str">
        <f t="shared" si="21"/>
        <v/>
      </c>
      <c r="D511" s="16" t="str">
        <f t="shared" si="22"/>
        <v/>
      </c>
      <c r="G511" s="16" t="str">
        <f t="shared" si="23"/>
        <v/>
      </c>
    </row>
    <row r="512" spans="1:7" x14ac:dyDescent="0.2">
      <c r="A512" s="16" t="str">
        <f t="shared" si="21"/>
        <v/>
      </c>
      <c r="D512" s="16" t="str">
        <f t="shared" si="22"/>
        <v/>
      </c>
      <c r="G512" s="16" t="str">
        <f t="shared" si="23"/>
        <v/>
      </c>
    </row>
    <row r="513" spans="1:7" x14ac:dyDescent="0.2">
      <c r="A513" s="16" t="str">
        <f t="shared" si="21"/>
        <v/>
      </c>
      <c r="D513" s="16" t="str">
        <f t="shared" si="22"/>
        <v/>
      </c>
      <c r="G513" s="16" t="str">
        <f t="shared" si="23"/>
        <v/>
      </c>
    </row>
    <row r="514" spans="1:7" x14ac:dyDescent="0.2">
      <c r="A514" s="16" t="str">
        <f t="shared" si="21"/>
        <v/>
      </c>
      <c r="D514" s="16" t="str">
        <f t="shared" si="22"/>
        <v/>
      </c>
      <c r="G514" s="16" t="str">
        <f t="shared" si="23"/>
        <v/>
      </c>
    </row>
    <row r="515" spans="1:7" x14ac:dyDescent="0.2">
      <c r="A515" s="16" t="str">
        <f t="shared" ref="A515:A578" si="24">IF(AND(B514&lt;&gt;"",B515=""),"Add vacaction---&gt;","")</f>
        <v/>
      </c>
      <c r="D515" s="16" t="str">
        <f t="shared" ref="D515:D578" si="25">IF(AND(E514&lt;&gt;"",E515=""),"Add Employee---&gt;","")</f>
        <v/>
      </c>
      <c r="G515" s="16" t="str">
        <f t="shared" si="23"/>
        <v/>
      </c>
    </row>
    <row r="516" spans="1:7" x14ac:dyDescent="0.2">
      <c r="A516" s="16" t="str">
        <f t="shared" si="24"/>
        <v/>
      </c>
      <c r="D516" s="16" t="str">
        <f t="shared" si="25"/>
        <v/>
      </c>
      <c r="G516" s="16" t="str">
        <f t="shared" ref="G516:G579" si="26">IF(AND(H515&lt;&gt;"",H516=""),"Add Department---&gt;","")</f>
        <v/>
      </c>
    </row>
    <row r="517" spans="1:7" x14ac:dyDescent="0.2">
      <c r="A517" s="16" t="str">
        <f t="shared" si="24"/>
        <v/>
      </c>
      <c r="D517" s="16" t="str">
        <f t="shared" si="25"/>
        <v/>
      </c>
      <c r="G517" s="16" t="str">
        <f t="shared" si="26"/>
        <v/>
      </c>
    </row>
    <row r="518" spans="1:7" x14ac:dyDescent="0.2">
      <c r="A518" s="16" t="str">
        <f t="shared" si="24"/>
        <v/>
      </c>
      <c r="D518" s="16" t="str">
        <f t="shared" si="25"/>
        <v/>
      </c>
      <c r="G518" s="16" t="str">
        <f t="shared" si="26"/>
        <v/>
      </c>
    </row>
    <row r="519" spans="1:7" x14ac:dyDescent="0.2">
      <c r="A519" s="16" t="str">
        <f t="shared" si="24"/>
        <v/>
      </c>
      <c r="D519" s="16" t="str">
        <f t="shared" si="25"/>
        <v/>
      </c>
      <c r="G519" s="16" t="str">
        <f t="shared" si="26"/>
        <v/>
      </c>
    </row>
    <row r="520" spans="1:7" x14ac:dyDescent="0.2">
      <c r="A520" s="16" t="str">
        <f t="shared" si="24"/>
        <v/>
      </c>
      <c r="D520" s="16" t="str">
        <f t="shared" si="25"/>
        <v/>
      </c>
      <c r="G520" s="16" t="str">
        <f t="shared" si="26"/>
        <v/>
      </c>
    </row>
    <row r="521" spans="1:7" x14ac:dyDescent="0.2">
      <c r="A521" s="16" t="str">
        <f t="shared" si="24"/>
        <v/>
      </c>
      <c r="D521" s="16" t="str">
        <f t="shared" si="25"/>
        <v/>
      </c>
      <c r="G521" s="16" t="str">
        <f t="shared" si="26"/>
        <v/>
      </c>
    </row>
    <row r="522" spans="1:7" x14ac:dyDescent="0.2">
      <c r="A522" s="16" t="str">
        <f t="shared" si="24"/>
        <v/>
      </c>
      <c r="D522" s="16" t="str">
        <f t="shared" si="25"/>
        <v/>
      </c>
      <c r="G522" s="16" t="str">
        <f t="shared" si="26"/>
        <v/>
      </c>
    </row>
    <row r="523" spans="1:7" x14ac:dyDescent="0.2">
      <c r="A523" s="16" t="str">
        <f t="shared" si="24"/>
        <v/>
      </c>
      <c r="D523" s="16" t="str">
        <f t="shared" si="25"/>
        <v/>
      </c>
      <c r="G523" s="16" t="str">
        <f t="shared" si="26"/>
        <v/>
      </c>
    </row>
    <row r="524" spans="1:7" x14ac:dyDescent="0.2">
      <c r="A524" s="16" t="str">
        <f t="shared" si="24"/>
        <v/>
      </c>
      <c r="D524" s="16" t="str">
        <f t="shared" si="25"/>
        <v/>
      </c>
      <c r="G524" s="16" t="str">
        <f t="shared" si="26"/>
        <v/>
      </c>
    </row>
    <row r="525" spans="1:7" x14ac:dyDescent="0.2">
      <c r="A525" s="16" t="str">
        <f t="shared" si="24"/>
        <v/>
      </c>
      <c r="D525" s="16" t="str">
        <f t="shared" si="25"/>
        <v/>
      </c>
      <c r="G525" s="16" t="str">
        <f t="shared" si="26"/>
        <v/>
      </c>
    </row>
    <row r="526" spans="1:7" x14ac:dyDescent="0.2">
      <c r="A526" s="16" t="str">
        <f t="shared" si="24"/>
        <v/>
      </c>
      <c r="D526" s="16" t="str">
        <f t="shared" si="25"/>
        <v/>
      </c>
      <c r="G526" s="16" t="str">
        <f t="shared" si="26"/>
        <v/>
      </c>
    </row>
    <row r="527" spans="1:7" x14ac:dyDescent="0.2">
      <c r="A527" s="16" t="str">
        <f t="shared" si="24"/>
        <v/>
      </c>
      <c r="D527" s="16" t="str">
        <f t="shared" si="25"/>
        <v/>
      </c>
      <c r="G527" s="16" t="str">
        <f t="shared" si="26"/>
        <v/>
      </c>
    </row>
    <row r="528" spans="1:7" x14ac:dyDescent="0.2">
      <c r="A528" s="16" t="str">
        <f t="shared" si="24"/>
        <v/>
      </c>
      <c r="D528" s="16" t="str">
        <f t="shared" si="25"/>
        <v/>
      </c>
      <c r="G528" s="16" t="str">
        <f t="shared" si="26"/>
        <v/>
      </c>
    </row>
    <row r="529" spans="1:7" x14ac:dyDescent="0.2">
      <c r="A529" s="16" t="str">
        <f t="shared" si="24"/>
        <v/>
      </c>
      <c r="D529" s="16" t="str">
        <f t="shared" si="25"/>
        <v/>
      </c>
      <c r="G529" s="16" t="str">
        <f t="shared" si="26"/>
        <v/>
      </c>
    </row>
    <row r="530" spans="1:7" x14ac:dyDescent="0.2">
      <c r="A530" s="16" t="str">
        <f t="shared" si="24"/>
        <v/>
      </c>
      <c r="D530" s="16" t="str">
        <f t="shared" si="25"/>
        <v/>
      </c>
      <c r="G530" s="16" t="str">
        <f t="shared" si="26"/>
        <v/>
      </c>
    </row>
    <row r="531" spans="1:7" x14ac:dyDescent="0.2">
      <c r="A531" s="16" t="str">
        <f t="shared" si="24"/>
        <v/>
      </c>
      <c r="D531" s="16" t="str">
        <f t="shared" si="25"/>
        <v/>
      </c>
      <c r="G531" s="16" t="str">
        <f t="shared" si="26"/>
        <v/>
      </c>
    </row>
    <row r="532" spans="1:7" x14ac:dyDescent="0.2">
      <c r="A532" s="16" t="str">
        <f t="shared" si="24"/>
        <v/>
      </c>
      <c r="D532" s="16" t="str">
        <f t="shared" si="25"/>
        <v/>
      </c>
      <c r="G532" s="16" t="str">
        <f t="shared" si="26"/>
        <v/>
      </c>
    </row>
    <row r="533" spans="1:7" x14ac:dyDescent="0.2">
      <c r="A533" s="16" t="str">
        <f t="shared" si="24"/>
        <v/>
      </c>
      <c r="D533" s="16" t="str">
        <f t="shared" si="25"/>
        <v/>
      </c>
      <c r="G533" s="16" t="str">
        <f t="shared" si="26"/>
        <v/>
      </c>
    </row>
    <row r="534" spans="1:7" x14ac:dyDescent="0.2">
      <c r="A534" s="16" t="str">
        <f t="shared" si="24"/>
        <v/>
      </c>
      <c r="D534" s="16" t="str">
        <f t="shared" si="25"/>
        <v/>
      </c>
      <c r="G534" s="16" t="str">
        <f t="shared" si="26"/>
        <v/>
      </c>
    </row>
    <row r="535" spans="1:7" x14ac:dyDescent="0.2">
      <c r="A535" s="16" t="str">
        <f t="shared" si="24"/>
        <v/>
      </c>
      <c r="D535" s="16" t="str">
        <f t="shared" si="25"/>
        <v/>
      </c>
      <c r="G535" s="16" t="str">
        <f t="shared" si="26"/>
        <v/>
      </c>
    </row>
    <row r="536" spans="1:7" x14ac:dyDescent="0.2">
      <c r="A536" s="16" t="str">
        <f t="shared" si="24"/>
        <v/>
      </c>
      <c r="D536" s="16" t="str">
        <f t="shared" si="25"/>
        <v/>
      </c>
      <c r="G536" s="16" t="str">
        <f t="shared" si="26"/>
        <v/>
      </c>
    </row>
    <row r="537" spans="1:7" x14ac:dyDescent="0.2">
      <c r="A537" s="16" t="str">
        <f t="shared" si="24"/>
        <v/>
      </c>
      <c r="D537" s="16" t="str">
        <f t="shared" si="25"/>
        <v/>
      </c>
      <c r="G537" s="16" t="str">
        <f t="shared" si="26"/>
        <v/>
      </c>
    </row>
    <row r="538" spans="1:7" x14ac:dyDescent="0.2">
      <c r="A538" s="16" t="str">
        <f t="shared" si="24"/>
        <v/>
      </c>
      <c r="D538" s="16" t="str">
        <f t="shared" si="25"/>
        <v/>
      </c>
      <c r="G538" s="16" t="str">
        <f t="shared" si="26"/>
        <v/>
      </c>
    </row>
    <row r="539" spans="1:7" x14ac:dyDescent="0.2">
      <c r="A539" s="16" t="str">
        <f t="shared" si="24"/>
        <v/>
      </c>
      <c r="D539" s="16" t="str">
        <f t="shared" si="25"/>
        <v/>
      </c>
      <c r="G539" s="16" t="str">
        <f t="shared" si="26"/>
        <v/>
      </c>
    </row>
    <row r="540" spans="1:7" x14ac:dyDescent="0.2">
      <c r="A540" s="16" t="str">
        <f t="shared" si="24"/>
        <v/>
      </c>
      <c r="D540" s="16" t="str">
        <f t="shared" si="25"/>
        <v/>
      </c>
      <c r="G540" s="16" t="str">
        <f t="shared" si="26"/>
        <v/>
      </c>
    </row>
    <row r="541" spans="1:7" x14ac:dyDescent="0.2">
      <c r="A541" s="16" t="str">
        <f t="shared" si="24"/>
        <v/>
      </c>
      <c r="D541" s="16" t="str">
        <f t="shared" si="25"/>
        <v/>
      </c>
      <c r="G541" s="16" t="str">
        <f t="shared" si="26"/>
        <v/>
      </c>
    </row>
    <row r="542" spans="1:7" x14ac:dyDescent="0.2">
      <c r="A542" s="16" t="str">
        <f t="shared" si="24"/>
        <v/>
      </c>
      <c r="D542" s="16" t="str">
        <f t="shared" si="25"/>
        <v/>
      </c>
      <c r="G542" s="16" t="str">
        <f t="shared" si="26"/>
        <v/>
      </c>
    </row>
    <row r="543" spans="1:7" x14ac:dyDescent="0.2">
      <c r="A543" s="16" t="str">
        <f t="shared" si="24"/>
        <v/>
      </c>
      <c r="D543" s="16" t="str">
        <f t="shared" si="25"/>
        <v/>
      </c>
      <c r="G543" s="16" t="str">
        <f t="shared" si="26"/>
        <v/>
      </c>
    </row>
    <row r="544" spans="1:7" x14ac:dyDescent="0.2">
      <c r="A544" s="16" t="str">
        <f t="shared" si="24"/>
        <v/>
      </c>
      <c r="D544" s="16" t="str">
        <f t="shared" si="25"/>
        <v/>
      </c>
      <c r="G544" s="16" t="str">
        <f t="shared" si="26"/>
        <v/>
      </c>
    </row>
    <row r="545" spans="1:7" x14ac:dyDescent="0.2">
      <c r="A545" s="16" t="str">
        <f t="shared" si="24"/>
        <v/>
      </c>
      <c r="D545" s="16" t="str">
        <f t="shared" si="25"/>
        <v/>
      </c>
      <c r="G545" s="16" t="str">
        <f t="shared" si="26"/>
        <v/>
      </c>
    </row>
    <row r="546" spans="1:7" x14ac:dyDescent="0.2">
      <c r="A546" s="16" t="str">
        <f t="shared" si="24"/>
        <v/>
      </c>
      <c r="D546" s="16" t="str">
        <f t="shared" si="25"/>
        <v/>
      </c>
      <c r="G546" s="16" t="str">
        <f t="shared" si="26"/>
        <v/>
      </c>
    </row>
    <row r="547" spans="1:7" x14ac:dyDescent="0.2">
      <c r="A547" s="16" t="str">
        <f t="shared" si="24"/>
        <v/>
      </c>
      <c r="D547" s="16" t="str">
        <f t="shared" si="25"/>
        <v/>
      </c>
      <c r="G547" s="16" t="str">
        <f t="shared" si="26"/>
        <v/>
      </c>
    </row>
    <row r="548" spans="1:7" x14ac:dyDescent="0.2">
      <c r="A548" s="16" t="str">
        <f t="shared" si="24"/>
        <v/>
      </c>
      <c r="D548" s="16" t="str">
        <f t="shared" si="25"/>
        <v/>
      </c>
      <c r="G548" s="16" t="str">
        <f t="shared" si="26"/>
        <v/>
      </c>
    </row>
    <row r="549" spans="1:7" x14ac:dyDescent="0.2">
      <c r="A549" s="16" t="str">
        <f t="shared" si="24"/>
        <v/>
      </c>
      <c r="D549" s="16" t="str">
        <f t="shared" si="25"/>
        <v/>
      </c>
      <c r="G549" s="16" t="str">
        <f t="shared" si="26"/>
        <v/>
      </c>
    </row>
    <row r="550" spans="1:7" x14ac:dyDescent="0.2">
      <c r="A550" s="16" t="str">
        <f t="shared" si="24"/>
        <v/>
      </c>
      <c r="D550" s="16" t="str">
        <f t="shared" si="25"/>
        <v/>
      </c>
      <c r="G550" s="16" t="str">
        <f t="shared" si="26"/>
        <v/>
      </c>
    </row>
    <row r="551" spans="1:7" x14ac:dyDescent="0.2">
      <c r="A551" s="16" t="str">
        <f t="shared" si="24"/>
        <v/>
      </c>
      <c r="D551" s="16" t="str">
        <f t="shared" si="25"/>
        <v/>
      </c>
      <c r="G551" s="16" t="str">
        <f t="shared" si="26"/>
        <v/>
      </c>
    </row>
    <row r="552" spans="1:7" x14ac:dyDescent="0.2">
      <c r="A552" s="16" t="str">
        <f t="shared" si="24"/>
        <v/>
      </c>
      <c r="D552" s="16" t="str">
        <f t="shared" si="25"/>
        <v/>
      </c>
      <c r="G552" s="16" t="str">
        <f t="shared" si="26"/>
        <v/>
      </c>
    </row>
    <row r="553" spans="1:7" x14ac:dyDescent="0.2">
      <c r="A553" s="16" t="str">
        <f t="shared" si="24"/>
        <v/>
      </c>
      <c r="D553" s="16" t="str">
        <f t="shared" si="25"/>
        <v/>
      </c>
      <c r="G553" s="16" t="str">
        <f t="shared" si="26"/>
        <v/>
      </c>
    </row>
    <row r="554" spans="1:7" x14ac:dyDescent="0.2">
      <c r="A554" s="16" t="str">
        <f t="shared" si="24"/>
        <v/>
      </c>
      <c r="D554" s="16" t="str">
        <f t="shared" si="25"/>
        <v/>
      </c>
      <c r="G554" s="16" t="str">
        <f t="shared" si="26"/>
        <v/>
      </c>
    </row>
    <row r="555" spans="1:7" x14ac:dyDescent="0.2">
      <c r="A555" s="16" t="str">
        <f t="shared" si="24"/>
        <v/>
      </c>
      <c r="D555" s="16" t="str">
        <f t="shared" si="25"/>
        <v/>
      </c>
      <c r="G555" s="16" t="str">
        <f t="shared" si="26"/>
        <v/>
      </c>
    </row>
    <row r="556" spans="1:7" x14ac:dyDescent="0.2">
      <c r="A556" s="16" t="str">
        <f t="shared" si="24"/>
        <v/>
      </c>
      <c r="D556" s="16" t="str">
        <f t="shared" si="25"/>
        <v/>
      </c>
      <c r="G556" s="16" t="str">
        <f t="shared" si="26"/>
        <v/>
      </c>
    </row>
    <row r="557" spans="1:7" x14ac:dyDescent="0.2">
      <c r="A557" s="16" t="str">
        <f t="shared" si="24"/>
        <v/>
      </c>
      <c r="D557" s="16" t="str">
        <f t="shared" si="25"/>
        <v/>
      </c>
      <c r="G557" s="16" t="str">
        <f t="shared" si="26"/>
        <v/>
      </c>
    </row>
    <row r="558" spans="1:7" x14ac:dyDescent="0.2">
      <c r="A558" s="16" t="str">
        <f t="shared" si="24"/>
        <v/>
      </c>
      <c r="D558" s="16" t="str">
        <f t="shared" si="25"/>
        <v/>
      </c>
      <c r="G558" s="16" t="str">
        <f t="shared" si="26"/>
        <v/>
      </c>
    </row>
    <row r="559" spans="1:7" x14ac:dyDescent="0.2">
      <c r="A559" s="16" t="str">
        <f t="shared" si="24"/>
        <v/>
      </c>
      <c r="D559" s="16" t="str">
        <f t="shared" si="25"/>
        <v/>
      </c>
      <c r="G559" s="16" t="str">
        <f t="shared" si="26"/>
        <v/>
      </c>
    </row>
    <row r="560" spans="1:7" x14ac:dyDescent="0.2">
      <c r="A560" s="16" t="str">
        <f t="shared" si="24"/>
        <v/>
      </c>
      <c r="D560" s="16" t="str">
        <f t="shared" si="25"/>
        <v/>
      </c>
      <c r="G560" s="16" t="str">
        <f t="shared" si="26"/>
        <v/>
      </c>
    </row>
    <row r="561" spans="1:7" x14ac:dyDescent="0.2">
      <c r="A561" s="16" t="str">
        <f t="shared" si="24"/>
        <v/>
      </c>
      <c r="D561" s="16" t="str">
        <f t="shared" si="25"/>
        <v/>
      </c>
      <c r="G561" s="16" t="str">
        <f t="shared" si="26"/>
        <v/>
      </c>
    </row>
    <row r="562" spans="1:7" x14ac:dyDescent="0.2">
      <c r="A562" s="16" t="str">
        <f t="shared" si="24"/>
        <v/>
      </c>
      <c r="D562" s="16" t="str">
        <f t="shared" si="25"/>
        <v/>
      </c>
      <c r="G562" s="16" t="str">
        <f t="shared" si="26"/>
        <v/>
      </c>
    </row>
    <row r="563" spans="1:7" x14ac:dyDescent="0.2">
      <c r="A563" s="16" t="str">
        <f t="shared" si="24"/>
        <v/>
      </c>
      <c r="D563" s="16" t="str">
        <f t="shared" si="25"/>
        <v/>
      </c>
      <c r="G563" s="16" t="str">
        <f t="shared" si="26"/>
        <v/>
      </c>
    </row>
    <row r="564" spans="1:7" x14ac:dyDescent="0.2">
      <c r="A564" s="16" t="str">
        <f t="shared" si="24"/>
        <v/>
      </c>
      <c r="D564" s="16" t="str">
        <f t="shared" si="25"/>
        <v/>
      </c>
      <c r="G564" s="16" t="str">
        <f t="shared" si="26"/>
        <v/>
      </c>
    </row>
    <row r="565" spans="1:7" x14ac:dyDescent="0.2">
      <c r="A565" s="16" t="str">
        <f t="shared" si="24"/>
        <v/>
      </c>
      <c r="D565" s="16" t="str">
        <f t="shared" si="25"/>
        <v/>
      </c>
      <c r="G565" s="16" t="str">
        <f t="shared" si="26"/>
        <v/>
      </c>
    </row>
    <row r="566" spans="1:7" x14ac:dyDescent="0.2">
      <c r="A566" s="16" t="str">
        <f t="shared" si="24"/>
        <v/>
      </c>
      <c r="D566" s="16" t="str">
        <f t="shared" si="25"/>
        <v/>
      </c>
      <c r="G566" s="16" t="str">
        <f t="shared" si="26"/>
        <v/>
      </c>
    </row>
    <row r="567" spans="1:7" x14ac:dyDescent="0.2">
      <c r="A567" s="16" t="str">
        <f t="shared" si="24"/>
        <v/>
      </c>
      <c r="D567" s="16" t="str">
        <f t="shared" si="25"/>
        <v/>
      </c>
      <c r="G567" s="16" t="str">
        <f t="shared" si="26"/>
        <v/>
      </c>
    </row>
    <row r="568" spans="1:7" x14ac:dyDescent="0.2">
      <c r="A568" s="16" t="str">
        <f t="shared" si="24"/>
        <v/>
      </c>
      <c r="D568" s="16" t="str">
        <f t="shared" si="25"/>
        <v/>
      </c>
      <c r="G568" s="16" t="str">
        <f t="shared" si="26"/>
        <v/>
      </c>
    </row>
    <row r="569" spans="1:7" x14ac:dyDescent="0.2">
      <c r="A569" s="16" t="str">
        <f t="shared" si="24"/>
        <v/>
      </c>
      <c r="D569" s="16" t="str">
        <f t="shared" si="25"/>
        <v/>
      </c>
      <c r="G569" s="16" t="str">
        <f t="shared" si="26"/>
        <v/>
      </c>
    </row>
    <row r="570" spans="1:7" x14ac:dyDescent="0.2">
      <c r="A570" s="16" t="str">
        <f t="shared" si="24"/>
        <v/>
      </c>
      <c r="D570" s="16" t="str">
        <f t="shared" si="25"/>
        <v/>
      </c>
      <c r="G570" s="16" t="str">
        <f t="shared" si="26"/>
        <v/>
      </c>
    </row>
    <row r="571" spans="1:7" x14ac:dyDescent="0.2">
      <c r="A571" s="16" t="str">
        <f t="shared" si="24"/>
        <v/>
      </c>
      <c r="D571" s="16" t="str">
        <f t="shared" si="25"/>
        <v/>
      </c>
      <c r="G571" s="16" t="str">
        <f t="shared" si="26"/>
        <v/>
      </c>
    </row>
    <row r="572" spans="1:7" x14ac:dyDescent="0.2">
      <c r="A572" s="16" t="str">
        <f t="shared" si="24"/>
        <v/>
      </c>
      <c r="D572" s="16" t="str">
        <f t="shared" si="25"/>
        <v/>
      </c>
      <c r="G572" s="16" t="str">
        <f t="shared" si="26"/>
        <v/>
      </c>
    </row>
    <row r="573" spans="1:7" x14ac:dyDescent="0.2">
      <c r="A573" s="16" t="str">
        <f t="shared" si="24"/>
        <v/>
      </c>
      <c r="D573" s="16" t="str">
        <f t="shared" si="25"/>
        <v/>
      </c>
      <c r="G573" s="16" t="str">
        <f t="shared" si="26"/>
        <v/>
      </c>
    </row>
    <row r="574" spans="1:7" x14ac:dyDescent="0.2">
      <c r="A574" s="16" t="str">
        <f t="shared" si="24"/>
        <v/>
      </c>
      <c r="D574" s="16" t="str">
        <f t="shared" si="25"/>
        <v/>
      </c>
      <c r="G574" s="16" t="str">
        <f t="shared" si="26"/>
        <v/>
      </c>
    </row>
    <row r="575" spans="1:7" x14ac:dyDescent="0.2">
      <c r="A575" s="16" t="str">
        <f t="shared" si="24"/>
        <v/>
      </c>
      <c r="D575" s="16" t="str">
        <f t="shared" si="25"/>
        <v/>
      </c>
      <c r="G575" s="16" t="str">
        <f t="shared" si="26"/>
        <v/>
      </c>
    </row>
    <row r="576" spans="1:7" x14ac:dyDescent="0.2">
      <c r="A576" s="16" t="str">
        <f t="shared" si="24"/>
        <v/>
      </c>
      <c r="D576" s="16" t="str">
        <f t="shared" si="25"/>
        <v/>
      </c>
      <c r="G576" s="16" t="str">
        <f t="shared" si="26"/>
        <v/>
      </c>
    </row>
    <row r="577" spans="1:7" x14ac:dyDescent="0.2">
      <c r="A577" s="16" t="str">
        <f t="shared" si="24"/>
        <v/>
      </c>
      <c r="D577" s="16" t="str">
        <f t="shared" si="25"/>
        <v/>
      </c>
      <c r="G577" s="16" t="str">
        <f t="shared" si="26"/>
        <v/>
      </c>
    </row>
    <row r="578" spans="1:7" x14ac:dyDescent="0.2">
      <c r="A578" s="16" t="str">
        <f t="shared" si="24"/>
        <v/>
      </c>
      <c r="D578" s="16" t="str">
        <f t="shared" si="25"/>
        <v/>
      </c>
      <c r="G578" s="16" t="str">
        <f t="shared" si="26"/>
        <v/>
      </c>
    </row>
    <row r="579" spans="1:7" x14ac:dyDescent="0.2">
      <c r="A579" s="16" t="str">
        <f t="shared" ref="A579:A642" si="27">IF(AND(B578&lt;&gt;"",B579=""),"Add vacaction---&gt;","")</f>
        <v/>
      </c>
      <c r="D579" s="16" t="str">
        <f t="shared" ref="D579:D642" si="28">IF(AND(E578&lt;&gt;"",E579=""),"Add Employee---&gt;","")</f>
        <v/>
      </c>
      <c r="G579" s="16" t="str">
        <f t="shared" si="26"/>
        <v/>
      </c>
    </row>
    <row r="580" spans="1:7" x14ac:dyDescent="0.2">
      <c r="A580" s="16" t="str">
        <f t="shared" si="27"/>
        <v/>
      </c>
      <c r="D580" s="16" t="str">
        <f t="shared" si="28"/>
        <v/>
      </c>
      <c r="G580" s="16" t="str">
        <f t="shared" ref="G580:G643" si="29">IF(AND(H579&lt;&gt;"",H580=""),"Add Department---&gt;","")</f>
        <v/>
      </c>
    </row>
    <row r="581" spans="1:7" x14ac:dyDescent="0.2">
      <c r="A581" s="16" t="str">
        <f t="shared" si="27"/>
        <v/>
      </c>
      <c r="D581" s="16" t="str">
        <f t="shared" si="28"/>
        <v/>
      </c>
      <c r="G581" s="16" t="str">
        <f t="shared" si="29"/>
        <v/>
      </c>
    </row>
    <row r="582" spans="1:7" x14ac:dyDescent="0.2">
      <c r="A582" s="16" t="str">
        <f t="shared" si="27"/>
        <v/>
      </c>
      <c r="D582" s="16" t="str">
        <f t="shared" si="28"/>
        <v/>
      </c>
      <c r="G582" s="16" t="str">
        <f t="shared" si="29"/>
        <v/>
      </c>
    </row>
    <row r="583" spans="1:7" x14ac:dyDescent="0.2">
      <c r="A583" s="16" t="str">
        <f t="shared" si="27"/>
        <v/>
      </c>
      <c r="D583" s="16" t="str">
        <f t="shared" si="28"/>
        <v/>
      </c>
      <c r="G583" s="16" t="str">
        <f t="shared" si="29"/>
        <v/>
      </c>
    </row>
    <row r="584" spans="1:7" x14ac:dyDescent="0.2">
      <c r="A584" s="16" t="str">
        <f t="shared" si="27"/>
        <v/>
      </c>
      <c r="D584" s="16" t="str">
        <f t="shared" si="28"/>
        <v/>
      </c>
      <c r="G584" s="16" t="str">
        <f t="shared" si="29"/>
        <v/>
      </c>
    </row>
    <row r="585" spans="1:7" x14ac:dyDescent="0.2">
      <c r="A585" s="16" t="str">
        <f t="shared" si="27"/>
        <v/>
      </c>
      <c r="D585" s="16" t="str">
        <f t="shared" si="28"/>
        <v/>
      </c>
      <c r="G585" s="16" t="str">
        <f t="shared" si="29"/>
        <v/>
      </c>
    </row>
    <row r="586" spans="1:7" x14ac:dyDescent="0.2">
      <c r="A586" s="16" t="str">
        <f t="shared" si="27"/>
        <v/>
      </c>
      <c r="D586" s="16" t="str">
        <f t="shared" si="28"/>
        <v/>
      </c>
      <c r="G586" s="16" t="str">
        <f t="shared" si="29"/>
        <v/>
      </c>
    </row>
    <row r="587" spans="1:7" x14ac:dyDescent="0.2">
      <c r="A587" s="16" t="str">
        <f t="shared" si="27"/>
        <v/>
      </c>
      <c r="D587" s="16" t="str">
        <f t="shared" si="28"/>
        <v/>
      </c>
      <c r="G587" s="16" t="str">
        <f t="shared" si="29"/>
        <v/>
      </c>
    </row>
    <row r="588" spans="1:7" x14ac:dyDescent="0.2">
      <c r="A588" s="16" t="str">
        <f t="shared" si="27"/>
        <v/>
      </c>
      <c r="D588" s="16" t="str">
        <f t="shared" si="28"/>
        <v/>
      </c>
      <c r="G588" s="16" t="str">
        <f t="shared" si="29"/>
        <v/>
      </c>
    </row>
    <row r="589" spans="1:7" x14ac:dyDescent="0.2">
      <c r="A589" s="16" t="str">
        <f t="shared" si="27"/>
        <v/>
      </c>
      <c r="D589" s="16" t="str">
        <f t="shared" si="28"/>
        <v/>
      </c>
      <c r="G589" s="16" t="str">
        <f t="shared" si="29"/>
        <v/>
      </c>
    </row>
    <row r="590" spans="1:7" x14ac:dyDescent="0.2">
      <c r="A590" s="16" t="str">
        <f t="shared" si="27"/>
        <v/>
      </c>
      <c r="D590" s="16" t="str">
        <f t="shared" si="28"/>
        <v/>
      </c>
      <c r="G590" s="16" t="str">
        <f t="shared" si="29"/>
        <v/>
      </c>
    </row>
    <row r="591" spans="1:7" x14ac:dyDescent="0.2">
      <c r="A591" s="16" t="str">
        <f t="shared" si="27"/>
        <v/>
      </c>
      <c r="D591" s="16" t="str">
        <f t="shared" si="28"/>
        <v/>
      </c>
      <c r="G591" s="16" t="str">
        <f t="shared" si="29"/>
        <v/>
      </c>
    </row>
    <row r="592" spans="1:7" x14ac:dyDescent="0.2">
      <c r="A592" s="16" t="str">
        <f t="shared" si="27"/>
        <v/>
      </c>
      <c r="D592" s="16" t="str">
        <f t="shared" si="28"/>
        <v/>
      </c>
      <c r="G592" s="16" t="str">
        <f t="shared" si="29"/>
        <v/>
      </c>
    </row>
    <row r="593" spans="1:7" x14ac:dyDescent="0.2">
      <c r="A593" s="16" t="str">
        <f t="shared" si="27"/>
        <v/>
      </c>
      <c r="D593" s="16" t="str">
        <f t="shared" si="28"/>
        <v/>
      </c>
      <c r="G593" s="16" t="str">
        <f t="shared" si="29"/>
        <v/>
      </c>
    </row>
    <row r="594" spans="1:7" x14ac:dyDescent="0.2">
      <c r="A594" s="16" t="str">
        <f t="shared" si="27"/>
        <v/>
      </c>
      <c r="D594" s="16" t="str">
        <f t="shared" si="28"/>
        <v/>
      </c>
      <c r="G594" s="16" t="str">
        <f t="shared" si="29"/>
        <v/>
      </c>
    </row>
    <row r="595" spans="1:7" x14ac:dyDescent="0.2">
      <c r="A595" s="16" t="str">
        <f t="shared" si="27"/>
        <v/>
      </c>
      <c r="D595" s="16" t="str">
        <f t="shared" si="28"/>
        <v/>
      </c>
      <c r="G595" s="16" t="str">
        <f t="shared" si="29"/>
        <v/>
      </c>
    </row>
    <row r="596" spans="1:7" x14ac:dyDescent="0.2">
      <c r="A596" s="16" t="str">
        <f t="shared" si="27"/>
        <v/>
      </c>
      <c r="D596" s="16" t="str">
        <f t="shared" si="28"/>
        <v/>
      </c>
      <c r="G596" s="16" t="str">
        <f t="shared" si="29"/>
        <v/>
      </c>
    </row>
    <row r="597" spans="1:7" x14ac:dyDescent="0.2">
      <c r="A597" s="16" t="str">
        <f t="shared" si="27"/>
        <v/>
      </c>
      <c r="D597" s="16" t="str">
        <f t="shared" si="28"/>
        <v/>
      </c>
      <c r="G597" s="16" t="str">
        <f t="shared" si="29"/>
        <v/>
      </c>
    </row>
    <row r="598" spans="1:7" x14ac:dyDescent="0.2">
      <c r="A598" s="16" t="str">
        <f t="shared" si="27"/>
        <v/>
      </c>
      <c r="D598" s="16" t="str">
        <f t="shared" si="28"/>
        <v/>
      </c>
      <c r="G598" s="16" t="str">
        <f t="shared" si="29"/>
        <v/>
      </c>
    </row>
    <row r="599" spans="1:7" x14ac:dyDescent="0.2">
      <c r="A599" s="16" t="str">
        <f t="shared" si="27"/>
        <v/>
      </c>
      <c r="D599" s="16" t="str">
        <f t="shared" si="28"/>
        <v/>
      </c>
      <c r="G599" s="16" t="str">
        <f t="shared" si="29"/>
        <v/>
      </c>
    </row>
    <row r="600" spans="1:7" x14ac:dyDescent="0.2">
      <c r="A600" s="16" t="str">
        <f t="shared" si="27"/>
        <v/>
      </c>
      <c r="D600" s="16" t="str">
        <f t="shared" si="28"/>
        <v/>
      </c>
      <c r="G600" s="16" t="str">
        <f t="shared" si="29"/>
        <v/>
      </c>
    </row>
    <row r="601" spans="1:7" x14ac:dyDescent="0.2">
      <c r="A601" s="16" t="str">
        <f t="shared" si="27"/>
        <v/>
      </c>
      <c r="D601" s="16" t="str">
        <f t="shared" si="28"/>
        <v/>
      </c>
      <c r="G601" s="16" t="str">
        <f t="shared" si="29"/>
        <v/>
      </c>
    </row>
    <row r="602" spans="1:7" x14ac:dyDescent="0.2">
      <c r="A602" s="16" t="str">
        <f t="shared" si="27"/>
        <v/>
      </c>
      <c r="D602" s="16" t="str">
        <f t="shared" si="28"/>
        <v/>
      </c>
      <c r="G602" s="16" t="str">
        <f t="shared" si="29"/>
        <v/>
      </c>
    </row>
    <row r="603" spans="1:7" x14ac:dyDescent="0.2">
      <c r="A603" s="16" t="str">
        <f t="shared" si="27"/>
        <v/>
      </c>
      <c r="D603" s="16" t="str">
        <f t="shared" si="28"/>
        <v/>
      </c>
      <c r="G603" s="16" t="str">
        <f t="shared" si="29"/>
        <v/>
      </c>
    </row>
    <row r="604" spans="1:7" x14ac:dyDescent="0.2">
      <c r="A604" s="16" t="str">
        <f t="shared" si="27"/>
        <v/>
      </c>
      <c r="D604" s="16" t="str">
        <f t="shared" si="28"/>
        <v/>
      </c>
      <c r="G604" s="16" t="str">
        <f t="shared" si="29"/>
        <v/>
      </c>
    </row>
    <row r="605" spans="1:7" x14ac:dyDescent="0.2">
      <c r="A605" s="16" t="str">
        <f t="shared" si="27"/>
        <v/>
      </c>
      <c r="D605" s="16" t="str">
        <f t="shared" si="28"/>
        <v/>
      </c>
      <c r="G605" s="16" t="str">
        <f t="shared" si="29"/>
        <v/>
      </c>
    </row>
    <row r="606" spans="1:7" x14ac:dyDescent="0.2">
      <c r="A606" s="16" t="str">
        <f t="shared" si="27"/>
        <v/>
      </c>
      <c r="D606" s="16" t="str">
        <f t="shared" si="28"/>
        <v/>
      </c>
      <c r="G606" s="16" t="str">
        <f t="shared" si="29"/>
        <v/>
      </c>
    </row>
    <row r="607" spans="1:7" x14ac:dyDescent="0.2">
      <c r="A607" s="16" t="str">
        <f t="shared" si="27"/>
        <v/>
      </c>
      <c r="D607" s="16" t="str">
        <f t="shared" si="28"/>
        <v/>
      </c>
      <c r="G607" s="16" t="str">
        <f t="shared" si="29"/>
        <v/>
      </c>
    </row>
    <row r="608" spans="1:7" x14ac:dyDescent="0.2">
      <c r="A608" s="16" t="str">
        <f t="shared" si="27"/>
        <v/>
      </c>
      <c r="D608" s="16" t="str">
        <f t="shared" si="28"/>
        <v/>
      </c>
      <c r="G608" s="16" t="str">
        <f t="shared" si="29"/>
        <v/>
      </c>
    </row>
    <row r="609" spans="1:7" x14ac:dyDescent="0.2">
      <c r="A609" s="16" t="str">
        <f t="shared" si="27"/>
        <v/>
      </c>
      <c r="D609" s="16" t="str">
        <f t="shared" si="28"/>
        <v/>
      </c>
      <c r="G609" s="16" t="str">
        <f t="shared" si="29"/>
        <v/>
      </c>
    </row>
    <row r="610" spans="1:7" x14ac:dyDescent="0.2">
      <c r="A610" s="16" t="str">
        <f t="shared" si="27"/>
        <v/>
      </c>
      <c r="D610" s="16" t="str">
        <f t="shared" si="28"/>
        <v/>
      </c>
      <c r="G610" s="16" t="str">
        <f t="shared" si="29"/>
        <v/>
      </c>
    </row>
    <row r="611" spans="1:7" x14ac:dyDescent="0.2">
      <c r="A611" s="16" t="str">
        <f t="shared" si="27"/>
        <v/>
      </c>
      <c r="D611" s="16" t="str">
        <f t="shared" si="28"/>
        <v/>
      </c>
      <c r="G611" s="16" t="str">
        <f t="shared" si="29"/>
        <v/>
      </c>
    </row>
    <row r="612" spans="1:7" x14ac:dyDescent="0.2">
      <c r="A612" s="16" t="str">
        <f t="shared" si="27"/>
        <v/>
      </c>
      <c r="D612" s="16" t="str">
        <f t="shared" si="28"/>
        <v/>
      </c>
      <c r="G612" s="16" t="str">
        <f t="shared" si="29"/>
        <v/>
      </c>
    </row>
    <row r="613" spans="1:7" x14ac:dyDescent="0.2">
      <c r="A613" s="16" t="str">
        <f t="shared" si="27"/>
        <v/>
      </c>
      <c r="D613" s="16" t="str">
        <f t="shared" si="28"/>
        <v/>
      </c>
      <c r="G613" s="16" t="str">
        <f t="shared" si="29"/>
        <v/>
      </c>
    </row>
    <row r="614" spans="1:7" x14ac:dyDescent="0.2">
      <c r="A614" s="16" t="str">
        <f t="shared" si="27"/>
        <v/>
      </c>
      <c r="D614" s="16" t="str">
        <f t="shared" si="28"/>
        <v/>
      </c>
      <c r="G614" s="16" t="str">
        <f t="shared" si="29"/>
        <v/>
      </c>
    </row>
    <row r="615" spans="1:7" x14ac:dyDescent="0.2">
      <c r="A615" s="16" t="str">
        <f t="shared" si="27"/>
        <v/>
      </c>
      <c r="D615" s="16" t="str">
        <f t="shared" si="28"/>
        <v/>
      </c>
      <c r="G615" s="16" t="str">
        <f t="shared" si="29"/>
        <v/>
      </c>
    </row>
    <row r="616" spans="1:7" x14ac:dyDescent="0.2">
      <c r="A616" s="16" t="str">
        <f t="shared" si="27"/>
        <v/>
      </c>
      <c r="D616" s="16" t="str">
        <f t="shared" si="28"/>
        <v/>
      </c>
      <c r="G616" s="16" t="str">
        <f t="shared" si="29"/>
        <v/>
      </c>
    </row>
    <row r="617" spans="1:7" x14ac:dyDescent="0.2">
      <c r="A617" s="16" t="str">
        <f t="shared" si="27"/>
        <v/>
      </c>
      <c r="D617" s="16" t="str">
        <f t="shared" si="28"/>
        <v/>
      </c>
      <c r="G617" s="16" t="str">
        <f t="shared" si="29"/>
        <v/>
      </c>
    </row>
    <row r="618" spans="1:7" x14ac:dyDescent="0.2">
      <c r="A618" s="16" t="str">
        <f t="shared" si="27"/>
        <v/>
      </c>
      <c r="D618" s="16" t="str">
        <f t="shared" si="28"/>
        <v/>
      </c>
      <c r="G618" s="16" t="str">
        <f t="shared" si="29"/>
        <v/>
      </c>
    </row>
    <row r="619" spans="1:7" x14ac:dyDescent="0.2">
      <c r="A619" s="16" t="str">
        <f t="shared" si="27"/>
        <v/>
      </c>
      <c r="D619" s="16" t="str">
        <f t="shared" si="28"/>
        <v/>
      </c>
      <c r="G619" s="16" t="str">
        <f t="shared" si="29"/>
        <v/>
      </c>
    </row>
    <row r="620" spans="1:7" x14ac:dyDescent="0.2">
      <c r="A620" s="16" t="str">
        <f t="shared" si="27"/>
        <v/>
      </c>
      <c r="D620" s="16" t="str">
        <f t="shared" si="28"/>
        <v/>
      </c>
      <c r="G620" s="16" t="str">
        <f t="shared" si="29"/>
        <v/>
      </c>
    </row>
    <row r="621" spans="1:7" x14ac:dyDescent="0.2">
      <c r="A621" s="16" t="str">
        <f t="shared" si="27"/>
        <v/>
      </c>
      <c r="D621" s="16" t="str">
        <f t="shared" si="28"/>
        <v/>
      </c>
      <c r="G621" s="16" t="str">
        <f t="shared" si="29"/>
        <v/>
      </c>
    </row>
    <row r="622" spans="1:7" x14ac:dyDescent="0.2">
      <c r="A622" s="16" t="str">
        <f t="shared" si="27"/>
        <v/>
      </c>
      <c r="D622" s="16" t="str">
        <f t="shared" si="28"/>
        <v/>
      </c>
      <c r="G622" s="16" t="str">
        <f t="shared" si="29"/>
        <v/>
      </c>
    </row>
    <row r="623" spans="1:7" x14ac:dyDescent="0.2">
      <c r="A623" s="16" t="str">
        <f t="shared" si="27"/>
        <v/>
      </c>
      <c r="D623" s="16" t="str">
        <f t="shared" si="28"/>
        <v/>
      </c>
      <c r="G623" s="16" t="str">
        <f t="shared" si="29"/>
        <v/>
      </c>
    </row>
    <row r="624" spans="1:7" x14ac:dyDescent="0.2">
      <c r="A624" s="16" t="str">
        <f t="shared" si="27"/>
        <v/>
      </c>
      <c r="D624" s="16" t="str">
        <f t="shared" si="28"/>
        <v/>
      </c>
      <c r="G624" s="16" t="str">
        <f t="shared" si="29"/>
        <v/>
      </c>
    </row>
    <row r="625" spans="1:7" x14ac:dyDescent="0.2">
      <c r="A625" s="16" t="str">
        <f t="shared" si="27"/>
        <v/>
      </c>
      <c r="D625" s="16" t="str">
        <f t="shared" si="28"/>
        <v/>
      </c>
      <c r="G625" s="16" t="str">
        <f t="shared" si="29"/>
        <v/>
      </c>
    </row>
    <row r="626" spans="1:7" x14ac:dyDescent="0.2">
      <c r="A626" s="16" t="str">
        <f t="shared" si="27"/>
        <v/>
      </c>
      <c r="D626" s="16" t="str">
        <f t="shared" si="28"/>
        <v/>
      </c>
      <c r="G626" s="16" t="str">
        <f t="shared" si="29"/>
        <v/>
      </c>
    </row>
    <row r="627" spans="1:7" x14ac:dyDescent="0.2">
      <c r="A627" s="16" t="str">
        <f t="shared" si="27"/>
        <v/>
      </c>
      <c r="D627" s="16" t="str">
        <f t="shared" si="28"/>
        <v/>
      </c>
      <c r="G627" s="16" t="str">
        <f t="shared" si="29"/>
        <v/>
      </c>
    </row>
    <row r="628" spans="1:7" x14ac:dyDescent="0.2">
      <c r="A628" s="16" t="str">
        <f t="shared" si="27"/>
        <v/>
      </c>
      <c r="D628" s="16" t="str">
        <f t="shared" si="28"/>
        <v/>
      </c>
      <c r="G628" s="16" t="str">
        <f t="shared" si="29"/>
        <v/>
      </c>
    </row>
    <row r="629" spans="1:7" x14ac:dyDescent="0.2">
      <c r="A629" s="16" t="str">
        <f t="shared" si="27"/>
        <v/>
      </c>
      <c r="D629" s="16" t="str">
        <f t="shared" si="28"/>
        <v/>
      </c>
      <c r="G629" s="16" t="str">
        <f t="shared" si="29"/>
        <v/>
      </c>
    </row>
    <row r="630" spans="1:7" x14ac:dyDescent="0.2">
      <c r="A630" s="16" t="str">
        <f t="shared" si="27"/>
        <v/>
      </c>
      <c r="D630" s="16" t="str">
        <f t="shared" si="28"/>
        <v/>
      </c>
      <c r="G630" s="16" t="str">
        <f t="shared" si="29"/>
        <v/>
      </c>
    </row>
    <row r="631" spans="1:7" x14ac:dyDescent="0.2">
      <c r="A631" s="16" t="str">
        <f t="shared" si="27"/>
        <v/>
      </c>
      <c r="D631" s="16" t="str">
        <f t="shared" si="28"/>
        <v/>
      </c>
      <c r="G631" s="16" t="str">
        <f t="shared" si="29"/>
        <v/>
      </c>
    </row>
    <row r="632" spans="1:7" x14ac:dyDescent="0.2">
      <c r="A632" s="16" t="str">
        <f t="shared" si="27"/>
        <v/>
      </c>
      <c r="D632" s="16" t="str">
        <f t="shared" si="28"/>
        <v/>
      </c>
      <c r="G632" s="16" t="str">
        <f t="shared" si="29"/>
        <v/>
      </c>
    </row>
    <row r="633" spans="1:7" x14ac:dyDescent="0.2">
      <c r="A633" s="16" t="str">
        <f t="shared" si="27"/>
        <v/>
      </c>
      <c r="D633" s="16" t="str">
        <f t="shared" si="28"/>
        <v/>
      </c>
      <c r="G633" s="16" t="str">
        <f t="shared" si="29"/>
        <v/>
      </c>
    </row>
    <row r="634" spans="1:7" x14ac:dyDescent="0.2">
      <c r="A634" s="16" t="str">
        <f t="shared" si="27"/>
        <v/>
      </c>
      <c r="D634" s="16" t="str">
        <f t="shared" si="28"/>
        <v/>
      </c>
      <c r="G634" s="16" t="str">
        <f t="shared" si="29"/>
        <v/>
      </c>
    </row>
    <row r="635" spans="1:7" x14ac:dyDescent="0.2">
      <c r="A635" s="16" t="str">
        <f t="shared" si="27"/>
        <v/>
      </c>
      <c r="D635" s="16" t="str">
        <f t="shared" si="28"/>
        <v/>
      </c>
      <c r="G635" s="16" t="str">
        <f t="shared" si="29"/>
        <v/>
      </c>
    </row>
    <row r="636" spans="1:7" x14ac:dyDescent="0.2">
      <c r="A636" s="16" t="str">
        <f t="shared" si="27"/>
        <v/>
      </c>
      <c r="D636" s="16" t="str">
        <f t="shared" si="28"/>
        <v/>
      </c>
      <c r="G636" s="16" t="str">
        <f t="shared" si="29"/>
        <v/>
      </c>
    </row>
    <row r="637" spans="1:7" x14ac:dyDescent="0.2">
      <c r="A637" s="16" t="str">
        <f t="shared" si="27"/>
        <v/>
      </c>
      <c r="D637" s="16" t="str">
        <f t="shared" si="28"/>
        <v/>
      </c>
      <c r="G637" s="16" t="str">
        <f t="shared" si="29"/>
        <v/>
      </c>
    </row>
    <row r="638" spans="1:7" x14ac:dyDescent="0.2">
      <c r="A638" s="16" t="str">
        <f t="shared" si="27"/>
        <v/>
      </c>
      <c r="D638" s="16" t="str">
        <f t="shared" si="28"/>
        <v/>
      </c>
      <c r="G638" s="16" t="str">
        <f t="shared" si="29"/>
        <v/>
      </c>
    </row>
    <row r="639" spans="1:7" x14ac:dyDescent="0.2">
      <c r="A639" s="16" t="str">
        <f t="shared" si="27"/>
        <v/>
      </c>
      <c r="D639" s="16" t="str">
        <f t="shared" si="28"/>
        <v/>
      </c>
      <c r="G639" s="16" t="str">
        <f t="shared" si="29"/>
        <v/>
      </c>
    </row>
    <row r="640" spans="1:7" x14ac:dyDescent="0.2">
      <c r="A640" s="16" t="str">
        <f t="shared" si="27"/>
        <v/>
      </c>
      <c r="D640" s="16" t="str">
        <f t="shared" si="28"/>
        <v/>
      </c>
      <c r="G640" s="16" t="str">
        <f t="shared" si="29"/>
        <v/>
      </c>
    </row>
    <row r="641" spans="1:7" x14ac:dyDescent="0.2">
      <c r="A641" s="16" t="str">
        <f t="shared" si="27"/>
        <v/>
      </c>
      <c r="D641" s="16" t="str">
        <f t="shared" si="28"/>
        <v/>
      </c>
      <c r="G641" s="16" t="str">
        <f t="shared" si="29"/>
        <v/>
      </c>
    </row>
    <row r="642" spans="1:7" x14ac:dyDescent="0.2">
      <c r="A642" s="16" t="str">
        <f t="shared" si="27"/>
        <v/>
      </c>
      <c r="D642" s="16" t="str">
        <f t="shared" si="28"/>
        <v/>
      </c>
      <c r="G642" s="16" t="str">
        <f t="shared" si="29"/>
        <v/>
      </c>
    </row>
    <row r="643" spans="1:7" x14ac:dyDescent="0.2">
      <c r="A643" s="16" t="str">
        <f t="shared" ref="A643:A706" si="30">IF(AND(B642&lt;&gt;"",B643=""),"Add vacaction---&gt;","")</f>
        <v/>
      </c>
      <c r="D643" s="16" t="str">
        <f t="shared" ref="D643:D706" si="31">IF(AND(E642&lt;&gt;"",E643=""),"Add Employee---&gt;","")</f>
        <v/>
      </c>
      <c r="G643" s="16" t="str">
        <f t="shared" si="29"/>
        <v/>
      </c>
    </row>
    <row r="644" spans="1:7" x14ac:dyDescent="0.2">
      <c r="A644" s="16" t="str">
        <f t="shared" si="30"/>
        <v/>
      </c>
      <c r="D644" s="16" t="str">
        <f t="shared" si="31"/>
        <v/>
      </c>
      <c r="G644" s="16" t="str">
        <f t="shared" ref="G644:G707" si="32">IF(AND(H643&lt;&gt;"",H644=""),"Add Department---&gt;","")</f>
        <v/>
      </c>
    </row>
    <row r="645" spans="1:7" x14ac:dyDescent="0.2">
      <c r="A645" s="16" t="str">
        <f t="shared" si="30"/>
        <v/>
      </c>
      <c r="D645" s="16" t="str">
        <f t="shared" si="31"/>
        <v/>
      </c>
      <c r="G645" s="16" t="str">
        <f t="shared" si="32"/>
        <v/>
      </c>
    </row>
    <row r="646" spans="1:7" x14ac:dyDescent="0.2">
      <c r="A646" s="16" t="str">
        <f t="shared" si="30"/>
        <v/>
      </c>
      <c r="D646" s="16" t="str">
        <f t="shared" si="31"/>
        <v/>
      </c>
      <c r="G646" s="16" t="str">
        <f t="shared" si="32"/>
        <v/>
      </c>
    </row>
    <row r="647" spans="1:7" x14ac:dyDescent="0.2">
      <c r="A647" s="16" t="str">
        <f t="shared" si="30"/>
        <v/>
      </c>
      <c r="D647" s="16" t="str">
        <f t="shared" si="31"/>
        <v/>
      </c>
      <c r="G647" s="16" t="str">
        <f t="shared" si="32"/>
        <v/>
      </c>
    </row>
    <row r="648" spans="1:7" x14ac:dyDescent="0.2">
      <c r="A648" s="16" t="str">
        <f t="shared" si="30"/>
        <v/>
      </c>
      <c r="D648" s="16" t="str">
        <f t="shared" si="31"/>
        <v/>
      </c>
      <c r="G648" s="16" t="str">
        <f t="shared" si="32"/>
        <v/>
      </c>
    </row>
    <row r="649" spans="1:7" x14ac:dyDescent="0.2">
      <c r="A649" s="16" t="str">
        <f t="shared" si="30"/>
        <v/>
      </c>
      <c r="D649" s="16" t="str">
        <f t="shared" si="31"/>
        <v/>
      </c>
      <c r="G649" s="16" t="str">
        <f t="shared" si="32"/>
        <v/>
      </c>
    </row>
    <row r="650" spans="1:7" x14ac:dyDescent="0.2">
      <c r="A650" s="16" t="str">
        <f t="shared" si="30"/>
        <v/>
      </c>
      <c r="D650" s="16" t="str">
        <f t="shared" si="31"/>
        <v/>
      </c>
      <c r="G650" s="16" t="str">
        <f t="shared" si="32"/>
        <v/>
      </c>
    </row>
    <row r="651" spans="1:7" x14ac:dyDescent="0.2">
      <c r="A651" s="16" t="str">
        <f t="shared" si="30"/>
        <v/>
      </c>
      <c r="D651" s="16" t="str">
        <f t="shared" si="31"/>
        <v/>
      </c>
      <c r="G651" s="16" t="str">
        <f t="shared" si="32"/>
        <v/>
      </c>
    </row>
    <row r="652" spans="1:7" x14ac:dyDescent="0.2">
      <c r="A652" s="16" t="str">
        <f t="shared" si="30"/>
        <v/>
      </c>
      <c r="D652" s="16" t="str">
        <f t="shared" si="31"/>
        <v/>
      </c>
      <c r="G652" s="16" t="str">
        <f t="shared" si="32"/>
        <v/>
      </c>
    </row>
    <row r="653" spans="1:7" x14ac:dyDescent="0.2">
      <c r="A653" s="16" t="str">
        <f t="shared" si="30"/>
        <v/>
      </c>
      <c r="D653" s="16" t="str">
        <f t="shared" si="31"/>
        <v/>
      </c>
      <c r="G653" s="16" t="str">
        <f t="shared" si="32"/>
        <v/>
      </c>
    </row>
    <row r="654" spans="1:7" x14ac:dyDescent="0.2">
      <c r="A654" s="16" t="str">
        <f t="shared" si="30"/>
        <v/>
      </c>
      <c r="D654" s="16" t="str">
        <f t="shared" si="31"/>
        <v/>
      </c>
      <c r="G654" s="16" t="str">
        <f t="shared" si="32"/>
        <v/>
      </c>
    </row>
    <row r="655" spans="1:7" x14ac:dyDescent="0.2">
      <c r="A655" s="16" t="str">
        <f t="shared" si="30"/>
        <v/>
      </c>
      <c r="D655" s="16" t="str">
        <f t="shared" si="31"/>
        <v/>
      </c>
      <c r="G655" s="16" t="str">
        <f t="shared" si="32"/>
        <v/>
      </c>
    </row>
    <row r="656" spans="1:7" x14ac:dyDescent="0.2">
      <c r="A656" s="16" t="str">
        <f t="shared" si="30"/>
        <v/>
      </c>
      <c r="D656" s="16" t="str">
        <f t="shared" si="31"/>
        <v/>
      </c>
      <c r="G656" s="16" t="str">
        <f t="shared" si="32"/>
        <v/>
      </c>
    </row>
    <row r="657" spans="1:7" x14ac:dyDescent="0.2">
      <c r="A657" s="16" t="str">
        <f t="shared" si="30"/>
        <v/>
      </c>
      <c r="D657" s="16" t="str">
        <f t="shared" si="31"/>
        <v/>
      </c>
      <c r="G657" s="16" t="str">
        <f t="shared" si="32"/>
        <v/>
      </c>
    </row>
    <row r="658" spans="1:7" x14ac:dyDescent="0.2">
      <c r="A658" s="16" t="str">
        <f t="shared" si="30"/>
        <v/>
      </c>
      <c r="D658" s="16" t="str">
        <f t="shared" si="31"/>
        <v/>
      </c>
      <c r="G658" s="16" t="str">
        <f t="shared" si="32"/>
        <v/>
      </c>
    </row>
    <row r="659" spans="1:7" x14ac:dyDescent="0.2">
      <c r="A659" s="16" t="str">
        <f t="shared" si="30"/>
        <v/>
      </c>
      <c r="D659" s="16" t="str">
        <f t="shared" si="31"/>
        <v/>
      </c>
      <c r="G659" s="16" t="str">
        <f t="shared" si="32"/>
        <v/>
      </c>
    </row>
    <row r="660" spans="1:7" x14ac:dyDescent="0.2">
      <c r="A660" s="16" t="str">
        <f t="shared" si="30"/>
        <v/>
      </c>
      <c r="D660" s="16" t="str">
        <f t="shared" si="31"/>
        <v/>
      </c>
      <c r="G660" s="16" t="str">
        <f t="shared" si="32"/>
        <v/>
      </c>
    </row>
    <row r="661" spans="1:7" x14ac:dyDescent="0.2">
      <c r="A661" s="16" t="str">
        <f t="shared" si="30"/>
        <v/>
      </c>
      <c r="D661" s="16" t="str">
        <f t="shared" si="31"/>
        <v/>
      </c>
      <c r="G661" s="16" t="str">
        <f t="shared" si="32"/>
        <v/>
      </c>
    </row>
    <row r="662" spans="1:7" x14ac:dyDescent="0.2">
      <c r="A662" s="16" t="str">
        <f t="shared" si="30"/>
        <v/>
      </c>
      <c r="D662" s="16" t="str">
        <f t="shared" si="31"/>
        <v/>
      </c>
      <c r="G662" s="16" t="str">
        <f t="shared" si="32"/>
        <v/>
      </c>
    </row>
    <row r="663" spans="1:7" x14ac:dyDescent="0.2">
      <c r="A663" s="16" t="str">
        <f t="shared" si="30"/>
        <v/>
      </c>
      <c r="D663" s="16" t="str">
        <f t="shared" si="31"/>
        <v/>
      </c>
      <c r="G663" s="16" t="str">
        <f t="shared" si="32"/>
        <v/>
      </c>
    </row>
    <row r="664" spans="1:7" x14ac:dyDescent="0.2">
      <c r="A664" s="16" t="str">
        <f t="shared" si="30"/>
        <v/>
      </c>
      <c r="D664" s="16" t="str">
        <f t="shared" si="31"/>
        <v/>
      </c>
      <c r="G664" s="16" t="str">
        <f t="shared" si="32"/>
        <v/>
      </c>
    </row>
    <row r="665" spans="1:7" x14ac:dyDescent="0.2">
      <c r="A665" s="16" t="str">
        <f t="shared" si="30"/>
        <v/>
      </c>
      <c r="D665" s="16" t="str">
        <f t="shared" si="31"/>
        <v/>
      </c>
      <c r="G665" s="16" t="str">
        <f t="shared" si="32"/>
        <v/>
      </c>
    </row>
    <row r="666" spans="1:7" x14ac:dyDescent="0.2">
      <c r="A666" s="16" t="str">
        <f t="shared" si="30"/>
        <v/>
      </c>
      <c r="D666" s="16" t="str">
        <f t="shared" si="31"/>
        <v/>
      </c>
      <c r="G666" s="16" t="str">
        <f t="shared" si="32"/>
        <v/>
      </c>
    </row>
    <row r="667" spans="1:7" x14ac:dyDescent="0.2">
      <c r="A667" s="16" t="str">
        <f t="shared" si="30"/>
        <v/>
      </c>
      <c r="D667" s="16" t="str">
        <f t="shared" si="31"/>
        <v/>
      </c>
      <c r="G667" s="16" t="str">
        <f t="shared" si="32"/>
        <v/>
      </c>
    </row>
    <row r="668" spans="1:7" x14ac:dyDescent="0.2">
      <c r="A668" s="16" t="str">
        <f t="shared" si="30"/>
        <v/>
      </c>
      <c r="D668" s="16" t="str">
        <f t="shared" si="31"/>
        <v/>
      </c>
      <c r="G668" s="16" t="str">
        <f t="shared" si="32"/>
        <v/>
      </c>
    </row>
    <row r="669" spans="1:7" x14ac:dyDescent="0.2">
      <c r="A669" s="16" t="str">
        <f t="shared" si="30"/>
        <v/>
      </c>
      <c r="D669" s="16" t="str">
        <f t="shared" si="31"/>
        <v/>
      </c>
      <c r="G669" s="16" t="str">
        <f t="shared" si="32"/>
        <v/>
      </c>
    </row>
    <row r="670" spans="1:7" x14ac:dyDescent="0.2">
      <c r="A670" s="16" t="str">
        <f t="shared" si="30"/>
        <v/>
      </c>
      <c r="D670" s="16" t="str">
        <f t="shared" si="31"/>
        <v/>
      </c>
      <c r="G670" s="16" t="str">
        <f t="shared" si="32"/>
        <v/>
      </c>
    </row>
    <row r="671" spans="1:7" x14ac:dyDescent="0.2">
      <c r="A671" s="16" t="str">
        <f t="shared" si="30"/>
        <v/>
      </c>
      <c r="D671" s="16" t="str">
        <f t="shared" si="31"/>
        <v/>
      </c>
      <c r="G671" s="16" t="str">
        <f t="shared" si="32"/>
        <v/>
      </c>
    </row>
    <row r="672" spans="1:7" x14ac:dyDescent="0.2">
      <c r="A672" s="16" t="str">
        <f t="shared" si="30"/>
        <v/>
      </c>
      <c r="D672" s="16" t="str">
        <f t="shared" si="31"/>
        <v/>
      </c>
      <c r="G672" s="16" t="str">
        <f t="shared" si="32"/>
        <v/>
      </c>
    </row>
    <row r="673" spans="1:7" x14ac:dyDescent="0.2">
      <c r="A673" s="16" t="str">
        <f t="shared" si="30"/>
        <v/>
      </c>
      <c r="D673" s="16" t="str">
        <f t="shared" si="31"/>
        <v/>
      </c>
      <c r="G673" s="16" t="str">
        <f t="shared" si="32"/>
        <v/>
      </c>
    </row>
    <row r="674" spans="1:7" x14ac:dyDescent="0.2">
      <c r="A674" s="16" t="str">
        <f t="shared" si="30"/>
        <v/>
      </c>
      <c r="D674" s="16" t="str">
        <f t="shared" si="31"/>
        <v/>
      </c>
      <c r="G674" s="16" t="str">
        <f t="shared" si="32"/>
        <v/>
      </c>
    </row>
    <row r="675" spans="1:7" x14ac:dyDescent="0.2">
      <c r="A675" s="16" t="str">
        <f t="shared" si="30"/>
        <v/>
      </c>
      <c r="D675" s="16" t="str">
        <f t="shared" si="31"/>
        <v/>
      </c>
      <c r="G675" s="16" t="str">
        <f t="shared" si="32"/>
        <v/>
      </c>
    </row>
    <row r="676" spans="1:7" x14ac:dyDescent="0.2">
      <c r="A676" s="16" t="str">
        <f t="shared" si="30"/>
        <v/>
      </c>
      <c r="D676" s="16" t="str">
        <f t="shared" si="31"/>
        <v/>
      </c>
      <c r="G676" s="16" t="str">
        <f t="shared" si="32"/>
        <v/>
      </c>
    </row>
    <row r="677" spans="1:7" x14ac:dyDescent="0.2">
      <c r="A677" s="16" t="str">
        <f t="shared" si="30"/>
        <v/>
      </c>
      <c r="D677" s="16" t="str">
        <f t="shared" si="31"/>
        <v/>
      </c>
      <c r="G677" s="16" t="str">
        <f t="shared" si="32"/>
        <v/>
      </c>
    </row>
    <row r="678" spans="1:7" x14ac:dyDescent="0.2">
      <c r="A678" s="16" t="str">
        <f t="shared" si="30"/>
        <v/>
      </c>
      <c r="D678" s="16" t="str">
        <f t="shared" si="31"/>
        <v/>
      </c>
      <c r="G678" s="16" t="str">
        <f t="shared" si="32"/>
        <v/>
      </c>
    </row>
    <row r="679" spans="1:7" x14ac:dyDescent="0.2">
      <c r="A679" s="16" t="str">
        <f t="shared" si="30"/>
        <v/>
      </c>
      <c r="D679" s="16" t="str">
        <f t="shared" si="31"/>
        <v/>
      </c>
      <c r="G679" s="16" t="str">
        <f t="shared" si="32"/>
        <v/>
      </c>
    </row>
    <row r="680" spans="1:7" x14ac:dyDescent="0.2">
      <c r="A680" s="16" t="str">
        <f t="shared" si="30"/>
        <v/>
      </c>
      <c r="D680" s="16" t="str">
        <f t="shared" si="31"/>
        <v/>
      </c>
      <c r="G680" s="16" t="str">
        <f t="shared" si="32"/>
        <v/>
      </c>
    </row>
    <row r="681" spans="1:7" x14ac:dyDescent="0.2">
      <c r="A681" s="16" t="str">
        <f t="shared" si="30"/>
        <v/>
      </c>
      <c r="D681" s="16" t="str">
        <f t="shared" si="31"/>
        <v/>
      </c>
      <c r="G681" s="16" t="str">
        <f t="shared" si="32"/>
        <v/>
      </c>
    </row>
    <row r="682" spans="1:7" x14ac:dyDescent="0.2">
      <c r="A682" s="16" t="str">
        <f t="shared" si="30"/>
        <v/>
      </c>
      <c r="D682" s="16" t="str">
        <f t="shared" si="31"/>
        <v/>
      </c>
      <c r="G682" s="16" t="str">
        <f t="shared" si="32"/>
        <v/>
      </c>
    </row>
    <row r="683" spans="1:7" x14ac:dyDescent="0.2">
      <c r="A683" s="16" t="str">
        <f t="shared" si="30"/>
        <v/>
      </c>
      <c r="D683" s="16" t="str">
        <f t="shared" si="31"/>
        <v/>
      </c>
      <c r="G683" s="16" t="str">
        <f t="shared" si="32"/>
        <v/>
      </c>
    </row>
    <row r="684" spans="1:7" x14ac:dyDescent="0.2">
      <c r="A684" s="16" t="str">
        <f t="shared" si="30"/>
        <v/>
      </c>
      <c r="D684" s="16" t="str">
        <f t="shared" si="31"/>
        <v/>
      </c>
      <c r="G684" s="16" t="str">
        <f t="shared" si="32"/>
        <v/>
      </c>
    </row>
    <row r="685" spans="1:7" x14ac:dyDescent="0.2">
      <c r="A685" s="16" t="str">
        <f t="shared" si="30"/>
        <v/>
      </c>
      <c r="D685" s="16" t="str">
        <f t="shared" si="31"/>
        <v/>
      </c>
      <c r="G685" s="16" t="str">
        <f t="shared" si="32"/>
        <v/>
      </c>
    </row>
    <row r="686" spans="1:7" x14ac:dyDescent="0.2">
      <c r="A686" s="16" t="str">
        <f t="shared" si="30"/>
        <v/>
      </c>
      <c r="D686" s="16" t="str">
        <f t="shared" si="31"/>
        <v/>
      </c>
      <c r="G686" s="16" t="str">
        <f t="shared" si="32"/>
        <v/>
      </c>
    </row>
    <row r="687" spans="1:7" x14ac:dyDescent="0.2">
      <c r="A687" s="16" t="str">
        <f t="shared" si="30"/>
        <v/>
      </c>
      <c r="D687" s="16" t="str">
        <f t="shared" si="31"/>
        <v/>
      </c>
      <c r="G687" s="16" t="str">
        <f t="shared" si="32"/>
        <v/>
      </c>
    </row>
    <row r="688" spans="1:7" x14ac:dyDescent="0.2">
      <c r="A688" s="16" t="str">
        <f t="shared" si="30"/>
        <v/>
      </c>
      <c r="D688" s="16" t="str">
        <f t="shared" si="31"/>
        <v/>
      </c>
      <c r="G688" s="16" t="str">
        <f t="shared" si="32"/>
        <v/>
      </c>
    </row>
    <row r="689" spans="1:7" x14ac:dyDescent="0.2">
      <c r="A689" s="16" t="str">
        <f t="shared" si="30"/>
        <v/>
      </c>
      <c r="D689" s="16" t="str">
        <f t="shared" si="31"/>
        <v/>
      </c>
      <c r="G689" s="16" t="str">
        <f t="shared" si="32"/>
        <v/>
      </c>
    </row>
    <row r="690" spans="1:7" x14ac:dyDescent="0.2">
      <c r="A690" s="16" t="str">
        <f t="shared" si="30"/>
        <v/>
      </c>
      <c r="D690" s="16" t="str">
        <f t="shared" si="31"/>
        <v/>
      </c>
      <c r="G690" s="16" t="str">
        <f t="shared" si="32"/>
        <v/>
      </c>
    </row>
    <row r="691" spans="1:7" x14ac:dyDescent="0.2">
      <c r="A691" s="16" t="str">
        <f t="shared" si="30"/>
        <v/>
      </c>
      <c r="D691" s="16" t="str">
        <f t="shared" si="31"/>
        <v/>
      </c>
      <c r="G691" s="16" t="str">
        <f t="shared" si="32"/>
        <v/>
      </c>
    </row>
    <row r="692" spans="1:7" x14ac:dyDescent="0.2">
      <c r="A692" s="16" t="str">
        <f t="shared" si="30"/>
        <v/>
      </c>
      <c r="D692" s="16" t="str">
        <f t="shared" si="31"/>
        <v/>
      </c>
      <c r="G692" s="16" t="str">
        <f t="shared" si="32"/>
        <v/>
      </c>
    </row>
    <row r="693" spans="1:7" x14ac:dyDescent="0.2">
      <c r="A693" s="16" t="str">
        <f t="shared" si="30"/>
        <v/>
      </c>
      <c r="D693" s="16" t="str">
        <f t="shared" si="31"/>
        <v/>
      </c>
      <c r="G693" s="16" t="str">
        <f t="shared" si="32"/>
        <v/>
      </c>
    </row>
    <row r="694" spans="1:7" x14ac:dyDescent="0.2">
      <c r="A694" s="16" t="str">
        <f t="shared" si="30"/>
        <v/>
      </c>
      <c r="D694" s="16" t="str">
        <f t="shared" si="31"/>
        <v/>
      </c>
      <c r="G694" s="16" t="str">
        <f t="shared" si="32"/>
        <v/>
      </c>
    </row>
    <row r="695" spans="1:7" x14ac:dyDescent="0.2">
      <c r="A695" s="16" t="str">
        <f t="shared" si="30"/>
        <v/>
      </c>
      <c r="D695" s="16" t="str">
        <f t="shared" si="31"/>
        <v/>
      </c>
      <c r="G695" s="16" t="str">
        <f t="shared" si="32"/>
        <v/>
      </c>
    </row>
    <row r="696" spans="1:7" x14ac:dyDescent="0.2">
      <c r="A696" s="16" t="str">
        <f t="shared" si="30"/>
        <v/>
      </c>
      <c r="D696" s="16" t="str">
        <f t="shared" si="31"/>
        <v/>
      </c>
      <c r="G696" s="16" t="str">
        <f t="shared" si="32"/>
        <v/>
      </c>
    </row>
    <row r="697" spans="1:7" x14ac:dyDescent="0.2">
      <c r="A697" s="16" t="str">
        <f t="shared" si="30"/>
        <v/>
      </c>
      <c r="D697" s="16" t="str">
        <f t="shared" si="31"/>
        <v/>
      </c>
      <c r="G697" s="16" t="str">
        <f t="shared" si="32"/>
        <v/>
      </c>
    </row>
    <row r="698" spans="1:7" x14ac:dyDescent="0.2">
      <c r="A698" s="16" t="str">
        <f t="shared" si="30"/>
        <v/>
      </c>
      <c r="D698" s="16" t="str">
        <f t="shared" si="31"/>
        <v/>
      </c>
      <c r="G698" s="16" t="str">
        <f t="shared" si="32"/>
        <v/>
      </c>
    </row>
    <row r="699" spans="1:7" x14ac:dyDescent="0.2">
      <c r="A699" s="16" t="str">
        <f t="shared" si="30"/>
        <v/>
      </c>
      <c r="D699" s="16" t="str">
        <f t="shared" si="31"/>
        <v/>
      </c>
      <c r="G699" s="16" t="str">
        <f t="shared" si="32"/>
        <v/>
      </c>
    </row>
    <row r="700" spans="1:7" x14ac:dyDescent="0.2">
      <c r="A700" s="16" t="str">
        <f t="shared" si="30"/>
        <v/>
      </c>
      <c r="D700" s="16" t="str">
        <f t="shared" si="31"/>
        <v/>
      </c>
      <c r="G700" s="16" t="str">
        <f t="shared" si="32"/>
        <v/>
      </c>
    </row>
    <row r="701" spans="1:7" x14ac:dyDescent="0.2">
      <c r="A701" s="16" t="str">
        <f t="shared" si="30"/>
        <v/>
      </c>
      <c r="D701" s="16" t="str">
        <f t="shared" si="31"/>
        <v/>
      </c>
      <c r="G701" s="16" t="str">
        <f t="shared" si="32"/>
        <v/>
      </c>
    </row>
    <row r="702" spans="1:7" x14ac:dyDescent="0.2">
      <c r="A702" s="16" t="str">
        <f t="shared" si="30"/>
        <v/>
      </c>
      <c r="D702" s="16" t="str">
        <f t="shared" si="31"/>
        <v/>
      </c>
      <c r="G702" s="16" t="str">
        <f t="shared" si="32"/>
        <v/>
      </c>
    </row>
    <row r="703" spans="1:7" x14ac:dyDescent="0.2">
      <c r="A703" s="16" t="str">
        <f t="shared" si="30"/>
        <v/>
      </c>
      <c r="D703" s="16" t="str">
        <f t="shared" si="31"/>
        <v/>
      </c>
      <c r="G703" s="16" t="str">
        <f t="shared" si="32"/>
        <v/>
      </c>
    </row>
    <row r="704" spans="1:7" x14ac:dyDescent="0.2">
      <c r="A704" s="16" t="str">
        <f t="shared" si="30"/>
        <v/>
      </c>
      <c r="D704" s="16" t="str">
        <f t="shared" si="31"/>
        <v/>
      </c>
      <c r="G704" s="16" t="str">
        <f t="shared" si="32"/>
        <v/>
      </c>
    </row>
    <row r="705" spans="1:7" x14ac:dyDescent="0.2">
      <c r="A705" s="16" t="str">
        <f t="shared" si="30"/>
        <v/>
      </c>
      <c r="D705" s="16" t="str">
        <f t="shared" si="31"/>
        <v/>
      </c>
      <c r="G705" s="16" t="str">
        <f t="shared" si="32"/>
        <v/>
      </c>
    </row>
    <row r="706" spans="1:7" x14ac:dyDescent="0.2">
      <c r="A706" s="16" t="str">
        <f t="shared" si="30"/>
        <v/>
      </c>
      <c r="D706" s="16" t="str">
        <f t="shared" si="31"/>
        <v/>
      </c>
      <c r="G706" s="16" t="str">
        <f t="shared" si="32"/>
        <v/>
      </c>
    </row>
    <row r="707" spans="1:7" x14ac:dyDescent="0.2">
      <c r="A707" s="16" t="str">
        <f t="shared" ref="A707:A770" si="33">IF(AND(B706&lt;&gt;"",B707=""),"Add vacaction---&gt;","")</f>
        <v/>
      </c>
      <c r="D707" s="16" t="str">
        <f t="shared" ref="D707:D770" si="34">IF(AND(E706&lt;&gt;"",E707=""),"Add Employee---&gt;","")</f>
        <v/>
      </c>
      <c r="G707" s="16" t="str">
        <f t="shared" si="32"/>
        <v/>
      </c>
    </row>
    <row r="708" spans="1:7" x14ac:dyDescent="0.2">
      <c r="A708" s="16" t="str">
        <f t="shared" si="33"/>
        <v/>
      </c>
      <c r="D708" s="16" t="str">
        <f t="shared" si="34"/>
        <v/>
      </c>
      <c r="G708" s="16" t="str">
        <f t="shared" ref="G708:G771" si="35">IF(AND(H707&lt;&gt;"",H708=""),"Add Department---&gt;","")</f>
        <v/>
      </c>
    </row>
    <row r="709" spans="1:7" x14ac:dyDescent="0.2">
      <c r="A709" s="16" t="str">
        <f t="shared" si="33"/>
        <v/>
      </c>
      <c r="D709" s="16" t="str">
        <f t="shared" si="34"/>
        <v/>
      </c>
      <c r="G709" s="16" t="str">
        <f t="shared" si="35"/>
        <v/>
      </c>
    </row>
    <row r="710" spans="1:7" x14ac:dyDescent="0.2">
      <c r="A710" s="16" t="str">
        <f t="shared" si="33"/>
        <v/>
      </c>
      <c r="D710" s="16" t="str">
        <f t="shared" si="34"/>
        <v/>
      </c>
      <c r="G710" s="16" t="str">
        <f t="shared" si="35"/>
        <v/>
      </c>
    </row>
    <row r="711" spans="1:7" x14ac:dyDescent="0.2">
      <c r="A711" s="16" t="str">
        <f t="shared" si="33"/>
        <v/>
      </c>
      <c r="D711" s="16" t="str">
        <f t="shared" si="34"/>
        <v/>
      </c>
      <c r="G711" s="16" t="str">
        <f t="shared" si="35"/>
        <v/>
      </c>
    </row>
    <row r="712" spans="1:7" x14ac:dyDescent="0.2">
      <c r="A712" s="16" t="str">
        <f t="shared" si="33"/>
        <v/>
      </c>
      <c r="D712" s="16" t="str">
        <f t="shared" si="34"/>
        <v/>
      </c>
      <c r="G712" s="16" t="str">
        <f t="shared" si="35"/>
        <v/>
      </c>
    </row>
    <row r="713" spans="1:7" x14ac:dyDescent="0.2">
      <c r="A713" s="16" t="str">
        <f t="shared" si="33"/>
        <v/>
      </c>
      <c r="D713" s="16" t="str">
        <f t="shared" si="34"/>
        <v/>
      </c>
      <c r="G713" s="16" t="str">
        <f t="shared" si="35"/>
        <v/>
      </c>
    </row>
    <row r="714" spans="1:7" x14ac:dyDescent="0.2">
      <c r="A714" s="16" t="str">
        <f t="shared" si="33"/>
        <v/>
      </c>
      <c r="D714" s="16" t="str">
        <f t="shared" si="34"/>
        <v/>
      </c>
      <c r="G714" s="16" t="str">
        <f t="shared" si="35"/>
        <v/>
      </c>
    </row>
    <row r="715" spans="1:7" x14ac:dyDescent="0.2">
      <c r="A715" s="16" t="str">
        <f t="shared" si="33"/>
        <v/>
      </c>
      <c r="D715" s="16" t="str">
        <f t="shared" si="34"/>
        <v/>
      </c>
      <c r="G715" s="16" t="str">
        <f t="shared" si="35"/>
        <v/>
      </c>
    </row>
    <row r="716" spans="1:7" x14ac:dyDescent="0.2">
      <c r="A716" s="16" t="str">
        <f t="shared" si="33"/>
        <v/>
      </c>
      <c r="D716" s="16" t="str">
        <f t="shared" si="34"/>
        <v/>
      </c>
      <c r="G716" s="16" t="str">
        <f t="shared" si="35"/>
        <v/>
      </c>
    </row>
    <row r="717" spans="1:7" x14ac:dyDescent="0.2">
      <c r="A717" s="16" t="str">
        <f t="shared" si="33"/>
        <v/>
      </c>
      <c r="D717" s="16" t="str">
        <f t="shared" si="34"/>
        <v/>
      </c>
      <c r="G717" s="16" t="str">
        <f t="shared" si="35"/>
        <v/>
      </c>
    </row>
    <row r="718" spans="1:7" x14ac:dyDescent="0.2">
      <c r="A718" s="16" t="str">
        <f t="shared" si="33"/>
        <v/>
      </c>
      <c r="D718" s="16" t="str">
        <f t="shared" si="34"/>
        <v/>
      </c>
      <c r="G718" s="16" t="str">
        <f t="shared" si="35"/>
        <v/>
      </c>
    </row>
    <row r="719" spans="1:7" x14ac:dyDescent="0.2">
      <c r="A719" s="16" t="str">
        <f t="shared" si="33"/>
        <v/>
      </c>
      <c r="D719" s="16" t="str">
        <f t="shared" si="34"/>
        <v/>
      </c>
      <c r="G719" s="16" t="str">
        <f t="shared" si="35"/>
        <v/>
      </c>
    </row>
    <row r="720" spans="1:7" x14ac:dyDescent="0.2">
      <c r="A720" s="16" t="str">
        <f t="shared" si="33"/>
        <v/>
      </c>
      <c r="D720" s="16" t="str">
        <f t="shared" si="34"/>
        <v/>
      </c>
      <c r="G720" s="16" t="str">
        <f t="shared" si="35"/>
        <v/>
      </c>
    </row>
    <row r="721" spans="1:7" x14ac:dyDescent="0.2">
      <c r="A721" s="16" t="str">
        <f t="shared" si="33"/>
        <v/>
      </c>
      <c r="D721" s="16" t="str">
        <f t="shared" si="34"/>
        <v/>
      </c>
      <c r="G721" s="16" t="str">
        <f t="shared" si="35"/>
        <v/>
      </c>
    </row>
    <row r="722" spans="1:7" x14ac:dyDescent="0.2">
      <c r="A722" s="16" t="str">
        <f t="shared" si="33"/>
        <v/>
      </c>
      <c r="D722" s="16" t="str">
        <f t="shared" si="34"/>
        <v/>
      </c>
      <c r="G722" s="16" t="str">
        <f t="shared" si="35"/>
        <v/>
      </c>
    </row>
    <row r="723" spans="1:7" x14ac:dyDescent="0.2">
      <c r="A723" s="16" t="str">
        <f t="shared" si="33"/>
        <v/>
      </c>
      <c r="D723" s="16" t="str">
        <f t="shared" si="34"/>
        <v/>
      </c>
      <c r="G723" s="16" t="str">
        <f t="shared" si="35"/>
        <v/>
      </c>
    </row>
    <row r="724" spans="1:7" x14ac:dyDescent="0.2">
      <c r="A724" s="16" t="str">
        <f t="shared" si="33"/>
        <v/>
      </c>
      <c r="D724" s="16" t="str">
        <f t="shared" si="34"/>
        <v/>
      </c>
      <c r="G724" s="16" t="str">
        <f t="shared" si="35"/>
        <v/>
      </c>
    </row>
    <row r="725" spans="1:7" x14ac:dyDescent="0.2">
      <c r="A725" s="16" t="str">
        <f t="shared" si="33"/>
        <v/>
      </c>
      <c r="D725" s="16" t="str">
        <f t="shared" si="34"/>
        <v/>
      </c>
      <c r="G725" s="16" t="str">
        <f t="shared" si="35"/>
        <v/>
      </c>
    </row>
    <row r="726" spans="1:7" x14ac:dyDescent="0.2">
      <c r="A726" s="16" t="str">
        <f t="shared" si="33"/>
        <v/>
      </c>
      <c r="D726" s="16" t="str">
        <f t="shared" si="34"/>
        <v/>
      </c>
      <c r="G726" s="16" t="str">
        <f t="shared" si="35"/>
        <v/>
      </c>
    </row>
    <row r="727" spans="1:7" x14ac:dyDescent="0.2">
      <c r="A727" s="16" t="str">
        <f t="shared" si="33"/>
        <v/>
      </c>
      <c r="D727" s="16" t="str">
        <f t="shared" si="34"/>
        <v/>
      </c>
      <c r="G727" s="16" t="str">
        <f t="shared" si="35"/>
        <v/>
      </c>
    </row>
    <row r="728" spans="1:7" x14ac:dyDescent="0.2">
      <c r="A728" s="16" t="str">
        <f t="shared" si="33"/>
        <v/>
      </c>
      <c r="D728" s="16" t="str">
        <f t="shared" si="34"/>
        <v/>
      </c>
      <c r="G728" s="16" t="str">
        <f t="shared" si="35"/>
        <v/>
      </c>
    </row>
    <row r="729" spans="1:7" x14ac:dyDescent="0.2">
      <c r="A729" s="16" t="str">
        <f t="shared" si="33"/>
        <v/>
      </c>
      <c r="D729" s="16" t="str">
        <f t="shared" si="34"/>
        <v/>
      </c>
      <c r="G729" s="16" t="str">
        <f t="shared" si="35"/>
        <v/>
      </c>
    </row>
    <row r="730" spans="1:7" x14ac:dyDescent="0.2">
      <c r="A730" s="16" t="str">
        <f t="shared" si="33"/>
        <v/>
      </c>
      <c r="D730" s="16" t="str">
        <f t="shared" si="34"/>
        <v/>
      </c>
      <c r="G730" s="16" t="str">
        <f t="shared" si="35"/>
        <v/>
      </c>
    </row>
    <row r="731" spans="1:7" x14ac:dyDescent="0.2">
      <c r="A731" s="16" t="str">
        <f t="shared" si="33"/>
        <v/>
      </c>
      <c r="D731" s="16" t="str">
        <f t="shared" si="34"/>
        <v/>
      </c>
      <c r="G731" s="16" t="str">
        <f t="shared" si="35"/>
        <v/>
      </c>
    </row>
    <row r="732" spans="1:7" x14ac:dyDescent="0.2">
      <c r="A732" s="16" t="str">
        <f t="shared" si="33"/>
        <v/>
      </c>
      <c r="D732" s="16" t="str">
        <f t="shared" si="34"/>
        <v/>
      </c>
      <c r="G732" s="16" t="str">
        <f t="shared" si="35"/>
        <v/>
      </c>
    </row>
    <row r="733" spans="1:7" x14ac:dyDescent="0.2">
      <c r="A733" s="16" t="str">
        <f t="shared" si="33"/>
        <v/>
      </c>
      <c r="D733" s="16" t="str">
        <f t="shared" si="34"/>
        <v/>
      </c>
      <c r="G733" s="16" t="str">
        <f t="shared" si="35"/>
        <v/>
      </c>
    </row>
    <row r="734" spans="1:7" x14ac:dyDescent="0.2">
      <c r="A734" s="16" t="str">
        <f t="shared" si="33"/>
        <v/>
      </c>
      <c r="D734" s="16" t="str">
        <f t="shared" si="34"/>
        <v/>
      </c>
      <c r="G734" s="16" t="str">
        <f t="shared" si="35"/>
        <v/>
      </c>
    </row>
    <row r="735" spans="1:7" x14ac:dyDescent="0.2">
      <c r="A735" s="16" t="str">
        <f t="shared" si="33"/>
        <v/>
      </c>
      <c r="D735" s="16" t="str">
        <f t="shared" si="34"/>
        <v/>
      </c>
      <c r="G735" s="16" t="str">
        <f t="shared" si="35"/>
        <v/>
      </c>
    </row>
    <row r="736" spans="1:7" x14ac:dyDescent="0.2">
      <c r="A736" s="16" t="str">
        <f t="shared" si="33"/>
        <v/>
      </c>
      <c r="D736" s="16" t="str">
        <f t="shared" si="34"/>
        <v/>
      </c>
      <c r="G736" s="16" t="str">
        <f t="shared" si="35"/>
        <v/>
      </c>
    </row>
    <row r="737" spans="1:7" x14ac:dyDescent="0.2">
      <c r="A737" s="16" t="str">
        <f t="shared" si="33"/>
        <v/>
      </c>
      <c r="D737" s="16" t="str">
        <f t="shared" si="34"/>
        <v/>
      </c>
      <c r="G737" s="16" t="str">
        <f t="shared" si="35"/>
        <v/>
      </c>
    </row>
    <row r="738" spans="1:7" x14ac:dyDescent="0.2">
      <c r="A738" s="16" t="str">
        <f t="shared" si="33"/>
        <v/>
      </c>
      <c r="D738" s="16" t="str">
        <f t="shared" si="34"/>
        <v/>
      </c>
      <c r="G738" s="16" t="str">
        <f t="shared" si="35"/>
        <v/>
      </c>
    </row>
    <row r="739" spans="1:7" x14ac:dyDescent="0.2">
      <c r="A739" s="16" t="str">
        <f t="shared" si="33"/>
        <v/>
      </c>
      <c r="D739" s="16" t="str">
        <f t="shared" si="34"/>
        <v/>
      </c>
      <c r="G739" s="16" t="str">
        <f t="shared" si="35"/>
        <v/>
      </c>
    </row>
    <row r="740" spans="1:7" x14ac:dyDescent="0.2">
      <c r="A740" s="16" t="str">
        <f t="shared" si="33"/>
        <v/>
      </c>
      <c r="D740" s="16" t="str">
        <f t="shared" si="34"/>
        <v/>
      </c>
      <c r="G740" s="16" t="str">
        <f t="shared" si="35"/>
        <v/>
      </c>
    </row>
    <row r="741" spans="1:7" x14ac:dyDescent="0.2">
      <c r="A741" s="16" t="str">
        <f t="shared" si="33"/>
        <v/>
      </c>
      <c r="D741" s="16" t="str">
        <f t="shared" si="34"/>
        <v/>
      </c>
      <c r="G741" s="16" t="str">
        <f t="shared" si="35"/>
        <v/>
      </c>
    </row>
    <row r="742" spans="1:7" x14ac:dyDescent="0.2">
      <c r="A742" s="16" t="str">
        <f t="shared" si="33"/>
        <v/>
      </c>
      <c r="D742" s="16" t="str">
        <f t="shared" si="34"/>
        <v/>
      </c>
      <c r="G742" s="16" t="str">
        <f t="shared" si="35"/>
        <v/>
      </c>
    </row>
    <row r="743" spans="1:7" x14ac:dyDescent="0.2">
      <c r="A743" s="16" t="str">
        <f t="shared" si="33"/>
        <v/>
      </c>
      <c r="D743" s="16" t="str">
        <f t="shared" si="34"/>
        <v/>
      </c>
      <c r="G743" s="16" t="str">
        <f t="shared" si="35"/>
        <v/>
      </c>
    </row>
    <row r="744" spans="1:7" x14ac:dyDescent="0.2">
      <c r="A744" s="16" t="str">
        <f t="shared" si="33"/>
        <v/>
      </c>
      <c r="D744" s="16" t="str">
        <f t="shared" si="34"/>
        <v/>
      </c>
      <c r="G744" s="16" t="str">
        <f t="shared" si="35"/>
        <v/>
      </c>
    </row>
    <row r="745" spans="1:7" x14ac:dyDescent="0.2">
      <c r="A745" s="16" t="str">
        <f t="shared" si="33"/>
        <v/>
      </c>
      <c r="D745" s="16" t="str">
        <f t="shared" si="34"/>
        <v/>
      </c>
      <c r="G745" s="16" t="str">
        <f t="shared" si="35"/>
        <v/>
      </c>
    </row>
    <row r="746" spans="1:7" x14ac:dyDescent="0.2">
      <c r="A746" s="16" t="str">
        <f t="shared" si="33"/>
        <v/>
      </c>
      <c r="D746" s="16" t="str">
        <f t="shared" si="34"/>
        <v/>
      </c>
      <c r="G746" s="16" t="str">
        <f t="shared" si="35"/>
        <v/>
      </c>
    </row>
    <row r="747" spans="1:7" x14ac:dyDescent="0.2">
      <c r="A747" s="16" t="str">
        <f t="shared" si="33"/>
        <v/>
      </c>
      <c r="D747" s="16" t="str">
        <f t="shared" si="34"/>
        <v/>
      </c>
      <c r="G747" s="16" t="str">
        <f t="shared" si="35"/>
        <v/>
      </c>
    </row>
    <row r="748" spans="1:7" x14ac:dyDescent="0.2">
      <c r="A748" s="16" t="str">
        <f t="shared" si="33"/>
        <v/>
      </c>
      <c r="D748" s="16" t="str">
        <f t="shared" si="34"/>
        <v/>
      </c>
      <c r="G748" s="16" t="str">
        <f t="shared" si="35"/>
        <v/>
      </c>
    </row>
    <row r="749" spans="1:7" x14ac:dyDescent="0.2">
      <c r="A749" s="16" t="str">
        <f t="shared" si="33"/>
        <v/>
      </c>
      <c r="D749" s="16" t="str">
        <f t="shared" si="34"/>
        <v/>
      </c>
      <c r="G749" s="16" t="str">
        <f t="shared" si="35"/>
        <v/>
      </c>
    </row>
    <row r="750" spans="1:7" x14ac:dyDescent="0.2">
      <c r="A750" s="16" t="str">
        <f t="shared" si="33"/>
        <v/>
      </c>
      <c r="D750" s="16" t="str">
        <f t="shared" si="34"/>
        <v/>
      </c>
      <c r="G750" s="16" t="str">
        <f t="shared" si="35"/>
        <v/>
      </c>
    </row>
    <row r="751" spans="1:7" x14ac:dyDescent="0.2">
      <c r="A751" s="16" t="str">
        <f t="shared" si="33"/>
        <v/>
      </c>
      <c r="D751" s="16" t="str">
        <f t="shared" si="34"/>
        <v/>
      </c>
      <c r="G751" s="16" t="str">
        <f t="shared" si="35"/>
        <v/>
      </c>
    </row>
    <row r="752" spans="1:7" x14ac:dyDescent="0.2">
      <c r="A752" s="16" t="str">
        <f t="shared" si="33"/>
        <v/>
      </c>
      <c r="D752" s="16" t="str">
        <f t="shared" si="34"/>
        <v/>
      </c>
      <c r="G752" s="16" t="str">
        <f t="shared" si="35"/>
        <v/>
      </c>
    </row>
    <row r="753" spans="1:7" x14ac:dyDescent="0.2">
      <c r="A753" s="16" t="str">
        <f t="shared" si="33"/>
        <v/>
      </c>
      <c r="D753" s="16" t="str">
        <f t="shared" si="34"/>
        <v/>
      </c>
      <c r="G753" s="16" t="str">
        <f t="shared" si="35"/>
        <v/>
      </c>
    </row>
    <row r="754" spans="1:7" x14ac:dyDescent="0.2">
      <c r="A754" s="16" t="str">
        <f t="shared" si="33"/>
        <v/>
      </c>
      <c r="D754" s="16" t="str">
        <f t="shared" si="34"/>
        <v/>
      </c>
      <c r="G754" s="16" t="str">
        <f t="shared" si="35"/>
        <v/>
      </c>
    </row>
    <row r="755" spans="1:7" x14ac:dyDescent="0.2">
      <c r="A755" s="16" t="str">
        <f t="shared" si="33"/>
        <v/>
      </c>
      <c r="D755" s="16" t="str">
        <f t="shared" si="34"/>
        <v/>
      </c>
      <c r="G755" s="16" t="str">
        <f t="shared" si="35"/>
        <v/>
      </c>
    </row>
    <row r="756" spans="1:7" x14ac:dyDescent="0.2">
      <c r="A756" s="16" t="str">
        <f t="shared" si="33"/>
        <v/>
      </c>
      <c r="D756" s="16" t="str">
        <f t="shared" si="34"/>
        <v/>
      </c>
      <c r="G756" s="16" t="str">
        <f t="shared" si="35"/>
        <v/>
      </c>
    </row>
    <row r="757" spans="1:7" x14ac:dyDescent="0.2">
      <c r="A757" s="16" t="str">
        <f t="shared" si="33"/>
        <v/>
      </c>
      <c r="D757" s="16" t="str">
        <f t="shared" si="34"/>
        <v/>
      </c>
      <c r="G757" s="16" t="str">
        <f t="shared" si="35"/>
        <v/>
      </c>
    </row>
    <row r="758" spans="1:7" x14ac:dyDescent="0.2">
      <c r="A758" s="16" t="str">
        <f t="shared" si="33"/>
        <v/>
      </c>
      <c r="D758" s="16" t="str">
        <f t="shared" si="34"/>
        <v/>
      </c>
      <c r="G758" s="16" t="str">
        <f t="shared" si="35"/>
        <v/>
      </c>
    </row>
    <row r="759" spans="1:7" x14ac:dyDescent="0.2">
      <c r="A759" s="16" t="str">
        <f t="shared" si="33"/>
        <v/>
      </c>
      <c r="D759" s="16" t="str">
        <f t="shared" si="34"/>
        <v/>
      </c>
      <c r="G759" s="16" t="str">
        <f t="shared" si="35"/>
        <v/>
      </c>
    </row>
    <row r="760" spans="1:7" x14ac:dyDescent="0.2">
      <c r="A760" s="16" t="str">
        <f t="shared" si="33"/>
        <v/>
      </c>
      <c r="D760" s="16" t="str">
        <f t="shared" si="34"/>
        <v/>
      </c>
      <c r="G760" s="16" t="str">
        <f t="shared" si="35"/>
        <v/>
      </c>
    </row>
    <row r="761" spans="1:7" x14ac:dyDescent="0.2">
      <c r="A761" s="16" t="str">
        <f t="shared" si="33"/>
        <v/>
      </c>
      <c r="D761" s="16" t="str">
        <f t="shared" si="34"/>
        <v/>
      </c>
      <c r="G761" s="16" t="str">
        <f t="shared" si="35"/>
        <v/>
      </c>
    </row>
    <row r="762" spans="1:7" x14ac:dyDescent="0.2">
      <c r="A762" s="16" t="str">
        <f t="shared" si="33"/>
        <v/>
      </c>
      <c r="D762" s="16" t="str">
        <f t="shared" si="34"/>
        <v/>
      </c>
      <c r="G762" s="16" t="str">
        <f t="shared" si="35"/>
        <v/>
      </c>
    </row>
    <row r="763" spans="1:7" x14ac:dyDescent="0.2">
      <c r="A763" s="16" t="str">
        <f t="shared" si="33"/>
        <v/>
      </c>
      <c r="D763" s="16" t="str">
        <f t="shared" si="34"/>
        <v/>
      </c>
      <c r="G763" s="16" t="str">
        <f t="shared" si="35"/>
        <v/>
      </c>
    </row>
    <row r="764" spans="1:7" x14ac:dyDescent="0.2">
      <c r="A764" s="16" t="str">
        <f t="shared" si="33"/>
        <v/>
      </c>
      <c r="D764" s="16" t="str">
        <f t="shared" si="34"/>
        <v/>
      </c>
      <c r="G764" s="16" t="str">
        <f t="shared" si="35"/>
        <v/>
      </c>
    </row>
    <row r="765" spans="1:7" x14ac:dyDescent="0.2">
      <c r="A765" s="16" t="str">
        <f t="shared" si="33"/>
        <v/>
      </c>
      <c r="D765" s="16" t="str">
        <f t="shared" si="34"/>
        <v/>
      </c>
      <c r="G765" s="16" t="str">
        <f t="shared" si="35"/>
        <v/>
      </c>
    </row>
    <row r="766" spans="1:7" x14ac:dyDescent="0.2">
      <c r="A766" s="16" t="str">
        <f t="shared" si="33"/>
        <v/>
      </c>
      <c r="D766" s="16" t="str">
        <f t="shared" si="34"/>
        <v/>
      </c>
      <c r="G766" s="16" t="str">
        <f t="shared" si="35"/>
        <v/>
      </c>
    </row>
    <row r="767" spans="1:7" x14ac:dyDescent="0.2">
      <c r="A767" s="16" t="str">
        <f t="shared" si="33"/>
        <v/>
      </c>
      <c r="D767" s="16" t="str">
        <f t="shared" si="34"/>
        <v/>
      </c>
      <c r="G767" s="16" t="str">
        <f t="shared" si="35"/>
        <v/>
      </c>
    </row>
    <row r="768" spans="1:7" x14ac:dyDescent="0.2">
      <c r="A768" s="16" t="str">
        <f t="shared" si="33"/>
        <v/>
      </c>
      <c r="D768" s="16" t="str">
        <f t="shared" si="34"/>
        <v/>
      </c>
      <c r="G768" s="16" t="str">
        <f t="shared" si="35"/>
        <v/>
      </c>
    </row>
    <row r="769" spans="1:7" x14ac:dyDescent="0.2">
      <c r="A769" s="16" t="str">
        <f t="shared" si="33"/>
        <v/>
      </c>
      <c r="D769" s="16" t="str">
        <f t="shared" si="34"/>
        <v/>
      </c>
      <c r="G769" s="16" t="str">
        <f t="shared" si="35"/>
        <v/>
      </c>
    </row>
    <row r="770" spans="1:7" x14ac:dyDescent="0.2">
      <c r="A770" s="16" t="str">
        <f t="shared" si="33"/>
        <v/>
      </c>
      <c r="D770" s="16" t="str">
        <f t="shared" si="34"/>
        <v/>
      </c>
      <c r="G770" s="16" t="str">
        <f t="shared" si="35"/>
        <v/>
      </c>
    </row>
    <row r="771" spans="1:7" x14ac:dyDescent="0.2">
      <c r="A771" s="16" t="str">
        <f t="shared" ref="A771:A834" si="36">IF(AND(B770&lt;&gt;"",B771=""),"Add vacaction---&gt;","")</f>
        <v/>
      </c>
      <c r="D771" s="16" t="str">
        <f t="shared" ref="D771:D834" si="37">IF(AND(E770&lt;&gt;"",E771=""),"Add Employee---&gt;","")</f>
        <v/>
      </c>
      <c r="G771" s="16" t="str">
        <f t="shared" si="35"/>
        <v/>
      </c>
    </row>
    <row r="772" spans="1:7" x14ac:dyDescent="0.2">
      <c r="A772" s="16" t="str">
        <f t="shared" si="36"/>
        <v/>
      </c>
      <c r="D772" s="16" t="str">
        <f t="shared" si="37"/>
        <v/>
      </c>
      <c r="G772" s="16" t="str">
        <f t="shared" ref="G772:G835" si="38">IF(AND(H771&lt;&gt;"",H772=""),"Add Department---&gt;","")</f>
        <v/>
      </c>
    </row>
    <row r="773" spans="1:7" x14ac:dyDescent="0.2">
      <c r="A773" s="16" t="str">
        <f t="shared" si="36"/>
        <v/>
      </c>
      <c r="D773" s="16" t="str">
        <f t="shared" si="37"/>
        <v/>
      </c>
      <c r="G773" s="16" t="str">
        <f t="shared" si="38"/>
        <v/>
      </c>
    </row>
    <row r="774" spans="1:7" x14ac:dyDescent="0.2">
      <c r="A774" s="16" t="str">
        <f t="shared" si="36"/>
        <v/>
      </c>
      <c r="D774" s="16" t="str">
        <f t="shared" si="37"/>
        <v/>
      </c>
      <c r="G774" s="16" t="str">
        <f t="shared" si="38"/>
        <v/>
      </c>
    </row>
    <row r="775" spans="1:7" x14ac:dyDescent="0.2">
      <c r="A775" s="16" t="str">
        <f t="shared" si="36"/>
        <v/>
      </c>
      <c r="D775" s="16" t="str">
        <f t="shared" si="37"/>
        <v/>
      </c>
      <c r="G775" s="16" t="str">
        <f t="shared" si="38"/>
        <v/>
      </c>
    </row>
    <row r="776" spans="1:7" x14ac:dyDescent="0.2">
      <c r="A776" s="16" t="str">
        <f t="shared" si="36"/>
        <v/>
      </c>
      <c r="D776" s="16" t="str">
        <f t="shared" si="37"/>
        <v/>
      </c>
      <c r="G776" s="16" t="str">
        <f t="shared" si="38"/>
        <v/>
      </c>
    </row>
    <row r="777" spans="1:7" x14ac:dyDescent="0.2">
      <c r="A777" s="16" t="str">
        <f t="shared" si="36"/>
        <v/>
      </c>
      <c r="D777" s="16" t="str">
        <f t="shared" si="37"/>
        <v/>
      </c>
      <c r="G777" s="16" t="str">
        <f t="shared" si="38"/>
        <v/>
      </c>
    </row>
    <row r="778" spans="1:7" x14ac:dyDescent="0.2">
      <c r="A778" s="16" t="str">
        <f t="shared" si="36"/>
        <v/>
      </c>
      <c r="D778" s="16" t="str">
        <f t="shared" si="37"/>
        <v/>
      </c>
      <c r="G778" s="16" t="str">
        <f t="shared" si="38"/>
        <v/>
      </c>
    </row>
    <row r="779" spans="1:7" x14ac:dyDescent="0.2">
      <c r="A779" s="16" t="str">
        <f t="shared" si="36"/>
        <v/>
      </c>
      <c r="D779" s="16" t="str">
        <f t="shared" si="37"/>
        <v/>
      </c>
      <c r="G779" s="16" t="str">
        <f t="shared" si="38"/>
        <v/>
      </c>
    </row>
    <row r="780" spans="1:7" x14ac:dyDescent="0.2">
      <c r="A780" s="16" t="str">
        <f t="shared" si="36"/>
        <v/>
      </c>
      <c r="D780" s="16" t="str">
        <f t="shared" si="37"/>
        <v/>
      </c>
      <c r="G780" s="16" t="str">
        <f t="shared" si="38"/>
        <v/>
      </c>
    </row>
    <row r="781" spans="1:7" x14ac:dyDescent="0.2">
      <c r="A781" s="16" t="str">
        <f t="shared" si="36"/>
        <v/>
      </c>
      <c r="D781" s="16" t="str">
        <f t="shared" si="37"/>
        <v/>
      </c>
      <c r="G781" s="16" t="str">
        <f t="shared" si="38"/>
        <v/>
      </c>
    </row>
    <row r="782" spans="1:7" x14ac:dyDescent="0.2">
      <c r="A782" s="16" t="str">
        <f t="shared" si="36"/>
        <v/>
      </c>
      <c r="D782" s="16" t="str">
        <f t="shared" si="37"/>
        <v/>
      </c>
      <c r="G782" s="16" t="str">
        <f t="shared" si="38"/>
        <v/>
      </c>
    </row>
    <row r="783" spans="1:7" x14ac:dyDescent="0.2">
      <c r="A783" s="16" t="str">
        <f t="shared" si="36"/>
        <v/>
      </c>
      <c r="D783" s="16" t="str">
        <f t="shared" si="37"/>
        <v/>
      </c>
      <c r="G783" s="16" t="str">
        <f t="shared" si="38"/>
        <v/>
      </c>
    </row>
    <row r="784" spans="1:7" x14ac:dyDescent="0.2">
      <c r="A784" s="16" t="str">
        <f t="shared" si="36"/>
        <v/>
      </c>
      <c r="D784" s="16" t="str">
        <f t="shared" si="37"/>
        <v/>
      </c>
      <c r="G784" s="16" t="str">
        <f t="shared" si="38"/>
        <v/>
      </c>
    </row>
    <row r="785" spans="1:7" x14ac:dyDescent="0.2">
      <c r="A785" s="16" t="str">
        <f t="shared" si="36"/>
        <v/>
      </c>
      <c r="D785" s="16" t="str">
        <f t="shared" si="37"/>
        <v/>
      </c>
      <c r="G785" s="16" t="str">
        <f t="shared" si="38"/>
        <v/>
      </c>
    </row>
    <row r="786" spans="1:7" x14ac:dyDescent="0.2">
      <c r="A786" s="16" t="str">
        <f t="shared" si="36"/>
        <v/>
      </c>
      <c r="D786" s="16" t="str">
        <f t="shared" si="37"/>
        <v/>
      </c>
      <c r="G786" s="16" t="str">
        <f t="shared" si="38"/>
        <v/>
      </c>
    </row>
    <row r="787" spans="1:7" x14ac:dyDescent="0.2">
      <c r="A787" s="16" t="str">
        <f t="shared" si="36"/>
        <v/>
      </c>
      <c r="D787" s="16" t="str">
        <f t="shared" si="37"/>
        <v/>
      </c>
      <c r="G787" s="16" t="str">
        <f t="shared" si="38"/>
        <v/>
      </c>
    </row>
    <row r="788" spans="1:7" x14ac:dyDescent="0.2">
      <c r="A788" s="16" t="str">
        <f t="shared" si="36"/>
        <v/>
      </c>
      <c r="D788" s="16" t="str">
        <f t="shared" si="37"/>
        <v/>
      </c>
      <c r="G788" s="16" t="str">
        <f t="shared" si="38"/>
        <v/>
      </c>
    </row>
    <row r="789" spans="1:7" x14ac:dyDescent="0.2">
      <c r="A789" s="16" t="str">
        <f t="shared" si="36"/>
        <v/>
      </c>
      <c r="D789" s="16" t="str">
        <f t="shared" si="37"/>
        <v/>
      </c>
      <c r="G789" s="16" t="str">
        <f t="shared" si="38"/>
        <v/>
      </c>
    </row>
    <row r="790" spans="1:7" x14ac:dyDescent="0.2">
      <c r="A790" s="16" t="str">
        <f t="shared" si="36"/>
        <v/>
      </c>
      <c r="D790" s="16" t="str">
        <f t="shared" si="37"/>
        <v/>
      </c>
      <c r="G790" s="16" t="str">
        <f t="shared" si="38"/>
        <v/>
      </c>
    </row>
    <row r="791" spans="1:7" x14ac:dyDescent="0.2">
      <c r="A791" s="16" t="str">
        <f t="shared" si="36"/>
        <v/>
      </c>
      <c r="D791" s="16" t="str">
        <f t="shared" si="37"/>
        <v/>
      </c>
      <c r="G791" s="16" t="str">
        <f t="shared" si="38"/>
        <v/>
      </c>
    </row>
    <row r="792" spans="1:7" x14ac:dyDescent="0.2">
      <c r="A792" s="16" t="str">
        <f t="shared" si="36"/>
        <v/>
      </c>
      <c r="D792" s="16" t="str">
        <f t="shared" si="37"/>
        <v/>
      </c>
      <c r="G792" s="16" t="str">
        <f t="shared" si="38"/>
        <v/>
      </c>
    </row>
    <row r="793" spans="1:7" x14ac:dyDescent="0.2">
      <c r="A793" s="16" t="str">
        <f t="shared" si="36"/>
        <v/>
      </c>
      <c r="D793" s="16" t="str">
        <f t="shared" si="37"/>
        <v/>
      </c>
      <c r="G793" s="16" t="str">
        <f t="shared" si="38"/>
        <v/>
      </c>
    </row>
    <row r="794" spans="1:7" x14ac:dyDescent="0.2">
      <c r="A794" s="16" t="str">
        <f t="shared" si="36"/>
        <v/>
      </c>
      <c r="D794" s="16" t="str">
        <f t="shared" si="37"/>
        <v/>
      </c>
      <c r="G794" s="16" t="str">
        <f t="shared" si="38"/>
        <v/>
      </c>
    </row>
    <row r="795" spans="1:7" x14ac:dyDescent="0.2">
      <c r="A795" s="16" t="str">
        <f t="shared" si="36"/>
        <v/>
      </c>
      <c r="D795" s="16" t="str">
        <f t="shared" si="37"/>
        <v/>
      </c>
      <c r="G795" s="16" t="str">
        <f t="shared" si="38"/>
        <v/>
      </c>
    </row>
    <row r="796" spans="1:7" x14ac:dyDescent="0.2">
      <c r="A796" s="16" t="str">
        <f t="shared" si="36"/>
        <v/>
      </c>
      <c r="D796" s="16" t="str">
        <f t="shared" si="37"/>
        <v/>
      </c>
      <c r="G796" s="16" t="str">
        <f t="shared" si="38"/>
        <v/>
      </c>
    </row>
    <row r="797" spans="1:7" x14ac:dyDescent="0.2">
      <c r="A797" s="16" t="str">
        <f t="shared" si="36"/>
        <v/>
      </c>
      <c r="D797" s="16" t="str">
        <f t="shared" si="37"/>
        <v/>
      </c>
      <c r="G797" s="16" t="str">
        <f t="shared" si="38"/>
        <v/>
      </c>
    </row>
    <row r="798" spans="1:7" x14ac:dyDescent="0.2">
      <c r="A798" s="16" t="str">
        <f t="shared" si="36"/>
        <v/>
      </c>
      <c r="D798" s="16" t="str">
        <f t="shared" si="37"/>
        <v/>
      </c>
      <c r="G798" s="16" t="str">
        <f t="shared" si="38"/>
        <v/>
      </c>
    </row>
    <row r="799" spans="1:7" x14ac:dyDescent="0.2">
      <c r="A799" s="16" t="str">
        <f t="shared" si="36"/>
        <v/>
      </c>
      <c r="D799" s="16" t="str">
        <f t="shared" si="37"/>
        <v/>
      </c>
      <c r="G799" s="16" t="str">
        <f t="shared" si="38"/>
        <v/>
      </c>
    </row>
    <row r="800" spans="1:7" x14ac:dyDescent="0.2">
      <c r="A800" s="16" t="str">
        <f t="shared" si="36"/>
        <v/>
      </c>
      <c r="D800" s="16" t="str">
        <f t="shared" si="37"/>
        <v/>
      </c>
      <c r="G800" s="16" t="str">
        <f t="shared" si="38"/>
        <v/>
      </c>
    </row>
    <row r="801" spans="1:7" x14ac:dyDescent="0.2">
      <c r="A801" s="16" t="str">
        <f t="shared" si="36"/>
        <v/>
      </c>
      <c r="D801" s="16" t="str">
        <f t="shared" si="37"/>
        <v/>
      </c>
      <c r="G801" s="16" t="str">
        <f t="shared" si="38"/>
        <v/>
      </c>
    </row>
    <row r="802" spans="1:7" x14ac:dyDescent="0.2">
      <c r="A802" s="16" t="str">
        <f t="shared" si="36"/>
        <v/>
      </c>
      <c r="D802" s="16" t="str">
        <f t="shared" si="37"/>
        <v/>
      </c>
      <c r="G802" s="16" t="str">
        <f t="shared" si="38"/>
        <v/>
      </c>
    </row>
    <row r="803" spans="1:7" x14ac:dyDescent="0.2">
      <c r="A803" s="16" t="str">
        <f t="shared" si="36"/>
        <v/>
      </c>
      <c r="D803" s="16" t="str">
        <f t="shared" si="37"/>
        <v/>
      </c>
      <c r="G803" s="16" t="str">
        <f t="shared" si="38"/>
        <v/>
      </c>
    </row>
    <row r="804" spans="1:7" x14ac:dyDescent="0.2">
      <c r="A804" s="16" t="str">
        <f t="shared" si="36"/>
        <v/>
      </c>
      <c r="D804" s="16" t="str">
        <f t="shared" si="37"/>
        <v/>
      </c>
      <c r="G804" s="16" t="str">
        <f t="shared" si="38"/>
        <v/>
      </c>
    </row>
    <row r="805" spans="1:7" x14ac:dyDescent="0.2">
      <c r="A805" s="16" t="str">
        <f t="shared" si="36"/>
        <v/>
      </c>
      <c r="D805" s="16" t="str">
        <f t="shared" si="37"/>
        <v/>
      </c>
      <c r="G805" s="16" t="str">
        <f t="shared" si="38"/>
        <v/>
      </c>
    </row>
    <row r="806" spans="1:7" x14ac:dyDescent="0.2">
      <c r="A806" s="16" t="str">
        <f t="shared" si="36"/>
        <v/>
      </c>
      <c r="D806" s="16" t="str">
        <f t="shared" si="37"/>
        <v/>
      </c>
      <c r="G806" s="16" t="str">
        <f t="shared" si="38"/>
        <v/>
      </c>
    </row>
    <row r="807" spans="1:7" x14ac:dyDescent="0.2">
      <c r="A807" s="16" t="str">
        <f t="shared" si="36"/>
        <v/>
      </c>
      <c r="D807" s="16" t="str">
        <f t="shared" si="37"/>
        <v/>
      </c>
      <c r="G807" s="16" t="str">
        <f t="shared" si="38"/>
        <v/>
      </c>
    </row>
    <row r="808" spans="1:7" x14ac:dyDescent="0.2">
      <c r="A808" s="16" t="str">
        <f t="shared" si="36"/>
        <v/>
      </c>
      <c r="D808" s="16" t="str">
        <f t="shared" si="37"/>
        <v/>
      </c>
      <c r="G808" s="16" t="str">
        <f t="shared" si="38"/>
        <v/>
      </c>
    </row>
    <row r="809" spans="1:7" x14ac:dyDescent="0.2">
      <c r="A809" s="16" t="str">
        <f t="shared" si="36"/>
        <v/>
      </c>
      <c r="D809" s="16" t="str">
        <f t="shared" si="37"/>
        <v/>
      </c>
      <c r="G809" s="16" t="str">
        <f t="shared" si="38"/>
        <v/>
      </c>
    </row>
    <row r="810" spans="1:7" x14ac:dyDescent="0.2">
      <c r="A810" s="16" t="str">
        <f t="shared" si="36"/>
        <v/>
      </c>
      <c r="D810" s="16" t="str">
        <f t="shared" si="37"/>
        <v/>
      </c>
      <c r="G810" s="16" t="str">
        <f t="shared" si="38"/>
        <v/>
      </c>
    </row>
    <row r="811" spans="1:7" x14ac:dyDescent="0.2">
      <c r="A811" s="16" t="str">
        <f t="shared" si="36"/>
        <v/>
      </c>
      <c r="D811" s="16" t="str">
        <f t="shared" si="37"/>
        <v/>
      </c>
      <c r="G811" s="16" t="str">
        <f t="shared" si="38"/>
        <v/>
      </c>
    </row>
    <row r="812" spans="1:7" x14ac:dyDescent="0.2">
      <c r="A812" s="16" t="str">
        <f t="shared" si="36"/>
        <v/>
      </c>
      <c r="D812" s="16" t="str">
        <f t="shared" si="37"/>
        <v/>
      </c>
      <c r="G812" s="16" t="str">
        <f t="shared" si="38"/>
        <v/>
      </c>
    </row>
    <row r="813" spans="1:7" x14ac:dyDescent="0.2">
      <c r="A813" s="16" t="str">
        <f t="shared" si="36"/>
        <v/>
      </c>
      <c r="D813" s="16" t="str">
        <f t="shared" si="37"/>
        <v/>
      </c>
      <c r="G813" s="16" t="str">
        <f t="shared" si="38"/>
        <v/>
      </c>
    </row>
    <row r="814" spans="1:7" x14ac:dyDescent="0.2">
      <c r="A814" s="16" t="str">
        <f t="shared" si="36"/>
        <v/>
      </c>
      <c r="D814" s="16" t="str">
        <f t="shared" si="37"/>
        <v/>
      </c>
      <c r="G814" s="16" t="str">
        <f t="shared" si="38"/>
        <v/>
      </c>
    </row>
    <row r="815" spans="1:7" x14ac:dyDescent="0.2">
      <c r="A815" s="16" t="str">
        <f t="shared" si="36"/>
        <v/>
      </c>
      <c r="D815" s="16" t="str">
        <f t="shared" si="37"/>
        <v/>
      </c>
      <c r="G815" s="16" t="str">
        <f t="shared" si="38"/>
        <v/>
      </c>
    </row>
    <row r="816" spans="1:7" x14ac:dyDescent="0.2">
      <c r="A816" s="16" t="str">
        <f t="shared" si="36"/>
        <v/>
      </c>
      <c r="D816" s="16" t="str">
        <f t="shared" si="37"/>
        <v/>
      </c>
      <c r="G816" s="16" t="str">
        <f t="shared" si="38"/>
        <v/>
      </c>
    </row>
    <row r="817" spans="1:7" x14ac:dyDescent="0.2">
      <c r="A817" s="16" t="str">
        <f t="shared" si="36"/>
        <v/>
      </c>
      <c r="D817" s="16" t="str">
        <f t="shared" si="37"/>
        <v/>
      </c>
      <c r="G817" s="16" t="str">
        <f t="shared" si="38"/>
        <v/>
      </c>
    </row>
    <row r="818" spans="1:7" x14ac:dyDescent="0.2">
      <c r="A818" s="16" t="str">
        <f t="shared" si="36"/>
        <v/>
      </c>
      <c r="D818" s="16" t="str">
        <f t="shared" si="37"/>
        <v/>
      </c>
      <c r="G818" s="16" t="str">
        <f t="shared" si="38"/>
        <v/>
      </c>
    </row>
    <row r="819" spans="1:7" x14ac:dyDescent="0.2">
      <c r="A819" s="16" t="str">
        <f t="shared" si="36"/>
        <v/>
      </c>
      <c r="D819" s="16" t="str">
        <f t="shared" si="37"/>
        <v/>
      </c>
      <c r="G819" s="16" t="str">
        <f t="shared" si="38"/>
        <v/>
      </c>
    </row>
    <row r="820" spans="1:7" x14ac:dyDescent="0.2">
      <c r="A820" s="16" t="str">
        <f t="shared" si="36"/>
        <v/>
      </c>
      <c r="D820" s="16" t="str">
        <f t="shared" si="37"/>
        <v/>
      </c>
      <c r="G820" s="16" t="str">
        <f t="shared" si="38"/>
        <v/>
      </c>
    </row>
    <row r="821" spans="1:7" x14ac:dyDescent="0.2">
      <c r="A821" s="16" t="str">
        <f t="shared" si="36"/>
        <v/>
      </c>
      <c r="D821" s="16" t="str">
        <f t="shared" si="37"/>
        <v/>
      </c>
      <c r="G821" s="16" t="str">
        <f t="shared" si="38"/>
        <v/>
      </c>
    </row>
    <row r="822" spans="1:7" x14ac:dyDescent="0.2">
      <c r="A822" s="16" t="str">
        <f t="shared" si="36"/>
        <v/>
      </c>
      <c r="D822" s="16" t="str">
        <f t="shared" si="37"/>
        <v/>
      </c>
      <c r="G822" s="16" t="str">
        <f t="shared" si="38"/>
        <v/>
      </c>
    </row>
    <row r="823" spans="1:7" x14ac:dyDescent="0.2">
      <c r="A823" s="16" t="str">
        <f t="shared" si="36"/>
        <v/>
      </c>
      <c r="D823" s="16" t="str">
        <f t="shared" si="37"/>
        <v/>
      </c>
      <c r="G823" s="16" t="str">
        <f t="shared" si="38"/>
        <v/>
      </c>
    </row>
    <row r="824" spans="1:7" x14ac:dyDescent="0.2">
      <c r="A824" s="16" t="str">
        <f t="shared" si="36"/>
        <v/>
      </c>
      <c r="D824" s="16" t="str">
        <f t="shared" si="37"/>
        <v/>
      </c>
      <c r="G824" s="16" t="str">
        <f t="shared" si="38"/>
        <v/>
      </c>
    </row>
    <row r="825" spans="1:7" x14ac:dyDescent="0.2">
      <c r="A825" s="16" t="str">
        <f t="shared" si="36"/>
        <v/>
      </c>
      <c r="D825" s="16" t="str">
        <f t="shared" si="37"/>
        <v/>
      </c>
      <c r="G825" s="16" t="str">
        <f t="shared" si="38"/>
        <v/>
      </c>
    </row>
    <row r="826" spans="1:7" x14ac:dyDescent="0.2">
      <c r="A826" s="16" t="str">
        <f t="shared" si="36"/>
        <v/>
      </c>
      <c r="D826" s="16" t="str">
        <f t="shared" si="37"/>
        <v/>
      </c>
      <c r="G826" s="16" t="str">
        <f t="shared" si="38"/>
        <v/>
      </c>
    </row>
    <row r="827" spans="1:7" x14ac:dyDescent="0.2">
      <c r="A827" s="16" t="str">
        <f t="shared" si="36"/>
        <v/>
      </c>
      <c r="D827" s="16" t="str">
        <f t="shared" si="37"/>
        <v/>
      </c>
      <c r="G827" s="16" t="str">
        <f t="shared" si="38"/>
        <v/>
      </c>
    </row>
    <row r="828" spans="1:7" x14ac:dyDescent="0.2">
      <c r="A828" s="16" t="str">
        <f t="shared" si="36"/>
        <v/>
      </c>
      <c r="D828" s="16" t="str">
        <f t="shared" si="37"/>
        <v/>
      </c>
      <c r="G828" s="16" t="str">
        <f t="shared" si="38"/>
        <v/>
      </c>
    </row>
    <row r="829" spans="1:7" x14ac:dyDescent="0.2">
      <c r="A829" s="16" t="str">
        <f t="shared" si="36"/>
        <v/>
      </c>
      <c r="D829" s="16" t="str">
        <f t="shared" si="37"/>
        <v/>
      </c>
      <c r="G829" s="16" t="str">
        <f t="shared" si="38"/>
        <v/>
      </c>
    </row>
    <row r="830" spans="1:7" x14ac:dyDescent="0.2">
      <c r="A830" s="16" t="str">
        <f t="shared" si="36"/>
        <v/>
      </c>
      <c r="D830" s="16" t="str">
        <f t="shared" si="37"/>
        <v/>
      </c>
      <c r="G830" s="16" t="str">
        <f t="shared" si="38"/>
        <v/>
      </c>
    </row>
    <row r="831" spans="1:7" x14ac:dyDescent="0.2">
      <c r="A831" s="16" t="str">
        <f t="shared" si="36"/>
        <v/>
      </c>
      <c r="D831" s="16" t="str">
        <f t="shared" si="37"/>
        <v/>
      </c>
      <c r="G831" s="16" t="str">
        <f t="shared" si="38"/>
        <v/>
      </c>
    </row>
    <row r="832" spans="1:7" x14ac:dyDescent="0.2">
      <c r="A832" s="16" t="str">
        <f t="shared" si="36"/>
        <v/>
      </c>
      <c r="D832" s="16" t="str">
        <f t="shared" si="37"/>
        <v/>
      </c>
      <c r="G832" s="16" t="str">
        <f t="shared" si="38"/>
        <v/>
      </c>
    </row>
    <row r="833" spans="1:7" x14ac:dyDescent="0.2">
      <c r="A833" s="16" t="str">
        <f t="shared" si="36"/>
        <v/>
      </c>
      <c r="D833" s="16" t="str">
        <f t="shared" si="37"/>
        <v/>
      </c>
      <c r="G833" s="16" t="str">
        <f t="shared" si="38"/>
        <v/>
      </c>
    </row>
    <row r="834" spans="1:7" x14ac:dyDescent="0.2">
      <c r="A834" s="16" t="str">
        <f t="shared" si="36"/>
        <v/>
      </c>
      <c r="D834" s="16" t="str">
        <f t="shared" si="37"/>
        <v/>
      </c>
      <c r="G834" s="16" t="str">
        <f t="shared" si="38"/>
        <v/>
      </c>
    </row>
    <row r="835" spans="1:7" x14ac:dyDescent="0.2">
      <c r="A835" s="16" t="str">
        <f t="shared" ref="A835:A898" si="39">IF(AND(B834&lt;&gt;"",B835=""),"Add vacaction---&gt;","")</f>
        <v/>
      </c>
      <c r="D835" s="16" t="str">
        <f t="shared" ref="D835:D898" si="40">IF(AND(E834&lt;&gt;"",E835=""),"Add Employee---&gt;","")</f>
        <v/>
      </c>
      <c r="G835" s="16" t="str">
        <f t="shared" si="38"/>
        <v/>
      </c>
    </row>
    <row r="836" spans="1:7" x14ac:dyDescent="0.2">
      <c r="A836" s="16" t="str">
        <f t="shared" si="39"/>
        <v/>
      </c>
      <c r="D836" s="16" t="str">
        <f t="shared" si="40"/>
        <v/>
      </c>
      <c r="G836" s="16" t="str">
        <f t="shared" ref="G836:G899" si="41">IF(AND(H835&lt;&gt;"",H836=""),"Add Department---&gt;","")</f>
        <v/>
      </c>
    </row>
    <row r="837" spans="1:7" x14ac:dyDescent="0.2">
      <c r="A837" s="16" t="str">
        <f t="shared" si="39"/>
        <v/>
      </c>
      <c r="D837" s="16" t="str">
        <f t="shared" si="40"/>
        <v/>
      </c>
      <c r="G837" s="16" t="str">
        <f t="shared" si="41"/>
        <v/>
      </c>
    </row>
    <row r="838" spans="1:7" x14ac:dyDescent="0.2">
      <c r="A838" s="16" t="str">
        <f t="shared" si="39"/>
        <v/>
      </c>
      <c r="D838" s="16" t="str">
        <f t="shared" si="40"/>
        <v/>
      </c>
      <c r="G838" s="16" t="str">
        <f t="shared" si="41"/>
        <v/>
      </c>
    </row>
    <row r="839" spans="1:7" x14ac:dyDescent="0.2">
      <c r="A839" s="16" t="str">
        <f t="shared" si="39"/>
        <v/>
      </c>
      <c r="D839" s="16" t="str">
        <f t="shared" si="40"/>
        <v/>
      </c>
      <c r="G839" s="16" t="str">
        <f t="shared" si="41"/>
        <v/>
      </c>
    </row>
    <row r="840" spans="1:7" x14ac:dyDescent="0.2">
      <c r="A840" s="16" t="str">
        <f t="shared" si="39"/>
        <v/>
      </c>
      <c r="D840" s="16" t="str">
        <f t="shared" si="40"/>
        <v/>
      </c>
      <c r="G840" s="16" t="str">
        <f t="shared" si="41"/>
        <v/>
      </c>
    </row>
    <row r="841" spans="1:7" x14ac:dyDescent="0.2">
      <c r="A841" s="16" t="str">
        <f t="shared" si="39"/>
        <v/>
      </c>
      <c r="D841" s="16" t="str">
        <f t="shared" si="40"/>
        <v/>
      </c>
      <c r="G841" s="16" t="str">
        <f t="shared" si="41"/>
        <v/>
      </c>
    </row>
    <row r="842" spans="1:7" x14ac:dyDescent="0.2">
      <c r="A842" s="16" t="str">
        <f t="shared" si="39"/>
        <v/>
      </c>
      <c r="D842" s="16" t="str">
        <f t="shared" si="40"/>
        <v/>
      </c>
      <c r="G842" s="16" t="str">
        <f t="shared" si="41"/>
        <v/>
      </c>
    </row>
    <row r="843" spans="1:7" x14ac:dyDescent="0.2">
      <c r="A843" s="16" t="str">
        <f t="shared" si="39"/>
        <v/>
      </c>
      <c r="D843" s="16" t="str">
        <f t="shared" si="40"/>
        <v/>
      </c>
      <c r="G843" s="16" t="str">
        <f t="shared" si="41"/>
        <v/>
      </c>
    </row>
    <row r="844" spans="1:7" x14ac:dyDescent="0.2">
      <c r="A844" s="16" t="str">
        <f t="shared" si="39"/>
        <v/>
      </c>
      <c r="D844" s="16" t="str">
        <f t="shared" si="40"/>
        <v/>
      </c>
      <c r="G844" s="16" t="str">
        <f t="shared" si="41"/>
        <v/>
      </c>
    </row>
    <row r="845" spans="1:7" x14ac:dyDescent="0.2">
      <c r="A845" s="16" t="str">
        <f t="shared" si="39"/>
        <v/>
      </c>
      <c r="D845" s="16" t="str">
        <f t="shared" si="40"/>
        <v/>
      </c>
      <c r="G845" s="16" t="str">
        <f t="shared" si="41"/>
        <v/>
      </c>
    </row>
    <row r="846" spans="1:7" x14ac:dyDescent="0.2">
      <c r="A846" s="16" t="str">
        <f t="shared" si="39"/>
        <v/>
      </c>
      <c r="D846" s="16" t="str">
        <f t="shared" si="40"/>
        <v/>
      </c>
      <c r="G846" s="16" t="str">
        <f t="shared" si="41"/>
        <v/>
      </c>
    </row>
    <row r="847" spans="1:7" x14ac:dyDescent="0.2">
      <c r="A847" s="16" t="str">
        <f t="shared" si="39"/>
        <v/>
      </c>
      <c r="D847" s="16" t="str">
        <f t="shared" si="40"/>
        <v/>
      </c>
      <c r="G847" s="16" t="str">
        <f t="shared" si="41"/>
        <v/>
      </c>
    </row>
    <row r="848" spans="1:7" x14ac:dyDescent="0.2">
      <c r="A848" s="16" t="str">
        <f t="shared" si="39"/>
        <v/>
      </c>
      <c r="D848" s="16" t="str">
        <f t="shared" si="40"/>
        <v/>
      </c>
      <c r="G848" s="16" t="str">
        <f t="shared" si="41"/>
        <v/>
      </c>
    </row>
    <row r="849" spans="1:7" x14ac:dyDescent="0.2">
      <c r="A849" s="16" t="str">
        <f t="shared" si="39"/>
        <v/>
      </c>
      <c r="D849" s="16" t="str">
        <f t="shared" si="40"/>
        <v/>
      </c>
      <c r="G849" s="16" t="str">
        <f t="shared" si="41"/>
        <v/>
      </c>
    </row>
    <row r="850" spans="1:7" x14ac:dyDescent="0.2">
      <c r="A850" s="16" t="str">
        <f t="shared" si="39"/>
        <v/>
      </c>
      <c r="D850" s="16" t="str">
        <f t="shared" si="40"/>
        <v/>
      </c>
      <c r="G850" s="16" t="str">
        <f t="shared" si="41"/>
        <v/>
      </c>
    </row>
    <row r="851" spans="1:7" x14ac:dyDescent="0.2">
      <c r="A851" s="16" t="str">
        <f t="shared" si="39"/>
        <v/>
      </c>
      <c r="D851" s="16" t="str">
        <f t="shared" si="40"/>
        <v/>
      </c>
      <c r="G851" s="16" t="str">
        <f t="shared" si="41"/>
        <v/>
      </c>
    </row>
    <row r="852" spans="1:7" x14ac:dyDescent="0.2">
      <c r="A852" s="16" t="str">
        <f t="shared" si="39"/>
        <v/>
      </c>
      <c r="D852" s="16" t="str">
        <f t="shared" si="40"/>
        <v/>
      </c>
      <c r="G852" s="16" t="str">
        <f t="shared" si="41"/>
        <v/>
      </c>
    </row>
    <row r="853" spans="1:7" x14ac:dyDescent="0.2">
      <c r="A853" s="16" t="str">
        <f t="shared" si="39"/>
        <v/>
      </c>
      <c r="D853" s="16" t="str">
        <f t="shared" si="40"/>
        <v/>
      </c>
      <c r="G853" s="16" t="str">
        <f t="shared" si="41"/>
        <v/>
      </c>
    </row>
    <row r="854" spans="1:7" x14ac:dyDescent="0.2">
      <c r="A854" s="16" t="str">
        <f t="shared" si="39"/>
        <v/>
      </c>
      <c r="D854" s="16" t="str">
        <f t="shared" si="40"/>
        <v/>
      </c>
      <c r="G854" s="16" t="str">
        <f t="shared" si="41"/>
        <v/>
      </c>
    </row>
    <row r="855" spans="1:7" x14ac:dyDescent="0.2">
      <c r="A855" s="16" t="str">
        <f t="shared" si="39"/>
        <v/>
      </c>
      <c r="D855" s="16" t="str">
        <f t="shared" si="40"/>
        <v/>
      </c>
      <c r="G855" s="16" t="str">
        <f t="shared" si="41"/>
        <v/>
      </c>
    </row>
    <row r="856" spans="1:7" x14ac:dyDescent="0.2">
      <c r="A856" s="16" t="str">
        <f t="shared" si="39"/>
        <v/>
      </c>
      <c r="D856" s="16" t="str">
        <f t="shared" si="40"/>
        <v/>
      </c>
      <c r="G856" s="16" t="str">
        <f t="shared" si="41"/>
        <v/>
      </c>
    </row>
    <row r="857" spans="1:7" x14ac:dyDescent="0.2">
      <c r="A857" s="16" t="str">
        <f t="shared" si="39"/>
        <v/>
      </c>
      <c r="D857" s="16" t="str">
        <f t="shared" si="40"/>
        <v/>
      </c>
      <c r="G857" s="16" t="str">
        <f t="shared" si="41"/>
        <v/>
      </c>
    </row>
    <row r="858" spans="1:7" x14ac:dyDescent="0.2">
      <c r="A858" s="16" t="str">
        <f t="shared" si="39"/>
        <v/>
      </c>
      <c r="D858" s="16" t="str">
        <f t="shared" si="40"/>
        <v/>
      </c>
      <c r="G858" s="16" t="str">
        <f t="shared" si="41"/>
        <v/>
      </c>
    </row>
    <row r="859" spans="1:7" x14ac:dyDescent="0.2">
      <c r="A859" s="16" t="str">
        <f t="shared" si="39"/>
        <v/>
      </c>
      <c r="D859" s="16" t="str">
        <f t="shared" si="40"/>
        <v/>
      </c>
      <c r="G859" s="16" t="str">
        <f t="shared" si="41"/>
        <v/>
      </c>
    </row>
    <row r="860" spans="1:7" x14ac:dyDescent="0.2">
      <c r="A860" s="16" t="str">
        <f t="shared" si="39"/>
        <v/>
      </c>
      <c r="D860" s="16" t="str">
        <f t="shared" si="40"/>
        <v/>
      </c>
      <c r="G860" s="16" t="str">
        <f t="shared" si="41"/>
        <v/>
      </c>
    </row>
    <row r="861" spans="1:7" x14ac:dyDescent="0.2">
      <c r="A861" s="16" t="str">
        <f t="shared" si="39"/>
        <v/>
      </c>
      <c r="D861" s="16" t="str">
        <f t="shared" si="40"/>
        <v/>
      </c>
      <c r="G861" s="16" t="str">
        <f t="shared" si="41"/>
        <v/>
      </c>
    </row>
    <row r="862" spans="1:7" x14ac:dyDescent="0.2">
      <c r="A862" s="16" t="str">
        <f t="shared" si="39"/>
        <v/>
      </c>
      <c r="D862" s="16" t="str">
        <f t="shared" si="40"/>
        <v/>
      </c>
      <c r="G862" s="16" t="str">
        <f t="shared" si="41"/>
        <v/>
      </c>
    </row>
    <row r="863" spans="1:7" x14ac:dyDescent="0.2">
      <c r="A863" s="16" t="str">
        <f t="shared" si="39"/>
        <v/>
      </c>
      <c r="D863" s="16" t="str">
        <f t="shared" si="40"/>
        <v/>
      </c>
      <c r="G863" s="16" t="str">
        <f t="shared" si="41"/>
        <v/>
      </c>
    </row>
    <row r="864" spans="1:7" x14ac:dyDescent="0.2">
      <c r="A864" s="16" t="str">
        <f t="shared" si="39"/>
        <v/>
      </c>
      <c r="D864" s="16" t="str">
        <f t="shared" si="40"/>
        <v/>
      </c>
      <c r="G864" s="16" t="str">
        <f t="shared" si="41"/>
        <v/>
      </c>
    </row>
    <row r="865" spans="1:7" x14ac:dyDescent="0.2">
      <c r="A865" s="16" t="str">
        <f t="shared" si="39"/>
        <v/>
      </c>
      <c r="D865" s="16" t="str">
        <f t="shared" si="40"/>
        <v/>
      </c>
      <c r="G865" s="16" t="str">
        <f t="shared" si="41"/>
        <v/>
      </c>
    </row>
    <row r="866" spans="1:7" x14ac:dyDescent="0.2">
      <c r="A866" s="16" t="str">
        <f t="shared" si="39"/>
        <v/>
      </c>
      <c r="D866" s="16" t="str">
        <f t="shared" si="40"/>
        <v/>
      </c>
      <c r="G866" s="16" t="str">
        <f t="shared" si="41"/>
        <v/>
      </c>
    </row>
    <row r="867" spans="1:7" x14ac:dyDescent="0.2">
      <c r="A867" s="16" t="str">
        <f t="shared" si="39"/>
        <v/>
      </c>
      <c r="D867" s="16" t="str">
        <f t="shared" si="40"/>
        <v/>
      </c>
      <c r="G867" s="16" t="str">
        <f t="shared" si="41"/>
        <v/>
      </c>
    </row>
    <row r="868" spans="1:7" x14ac:dyDescent="0.2">
      <c r="A868" s="16" t="str">
        <f t="shared" si="39"/>
        <v/>
      </c>
      <c r="D868" s="16" t="str">
        <f t="shared" si="40"/>
        <v/>
      </c>
      <c r="G868" s="16" t="str">
        <f t="shared" si="41"/>
        <v/>
      </c>
    </row>
    <row r="869" spans="1:7" x14ac:dyDescent="0.2">
      <c r="A869" s="16" t="str">
        <f t="shared" si="39"/>
        <v/>
      </c>
      <c r="D869" s="16" t="str">
        <f t="shared" si="40"/>
        <v/>
      </c>
      <c r="G869" s="16" t="str">
        <f t="shared" si="41"/>
        <v/>
      </c>
    </row>
    <row r="870" spans="1:7" x14ac:dyDescent="0.2">
      <c r="A870" s="16" t="str">
        <f t="shared" si="39"/>
        <v/>
      </c>
      <c r="D870" s="16" t="str">
        <f t="shared" si="40"/>
        <v/>
      </c>
      <c r="G870" s="16" t="str">
        <f t="shared" si="41"/>
        <v/>
      </c>
    </row>
    <row r="871" spans="1:7" x14ac:dyDescent="0.2">
      <c r="A871" s="16" t="str">
        <f t="shared" si="39"/>
        <v/>
      </c>
      <c r="D871" s="16" t="str">
        <f t="shared" si="40"/>
        <v/>
      </c>
      <c r="G871" s="16" t="str">
        <f t="shared" si="41"/>
        <v/>
      </c>
    </row>
    <row r="872" spans="1:7" x14ac:dyDescent="0.2">
      <c r="A872" s="16" t="str">
        <f t="shared" si="39"/>
        <v/>
      </c>
      <c r="D872" s="16" t="str">
        <f t="shared" si="40"/>
        <v/>
      </c>
      <c r="G872" s="16" t="str">
        <f t="shared" si="41"/>
        <v/>
      </c>
    </row>
    <row r="873" spans="1:7" x14ac:dyDescent="0.2">
      <c r="A873" s="16" t="str">
        <f t="shared" si="39"/>
        <v/>
      </c>
      <c r="D873" s="16" t="str">
        <f t="shared" si="40"/>
        <v/>
      </c>
      <c r="G873" s="16" t="str">
        <f t="shared" si="41"/>
        <v/>
      </c>
    </row>
    <row r="874" spans="1:7" x14ac:dyDescent="0.2">
      <c r="A874" s="16" t="str">
        <f t="shared" si="39"/>
        <v/>
      </c>
      <c r="D874" s="16" t="str">
        <f t="shared" si="40"/>
        <v/>
      </c>
      <c r="G874" s="16" t="str">
        <f t="shared" si="41"/>
        <v/>
      </c>
    </row>
    <row r="875" spans="1:7" x14ac:dyDescent="0.2">
      <c r="A875" s="16" t="str">
        <f t="shared" si="39"/>
        <v/>
      </c>
      <c r="D875" s="16" t="str">
        <f t="shared" si="40"/>
        <v/>
      </c>
      <c r="G875" s="16" t="str">
        <f t="shared" si="41"/>
        <v/>
      </c>
    </row>
    <row r="876" spans="1:7" x14ac:dyDescent="0.2">
      <c r="A876" s="16" t="str">
        <f t="shared" si="39"/>
        <v/>
      </c>
      <c r="D876" s="16" t="str">
        <f t="shared" si="40"/>
        <v/>
      </c>
      <c r="G876" s="16" t="str">
        <f t="shared" si="41"/>
        <v/>
      </c>
    </row>
    <row r="877" spans="1:7" x14ac:dyDescent="0.2">
      <c r="A877" s="16" t="str">
        <f t="shared" si="39"/>
        <v/>
      </c>
      <c r="D877" s="16" t="str">
        <f t="shared" si="40"/>
        <v/>
      </c>
      <c r="G877" s="16" t="str">
        <f t="shared" si="41"/>
        <v/>
      </c>
    </row>
    <row r="878" spans="1:7" x14ac:dyDescent="0.2">
      <c r="A878" s="16" t="str">
        <f t="shared" si="39"/>
        <v/>
      </c>
      <c r="D878" s="16" t="str">
        <f t="shared" si="40"/>
        <v/>
      </c>
      <c r="G878" s="16" t="str">
        <f t="shared" si="41"/>
        <v/>
      </c>
    </row>
    <row r="879" spans="1:7" x14ac:dyDescent="0.2">
      <c r="A879" s="16" t="str">
        <f t="shared" si="39"/>
        <v/>
      </c>
      <c r="D879" s="16" t="str">
        <f t="shared" si="40"/>
        <v/>
      </c>
      <c r="G879" s="16" t="str">
        <f t="shared" si="41"/>
        <v/>
      </c>
    </row>
    <row r="880" spans="1:7" x14ac:dyDescent="0.2">
      <c r="A880" s="16" t="str">
        <f t="shared" si="39"/>
        <v/>
      </c>
      <c r="D880" s="16" t="str">
        <f t="shared" si="40"/>
        <v/>
      </c>
      <c r="G880" s="16" t="str">
        <f t="shared" si="41"/>
        <v/>
      </c>
    </row>
    <row r="881" spans="1:7" x14ac:dyDescent="0.2">
      <c r="A881" s="16" t="str">
        <f t="shared" si="39"/>
        <v/>
      </c>
      <c r="D881" s="16" t="str">
        <f t="shared" si="40"/>
        <v/>
      </c>
      <c r="G881" s="16" t="str">
        <f t="shared" si="41"/>
        <v/>
      </c>
    </row>
    <row r="882" spans="1:7" x14ac:dyDescent="0.2">
      <c r="A882" s="16" t="str">
        <f t="shared" si="39"/>
        <v/>
      </c>
      <c r="D882" s="16" t="str">
        <f t="shared" si="40"/>
        <v/>
      </c>
      <c r="G882" s="16" t="str">
        <f t="shared" si="41"/>
        <v/>
      </c>
    </row>
    <row r="883" spans="1:7" x14ac:dyDescent="0.2">
      <c r="A883" s="16" t="str">
        <f t="shared" si="39"/>
        <v/>
      </c>
      <c r="D883" s="16" t="str">
        <f t="shared" si="40"/>
        <v/>
      </c>
      <c r="G883" s="16" t="str">
        <f t="shared" si="41"/>
        <v/>
      </c>
    </row>
    <row r="884" spans="1:7" x14ac:dyDescent="0.2">
      <c r="A884" s="16" t="str">
        <f t="shared" si="39"/>
        <v/>
      </c>
      <c r="D884" s="16" t="str">
        <f t="shared" si="40"/>
        <v/>
      </c>
      <c r="G884" s="16" t="str">
        <f t="shared" si="41"/>
        <v/>
      </c>
    </row>
    <row r="885" spans="1:7" x14ac:dyDescent="0.2">
      <c r="A885" s="16" t="str">
        <f t="shared" si="39"/>
        <v/>
      </c>
      <c r="D885" s="16" t="str">
        <f t="shared" si="40"/>
        <v/>
      </c>
      <c r="G885" s="16" t="str">
        <f t="shared" si="41"/>
        <v/>
      </c>
    </row>
    <row r="886" spans="1:7" x14ac:dyDescent="0.2">
      <c r="A886" s="16" t="str">
        <f t="shared" si="39"/>
        <v/>
      </c>
      <c r="D886" s="16" t="str">
        <f t="shared" si="40"/>
        <v/>
      </c>
      <c r="G886" s="16" t="str">
        <f t="shared" si="41"/>
        <v/>
      </c>
    </row>
    <row r="887" spans="1:7" x14ac:dyDescent="0.2">
      <c r="A887" s="16" t="str">
        <f t="shared" si="39"/>
        <v/>
      </c>
      <c r="D887" s="16" t="str">
        <f t="shared" si="40"/>
        <v/>
      </c>
      <c r="G887" s="16" t="str">
        <f t="shared" si="41"/>
        <v/>
      </c>
    </row>
    <row r="888" spans="1:7" x14ac:dyDescent="0.2">
      <c r="A888" s="16" t="str">
        <f t="shared" si="39"/>
        <v/>
      </c>
      <c r="D888" s="16" t="str">
        <f t="shared" si="40"/>
        <v/>
      </c>
      <c r="G888" s="16" t="str">
        <f t="shared" si="41"/>
        <v/>
      </c>
    </row>
    <row r="889" spans="1:7" x14ac:dyDescent="0.2">
      <c r="A889" s="16" t="str">
        <f t="shared" si="39"/>
        <v/>
      </c>
      <c r="D889" s="16" t="str">
        <f t="shared" si="40"/>
        <v/>
      </c>
      <c r="G889" s="16" t="str">
        <f t="shared" si="41"/>
        <v/>
      </c>
    </row>
    <row r="890" spans="1:7" x14ac:dyDescent="0.2">
      <c r="A890" s="16" t="str">
        <f t="shared" si="39"/>
        <v/>
      </c>
      <c r="D890" s="16" t="str">
        <f t="shared" si="40"/>
        <v/>
      </c>
      <c r="G890" s="16" t="str">
        <f t="shared" si="41"/>
        <v/>
      </c>
    </row>
    <row r="891" spans="1:7" x14ac:dyDescent="0.2">
      <c r="A891" s="16" t="str">
        <f t="shared" si="39"/>
        <v/>
      </c>
      <c r="D891" s="16" t="str">
        <f t="shared" si="40"/>
        <v/>
      </c>
      <c r="G891" s="16" t="str">
        <f t="shared" si="41"/>
        <v/>
      </c>
    </row>
    <row r="892" spans="1:7" x14ac:dyDescent="0.2">
      <c r="A892" s="16" t="str">
        <f t="shared" si="39"/>
        <v/>
      </c>
      <c r="D892" s="16" t="str">
        <f t="shared" si="40"/>
        <v/>
      </c>
      <c r="G892" s="16" t="str">
        <f t="shared" si="41"/>
        <v/>
      </c>
    </row>
    <row r="893" spans="1:7" x14ac:dyDescent="0.2">
      <c r="A893" s="16" t="str">
        <f t="shared" si="39"/>
        <v/>
      </c>
      <c r="D893" s="16" t="str">
        <f t="shared" si="40"/>
        <v/>
      </c>
      <c r="G893" s="16" t="str">
        <f t="shared" si="41"/>
        <v/>
      </c>
    </row>
    <row r="894" spans="1:7" x14ac:dyDescent="0.2">
      <c r="A894" s="16" t="str">
        <f t="shared" si="39"/>
        <v/>
      </c>
      <c r="D894" s="16" t="str">
        <f t="shared" si="40"/>
        <v/>
      </c>
      <c r="G894" s="16" t="str">
        <f t="shared" si="41"/>
        <v/>
      </c>
    </row>
    <row r="895" spans="1:7" x14ac:dyDescent="0.2">
      <c r="A895" s="16" t="str">
        <f t="shared" si="39"/>
        <v/>
      </c>
      <c r="D895" s="16" t="str">
        <f t="shared" si="40"/>
        <v/>
      </c>
      <c r="G895" s="16" t="str">
        <f t="shared" si="41"/>
        <v/>
      </c>
    </row>
    <row r="896" spans="1:7" x14ac:dyDescent="0.2">
      <c r="A896" s="16" t="str">
        <f t="shared" si="39"/>
        <v/>
      </c>
      <c r="D896" s="16" t="str">
        <f t="shared" si="40"/>
        <v/>
      </c>
      <c r="G896" s="16" t="str">
        <f t="shared" si="41"/>
        <v/>
      </c>
    </row>
    <row r="897" spans="1:7" x14ac:dyDescent="0.2">
      <c r="A897" s="16" t="str">
        <f t="shared" si="39"/>
        <v/>
      </c>
      <c r="D897" s="16" t="str">
        <f t="shared" si="40"/>
        <v/>
      </c>
      <c r="G897" s="16" t="str">
        <f t="shared" si="41"/>
        <v/>
      </c>
    </row>
    <row r="898" spans="1:7" x14ac:dyDescent="0.2">
      <c r="A898" s="16" t="str">
        <f t="shared" si="39"/>
        <v/>
      </c>
      <c r="D898" s="16" t="str">
        <f t="shared" si="40"/>
        <v/>
      </c>
      <c r="G898" s="16" t="str">
        <f t="shared" si="41"/>
        <v/>
      </c>
    </row>
    <row r="899" spans="1:7" x14ac:dyDescent="0.2">
      <c r="A899" s="16" t="str">
        <f t="shared" ref="A899:A962" si="42">IF(AND(B898&lt;&gt;"",B899=""),"Add vacaction---&gt;","")</f>
        <v/>
      </c>
      <c r="D899" s="16" t="str">
        <f t="shared" ref="D899:D962" si="43">IF(AND(E898&lt;&gt;"",E899=""),"Add Employee---&gt;","")</f>
        <v/>
      </c>
      <c r="G899" s="16" t="str">
        <f t="shared" si="41"/>
        <v/>
      </c>
    </row>
    <row r="900" spans="1:7" x14ac:dyDescent="0.2">
      <c r="A900" s="16" t="str">
        <f t="shared" si="42"/>
        <v/>
      </c>
      <c r="D900" s="16" t="str">
        <f t="shared" si="43"/>
        <v/>
      </c>
      <c r="G900" s="16" t="str">
        <f t="shared" ref="G900:G963" si="44">IF(AND(H899&lt;&gt;"",H900=""),"Add Department---&gt;","")</f>
        <v/>
      </c>
    </row>
    <row r="901" spans="1:7" x14ac:dyDescent="0.2">
      <c r="A901" s="16" t="str">
        <f t="shared" si="42"/>
        <v/>
      </c>
      <c r="D901" s="16" t="str">
        <f t="shared" si="43"/>
        <v/>
      </c>
      <c r="G901" s="16" t="str">
        <f t="shared" si="44"/>
        <v/>
      </c>
    </row>
    <row r="902" spans="1:7" x14ac:dyDescent="0.2">
      <c r="A902" s="16" t="str">
        <f t="shared" si="42"/>
        <v/>
      </c>
      <c r="D902" s="16" t="str">
        <f t="shared" si="43"/>
        <v/>
      </c>
      <c r="G902" s="16" t="str">
        <f t="shared" si="44"/>
        <v/>
      </c>
    </row>
    <row r="903" spans="1:7" x14ac:dyDescent="0.2">
      <c r="A903" s="16" t="str">
        <f t="shared" si="42"/>
        <v/>
      </c>
      <c r="D903" s="16" t="str">
        <f t="shared" si="43"/>
        <v/>
      </c>
      <c r="G903" s="16" t="str">
        <f t="shared" si="44"/>
        <v/>
      </c>
    </row>
    <row r="904" spans="1:7" x14ac:dyDescent="0.2">
      <c r="A904" s="16" t="str">
        <f t="shared" si="42"/>
        <v/>
      </c>
      <c r="D904" s="16" t="str">
        <f t="shared" si="43"/>
        <v/>
      </c>
      <c r="G904" s="16" t="str">
        <f t="shared" si="44"/>
        <v/>
      </c>
    </row>
    <row r="905" spans="1:7" x14ac:dyDescent="0.2">
      <c r="A905" s="16" t="str">
        <f t="shared" si="42"/>
        <v/>
      </c>
      <c r="D905" s="16" t="str">
        <f t="shared" si="43"/>
        <v/>
      </c>
      <c r="G905" s="16" t="str">
        <f t="shared" si="44"/>
        <v/>
      </c>
    </row>
    <row r="906" spans="1:7" x14ac:dyDescent="0.2">
      <c r="A906" s="16" t="str">
        <f t="shared" si="42"/>
        <v/>
      </c>
      <c r="D906" s="16" t="str">
        <f t="shared" si="43"/>
        <v/>
      </c>
      <c r="G906" s="16" t="str">
        <f t="shared" si="44"/>
        <v/>
      </c>
    </row>
    <row r="907" spans="1:7" x14ac:dyDescent="0.2">
      <c r="A907" s="16" t="str">
        <f t="shared" si="42"/>
        <v/>
      </c>
      <c r="D907" s="16" t="str">
        <f t="shared" si="43"/>
        <v/>
      </c>
      <c r="G907" s="16" t="str">
        <f t="shared" si="44"/>
        <v/>
      </c>
    </row>
    <row r="908" spans="1:7" x14ac:dyDescent="0.2">
      <c r="A908" s="16" t="str">
        <f t="shared" si="42"/>
        <v/>
      </c>
      <c r="D908" s="16" t="str">
        <f t="shared" si="43"/>
        <v/>
      </c>
      <c r="G908" s="16" t="str">
        <f t="shared" si="44"/>
        <v/>
      </c>
    </row>
    <row r="909" spans="1:7" x14ac:dyDescent="0.2">
      <c r="A909" s="16" t="str">
        <f t="shared" si="42"/>
        <v/>
      </c>
      <c r="D909" s="16" t="str">
        <f t="shared" si="43"/>
        <v/>
      </c>
      <c r="G909" s="16" t="str">
        <f t="shared" si="44"/>
        <v/>
      </c>
    </row>
    <row r="910" spans="1:7" x14ac:dyDescent="0.2">
      <c r="A910" s="16" t="str">
        <f t="shared" si="42"/>
        <v/>
      </c>
      <c r="D910" s="16" t="str">
        <f t="shared" si="43"/>
        <v/>
      </c>
      <c r="G910" s="16" t="str">
        <f t="shared" si="44"/>
        <v/>
      </c>
    </row>
    <row r="911" spans="1:7" x14ac:dyDescent="0.2">
      <c r="A911" s="16" t="str">
        <f t="shared" si="42"/>
        <v/>
      </c>
      <c r="D911" s="16" t="str">
        <f t="shared" si="43"/>
        <v/>
      </c>
      <c r="G911" s="16" t="str">
        <f t="shared" si="44"/>
        <v/>
      </c>
    </row>
    <row r="912" spans="1:7" x14ac:dyDescent="0.2">
      <c r="A912" s="16" t="str">
        <f t="shared" si="42"/>
        <v/>
      </c>
      <c r="D912" s="16" t="str">
        <f t="shared" si="43"/>
        <v/>
      </c>
      <c r="G912" s="16" t="str">
        <f t="shared" si="44"/>
        <v/>
      </c>
    </row>
    <row r="913" spans="1:7" x14ac:dyDescent="0.2">
      <c r="A913" s="16" t="str">
        <f t="shared" si="42"/>
        <v/>
      </c>
      <c r="D913" s="16" t="str">
        <f t="shared" si="43"/>
        <v/>
      </c>
      <c r="G913" s="16" t="str">
        <f t="shared" si="44"/>
        <v/>
      </c>
    </row>
    <row r="914" spans="1:7" x14ac:dyDescent="0.2">
      <c r="A914" s="16" t="str">
        <f t="shared" si="42"/>
        <v/>
      </c>
      <c r="D914" s="16" t="str">
        <f t="shared" si="43"/>
        <v/>
      </c>
      <c r="G914" s="16" t="str">
        <f t="shared" si="44"/>
        <v/>
      </c>
    </row>
    <row r="915" spans="1:7" x14ac:dyDescent="0.2">
      <c r="A915" s="16" t="str">
        <f t="shared" si="42"/>
        <v/>
      </c>
      <c r="D915" s="16" t="str">
        <f t="shared" si="43"/>
        <v/>
      </c>
      <c r="G915" s="16" t="str">
        <f t="shared" si="44"/>
        <v/>
      </c>
    </row>
    <row r="916" spans="1:7" x14ac:dyDescent="0.2">
      <c r="A916" s="16" t="str">
        <f t="shared" si="42"/>
        <v/>
      </c>
      <c r="D916" s="16" t="str">
        <f t="shared" si="43"/>
        <v/>
      </c>
      <c r="G916" s="16" t="str">
        <f t="shared" si="44"/>
        <v/>
      </c>
    </row>
    <row r="917" spans="1:7" x14ac:dyDescent="0.2">
      <c r="A917" s="16" t="str">
        <f t="shared" si="42"/>
        <v/>
      </c>
      <c r="D917" s="16" t="str">
        <f t="shared" si="43"/>
        <v/>
      </c>
      <c r="G917" s="16" t="str">
        <f t="shared" si="44"/>
        <v/>
      </c>
    </row>
    <row r="918" spans="1:7" x14ac:dyDescent="0.2">
      <c r="A918" s="16" t="str">
        <f t="shared" si="42"/>
        <v/>
      </c>
      <c r="D918" s="16" t="str">
        <f t="shared" si="43"/>
        <v/>
      </c>
      <c r="G918" s="16" t="str">
        <f t="shared" si="44"/>
        <v/>
      </c>
    </row>
    <row r="919" spans="1:7" x14ac:dyDescent="0.2">
      <c r="A919" s="16" t="str">
        <f t="shared" si="42"/>
        <v/>
      </c>
      <c r="D919" s="16" t="str">
        <f t="shared" si="43"/>
        <v/>
      </c>
      <c r="G919" s="16" t="str">
        <f t="shared" si="44"/>
        <v/>
      </c>
    </row>
    <row r="920" spans="1:7" x14ac:dyDescent="0.2">
      <c r="A920" s="16" t="str">
        <f t="shared" si="42"/>
        <v/>
      </c>
      <c r="D920" s="16" t="str">
        <f t="shared" si="43"/>
        <v/>
      </c>
      <c r="G920" s="16" t="str">
        <f t="shared" si="44"/>
        <v/>
      </c>
    </row>
    <row r="921" spans="1:7" x14ac:dyDescent="0.2">
      <c r="A921" s="16" t="str">
        <f t="shared" si="42"/>
        <v/>
      </c>
      <c r="D921" s="16" t="str">
        <f t="shared" si="43"/>
        <v/>
      </c>
      <c r="G921" s="16" t="str">
        <f t="shared" si="44"/>
        <v/>
      </c>
    </row>
    <row r="922" spans="1:7" x14ac:dyDescent="0.2">
      <c r="A922" s="16" t="str">
        <f t="shared" si="42"/>
        <v/>
      </c>
      <c r="D922" s="16" t="str">
        <f t="shared" si="43"/>
        <v/>
      </c>
      <c r="G922" s="16" t="str">
        <f t="shared" si="44"/>
        <v/>
      </c>
    </row>
    <row r="923" spans="1:7" x14ac:dyDescent="0.2">
      <c r="A923" s="16" t="str">
        <f t="shared" si="42"/>
        <v/>
      </c>
      <c r="D923" s="16" t="str">
        <f t="shared" si="43"/>
        <v/>
      </c>
      <c r="G923" s="16" t="str">
        <f t="shared" si="44"/>
        <v/>
      </c>
    </row>
    <row r="924" spans="1:7" x14ac:dyDescent="0.2">
      <c r="A924" s="16" t="str">
        <f t="shared" si="42"/>
        <v/>
      </c>
      <c r="D924" s="16" t="str">
        <f t="shared" si="43"/>
        <v/>
      </c>
      <c r="G924" s="16" t="str">
        <f t="shared" si="44"/>
        <v/>
      </c>
    </row>
    <row r="925" spans="1:7" x14ac:dyDescent="0.2">
      <c r="A925" s="16" t="str">
        <f t="shared" si="42"/>
        <v/>
      </c>
      <c r="D925" s="16" t="str">
        <f t="shared" si="43"/>
        <v/>
      </c>
      <c r="G925" s="16" t="str">
        <f t="shared" si="44"/>
        <v/>
      </c>
    </row>
    <row r="926" spans="1:7" x14ac:dyDescent="0.2">
      <c r="A926" s="16" t="str">
        <f t="shared" si="42"/>
        <v/>
      </c>
      <c r="D926" s="16" t="str">
        <f t="shared" si="43"/>
        <v/>
      </c>
      <c r="G926" s="16" t="str">
        <f t="shared" si="44"/>
        <v/>
      </c>
    </row>
    <row r="927" spans="1:7" x14ac:dyDescent="0.2">
      <c r="A927" s="16" t="str">
        <f t="shared" si="42"/>
        <v/>
      </c>
      <c r="D927" s="16" t="str">
        <f t="shared" si="43"/>
        <v/>
      </c>
      <c r="G927" s="16" t="str">
        <f t="shared" si="44"/>
        <v/>
      </c>
    </row>
    <row r="928" spans="1:7" x14ac:dyDescent="0.2">
      <c r="A928" s="16" t="str">
        <f t="shared" si="42"/>
        <v/>
      </c>
      <c r="D928" s="16" t="str">
        <f t="shared" si="43"/>
        <v/>
      </c>
      <c r="G928" s="16" t="str">
        <f t="shared" si="44"/>
        <v/>
      </c>
    </row>
    <row r="929" spans="1:7" x14ac:dyDescent="0.2">
      <c r="A929" s="16" t="str">
        <f t="shared" si="42"/>
        <v/>
      </c>
      <c r="D929" s="16" t="str">
        <f t="shared" si="43"/>
        <v/>
      </c>
      <c r="G929" s="16" t="str">
        <f t="shared" si="44"/>
        <v/>
      </c>
    </row>
    <row r="930" spans="1:7" x14ac:dyDescent="0.2">
      <c r="A930" s="16" t="str">
        <f t="shared" si="42"/>
        <v/>
      </c>
      <c r="D930" s="16" t="str">
        <f t="shared" si="43"/>
        <v/>
      </c>
      <c r="G930" s="16" t="str">
        <f t="shared" si="44"/>
        <v/>
      </c>
    </row>
    <row r="931" spans="1:7" x14ac:dyDescent="0.2">
      <c r="A931" s="16" t="str">
        <f t="shared" si="42"/>
        <v/>
      </c>
      <c r="D931" s="16" t="str">
        <f t="shared" si="43"/>
        <v/>
      </c>
      <c r="G931" s="16" t="str">
        <f t="shared" si="44"/>
        <v/>
      </c>
    </row>
    <row r="932" spans="1:7" x14ac:dyDescent="0.2">
      <c r="A932" s="16" t="str">
        <f t="shared" si="42"/>
        <v/>
      </c>
      <c r="D932" s="16" t="str">
        <f t="shared" si="43"/>
        <v/>
      </c>
      <c r="G932" s="16" t="str">
        <f t="shared" si="44"/>
        <v/>
      </c>
    </row>
    <row r="933" spans="1:7" x14ac:dyDescent="0.2">
      <c r="A933" s="16" t="str">
        <f t="shared" si="42"/>
        <v/>
      </c>
      <c r="D933" s="16" t="str">
        <f t="shared" si="43"/>
        <v/>
      </c>
      <c r="G933" s="16" t="str">
        <f t="shared" si="44"/>
        <v/>
      </c>
    </row>
    <row r="934" spans="1:7" x14ac:dyDescent="0.2">
      <c r="A934" s="16" t="str">
        <f t="shared" si="42"/>
        <v/>
      </c>
      <c r="D934" s="16" t="str">
        <f t="shared" si="43"/>
        <v/>
      </c>
      <c r="G934" s="16" t="str">
        <f t="shared" si="44"/>
        <v/>
      </c>
    </row>
    <row r="935" spans="1:7" x14ac:dyDescent="0.2">
      <c r="A935" s="16" t="str">
        <f t="shared" si="42"/>
        <v/>
      </c>
      <c r="D935" s="16" t="str">
        <f t="shared" si="43"/>
        <v/>
      </c>
      <c r="G935" s="16" t="str">
        <f t="shared" si="44"/>
        <v/>
      </c>
    </row>
    <row r="936" spans="1:7" x14ac:dyDescent="0.2">
      <c r="A936" s="16" t="str">
        <f t="shared" si="42"/>
        <v/>
      </c>
      <c r="D936" s="16" t="str">
        <f t="shared" si="43"/>
        <v/>
      </c>
      <c r="G936" s="16" t="str">
        <f t="shared" si="44"/>
        <v/>
      </c>
    </row>
    <row r="937" spans="1:7" x14ac:dyDescent="0.2">
      <c r="A937" s="16" t="str">
        <f t="shared" si="42"/>
        <v/>
      </c>
      <c r="D937" s="16" t="str">
        <f t="shared" si="43"/>
        <v/>
      </c>
      <c r="G937" s="16" t="str">
        <f t="shared" si="44"/>
        <v/>
      </c>
    </row>
    <row r="938" spans="1:7" x14ac:dyDescent="0.2">
      <c r="A938" s="16" t="str">
        <f t="shared" si="42"/>
        <v/>
      </c>
      <c r="D938" s="16" t="str">
        <f t="shared" si="43"/>
        <v/>
      </c>
      <c r="G938" s="16" t="str">
        <f t="shared" si="44"/>
        <v/>
      </c>
    </row>
    <row r="939" spans="1:7" x14ac:dyDescent="0.2">
      <c r="A939" s="16" t="str">
        <f t="shared" si="42"/>
        <v/>
      </c>
      <c r="D939" s="16" t="str">
        <f t="shared" si="43"/>
        <v/>
      </c>
      <c r="G939" s="16" t="str">
        <f t="shared" si="44"/>
        <v/>
      </c>
    </row>
    <row r="940" spans="1:7" x14ac:dyDescent="0.2">
      <c r="A940" s="16" t="str">
        <f t="shared" si="42"/>
        <v/>
      </c>
      <c r="D940" s="16" t="str">
        <f t="shared" si="43"/>
        <v/>
      </c>
      <c r="G940" s="16" t="str">
        <f t="shared" si="44"/>
        <v/>
      </c>
    </row>
    <row r="941" spans="1:7" x14ac:dyDescent="0.2">
      <c r="A941" s="16" t="str">
        <f t="shared" si="42"/>
        <v/>
      </c>
      <c r="D941" s="16" t="str">
        <f t="shared" si="43"/>
        <v/>
      </c>
      <c r="G941" s="16" t="str">
        <f t="shared" si="44"/>
        <v/>
      </c>
    </row>
    <row r="942" spans="1:7" x14ac:dyDescent="0.2">
      <c r="A942" s="16" t="str">
        <f t="shared" si="42"/>
        <v/>
      </c>
      <c r="D942" s="16" t="str">
        <f t="shared" si="43"/>
        <v/>
      </c>
      <c r="G942" s="16" t="str">
        <f t="shared" si="44"/>
        <v/>
      </c>
    </row>
    <row r="943" spans="1:7" x14ac:dyDescent="0.2">
      <c r="A943" s="16" t="str">
        <f t="shared" si="42"/>
        <v/>
      </c>
      <c r="D943" s="16" t="str">
        <f t="shared" si="43"/>
        <v/>
      </c>
      <c r="G943" s="16" t="str">
        <f t="shared" si="44"/>
        <v/>
      </c>
    </row>
    <row r="944" spans="1:7" x14ac:dyDescent="0.2">
      <c r="A944" s="16" t="str">
        <f t="shared" si="42"/>
        <v/>
      </c>
      <c r="D944" s="16" t="str">
        <f t="shared" si="43"/>
        <v/>
      </c>
      <c r="G944" s="16" t="str">
        <f t="shared" si="44"/>
        <v/>
      </c>
    </row>
    <row r="945" spans="1:7" x14ac:dyDescent="0.2">
      <c r="A945" s="16" t="str">
        <f t="shared" si="42"/>
        <v/>
      </c>
      <c r="D945" s="16" t="str">
        <f t="shared" si="43"/>
        <v/>
      </c>
      <c r="G945" s="16" t="str">
        <f t="shared" si="44"/>
        <v/>
      </c>
    </row>
    <row r="946" spans="1:7" x14ac:dyDescent="0.2">
      <c r="A946" s="16" t="str">
        <f t="shared" si="42"/>
        <v/>
      </c>
      <c r="D946" s="16" t="str">
        <f t="shared" si="43"/>
        <v/>
      </c>
      <c r="G946" s="16" t="str">
        <f t="shared" si="44"/>
        <v/>
      </c>
    </row>
    <row r="947" spans="1:7" x14ac:dyDescent="0.2">
      <c r="A947" s="16" t="str">
        <f t="shared" si="42"/>
        <v/>
      </c>
      <c r="D947" s="16" t="str">
        <f t="shared" si="43"/>
        <v/>
      </c>
      <c r="G947" s="16" t="str">
        <f t="shared" si="44"/>
        <v/>
      </c>
    </row>
    <row r="948" spans="1:7" x14ac:dyDescent="0.2">
      <c r="A948" s="16" t="str">
        <f t="shared" si="42"/>
        <v/>
      </c>
      <c r="D948" s="16" t="str">
        <f t="shared" si="43"/>
        <v/>
      </c>
      <c r="G948" s="16" t="str">
        <f t="shared" si="44"/>
        <v/>
      </c>
    </row>
    <row r="949" spans="1:7" x14ac:dyDescent="0.2">
      <c r="A949" s="16" t="str">
        <f t="shared" si="42"/>
        <v/>
      </c>
      <c r="D949" s="16" t="str">
        <f t="shared" si="43"/>
        <v/>
      </c>
      <c r="G949" s="16" t="str">
        <f t="shared" si="44"/>
        <v/>
      </c>
    </row>
    <row r="950" spans="1:7" x14ac:dyDescent="0.2">
      <c r="A950" s="16" t="str">
        <f t="shared" si="42"/>
        <v/>
      </c>
      <c r="D950" s="16" t="str">
        <f t="shared" si="43"/>
        <v/>
      </c>
      <c r="G950" s="16" t="str">
        <f t="shared" si="44"/>
        <v/>
      </c>
    </row>
    <row r="951" spans="1:7" x14ac:dyDescent="0.2">
      <c r="A951" s="16" t="str">
        <f t="shared" si="42"/>
        <v/>
      </c>
      <c r="D951" s="16" t="str">
        <f t="shared" si="43"/>
        <v/>
      </c>
      <c r="G951" s="16" t="str">
        <f t="shared" si="44"/>
        <v/>
      </c>
    </row>
    <row r="952" spans="1:7" x14ac:dyDescent="0.2">
      <c r="A952" s="16" t="str">
        <f t="shared" si="42"/>
        <v/>
      </c>
      <c r="D952" s="16" t="str">
        <f t="shared" si="43"/>
        <v/>
      </c>
      <c r="G952" s="16" t="str">
        <f t="shared" si="44"/>
        <v/>
      </c>
    </row>
    <row r="953" spans="1:7" x14ac:dyDescent="0.2">
      <c r="A953" s="16" t="str">
        <f t="shared" si="42"/>
        <v/>
      </c>
      <c r="D953" s="16" t="str">
        <f t="shared" si="43"/>
        <v/>
      </c>
      <c r="G953" s="16" t="str">
        <f t="shared" si="44"/>
        <v/>
      </c>
    </row>
    <row r="954" spans="1:7" x14ac:dyDescent="0.2">
      <c r="A954" s="16" t="str">
        <f t="shared" si="42"/>
        <v/>
      </c>
      <c r="D954" s="16" t="str">
        <f t="shared" si="43"/>
        <v/>
      </c>
      <c r="G954" s="16" t="str">
        <f t="shared" si="44"/>
        <v/>
      </c>
    </row>
    <row r="955" spans="1:7" x14ac:dyDescent="0.2">
      <c r="A955" s="16" t="str">
        <f t="shared" si="42"/>
        <v/>
      </c>
      <c r="D955" s="16" t="str">
        <f t="shared" si="43"/>
        <v/>
      </c>
      <c r="G955" s="16" t="str">
        <f t="shared" si="44"/>
        <v/>
      </c>
    </row>
    <row r="956" spans="1:7" x14ac:dyDescent="0.2">
      <c r="A956" s="16" t="str">
        <f t="shared" si="42"/>
        <v/>
      </c>
      <c r="D956" s="16" t="str">
        <f t="shared" si="43"/>
        <v/>
      </c>
      <c r="G956" s="16" t="str">
        <f t="shared" si="44"/>
        <v/>
      </c>
    </row>
    <row r="957" spans="1:7" x14ac:dyDescent="0.2">
      <c r="A957" s="16" t="str">
        <f t="shared" si="42"/>
        <v/>
      </c>
      <c r="D957" s="16" t="str">
        <f t="shared" si="43"/>
        <v/>
      </c>
      <c r="G957" s="16" t="str">
        <f t="shared" si="44"/>
        <v/>
      </c>
    </row>
    <row r="958" spans="1:7" x14ac:dyDescent="0.2">
      <c r="A958" s="16" t="str">
        <f t="shared" si="42"/>
        <v/>
      </c>
      <c r="D958" s="16" t="str">
        <f t="shared" si="43"/>
        <v/>
      </c>
      <c r="G958" s="16" t="str">
        <f t="shared" si="44"/>
        <v/>
      </c>
    </row>
    <row r="959" spans="1:7" x14ac:dyDescent="0.2">
      <c r="A959" s="16" t="str">
        <f t="shared" si="42"/>
        <v/>
      </c>
      <c r="D959" s="16" t="str">
        <f t="shared" si="43"/>
        <v/>
      </c>
      <c r="G959" s="16" t="str">
        <f t="shared" si="44"/>
        <v/>
      </c>
    </row>
    <row r="960" spans="1:7" x14ac:dyDescent="0.2">
      <c r="A960" s="16" t="str">
        <f t="shared" si="42"/>
        <v/>
      </c>
      <c r="D960" s="16" t="str">
        <f t="shared" si="43"/>
        <v/>
      </c>
      <c r="G960" s="16" t="str">
        <f t="shared" si="44"/>
        <v/>
      </c>
    </row>
    <row r="961" spans="1:7" x14ac:dyDescent="0.2">
      <c r="A961" s="16" t="str">
        <f t="shared" si="42"/>
        <v/>
      </c>
      <c r="D961" s="16" t="str">
        <f t="shared" si="43"/>
        <v/>
      </c>
      <c r="G961" s="16" t="str">
        <f t="shared" si="44"/>
        <v/>
      </c>
    </row>
    <row r="962" spans="1:7" x14ac:dyDescent="0.2">
      <c r="A962" s="16" t="str">
        <f t="shared" si="42"/>
        <v/>
      </c>
      <c r="D962" s="16" t="str">
        <f t="shared" si="43"/>
        <v/>
      </c>
      <c r="G962" s="16" t="str">
        <f t="shared" si="44"/>
        <v/>
      </c>
    </row>
    <row r="963" spans="1:7" x14ac:dyDescent="0.2">
      <c r="A963" s="16" t="str">
        <f t="shared" ref="A963:A992" si="45">IF(AND(B962&lt;&gt;"",B963=""),"Add vacaction---&gt;","")</f>
        <v/>
      </c>
      <c r="D963" s="16" t="str">
        <f t="shared" ref="D963:D992" si="46">IF(AND(E962&lt;&gt;"",E963=""),"Add Employee---&gt;","")</f>
        <v/>
      </c>
      <c r="G963" s="16" t="str">
        <f t="shared" si="44"/>
        <v/>
      </c>
    </row>
    <row r="964" spans="1:7" x14ac:dyDescent="0.2">
      <c r="A964" s="16" t="str">
        <f t="shared" si="45"/>
        <v/>
      </c>
      <c r="D964" s="16" t="str">
        <f t="shared" si="46"/>
        <v/>
      </c>
      <c r="G964" s="16" t="str">
        <f t="shared" ref="G964:G992" si="47">IF(AND(H963&lt;&gt;"",H964=""),"Add Department---&gt;","")</f>
        <v/>
      </c>
    </row>
    <row r="965" spans="1:7" x14ac:dyDescent="0.2">
      <c r="A965" s="16" t="str">
        <f t="shared" si="45"/>
        <v/>
      </c>
      <c r="D965" s="16" t="str">
        <f t="shared" si="46"/>
        <v/>
      </c>
      <c r="G965" s="16" t="str">
        <f t="shared" si="47"/>
        <v/>
      </c>
    </row>
    <row r="966" spans="1:7" x14ac:dyDescent="0.2">
      <c r="A966" s="16" t="str">
        <f t="shared" si="45"/>
        <v/>
      </c>
      <c r="D966" s="16" t="str">
        <f t="shared" si="46"/>
        <v/>
      </c>
      <c r="G966" s="16" t="str">
        <f t="shared" si="47"/>
        <v/>
      </c>
    </row>
    <row r="967" spans="1:7" x14ac:dyDescent="0.2">
      <c r="A967" s="16" t="str">
        <f t="shared" si="45"/>
        <v/>
      </c>
      <c r="D967" s="16" t="str">
        <f t="shared" si="46"/>
        <v/>
      </c>
      <c r="G967" s="16" t="str">
        <f t="shared" si="47"/>
        <v/>
      </c>
    </row>
    <row r="968" spans="1:7" x14ac:dyDescent="0.2">
      <c r="A968" s="16" t="str">
        <f t="shared" si="45"/>
        <v/>
      </c>
      <c r="D968" s="16" t="str">
        <f t="shared" si="46"/>
        <v/>
      </c>
      <c r="G968" s="16" t="str">
        <f t="shared" si="47"/>
        <v/>
      </c>
    </row>
    <row r="969" spans="1:7" x14ac:dyDescent="0.2">
      <c r="A969" s="16" t="str">
        <f t="shared" si="45"/>
        <v/>
      </c>
      <c r="D969" s="16" t="str">
        <f t="shared" si="46"/>
        <v/>
      </c>
      <c r="G969" s="16" t="str">
        <f t="shared" si="47"/>
        <v/>
      </c>
    </row>
    <row r="970" spans="1:7" x14ac:dyDescent="0.2">
      <c r="A970" s="16" t="str">
        <f t="shared" si="45"/>
        <v/>
      </c>
      <c r="D970" s="16" t="str">
        <f t="shared" si="46"/>
        <v/>
      </c>
      <c r="G970" s="16" t="str">
        <f t="shared" si="47"/>
        <v/>
      </c>
    </row>
    <row r="971" spans="1:7" x14ac:dyDescent="0.2">
      <c r="A971" s="16" t="str">
        <f t="shared" si="45"/>
        <v/>
      </c>
      <c r="D971" s="16" t="str">
        <f t="shared" si="46"/>
        <v/>
      </c>
      <c r="G971" s="16" t="str">
        <f t="shared" si="47"/>
        <v/>
      </c>
    </row>
    <row r="972" spans="1:7" x14ac:dyDescent="0.2">
      <c r="A972" s="16" t="str">
        <f t="shared" si="45"/>
        <v/>
      </c>
      <c r="D972" s="16" t="str">
        <f t="shared" si="46"/>
        <v/>
      </c>
      <c r="G972" s="16" t="str">
        <f t="shared" si="47"/>
        <v/>
      </c>
    </row>
    <row r="973" spans="1:7" x14ac:dyDescent="0.2">
      <c r="A973" s="16" t="str">
        <f t="shared" si="45"/>
        <v/>
      </c>
      <c r="D973" s="16" t="str">
        <f t="shared" si="46"/>
        <v/>
      </c>
      <c r="G973" s="16" t="str">
        <f t="shared" si="47"/>
        <v/>
      </c>
    </row>
    <row r="974" spans="1:7" x14ac:dyDescent="0.2">
      <c r="A974" s="16" t="str">
        <f t="shared" si="45"/>
        <v/>
      </c>
      <c r="D974" s="16" t="str">
        <f t="shared" si="46"/>
        <v/>
      </c>
      <c r="G974" s="16" t="str">
        <f t="shared" si="47"/>
        <v/>
      </c>
    </row>
    <row r="975" spans="1:7" x14ac:dyDescent="0.2">
      <c r="A975" s="16" t="str">
        <f t="shared" si="45"/>
        <v/>
      </c>
      <c r="D975" s="16" t="str">
        <f t="shared" si="46"/>
        <v/>
      </c>
      <c r="G975" s="16" t="str">
        <f t="shared" si="47"/>
        <v/>
      </c>
    </row>
    <row r="976" spans="1:7" x14ac:dyDescent="0.2">
      <c r="A976" s="16" t="str">
        <f t="shared" si="45"/>
        <v/>
      </c>
      <c r="D976" s="16" t="str">
        <f t="shared" si="46"/>
        <v/>
      </c>
      <c r="G976" s="16" t="str">
        <f t="shared" si="47"/>
        <v/>
      </c>
    </row>
    <row r="977" spans="1:7" x14ac:dyDescent="0.2">
      <c r="A977" s="16" t="str">
        <f t="shared" si="45"/>
        <v/>
      </c>
      <c r="D977" s="16" t="str">
        <f t="shared" si="46"/>
        <v/>
      </c>
      <c r="G977" s="16" t="str">
        <f t="shared" si="47"/>
        <v/>
      </c>
    </row>
    <row r="978" spans="1:7" x14ac:dyDescent="0.2">
      <c r="A978" s="16" t="str">
        <f t="shared" si="45"/>
        <v/>
      </c>
      <c r="D978" s="16" t="str">
        <f t="shared" si="46"/>
        <v/>
      </c>
      <c r="G978" s="16" t="str">
        <f t="shared" si="47"/>
        <v/>
      </c>
    </row>
    <row r="979" spans="1:7" x14ac:dyDescent="0.2">
      <c r="A979" s="16" t="str">
        <f t="shared" si="45"/>
        <v/>
      </c>
      <c r="D979" s="16" t="str">
        <f t="shared" si="46"/>
        <v/>
      </c>
      <c r="G979" s="16" t="str">
        <f t="shared" si="47"/>
        <v/>
      </c>
    </row>
    <row r="980" spans="1:7" x14ac:dyDescent="0.2">
      <c r="A980" s="16" t="str">
        <f t="shared" si="45"/>
        <v/>
      </c>
      <c r="D980" s="16" t="str">
        <f t="shared" si="46"/>
        <v/>
      </c>
      <c r="G980" s="16" t="str">
        <f t="shared" si="47"/>
        <v/>
      </c>
    </row>
    <row r="981" spans="1:7" x14ac:dyDescent="0.2">
      <c r="A981" s="16" t="str">
        <f t="shared" si="45"/>
        <v/>
      </c>
      <c r="D981" s="16" t="str">
        <f t="shared" si="46"/>
        <v/>
      </c>
      <c r="G981" s="16" t="str">
        <f t="shared" si="47"/>
        <v/>
      </c>
    </row>
    <row r="982" spans="1:7" x14ac:dyDescent="0.2">
      <c r="A982" s="16" t="str">
        <f t="shared" si="45"/>
        <v/>
      </c>
      <c r="D982" s="16" t="str">
        <f t="shared" si="46"/>
        <v/>
      </c>
      <c r="G982" s="16" t="str">
        <f t="shared" si="47"/>
        <v/>
      </c>
    </row>
    <row r="983" spans="1:7" x14ac:dyDescent="0.2">
      <c r="A983" s="16" t="str">
        <f t="shared" si="45"/>
        <v/>
      </c>
      <c r="D983" s="16" t="str">
        <f t="shared" si="46"/>
        <v/>
      </c>
      <c r="G983" s="16" t="str">
        <f t="shared" si="47"/>
        <v/>
      </c>
    </row>
    <row r="984" spans="1:7" x14ac:dyDescent="0.2">
      <c r="A984" s="16" t="str">
        <f t="shared" si="45"/>
        <v/>
      </c>
      <c r="D984" s="16" t="str">
        <f t="shared" si="46"/>
        <v/>
      </c>
      <c r="G984" s="16" t="str">
        <f t="shared" si="47"/>
        <v/>
      </c>
    </row>
    <row r="985" spans="1:7" x14ac:dyDescent="0.2">
      <c r="A985" s="16" t="str">
        <f t="shared" si="45"/>
        <v/>
      </c>
      <c r="D985" s="16" t="str">
        <f t="shared" si="46"/>
        <v/>
      </c>
      <c r="G985" s="16" t="str">
        <f t="shared" si="47"/>
        <v/>
      </c>
    </row>
    <row r="986" spans="1:7" x14ac:dyDescent="0.2">
      <c r="A986" s="16" t="str">
        <f t="shared" si="45"/>
        <v/>
      </c>
      <c r="D986" s="16" t="str">
        <f t="shared" si="46"/>
        <v/>
      </c>
      <c r="G986" s="16" t="str">
        <f t="shared" si="47"/>
        <v/>
      </c>
    </row>
    <row r="987" spans="1:7" x14ac:dyDescent="0.2">
      <c r="A987" s="16" t="str">
        <f t="shared" si="45"/>
        <v/>
      </c>
      <c r="D987" s="16" t="str">
        <f t="shared" si="46"/>
        <v/>
      </c>
      <c r="G987" s="16" t="str">
        <f t="shared" si="47"/>
        <v/>
      </c>
    </row>
    <row r="988" spans="1:7" x14ac:dyDescent="0.2">
      <c r="A988" s="16" t="str">
        <f t="shared" si="45"/>
        <v/>
      </c>
      <c r="D988" s="16" t="str">
        <f t="shared" si="46"/>
        <v/>
      </c>
      <c r="G988" s="16" t="str">
        <f t="shared" si="47"/>
        <v/>
      </c>
    </row>
    <row r="989" spans="1:7" x14ac:dyDescent="0.2">
      <c r="A989" s="16" t="str">
        <f t="shared" si="45"/>
        <v/>
      </c>
      <c r="D989" s="16" t="str">
        <f t="shared" si="46"/>
        <v/>
      </c>
      <c r="G989" s="16" t="str">
        <f t="shared" si="47"/>
        <v/>
      </c>
    </row>
    <row r="990" spans="1:7" x14ac:dyDescent="0.2">
      <c r="A990" s="16" t="str">
        <f t="shared" si="45"/>
        <v/>
      </c>
      <c r="D990" s="16" t="str">
        <f t="shared" si="46"/>
        <v/>
      </c>
      <c r="G990" s="16" t="str">
        <f t="shared" si="47"/>
        <v/>
      </c>
    </row>
    <row r="991" spans="1:7" x14ac:dyDescent="0.2">
      <c r="A991" s="16" t="str">
        <f t="shared" si="45"/>
        <v/>
      </c>
      <c r="D991" s="16" t="str">
        <f t="shared" si="46"/>
        <v/>
      </c>
      <c r="G991" s="16" t="str">
        <f t="shared" si="47"/>
        <v/>
      </c>
    </row>
    <row r="992" spans="1:7" x14ac:dyDescent="0.2">
      <c r="A992" s="16" t="str">
        <f t="shared" si="45"/>
        <v/>
      </c>
      <c r="D992" s="16" t="str">
        <f t="shared" si="46"/>
        <v/>
      </c>
      <c r="G992" s="16" t="str">
        <f t="shared" si="47"/>
        <v/>
      </c>
    </row>
  </sheetData>
  <mergeCells count="2">
    <mergeCell ref="B1:F1"/>
    <mergeCell ref="J1:P1"/>
  </mergeCells>
  <conditionalFormatting sqref="N3:N9">
    <cfRule type="expression" dxfId="29" priority="2">
      <formula>N3="No"</formula>
    </cfRule>
  </conditionalFormatting>
  <dataValidations count="2">
    <dataValidation type="list" allowBlank="1" showInputMessage="1" showErrorMessage="1" sqref="N3:N9" xr:uid="{00000000-0002-0000-0000-000000000000}">
      <formula1>"Yes, No"</formula1>
    </dataValidation>
    <dataValidation type="list" allowBlank="1" showInputMessage="1" showErrorMessage="1" sqref="F3:F22" xr:uid="{410C12A5-B674-4F41-BE27-0806BB51EF58}">
      <formula1>Departments</formula1>
    </dataValidation>
  </dataValidations>
  <pageMargins left="0.7" right="0.7" top="0.75" bottom="0.75" header="0.3" footer="0.3"/>
  <pageSetup paperSize="9" orientation="portrait"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E39CE-A28C-440E-8385-AB3410B17E4F}">
  <sheetPr codeName="Sheet2">
    <tabColor rgb="FF8FCFAD"/>
  </sheetPr>
  <dimension ref="B3:O351"/>
  <sheetViews>
    <sheetView showGridLines="0" showRowColHeaders="0" workbookViewId="0">
      <selection activeCell="F8" sqref="F8"/>
    </sheetView>
  </sheetViews>
  <sheetFormatPr defaultRowHeight="15" x14ac:dyDescent="0.25"/>
  <cols>
    <col min="2" max="2" width="13.7109375" customWidth="1"/>
    <col min="3" max="3" width="13.85546875" customWidth="1"/>
    <col min="4" max="4" width="22.7109375" customWidth="1"/>
    <col min="5" max="5" width="15.140625" customWidth="1"/>
    <col min="6" max="10" width="13.140625" customWidth="1"/>
    <col min="11" max="11" width="14.28515625" customWidth="1"/>
    <col min="12" max="12" width="18.7109375" customWidth="1"/>
    <col min="13" max="13" width="14.7109375" customWidth="1"/>
    <col min="14" max="14" width="17.140625" customWidth="1"/>
    <col min="15" max="15" width="13.140625" customWidth="1"/>
  </cols>
  <sheetData>
    <row r="3" spans="2:15" s="44" customFormat="1" ht="42" customHeight="1" x14ac:dyDescent="0.25">
      <c r="B3" s="45" t="s">
        <v>89</v>
      </c>
      <c r="C3" s="45" t="s">
        <v>64</v>
      </c>
      <c r="D3" s="45" t="s">
        <v>90</v>
      </c>
      <c r="E3" s="45" t="s">
        <v>61</v>
      </c>
      <c r="F3" s="46" t="s">
        <v>94</v>
      </c>
      <c r="G3" s="46" t="s">
        <v>95</v>
      </c>
      <c r="H3" s="46" t="s">
        <v>96</v>
      </c>
      <c r="I3" s="46" t="s">
        <v>97</v>
      </c>
      <c r="J3" s="46" t="s">
        <v>98</v>
      </c>
      <c r="K3" s="46" t="s">
        <v>92</v>
      </c>
      <c r="L3" s="46" t="s">
        <v>99</v>
      </c>
      <c r="M3" s="46" t="s">
        <v>100</v>
      </c>
      <c r="N3" s="46" t="s">
        <v>85</v>
      </c>
      <c r="O3" s="46" t="s">
        <v>86</v>
      </c>
    </row>
    <row r="4" spans="2:15" x14ac:dyDescent="0.25">
      <c r="B4" t="str">
        <f>IFERROR(IF('Yearly Leave Tracker'!A8="","",'Yearly Leave Tracker'!A8),"")</f>
        <v>Employee 1</v>
      </c>
      <c r="C4" t="str">
        <f>IFERROR(VLOOKUP(B4,Database!E:F,2,0),"")</f>
        <v>Production</v>
      </c>
      <c r="D4">
        <f ca="1">IFERROR(VLOOKUP(B4,'Yearly Leave Tracker'!A:NU,374,0),"")</f>
        <v>0</v>
      </c>
      <c r="E4">
        <f ca="1">IFERROR(VLOOKUP(B4,'Yearly Leave Tracker'!A:NU,375,0),"")</f>
        <v>0</v>
      </c>
      <c r="F4">
        <f ca="1">IFERROR(VLOOKUP(B4,'Yearly Leave Tracker'!A:NU,376,0),"")</f>
        <v>0</v>
      </c>
      <c r="G4">
        <f ca="1">IFERROR(VLOOKUP(B4,'Yearly Leave Tracker'!A:NU,377,0),"")</f>
        <v>0</v>
      </c>
      <c r="H4">
        <f ca="1">IFERROR(VLOOKUP(B4,'Yearly Leave Tracker'!A:NU,378,0),"")</f>
        <v>0</v>
      </c>
      <c r="I4">
        <f ca="1">IFERROR(VLOOKUP(B4,'Yearly Leave Tracker'!A:NU,379,0),"")</f>
        <v>0</v>
      </c>
      <c r="J4">
        <f ca="1">IFERROR(VLOOKUP(B4,'Yearly Leave Tracker'!A:NU,380,0),"")</f>
        <v>0</v>
      </c>
      <c r="K4">
        <f ca="1">IFERROR(VLOOKUP(B4,'Yearly Leave Tracker'!A:NU,381,0),"")</f>
        <v>0</v>
      </c>
      <c r="L4">
        <f ca="1">IFERROR(VLOOKUP(B4,'Yearly Leave Tracker'!A:NU,382,0),"")</f>
        <v>0</v>
      </c>
      <c r="M4">
        <f ca="1">IFERROR(VLOOKUP(B4,'Yearly Leave Tracker'!A:NU,383,0),"")</f>
        <v>0</v>
      </c>
      <c r="N4">
        <f ca="1">IFERROR(VLOOKUP(B4,'Yearly Leave Tracker'!A:NU,384,0),"")</f>
        <v>0</v>
      </c>
      <c r="O4">
        <f ca="1">IFERROR(VLOOKUP(B4,'Yearly Leave Tracker'!A:NU,385,0),"")</f>
        <v>0</v>
      </c>
    </row>
    <row r="5" spans="2:15" x14ac:dyDescent="0.25">
      <c r="B5" t="str">
        <f>IFERROR(IF('Yearly Leave Tracker'!A9="","",'Yearly Leave Tracker'!A9),"")</f>
        <v>Employee 2</v>
      </c>
      <c r="C5" t="str">
        <f>IFERROR(VLOOKUP(B5,Database!E:F,2,0),"")</f>
        <v>Production</v>
      </c>
      <c r="D5">
        <f ca="1">IFERROR(VLOOKUP(B5,'Yearly Leave Tracker'!A:NU,374,0),"")</f>
        <v>2</v>
      </c>
      <c r="E5">
        <f ca="1">IFERROR(VLOOKUP(B5,'Yearly Leave Tracker'!A:NU,375,0),"")</f>
        <v>3</v>
      </c>
      <c r="F5">
        <f ca="1">IFERROR(VLOOKUP(B5,'Yearly Leave Tracker'!A:NU,376,0),"")</f>
        <v>0</v>
      </c>
      <c r="G5">
        <f ca="1">IFERROR(VLOOKUP(B5,'Yearly Leave Tracker'!A:NU,377,0),"")</f>
        <v>2</v>
      </c>
      <c r="H5">
        <f ca="1">IFERROR(VLOOKUP(B5,'Yearly Leave Tracker'!A:NU,378,0),"")</f>
        <v>0</v>
      </c>
      <c r="I5">
        <f ca="1">IFERROR(VLOOKUP(B5,'Yearly Leave Tracker'!A:NU,379,0),"")</f>
        <v>0</v>
      </c>
      <c r="J5">
        <f ca="1">IFERROR(VLOOKUP(B5,'Yearly Leave Tracker'!A:NU,380,0),"")</f>
        <v>1</v>
      </c>
      <c r="K5">
        <f ca="1">IFERROR(VLOOKUP(B5,'Yearly Leave Tracker'!A:NU,381,0),"")</f>
        <v>0</v>
      </c>
      <c r="L5">
        <f ca="1">IFERROR(VLOOKUP(B5,'Yearly Leave Tracker'!A:NU,382,0),"")</f>
        <v>0</v>
      </c>
      <c r="M5">
        <f ca="1">IFERROR(VLOOKUP(B5,'Yearly Leave Tracker'!A:NU,383,0),"")</f>
        <v>0</v>
      </c>
      <c r="N5">
        <f ca="1">IFERROR(VLOOKUP(B5,'Yearly Leave Tracker'!A:NU,384,0),"")</f>
        <v>0</v>
      </c>
      <c r="O5">
        <f ca="1">IFERROR(VLOOKUP(B5,'Yearly Leave Tracker'!A:NU,385,0),"")</f>
        <v>0</v>
      </c>
    </row>
    <row r="6" spans="2:15" x14ac:dyDescent="0.25">
      <c r="B6" t="str">
        <f>IFERROR(IF('Yearly Leave Tracker'!A10="","",'Yearly Leave Tracker'!A10),"")</f>
        <v>Employee 3</v>
      </c>
      <c r="C6" t="str">
        <f>IFERROR(VLOOKUP(B6,Database!E:F,2,0),"")</f>
        <v>Quality</v>
      </c>
      <c r="D6">
        <f ca="1">IFERROR(VLOOKUP(B6,'Yearly Leave Tracker'!A:NU,374,0),"")</f>
        <v>0</v>
      </c>
      <c r="E6">
        <f ca="1">IFERROR(VLOOKUP(B6,'Yearly Leave Tracker'!A:NU,375,0),"")</f>
        <v>4</v>
      </c>
      <c r="F6">
        <f ca="1">IFERROR(VLOOKUP(B6,'Yearly Leave Tracker'!A:NU,376,0),"")</f>
        <v>0</v>
      </c>
      <c r="G6">
        <f ca="1">IFERROR(VLOOKUP(B6,'Yearly Leave Tracker'!A:NU,377,0),"")</f>
        <v>2</v>
      </c>
      <c r="H6">
        <f ca="1">IFERROR(VLOOKUP(B6,'Yearly Leave Tracker'!A:NU,378,0),"")</f>
        <v>0</v>
      </c>
      <c r="I6">
        <f ca="1">IFERROR(VLOOKUP(B6,'Yearly Leave Tracker'!A:NU,379,0),"")</f>
        <v>0</v>
      </c>
      <c r="J6">
        <f ca="1">IFERROR(VLOOKUP(B6,'Yearly Leave Tracker'!A:NU,380,0),"")</f>
        <v>2</v>
      </c>
      <c r="K6">
        <f ca="1">IFERROR(VLOOKUP(B6,'Yearly Leave Tracker'!A:NU,381,0),"")</f>
        <v>0</v>
      </c>
      <c r="L6">
        <f ca="1">IFERROR(VLOOKUP(B6,'Yearly Leave Tracker'!A:NU,382,0),"")</f>
        <v>0</v>
      </c>
      <c r="M6">
        <f ca="1">IFERROR(VLOOKUP(B6,'Yearly Leave Tracker'!A:NU,383,0),"")</f>
        <v>0</v>
      </c>
      <c r="N6">
        <f ca="1">IFERROR(VLOOKUP(B6,'Yearly Leave Tracker'!A:NU,384,0),"")</f>
        <v>0</v>
      </c>
      <c r="O6">
        <f ca="1">IFERROR(VLOOKUP(B6,'Yearly Leave Tracker'!A:NU,385,0),"")</f>
        <v>0</v>
      </c>
    </row>
    <row r="7" spans="2:15" x14ac:dyDescent="0.25">
      <c r="B7" t="str">
        <f>IFERROR(IF('Yearly Leave Tracker'!A11="","",'Yearly Leave Tracker'!A11),"")</f>
        <v>Employee 4</v>
      </c>
      <c r="C7" t="str">
        <f>IFERROR(VLOOKUP(B7,Database!E:F,2,0),"")</f>
        <v>Finance</v>
      </c>
      <c r="D7">
        <f ca="1">IFERROR(VLOOKUP(B7,'Yearly Leave Tracker'!A:NU,374,0),"")</f>
        <v>1</v>
      </c>
      <c r="E7">
        <f ca="1">IFERROR(VLOOKUP(B7,'Yearly Leave Tracker'!A:NU,375,0),"")</f>
        <v>3</v>
      </c>
      <c r="F7">
        <f ca="1">IFERROR(VLOOKUP(B7,'Yearly Leave Tracker'!A:NU,376,0),"")</f>
        <v>2</v>
      </c>
      <c r="G7">
        <f ca="1">IFERROR(VLOOKUP(B7,'Yearly Leave Tracker'!A:NU,377,0),"")</f>
        <v>0</v>
      </c>
      <c r="H7">
        <f ca="1">IFERROR(VLOOKUP(B7,'Yearly Leave Tracker'!A:NU,378,0),"")</f>
        <v>0</v>
      </c>
      <c r="I7">
        <f ca="1">IFERROR(VLOOKUP(B7,'Yearly Leave Tracker'!A:NU,379,0),"")</f>
        <v>0</v>
      </c>
      <c r="J7">
        <f ca="1">IFERROR(VLOOKUP(B7,'Yearly Leave Tracker'!A:NU,380,0),"")</f>
        <v>1</v>
      </c>
      <c r="K7">
        <f ca="1">IFERROR(VLOOKUP(B7,'Yearly Leave Tracker'!A:NU,381,0),"")</f>
        <v>0</v>
      </c>
      <c r="L7">
        <f ca="1">IFERROR(VLOOKUP(B7,'Yearly Leave Tracker'!A:NU,382,0),"")</f>
        <v>0</v>
      </c>
      <c r="M7">
        <f ca="1">IFERROR(VLOOKUP(B7,'Yearly Leave Tracker'!A:NU,383,0),"")</f>
        <v>0</v>
      </c>
      <c r="N7">
        <f ca="1">IFERROR(VLOOKUP(B7,'Yearly Leave Tracker'!A:NU,384,0),"")</f>
        <v>0</v>
      </c>
      <c r="O7">
        <f ca="1">IFERROR(VLOOKUP(B7,'Yearly Leave Tracker'!A:NU,385,0),"")</f>
        <v>0</v>
      </c>
    </row>
    <row r="8" spans="2:15" x14ac:dyDescent="0.25">
      <c r="B8" t="str">
        <f>IFERROR(IF('Yearly Leave Tracker'!A12="","",'Yearly Leave Tracker'!A12),"")</f>
        <v>Employee 5</v>
      </c>
      <c r="C8" t="str">
        <f>IFERROR(VLOOKUP(B8,Database!E:F,2,0),"")</f>
        <v>Quality</v>
      </c>
      <c r="D8">
        <f ca="1">IFERROR(VLOOKUP(B8,'Yearly Leave Tracker'!A:NU,374,0),"")</f>
        <v>1</v>
      </c>
      <c r="E8">
        <f ca="1">IFERROR(VLOOKUP(B8,'Yearly Leave Tracker'!A:NU,375,0),"")</f>
        <v>3</v>
      </c>
      <c r="F8">
        <f ca="1">IFERROR(VLOOKUP(B8,'Yearly Leave Tracker'!A:NU,376,0),"")</f>
        <v>1</v>
      </c>
      <c r="G8">
        <f ca="1">IFERROR(VLOOKUP(B8,'Yearly Leave Tracker'!A:NU,377,0),"")</f>
        <v>1</v>
      </c>
      <c r="H8">
        <f ca="1">IFERROR(VLOOKUP(B8,'Yearly Leave Tracker'!A:NU,378,0),"")</f>
        <v>0</v>
      </c>
      <c r="I8">
        <f ca="1">IFERROR(VLOOKUP(B8,'Yearly Leave Tracker'!A:NU,379,0),"")</f>
        <v>1</v>
      </c>
      <c r="J8">
        <f ca="1">IFERROR(VLOOKUP(B8,'Yearly Leave Tracker'!A:NU,380,0),"")</f>
        <v>0</v>
      </c>
      <c r="K8">
        <f ca="1">IFERROR(VLOOKUP(B8,'Yearly Leave Tracker'!A:NU,381,0),"")</f>
        <v>0</v>
      </c>
      <c r="L8">
        <f ca="1">IFERROR(VLOOKUP(B8,'Yearly Leave Tracker'!A:NU,382,0),"")</f>
        <v>0</v>
      </c>
      <c r="M8">
        <f ca="1">IFERROR(VLOOKUP(B8,'Yearly Leave Tracker'!A:NU,383,0),"")</f>
        <v>0</v>
      </c>
      <c r="N8">
        <f ca="1">IFERROR(VLOOKUP(B8,'Yearly Leave Tracker'!A:NU,384,0),"")</f>
        <v>0</v>
      </c>
      <c r="O8">
        <f ca="1">IFERROR(VLOOKUP(B8,'Yearly Leave Tracker'!A:NU,385,0),"")</f>
        <v>0</v>
      </c>
    </row>
    <row r="9" spans="2:15" x14ac:dyDescent="0.25">
      <c r="B9" t="str">
        <f>IFERROR(IF('Yearly Leave Tracker'!A13="","",'Yearly Leave Tracker'!A13),"")</f>
        <v>Employee 6</v>
      </c>
      <c r="C9" t="str">
        <f>IFERROR(VLOOKUP(B9,Database!E:F,2,0),"")</f>
        <v>Finance</v>
      </c>
      <c r="D9">
        <f ca="1">IFERROR(VLOOKUP(B9,'Yearly Leave Tracker'!A:NU,374,0),"")</f>
        <v>0</v>
      </c>
      <c r="E9">
        <f ca="1">IFERROR(VLOOKUP(B9,'Yearly Leave Tracker'!A:NU,375,0),"")</f>
        <v>0</v>
      </c>
      <c r="F9">
        <f ca="1">IFERROR(VLOOKUP(B9,'Yearly Leave Tracker'!A:NU,376,0),"")</f>
        <v>0</v>
      </c>
      <c r="G9">
        <f ca="1">IFERROR(VLOOKUP(B9,'Yearly Leave Tracker'!A:NU,377,0),"")</f>
        <v>0</v>
      </c>
      <c r="H9">
        <f ca="1">IFERROR(VLOOKUP(B9,'Yearly Leave Tracker'!A:NU,378,0),"")</f>
        <v>0</v>
      </c>
      <c r="I9">
        <f ca="1">IFERROR(VLOOKUP(B9,'Yearly Leave Tracker'!A:NU,379,0),"")</f>
        <v>0</v>
      </c>
      <c r="J9">
        <f ca="1">IFERROR(VLOOKUP(B9,'Yearly Leave Tracker'!A:NU,380,0),"")</f>
        <v>0</v>
      </c>
      <c r="K9">
        <f ca="1">IFERROR(VLOOKUP(B9,'Yearly Leave Tracker'!A:NU,381,0),"")</f>
        <v>0</v>
      </c>
      <c r="L9">
        <f ca="1">IFERROR(VLOOKUP(B9,'Yearly Leave Tracker'!A:NU,382,0),"")</f>
        <v>0</v>
      </c>
      <c r="M9">
        <f ca="1">IFERROR(VLOOKUP(B9,'Yearly Leave Tracker'!A:NU,383,0),"")</f>
        <v>0</v>
      </c>
      <c r="N9">
        <f ca="1">IFERROR(VLOOKUP(B9,'Yearly Leave Tracker'!A:NU,384,0),"")</f>
        <v>0</v>
      </c>
      <c r="O9">
        <f ca="1">IFERROR(VLOOKUP(B9,'Yearly Leave Tracker'!A:NU,385,0),"")</f>
        <v>0</v>
      </c>
    </row>
    <row r="10" spans="2:15" x14ac:dyDescent="0.25">
      <c r="B10" t="str">
        <f>IFERROR(IF('Yearly Leave Tracker'!A14="","",'Yearly Leave Tracker'!A14),"")</f>
        <v>Employee 7</v>
      </c>
      <c r="C10" t="str">
        <f>IFERROR(VLOOKUP(B10,Database!E:F,2,0),"")</f>
        <v>HR</v>
      </c>
      <c r="D10">
        <f ca="1">IFERROR(VLOOKUP(B10,'Yearly Leave Tracker'!A:NU,374,0),"")</f>
        <v>1</v>
      </c>
      <c r="E10">
        <f ca="1">IFERROR(VLOOKUP(B10,'Yearly Leave Tracker'!A:NU,375,0),"")</f>
        <v>3</v>
      </c>
      <c r="F10">
        <f ca="1">IFERROR(VLOOKUP(B10,'Yearly Leave Tracker'!A:NU,376,0),"")</f>
        <v>0</v>
      </c>
      <c r="G10">
        <f ca="1">IFERROR(VLOOKUP(B10,'Yearly Leave Tracker'!A:NU,377,0),"")</f>
        <v>2</v>
      </c>
      <c r="H10">
        <f ca="1">IFERROR(VLOOKUP(B10,'Yearly Leave Tracker'!A:NU,378,0),"")</f>
        <v>0</v>
      </c>
      <c r="I10">
        <f ca="1">IFERROR(VLOOKUP(B10,'Yearly Leave Tracker'!A:NU,379,0),"")</f>
        <v>0</v>
      </c>
      <c r="J10">
        <f ca="1">IFERROR(VLOOKUP(B10,'Yearly Leave Tracker'!A:NU,380,0),"")</f>
        <v>1</v>
      </c>
      <c r="K10">
        <f ca="1">IFERROR(VLOOKUP(B10,'Yearly Leave Tracker'!A:NU,381,0),"")</f>
        <v>0</v>
      </c>
      <c r="L10">
        <f ca="1">IFERROR(VLOOKUP(B10,'Yearly Leave Tracker'!A:NU,382,0),"")</f>
        <v>0</v>
      </c>
      <c r="M10">
        <f ca="1">IFERROR(VLOOKUP(B10,'Yearly Leave Tracker'!A:NU,383,0),"")</f>
        <v>0</v>
      </c>
      <c r="N10">
        <f ca="1">IFERROR(VLOOKUP(B10,'Yearly Leave Tracker'!A:NU,384,0),"")</f>
        <v>0</v>
      </c>
      <c r="O10">
        <f ca="1">IFERROR(VLOOKUP(B10,'Yearly Leave Tracker'!A:NU,385,0),"")</f>
        <v>0</v>
      </c>
    </row>
    <row r="11" spans="2:15" x14ac:dyDescent="0.25">
      <c r="B11" t="str">
        <f>IFERROR(IF('Yearly Leave Tracker'!A15="","",'Yearly Leave Tracker'!A15),"")</f>
        <v>Employee 8</v>
      </c>
      <c r="C11" t="str">
        <f>IFERROR(VLOOKUP(B11,Database!E:F,2,0),"")</f>
        <v>Production</v>
      </c>
      <c r="D11">
        <f ca="1">IFERROR(VLOOKUP(B11,'Yearly Leave Tracker'!A:NU,374,0),"")</f>
        <v>1</v>
      </c>
      <c r="E11">
        <f ca="1">IFERROR(VLOOKUP(B11,'Yearly Leave Tracker'!A:NU,375,0),"")</f>
        <v>2</v>
      </c>
      <c r="F11">
        <f ca="1">IFERROR(VLOOKUP(B11,'Yearly Leave Tracker'!A:NU,376,0),"")</f>
        <v>0</v>
      </c>
      <c r="G11">
        <f ca="1">IFERROR(VLOOKUP(B11,'Yearly Leave Tracker'!A:NU,377,0),"")</f>
        <v>1</v>
      </c>
      <c r="H11">
        <f ca="1">IFERROR(VLOOKUP(B11,'Yearly Leave Tracker'!A:NU,378,0),"")</f>
        <v>0</v>
      </c>
      <c r="I11">
        <f ca="1">IFERROR(VLOOKUP(B11,'Yearly Leave Tracker'!A:NU,379,0),"")</f>
        <v>0</v>
      </c>
      <c r="J11">
        <f ca="1">IFERROR(VLOOKUP(B11,'Yearly Leave Tracker'!A:NU,380,0),"")</f>
        <v>0</v>
      </c>
      <c r="K11">
        <f ca="1">IFERROR(VLOOKUP(B11,'Yearly Leave Tracker'!A:NU,381,0),"")</f>
        <v>0</v>
      </c>
      <c r="L11">
        <f ca="1">IFERROR(VLOOKUP(B11,'Yearly Leave Tracker'!A:NU,382,0),"")</f>
        <v>0</v>
      </c>
      <c r="M11">
        <f ca="1">IFERROR(VLOOKUP(B11,'Yearly Leave Tracker'!A:NU,383,0),"")</f>
        <v>1</v>
      </c>
      <c r="N11">
        <f ca="1">IFERROR(VLOOKUP(B11,'Yearly Leave Tracker'!A:NU,384,0),"")</f>
        <v>0</v>
      </c>
      <c r="O11">
        <f ca="1">IFERROR(VLOOKUP(B11,'Yearly Leave Tracker'!A:NU,385,0),"")</f>
        <v>0</v>
      </c>
    </row>
    <row r="12" spans="2:15" x14ac:dyDescent="0.25">
      <c r="B12" t="str">
        <f>IFERROR(IF('Yearly Leave Tracker'!A16="","",'Yearly Leave Tracker'!A16),"")</f>
        <v>Employee 9</v>
      </c>
      <c r="C12" t="str">
        <f>IFERROR(VLOOKUP(B12,Database!E:F,2,0),"")</f>
        <v>Production</v>
      </c>
      <c r="D12">
        <f ca="1">IFERROR(VLOOKUP(B12,'Yearly Leave Tracker'!A:NU,374,0),"")</f>
        <v>2.5</v>
      </c>
      <c r="E12">
        <f ca="1">IFERROR(VLOOKUP(B12,'Yearly Leave Tracker'!A:NU,375,0),"")</f>
        <v>4.5</v>
      </c>
      <c r="F12">
        <f ca="1">IFERROR(VLOOKUP(B12,'Yearly Leave Tracker'!A:NU,376,0),"")</f>
        <v>0</v>
      </c>
      <c r="G12">
        <f ca="1">IFERROR(VLOOKUP(B12,'Yearly Leave Tracker'!A:NU,377,0),"")</f>
        <v>1</v>
      </c>
      <c r="H12">
        <f ca="1">IFERROR(VLOOKUP(B12,'Yearly Leave Tracker'!A:NU,378,0),"")</f>
        <v>1</v>
      </c>
      <c r="I12">
        <f ca="1">IFERROR(VLOOKUP(B12,'Yearly Leave Tracker'!A:NU,379,0),"")</f>
        <v>0</v>
      </c>
      <c r="J12">
        <f ca="1">IFERROR(VLOOKUP(B12,'Yearly Leave Tracker'!A:NU,380,0),"")</f>
        <v>0</v>
      </c>
      <c r="K12">
        <f ca="1">IFERROR(VLOOKUP(B12,'Yearly Leave Tracker'!A:NU,381,0),"")</f>
        <v>2</v>
      </c>
      <c r="L12">
        <f ca="1">IFERROR(VLOOKUP(B12,'Yearly Leave Tracker'!A:NU,382,0),"")</f>
        <v>0</v>
      </c>
      <c r="M12">
        <f ca="1">IFERROR(VLOOKUP(B12,'Yearly Leave Tracker'!A:NU,383,0),"")</f>
        <v>0</v>
      </c>
      <c r="N12">
        <f ca="1">IFERROR(VLOOKUP(B12,'Yearly Leave Tracker'!A:NU,384,0),"")</f>
        <v>1</v>
      </c>
      <c r="O12">
        <f ca="1">IFERROR(VLOOKUP(B12,'Yearly Leave Tracker'!A:NU,385,0),"")</f>
        <v>0</v>
      </c>
    </row>
    <row r="13" spans="2:15" x14ac:dyDescent="0.25">
      <c r="B13" t="str">
        <f>IFERROR(IF('Yearly Leave Tracker'!A17="","",'Yearly Leave Tracker'!A17),"")</f>
        <v>Employee 10</v>
      </c>
      <c r="C13" t="str">
        <f>IFERROR(VLOOKUP(B13,Database!E:F,2,0),"")</f>
        <v>Planning</v>
      </c>
      <c r="D13">
        <f ca="1">IFERROR(VLOOKUP(B13,'Yearly Leave Tracker'!A:NU,374,0),"")</f>
        <v>1</v>
      </c>
      <c r="E13">
        <f ca="1">IFERROR(VLOOKUP(B13,'Yearly Leave Tracker'!A:NU,375,0),"")</f>
        <v>4</v>
      </c>
      <c r="F13">
        <f ca="1">IFERROR(VLOOKUP(B13,'Yearly Leave Tracker'!A:NU,376,0),"")</f>
        <v>0</v>
      </c>
      <c r="G13">
        <f ca="1">IFERROR(VLOOKUP(B13,'Yearly Leave Tracker'!A:NU,377,0),"")</f>
        <v>0</v>
      </c>
      <c r="H13">
        <f ca="1">IFERROR(VLOOKUP(B13,'Yearly Leave Tracker'!A:NU,378,0),"")</f>
        <v>0</v>
      </c>
      <c r="I13">
        <f ca="1">IFERROR(VLOOKUP(B13,'Yearly Leave Tracker'!A:NU,379,0),"")</f>
        <v>0</v>
      </c>
      <c r="J13">
        <f ca="1">IFERROR(VLOOKUP(B13,'Yearly Leave Tracker'!A:NU,380,0),"")</f>
        <v>1</v>
      </c>
      <c r="K13">
        <f ca="1">IFERROR(VLOOKUP(B13,'Yearly Leave Tracker'!A:NU,381,0),"")</f>
        <v>0</v>
      </c>
      <c r="L13">
        <f ca="1">IFERROR(VLOOKUP(B13,'Yearly Leave Tracker'!A:NU,382,0),"")</f>
        <v>3</v>
      </c>
      <c r="M13">
        <f ca="1">IFERROR(VLOOKUP(B13,'Yearly Leave Tracker'!A:NU,383,0),"")</f>
        <v>0</v>
      </c>
      <c r="N13">
        <f ca="1">IFERROR(VLOOKUP(B13,'Yearly Leave Tracker'!A:NU,384,0),"")</f>
        <v>0</v>
      </c>
      <c r="O13">
        <f ca="1">IFERROR(VLOOKUP(B13,'Yearly Leave Tracker'!A:NU,385,0),"")</f>
        <v>0</v>
      </c>
    </row>
    <row r="14" spans="2:15" x14ac:dyDescent="0.25">
      <c r="B14" t="str">
        <f>IFERROR(IF('Yearly Leave Tracker'!A18="","",'Yearly Leave Tracker'!A18),"")</f>
        <v>Employee 11</v>
      </c>
      <c r="C14" t="str">
        <f>IFERROR(VLOOKUP(B14,Database!E:F,2,0),"")</f>
        <v>Quality</v>
      </c>
      <c r="D14">
        <f ca="1">IFERROR(VLOOKUP(B14,'Yearly Leave Tracker'!A:NU,374,0),"")</f>
        <v>1</v>
      </c>
      <c r="E14">
        <f ca="1">IFERROR(VLOOKUP(B14,'Yearly Leave Tracker'!A:NU,375,0),"")</f>
        <v>2</v>
      </c>
      <c r="F14">
        <f ca="1">IFERROR(VLOOKUP(B14,'Yearly Leave Tracker'!A:NU,376,0),"")</f>
        <v>1</v>
      </c>
      <c r="G14">
        <f ca="1">IFERROR(VLOOKUP(B14,'Yearly Leave Tracker'!A:NU,377,0),"")</f>
        <v>0</v>
      </c>
      <c r="H14">
        <f ca="1">IFERROR(VLOOKUP(B14,'Yearly Leave Tracker'!A:NU,378,0),"")</f>
        <v>0</v>
      </c>
      <c r="I14">
        <f ca="1">IFERROR(VLOOKUP(B14,'Yearly Leave Tracker'!A:NU,379,0),"")</f>
        <v>1</v>
      </c>
      <c r="J14">
        <f ca="1">IFERROR(VLOOKUP(B14,'Yearly Leave Tracker'!A:NU,380,0),"")</f>
        <v>0</v>
      </c>
      <c r="K14">
        <f ca="1">IFERROR(VLOOKUP(B14,'Yearly Leave Tracker'!A:NU,381,0),"")</f>
        <v>0</v>
      </c>
      <c r="L14">
        <f ca="1">IFERROR(VLOOKUP(B14,'Yearly Leave Tracker'!A:NU,382,0),"")</f>
        <v>0</v>
      </c>
      <c r="M14">
        <f ca="1">IFERROR(VLOOKUP(B14,'Yearly Leave Tracker'!A:NU,383,0),"")</f>
        <v>0</v>
      </c>
      <c r="N14">
        <f ca="1">IFERROR(VLOOKUP(B14,'Yearly Leave Tracker'!A:NU,384,0),"")</f>
        <v>0</v>
      </c>
      <c r="O14">
        <f ca="1">IFERROR(VLOOKUP(B14,'Yearly Leave Tracker'!A:NU,385,0),"")</f>
        <v>0</v>
      </c>
    </row>
    <row r="15" spans="2:15" x14ac:dyDescent="0.25">
      <c r="B15" t="str">
        <f>IFERROR(IF('Yearly Leave Tracker'!A19="","",'Yearly Leave Tracker'!A19),"")</f>
        <v>Employee 12</v>
      </c>
      <c r="C15" t="str">
        <f>IFERROR(VLOOKUP(B15,Database!E:F,2,0),"")</f>
        <v>Finance</v>
      </c>
      <c r="D15">
        <f ca="1">IFERROR(VLOOKUP(B15,'Yearly Leave Tracker'!A:NU,374,0),"")</f>
        <v>0.5</v>
      </c>
      <c r="E15">
        <f ca="1">IFERROR(VLOOKUP(B15,'Yearly Leave Tracker'!A:NU,375,0),"")</f>
        <v>1.5</v>
      </c>
      <c r="F15">
        <f ca="1">IFERROR(VLOOKUP(B15,'Yearly Leave Tracker'!A:NU,376,0),"")</f>
        <v>0</v>
      </c>
      <c r="G15">
        <f ca="1">IFERROR(VLOOKUP(B15,'Yearly Leave Tracker'!A:NU,377,0),"")</f>
        <v>0</v>
      </c>
      <c r="H15">
        <f ca="1">IFERROR(VLOOKUP(B15,'Yearly Leave Tracker'!A:NU,378,0),"")</f>
        <v>0</v>
      </c>
      <c r="I15">
        <f ca="1">IFERROR(VLOOKUP(B15,'Yearly Leave Tracker'!A:NU,379,0),"")</f>
        <v>1</v>
      </c>
      <c r="J15">
        <f ca="1">IFERROR(VLOOKUP(B15,'Yearly Leave Tracker'!A:NU,380,0),"")</f>
        <v>0</v>
      </c>
      <c r="K15">
        <f ca="1">IFERROR(VLOOKUP(B15,'Yearly Leave Tracker'!A:NU,381,0),"")</f>
        <v>0</v>
      </c>
      <c r="L15">
        <f ca="1">IFERROR(VLOOKUP(B15,'Yearly Leave Tracker'!A:NU,382,0),"")</f>
        <v>0</v>
      </c>
      <c r="M15">
        <f ca="1">IFERROR(VLOOKUP(B15,'Yearly Leave Tracker'!A:NU,383,0),"")</f>
        <v>0</v>
      </c>
      <c r="N15">
        <f ca="1">IFERROR(VLOOKUP(B15,'Yearly Leave Tracker'!A:NU,384,0),"")</f>
        <v>0</v>
      </c>
      <c r="O15">
        <f ca="1">IFERROR(VLOOKUP(B15,'Yearly Leave Tracker'!A:NU,385,0),"")</f>
        <v>1</v>
      </c>
    </row>
    <row r="16" spans="2:15" x14ac:dyDescent="0.25">
      <c r="B16" t="str">
        <f>IFERROR(IF('Yearly Leave Tracker'!A20="","",'Yearly Leave Tracker'!A20),"")</f>
        <v>Employee 13</v>
      </c>
      <c r="C16" t="str">
        <f>IFERROR(VLOOKUP(B16,Database!E:F,2,0),"")</f>
        <v>Warehouse</v>
      </c>
      <c r="D16">
        <f ca="1">IFERROR(VLOOKUP(B16,'Yearly Leave Tracker'!A:NU,374,0),"")</f>
        <v>0</v>
      </c>
      <c r="E16">
        <f ca="1">IFERROR(VLOOKUP(B16,'Yearly Leave Tracker'!A:NU,375,0),"")</f>
        <v>1</v>
      </c>
      <c r="F16">
        <f ca="1">IFERROR(VLOOKUP(B16,'Yearly Leave Tracker'!A:NU,376,0),"")</f>
        <v>0</v>
      </c>
      <c r="G16">
        <f ca="1">IFERROR(VLOOKUP(B16,'Yearly Leave Tracker'!A:NU,377,0),"")</f>
        <v>0</v>
      </c>
      <c r="H16">
        <f ca="1">IFERROR(VLOOKUP(B16,'Yearly Leave Tracker'!A:NU,378,0),"")</f>
        <v>0</v>
      </c>
      <c r="I16">
        <f ca="1">IFERROR(VLOOKUP(B16,'Yearly Leave Tracker'!A:NU,379,0),"")</f>
        <v>0</v>
      </c>
      <c r="J16">
        <f ca="1">IFERROR(VLOOKUP(B16,'Yearly Leave Tracker'!A:NU,380,0),"")</f>
        <v>1</v>
      </c>
      <c r="K16">
        <f ca="1">IFERROR(VLOOKUP(B16,'Yearly Leave Tracker'!A:NU,381,0),"")</f>
        <v>0</v>
      </c>
      <c r="L16">
        <f ca="1">IFERROR(VLOOKUP(B16,'Yearly Leave Tracker'!A:NU,382,0),"")</f>
        <v>0</v>
      </c>
      <c r="M16">
        <f ca="1">IFERROR(VLOOKUP(B16,'Yearly Leave Tracker'!A:NU,383,0),"")</f>
        <v>0</v>
      </c>
      <c r="N16">
        <f ca="1">IFERROR(VLOOKUP(B16,'Yearly Leave Tracker'!A:NU,384,0),"")</f>
        <v>0</v>
      </c>
      <c r="O16">
        <f ca="1">IFERROR(VLOOKUP(B16,'Yearly Leave Tracker'!A:NU,385,0),"")</f>
        <v>0</v>
      </c>
    </row>
    <row r="17" spans="2:15" x14ac:dyDescent="0.25">
      <c r="B17" t="str">
        <f>IFERROR(IF('Yearly Leave Tracker'!A21="","",'Yearly Leave Tracker'!A21),"")</f>
        <v>Employee 14</v>
      </c>
      <c r="C17" t="str">
        <f>IFERROR(VLOOKUP(B17,Database!E:F,2,0),"")</f>
        <v>Quality</v>
      </c>
      <c r="D17">
        <f ca="1">IFERROR(VLOOKUP(B17,'Yearly Leave Tracker'!A:NU,374,0),"")</f>
        <v>1</v>
      </c>
      <c r="E17">
        <f ca="1">IFERROR(VLOOKUP(B17,'Yearly Leave Tracker'!A:NU,375,0),"")</f>
        <v>4.5</v>
      </c>
      <c r="F17">
        <f ca="1">IFERROR(VLOOKUP(B17,'Yearly Leave Tracker'!A:NU,376,0),"")</f>
        <v>1</v>
      </c>
      <c r="G17">
        <f ca="1">IFERROR(VLOOKUP(B17,'Yearly Leave Tracker'!A:NU,377,0),"")</f>
        <v>0</v>
      </c>
      <c r="H17">
        <f ca="1">IFERROR(VLOOKUP(B17,'Yearly Leave Tracker'!A:NU,378,0),"")</f>
        <v>1</v>
      </c>
      <c r="I17">
        <f ca="1">IFERROR(VLOOKUP(B17,'Yearly Leave Tracker'!A:NU,379,0),"")</f>
        <v>1</v>
      </c>
      <c r="J17">
        <f ca="1">IFERROR(VLOOKUP(B17,'Yearly Leave Tracker'!A:NU,380,0),"")</f>
        <v>1</v>
      </c>
      <c r="K17">
        <f ca="1">IFERROR(VLOOKUP(B17,'Yearly Leave Tracker'!A:NU,381,0),"")</f>
        <v>0</v>
      </c>
      <c r="L17">
        <f ca="1">IFERROR(VLOOKUP(B17,'Yearly Leave Tracker'!A:NU,382,0),"")</f>
        <v>0</v>
      </c>
      <c r="M17">
        <f ca="1">IFERROR(VLOOKUP(B17,'Yearly Leave Tracker'!A:NU,383,0),"")</f>
        <v>0</v>
      </c>
      <c r="N17">
        <f ca="1">IFERROR(VLOOKUP(B17,'Yearly Leave Tracker'!A:NU,384,0),"")</f>
        <v>1</v>
      </c>
      <c r="O17">
        <f ca="1">IFERROR(VLOOKUP(B17,'Yearly Leave Tracker'!A:NU,385,0),"")</f>
        <v>0</v>
      </c>
    </row>
    <row r="18" spans="2:15" x14ac:dyDescent="0.25">
      <c r="B18" t="str">
        <f>IFERROR(IF('Yearly Leave Tracker'!A22="","",'Yearly Leave Tracker'!A22),"")</f>
        <v>Employee 15</v>
      </c>
      <c r="C18" t="str">
        <f>IFERROR(VLOOKUP(B18,Database!E:F,2,0),"")</f>
        <v>Warehouse</v>
      </c>
      <c r="D18">
        <f ca="1">IFERROR(VLOOKUP(B18,'Yearly Leave Tracker'!A:NU,374,0),"")</f>
        <v>0</v>
      </c>
      <c r="E18">
        <f ca="1">IFERROR(VLOOKUP(B18,'Yearly Leave Tracker'!A:NU,375,0),"")</f>
        <v>0.5</v>
      </c>
      <c r="F18">
        <f ca="1">IFERROR(VLOOKUP(B18,'Yearly Leave Tracker'!A:NU,376,0),"")</f>
        <v>0</v>
      </c>
      <c r="G18">
        <f ca="1">IFERROR(VLOOKUP(B18,'Yearly Leave Tracker'!A:NU,377,0),"")</f>
        <v>0</v>
      </c>
      <c r="H18">
        <f ca="1">IFERROR(VLOOKUP(B18,'Yearly Leave Tracker'!A:NU,378,0),"")</f>
        <v>0</v>
      </c>
      <c r="I18">
        <f ca="1">IFERROR(VLOOKUP(B18,'Yearly Leave Tracker'!A:NU,379,0),"")</f>
        <v>0</v>
      </c>
      <c r="J18">
        <f ca="1">IFERROR(VLOOKUP(B18,'Yearly Leave Tracker'!A:NU,380,0),"")</f>
        <v>0</v>
      </c>
      <c r="K18">
        <f ca="1">IFERROR(VLOOKUP(B18,'Yearly Leave Tracker'!A:NU,381,0),"")</f>
        <v>0</v>
      </c>
      <c r="L18">
        <f ca="1">IFERROR(VLOOKUP(B18,'Yearly Leave Tracker'!A:NU,382,0),"")</f>
        <v>0</v>
      </c>
      <c r="M18">
        <f ca="1">IFERROR(VLOOKUP(B18,'Yearly Leave Tracker'!A:NU,383,0),"")</f>
        <v>0</v>
      </c>
      <c r="N18">
        <f ca="1">IFERROR(VLOOKUP(B18,'Yearly Leave Tracker'!A:NU,384,0),"")</f>
        <v>0</v>
      </c>
      <c r="O18">
        <f ca="1">IFERROR(VLOOKUP(B18,'Yearly Leave Tracker'!A:NU,385,0),"")</f>
        <v>1</v>
      </c>
    </row>
    <row r="19" spans="2:15" x14ac:dyDescent="0.25">
      <c r="B19" t="str">
        <f>IFERROR(IF('Yearly Leave Tracker'!A23="","",'Yearly Leave Tracker'!A23),"")</f>
        <v>Employee 16</v>
      </c>
      <c r="C19" t="str">
        <f>IFERROR(VLOOKUP(B19,Database!E:F,2,0),"")</f>
        <v>Production</v>
      </c>
      <c r="D19">
        <f ca="1">IFERROR(VLOOKUP(B19,'Yearly Leave Tracker'!A:NU,374,0),"")</f>
        <v>0</v>
      </c>
      <c r="E19">
        <f ca="1">IFERROR(VLOOKUP(B19,'Yearly Leave Tracker'!A:NU,375,0),"")</f>
        <v>0.5</v>
      </c>
      <c r="F19">
        <f ca="1">IFERROR(VLOOKUP(B19,'Yearly Leave Tracker'!A:NU,376,0),"")</f>
        <v>0</v>
      </c>
      <c r="G19">
        <f ca="1">IFERROR(VLOOKUP(B19,'Yearly Leave Tracker'!A:NU,377,0),"")</f>
        <v>0</v>
      </c>
      <c r="H19">
        <f ca="1">IFERROR(VLOOKUP(B19,'Yearly Leave Tracker'!A:NU,378,0),"")</f>
        <v>0</v>
      </c>
      <c r="I19">
        <f ca="1">IFERROR(VLOOKUP(B19,'Yearly Leave Tracker'!A:NU,379,0),"")</f>
        <v>0</v>
      </c>
      <c r="J19">
        <f ca="1">IFERROR(VLOOKUP(B19,'Yearly Leave Tracker'!A:NU,380,0),"")</f>
        <v>0</v>
      </c>
      <c r="K19">
        <f ca="1">IFERROR(VLOOKUP(B19,'Yearly Leave Tracker'!A:NU,381,0),"")</f>
        <v>0</v>
      </c>
      <c r="L19">
        <f ca="1">IFERROR(VLOOKUP(B19,'Yearly Leave Tracker'!A:NU,382,0),"")</f>
        <v>0</v>
      </c>
      <c r="M19">
        <f ca="1">IFERROR(VLOOKUP(B19,'Yearly Leave Tracker'!A:NU,383,0),"")</f>
        <v>0</v>
      </c>
      <c r="N19">
        <f ca="1">IFERROR(VLOOKUP(B19,'Yearly Leave Tracker'!A:NU,384,0),"")</f>
        <v>0</v>
      </c>
      <c r="O19">
        <f ca="1">IFERROR(VLOOKUP(B19,'Yearly Leave Tracker'!A:NU,385,0),"")</f>
        <v>1</v>
      </c>
    </row>
    <row r="20" spans="2:15" x14ac:dyDescent="0.25">
      <c r="B20" t="str">
        <f>IFERROR(IF('Yearly Leave Tracker'!A24="","",'Yearly Leave Tracker'!A24),"")</f>
        <v>Employee 17</v>
      </c>
      <c r="C20" t="str">
        <f>IFERROR(VLOOKUP(B20,Database!E:F,2,0),"")</f>
        <v>HR</v>
      </c>
      <c r="D20">
        <f ca="1">IFERROR(VLOOKUP(B20,'Yearly Leave Tracker'!A:NU,374,0),"")</f>
        <v>1</v>
      </c>
      <c r="E20">
        <f ca="1">IFERROR(VLOOKUP(B20,'Yearly Leave Tracker'!A:NU,375,0),"")</f>
        <v>2</v>
      </c>
      <c r="F20">
        <f ca="1">IFERROR(VLOOKUP(B20,'Yearly Leave Tracker'!A:NU,376,0),"")</f>
        <v>0</v>
      </c>
      <c r="G20">
        <f ca="1">IFERROR(VLOOKUP(B20,'Yearly Leave Tracker'!A:NU,377,0),"")</f>
        <v>1</v>
      </c>
      <c r="H20">
        <f ca="1">IFERROR(VLOOKUP(B20,'Yearly Leave Tracker'!A:NU,378,0),"")</f>
        <v>0</v>
      </c>
      <c r="I20">
        <f ca="1">IFERROR(VLOOKUP(B20,'Yearly Leave Tracker'!A:NU,379,0),"")</f>
        <v>0</v>
      </c>
      <c r="J20">
        <f ca="1">IFERROR(VLOOKUP(B20,'Yearly Leave Tracker'!A:NU,380,0),"")</f>
        <v>1</v>
      </c>
      <c r="K20">
        <f ca="1">IFERROR(VLOOKUP(B20,'Yearly Leave Tracker'!A:NU,381,0),"")</f>
        <v>0</v>
      </c>
      <c r="L20">
        <f ca="1">IFERROR(VLOOKUP(B20,'Yearly Leave Tracker'!A:NU,382,0),"")</f>
        <v>0</v>
      </c>
      <c r="M20">
        <f ca="1">IFERROR(VLOOKUP(B20,'Yearly Leave Tracker'!A:NU,383,0),"")</f>
        <v>0</v>
      </c>
      <c r="N20">
        <f ca="1">IFERROR(VLOOKUP(B20,'Yearly Leave Tracker'!A:NU,384,0),"")</f>
        <v>0</v>
      </c>
      <c r="O20">
        <f ca="1">IFERROR(VLOOKUP(B20,'Yearly Leave Tracker'!A:NU,385,0),"")</f>
        <v>0</v>
      </c>
    </row>
    <row r="21" spans="2:15" x14ac:dyDescent="0.25">
      <c r="B21" t="str">
        <f>IFERROR(IF('Yearly Leave Tracker'!A25="","",'Yearly Leave Tracker'!A25),"")</f>
        <v/>
      </c>
      <c r="C21" t="str">
        <f>IFERROR(VLOOKUP(B21,Database!E:F,2,0),"")</f>
        <v/>
      </c>
      <c r="D21" t="str">
        <f>IFERROR(VLOOKUP(B21,'Yearly Leave Tracker'!A:NU,374,0),"")</f>
        <v/>
      </c>
      <c r="E21" t="str">
        <f>IFERROR(VLOOKUP(B21,'Yearly Leave Tracker'!A:NU,375,0),"")</f>
        <v/>
      </c>
      <c r="F21" t="str">
        <f>IFERROR(VLOOKUP(B21,'Yearly Leave Tracker'!A:NU,376,0),"")</f>
        <v/>
      </c>
      <c r="G21" t="str">
        <f>IFERROR(VLOOKUP(B21,'Yearly Leave Tracker'!A:NU,377,0),"")</f>
        <v/>
      </c>
      <c r="H21" t="str">
        <f>IFERROR(VLOOKUP(B21,'Yearly Leave Tracker'!A:NU,378,0),"")</f>
        <v/>
      </c>
      <c r="I21" t="str">
        <f>IFERROR(VLOOKUP(B21,'Yearly Leave Tracker'!A:NU,379,0),"")</f>
        <v/>
      </c>
      <c r="J21" t="str">
        <f>IFERROR(VLOOKUP(B21,'Yearly Leave Tracker'!A:NU,380,0),"")</f>
        <v/>
      </c>
      <c r="K21" t="str">
        <f>IFERROR(VLOOKUP(B21,'Yearly Leave Tracker'!A:NU,381,0),"")</f>
        <v/>
      </c>
      <c r="L21" t="str">
        <f>IFERROR(VLOOKUP(B21,'Yearly Leave Tracker'!A:NU,382,0),"")</f>
        <v/>
      </c>
      <c r="M21" t="str">
        <f>IFERROR(VLOOKUP(B21,'Yearly Leave Tracker'!A:NU,383,0),"")</f>
        <v/>
      </c>
      <c r="N21" t="str">
        <f>IFERROR(VLOOKUP(B21,'Yearly Leave Tracker'!A:NU,384,0),"")</f>
        <v/>
      </c>
      <c r="O21" t="str">
        <f>IFERROR(VLOOKUP(B21,'Yearly Leave Tracker'!A:NU,385,0),"")</f>
        <v/>
      </c>
    </row>
    <row r="22" spans="2:15" x14ac:dyDescent="0.25">
      <c r="B22" t="str">
        <f>IFERROR(IF('Yearly Leave Tracker'!A26="","",'Yearly Leave Tracker'!A26),"")</f>
        <v/>
      </c>
      <c r="C22" t="str">
        <f>IFERROR(VLOOKUP(B22,Database!E:F,2,0),"")</f>
        <v/>
      </c>
      <c r="D22" t="str">
        <f>IFERROR(VLOOKUP(B22,'Yearly Leave Tracker'!A:NU,374,0),"")</f>
        <v/>
      </c>
      <c r="E22" t="str">
        <f>IFERROR(VLOOKUP(B22,'Yearly Leave Tracker'!A:NU,375,0),"")</f>
        <v/>
      </c>
      <c r="F22" t="str">
        <f>IFERROR(VLOOKUP(B22,'Yearly Leave Tracker'!A:NU,376,0),"")</f>
        <v/>
      </c>
      <c r="G22" t="str">
        <f>IFERROR(VLOOKUP(B22,'Yearly Leave Tracker'!A:NU,377,0),"")</f>
        <v/>
      </c>
      <c r="H22" t="str">
        <f>IFERROR(VLOOKUP(B22,'Yearly Leave Tracker'!A:NU,378,0),"")</f>
        <v/>
      </c>
      <c r="I22" t="str">
        <f>IFERROR(VLOOKUP(B22,'Yearly Leave Tracker'!A:NU,379,0),"")</f>
        <v/>
      </c>
      <c r="J22" t="str">
        <f>IFERROR(VLOOKUP(B22,'Yearly Leave Tracker'!A:NU,380,0),"")</f>
        <v/>
      </c>
      <c r="K22" t="str">
        <f>IFERROR(VLOOKUP(B22,'Yearly Leave Tracker'!A:NU,381,0),"")</f>
        <v/>
      </c>
      <c r="L22" t="str">
        <f>IFERROR(VLOOKUP(B22,'Yearly Leave Tracker'!A:NU,382,0),"")</f>
        <v/>
      </c>
      <c r="M22" t="str">
        <f>IFERROR(VLOOKUP(B22,'Yearly Leave Tracker'!A:NU,383,0),"")</f>
        <v/>
      </c>
      <c r="N22" t="str">
        <f>IFERROR(VLOOKUP(B22,'Yearly Leave Tracker'!A:NU,384,0),"")</f>
        <v/>
      </c>
      <c r="O22" t="str">
        <f>IFERROR(VLOOKUP(B22,'Yearly Leave Tracker'!A:NU,385,0),"")</f>
        <v/>
      </c>
    </row>
    <row r="23" spans="2:15" x14ac:dyDescent="0.25">
      <c r="B23" t="str">
        <f>IFERROR(IF('Yearly Leave Tracker'!A27="","",'Yearly Leave Tracker'!A27),"")</f>
        <v/>
      </c>
      <c r="C23" t="str">
        <f>IFERROR(VLOOKUP(B23,Database!E:F,2,0),"")</f>
        <v/>
      </c>
      <c r="D23" t="str">
        <f>IFERROR(VLOOKUP(B23,'Yearly Leave Tracker'!A:NU,374,0),"")</f>
        <v/>
      </c>
      <c r="E23" t="str">
        <f>IFERROR(VLOOKUP(B23,'Yearly Leave Tracker'!A:NU,375,0),"")</f>
        <v/>
      </c>
      <c r="F23" t="str">
        <f>IFERROR(VLOOKUP(B23,'Yearly Leave Tracker'!A:NU,376,0),"")</f>
        <v/>
      </c>
      <c r="G23" t="str">
        <f>IFERROR(VLOOKUP(B23,'Yearly Leave Tracker'!A:NU,377,0),"")</f>
        <v/>
      </c>
      <c r="H23" t="str">
        <f>IFERROR(VLOOKUP(B23,'Yearly Leave Tracker'!A:NU,378,0),"")</f>
        <v/>
      </c>
      <c r="I23" t="str">
        <f>IFERROR(VLOOKUP(B23,'Yearly Leave Tracker'!A:NU,379,0),"")</f>
        <v/>
      </c>
      <c r="J23" t="str">
        <f>IFERROR(VLOOKUP(B23,'Yearly Leave Tracker'!A:NU,380,0),"")</f>
        <v/>
      </c>
      <c r="K23" t="str">
        <f>IFERROR(VLOOKUP(B23,'Yearly Leave Tracker'!A:NU,381,0),"")</f>
        <v/>
      </c>
      <c r="L23" t="str">
        <f>IFERROR(VLOOKUP(B23,'Yearly Leave Tracker'!A:NU,382,0),"")</f>
        <v/>
      </c>
      <c r="M23" t="str">
        <f>IFERROR(VLOOKUP(B23,'Yearly Leave Tracker'!A:NU,383,0),"")</f>
        <v/>
      </c>
      <c r="N23" t="str">
        <f>IFERROR(VLOOKUP(B23,'Yearly Leave Tracker'!A:NU,384,0),"")</f>
        <v/>
      </c>
      <c r="O23" t="str">
        <f>IFERROR(VLOOKUP(B23,'Yearly Leave Tracker'!A:NU,385,0),"")</f>
        <v/>
      </c>
    </row>
    <row r="24" spans="2:15" x14ac:dyDescent="0.25">
      <c r="B24" t="str">
        <f>IFERROR(IF('Yearly Leave Tracker'!A28="","",'Yearly Leave Tracker'!A28),"")</f>
        <v/>
      </c>
      <c r="C24" t="str">
        <f>IFERROR(VLOOKUP(B24,Database!E:F,2,0),"")</f>
        <v/>
      </c>
      <c r="D24" t="str">
        <f>IFERROR(VLOOKUP(B24,'Yearly Leave Tracker'!A:NU,374,0),"")</f>
        <v/>
      </c>
      <c r="E24" t="str">
        <f>IFERROR(VLOOKUP(B24,'Yearly Leave Tracker'!A:NU,375,0),"")</f>
        <v/>
      </c>
      <c r="F24" t="str">
        <f>IFERROR(VLOOKUP(B24,'Yearly Leave Tracker'!A:NU,376,0),"")</f>
        <v/>
      </c>
      <c r="G24" t="str">
        <f>IFERROR(VLOOKUP(B24,'Yearly Leave Tracker'!A:NU,377,0),"")</f>
        <v/>
      </c>
      <c r="H24" t="str">
        <f>IFERROR(VLOOKUP(B24,'Yearly Leave Tracker'!A:NU,378,0),"")</f>
        <v/>
      </c>
      <c r="I24" t="str">
        <f>IFERROR(VLOOKUP(B24,'Yearly Leave Tracker'!A:NU,379,0),"")</f>
        <v/>
      </c>
      <c r="J24" t="str">
        <f>IFERROR(VLOOKUP(B24,'Yearly Leave Tracker'!A:NU,380,0),"")</f>
        <v/>
      </c>
      <c r="K24" t="str">
        <f>IFERROR(VLOOKUP(B24,'Yearly Leave Tracker'!A:NU,381,0),"")</f>
        <v/>
      </c>
      <c r="L24" t="str">
        <f>IFERROR(VLOOKUP(B24,'Yearly Leave Tracker'!A:NU,382,0),"")</f>
        <v/>
      </c>
      <c r="M24" t="str">
        <f>IFERROR(VLOOKUP(B24,'Yearly Leave Tracker'!A:NU,383,0),"")</f>
        <v/>
      </c>
      <c r="N24" t="str">
        <f>IFERROR(VLOOKUP(B24,'Yearly Leave Tracker'!A:NU,384,0),"")</f>
        <v/>
      </c>
      <c r="O24" t="str">
        <f>IFERROR(VLOOKUP(B24,'Yearly Leave Tracker'!A:NU,385,0),"")</f>
        <v/>
      </c>
    </row>
    <row r="25" spans="2:15" x14ac:dyDescent="0.25">
      <c r="B25" t="str">
        <f>IFERROR(IF('Yearly Leave Tracker'!A29="","",'Yearly Leave Tracker'!A29),"")</f>
        <v/>
      </c>
      <c r="C25" t="str">
        <f>IFERROR(VLOOKUP(B25,Database!E:F,2,0),"")</f>
        <v/>
      </c>
      <c r="D25" t="str">
        <f>IFERROR(VLOOKUP(B25,'Yearly Leave Tracker'!A:NU,374,0),"")</f>
        <v/>
      </c>
      <c r="E25" t="str">
        <f>IFERROR(VLOOKUP(B25,'Yearly Leave Tracker'!A:NU,375,0),"")</f>
        <v/>
      </c>
      <c r="F25" t="str">
        <f>IFERROR(VLOOKUP(B25,'Yearly Leave Tracker'!A:NU,376,0),"")</f>
        <v/>
      </c>
      <c r="G25" t="str">
        <f>IFERROR(VLOOKUP(B25,'Yearly Leave Tracker'!A:NU,377,0),"")</f>
        <v/>
      </c>
      <c r="H25" t="str">
        <f>IFERROR(VLOOKUP(B25,'Yearly Leave Tracker'!A:NU,378,0),"")</f>
        <v/>
      </c>
      <c r="I25" t="str">
        <f>IFERROR(VLOOKUP(B25,'Yearly Leave Tracker'!A:NU,379,0),"")</f>
        <v/>
      </c>
      <c r="J25" t="str">
        <f>IFERROR(VLOOKUP(B25,'Yearly Leave Tracker'!A:NU,380,0),"")</f>
        <v/>
      </c>
      <c r="K25" t="str">
        <f>IFERROR(VLOOKUP(B25,'Yearly Leave Tracker'!A:NU,381,0),"")</f>
        <v/>
      </c>
      <c r="L25" t="str">
        <f>IFERROR(VLOOKUP(B25,'Yearly Leave Tracker'!A:NU,382,0),"")</f>
        <v/>
      </c>
      <c r="M25" t="str">
        <f>IFERROR(VLOOKUP(B25,'Yearly Leave Tracker'!A:NU,383,0),"")</f>
        <v/>
      </c>
      <c r="N25" t="str">
        <f>IFERROR(VLOOKUP(B25,'Yearly Leave Tracker'!A:NU,384,0),"")</f>
        <v/>
      </c>
      <c r="O25" t="str">
        <f>IFERROR(VLOOKUP(B25,'Yearly Leave Tracker'!A:NU,385,0),"")</f>
        <v/>
      </c>
    </row>
    <row r="26" spans="2:15" x14ac:dyDescent="0.25">
      <c r="B26" t="str">
        <f>IFERROR(IF('Yearly Leave Tracker'!A30="","",'Yearly Leave Tracker'!A30),"")</f>
        <v/>
      </c>
      <c r="C26" t="str">
        <f>IFERROR(VLOOKUP(B26,Database!E:F,2,0),"")</f>
        <v/>
      </c>
      <c r="D26" t="str">
        <f>IFERROR(VLOOKUP(B26,'Yearly Leave Tracker'!A:NU,374,0),"")</f>
        <v/>
      </c>
      <c r="E26" t="str">
        <f>IFERROR(VLOOKUP(B26,'Yearly Leave Tracker'!A:NU,375,0),"")</f>
        <v/>
      </c>
      <c r="F26" t="str">
        <f>IFERROR(VLOOKUP(B26,'Yearly Leave Tracker'!A:NU,376,0),"")</f>
        <v/>
      </c>
      <c r="G26" t="str">
        <f>IFERROR(VLOOKUP(B26,'Yearly Leave Tracker'!A:NU,377,0),"")</f>
        <v/>
      </c>
      <c r="H26" t="str">
        <f>IFERROR(VLOOKUP(B26,'Yearly Leave Tracker'!A:NU,378,0),"")</f>
        <v/>
      </c>
      <c r="I26" t="str">
        <f>IFERROR(VLOOKUP(B26,'Yearly Leave Tracker'!A:NU,379,0),"")</f>
        <v/>
      </c>
      <c r="J26" t="str">
        <f>IFERROR(VLOOKUP(B26,'Yearly Leave Tracker'!A:NU,380,0),"")</f>
        <v/>
      </c>
      <c r="K26" t="str">
        <f>IFERROR(VLOOKUP(B26,'Yearly Leave Tracker'!A:NU,381,0),"")</f>
        <v/>
      </c>
      <c r="L26" t="str">
        <f>IFERROR(VLOOKUP(B26,'Yearly Leave Tracker'!A:NU,382,0),"")</f>
        <v/>
      </c>
      <c r="M26" t="str">
        <f>IFERROR(VLOOKUP(B26,'Yearly Leave Tracker'!A:NU,383,0),"")</f>
        <v/>
      </c>
      <c r="N26" t="str">
        <f>IFERROR(VLOOKUP(B26,'Yearly Leave Tracker'!A:NU,384,0),"")</f>
        <v/>
      </c>
      <c r="O26" t="str">
        <f>IFERROR(VLOOKUP(B26,'Yearly Leave Tracker'!A:NU,385,0),"")</f>
        <v/>
      </c>
    </row>
    <row r="27" spans="2:15" x14ac:dyDescent="0.25">
      <c r="B27" t="str">
        <f>IFERROR(IF('Yearly Leave Tracker'!A31="","",'Yearly Leave Tracker'!A31),"")</f>
        <v/>
      </c>
      <c r="C27" t="str">
        <f>IFERROR(VLOOKUP(B27,Database!E:F,2,0),"")</f>
        <v/>
      </c>
      <c r="D27" t="str">
        <f>IFERROR(VLOOKUP(B27,'Yearly Leave Tracker'!A:NU,374,0),"")</f>
        <v/>
      </c>
      <c r="E27" t="str">
        <f>IFERROR(VLOOKUP(B27,'Yearly Leave Tracker'!A:NU,375,0),"")</f>
        <v/>
      </c>
      <c r="F27" t="str">
        <f>IFERROR(VLOOKUP(B27,'Yearly Leave Tracker'!A:NU,376,0),"")</f>
        <v/>
      </c>
      <c r="G27" t="str">
        <f>IFERROR(VLOOKUP(B27,'Yearly Leave Tracker'!A:NU,377,0),"")</f>
        <v/>
      </c>
      <c r="H27" t="str">
        <f>IFERROR(VLOOKUP(B27,'Yearly Leave Tracker'!A:NU,378,0),"")</f>
        <v/>
      </c>
      <c r="I27" t="str">
        <f>IFERROR(VLOOKUP(B27,'Yearly Leave Tracker'!A:NU,379,0),"")</f>
        <v/>
      </c>
      <c r="J27" t="str">
        <f>IFERROR(VLOOKUP(B27,'Yearly Leave Tracker'!A:NU,380,0),"")</f>
        <v/>
      </c>
      <c r="K27" t="str">
        <f>IFERROR(VLOOKUP(B27,'Yearly Leave Tracker'!A:NU,381,0),"")</f>
        <v/>
      </c>
      <c r="L27" t="str">
        <f>IFERROR(VLOOKUP(B27,'Yearly Leave Tracker'!A:NU,382,0),"")</f>
        <v/>
      </c>
      <c r="M27" t="str">
        <f>IFERROR(VLOOKUP(B27,'Yearly Leave Tracker'!A:NU,383,0),"")</f>
        <v/>
      </c>
      <c r="N27" t="str">
        <f>IFERROR(VLOOKUP(B27,'Yearly Leave Tracker'!A:NU,384,0),"")</f>
        <v/>
      </c>
      <c r="O27" t="str">
        <f>IFERROR(VLOOKUP(B27,'Yearly Leave Tracker'!A:NU,385,0),"")</f>
        <v/>
      </c>
    </row>
    <row r="28" spans="2:15" x14ac:dyDescent="0.25">
      <c r="B28" t="str">
        <f>IFERROR(IF('Yearly Leave Tracker'!A32="","",'Yearly Leave Tracker'!A32),"")</f>
        <v/>
      </c>
      <c r="C28" t="str">
        <f>IFERROR(VLOOKUP(B28,Database!E:F,2,0),"")</f>
        <v/>
      </c>
      <c r="D28" t="str">
        <f>IFERROR(VLOOKUP(B28,'Yearly Leave Tracker'!A:NU,374,0),"")</f>
        <v/>
      </c>
      <c r="E28" t="str">
        <f>IFERROR(VLOOKUP(B28,'Yearly Leave Tracker'!A:NU,375,0),"")</f>
        <v/>
      </c>
      <c r="F28" t="str">
        <f>IFERROR(VLOOKUP(B28,'Yearly Leave Tracker'!A:NU,376,0),"")</f>
        <v/>
      </c>
      <c r="G28" t="str">
        <f>IFERROR(VLOOKUP(B28,'Yearly Leave Tracker'!A:NU,377,0),"")</f>
        <v/>
      </c>
      <c r="H28" t="str">
        <f>IFERROR(VLOOKUP(B28,'Yearly Leave Tracker'!A:NU,378,0),"")</f>
        <v/>
      </c>
      <c r="I28" t="str">
        <f>IFERROR(VLOOKUP(B28,'Yearly Leave Tracker'!A:NU,379,0),"")</f>
        <v/>
      </c>
      <c r="J28" t="str">
        <f>IFERROR(VLOOKUP(B28,'Yearly Leave Tracker'!A:NU,380,0),"")</f>
        <v/>
      </c>
      <c r="K28" t="str">
        <f>IFERROR(VLOOKUP(B28,'Yearly Leave Tracker'!A:NU,381,0),"")</f>
        <v/>
      </c>
      <c r="L28" t="str">
        <f>IFERROR(VLOOKUP(B28,'Yearly Leave Tracker'!A:NU,382,0),"")</f>
        <v/>
      </c>
      <c r="M28" t="str">
        <f>IFERROR(VLOOKUP(B28,'Yearly Leave Tracker'!A:NU,383,0),"")</f>
        <v/>
      </c>
      <c r="N28" t="str">
        <f>IFERROR(VLOOKUP(B28,'Yearly Leave Tracker'!A:NU,384,0),"")</f>
        <v/>
      </c>
      <c r="O28" t="str">
        <f>IFERROR(VLOOKUP(B28,'Yearly Leave Tracker'!A:NU,385,0),"")</f>
        <v/>
      </c>
    </row>
    <row r="29" spans="2:15" x14ac:dyDescent="0.25">
      <c r="B29" t="str">
        <f>IFERROR(IF('Yearly Leave Tracker'!A33="","",'Yearly Leave Tracker'!A33),"")</f>
        <v/>
      </c>
      <c r="C29" t="str">
        <f>IFERROR(VLOOKUP(B29,Database!E:F,2,0),"")</f>
        <v/>
      </c>
      <c r="D29" t="str">
        <f>IFERROR(VLOOKUP(B29,'Yearly Leave Tracker'!A:NU,374,0),"")</f>
        <v/>
      </c>
      <c r="E29" t="str">
        <f>IFERROR(VLOOKUP(B29,'Yearly Leave Tracker'!A:NU,375,0),"")</f>
        <v/>
      </c>
      <c r="F29" t="str">
        <f>IFERROR(VLOOKUP(B29,'Yearly Leave Tracker'!A:NU,376,0),"")</f>
        <v/>
      </c>
      <c r="G29" t="str">
        <f>IFERROR(VLOOKUP(B29,'Yearly Leave Tracker'!A:NU,377,0),"")</f>
        <v/>
      </c>
      <c r="H29" t="str">
        <f>IFERROR(VLOOKUP(B29,'Yearly Leave Tracker'!A:NU,378,0),"")</f>
        <v/>
      </c>
      <c r="I29" t="str">
        <f>IFERROR(VLOOKUP(B29,'Yearly Leave Tracker'!A:NU,379,0),"")</f>
        <v/>
      </c>
      <c r="J29" t="str">
        <f>IFERROR(VLOOKUP(B29,'Yearly Leave Tracker'!A:NU,380,0),"")</f>
        <v/>
      </c>
      <c r="K29" t="str">
        <f>IFERROR(VLOOKUP(B29,'Yearly Leave Tracker'!A:NU,381,0),"")</f>
        <v/>
      </c>
      <c r="L29" t="str">
        <f>IFERROR(VLOOKUP(B29,'Yearly Leave Tracker'!A:NU,382,0),"")</f>
        <v/>
      </c>
      <c r="M29" t="str">
        <f>IFERROR(VLOOKUP(B29,'Yearly Leave Tracker'!A:NU,383,0),"")</f>
        <v/>
      </c>
      <c r="N29" t="str">
        <f>IFERROR(VLOOKUP(B29,'Yearly Leave Tracker'!A:NU,384,0),"")</f>
        <v/>
      </c>
      <c r="O29" t="str">
        <f>IFERROR(VLOOKUP(B29,'Yearly Leave Tracker'!A:NU,385,0),"")</f>
        <v/>
      </c>
    </row>
    <row r="30" spans="2:15" x14ac:dyDescent="0.25">
      <c r="B30" t="str">
        <f>IFERROR(IF('Yearly Leave Tracker'!A34="","",'Yearly Leave Tracker'!A34),"")</f>
        <v/>
      </c>
      <c r="C30" t="str">
        <f>IFERROR(VLOOKUP(B30,Database!E:F,2,0),"")</f>
        <v/>
      </c>
      <c r="D30" t="str">
        <f>IFERROR(VLOOKUP(B30,'Yearly Leave Tracker'!A:NU,374,0),"")</f>
        <v/>
      </c>
      <c r="E30" t="str">
        <f>IFERROR(VLOOKUP(B30,'Yearly Leave Tracker'!A:NU,375,0),"")</f>
        <v/>
      </c>
      <c r="F30" t="str">
        <f>IFERROR(VLOOKUP(B30,'Yearly Leave Tracker'!A:NU,376,0),"")</f>
        <v/>
      </c>
      <c r="G30" t="str">
        <f>IFERROR(VLOOKUP(B30,'Yearly Leave Tracker'!A:NU,377,0),"")</f>
        <v/>
      </c>
      <c r="H30" t="str">
        <f>IFERROR(VLOOKUP(B30,'Yearly Leave Tracker'!A:NU,378,0),"")</f>
        <v/>
      </c>
      <c r="I30" t="str">
        <f>IFERROR(VLOOKUP(B30,'Yearly Leave Tracker'!A:NU,379,0),"")</f>
        <v/>
      </c>
      <c r="J30" t="str">
        <f>IFERROR(VLOOKUP(B30,'Yearly Leave Tracker'!A:NU,380,0),"")</f>
        <v/>
      </c>
      <c r="K30" t="str">
        <f>IFERROR(VLOOKUP(B30,'Yearly Leave Tracker'!A:NU,381,0),"")</f>
        <v/>
      </c>
      <c r="L30" t="str">
        <f>IFERROR(VLOOKUP(B30,'Yearly Leave Tracker'!A:NU,382,0),"")</f>
        <v/>
      </c>
      <c r="M30" t="str">
        <f>IFERROR(VLOOKUP(B30,'Yearly Leave Tracker'!A:NU,383,0),"")</f>
        <v/>
      </c>
      <c r="N30" t="str">
        <f>IFERROR(VLOOKUP(B30,'Yearly Leave Tracker'!A:NU,384,0),"")</f>
        <v/>
      </c>
      <c r="O30" t="str">
        <f>IFERROR(VLOOKUP(B30,'Yearly Leave Tracker'!A:NU,385,0),"")</f>
        <v/>
      </c>
    </row>
    <row r="31" spans="2:15" x14ac:dyDescent="0.25">
      <c r="B31" t="str">
        <f>IFERROR(IF('Yearly Leave Tracker'!A35="","",'Yearly Leave Tracker'!A35),"")</f>
        <v/>
      </c>
      <c r="C31" t="str">
        <f>IFERROR(VLOOKUP(B31,Database!E:F,2,0),"")</f>
        <v/>
      </c>
      <c r="D31" t="str">
        <f>IFERROR(VLOOKUP(B31,'Yearly Leave Tracker'!A:NU,374,0),"")</f>
        <v/>
      </c>
      <c r="E31" t="str">
        <f>IFERROR(VLOOKUP(B31,'Yearly Leave Tracker'!A:NU,375,0),"")</f>
        <v/>
      </c>
      <c r="F31" t="str">
        <f>IFERROR(VLOOKUP(B31,'Yearly Leave Tracker'!A:NU,376,0),"")</f>
        <v/>
      </c>
      <c r="G31" t="str">
        <f>IFERROR(VLOOKUP(B31,'Yearly Leave Tracker'!A:NU,377,0),"")</f>
        <v/>
      </c>
      <c r="H31" t="str">
        <f>IFERROR(VLOOKUP(B31,'Yearly Leave Tracker'!A:NU,378,0),"")</f>
        <v/>
      </c>
      <c r="I31" t="str">
        <f>IFERROR(VLOOKUP(B31,'Yearly Leave Tracker'!A:NU,379,0),"")</f>
        <v/>
      </c>
      <c r="J31" t="str">
        <f>IFERROR(VLOOKUP(B31,'Yearly Leave Tracker'!A:NU,380,0),"")</f>
        <v/>
      </c>
      <c r="K31" t="str">
        <f>IFERROR(VLOOKUP(B31,'Yearly Leave Tracker'!A:NU,381,0),"")</f>
        <v/>
      </c>
      <c r="L31" t="str">
        <f>IFERROR(VLOOKUP(B31,'Yearly Leave Tracker'!A:NU,382,0),"")</f>
        <v/>
      </c>
      <c r="M31" t="str">
        <f>IFERROR(VLOOKUP(B31,'Yearly Leave Tracker'!A:NU,383,0),"")</f>
        <v/>
      </c>
      <c r="N31" t="str">
        <f>IFERROR(VLOOKUP(B31,'Yearly Leave Tracker'!A:NU,384,0),"")</f>
        <v/>
      </c>
      <c r="O31" t="str">
        <f>IFERROR(VLOOKUP(B31,'Yearly Leave Tracker'!A:NU,385,0),"")</f>
        <v/>
      </c>
    </row>
    <row r="32" spans="2:15" x14ac:dyDescent="0.25">
      <c r="B32" t="str">
        <f>IFERROR(IF('Yearly Leave Tracker'!A36="","",'Yearly Leave Tracker'!A36),"")</f>
        <v/>
      </c>
      <c r="C32" t="str">
        <f>IFERROR(VLOOKUP(B32,Database!E:F,2,0),"")</f>
        <v/>
      </c>
      <c r="D32" t="str">
        <f>IFERROR(VLOOKUP(B32,'Yearly Leave Tracker'!A:NU,374,0),"")</f>
        <v/>
      </c>
      <c r="E32" t="str">
        <f>IFERROR(VLOOKUP(B32,'Yearly Leave Tracker'!A:NU,375,0),"")</f>
        <v/>
      </c>
      <c r="F32" t="str">
        <f>IFERROR(VLOOKUP(B32,'Yearly Leave Tracker'!A:NU,376,0),"")</f>
        <v/>
      </c>
      <c r="G32" t="str">
        <f>IFERROR(VLOOKUP(B32,'Yearly Leave Tracker'!A:NU,377,0),"")</f>
        <v/>
      </c>
      <c r="H32" t="str">
        <f>IFERROR(VLOOKUP(B32,'Yearly Leave Tracker'!A:NU,378,0),"")</f>
        <v/>
      </c>
      <c r="I32" t="str">
        <f>IFERROR(VLOOKUP(B32,'Yearly Leave Tracker'!A:NU,379,0),"")</f>
        <v/>
      </c>
      <c r="J32" t="str">
        <f>IFERROR(VLOOKUP(B32,'Yearly Leave Tracker'!A:NU,380,0),"")</f>
        <v/>
      </c>
      <c r="K32" t="str">
        <f>IFERROR(VLOOKUP(B32,'Yearly Leave Tracker'!A:NU,381,0),"")</f>
        <v/>
      </c>
      <c r="L32" t="str">
        <f>IFERROR(VLOOKUP(B32,'Yearly Leave Tracker'!A:NU,382,0),"")</f>
        <v/>
      </c>
      <c r="M32" t="str">
        <f>IFERROR(VLOOKUP(B32,'Yearly Leave Tracker'!A:NU,383,0),"")</f>
        <v/>
      </c>
      <c r="N32" t="str">
        <f>IFERROR(VLOOKUP(B32,'Yearly Leave Tracker'!A:NU,384,0),"")</f>
        <v/>
      </c>
      <c r="O32" t="str">
        <f>IFERROR(VLOOKUP(B32,'Yearly Leave Tracker'!A:NU,385,0),"")</f>
        <v/>
      </c>
    </row>
    <row r="33" spans="2:15" x14ac:dyDescent="0.25">
      <c r="B33" t="str">
        <f>IFERROR(IF('Yearly Leave Tracker'!A37="","",'Yearly Leave Tracker'!A37),"")</f>
        <v/>
      </c>
      <c r="C33" t="str">
        <f>IFERROR(VLOOKUP(B33,Database!E:F,2,0),"")</f>
        <v/>
      </c>
      <c r="D33" t="str">
        <f>IFERROR(VLOOKUP(B33,'Yearly Leave Tracker'!A:NU,374,0),"")</f>
        <v/>
      </c>
      <c r="E33" t="str">
        <f>IFERROR(VLOOKUP(B33,'Yearly Leave Tracker'!A:NU,375,0),"")</f>
        <v/>
      </c>
      <c r="F33" t="str">
        <f>IFERROR(VLOOKUP(B33,'Yearly Leave Tracker'!A:NU,376,0),"")</f>
        <v/>
      </c>
      <c r="G33" t="str">
        <f>IFERROR(VLOOKUP(B33,'Yearly Leave Tracker'!A:NU,377,0),"")</f>
        <v/>
      </c>
      <c r="H33" t="str">
        <f>IFERROR(VLOOKUP(B33,'Yearly Leave Tracker'!A:NU,378,0),"")</f>
        <v/>
      </c>
      <c r="I33" t="str">
        <f>IFERROR(VLOOKUP(B33,'Yearly Leave Tracker'!A:NU,379,0),"")</f>
        <v/>
      </c>
      <c r="J33" t="str">
        <f>IFERROR(VLOOKUP(B33,'Yearly Leave Tracker'!A:NU,380,0),"")</f>
        <v/>
      </c>
      <c r="K33" t="str">
        <f>IFERROR(VLOOKUP(B33,'Yearly Leave Tracker'!A:NU,381,0),"")</f>
        <v/>
      </c>
      <c r="L33" t="str">
        <f>IFERROR(VLOOKUP(B33,'Yearly Leave Tracker'!A:NU,382,0),"")</f>
        <v/>
      </c>
      <c r="M33" t="str">
        <f>IFERROR(VLOOKUP(B33,'Yearly Leave Tracker'!A:NU,383,0),"")</f>
        <v/>
      </c>
      <c r="N33" t="str">
        <f>IFERROR(VLOOKUP(B33,'Yearly Leave Tracker'!A:NU,384,0),"")</f>
        <v/>
      </c>
      <c r="O33" t="str">
        <f>IFERROR(VLOOKUP(B33,'Yearly Leave Tracker'!A:NU,385,0),"")</f>
        <v/>
      </c>
    </row>
    <row r="34" spans="2:15" x14ac:dyDescent="0.25">
      <c r="B34" t="str">
        <f>IFERROR(IF('Yearly Leave Tracker'!A38="","",'Yearly Leave Tracker'!A38),"")</f>
        <v/>
      </c>
      <c r="C34" t="str">
        <f>IFERROR(VLOOKUP(B34,Database!E:F,2,0),"")</f>
        <v/>
      </c>
      <c r="D34" t="str">
        <f>IFERROR(VLOOKUP(B34,'Yearly Leave Tracker'!A:NU,374,0),"")</f>
        <v/>
      </c>
      <c r="E34" t="str">
        <f>IFERROR(VLOOKUP(B34,'Yearly Leave Tracker'!A:NU,375,0),"")</f>
        <v/>
      </c>
      <c r="F34" t="str">
        <f>IFERROR(VLOOKUP(B34,'Yearly Leave Tracker'!A:NU,376,0),"")</f>
        <v/>
      </c>
      <c r="G34" t="str">
        <f>IFERROR(VLOOKUP(B34,'Yearly Leave Tracker'!A:NU,377,0),"")</f>
        <v/>
      </c>
      <c r="H34" t="str">
        <f>IFERROR(VLOOKUP(B34,'Yearly Leave Tracker'!A:NU,378,0),"")</f>
        <v/>
      </c>
      <c r="I34" t="str">
        <f>IFERROR(VLOOKUP(B34,'Yearly Leave Tracker'!A:NU,379,0),"")</f>
        <v/>
      </c>
      <c r="J34" t="str">
        <f>IFERROR(VLOOKUP(B34,'Yearly Leave Tracker'!A:NU,380,0),"")</f>
        <v/>
      </c>
      <c r="K34" t="str">
        <f>IFERROR(VLOOKUP(B34,'Yearly Leave Tracker'!A:NU,381,0),"")</f>
        <v/>
      </c>
      <c r="L34" t="str">
        <f>IFERROR(VLOOKUP(B34,'Yearly Leave Tracker'!A:NU,382,0),"")</f>
        <v/>
      </c>
      <c r="M34" t="str">
        <f>IFERROR(VLOOKUP(B34,'Yearly Leave Tracker'!A:NU,383,0),"")</f>
        <v/>
      </c>
      <c r="N34" t="str">
        <f>IFERROR(VLOOKUP(B34,'Yearly Leave Tracker'!A:NU,384,0),"")</f>
        <v/>
      </c>
      <c r="O34" t="str">
        <f>IFERROR(VLOOKUP(B34,'Yearly Leave Tracker'!A:NU,385,0),"")</f>
        <v/>
      </c>
    </row>
    <row r="35" spans="2:15" x14ac:dyDescent="0.25">
      <c r="B35" t="str">
        <f>IFERROR(IF('Yearly Leave Tracker'!A39="","",'Yearly Leave Tracker'!A39),"")</f>
        <v/>
      </c>
      <c r="C35" t="str">
        <f>IFERROR(VLOOKUP(B35,Database!E:F,2,0),"")</f>
        <v/>
      </c>
      <c r="D35" t="str">
        <f>IFERROR(VLOOKUP(B35,'Yearly Leave Tracker'!A:NU,374,0),"")</f>
        <v/>
      </c>
      <c r="E35" t="str">
        <f>IFERROR(VLOOKUP(B35,'Yearly Leave Tracker'!A:NU,375,0),"")</f>
        <v/>
      </c>
      <c r="F35" t="str">
        <f>IFERROR(VLOOKUP(B35,'Yearly Leave Tracker'!A:NU,376,0),"")</f>
        <v/>
      </c>
      <c r="G35" t="str">
        <f>IFERROR(VLOOKUP(B35,'Yearly Leave Tracker'!A:NU,377,0),"")</f>
        <v/>
      </c>
      <c r="H35" t="str">
        <f>IFERROR(VLOOKUP(B35,'Yearly Leave Tracker'!A:NU,378,0),"")</f>
        <v/>
      </c>
      <c r="I35" t="str">
        <f>IFERROR(VLOOKUP(B35,'Yearly Leave Tracker'!A:NU,379,0),"")</f>
        <v/>
      </c>
      <c r="J35" t="str">
        <f>IFERROR(VLOOKUP(B35,'Yearly Leave Tracker'!A:NU,380,0),"")</f>
        <v/>
      </c>
      <c r="K35" t="str">
        <f>IFERROR(VLOOKUP(B35,'Yearly Leave Tracker'!A:NU,381,0),"")</f>
        <v/>
      </c>
      <c r="L35" t="str">
        <f>IFERROR(VLOOKUP(B35,'Yearly Leave Tracker'!A:NU,382,0),"")</f>
        <v/>
      </c>
      <c r="M35" t="str">
        <f>IFERROR(VLOOKUP(B35,'Yearly Leave Tracker'!A:NU,383,0),"")</f>
        <v/>
      </c>
      <c r="N35" t="str">
        <f>IFERROR(VLOOKUP(B35,'Yearly Leave Tracker'!A:NU,384,0),"")</f>
        <v/>
      </c>
      <c r="O35" t="str">
        <f>IFERROR(VLOOKUP(B35,'Yearly Leave Tracker'!A:NU,385,0),"")</f>
        <v/>
      </c>
    </row>
    <row r="36" spans="2:15" x14ac:dyDescent="0.25">
      <c r="B36" t="str">
        <f>IFERROR(IF('Yearly Leave Tracker'!A40="","",'Yearly Leave Tracker'!A40),"")</f>
        <v/>
      </c>
      <c r="C36" t="str">
        <f>IFERROR(VLOOKUP(B36,Database!E:F,2,0),"")</f>
        <v/>
      </c>
      <c r="D36" t="str">
        <f>IFERROR(VLOOKUP(B36,'Yearly Leave Tracker'!A:NU,374,0),"")</f>
        <v/>
      </c>
      <c r="E36" t="str">
        <f>IFERROR(VLOOKUP(B36,'Yearly Leave Tracker'!A:NU,375,0),"")</f>
        <v/>
      </c>
      <c r="F36" t="str">
        <f>IFERROR(VLOOKUP(B36,'Yearly Leave Tracker'!A:NU,376,0),"")</f>
        <v/>
      </c>
      <c r="G36" t="str">
        <f>IFERROR(VLOOKUP(B36,'Yearly Leave Tracker'!A:NU,377,0),"")</f>
        <v/>
      </c>
      <c r="H36" t="str">
        <f>IFERROR(VLOOKUP(B36,'Yearly Leave Tracker'!A:NU,378,0),"")</f>
        <v/>
      </c>
      <c r="I36" t="str">
        <f>IFERROR(VLOOKUP(B36,'Yearly Leave Tracker'!A:NU,379,0),"")</f>
        <v/>
      </c>
      <c r="J36" t="str">
        <f>IFERROR(VLOOKUP(B36,'Yearly Leave Tracker'!A:NU,380,0),"")</f>
        <v/>
      </c>
      <c r="K36" t="str">
        <f>IFERROR(VLOOKUP(B36,'Yearly Leave Tracker'!A:NU,381,0),"")</f>
        <v/>
      </c>
      <c r="L36" t="str">
        <f>IFERROR(VLOOKUP(B36,'Yearly Leave Tracker'!A:NU,382,0),"")</f>
        <v/>
      </c>
      <c r="M36" t="str">
        <f>IFERROR(VLOOKUP(B36,'Yearly Leave Tracker'!A:NU,383,0),"")</f>
        <v/>
      </c>
      <c r="N36" t="str">
        <f>IFERROR(VLOOKUP(B36,'Yearly Leave Tracker'!A:NU,384,0),"")</f>
        <v/>
      </c>
      <c r="O36" t="str">
        <f>IFERROR(VLOOKUP(B36,'Yearly Leave Tracker'!A:NU,385,0),"")</f>
        <v/>
      </c>
    </row>
    <row r="37" spans="2:15" x14ac:dyDescent="0.25">
      <c r="B37" t="str">
        <f>IFERROR(IF('Yearly Leave Tracker'!A41="","",'Yearly Leave Tracker'!A41),"")</f>
        <v/>
      </c>
      <c r="C37" t="str">
        <f>IFERROR(VLOOKUP(B37,Database!E:F,2,0),"")</f>
        <v/>
      </c>
      <c r="D37" t="str">
        <f>IFERROR(VLOOKUP(B37,'Yearly Leave Tracker'!A:NU,374,0),"")</f>
        <v/>
      </c>
      <c r="E37" t="str">
        <f>IFERROR(VLOOKUP(B37,'Yearly Leave Tracker'!A:NU,375,0),"")</f>
        <v/>
      </c>
      <c r="F37" t="str">
        <f>IFERROR(VLOOKUP(B37,'Yearly Leave Tracker'!A:NU,376,0),"")</f>
        <v/>
      </c>
      <c r="G37" t="str">
        <f>IFERROR(VLOOKUP(B37,'Yearly Leave Tracker'!A:NU,377,0),"")</f>
        <v/>
      </c>
      <c r="H37" t="str">
        <f>IFERROR(VLOOKUP(B37,'Yearly Leave Tracker'!A:NU,378,0),"")</f>
        <v/>
      </c>
      <c r="I37" t="str">
        <f>IFERROR(VLOOKUP(B37,'Yearly Leave Tracker'!A:NU,379,0),"")</f>
        <v/>
      </c>
      <c r="J37" t="str">
        <f>IFERROR(VLOOKUP(B37,'Yearly Leave Tracker'!A:NU,380,0),"")</f>
        <v/>
      </c>
      <c r="K37" t="str">
        <f>IFERROR(VLOOKUP(B37,'Yearly Leave Tracker'!A:NU,381,0),"")</f>
        <v/>
      </c>
      <c r="L37" t="str">
        <f>IFERROR(VLOOKUP(B37,'Yearly Leave Tracker'!A:NU,382,0),"")</f>
        <v/>
      </c>
      <c r="M37" t="str">
        <f>IFERROR(VLOOKUP(B37,'Yearly Leave Tracker'!A:NU,383,0),"")</f>
        <v/>
      </c>
      <c r="N37" t="str">
        <f>IFERROR(VLOOKUP(B37,'Yearly Leave Tracker'!A:NU,384,0),"")</f>
        <v/>
      </c>
      <c r="O37" t="str">
        <f>IFERROR(VLOOKUP(B37,'Yearly Leave Tracker'!A:NU,385,0),"")</f>
        <v/>
      </c>
    </row>
    <row r="38" spans="2:15" x14ac:dyDescent="0.25">
      <c r="B38" t="str">
        <f>IFERROR(IF('Yearly Leave Tracker'!A42="","",'Yearly Leave Tracker'!A42),"")</f>
        <v/>
      </c>
      <c r="C38" t="str">
        <f>IFERROR(VLOOKUP(B38,Database!E:F,2,0),"")</f>
        <v/>
      </c>
      <c r="D38" t="str">
        <f>IFERROR(VLOOKUP(B38,'Yearly Leave Tracker'!A:NU,374,0),"")</f>
        <v/>
      </c>
      <c r="E38" t="str">
        <f>IFERROR(VLOOKUP(B38,'Yearly Leave Tracker'!A:NU,375,0),"")</f>
        <v/>
      </c>
      <c r="F38" t="str">
        <f>IFERROR(VLOOKUP(B38,'Yearly Leave Tracker'!A:NU,376,0),"")</f>
        <v/>
      </c>
      <c r="G38" t="str">
        <f>IFERROR(VLOOKUP(B38,'Yearly Leave Tracker'!A:NU,377,0),"")</f>
        <v/>
      </c>
      <c r="H38" t="str">
        <f>IFERROR(VLOOKUP(B38,'Yearly Leave Tracker'!A:NU,378,0),"")</f>
        <v/>
      </c>
      <c r="I38" t="str">
        <f>IFERROR(VLOOKUP(B38,'Yearly Leave Tracker'!A:NU,379,0),"")</f>
        <v/>
      </c>
      <c r="J38" t="str">
        <f>IFERROR(VLOOKUP(B38,'Yearly Leave Tracker'!A:NU,380,0),"")</f>
        <v/>
      </c>
      <c r="K38" t="str">
        <f>IFERROR(VLOOKUP(B38,'Yearly Leave Tracker'!A:NU,381,0),"")</f>
        <v/>
      </c>
      <c r="L38" t="str">
        <f>IFERROR(VLOOKUP(B38,'Yearly Leave Tracker'!A:NU,382,0),"")</f>
        <v/>
      </c>
      <c r="M38" t="str">
        <f>IFERROR(VLOOKUP(B38,'Yearly Leave Tracker'!A:NU,383,0),"")</f>
        <v/>
      </c>
      <c r="N38" t="str">
        <f>IFERROR(VLOOKUP(B38,'Yearly Leave Tracker'!A:NU,384,0),"")</f>
        <v/>
      </c>
      <c r="O38" t="str">
        <f>IFERROR(VLOOKUP(B38,'Yearly Leave Tracker'!A:NU,385,0),"")</f>
        <v/>
      </c>
    </row>
    <row r="39" spans="2:15" x14ac:dyDescent="0.25">
      <c r="B39" t="str">
        <f>IFERROR(IF('Yearly Leave Tracker'!A43="","",'Yearly Leave Tracker'!A43),"")</f>
        <v/>
      </c>
      <c r="C39" t="str">
        <f>IFERROR(VLOOKUP(B39,Database!E:F,2,0),"")</f>
        <v/>
      </c>
      <c r="D39" t="str">
        <f>IFERROR(VLOOKUP(B39,'Yearly Leave Tracker'!A:NU,374,0),"")</f>
        <v/>
      </c>
      <c r="E39" t="str">
        <f>IFERROR(VLOOKUP(B39,'Yearly Leave Tracker'!A:NU,375,0),"")</f>
        <v/>
      </c>
      <c r="F39" t="str">
        <f>IFERROR(VLOOKUP(B39,'Yearly Leave Tracker'!A:NU,376,0),"")</f>
        <v/>
      </c>
      <c r="G39" t="str">
        <f>IFERROR(VLOOKUP(B39,'Yearly Leave Tracker'!A:NU,377,0),"")</f>
        <v/>
      </c>
      <c r="H39" t="str">
        <f>IFERROR(VLOOKUP(B39,'Yearly Leave Tracker'!A:NU,378,0),"")</f>
        <v/>
      </c>
      <c r="I39" t="str">
        <f>IFERROR(VLOOKUP(B39,'Yearly Leave Tracker'!A:NU,379,0),"")</f>
        <v/>
      </c>
      <c r="J39" t="str">
        <f>IFERROR(VLOOKUP(B39,'Yearly Leave Tracker'!A:NU,380,0),"")</f>
        <v/>
      </c>
      <c r="K39" t="str">
        <f>IFERROR(VLOOKUP(B39,'Yearly Leave Tracker'!A:NU,381,0),"")</f>
        <v/>
      </c>
      <c r="L39" t="str">
        <f>IFERROR(VLOOKUP(B39,'Yearly Leave Tracker'!A:NU,382,0),"")</f>
        <v/>
      </c>
      <c r="M39" t="str">
        <f>IFERROR(VLOOKUP(B39,'Yearly Leave Tracker'!A:NU,383,0),"")</f>
        <v/>
      </c>
      <c r="N39" t="str">
        <f>IFERROR(VLOOKUP(B39,'Yearly Leave Tracker'!A:NU,384,0),"")</f>
        <v/>
      </c>
      <c r="O39" t="str">
        <f>IFERROR(VLOOKUP(B39,'Yearly Leave Tracker'!A:NU,385,0),"")</f>
        <v/>
      </c>
    </row>
    <row r="40" spans="2:15" x14ac:dyDescent="0.25">
      <c r="B40" t="str">
        <f>IFERROR(IF('Yearly Leave Tracker'!A44="","",'Yearly Leave Tracker'!A44),"")</f>
        <v/>
      </c>
      <c r="C40" t="str">
        <f>IFERROR(VLOOKUP(B40,Database!E:F,2,0),"")</f>
        <v/>
      </c>
      <c r="D40" t="str">
        <f>IFERROR(VLOOKUP(B40,'Yearly Leave Tracker'!A:NU,374,0),"")</f>
        <v/>
      </c>
      <c r="E40" t="str">
        <f>IFERROR(VLOOKUP(B40,'Yearly Leave Tracker'!A:NU,375,0),"")</f>
        <v/>
      </c>
      <c r="F40" t="str">
        <f>IFERROR(VLOOKUP(B40,'Yearly Leave Tracker'!A:NU,376,0),"")</f>
        <v/>
      </c>
      <c r="G40" t="str">
        <f>IFERROR(VLOOKUP(B40,'Yearly Leave Tracker'!A:NU,377,0),"")</f>
        <v/>
      </c>
      <c r="H40" t="str">
        <f>IFERROR(VLOOKUP(B40,'Yearly Leave Tracker'!A:NU,378,0),"")</f>
        <v/>
      </c>
      <c r="I40" t="str">
        <f>IFERROR(VLOOKUP(B40,'Yearly Leave Tracker'!A:NU,379,0),"")</f>
        <v/>
      </c>
      <c r="J40" t="str">
        <f>IFERROR(VLOOKUP(B40,'Yearly Leave Tracker'!A:NU,380,0),"")</f>
        <v/>
      </c>
      <c r="K40" t="str">
        <f>IFERROR(VLOOKUP(B40,'Yearly Leave Tracker'!A:NU,381,0),"")</f>
        <v/>
      </c>
      <c r="L40" t="str">
        <f>IFERROR(VLOOKUP(B40,'Yearly Leave Tracker'!A:NU,382,0),"")</f>
        <v/>
      </c>
      <c r="M40" t="str">
        <f>IFERROR(VLOOKUP(B40,'Yearly Leave Tracker'!A:NU,383,0),"")</f>
        <v/>
      </c>
      <c r="N40" t="str">
        <f>IFERROR(VLOOKUP(B40,'Yearly Leave Tracker'!A:NU,384,0),"")</f>
        <v/>
      </c>
      <c r="O40" t="str">
        <f>IFERROR(VLOOKUP(B40,'Yearly Leave Tracker'!A:NU,385,0),"")</f>
        <v/>
      </c>
    </row>
    <row r="41" spans="2:15" x14ac:dyDescent="0.25">
      <c r="B41" t="str">
        <f>IFERROR(IF('Yearly Leave Tracker'!A45="","",'Yearly Leave Tracker'!A45),"")</f>
        <v/>
      </c>
      <c r="C41" t="str">
        <f>IFERROR(VLOOKUP(B41,Database!E:F,2,0),"")</f>
        <v/>
      </c>
      <c r="D41" t="str">
        <f>IFERROR(VLOOKUP(B41,'Yearly Leave Tracker'!A:NU,374,0),"")</f>
        <v/>
      </c>
      <c r="E41" t="str">
        <f>IFERROR(VLOOKUP(B41,'Yearly Leave Tracker'!A:NU,375,0),"")</f>
        <v/>
      </c>
      <c r="F41" t="str">
        <f>IFERROR(VLOOKUP(B41,'Yearly Leave Tracker'!A:NU,376,0),"")</f>
        <v/>
      </c>
      <c r="G41" t="str">
        <f>IFERROR(VLOOKUP(B41,'Yearly Leave Tracker'!A:NU,377,0),"")</f>
        <v/>
      </c>
      <c r="H41" t="str">
        <f>IFERROR(VLOOKUP(B41,'Yearly Leave Tracker'!A:NU,378,0),"")</f>
        <v/>
      </c>
      <c r="I41" t="str">
        <f>IFERROR(VLOOKUP(B41,'Yearly Leave Tracker'!A:NU,379,0),"")</f>
        <v/>
      </c>
      <c r="J41" t="str">
        <f>IFERROR(VLOOKUP(B41,'Yearly Leave Tracker'!A:NU,380,0),"")</f>
        <v/>
      </c>
      <c r="K41" t="str">
        <f>IFERROR(VLOOKUP(B41,'Yearly Leave Tracker'!A:NU,381,0),"")</f>
        <v/>
      </c>
      <c r="L41" t="str">
        <f>IFERROR(VLOOKUP(B41,'Yearly Leave Tracker'!A:NU,382,0),"")</f>
        <v/>
      </c>
      <c r="M41" t="str">
        <f>IFERROR(VLOOKUP(B41,'Yearly Leave Tracker'!A:NU,383,0),"")</f>
        <v/>
      </c>
      <c r="N41" t="str">
        <f>IFERROR(VLOOKUP(B41,'Yearly Leave Tracker'!A:NU,384,0),"")</f>
        <v/>
      </c>
      <c r="O41" t="str">
        <f>IFERROR(VLOOKUP(B41,'Yearly Leave Tracker'!A:NU,385,0),"")</f>
        <v/>
      </c>
    </row>
    <row r="42" spans="2:15" x14ac:dyDescent="0.25">
      <c r="B42" t="str">
        <f>IFERROR(IF('Yearly Leave Tracker'!A46="","",'Yearly Leave Tracker'!A46),"")</f>
        <v/>
      </c>
      <c r="C42" t="str">
        <f>IFERROR(VLOOKUP(B42,Database!E:F,2,0),"")</f>
        <v/>
      </c>
      <c r="D42" t="str">
        <f>IFERROR(VLOOKUP(B42,'Yearly Leave Tracker'!A:NU,374,0),"")</f>
        <v/>
      </c>
      <c r="E42" t="str">
        <f>IFERROR(VLOOKUP(B42,'Yearly Leave Tracker'!A:NU,375,0),"")</f>
        <v/>
      </c>
      <c r="F42" t="str">
        <f>IFERROR(VLOOKUP(B42,'Yearly Leave Tracker'!A:NU,376,0),"")</f>
        <v/>
      </c>
      <c r="G42" t="str">
        <f>IFERROR(VLOOKUP(B42,'Yearly Leave Tracker'!A:NU,377,0),"")</f>
        <v/>
      </c>
      <c r="H42" t="str">
        <f>IFERROR(VLOOKUP(B42,'Yearly Leave Tracker'!A:NU,378,0),"")</f>
        <v/>
      </c>
      <c r="I42" t="str">
        <f>IFERROR(VLOOKUP(B42,'Yearly Leave Tracker'!A:NU,379,0),"")</f>
        <v/>
      </c>
      <c r="J42" t="str">
        <f>IFERROR(VLOOKUP(B42,'Yearly Leave Tracker'!A:NU,380,0),"")</f>
        <v/>
      </c>
      <c r="K42" t="str">
        <f>IFERROR(VLOOKUP(B42,'Yearly Leave Tracker'!A:NU,381,0),"")</f>
        <v/>
      </c>
      <c r="L42" t="str">
        <f>IFERROR(VLOOKUP(B42,'Yearly Leave Tracker'!A:NU,382,0),"")</f>
        <v/>
      </c>
      <c r="M42" t="str">
        <f>IFERROR(VLOOKUP(B42,'Yearly Leave Tracker'!A:NU,383,0),"")</f>
        <v/>
      </c>
      <c r="N42" t="str">
        <f>IFERROR(VLOOKUP(B42,'Yearly Leave Tracker'!A:NU,384,0),"")</f>
        <v/>
      </c>
      <c r="O42" t="str">
        <f>IFERROR(VLOOKUP(B42,'Yearly Leave Tracker'!A:NU,385,0),"")</f>
        <v/>
      </c>
    </row>
    <row r="43" spans="2:15" x14ac:dyDescent="0.25">
      <c r="B43" t="str">
        <f>IFERROR(IF('Yearly Leave Tracker'!A47="","",'Yearly Leave Tracker'!A47),"")</f>
        <v/>
      </c>
      <c r="C43" t="str">
        <f>IFERROR(VLOOKUP(B43,Database!E:F,2,0),"")</f>
        <v/>
      </c>
      <c r="D43" t="str">
        <f>IFERROR(VLOOKUP(B43,'Yearly Leave Tracker'!A:NU,374,0),"")</f>
        <v/>
      </c>
      <c r="E43" t="str">
        <f>IFERROR(VLOOKUP(B43,'Yearly Leave Tracker'!A:NU,375,0),"")</f>
        <v/>
      </c>
      <c r="F43" t="str">
        <f>IFERROR(VLOOKUP(B43,'Yearly Leave Tracker'!A:NU,376,0),"")</f>
        <v/>
      </c>
      <c r="G43" t="str">
        <f>IFERROR(VLOOKUP(B43,'Yearly Leave Tracker'!A:NU,377,0),"")</f>
        <v/>
      </c>
      <c r="H43" t="str">
        <f>IFERROR(VLOOKUP(B43,'Yearly Leave Tracker'!A:NU,378,0),"")</f>
        <v/>
      </c>
      <c r="I43" t="str">
        <f>IFERROR(VLOOKUP(B43,'Yearly Leave Tracker'!A:NU,379,0),"")</f>
        <v/>
      </c>
      <c r="J43" t="str">
        <f>IFERROR(VLOOKUP(B43,'Yearly Leave Tracker'!A:NU,380,0),"")</f>
        <v/>
      </c>
      <c r="K43" t="str">
        <f>IFERROR(VLOOKUP(B43,'Yearly Leave Tracker'!A:NU,381,0),"")</f>
        <v/>
      </c>
      <c r="L43" t="str">
        <f>IFERROR(VLOOKUP(B43,'Yearly Leave Tracker'!A:NU,382,0),"")</f>
        <v/>
      </c>
      <c r="M43" t="str">
        <f>IFERROR(VLOOKUP(B43,'Yearly Leave Tracker'!A:NU,383,0),"")</f>
        <v/>
      </c>
      <c r="N43" t="str">
        <f>IFERROR(VLOOKUP(B43,'Yearly Leave Tracker'!A:NU,384,0),"")</f>
        <v/>
      </c>
      <c r="O43" t="str">
        <f>IFERROR(VLOOKUP(B43,'Yearly Leave Tracker'!A:NU,385,0),"")</f>
        <v/>
      </c>
    </row>
    <row r="44" spans="2:15" x14ac:dyDescent="0.25">
      <c r="B44" t="str">
        <f>IFERROR(IF('Yearly Leave Tracker'!A48="","",'Yearly Leave Tracker'!A48),"")</f>
        <v/>
      </c>
      <c r="C44" t="str">
        <f>IFERROR(VLOOKUP(B44,Database!E:F,2,0),"")</f>
        <v/>
      </c>
      <c r="D44" t="str">
        <f>IFERROR(VLOOKUP(B44,'Yearly Leave Tracker'!A:NU,374,0),"")</f>
        <v/>
      </c>
      <c r="E44" t="str">
        <f>IFERROR(VLOOKUP(B44,'Yearly Leave Tracker'!A:NU,375,0),"")</f>
        <v/>
      </c>
      <c r="F44" t="str">
        <f>IFERROR(VLOOKUP(B44,'Yearly Leave Tracker'!A:NU,376,0),"")</f>
        <v/>
      </c>
      <c r="G44" t="str">
        <f>IFERROR(VLOOKUP(B44,'Yearly Leave Tracker'!A:NU,377,0),"")</f>
        <v/>
      </c>
      <c r="H44" t="str">
        <f>IFERROR(VLOOKUP(B44,'Yearly Leave Tracker'!A:NU,378,0),"")</f>
        <v/>
      </c>
      <c r="I44" t="str">
        <f>IFERROR(VLOOKUP(B44,'Yearly Leave Tracker'!A:NU,379,0),"")</f>
        <v/>
      </c>
      <c r="J44" t="str">
        <f>IFERROR(VLOOKUP(B44,'Yearly Leave Tracker'!A:NU,380,0),"")</f>
        <v/>
      </c>
      <c r="K44" t="str">
        <f>IFERROR(VLOOKUP(B44,'Yearly Leave Tracker'!A:NU,381,0),"")</f>
        <v/>
      </c>
      <c r="L44" t="str">
        <f>IFERROR(VLOOKUP(B44,'Yearly Leave Tracker'!A:NU,382,0),"")</f>
        <v/>
      </c>
      <c r="M44" t="str">
        <f>IFERROR(VLOOKUP(B44,'Yearly Leave Tracker'!A:NU,383,0),"")</f>
        <v/>
      </c>
      <c r="N44" t="str">
        <f>IFERROR(VLOOKUP(B44,'Yearly Leave Tracker'!A:NU,384,0),"")</f>
        <v/>
      </c>
      <c r="O44" t="str">
        <f>IFERROR(VLOOKUP(B44,'Yearly Leave Tracker'!A:NU,385,0),"")</f>
        <v/>
      </c>
    </row>
    <row r="45" spans="2:15" x14ac:dyDescent="0.25">
      <c r="B45" t="str">
        <f>IFERROR(IF('Yearly Leave Tracker'!A49="","",'Yearly Leave Tracker'!A49),"")</f>
        <v/>
      </c>
      <c r="C45" t="str">
        <f>IFERROR(VLOOKUP(B45,Database!E:F,2,0),"")</f>
        <v/>
      </c>
      <c r="D45" t="str">
        <f>IFERROR(VLOOKUP(B45,'Yearly Leave Tracker'!A:NU,374,0),"")</f>
        <v/>
      </c>
      <c r="E45" t="str">
        <f>IFERROR(VLOOKUP(B45,'Yearly Leave Tracker'!A:NU,375,0),"")</f>
        <v/>
      </c>
      <c r="F45" t="str">
        <f>IFERROR(VLOOKUP(B45,'Yearly Leave Tracker'!A:NU,376,0),"")</f>
        <v/>
      </c>
      <c r="G45" t="str">
        <f>IFERROR(VLOOKUP(B45,'Yearly Leave Tracker'!A:NU,377,0),"")</f>
        <v/>
      </c>
      <c r="H45" t="str">
        <f>IFERROR(VLOOKUP(B45,'Yearly Leave Tracker'!A:NU,378,0),"")</f>
        <v/>
      </c>
      <c r="I45" t="str">
        <f>IFERROR(VLOOKUP(B45,'Yearly Leave Tracker'!A:NU,379,0),"")</f>
        <v/>
      </c>
      <c r="J45" t="str">
        <f>IFERROR(VLOOKUP(B45,'Yearly Leave Tracker'!A:NU,380,0),"")</f>
        <v/>
      </c>
      <c r="K45" t="str">
        <f>IFERROR(VLOOKUP(B45,'Yearly Leave Tracker'!A:NU,381,0),"")</f>
        <v/>
      </c>
      <c r="L45" t="str">
        <f>IFERROR(VLOOKUP(B45,'Yearly Leave Tracker'!A:NU,382,0),"")</f>
        <v/>
      </c>
      <c r="M45" t="str">
        <f>IFERROR(VLOOKUP(B45,'Yearly Leave Tracker'!A:NU,383,0),"")</f>
        <v/>
      </c>
      <c r="N45" t="str">
        <f>IFERROR(VLOOKUP(B45,'Yearly Leave Tracker'!A:NU,384,0),"")</f>
        <v/>
      </c>
      <c r="O45" t="str">
        <f>IFERROR(VLOOKUP(B45,'Yearly Leave Tracker'!A:NU,385,0),"")</f>
        <v/>
      </c>
    </row>
    <row r="46" spans="2:15" x14ac:dyDescent="0.25">
      <c r="B46" t="str">
        <f>IFERROR(IF('Yearly Leave Tracker'!A50="","",'Yearly Leave Tracker'!A50),"")</f>
        <v/>
      </c>
      <c r="C46" t="str">
        <f>IFERROR(VLOOKUP(B46,Database!E:F,2,0),"")</f>
        <v/>
      </c>
      <c r="D46" t="str">
        <f>IFERROR(VLOOKUP(B46,'Yearly Leave Tracker'!A:NU,374,0),"")</f>
        <v/>
      </c>
      <c r="E46" t="str">
        <f>IFERROR(VLOOKUP(B46,'Yearly Leave Tracker'!A:NU,375,0),"")</f>
        <v/>
      </c>
      <c r="F46" t="str">
        <f>IFERROR(VLOOKUP(B46,'Yearly Leave Tracker'!A:NU,376,0),"")</f>
        <v/>
      </c>
      <c r="G46" t="str">
        <f>IFERROR(VLOOKUP(B46,'Yearly Leave Tracker'!A:NU,377,0),"")</f>
        <v/>
      </c>
      <c r="H46" t="str">
        <f>IFERROR(VLOOKUP(B46,'Yearly Leave Tracker'!A:NU,378,0),"")</f>
        <v/>
      </c>
      <c r="I46" t="str">
        <f>IFERROR(VLOOKUP(B46,'Yearly Leave Tracker'!A:NU,379,0),"")</f>
        <v/>
      </c>
      <c r="J46" t="str">
        <f>IFERROR(VLOOKUP(B46,'Yearly Leave Tracker'!A:NU,380,0),"")</f>
        <v/>
      </c>
      <c r="K46" t="str">
        <f>IFERROR(VLOOKUP(B46,'Yearly Leave Tracker'!A:NU,381,0),"")</f>
        <v/>
      </c>
      <c r="L46" t="str">
        <f>IFERROR(VLOOKUP(B46,'Yearly Leave Tracker'!A:NU,382,0),"")</f>
        <v/>
      </c>
      <c r="M46" t="str">
        <f>IFERROR(VLOOKUP(B46,'Yearly Leave Tracker'!A:NU,383,0),"")</f>
        <v/>
      </c>
      <c r="N46" t="str">
        <f>IFERROR(VLOOKUP(B46,'Yearly Leave Tracker'!A:NU,384,0),"")</f>
        <v/>
      </c>
      <c r="O46" t="str">
        <f>IFERROR(VLOOKUP(B46,'Yearly Leave Tracker'!A:NU,385,0),"")</f>
        <v/>
      </c>
    </row>
    <row r="47" spans="2:15" x14ac:dyDescent="0.25">
      <c r="B47" t="str">
        <f>IFERROR(IF('Yearly Leave Tracker'!A51="","",'Yearly Leave Tracker'!A51),"")</f>
        <v/>
      </c>
      <c r="C47" t="str">
        <f>IFERROR(VLOOKUP(B47,Database!E:F,2,0),"")</f>
        <v/>
      </c>
      <c r="D47" t="str">
        <f>IFERROR(VLOOKUP(B47,'Yearly Leave Tracker'!A:NU,374,0),"")</f>
        <v/>
      </c>
      <c r="E47" t="str">
        <f>IFERROR(VLOOKUP(B47,'Yearly Leave Tracker'!A:NU,375,0),"")</f>
        <v/>
      </c>
      <c r="F47" t="str">
        <f>IFERROR(VLOOKUP(B47,'Yearly Leave Tracker'!A:NU,376,0),"")</f>
        <v/>
      </c>
      <c r="G47" t="str">
        <f>IFERROR(VLOOKUP(B47,'Yearly Leave Tracker'!A:NU,377,0),"")</f>
        <v/>
      </c>
      <c r="H47" t="str">
        <f>IFERROR(VLOOKUP(B47,'Yearly Leave Tracker'!A:NU,378,0),"")</f>
        <v/>
      </c>
      <c r="I47" t="str">
        <f>IFERROR(VLOOKUP(B47,'Yearly Leave Tracker'!A:NU,379,0),"")</f>
        <v/>
      </c>
      <c r="J47" t="str">
        <f>IFERROR(VLOOKUP(B47,'Yearly Leave Tracker'!A:NU,380,0),"")</f>
        <v/>
      </c>
      <c r="K47" t="str">
        <f>IFERROR(VLOOKUP(B47,'Yearly Leave Tracker'!A:NU,381,0),"")</f>
        <v/>
      </c>
      <c r="L47" t="str">
        <f>IFERROR(VLOOKUP(B47,'Yearly Leave Tracker'!A:NU,382,0),"")</f>
        <v/>
      </c>
      <c r="M47" t="str">
        <f>IFERROR(VLOOKUP(B47,'Yearly Leave Tracker'!A:NU,383,0),"")</f>
        <v/>
      </c>
      <c r="N47" t="str">
        <f>IFERROR(VLOOKUP(B47,'Yearly Leave Tracker'!A:NU,384,0),"")</f>
        <v/>
      </c>
      <c r="O47" t="str">
        <f>IFERROR(VLOOKUP(B47,'Yearly Leave Tracker'!A:NU,385,0),"")</f>
        <v/>
      </c>
    </row>
    <row r="48" spans="2:15" x14ac:dyDescent="0.25">
      <c r="B48" t="str">
        <f>IFERROR(IF('Yearly Leave Tracker'!A52="","",'Yearly Leave Tracker'!A52),"")</f>
        <v/>
      </c>
      <c r="C48" t="str">
        <f>IFERROR(VLOOKUP(B48,Database!E:F,2,0),"")</f>
        <v/>
      </c>
      <c r="D48" t="str">
        <f>IFERROR(VLOOKUP(B48,'Yearly Leave Tracker'!A:NU,374,0),"")</f>
        <v/>
      </c>
      <c r="E48" t="str">
        <f>IFERROR(VLOOKUP(B48,'Yearly Leave Tracker'!A:NU,375,0),"")</f>
        <v/>
      </c>
      <c r="F48" t="str">
        <f>IFERROR(VLOOKUP(B48,'Yearly Leave Tracker'!A:NU,376,0),"")</f>
        <v/>
      </c>
      <c r="G48" t="str">
        <f>IFERROR(VLOOKUP(B48,'Yearly Leave Tracker'!A:NU,377,0),"")</f>
        <v/>
      </c>
      <c r="H48" t="str">
        <f>IFERROR(VLOOKUP(B48,'Yearly Leave Tracker'!A:NU,378,0),"")</f>
        <v/>
      </c>
      <c r="I48" t="str">
        <f>IFERROR(VLOOKUP(B48,'Yearly Leave Tracker'!A:NU,379,0),"")</f>
        <v/>
      </c>
      <c r="J48" t="str">
        <f>IFERROR(VLOOKUP(B48,'Yearly Leave Tracker'!A:NU,380,0),"")</f>
        <v/>
      </c>
      <c r="K48" t="str">
        <f>IFERROR(VLOOKUP(B48,'Yearly Leave Tracker'!A:NU,381,0),"")</f>
        <v/>
      </c>
      <c r="L48" t="str">
        <f>IFERROR(VLOOKUP(B48,'Yearly Leave Tracker'!A:NU,382,0),"")</f>
        <v/>
      </c>
      <c r="M48" t="str">
        <f>IFERROR(VLOOKUP(B48,'Yearly Leave Tracker'!A:NU,383,0),"")</f>
        <v/>
      </c>
      <c r="N48" t="str">
        <f>IFERROR(VLOOKUP(B48,'Yearly Leave Tracker'!A:NU,384,0),"")</f>
        <v/>
      </c>
      <c r="O48" t="str">
        <f>IFERROR(VLOOKUP(B48,'Yearly Leave Tracker'!A:NU,385,0),"")</f>
        <v/>
      </c>
    </row>
    <row r="49" spans="2:15" x14ac:dyDescent="0.25">
      <c r="B49" t="str">
        <f>IFERROR(IF('Yearly Leave Tracker'!A53="","",'Yearly Leave Tracker'!A53),"")</f>
        <v/>
      </c>
      <c r="C49" t="str">
        <f>IFERROR(VLOOKUP(B49,Database!E:F,2,0),"")</f>
        <v/>
      </c>
      <c r="D49" t="str">
        <f>IFERROR(VLOOKUP(B49,'Yearly Leave Tracker'!A:NU,374,0),"")</f>
        <v/>
      </c>
      <c r="E49" t="str">
        <f>IFERROR(VLOOKUP(B49,'Yearly Leave Tracker'!A:NU,375,0),"")</f>
        <v/>
      </c>
      <c r="F49" t="str">
        <f>IFERROR(VLOOKUP(B49,'Yearly Leave Tracker'!A:NU,376,0),"")</f>
        <v/>
      </c>
      <c r="G49" t="str">
        <f>IFERROR(VLOOKUP(B49,'Yearly Leave Tracker'!A:NU,377,0),"")</f>
        <v/>
      </c>
      <c r="H49" t="str">
        <f>IFERROR(VLOOKUP(B49,'Yearly Leave Tracker'!A:NU,378,0),"")</f>
        <v/>
      </c>
      <c r="I49" t="str">
        <f>IFERROR(VLOOKUP(B49,'Yearly Leave Tracker'!A:NU,379,0),"")</f>
        <v/>
      </c>
      <c r="J49" t="str">
        <f>IFERROR(VLOOKUP(B49,'Yearly Leave Tracker'!A:NU,380,0),"")</f>
        <v/>
      </c>
      <c r="K49" t="str">
        <f>IFERROR(VLOOKUP(B49,'Yearly Leave Tracker'!A:NU,381,0),"")</f>
        <v/>
      </c>
      <c r="L49" t="str">
        <f>IFERROR(VLOOKUP(B49,'Yearly Leave Tracker'!A:NU,382,0),"")</f>
        <v/>
      </c>
      <c r="M49" t="str">
        <f>IFERROR(VLOOKUP(B49,'Yearly Leave Tracker'!A:NU,383,0),"")</f>
        <v/>
      </c>
      <c r="N49" t="str">
        <f>IFERROR(VLOOKUP(B49,'Yearly Leave Tracker'!A:NU,384,0),"")</f>
        <v/>
      </c>
      <c r="O49" t="str">
        <f>IFERROR(VLOOKUP(B49,'Yearly Leave Tracker'!A:NU,385,0),"")</f>
        <v/>
      </c>
    </row>
    <row r="50" spans="2:15" x14ac:dyDescent="0.25">
      <c r="B50" t="str">
        <f>IFERROR(IF('Yearly Leave Tracker'!A54="","",'Yearly Leave Tracker'!A54),"")</f>
        <v/>
      </c>
      <c r="C50" t="str">
        <f>IFERROR(VLOOKUP(B50,Database!E:F,2,0),"")</f>
        <v/>
      </c>
      <c r="D50" t="str">
        <f>IFERROR(VLOOKUP(B50,'Yearly Leave Tracker'!A:NU,374,0),"")</f>
        <v/>
      </c>
      <c r="E50" t="str">
        <f>IFERROR(VLOOKUP(B50,'Yearly Leave Tracker'!A:NU,375,0),"")</f>
        <v/>
      </c>
      <c r="F50" t="str">
        <f>IFERROR(VLOOKUP(B50,'Yearly Leave Tracker'!A:NU,376,0),"")</f>
        <v/>
      </c>
      <c r="G50" t="str">
        <f>IFERROR(VLOOKUP(B50,'Yearly Leave Tracker'!A:NU,377,0),"")</f>
        <v/>
      </c>
      <c r="H50" t="str">
        <f>IFERROR(VLOOKUP(B50,'Yearly Leave Tracker'!A:NU,378,0),"")</f>
        <v/>
      </c>
      <c r="I50" t="str">
        <f>IFERROR(VLOOKUP(B50,'Yearly Leave Tracker'!A:NU,379,0),"")</f>
        <v/>
      </c>
      <c r="J50" t="str">
        <f>IFERROR(VLOOKUP(B50,'Yearly Leave Tracker'!A:NU,380,0),"")</f>
        <v/>
      </c>
      <c r="K50" t="str">
        <f>IFERROR(VLOOKUP(B50,'Yearly Leave Tracker'!A:NU,381,0),"")</f>
        <v/>
      </c>
      <c r="L50" t="str">
        <f>IFERROR(VLOOKUP(B50,'Yearly Leave Tracker'!A:NU,382,0),"")</f>
        <v/>
      </c>
      <c r="M50" t="str">
        <f>IFERROR(VLOOKUP(B50,'Yearly Leave Tracker'!A:NU,383,0),"")</f>
        <v/>
      </c>
      <c r="N50" t="str">
        <f>IFERROR(VLOOKUP(B50,'Yearly Leave Tracker'!A:NU,384,0),"")</f>
        <v/>
      </c>
      <c r="O50" t="str">
        <f>IFERROR(VLOOKUP(B50,'Yearly Leave Tracker'!A:NU,385,0),"")</f>
        <v/>
      </c>
    </row>
    <row r="51" spans="2:15" x14ac:dyDescent="0.25">
      <c r="B51" t="str">
        <f>IFERROR(IF('Yearly Leave Tracker'!A55="","",'Yearly Leave Tracker'!A55),"")</f>
        <v/>
      </c>
      <c r="C51" t="str">
        <f>IFERROR(VLOOKUP(B51,Database!E:F,2,0),"")</f>
        <v/>
      </c>
      <c r="D51" t="str">
        <f>IFERROR(VLOOKUP(B51,'Yearly Leave Tracker'!A:NU,374,0),"")</f>
        <v/>
      </c>
      <c r="E51" t="str">
        <f>IFERROR(VLOOKUP(B51,'Yearly Leave Tracker'!A:NU,375,0),"")</f>
        <v/>
      </c>
      <c r="F51" t="str">
        <f>IFERROR(VLOOKUP(B51,'Yearly Leave Tracker'!A:NU,376,0),"")</f>
        <v/>
      </c>
      <c r="G51" t="str">
        <f>IFERROR(VLOOKUP(B51,'Yearly Leave Tracker'!A:NU,377,0),"")</f>
        <v/>
      </c>
      <c r="H51" t="str">
        <f>IFERROR(VLOOKUP(B51,'Yearly Leave Tracker'!A:NU,378,0),"")</f>
        <v/>
      </c>
      <c r="I51" t="str">
        <f>IFERROR(VLOOKUP(B51,'Yearly Leave Tracker'!A:NU,379,0),"")</f>
        <v/>
      </c>
      <c r="J51" t="str">
        <f>IFERROR(VLOOKUP(B51,'Yearly Leave Tracker'!A:NU,380,0),"")</f>
        <v/>
      </c>
      <c r="K51" t="str">
        <f>IFERROR(VLOOKUP(B51,'Yearly Leave Tracker'!A:NU,381,0),"")</f>
        <v/>
      </c>
      <c r="L51" t="str">
        <f>IFERROR(VLOOKUP(B51,'Yearly Leave Tracker'!A:NU,382,0),"")</f>
        <v/>
      </c>
      <c r="M51" t="str">
        <f>IFERROR(VLOOKUP(B51,'Yearly Leave Tracker'!A:NU,383,0),"")</f>
        <v/>
      </c>
      <c r="N51" t="str">
        <f>IFERROR(VLOOKUP(B51,'Yearly Leave Tracker'!A:NU,384,0),"")</f>
        <v/>
      </c>
      <c r="O51" t="str">
        <f>IFERROR(VLOOKUP(B51,'Yearly Leave Tracker'!A:NU,385,0),"")</f>
        <v/>
      </c>
    </row>
    <row r="52" spans="2:15" x14ac:dyDescent="0.25">
      <c r="B52" t="str">
        <f>IFERROR(IF('Yearly Leave Tracker'!A56="","",'Yearly Leave Tracker'!A56),"")</f>
        <v/>
      </c>
      <c r="C52" t="str">
        <f>IFERROR(VLOOKUP(B52,Database!E:F,2,0),"")</f>
        <v/>
      </c>
      <c r="D52" t="str">
        <f>IFERROR(VLOOKUP(B52,'Yearly Leave Tracker'!A:NU,374,0),"")</f>
        <v/>
      </c>
      <c r="E52" t="str">
        <f>IFERROR(VLOOKUP(B52,'Yearly Leave Tracker'!A:NU,375,0),"")</f>
        <v/>
      </c>
      <c r="F52" t="str">
        <f>IFERROR(VLOOKUP(B52,'Yearly Leave Tracker'!A:NU,376,0),"")</f>
        <v/>
      </c>
      <c r="G52" t="str">
        <f>IFERROR(VLOOKUP(B52,'Yearly Leave Tracker'!A:NU,377,0),"")</f>
        <v/>
      </c>
      <c r="H52" t="str">
        <f>IFERROR(VLOOKUP(B52,'Yearly Leave Tracker'!A:NU,378,0),"")</f>
        <v/>
      </c>
      <c r="I52" t="str">
        <f>IFERROR(VLOOKUP(B52,'Yearly Leave Tracker'!A:NU,379,0),"")</f>
        <v/>
      </c>
      <c r="J52" t="str">
        <f>IFERROR(VLOOKUP(B52,'Yearly Leave Tracker'!A:NU,380,0),"")</f>
        <v/>
      </c>
      <c r="K52" t="str">
        <f>IFERROR(VLOOKUP(B52,'Yearly Leave Tracker'!A:NU,381,0),"")</f>
        <v/>
      </c>
      <c r="L52" t="str">
        <f>IFERROR(VLOOKUP(B52,'Yearly Leave Tracker'!A:NU,382,0),"")</f>
        <v/>
      </c>
      <c r="M52" t="str">
        <f>IFERROR(VLOOKUP(B52,'Yearly Leave Tracker'!A:NU,383,0),"")</f>
        <v/>
      </c>
      <c r="N52" t="str">
        <f>IFERROR(VLOOKUP(B52,'Yearly Leave Tracker'!A:NU,384,0),"")</f>
        <v/>
      </c>
      <c r="O52" t="str">
        <f>IFERROR(VLOOKUP(B52,'Yearly Leave Tracker'!A:NU,385,0),"")</f>
        <v/>
      </c>
    </row>
    <row r="53" spans="2:15" x14ac:dyDescent="0.25">
      <c r="B53" t="str">
        <f>IFERROR(IF('Yearly Leave Tracker'!A57="","",'Yearly Leave Tracker'!A57),"")</f>
        <v/>
      </c>
      <c r="C53" t="str">
        <f>IFERROR(VLOOKUP(B53,Database!E:F,2,0),"")</f>
        <v/>
      </c>
      <c r="D53" t="str">
        <f>IFERROR(VLOOKUP(B53,'Yearly Leave Tracker'!A:NU,374,0),"")</f>
        <v/>
      </c>
      <c r="E53" t="str">
        <f>IFERROR(VLOOKUP(B53,'Yearly Leave Tracker'!A:NU,375,0),"")</f>
        <v/>
      </c>
      <c r="F53" t="str">
        <f>IFERROR(VLOOKUP(B53,'Yearly Leave Tracker'!A:NU,376,0),"")</f>
        <v/>
      </c>
      <c r="G53" t="str">
        <f>IFERROR(VLOOKUP(B53,'Yearly Leave Tracker'!A:NU,377,0),"")</f>
        <v/>
      </c>
      <c r="H53" t="str">
        <f>IFERROR(VLOOKUP(B53,'Yearly Leave Tracker'!A:NU,378,0),"")</f>
        <v/>
      </c>
      <c r="I53" t="str">
        <f>IFERROR(VLOOKUP(B53,'Yearly Leave Tracker'!A:NU,379,0),"")</f>
        <v/>
      </c>
      <c r="J53" t="str">
        <f>IFERROR(VLOOKUP(B53,'Yearly Leave Tracker'!A:NU,380,0),"")</f>
        <v/>
      </c>
      <c r="K53" t="str">
        <f>IFERROR(VLOOKUP(B53,'Yearly Leave Tracker'!A:NU,381,0),"")</f>
        <v/>
      </c>
      <c r="L53" t="str">
        <f>IFERROR(VLOOKUP(B53,'Yearly Leave Tracker'!A:NU,382,0),"")</f>
        <v/>
      </c>
      <c r="M53" t="str">
        <f>IFERROR(VLOOKUP(B53,'Yearly Leave Tracker'!A:NU,383,0),"")</f>
        <v/>
      </c>
      <c r="N53" t="str">
        <f>IFERROR(VLOOKUP(B53,'Yearly Leave Tracker'!A:NU,384,0),"")</f>
        <v/>
      </c>
      <c r="O53" t="str">
        <f>IFERROR(VLOOKUP(B53,'Yearly Leave Tracker'!A:NU,385,0),"")</f>
        <v/>
      </c>
    </row>
    <row r="54" spans="2:15" x14ac:dyDescent="0.25">
      <c r="B54" t="str">
        <f>IFERROR(IF('Yearly Leave Tracker'!A58="","",'Yearly Leave Tracker'!A58),"")</f>
        <v/>
      </c>
      <c r="C54" t="str">
        <f>IFERROR(VLOOKUP(B54,Database!E:F,2,0),"")</f>
        <v/>
      </c>
      <c r="D54" t="str">
        <f>IFERROR(VLOOKUP(B54,'Yearly Leave Tracker'!A:NU,374,0),"")</f>
        <v/>
      </c>
      <c r="E54" t="str">
        <f>IFERROR(VLOOKUP(B54,'Yearly Leave Tracker'!A:NU,375,0),"")</f>
        <v/>
      </c>
      <c r="F54" t="str">
        <f>IFERROR(VLOOKUP(B54,'Yearly Leave Tracker'!A:NU,376,0),"")</f>
        <v/>
      </c>
      <c r="G54" t="str">
        <f>IFERROR(VLOOKUP(B54,'Yearly Leave Tracker'!A:NU,377,0),"")</f>
        <v/>
      </c>
      <c r="H54" t="str">
        <f>IFERROR(VLOOKUP(B54,'Yearly Leave Tracker'!A:NU,378,0),"")</f>
        <v/>
      </c>
      <c r="I54" t="str">
        <f>IFERROR(VLOOKUP(B54,'Yearly Leave Tracker'!A:NU,379,0),"")</f>
        <v/>
      </c>
      <c r="J54" t="str">
        <f>IFERROR(VLOOKUP(B54,'Yearly Leave Tracker'!A:NU,380,0),"")</f>
        <v/>
      </c>
      <c r="K54" t="str">
        <f>IFERROR(VLOOKUP(B54,'Yearly Leave Tracker'!A:NU,381,0),"")</f>
        <v/>
      </c>
      <c r="L54" t="str">
        <f>IFERROR(VLOOKUP(B54,'Yearly Leave Tracker'!A:NU,382,0),"")</f>
        <v/>
      </c>
      <c r="M54" t="str">
        <f>IFERROR(VLOOKUP(B54,'Yearly Leave Tracker'!A:NU,383,0),"")</f>
        <v/>
      </c>
      <c r="N54" t="str">
        <f>IFERROR(VLOOKUP(B54,'Yearly Leave Tracker'!A:NU,384,0),"")</f>
        <v/>
      </c>
      <c r="O54" t="str">
        <f>IFERROR(VLOOKUP(B54,'Yearly Leave Tracker'!A:NU,385,0),"")</f>
        <v/>
      </c>
    </row>
    <row r="55" spans="2:15" x14ac:dyDescent="0.25">
      <c r="B55" t="str">
        <f>IFERROR(IF('Yearly Leave Tracker'!A59="","",'Yearly Leave Tracker'!A59),"")</f>
        <v/>
      </c>
      <c r="C55" t="str">
        <f>IFERROR(VLOOKUP(B55,Database!E:F,2,0),"")</f>
        <v/>
      </c>
      <c r="D55" t="str">
        <f>IFERROR(VLOOKUP(B55,'Yearly Leave Tracker'!A:NU,374,0),"")</f>
        <v/>
      </c>
      <c r="E55" t="str">
        <f>IFERROR(VLOOKUP(B55,'Yearly Leave Tracker'!A:NU,375,0),"")</f>
        <v/>
      </c>
      <c r="F55" t="str">
        <f>IFERROR(VLOOKUP(B55,'Yearly Leave Tracker'!A:NU,376,0),"")</f>
        <v/>
      </c>
      <c r="G55" t="str">
        <f>IFERROR(VLOOKUP(B55,'Yearly Leave Tracker'!A:NU,377,0),"")</f>
        <v/>
      </c>
      <c r="H55" t="str">
        <f>IFERROR(VLOOKUP(B55,'Yearly Leave Tracker'!A:NU,378,0),"")</f>
        <v/>
      </c>
      <c r="I55" t="str">
        <f>IFERROR(VLOOKUP(B55,'Yearly Leave Tracker'!A:NU,379,0),"")</f>
        <v/>
      </c>
      <c r="J55" t="str">
        <f>IFERROR(VLOOKUP(B55,'Yearly Leave Tracker'!A:NU,380,0),"")</f>
        <v/>
      </c>
      <c r="K55" t="str">
        <f>IFERROR(VLOOKUP(B55,'Yearly Leave Tracker'!A:NU,381,0),"")</f>
        <v/>
      </c>
      <c r="L55" t="str">
        <f>IFERROR(VLOOKUP(B55,'Yearly Leave Tracker'!A:NU,382,0),"")</f>
        <v/>
      </c>
      <c r="M55" t="str">
        <f>IFERROR(VLOOKUP(B55,'Yearly Leave Tracker'!A:NU,383,0),"")</f>
        <v/>
      </c>
      <c r="N55" t="str">
        <f>IFERROR(VLOOKUP(B55,'Yearly Leave Tracker'!A:NU,384,0),"")</f>
        <v/>
      </c>
      <c r="O55" t="str">
        <f>IFERROR(VLOOKUP(B55,'Yearly Leave Tracker'!A:NU,385,0),"")</f>
        <v/>
      </c>
    </row>
    <row r="56" spans="2:15" x14ac:dyDescent="0.25">
      <c r="B56" t="str">
        <f>IFERROR(IF('Yearly Leave Tracker'!A60="","",'Yearly Leave Tracker'!A60),"")</f>
        <v/>
      </c>
      <c r="C56" t="str">
        <f>IFERROR(VLOOKUP(B56,Database!E:F,2,0),"")</f>
        <v/>
      </c>
      <c r="D56" t="str">
        <f>IFERROR(VLOOKUP(B56,'Yearly Leave Tracker'!A:NU,374,0),"")</f>
        <v/>
      </c>
      <c r="E56" t="str">
        <f>IFERROR(VLOOKUP(B56,'Yearly Leave Tracker'!A:NU,375,0),"")</f>
        <v/>
      </c>
      <c r="F56" t="str">
        <f>IFERROR(VLOOKUP(B56,'Yearly Leave Tracker'!A:NU,376,0),"")</f>
        <v/>
      </c>
      <c r="G56" t="str">
        <f>IFERROR(VLOOKUP(B56,'Yearly Leave Tracker'!A:NU,377,0),"")</f>
        <v/>
      </c>
      <c r="H56" t="str">
        <f>IFERROR(VLOOKUP(B56,'Yearly Leave Tracker'!A:NU,378,0),"")</f>
        <v/>
      </c>
      <c r="I56" t="str">
        <f>IFERROR(VLOOKUP(B56,'Yearly Leave Tracker'!A:NU,379,0),"")</f>
        <v/>
      </c>
      <c r="J56" t="str">
        <f>IFERROR(VLOOKUP(B56,'Yearly Leave Tracker'!A:NU,380,0),"")</f>
        <v/>
      </c>
      <c r="K56" t="str">
        <f>IFERROR(VLOOKUP(B56,'Yearly Leave Tracker'!A:NU,381,0),"")</f>
        <v/>
      </c>
      <c r="L56" t="str">
        <f>IFERROR(VLOOKUP(B56,'Yearly Leave Tracker'!A:NU,382,0),"")</f>
        <v/>
      </c>
      <c r="M56" t="str">
        <f>IFERROR(VLOOKUP(B56,'Yearly Leave Tracker'!A:NU,383,0),"")</f>
        <v/>
      </c>
      <c r="N56" t="str">
        <f>IFERROR(VLOOKUP(B56,'Yearly Leave Tracker'!A:NU,384,0),"")</f>
        <v/>
      </c>
      <c r="O56" t="str">
        <f>IFERROR(VLOOKUP(B56,'Yearly Leave Tracker'!A:NU,385,0),"")</f>
        <v/>
      </c>
    </row>
    <row r="57" spans="2:15" x14ac:dyDescent="0.25">
      <c r="B57" t="str">
        <f>IFERROR(IF('Yearly Leave Tracker'!A61="","",'Yearly Leave Tracker'!A61),"")</f>
        <v/>
      </c>
      <c r="C57" t="str">
        <f>IFERROR(VLOOKUP(B57,Database!E:F,2,0),"")</f>
        <v/>
      </c>
      <c r="D57" t="str">
        <f>IFERROR(VLOOKUP(B57,'Yearly Leave Tracker'!A:NU,374,0),"")</f>
        <v/>
      </c>
      <c r="E57" t="str">
        <f>IFERROR(VLOOKUP(B57,'Yearly Leave Tracker'!A:NU,375,0),"")</f>
        <v/>
      </c>
      <c r="F57" t="str">
        <f>IFERROR(VLOOKUP(B57,'Yearly Leave Tracker'!A:NU,376,0),"")</f>
        <v/>
      </c>
      <c r="G57" t="str">
        <f>IFERROR(VLOOKUP(B57,'Yearly Leave Tracker'!A:NU,377,0),"")</f>
        <v/>
      </c>
      <c r="H57" t="str">
        <f>IFERROR(VLOOKUP(B57,'Yearly Leave Tracker'!A:NU,378,0),"")</f>
        <v/>
      </c>
      <c r="I57" t="str">
        <f>IFERROR(VLOOKUP(B57,'Yearly Leave Tracker'!A:NU,379,0),"")</f>
        <v/>
      </c>
      <c r="J57" t="str">
        <f>IFERROR(VLOOKUP(B57,'Yearly Leave Tracker'!A:NU,380,0),"")</f>
        <v/>
      </c>
      <c r="K57" t="str">
        <f>IFERROR(VLOOKUP(B57,'Yearly Leave Tracker'!A:NU,381,0),"")</f>
        <v/>
      </c>
      <c r="L57" t="str">
        <f>IFERROR(VLOOKUP(B57,'Yearly Leave Tracker'!A:NU,382,0),"")</f>
        <v/>
      </c>
      <c r="M57" t="str">
        <f>IFERROR(VLOOKUP(B57,'Yearly Leave Tracker'!A:NU,383,0),"")</f>
        <v/>
      </c>
      <c r="N57" t="str">
        <f>IFERROR(VLOOKUP(B57,'Yearly Leave Tracker'!A:NU,384,0),"")</f>
        <v/>
      </c>
      <c r="O57" t="str">
        <f>IFERROR(VLOOKUP(B57,'Yearly Leave Tracker'!A:NU,385,0),"")</f>
        <v/>
      </c>
    </row>
    <row r="58" spans="2:15" x14ac:dyDescent="0.25">
      <c r="B58" t="str">
        <f>IFERROR(IF('Yearly Leave Tracker'!A62="","",'Yearly Leave Tracker'!A62),"")</f>
        <v/>
      </c>
      <c r="C58" t="str">
        <f>IFERROR(VLOOKUP(B58,Database!E:F,2,0),"")</f>
        <v/>
      </c>
      <c r="D58" t="str">
        <f>IFERROR(VLOOKUP(B58,'Yearly Leave Tracker'!A:NU,374,0),"")</f>
        <v/>
      </c>
      <c r="E58" t="str">
        <f>IFERROR(VLOOKUP(B58,'Yearly Leave Tracker'!A:NU,375,0),"")</f>
        <v/>
      </c>
      <c r="F58" t="str">
        <f>IFERROR(VLOOKUP(B58,'Yearly Leave Tracker'!A:NU,376,0),"")</f>
        <v/>
      </c>
      <c r="G58" t="str">
        <f>IFERROR(VLOOKUP(B58,'Yearly Leave Tracker'!A:NU,377,0),"")</f>
        <v/>
      </c>
      <c r="H58" t="str">
        <f>IFERROR(VLOOKUP(B58,'Yearly Leave Tracker'!A:NU,378,0),"")</f>
        <v/>
      </c>
      <c r="I58" t="str">
        <f>IFERROR(VLOOKUP(B58,'Yearly Leave Tracker'!A:NU,379,0),"")</f>
        <v/>
      </c>
      <c r="J58" t="str">
        <f>IFERROR(VLOOKUP(B58,'Yearly Leave Tracker'!A:NU,380,0),"")</f>
        <v/>
      </c>
      <c r="K58" t="str">
        <f>IFERROR(VLOOKUP(B58,'Yearly Leave Tracker'!A:NU,381,0),"")</f>
        <v/>
      </c>
      <c r="L58" t="str">
        <f>IFERROR(VLOOKUP(B58,'Yearly Leave Tracker'!A:NU,382,0),"")</f>
        <v/>
      </c>
      <c r="M58" t="str">
        <f>IFERROR(VLOOKUP(B58,'Yearly Leave Tracker'!A:NU,383,0),"")</f>
        <v/>
      </c>
      <c r="N58" t="str">
        <f>IFERROR(VLOOKUP(B58,'Yearly Leave Tracker'!A:NU,384,0),"")</f>
        <v/>
      </c>
      <c r="O58" t="str">
        <f>IFERROR(VLOOKUP(B58,'Yearly Leave Tracker'!A:NU,385,0),"")</f>
        <v/>
      </c>
    </row>
    <row r="59" spans="2:15" x14ac:dyDescent="0.25">
      <c r="B59" t="str">
        <f>IFERROR(IF('Yearly Leave Tracker'!A63="","",'Yearly Leave Tracker'!A63),"")</f>
        <v/>
      </c>
      <c r="C59" t="str">
        <f>IFERROR(VLOOKUP(B59,Database!E:F,2,0),"")</f>
        <v/>
      </c>
      <c r="D59" t="str">
        <f>IFERROR(VLOOKUP(B59,'Yearly Leave Tracker'!A:NU,374,0),"")</f>
        <v/>
      </c>
      <c r="E59" t="str">
        <f>IFERROR(VLOOKUP(B59,'Yearly Leave Tracker'!A:NU,375,0),"")</f>
        <v/>
      </c>
      <c r="F59" t="str">
        <f>IFERROR(VLOOKUP(B59,'Yearly Leave Tracker'!A:NU,376,0),"")</f>
        <v/>
      </c>
      <c r="G59" t="str">
        <f>IFERROR(VLOOKUP(B59,'Yearly Leave Tracker'!A:NU,377,0),"")</f>
        <v/>
      </c>
      <c r="H59" t="str">
        <f>IFERROR(VLOOKUP(B59,'Yearly Leave Tracker'!A:NU,378,0),"")</f>
        <v/>
      </c>
      <c r="I59" t="str">
        <f>IFERROR(VLOOKUP(B59,'Yearly Leave Tracker'!A:NU,379,0),"")</f>
        <v/>
      </c>
      <c r="J59" t="str">
        <f>IFERROR(VLOOKUP(B59,'Yearly Leave Tracker'!A:NU,380,0),"")</f>
        <v/>
      </c>
      <c r="K59" t="str">
        <f>IFERROR(VLOOKUP(B59,'Yearly Leave Tracker'!A:NU,381,0),"")</f>
        <v/>
      </c>
      <c r="L59" t="str">
        <f>IFERROR(VLOOKUP(B59,'Yearly Leave Tracker'!A:NU,382,0),"")</f>
        <v/>
      </c>
      <c r="M59" t="str">
        <f>IFERROR(VLOOKUP(B59,'Yearly Leave Tracker'!A:NU,383,0),"")</f>
        <v/>
      </c>
      <c r="N59" t="str">
        <f>IFERROR(VLOOKUP(B59,'Yearly Leave Tracker'!A:NU,384,0),"")</f>
        <v/>
      </c>
      <c r="O59" t="str">
        <f>IFERROR(VLOOKUP(B59,'Yearly Leave Tracker'!A:NU,385,0),"")</f>
        <v/>
      </c>
    </row>
    <row r="60" spans="2:15" x14ac:dyDescent="0.25">
      <c r="B60" t="str">
        <f>IFERROR(IF('Yearly Leave Tracker'!A64="","",'Yearly Leave Tracker'!A64),"")</f>
        <v/>
      </c>
      <c r="C60" t="str">
        <f>IFERROR(VLOOKUP(B60,Database!E:F,2,0),"")</f>
        <v/>
      </c>
      <c r="D60" t="str">
        <f>IFERROR(VLOOKUP(B60,'Yearly Leave Tracker'!A:NU,374,0),"")</f>
        <v/>
      </c>
      <c r="E60" t="str">
        <f>IFERROR(VLOOKUP(B60,'Yearly Leave Tracker'!A:NU,375,0),"")</f>
        <v/>
      </c>
      <c r="F60" t="str">
        <f>IFERROR(VLOOKUP(B60,'Yearly Leave Tracker'!A:NU,376,0),"")</f>
        <v/>
      </c>
      <c r="G60" t="str">
        <f>IFERROR(VLOOKUP(B60,'Yearly Leave Tracker'!A:NU,377,0),"")</f>
        <v/>
      </c>
      <c r="H60" t="str">
        <f>IFERROR(VLOOKUP(B60,'Yearly Leave Tracker'!A:NU,378,0),"")</f>
        <v/>
      </c>
      <c r="I60" t="str">
        <f>IFERROR(VLOOKUP(B60,'Yearly Leave Tracker'!A:NU,379,0),"")</f>
        <v/>
      </c>
      <c r="J60" t="str">
        <f>IFERROR(VLOOKUP(B60,'Yearly Leave Tracker'!A:NU,380,0),"")</f>
        <v/>
      </c>
      <c r="K60" t="str">
        <f>IFERROR(VLOOKUP(B60,'Yearly Leave Tracker'!A:NU,381,0),"")</f>
        <v/>
      </c>
      <c r="L60" t="str">
        <f>IFERROR(VLOOKUP(B60,'Yearly Leave Tracker'!A:NU,382,0),"")</f>
        <v/>
      </c>
      <c r="M60" t="str">
        <f>IFERROR(VLOOKUP(B60,'Yearly Leave Tracker'!A:NU,383,0),"")</f>
        <v/>
      </c>
      <c r="N60" t="str">
        <f>IFERROR(VLOOKUP(B60,'Yearly Leave Tracker'!A:NU,384,0),"")</f>
        <v/>
      </c>
      <c r="O60" t="str">
        <f>IFERROR(VLOOKUP(B60,'Yearly Leave Tracker'!A:NU,385,0),"")</f>
        <v/>
      </c>
    </row>
    <row r="61" spans="2:15" x14ac:dyDescent="0.25">
      <c r="B61" t="str">
        <f>IFERROR(IF('Yearly Leave Tracker'!A65="","",'Yearly Leave Tracker'!A65),"")</f>
        <v/>
      </c>
      <c r="C61" t="str">
        <f>IFERROR(VLOOKUP(B61,Database!E:F,2,0),"")</f>
        <v/>
      </c>
      <c r="D61" t="str">
        <f>IFERROR(VLOOKUP(B61,'Yearly Leave Tracker'!A:NU,374,0),"")</f>
        <v/>
      </c>
      <c r="E61" t="str">
        <f>IFERROR(VLOOKUP(B61,'Yearly Leave Tracker'!A:NU,375,0),"")</f>
        <v/>
      </c>
      <c r="F61" t="str">
        <f>IFERROR(VLOOKUP(B61,'Yearly Leave Tracker'!A:NU,376,0),"")</f>
        <v/>
      </c>
      <c r="G61" t="str">
        <f>IFERROR(VLOOKUP(B61,'Yearly Leave Tracker'!A:NU,377,0),"")</f>
        <v/>
      </c>
      <c r="H61" t="str">
        <f>IFERROR(VLOOKUP(B61,'Yearly Leave Tracker'!A:NU,378,0),"")</f>
        <v/>
      </c>
      <c r="I61" t="str">
        <f>IFERROR(VLOOKUP(B61,'Yearly Leave Tracker'!A:NU,379,0),"")</f>
        <v/>
      </c>
      <c r="J61" t="str">
        <f>IFERROR(VLOOKUP(B61,'Yearly Leave Tracker'!A:NU,380,0),"")</f>
        <v/>
      </c>
      <c r="K61" t="str">
        <f>IFERROR(VLOOKUP(B61,'Yearly Leave Tracker'!A:NU,381,0),"")</f>
        <v/>
      </c>
      <c r="L61" t="str">
        <f>IFERROR(VLOOKUP(B61,'Yearly Leave Tracker'!A:NU,382,0),"")</f>
        <v/>
      </c>
      <c r="M61" t="str">
        <f>IFERROR(VLOOKUP(B61,'Yearly Leave Tracker'!A:NU,383,0),"")</f>
        <v/>
      </c>
      <c r="N61" t="str">
        <f>IFERROR(VLOOKUP(B61,'Yearly Leave Tracker'!A:NU,384,0),"")</f>
        <v/>
      </c>
      <c r="O61" t="str">
        <f>IFERROR(VLOOKUP(B61,'Yearly Leave Tracker'!A:NU,385,0),"")</f>
        <v/>
      </c>
    </row>
    <row r="62" spans="2:15" x14ac:dyDescent="0.25">
      <c r="B62" t="str">
        <f>IFERROR(IF('Yearly Leave Tracker'!A66="","",'Yearly Leave Tracker'!A66),"")</f>
        <v/>
      </c>
      <c r="C62" t="str">
        <f>IFERROR(VLOOKUP(B62,Database!E:F,2,0),"")</f>
        <v/>
      </c>
      <c r="D62" t="str">
        <f>IFERROR(VLOOKUP(B62,'Yearly Leave Tracker'!A:NU,374,0),"")</f>
        <v/>
      </c>
      <c r="E62" t="str">
        <f>IFERROR(VLOOKUP(B62,'Yearly Leave Tracker'!A:NU,375,0),"")</f>
        <v/>
      </c>
      <c r="F62" t="str">
        <f>IFERROR(VLOOKUP(B62,'Yearly Leave Tracker'!A:NU,376,0),"")</f>
        <v/>
      </c>
      <c r="G62" t="str">
        <f>IFERROR(VLOOKUP(B62,'Yearly Leave Tracker'!A:NU,377,0),"")</f>
        <v/>
      </c>
      <c r="H62" t="str">
        <f>IFERROR(VLOOKUP(B62,'Yearly Leave Tracker'!A:NU,378,0),"")</f>
        <v/>
      </c>
      <c r="I62" t="str">
        <f>IFERROR(VLOOKUP(B62,'Yearly Leave Tracker'!A:NU,379,0),"")</f>
        <v/>
      </c>
      <c r="J62" t="str">
        <f>IFERROR(VLOOKUP(B62,'Yearly Leave Tracker'!A:NU,380,0),"")</f>
        <v/>
      </c>
      <c r="K62" t="str">
        <f>IFERROR(VLOOKUP(B62,'Yearly Leave Tracker'!A:NU,381,0),"")</f>
        <v/>
      </c>
      <c r="L62" t="str">
        <f>IFERROR(VLOOKUP(B62,'Yearly Leave Tracker'!A:NU,382,0),"")</f>
        <v/>
      </c>
      <c r="M62" t="str">
        <f>IFERROR(VLOOKUP(B62,'Yearly Leave Tracker'!A:NU,383,0),"")</f>
        <v/>
      </c>
      <c r="N62" t="str">
        <f>IFERROR(VLOOKUP(B62,'Yearly Leave Tracker'!A:NU,384,0),"")</f>
        <v/>
      </c>
      <c r="O62" t="str">
        <f>IFERROR(VLOOKUP(B62,'Yearly Leave Tracker'!A:NU,385,0),"")</f>
        <v/>
      </c>
    </row>
    <row r="63" spans="2:15" x14ac:dyDescent="0.25">
      <c r="B63" t="str">
        <f>IFERROR(IF('Yearly Leave Tracker'!A67="","",'Yearly Leave Tracker'!A67),"")</f>
        <v/>
      </c>
      <c r="C63" t="str">
        <f>IFERROR(VLOOKUP(B63,Database!E:F,2,0),"")</f>
        <v/>
      </c>
      <c r="D63" t="str">
        <f>IFERROR(VLOOKUP(B63,'Yearly Leave Tracker'!A:NU,374,0),"")</f>
        <v/>
      </c>
      <c r="E63" t="str">
        <f>IFERROR(VLOOKUP(B63,'Yearly Leave Tracker'!A:NU,375,0),"")</f>
        <v/>
      </c>
      <c r="F63" t="str">
        <f>IFERROR(VLOOKUP(B63,'Yearly Leave Tracker'!A:NU,376,0),"")</f>
        <v/>
      </c>
      <c r="G63" t="str">
        <f>IFERROR(VLOOKUP(B63,'Yearly Leave Tracker'!A:NU,377,0),"")</f>
        <v/>
      </c>
      <c r="H63" t="str">
        <f>IFERROR(VLOOKUP(B63,'Yearly Leave Tracker'!A:NU,378,0),"")</f>
        <v/>
      </c>
      <c r="I63" t="str">
        <f>IFERROR(VLOOKUP(B63,'Yearly Leave Tracker'!A:NU,379,0),"")</f>
        <v/>
      </c>
      <c r="J63" t="str">
        <f>IFERROR(VLOOKUP(B63,'Yearly Leave Tracker'!A:NU,380,0),"")</f>
        <v/>
      </c>
      <c r="K63" t="str">
        <f>IFERROR(VLOOKUP(B63,'Yearly Leave Tracker'!A:NU,381,0),"")</f>
        <v/>
      </c>
      <c r="L63" t="str">
        <f>IFERROR(VLOOKUP(B63,'Yearly Leave Tracker'!A:NU,382,0),"")</f>
        <v/>
      </c>
      <c r="M63" t="str">
        <f>IFERROR(VLOOKUP(B63,'Yearly Leave Tracker'!A:NU,383,0),"")</f>
        <v/>
      </c>
      <c r="N63" t="str">
        <f>IFERROR(VLOOKUP(B63,'Yearly Leave Tracker'!A:NU,384,0),"")</f>
        <v/>
      </c>
      <c r="O63" t="str">
        <f>IFERROR(VLOOKUP(B63,'Yearly Leave Tracker'!A:NU,385,0),"")</f>
        <v/>
      </c>
    </row>
    <row r="64" spans="2:15" x14ac:dyDescent="0.25">
      <c r="B64" t="str">
        <f>IFERROR(IF('Yearly Leave Tracker'!A68="","",'Yearly Leave Tracker'!A68),"")</f>
        <v/>
      </c>
      <c r="C64" t="str">
        <f>IFERROR(VLOOKUP(B64,Database!E:F,2,0),"")</f>
        <v/>
      </c>
      <c r="D64" t="str">
        <f>IFERROR(VLOOKUP(B64,'Yearly Leave Tracker'!A:NU,374,0),"")</f>
        <v/>
      </c>
      <c r="E64" t="str">
        <f>IFERROR(VLOOKUP(B64,'Yearly Leave Tracker'!A:NU,375,0),"")</f>
        <v/>
      </c>
      <c r="F64" t="str">
        <f>IFERROR(VLOOKUP(B64,'Yearly Leave Tracker'!A:NU,376,0),"")</f>
        <v/>
      </c>
      <c r="G64" t="str">
        <f>IFERROR(VLOOKUP(B64,'Yearly Leave Tracker'!A:NU,377,0),"")</f>
        <v/>
      </c>
      <c r="H64" t="str">
        <f>IFERROR(VLOOKUP(B64,'Yearly Leave Tracker'!A:NU,378,0),"")</f>
        <v/>
      </c>
      <c r="I64" t="str">
        <f>IFERROR(VLOOKUP(B64,'Yearly Leave Tracker'!A:NU,379,0),"")</f>
        <v/>
      </c>
      <c r="J64" t="str">
        <f>IFERROR(VLOOKUP(B64,'Yearly Leave Tracker'!A:NU,380,0),"")</f>
        <v/>
      </c>
      <c r="K64" t="str">
        <f>IFERROR(VLOOKUP(B64,'Yearly Leave Tracker'!A:NU,381,0),"")</f>
        <v/>
      </c>
      <c r="L64" t="str">
        <f>IFERROR(VLOOKUP(B64,'Yearly Leave Tracker'!A:NU,382,0),"")</f>
        <v/>
      </c>
      <c r="M64" t="str">
        <f>IFERROR(VLOOKUP(B64,'Yearly Leave Tracker'!A:NU,383,0),"")</f>
        <v/>
      </c>
      <c r="N64" t="str">
        <f>IFERROR(VLOOKUP(B64,'Yearly Leave Tracker'!A:NU,384,0),"")</f>
        <v/>
      </c>
      <c r="O64" t="str">
        <f>IFERROR(VLOOKUP(B64,'Yearly Leave Tracker'!A:NU,385,0),"")</f>
        <v/>
      </c>
    </row>
    <row r="65" spans="2:15" x14ac:dyDescent="0.25">
      <c r="B65" t="str">
        <f>IFERROR(IF('Yearly Leave Tracker'!A69="","",'Yearly Leave Tracker'!A69),"")</f>
        <v/>
      </c>
      <c r="C65" t="str">
        <f>IFERROR(VLOOKUP(B65,Database!E:F,2,0),"")</f>
        <v/>
      </c>
      <c r="D65" t="str">
        <f>IFERROR(VLOOKUP(B65,'Yearly Leave Tracker'!A:NU,374,0),"")</f>
        <v/>
      </c>
      <c r="E65" t="str">
        <f>IFERROR(VLOOKUP(B65,'Yearly Leave Tracker'!A:NU,375,0),"")</f>
        <v/>
      </c>
      <c r="F65" t="str">
        <f>IFERROR(VLOOKUP(B65,'Yearly Leave Tracker'!A:NU,376,0),"")</f>
        <v/>
      </c>
      <c r="G65" t="str">
        <f>IFERROR(VLOOKUP(B65,'Yearly Leave Tracker'!A:NU,377,0),"")</f>
        <v/>
      </c>
      <c r="H65" t="str">
        <f>IFERROR(VLOOKUP(B65,'Yearly Leave Tracker'!A:NU,378,0),"")</f>
        <v/>
      </c>
      <c r="I65" t="str">
        <f>IFERROR(VLOOKUP(B65,'Yearly Leave Tracker'!A:NU,379,0),"")</f>
        <v/>
      </c>
      <c r="J65" t="str">
        <f>IFERROR(VLOOKUP(B65,'Yearly Leave Tracker'!A:NU,380,0),"")</f>
        <v/>
      </c>
      <c r="K65" t="str">
        <f>IFERROR(VLOOKUP(B65,'Yearly Leave Tracker'!A:NU,381,0),"")</f>
        <v/>
      </c>
      <c r="L65" t="str">
        <f>IFERROR(VLOOKUP(B65,'Yearly Leave Tracker'!A:NU,382,0),"")</f>
        <v/>
      </c>
      <c r="M65" t="str">
        <f>IFERROR(VLOOKUP(B65,'Yearly Leave Tracker'!A:NU,383,0),"")</f>
        <v/>
      </c>
      <c r="N65" t="str">
        <f>IFERROR(VLOOKUP(B65,'Yearly Leave Tracker'!A:NU,384,0),"")</f>
        <v/>
      </c>
      <c r="O65" t="str">
        <f>IFERROR(VLOOKUP(B65,'Yearly Leave Tracker'!A:NU,385,0),"")</f>
        <v/>
      </c>
    </row>
    <row r="66" spans="2:15" x14ac:dyDescent="0.25">
      <c r="B66" t="str">
        <f>IFERROR(IF('Yearly Leave Tracker'!A70="","",'Yearly Leave Tracker'!A70),"")</f>
        <v/>
      </c>
      <c r="C66" t="str">
        <f>IFERROR(VLOOKUP(B66,Database!E:F,2,0),"")</f>
        <v/>
      </c>
      <c r="D66" t="str">
        <f>IFERROR(VLOOKUP(B66,'Yearly Leave Tracker'!A:NU,374,0),"")</f>
        <v/>
      </c>
      <c r="E66" t="str">
        <f>IFERROR(VLOOKUP(B66,'Yearly Leave Tracker'!A:NU,375,0),"")</f>
        <v/>
      </c>
      <c r="F66" t="str">
        <f>IFERROR(VLOOKUP(B66,'Yearly Leave Tracker'!A:NU,376,0),"")</f>
        <v/>
      </c>
      <c r="G66" t="str">
        <f>IFERROR(VLOOKUP(B66,'Yearly Leave Tracker'!A:NU,377,0),"")</f>
        <v/>
      </c>
      <c r="H66" t="str">
        <f>IFERROR(VLOOKUP(B66,'Yearly Leave Tracker'!A:NU,378,0),"")</f>
        <v/>
      </c>
      <c r="I66" t="str">
        <f>IFERROR(VLOOKUP(B66,'Yearly Leave Tracker'!A:NU,379,0),"")</f>
        <v/>
      </c>
      <c r="J66" t="str">
        <f>IFERROR(VLOOKUP(B66,'Yearly Leave Tracker'!A:NU,380,0),"")</f>
        <v/>
      </c>
      <c r="K66" t="str">
        <f>IFERROR(VLOOKUP(B66,'Yearly Leave Tracker'!A:NU,381,0),"")</f>
        <v/>
      </c>
      <c r="L66" t="str">
        <f>IFERROR(VLOOKUP(B66,'Yearly Leave Tracker'!A:NU,382,0),"")</f>
        <v/>
      </c>
      <c r="M66" t="str">
        <f>IFERROR(VLOOKUP(B66,'Yearly Leave Tracker'!A:NU,383,0),"")</f>
        <v/>
      </c>
      <c r="N66" t="str">
        <f>IFERROR(VLOOKUP(B66,'Yearly Leave Tracker'!A:NU,384,0),"")</f>
        <v/>
      </c>
      <c r="O66" t="str">
        <f>IFERROR(VLOOKUP(B66,'Yearly Leave Tracker'!A:NU,385,0),"")</f>
        <v/>
      </c>
    </row>
    <row r="67" spans="2:15" x14ac:dyDescent="0.25">
      <c r="B67" t="str">
        <f>IFERROR(IF('Yearly Leave Tracker'!A71="","",'Yearly Leave Tracker'!A71),"")</f>
        <v/>
      </c>
      <c r="C67" t="str">
        <f>IFERROR(VLOOKUP(B67,Database!E:F,2,0),"")</f>
        <v/>
      </c>
      <c r="D67" t="str">
        <f>IFERROR(VLOOKUP(B67,'Yearly Leave Tracker'!A:NU,374,0),"")</f>
        <v/>
      </c>
      <c r="E67" t="str">
        <f>IFERROR(VLOOKUP(B67,'Yearly Leave Tracker'!A:NU,375,0),"")</f>
        <v/>
      </c>
      <c r="F67" t="str">
        <f>IFERROR(VLOOKUP(B67,'Yearly Leave Tracker'!A:NU,376,0),"")</f>
        <v/>
      </c>
      <c r="G67" t="str">
        <f>IFERROR(VLOOKUP(B67,'Yearly Leave Tracker'!A:NU,377,0),"")</f>
        <v/>
      </c>
      <c r="H67" t="str">
        <f>IFERROR(VLOOKUP(B67,'Yearly Leave Tracker'!A:NU,378,0),"")</f>
        <v/>
      </c>
      <c r="I67" t="str">
        <f>IFERROR(VLOOKUP(B67,'Yearly Leave Tracker'!A:NU,379,0),"")</f>
        <v/>
      </c>
      <c r="J67" t="str">
        <f>IFERROR(VLOOKUP(B67,'Yearly Leave Tracker'!A:NU,380,0),"")</f>
        <v/>
      </c>
      <c r="K67" t="str">
        <f>IFERROR(VLOOKUP(B67,'Yearly Leave Tracker'!A:NU,381,0),"")</f>
        <v/>
      </c>
      <c r="L67" t="str">
        <f>IFERROR(VLOOKUP(B67,'Yearly Leave Tracker'!A:NU,382,0),"")</f>
        <v/>
      </c>
      <c r="M67" t="str">
        <f>IFERROR(VLOOKUP(B67,'Yearly Leave Tracker'!A:NU,383,0),"")</f>
        <v/>
      </c>
      <c r="N67" t="str">
        <f>IFERROR(VLOOKUP(B67,'Yearly Leave Tracker'!A:NU,384,0),"")</f>
        <v/>
      </c>
      <c r="O67" t="str">
        <f>IFERROR(VLOOKUP(B67,'Yearly Leave Tracker'!A:NU,385,0),"")</f>
        <v/>
      </c>
    </row>
    <row r="68" spans="2:15" x14ac:dyDescent="0.25">
      <c r="B68" t="str">
        <f>IFERROR(IF('Yearly Leave Tracker'!A72="","",'Yearly Leave Tracker'!A72),"")</f>
        <v/>
      </c>
      <c r="C68" t="str">
        <f>IFERROR(VLOOKUP(B68,Database!E:F,2,0),"")</f>
        <v/>
      </c>
      <c r="D68" t="str">
        <f>IFERROR(VLOOKUP(B68,'Yearly Leave Tracker'!A:NU,374,0),"")</f>
        <v/>
      </c>
      <c r="E68" t="str">
        <f>IFERROR(VLOOKUP(B68,'Yearly Leave Tracker'!A:NU,375,0),"")</f>
        <v/>
      </c>
      <c r="F68" t="str">
        <f>IFERROR(VLOOKUP(B68,'Yearly Leave Tracker'!A:NU,376,0),"")</f>
        <v/>
      </c>
      <c r="G68" t="str">
        <f>IFERROR(VLOOKUP(B68,'Yearly Leave Tracker'!A:NU,377,0),"")</f>
        <v/>
      </c>
      <c r="H68" t="str">
        <f>IFERROR(VLOOKUP(B68,'Yearly Leave Tracker'!A:NU,378,0),"")</f>
        <v/>
      </c>
      <c r="I68" t="str">
        <f>IFERROR(VLOOKUP(B68,'Yearly Leave Tracker'!A:NU,379,0),"")</f>
        <v/>
      </c>
      <c r="J68" t="str">
        <f>IFERROR(VLOOKUP(B68,'Yearly Leave Tracker'!A:NU,380,0),"")</f>
        <v/>
      </c>
      <c r="K68" t="str">
        <f>IFERROR(VLOOKUP(B68,'Yearly Leave Tracker'!A:NU,381,0),"")</f>
        <v/>
      </c>
      <c r="L68" t="str">
        <f>IFERROR(VLOOKUP(B68,'Yearly Leave Tracker'!A:NU,382,0),"")</f>
        <v/>
      </c>
      <c r="M68" t="str">
        <f>IFERROR(VLOOKUP(B68,'Yearly Leave Tracker'!A:NU,383,0),"")</f>
        <v/>
      </c>
      <c r="N68" t="str">
        <f>IFERROR(VLOOKUP(B68,'Yearly Leave Tracker'!A:NU,384,0),"")</f>
        <v/>
      </c>
      <c r="O68" t="str">
        <f>IFERROR(VLOOKUP(B68,'Yearly Leave Tracker'!A:NU,385,0),"")</f>
        <v/>
      </c>
    </row>
    <row r="69" spans="2:15" x14ac:dyDescent="0.25">
      <c r="B69" t="str">
        <f>IFERROR(IF('Yearly Leave Tracker'!A73="","",'Yearly Leave Tracker'!A73),"")</f>
        <v/>
      </c>
      <c r="C69" t="str">
        <f>IFERROR(VLOOKUP(B69,Database!E:F,2,0),"")</f>
        <v/>
      </c>
      <c r="D69" t="str">
        <f>IFERROR(VLOOKUP(B69,'Yearly Leave Tracker'!A:NU,374,0),"")</f>
        <v/>
      </c>
      <c r="E69" t="str">
        <f>IFERROR(VLOOKUP(B69,'Yearly Leave Tracker'!A:NU,375,0),"")</f>
        <v/>
      </c>
      <c r="F69" t="str">
        <f>IFERROR(VLOOKUP(B69,'Yearly Leave Tracker'!A:NU,376,0),"")</f>
        <v/>
      </c>
      <c r="G69" t="str">
        <f>IFERROR(VLOOKUP(B69,'Yearly Leave Tracker'!A:NU,377,0),"")</f>
        <v/>
      </c>
      <c r="H69" t="str">
        <f>IFERROR(VLOOKUP(B69,'Yearly Leave Tracker'!A:NU,378,0),"")</f>
        <v/>
      </c>
      <c r="I69" t="str">
        <f>IFERROR(VLOOKUP(B69,'Yearly Leave Tracker'!A:NU,379,0),"")</f>
        <v/>
      </c>
      <c r="J69" t="str">
        <f>IFERROR(VLOOKUP(B69,'Yearly Leave Tracker'!A:NU,380,0),"")</f>
        <v/>
      </c>
      <c r="K69" t="str">
        <f>IFERROR(VLOOKUP(B69,'Yearly Leave Tracker'!A:NU,381,0),"")</f>
        <v/>
      </c>
      <c r="L69" t="str">
        <f>IFERROR(VLOOKUP(B69,'Yearly Leave Tracker'!A:NU,382,0),"")</f>
        <v/>
      </c>
      <c r="M69" t="str">
        <f>IFERROR(VLOOKUP(B69,'Yearly Leave Tracker'!A:NU,383,0),"")</f>
        <v/>
      </c>
      <c r="N69" t="str">
        <f>IFERROR(VLOOKUP(B69,'Yearly Leave Tracker'!A:NU,384,0),"")</f>
        <v/>
      </c>
      <c r="O69" t="str">
        <f>IFERROR(VLOOKUP(B69,'Yearly Leave Tracker'!A:NU,385,0),"")</f>
        <v/>
      </c>
    </row>
    <row r="70" spans="2:15" x14ac:dyDescent="0.25">
      <c r="B70" t="str">
        <f>IFERROR(IF('Yearly Leave Tracker'!A74="","",'Yearly Leave Tracker'!A74),"")</f>
        <v/>
      </c>
      <c r="C70" t="str">
        <f>IFERROR(VLOOKUP(B70,Database!E:F,2,0),"")</f>
        <v/>
      </c>
      <c r="D70" t="str">
        <f>IFERROR(VLOOKUP(B70,'Yearly Leave Tracker'!A:NU,374,0),"")</f>
        <v/>
      </c>
      <c r="E70" t="str">
        <f>IFERROR(VLOOKUP(B70,'Yearly Leave Tracker'!A:NU,375,0),"")</f>
        <v/>
      </c>
      <c r="F70" t="str">
        <f>IFERROR(VLOOKUP(B70,'Yearly Leave Tracker'!A:NU,376,0),"")</f>
        <v/>
      </c>
      <c r="G70" t="str">
        <f>IFERROR(VLOOKUP(B70,'Yearly Leave Tracker'!A:NU,377,0),"")</f>
        <v/>
      </c>
      <c r="H70" t="str">
        <f>IFERROR(VLOOKUP(B70,'Yearly Leave Tracker'!A:NU,378,0),"")</f>
        <v/>
      </c>
      <c r="I70" t="str">
        <f>IFERROR(VLOOKUP(B70,'Yearly Leave Tracker'!A:NU,379,0),"")</f>
        <v/>
      </c>
      <c r="J70" t="str">
        <f>IFERROR(VLOOKUP(B70,'Yearly Leave Tracker'!A:NU,380,0),"")</f>
        <v/>
      </c>
      <c r="K70" t="str">
        <f>IFERROR(VLOOKUP(B70,'Yearly Leave Tracker'!A:NU,381,0),"")</f>
        <v/>
      </c>
      <c r="L70" t="str">
        <f>IFERROR(VLOOKUP(B70,'Yearly Leave Tracker'!A:NU,382,0),"")</f>
        <v/>
      </c>
      <c r="M70" t="str">
        <f>IFERROR(VLOOKUP(B70,'Yearly Leave Tracker'!A:NU,383,0),"")</f>
        <v/>
      </c>
      <c r="N70" t="str">
        <f>IFERROR(VLOOKUP(B70,'Yearly Leave Tracker'!A:NU,384,0),"")</f>
        <v/>
      </c>
      <c r="O70" t="str">
        <f>IFERROR(VLOOKUP(B70,'Yearly Leave Tracker'!A:NU,385,0),"")</f>
        <v/>
      </c>
    </row>
    <row r="71" spans="2:15" x14ac:dyDescent="0.25">
      <c r="B71" t="str">
        <f>IFERROR(IF('Yearly Leave Tracker'!A75="","",'Yearly Leave Tracker'!A75),"")</f>
        <v/>
      </c>
      <c r="C71" t="str">
        <f>IFERROR(VLOOKUP(B71,Database!E:F,2,0),"")</f>
        <v/>
      </c>
      <c r="D71" t="str">
        <f>IFERROR(VLOOKUP(B71,'Yearly Leave Tracker'!A:NU,374,0),"")</f>
        <v/>
      </c>
      <c r="E71" t="str">
        <f>IFERROR(VLOOKUP(B71,'Yearly Leave Tracker'!A:NU,375,0),"")</f>
        <v/>
      </c>
      <c r="F71" t="str">
        <f>IFERROR(VLOOKUP(B71,'Yearly Leave Tracker'!A:NU,376,0),"")</f>
        <v/>
      </c>
      <c r="G71" t="str">
        <f>IFERROR(VLOOKUP(B71,'Yearly Leave Tracker'!A:NU,377,0),"")</f>
        <v/>
      </c>
      <c r="H71" t="str">
        <f>IFERROR(VLOOKUP(B71,'Yearly Leave Tracker'!A:NU,378,0),"")</f>
        <v/>
      </c>
      <c r="I71" t="str">
        <f>IFERROR(VLOOKUP(B71,'Yearly Leave Tracker'!A:NU,379,0),"")</f>
        <v/>
      </c>
      <c r="J71" t="str">
        <f>IFERROR(VLOOKUP(B71,'Yearly Leave Tracker'!A:NU,380,0),"")</f>
        <v/>
      </c>
      <c r="K71" t="str">
        <f>IFERROR(VLOOKUP(B71,'Yearly Leave Tracker'!A:NU,381,0),"")</f>
        <v/>
      </c>
      <c r="L71" t="str">
        <f>IFERROR(VLOOKUP(B71,'Yearly Leave Tracker'!A:NU,382,0),"")</f>
        <v/>
      </c>
      <c r="M71" t="str">
        <f>IFERROR(VLOOKUP(B71,'Yearly Leave Tracker'!A:NU,383,0),"")</f>
        <v/>
      </c>
      <c r="N71" t="str">
        <f>IFERROR(VLOOKUP(B71,'Yearly Leave Tracker'!A:NU,384,0),"")</f>
        <v/>
      </c>
      <c r="O71" t="str">
        <f>IFERROR(VLOOKUP(B71,'Yearly Leave Tracker'!A:NU,385,0),"")</f>
        <v/>
      </c>
    </row>
    <row r="72" spans="2:15" x14ac:dyDescent="0.25">
      <c r="B72" t="str">
        <f>IFERROR(IF('Yearly Leave Tracker'!A76="","",'Yearly Leave Tracker'!A76),"")</f>
        <v/>
      </c>
      <c r="C72" t="str">
        <f>IFERROR(VLOOKUP(B72,Database!E:F,2,0),"")</f>
        <v/>
      </c>
      <c r="D72" t="str">
        <f>IFERROR(VLOOKUP(B72,'Yearly Leave Tracker'!A:NU,374,0),"")</f>
        <v/>
      </c>
      <c r="E72" t="str">
        <f>IFERROR(VLOOKUP(B72,'Yearly Leave Tracker'!A:NU,375,0),"")</f>
        <v/>
      </c>
      <c r="F72" t="str">
        <f>IFERROR(VLOOKUP(B72,'Yearly Leave Tracker'!A:NU,376,0),"")</f>
        <v/>
      </c>
      <c r="G72" t="str">
        <f>IFERROR(VLOOKUP(B72,'Yearly Leave Tracker'!A:NU,377,0),"")</f>
        <v/>
      </c>
      <c r="H72" t="str">
        <f>IFERROR(VLOOKUP(B72,'Yearly Leave Tracker'!A:NU,378,0),"")</f>
        <v/>
      </c>
      <c r="I72" t="str">
        <f>IFERROR(VLOOKUP(B72,'Yearly Leave Tracker'!A:NU,379,0),"")</f>
        <v/>
      </c>
      <c r="J72" t="str">
        <f>IFERROR(VLOOKUP(B72,'Yearly Leave Tracker'!A:NU,380,0),"")</f>
        <v/>
      </c>
      <c r="K72" t="str">
        <f>IFERROR(VLOOKUP(B72,'Yearly Leave Tracker'!A:NU,381,0),"")</f>
        <v/>
      </c>
      <c r="L72" t="str">
        <f>IFERROR(VLOOKUP(B72,'Yearly Leave Tracker'!A:NU,382,0),"")</f>
        <v/>
      </c>
      <c r="M72" t="str">
        <f>IFERROR(VLOOKUP(B72,'Yearly Leave Tracker'!A:NU,383,0),"")</f>
        <v/>
      </c>
      <c r="N72" t="str">
        <f>IFERROR(VLOOKUP(B72,'Yearly Leave Tracker'!A:NU,384,0),"")</f>
        <v/>
      </c>
      <c r="O72" t="str">
        <f>IFERROR(VLOOKUP(B72,'Yearly Leave Tracker'!A:NU,385,0),"")</f>
        <v/>
      </c>
    </row>
    <row r="73" spans="2:15" x14ac:dyDescent="0.25">
      <c r="B73" t="str">
        <f>IFERROR(IF('Yearly Leave Tracker'!A77="","",'Yearly Leave Tracker'!A77),"")</f>
        <v/>
      </c>
      <c r="C73" t="str">
        <f>IFERROR(VLOOKUP(B73,Database!E:F,2,0),"")</f>
        <v/>
      </c>
      <c r="D73" t="str">
        <f>IFERROR(VLOOKUP(B73,'Yearly Leave Tracker'!A:NU,374,0),"")</f>
        <v/>
      </c>
      <c r="E73" t="str">
        <f>IFERROR(VLOOKUP(B73,'Yearly Leave Tracker'!A:NU,375,0),"")</f>
        <v/>
      </c>
      <c r="F73" t="str">
        <f>IFERROR(VLOOKUP(B73,'Yearly Leave Tracker'!A:NU,376,0),"")</f>
        <v/>
      </c>
      <c r="G73" t="str">
        <f>IFERROR(VLOOKUP(B73,'Yearly Leave Tracker'!A:NU,377,0),"")</f>
        <v/>
      </c>
      <c r="H73" t="str">
        <f>IFERROR(VLOOKUP(B73,'Yearly Leave Tracker'!A:NU,378,0),"")</f>
        <v/>
      </c>
      <c r="I73" t="str">
        <f>IFERROR(VLOOKUP(B73,'Yearly Leave Tracker'!A:NU,379,0),"")</f>
        <v/>
      </c>
      <c r="J73" t="str">
        <f>IFERROR(VLOOKUP(B73,'Yearly Leave Tracker'!A:NU,380,0),"")</f>
        <v/>
      </c>
      <c r="K73" t="str">
        <f>IFERROR(VLOOKUP(B73,'Yearly Leave Tracker'!A:NU,381,0),"")</f>
        <v/>
      </c>
      <c r="L73" t="str">
        <f>IFERROR(VLOOKUP(B73,'Yearly Leave Tracker'!A:NU,382,0),"")</f>
        <v/>
      </c>
      <c r="M73" t="str">
        <f>IFERROR(VLOOKUP(B73,'Yearly Leave Tracker'!A:NU,383,0),"")</f>
        <v/>
      </c>
      <c r="N73" t="str">
        <f>IFERROR(VLOOKUP(B73,'Yearly Leave Tracker'!A:NU,384,0),"")</f>
        <v/>
      </c>
      <c r="O73" t="str">
        <f>IFERROR(VLOOKUP(B73,'Yearly Leave Tracker'!A:NU,385,0),"")</f>
        <v/>
      </c>
    </row>
    <row r="74" spans="2:15" x14ac:dyDescent="0.25">
      <c r="B74" t="str">
        <f>IFERROR(IF('Yearly Leave Tracker'!A78="","",'Yearly Leave Tracker'!A78),"")</f>
        <v/>
      </c>
      <c r="C74" t="str">
        <f>IFERROR(VLOOKUP(B74,Database!E:F,2,0),"")</f>
        <v/>
      </c>
      <c r="D74" t="str">
        <f>IFERROR(VLOOKUP(B74,'Yearly Leave Tracker'!A:NU,374,0),"")</f>
        <v/>
      </c>
      <c r="E74" t="str">
        <f>IFERROR(VLOOKUP(B74,'Yearly Leave Tracker'!A:NU,375,0),"")</f>
        <v/>
      </c>
      <c r="F74" t="str">
        <f>IFERROR(VLOOKUP(B74,'Yearly Leave Tracker'!A:NU,376,0),"")</f>
        <v/>
      </c>
      <c r="G74" t="str">
        <f>IFERROR(VLOOKUP(B74,'Yearly Leave Tracker'!A:NU,377,0),"")</f>
        <v/>
      </c>
      <c r="H74" t="str">
        <f>IFERROR(VLOOKUP(B74,'Yearly Leave Tracker'!A:NU,378,0),"")</f>
        <v/>
      </c>
      <c r="I74" t="str">
        <f>IFERROR(VLOOKUP(B74,'Yearly Leave Tracker'!A:NU,379,0),"")</f>
        <v/>
      </c>
      <c r="J74" t="str">
        <f>IFERROR(VLOOKUP(B74,'Yearly Leave Tracker'!A:NU,380,0),"")</f>
        <v/>
      </c>
      <c r="K74" t="str">
        <f>IFERROR(VLOOKUP(B74,'Yearly Leave Tracker'!A:NU,381,0),"")</f>
        <v/>
      </c>
      <c r="L74" t="str">
        <f>IFERROR(VLOOKUP(B74,'Yearly Leave Tracker'!A:NU,382,0),"")</f>
        <v/>
      </c>
      <c r="M74" t="str">
        <f>IFERROR(VLOOKUP(B74,'Yearly Leave Tracker'!A:NU,383,0),"")</f>
        <v/>
      </c>
      <c r="N74" t="str">
        <f>IFERROR(VLOOKUP(B74,'Yearly Leave Tracker'!A:NU,384,0),"")</f>
        <v/>
      </c>
      <c r="O74" t="str">
        <f>IFERROR(VLOOKUP(B74,'Yearly Leave Tracker'!A:NU,385,0),"")</f>
        <v/>
      </c>
    </row>
    <row r="75" spans="2:15" x14ac:dyDescent="0.25">
      <c r="B75" t="str">
        <f>IFERROR(IF('Yearly Leave Tracker'!A79="","",'Yearly Leave Tracker'!A79),"")</f>
        <v/>
      </c>
      <c r="C75" t="str">
        <f>IFERROR(VLOOKUP(B75,Database!E:F,2,0),"")</f>
        <v/>
      </c>
      <c r="D75" t="str">
        <f>IFERROR(VLOOKUP(B75,'Yearly Leave Tracker'!A:NU,374,0),"")</f>
        <v/>
      </c>
      <c r="E75" t="str">
        <f>IFERROR(VLOOKUP(B75,'Yearly Leave Tracker'!A:NU,375,0),"")</f>
        <v/>
      </c>
      <c r="F75" t="str">
        <f>IFERROR(VLOOKUP(B75,'Yearly Leave Tracker'!A:NU,376,0),"")</f>
        <v/>
      </c>
      <c r="G75" t="str">
        <f>IFERROR(VLOOKUP(B75,'Yearly Leave Tracker'!A:NU,377,0),"")</f>
        <v/>
      </c>
      <c r="H75" t="str">
        <f>IFERROR(VLOOKUP(B75,'Yearly Leave Tracker'!A:NU,378,0),"")</f>
        <v/>
      </c>
      <c r="I75" t="str">
        <f>IFERROR(VLOOKUP(B75,'Yearly Leave Tracker'!A:NU,379,0),"")</f>
        <v/>
      </c>
      <c r="J75" t="str">
        <f>IFERROR(VLOOKUP(B75,'Yearly Leave Tracker'!A:NU,380,0),"")</f>
        <v/>
      </c>
      <c r="K75" t="str">
        <f>IFERROR(VLOOKUP(B75,'Yearly Leave Tracker'!A:NU,381,0),"")</f>
        <v/>
      </c>
      <c r="L75" t="str">
        <f>IFERROR(VLOOKUP(B75,'Yearly Leave Tracker'!A:NU,382,0),"")</f>
        <v/>
      </c>
      <c r="M75" t="str">
        <f>IFERROR(VLOOKUP(B75,'Yearly Leave Tracker'!A:NU,383,0),"")</f>
        <v/>
      </c>
      <c r="N75" t="str">
        <f>IFERROR(VLOOKUP(B75,'Yearly Leave Tracker'!A:NU,384,0),"")</f>
        <v/>
      </c>
      <c r="O75" t="str">
        <f>IFERROR(VLOOKUP(B75,'Yearly Leave Tracker'!A:NU,385,0),"")</f>
        <v/>
      </c>
    </row>
    <row r="76" spans="2:15" x14ac:dyDescent="0.25">
      <c r="B76" t="str">
        <f>IFERROR(IF('Yearly Leave Tracker'!A80="","",'Yearly Leave Tracker'!A80),"")</f>
        <v/>
      </c>
      <c r="C76" t="str">
        <f>IFERROR(VLOOKUP(B76,Database!E:F,2,0),"")</f>
        <v/>
      </c>
      <c r="D76" t="str">
        <f>IFERROR(VLOOKUP(B76,'Yearly Leave Tracker'!A:NU,374,0),"")</f>
        <v/>
      </c>
      <c r="E76" t="str">
        <f>IFERROR(VLOOKUP(B76,'Yearly Leave Tracker'!A:NU,375,0),"")</f>
        <v/>
      </c>
      <c r="F76" t="str">
        <f>IFERROR(VLOOKUP(B76,'Yearly Leave Tracker'!A:NU,376,0),"")</f>
        <v/>
      </c>
      <c r="G76" t="str">
        <f>IFERROR(VLOOKUP(B76,'Yearly Leave Tracker'!A:NU,377,0),"")</f>
        <v/>
      </c>
      <c r="H76" t="str">
        <f>IFERROR(VLOOKUP(B76,'Yearly Leave Tracker'!A:NU,378,0),"")</f>
        <v/>
      </c>
      <c r="I76" t="str">
        <f>IFERROR(VLOOKUP(B76,'Yearly Leave Tracker'!A:NU,379,0),"")</f>
        <v/>
      </c>
      <c r="J76" t="str">
        <f>IFERROR(VLOOKUP(B76,'Yearly Leave Tracker'!A:NU,380,0),"")</f>
        <v/>
      </c>
      <c r="K76" t="str">
        <f>IFERROR(VLOOKUP(B76,'Yearly Leave Tracker'!A:NU,381,0),"")</f>
        <v/>
      </c>
      <c r="L76" t="str">
        <f>IFERROR(VLOOKUP(B76,'Yearly Leave Tracker'!A:NU,382,0),"")</f>
        <v/>
      </c>
      <c r="M76" t="str">
        <f>IFERROR(VLOOKUP(B76,'Yearly Leave Tracker'!A:NU,383,0),"")</f>
        <v/>
      </c>
      <c r="N76" t="str">
        <f>IFERROR(VLOOKUP(B76,'Yearly Leave Tracker'!A:NU,384,0),"")</f>
        <v/>
      </c>
      <c r="O76" t="str">
        <f>IFERROR(VLOOKUP(B76,'Yearly Leave Tracker'!A:NU,385,0),"")</f>
        <v/>
      </c>
    </row>
    <row r="77" spans="2:15" x14ac:dyDescent="0.25">
      <c r="B77" t="str">
        <f>IFERROR(IF('Yearly Leave Tracker'!A81="","",'Yearly Leave Tracker'!A81),"")</f>
        <v/>
      </c>
      <c r="C77" t="str">
        <f>IFERROR(VLOOKUP(B77,Database!E:F,2,0),"")</f>
        <v/>
      </c>
      <c r="D77" t="str">
        <f>IFERROR(VLOOKUP(B77,'Yearly Leave Tracker'!A:NU,374,0),"")</f>
        <v/>
      </c>
      <c r="E77" t="str">
        <f>IFERROR(VLOOKUP(B77,'Yearly Leave Tracker'!A:NU,375,0),"")</f>
        <v/>
      </c>
      <c r="F77" t="str">
        <f>IFERROR(VLOOKUP(B77,'Yearly Leave Tracker'!A:NU,376,0),"")</f>
        <v/>
      </c>
      <c r="G77" t="str">
        <f>IFERROR(VLOOKUP(B77,'Yearly Leave Tracker'!A:NU,377,0),"")</f>
        <v/>
      </c>
      <c r="H77" t="str">
        <f>IFERROR(VLOOKUP(B77,'Yearly Leave Tracker'!A:NU,378,0),"")</f>
        <v/>
      </c>
      <c r="I77" t="str">
        <f>IFERROR(VLOOKUP(B77,'Yearly Leave Tracker'!A:NU,379,0),"")</f>
        <v/>
      </c>
      <c r="J77" t="str">
        <f>IFERROR(VLOOKUP(B77,'Yearly Leave Tracker'!A:NU,380,0),"")</f>
        <v/>
      </c>
      <c r="K77" t="str">
        <f>IFERROR(VLOOKUP(B77,'Yearly Leave Tracker'!A:NU,381,0),"")</f>
        <v/>
      </c>
      <c r="L77" t="str">
        <f>IFERROR(VLOOKUP(B77,'Yearly Leave Tracker'!A:NU,382,0),"")</f>
        <v/>
      </c>
      <c r="M77" t="str">
        <f>IFERROR(VLOOKUP(B77,'Yearly Leave Tracker'!A:NU,383,0),"")</f>
        <v/>
      </c>
      <c r="N77" t="str">
        <f>IFERROR(VLOOKUP(B77,'Yearly Leave Tracker'!A:NU,384,0),"")</f>
        <v/>
      </c>
      <c r="O77" t="str">
        <f>IFERROR(VLOOKUP(B77,'Yearly Leave Tracker'!A:NU,385,0),"")</f>
        <v/>
      </c>
    </row>
    <row r="78" spans="2:15" x14ac:dyDescent="0.25">
      <c r="B78" t="str">
        <f>IFERROR(IF('Yearly Leave Tracker'!A82="","",'Yearly Leave Tracker'!A82),"")</f>
        <v/>
      </c>
      <c r="C78" t="str">
        <f>IFERROR(VLOOKUP(B78,Database!E:F,2,0),"")</f>
        <v/>
      </c>
      <c r="D78" t="str">
        <f>IFERROR(VLOOKUP(B78,'Yearly Leave Tracker'!A:NU,374,0),"")</f>
        <v/>
      </c>
      <c r="E78" t="str">
        <f>IFERROR(VLOOKUP(B78,'Yearly Leave Tracker'!A:NU,375,0),"")</f>
        <v/>
      </c>
      <c r="F78" t="str">
        <f>IFERROR(VLOOKUP(B78,'Yearly Leave Tracker'!A:NU,376,0),"")</f>
        <v/>
      </c>
      <c r="G78" t="str">
        <f>IFERROR(VLOOKUP(B78,'Yearly Leave Tracker'!A:NU,377,0),"")</f>
        <v/>
      </c>
      <c r="H78" t="str">
        <f>IFERROR(VLOOKUP(B78,'Yearly Leave Tracker'!A:NU,378,0),"")</f>
        <v/>
      </c>
      <c r="I78" t="str">
        <f>IFERROR(VLOOKUP(B78,'Yearly Leave Tracker'!A:NU,379,0),"")</f>
        <v/>
      </c>
      <c r="J78" t="str">
        <f>IFERROR(VLOOKUP(B78,'Yearly Leave Tracker'!A:NU,380,0),"")</f>
        <v/>
      </c>
      <c r="K78" t="str">
        <f>IFERROR(VLOOKUP(B78,'Yearly Leave Tracker'!A:NU,381,0),"")</f>
        <v/>
      </c>
      <c r="L78" t="str">
        <f>IFERROR(VLOOKUP(B78,'Yearly Leave Tracker'!A:NU,382,0),"")</f>
        <v/>
      </c>
      <c r="M78" t="str">
        <f>IFERROR(VLOOKUP(B78,'Yearly Leave Tracker'!A:NU,383,0),"")</f>
        <v/>
      </c>
      <c r="N78" t="str">
        <f>IFERROR(VLOOKUP(B78,'Yearly Leave Tracker'!A:NU,384,0),"")</f>
        <v/>
      </c>
      <c r="O78" t="str">
        <f>IFERROR(VLOOKUP(B78,'Yearly Leave Tracker'!A:NU,385,0),"")</f>
        <v/>
      </c>
    </row>
    <row r="79" spans="2:15" x14ac:dyDescent="0.25">
      <c r="B79" t="str">
        <f>IFERROR(IF('Yearly Leave Tracker'!A83="","",'Yearly Leave Tracker'!A83),"")</f>
        <v/>
      </c>
      <c r="C79" t="str">
        <f>IFERROR(VLOOKUP(B79,Database!E:F,2,0),"")</f>
        <v/>
      </c>
      <c r="D79" t="str">
        <f>IFERROR(VLOOKUP(B79,'Yearly Leave Tracker'!A:NU,374,0),"")</f>
        <v/>
      </c>
      <c r="E79" t="str">
        <f>IFERROR(VLOOKUP(B79,'Yearly Leave Tracker'!A:NU,375,0),"")</f>
        <v/>
      </c>
      <c r="F79" t="str">
        <f>IFERROR(VLOOKUP(B79,'Yearly Leave Tracker'!A:NU,376,0),"")</f>
        <v/>
      </c>
      <c r="G79" t="str">
        <f>IFERROR(VLOOKUP(B79,'Yearly Leave Tracker'!A:NU,377,0),"")</f>
        <v/>
      </c>
      <c r="H79" t="str">
        <f>IFERROR(VLOOKUP(B79,'Yearly Leave Tracker'!A:NU,378,0),"")</f>
        <v/>
      </c>
      <c r="I79" t="str">
        <f>IFERROR(VLOOKUP(B79,'Yearly Leave Tracker'!A:NU,379,0),"")</f>
        <v/>
      </c>
      <c r="J79" t="str">
        <f>IFERROR(VLOOKUP(B79,'Yearly Leave Tracker'!A:NU,380,0),"")</f>
        <v/>
      </c>
      <c r="K79" t="str">
        <f>IFERROR(VLOOKUP(B79,'Yearly Leave Tracker'!A:NU,381,0),"")</f>
        <v/>
      </c>
      <c r="L79" t="str">
        <f>IFERROR(VLOOKUP(B79,'Yearly Leave Tracker'!A:NU,382,0),"")</f>
        <v/>
      </c>
      <c r="M79" t="str">
        <f>IFERROR(VLOOKUP(B79,'Yearly Leave Tracker'!A:NU,383,0),"")</f>
        <v/>
      </c>
      <c r="N79" t="str">
        <f>IFERROR(VLOOKUP(B79,'Yearly Leave Tracker'!A:NU,384,0),"")</f>
        <v/>
      </c>
      <c r="O79" t="str">
        <f>IFERROR(VLOOKUP(B79,'Yearly Leave Tracker'!A:NU,385,0),"")</f>
        <v/>
      </c>
    </row>
    <row r="80" spans="2:15" x14ac:dyDescent="0.25">
      <c r="B80" t="str">
        <f>IFERROR(IF('Yearly Leave Tracker'!A84="","",'Yearly Leave Tracker'!A84),"")</f>
        <v/>
      </c>
      <c r="C80" t="str">
        <f>IFERROR(VLOOKUP(B80,Database!E:F,2,0),"")</f>
        <v/>
      </c>
      <c r="D80" t="str">
        <f>IFERROR(VLOOKUP(B80,'Yearly Leave Tracker'!A:NU,374,0),"")</f>
        <v/>
      </c>
      <c r="E80" t="str">
        <f>IFERROR(VLOOKUP(B80,'Yearly Leave Tracker'!A:NU,375,0),"")</f>
        <v/>
      </c>
      <c r="F80" t="str">
        <f>IFERROR(VLOOKUP(B80,'Yearly Leave Tracker'!A:NU,376,0),"")</f>
        <v/>
      </c>
      <c r="G80" t="str">
        <f>IFERROR(VLOOKUP(B80,'Yearly Leave Tracker'!A:NU,377,0),"")</f>
        <v/>
      </c>
      <c r="H80" t="str">
        <f>IFERROR(VLOOKUP(B80,'Yearly Leave Tracker'!A:NU,378,0),"")</f>
        <v/>
      </c>
      <c r="I80" t="str">
        <f>IFERROR(VLOOKUP(B80,'Yearly Leave Tracker'!A:NU,379,0),"")</f>
        <v/>
      </c>
      <c r="J80" t="str">
        <f>IFERROR(VLOOKUP(B80,'Yearly Leave Tracker'!A:NU,380,0),"")</f>
        <v/>
      </c>
      <c r="K80" t="str">
        <f>IFERROR(VLOOKUP(B80,'Yearly Leave Tracker'!A:NU,381,0),"")</f>
        <v/>
      </c>
      <c r="L80" t="str">
        <f>IFERROR(VLOOKUP(B80,'Yearly Leave Tracker'!A:NU,382,0),"")</f>
        <v/>
      </c>
      <c r="M80" t="str">
        <f>IFERROR(VLOOKUP(B80,'Yearly Leave Tracker'!A:NU,383,0),"")</f>
        <v/>
      </c>
      <c r="N80" t="str">
        <f>IFERROR(VLOOKUP(B80,'Yearly Leave Tracker'!A:NU,384,0),"")</f>
        <v/>
      </c>
      <c r="O80" t="str">
        <f>IFERROR(VLOOKUP(B80,'Yearly Leave Tracker'!A:NU,385,0),"")</f>
        <v/>
      </c>
    </row>
    <row r="81" spans="2:15" x14ac:dyDescent="0.25">
      <c r="B81" t="str">
        <f>IFERROR(IF('Yearly Leave Tracker'!A85="","",'Yearly Leave Tracker'!A85),"")</f>
        <v/>
      </c>
      <c r="C81" t="str">
        <f>IFERROR(VLOOKUP(B81,Database!E:F,2,0),"")</f>
        <v/>
      </c>
      <c r="D81" t="str">
        <f>IFERROR(VLOOKUP(B81,'Yearly Leave Tracker'!A:NU,374,0),"")</f>
        <v/>
      </c>
      <c r="E81" t="str">
        <f>IFERROR(VLOOKUP(B81,'Yearly Leave Tracker'!A:NU,375,0),"")</f>
        <v/>
      </c>
      <c r="F81" t="str">
        <f>IFERROR(VLOOKUP(B81,'Yearly Leave Tracker'!A:NU,376,0),"")</f>
        <v/>
      </c>
      <c r="G81" t="str">
        <f>IFERROR(VLOOKUP(B81,'Yearly Leave Tracker'!A:NU,377,0),"")</f>
        <v/>
      </c>
      <c r="H81" t="str">
        <f>IFERROR(VLOOKUP(B81,'Yearly Leave Tracker'!A:NU,378,0),"")</f>
        <v/>
      </c>
      <c r="I81" t="str">
        <f>IFERROR(VLOOKUP(B81,'Yearly Leave Tracker'!A:NU,379,0),"")</f>
        <v/>
      </c>
      <c r="J81" t="str">
        <f>IFERROR(VLOOKUP(B81,'Yearly Leave Tracker'!A:NU,380,0),"")</f>
        <v/>
      </c>
      <c r="K81" t="str">
        <f>IFERROR(VLOOKUP(B81,'Yearly Leave Tracker'!A:NU,381,0),"")</f>
        <v/>
      </c>
      <c r="L81" t="str">
        <f>IFERROR(VLOOKUP(B81,'Yearly Leave Tracker'!A:NU,382,0),"")</f>
        <v/>
      </c>
      <c r="M81" t="str">
        <f>IFERROR(VLOOKUP(B81,'Yearly Leave Tracker'!A:NU,383,0),"")</f>
        <v/>
      </c>
      <c r="N81" t="str">
        <f>IFERROR(VLOOKUP(B81,'Yearly Leave Tracker'!A:NU,384,0),"")</f>
        <v/>
      </c>
      <c r="O81" t="str">
        <f>IFERROR(VLOOKUP(B81,'Yearly Leave Tracker'!A:NU,385,0),"")</f>
        <v/>
      </c>
    </row>
    <row r="82" spans="2:15" x14ac:dyDescent="0.25">
      <c r="B82" t="str">
        <f>IFERROR(IF('Yearly Leave Tracker'!A86="","",'Yearly Leave Tracker'!A86),"")</f>
        <v/>
      </c>
      <c r="C82" t="str">
        <f>IFERROR(VLOOKUP(B82,Database!E:F,2,0),"")</f>
        <v/>
      </c>
      <c r="D82" t="str">
        <f>IFERROR(VLOOKUP(B82,'Yearly Leave Tracker'!A:NU,374,0),"")</f>
        <v/>
      </c>
      <c r="E82" t="str">
        <f>IFERROR(VLOOKUP(B82,'Yearly Leave Tracker'!A:NU,375,0),"")</f>
        <v/>
      </c>
      <c r="F82" t="str">
        <f>IFERROR(VLOOKUP(B82,'Yearly Leave Tracker'!A:NU,376,0),"")</f>
        <v/>
      </c>
      <c r="G82" t="str">
        <f>IFERROR(VLOOKUP(B82,'Yearly Leave Tracker'!A:NU,377,0),"")</f>
        <v/>
      </c>
      <c r="H82" t="str">
        <f>IFERROR(VLOOKUP(B82,'Yearly Leave Tracker'!A:NU,378,0),"")</f>
        <v/>
      </c>
      <c r="I82" t="str">
        <f>IFERROR(VLOOKUP(B82,'Yearly Leave Tracker'!A:NU,379,0),"")</f>
        <v/>
      </c>
      <c r="J82" t="str">
        <f>IFERROR(VLOOKUP(B82,'Yearly Leave Tracker'!A:NU,380,0),"")</f>
        <v/>
      </c>
      <c r="K82" t="str">
        <f>IFERROR(VLOOKUP(B82,'Yearly Leave Tracker'!A:NU,381,0),"")</f>
        <v/>
      </c>
      <c r="L82" t="str">
        <f>IFERROR(VLOOKUP(B82,'Yearly Leave Tracker'!A:NU,382,0),"")</f>
        <v/>
      </c>
      <c r="M82" t="str">
        <f>IFERROR(VLOOKUP(B82,'Yearly Leave Tracker'!A:NU,383,0),"")</f>
        <v/>
      </c>
      <c r="N82" t="str">
        <f>IFERROR(VLOOKUP(B82,'Yearly Leave Tracker'!A:NU,384,0),"")</f>
        <v/>
      </c>
      <c r="O82" t="str">
        <f>IFERROR(VLOOKUP(B82,'Yearly Leave Tracker'!A:NU,385,0),"")</f>
        <v/>
      </c>
    </row>
    <row r="83" spans="2:15" x14ac:dyDescent="0.25">
      <c r="B83" t="str">
        <f>IFERROR(IF('Yearly Leave Tracker'!A87="","",'Yearly Leave Tracker'!A87),"")</f>
        <v/>
      </c>
      <c r="C83" t="str">
        <f>IFERROR(VLOOKUP(B83,Database!E:F,2,0),"")</f>
        <v/>
      </c>
      <c r="D83" t="str">
        <f>IFERROR(VLOOKUP(B83,'Yearly Leave Tracker'!A:NU,374,0),"")</f>
        <v/>
      </c>
      <c r="E83" t="str">
        <f>IFERROR(VLOOKUP(B83,'Yearly Leave Tracker'!A:NU,375,0),"")</f>
        <v/>
      </c>
      <c r="F83" t="str">
        <f>IFERROR(VLOOKUP(B83,'Yearly Leave Tracker'!A:NU,376,0),"")</f>
        <v/>
      </c>
      <c r="G83" t="str">
        <f>IFERROR(VLOOKUP(B83,'Yearly Leave Tracker'!A:NU,377,0),"")</f>
        <v/>
      </c>
      <c r="H83" t="str">
        <f>IFERROR(VLOOKUP(B83,'Yearly Leave Tracker'!A:NU,378,0),"")</f>
        <v/>
      </c>
      <c r="I83" t="str">
        <f>IFERROR(VLOOKUP(B83,'Yearly Leave Tracker'!A:NU,379,0),"")</f>
        <v/>
      </c>
      <c r="J83" t="str">
        <f>IFERROR(VLOOKUP(B83,'Yearly Leave Tracker'!A:NU,380,0),"")</f>
        <v/>
      </c>
      <c r="K83" t="str">
        <f>IFERROR(VLOOKUP(B83,'Yearly Leave Tracker'!A:NU,381,0),"")</f>
        <v/>
      </c>
      <c r="L83" t="str">
        <f>IFERROR(VLOOKUP(B83,'Yearly Leave Tracker'!A:NU,382,0),"")</f>
        <v/>
      </c>
      <c r="M83" t="str">
        <f>IFERROR(VLOOKUP(B83,'Yearly Leave Tracker'!A:NU,383,0),"")</f>
        <v/>
      </c>
      <c r="N83" t="str">
        <f>IFERROR(VLOOKUP(B83,'Yearly Leave Tracker'!A:NU,384,0),"")</f>
        <v/>
      </c>
      <c r="O83" t="str">
        <f>IFERROR(VLOOKUP(B83,'Yearly Leave Tracker'!A:NU,385,0),"")</f>
        <v/>
      </c>
    </row>
    <row r="84" spans="2:15" x14ac:dyDescent="0.25">
      <c r="B84" t="str">
        <f>IFERROR(IF('Yearly Leave Tracker'!A88="","",'Yearly Leave Tracker'!A88),"")</f>
        <v/>
      </c>
      <c r="C84" t="str">
        <f>IFERROR(VLOOKUP(B84,Database!E:F,2,0),"")</f>
        <v/>
      </c>
      <c r="D84" t="str">
        <f>IFERROR(VLOOKUP(B84,'Yearly Leave Tracker'!A:NU,374,0),"")</f>
        <v/>
      </c>
      <c r="E84" t="str">
        <f>IFERROR(VLOOKUP(B84,'Yearly Leave Tracker'!A:NU,375,0),"")</f>
        <v/>
      </c>
      <c r="F84" t="str">
        <f>IFERROR(VLOOKUP(B84,'Yearly Leave Tracker'!A:NU,376,0),"")</f>
        <v/>
      </c>
      <c r="G84" t="str">
        <f>IFERROR(VLOOKUP(B84,'Yearly Leave Tracker'!A:NU,377,0),"")</f>
        <v/>
      </c>
      <c r="H84" t="str">
        <f>IFERROR(VLOOKUP(B84,'Yearly Leave Tracker'!A:NU,378,0),"")</f>
        <v/>
      </c>
      <c r="I84" t="str">
        <f>IFERROR(VLOOKUP(B84,'Yearly Leave Tracker'!A:NU,379,0),"")</f>
        <v/>
      </c>
      <c r="J84" t="str">
        <f>IFERROR(VLOOKUP(B84,'Yearly Leave Tracker'!A:NU,380,0),"")</f>
        <v/>
      </c>
      <c r="K84" t="str">
        <f>IFERROR(VLOOKUP(B84,'Yearly Leave Tracker'!A:NU,381,0),"")</f>
        <v/>
      </c>
      <c r="L84" t="str">
        <f>IFERROR(VLOOKUP(B84,'Yearly Leave Tracker'!A:NU,382,0),"")</f>
        <v/>
      </c>
      <c r="M84" t="str">
        <f>IFERROR(VLOOKUP(B84,'Yearly Leave Tracker'!A:NU,383,0),"")</f>
        <v/>
      </c>
      <c r="N84" t="str">
        <f>IFERROR(VLOOKUP(B84,'Yearly Leave Tracker'!A:NU,384,0),"")</f>
        <v/>
      </c>
      <c r="O84" t="str">
        <f>IFERROR(VLOOKUP(B84,'Yearly Leave Tracker'!A:NU,385,0),"")</f>
        <v/>
      </c>
    </row>
    <row r="85" spans="2:15" x14ac:dyDescent="0.25">
      <c r="B85" t="str">
        <f>IFERROR(IF('Yearly Leave Tracker'!A89="","",'Yearly Leave Tracker'!A89),"")</f>
        <v/>
      </c>
      <c r="C85" t="str">
        <f>IFERROR(VLOOKUP(B85,Database!E:F,2,0),"")</f>
        <v/>
      </c>
      <c r="D85" t="str">
        <f>IFERROR(VLOOKUP(B85,'Yearly Leave Tracker'!A:NU,374,0),"")</f>
        <v/>
      </c>
      <c r="E85" t="str">
        <f>IFERROR(VLOOKUP(B85,'Yearly Leave Tracker'!A:NU,375,0),"")</f>
        <v/>
      </c>
      <c r="F85" t="str">
        <f>IFERROR(VLOOKUP(B85,'Yearly Leave Tracker'!A:NU,376,0),"")</f>
        <v/>
      </c>
      <c r="G85" t="str">
        <f>IFERROR(VLOOKUP(B85,'Yearly Leave Tracker'!A:NU,377,0),"")</f>
        <v/>
      </c>
      <c r="H85" t="str">
        <f>IFERROR(VLOOKUP(B85,'Yearly Leave Tracker'!A:NU,378,0),"")</f>
        <v/>
      </c>
      <c r="I85" t="str">
        <f>IFERROR(VLOOKUP(B85,'Yearly Leave Tracker'!A:NU,379,0),"")</f>
        <v/>
      </c>
      <c r="J85" t="str">
        <f>IFERROR(VLOOKUP(B85,'Yearly Leave Tracker'!A:NU,380,0),"")</f>
        <v/>
      </c>
      <c r="K85" t="str">
        <f>IFERROR(VLOOKUP(B85,'Yearly Leave Tracker'!A:NU,381,0),"")</f>
        <v/>
      </c>
      <c r="L85" t="str">
        <f>IFERROR(VLOOKUP(B85,'Yearly Leave Tracker'!A:NU,382,0),"")</f>
        <v/>
      </c>
      <c r="M85" t="str">
        <f>IFERROR(VLOOKUP(B85,'Yearly Leave Tracker'!A:NU,383,0),"")</f>
        <v/>
      </c>
      <c r="N85" t="str">
        <f>IFERROR(VLOOKUP(B85,'Yearly Leave Tracker'!A:NU,384,0),"")</f>
        <v/>
      </c>
      <c r="O85" t="str">
        <f>IFERROR(VLOOKUP(B85,'Yearly Leave Tracker'!A:NU,385,0),"")</f>
        <v/>
      </c>
    </row>
    <row r="86" spans="2:15" x14ac:dyDescent="0.25">
      <c r="B86" t="str">
        <f>IFERROR(IF('Yearly Leave Tracker'!A90="","",'Yearly Leave Tracker'!A90),"")</f>
        <v/>
      </c>
      <c r="C86" t="str">
        <f>IFERROR(VLOOKUP(B86,Database!E:F,2,0),"")</f>
        <v/>
      </c>
      <c r="D86" t="str">
        <f>IFERROR(VLOOKUP(B86,'Yearly Leave Tracker'!A:NU,374,0),"")</f>
        <v/>
      </c>
      <c r="E86" t="str">
        <f>IFERROR(VLOOKUP(B86,'Yearly Leave Tracker'!A:NU,375,0),"")</f>
        <v/>
      </c>
      <c r="F86" t="str">
        <f>IFERROR(VLOOKUP(B86,'Yearly Leave Tracker'!A:NU,376,0),"")</f>
        <v/>
      </c>
      <c r="G86" t="str">
        <f>IFERROR(VLOOKUP(B86,'Yearly Leave Tracker'!A:NU,377,0),"")</f>
        <v/>
      </c>
      <c r="H86" t="str">
        <f>IFERROR(VLOOKUP(B86,'Yearly Leave Tracker'!A:NU,378,0),"")</f>
        <v/>
      </c>
      <c r="I86" t="str">
        <f>IFERROR(VLOOKUP(B86,'Yearly Leave Tracker'!A:NU,379,0),"")</f>
        <v/>
      </c>
      <c r="J86" t="str">
        <f>IFERROR(VLOOKUP(B86,'Yearly Leave Tracker'!A:NU,380,0),"")</f>
        <v/>
      </c>
      <c r="K86" t="str">
        <f>IFERROR(VLOOKUP(B86,'Yearly Leave Tracker'!A:NU,381,0),"")</f>
        <v/>
      </c>
      <c r="L86" t="str">
        <f>IFERROR(VLOOKUP(B86,'Yearly Leave Tracker'!A:NU,382,0),"")</f>
        <v/>
      </c>
      <c r="M86" t="str">
        <f>IFERROR(VLOOKUP(B86,'Yearly Leave Tracker'!A:NU,383,0),"")</f>
        <v/>
      </c>
      <c r="N86" t="str">
        <f>IFERROR(VLOOKUP(B86,'Yearly Leave Tracker'!A:NU,384,0),"")</f>
        <v/>
      </c>
      <c r="O86" t="str">
        <f>IFERROR(VLOOKUP(B86,'Yearly Leave Tracker'!A:NU,385,0),"")</f>
        <v/>
      </c>
    </row>
    <row r="87" spans="2:15" x14ac:dyDescent="0.25">
      <c r="B87" t="str">
        <f>IFERROR(IF('Yearly Leave Tracker'!A91="","",'Yearly Leave Tracker'!A91),"")</f>
        <v/>
      </c>
      <c r="C87" t="str">
        <f>IFERROR(VLOOKUP(B87,Database!E:F,2,0),"")</f>
        <v/>
      </c>
      <c r="D87" t="str">
        <f>IFERROR(VLOOKUP(B87,'Yearly Leave Tracker'!A:NU,374,0),"")</f>
        <v/>
      </c>
      <c r="E87" t="str">
        <f>IFERROR(VLOOKUP(B87,'Yearly Leave Tracker'!A:NU,375,0),"")</f>
        <v/>
      </c>
      <c r="F87" t="str">
        <f>IFERROR(VLOOKUP(B87,'Yearly Leave Tracker'!A:NU,376,0),"")</f>
        <v/>
      </c>
      <c r="G87" t="str">
        <f>IFERROR(VLOOKUP(B87,'Yearly Leave Tracker'!A:NU,377,0),"")</f>
        <v/>
      </c>
      <c r="H87" t="str">
        <f>IFERROR(VLOOKUP(B87,'Yearly Leave Tracker'!A:NU,378,0),"")</f>
        <v/>
      </c>
      <c r="I87" t="str">
        <f>IFERROR(VLOOKUP(B87,'Yearly Leave Tracker'!A:NU,379,0),"")</f>
        <v/>
      </c>
      <c r="J87" t="str">
        <f>IFERROR(VLOOKUP(B87,'Yearly Leave Tracker'!A:NU,380,0),"")</f>
        <v/>
      </c>
      <c r="K87" t="str">
        <f>IFERROR(VLOOKUP(B87,'Yearly Leave Tracker'!A:NU,381,0),"")</f>
        <v/>
      </c>
      <c r="L87" t="str">
        <f>IFERROR(VLOOKUP(B87,'Yearly Leave Tracker'!A:NU,382,0),"")</f>
        <v/>
      </c>
      <c r="M87" t="str">
        <f>IFERROR(VLOOKUP(B87,'Yearly Leave Tracker'!A:NU,383,0),"")</f>
        <v/>
      </c>
      <c r="N87" t="str">
        <f>IFERROR(VLOOKUP(B87,'Yearly Leave Tracker'!A:NU,384,0),"")</f>
        <v/>
      </c>
      <c r="O87" t="str">
        <f>IFERROR(VLOOKUP(B87,'Yearly Leave Tracker'!A:NU,385,0),"")</f>
        <v/>
      </c>
    </row>
    <row r="88" spans="2:15" x14ac:dyDescent="0.25">
      <c r="B88" t="str">
        <f>IFERROR(IF('Yearly Leave Tracker'!A92="","",'Yearly Leave Tracker'!A92),"")</f>
        <v/>
      </c>
      <c r="C88" t="str">
        <f>IFERROR(VLOOKUP(B88,Database!E:F,2,0),"")</f>
        <v/>
      </c>
      <c r="D88" t="str">
        <f>IFERROR(VLOOKUP(B88,'Yearly Leave Tracker'!A:NU,374,0),"")</f>
        <v/>
      </c>
      <c r="E88" t="str">
        <f>IFERROR(VLOOKUP(B88,'Yearly Leave Tracker'!A:NU,375,0),"")</f>
        <v/>
      </c>
      <c r="F88" t="str">
        <f>IFERROR(VLOOKUP(B88,'Yearly Leave Tracker'!A:NU,376,0),"")</f>
        <v/>
      </c>
      <c r="G88" t="str">
        <f>IFERROR(VLOOKUP(B88,'Yearly Leave Tracker'!A:NU,377,0),"")</f>
        <v/>
      </c>
      <c r="H88" t="str">
        <f>IFERROR(VLOOKUP(B88,'Yearly Leave Tracker'!A:NU,378,0),"")</f>
        <v/>
      </c>
      <c r="I88" t="str">
        <f>IFERROR(VLOOKUP(B88,'Yearly Leave Tracker'!A:NU,379,0),"")</f>
        <v/>
      </c>
      <c r="J88" t="str">
        <f>IFERROR(VLOOKUP(B88,'Yearly Leave Tracker'!A:NU,380,0),"")</f>
        <v/>
      </c>
      <c r="K88" t="str">
        <f>IFERROR(VLOOKUP(B88,'Yearly Leave Tracker'!A:NU,381,0),"")</f>
        <v/>
      </c>
      <c r="L88" t="str">
        <f>IFERROR(VLOOKUP(B88,'Yearly Leave Tracker'!A:NU,382,0),"")</f>
        <v/>
      </c>
      <c r="M88" t="str">
        <f>IFERROR(VLOOKUP(B88,'Yearly Leave Tracker'!A:NU,383,0),"")</f>
        <v/>
      </c>
      <c r="N88" t="str">
        <f>IFERROR(VLOOKUP(B88,'Yearly Leave Tracker'!A:NU,384,0),"")</f>
        <v/>
      </c>
      <c r="O88" t="str">
        <f>IFERROR(VLOOKUP(B88,'Yearly Leave Tracker'!A:NU,385,0),"")</f>
        <v/>
      </c>
    </row>
    <row r="89" spans="2:15" x14ac:dyDescent="0.25">
      <c r="B89" t="str">
        <f>IFERROR(IF('Yearly Leave Tracker'!A93="","",'Yearly Leave Tracker'!A93),"")</f>
        <v/>
      </c>
      <c r="C89" t="str">
        <f>IFERROR(VLOOKUP(B89,Database!E:F,2,0),"")</f>
        <v/>
      </c>
      <c r="D89" t="str">
        <f>IFERROR(VLOOKUP(B89,'Yearly Leave Tracker'!A:NU,374,0),"")</f>
        <v/>
      </c>
      <c r="E89" t="str">
        <f>IFERROR(VLOOKUP(B89,'Yearly Leave Tracker'!A:NU,375,0),"")</f>
        <v/>
      </c>
      <c r="F89" t="str">
        <f>IFERROR(VLOOKUP(B89,'Yearly Leave Tracker'!A:NU,376,0),"")</f>
        <v/>
      </c>
      <c r="G89" t="str">
        <f>IFERROR(VLOOKUP(B89,'Yearly Leave Tracker'!A:NU,377,0),"")</f>
        <v/>
      </c>
      <c r="H89" t="str">
        <f>IFERROR(VLOOKUP(B89,'Yearly Leave Tracker'!A:NU,378,0),"")</f>
        <v/>
      </c>
      <c r="I89" t="str">
        <f>IFERROR(VLOOKUP(B89,'Yearly Leave Tracker'!A:NU,379,0),"")</f>
        <v/>
      </c>
      <c r="J89" t="str">
        <f>IFERROR(VLOOKUP(B89,'Yearly Leave Tracker'!A:NU,380,0),"")</f>
        <v/>
      </c>
      <c r="K89" t="str">
        <f>IFERROR(VLOOKUP(B89,'Yearly Leave Tracker'!A:NU,381,0),"")</f>
        <v/>
      </c>
      <c r="L89" t="str">
        <f>IFERROR(VLOOKUP(B89,'Yearly Leave Tracker'!A:NU,382,0),"")</f>
        <v/>
      </c>
      <c r="M89" t="str">
        <f>IFERROR(VLOOKUP(B89,'Yearly Leave Tracker'!A:NU,383,0),"")</f>
        <v/>
      </c>
      <c r="N89" t="str">
        <f>IFERROR(VLOOKUP(B89,'Yearly Leave Tracker'!A:NU,384,0),"")</f>
        <v/>
      </c>
      <c r="O89" t="str">
        <f>IFERROR(VLOOKUP(B89,'Yearly Leave Tracker'!A:NU,385,0),"")</f>
        <v/>
      </c>
    </row>
    <row r="90" spans="2:15" x14ac:dyDescent="0.25">
      <c r="B90" t="str">
        <f>IFERROR(IF('Yearly Leave Tracker'!A94="","",'Yearly Leave Tracker'!A94),"")</f>
        <v/>
      </c>
      <c r="C90" t="str">
        <f>IFERROR(VLOOKUP(B90,Database!E:F,2,0),"")</f>
        <v/>
      </c>
      <c r="D90" t="str">
        <f>IFERROR(VLOOKUP(B90,'Yearly Leave Tracker'!A:NU,374,0),"")</f>
        <v/>
      </c>
      <c r="E90" t="str">
        <f>IFERROR(VLOOKUP(B90,'Yearly Leave Tracker'!A:NU,375,0),"")</f>
        <v/>
      </c>
      <c r="F90" t="str">
        <f>IFERROR(VLOOKUP(B90,'Yearly Leave Tracker'!A:NU,376,0),"")</f>
        <v/>
      </c>
      <c r="G90" t="str">
        <f>IFERROR(VLOOKUP(B90,'Yearly Leave Tracker'!A:NU,377,0),"")</f>
        <v/>
      </c>
      <c r="H90" t="str">
        <f>IFERROR(VLOOKUP(B90,'Yearly Leave Tracker'!A:NU,378,0),"")</f>
        <v/>
      </c>
      <c r="I90" t="str">
        <f>IFERROR(VLOOKUP(B90,'Yearly Leave Tracker'!A:NU,379,0),"")</f>
        <v/>
      </c>
      <c r="J90" t="str">
        <f>IFERROR(VLOOKUP(B90,'Yearly Leave Tracker'!A:NU,380,0),"")</f>
        <v/>
      </c>
      <c r="K90" t="str">
        <f>IFERROR(VLOOKUP(B90,'Yearly Leave Tracker'!A:NU,381,0),"")</f>
        <v/>
      </c>
      <c r="L90" t="str">
        <f>IFERROR(VLOOKUP(B90,'Yearly Leave Tracker'!A:NU,382,0),"")</f>
        <v/>
      </c>
      <c r="M90" t="str">
        <f>IFERROR(VLOOKUP(B90,'Yearly Leave Tracker'!A:NU,383,0),"")</f>
        <v/>
      </c>
      <c r="N90" t="str">
        <f>IFERROR(VLOOKUP(B90,'Yearly Leave Tracker'!A:NU,384,0),"")</f>
        <v/>
      </c>
      <c r="O90" t="str">
        <f>IFERROR(VLOOKUP(B90,'Yearly Leave Tracker'!A:NU,385,0),"")</f>
        <v/>
      </c>
    </row>
    <row r="91" spans="2:15" x14ac:dyDescent="0.25">
      <c r="B91" t="str">
        <f>IFERROR(IF('Yearly Leave Tracker'!A95="","",'Yearly Leave Tracker'!A95),"")</f>
        <v/>
      </c>
      <c r="C91" t="str">
        <f>IFERROR(VLOOKUP(B91,Database!E:F,2,0),"")</f>
        <v/>
      </c>
      <c r="D91" t="str">
        <f>IFERROR(VLOOKUP(B91,'Yearly Leave Tracker'!A:NU,374,0),"")</f>
        <v/>
      </c>
      <c r="E91" t="str">
        <f>IFERROR(VLOOKUP(B91,'Yearly Leave Tracker'!A:NU,375,0),"")</f>
        <v/>
      </c>
      <c r="F91" t="str">
        <f>IFERROR(VLOOKUP(B91,'Yearly Leave Tracker'!A:NU,376,0),"")</f>
        <v/>
      </c>
      <c r="G91" t="str">
        <f>IFERROR(VLOOKUP(B91,'Yearly Leave Tracker'!A:NU,377,0),"")</f>
        <v/>
      </c>
      <c r="H91" t="str">
        <f>IFERROR(VLOOKUP(B91,'Yearly Leave Tracker'!A:NU,378,0),"")</f>
        <v/>
      </c>
      <c r="I91" t="str">
        <f>IFERROR(VLOOKUP(B91,'Yearly Leave Tracker'!A:NU,379,0),"")</f>
        <v/>
      </c>
      <c r="J91" t="str">
        <f>IFERROR(VLOOKUP(B91,'Yearly Leave Tracker'!A:NU,380,0),"")</f>
        <v/>
      </c>
      <c r="K91" t="str">
        <f>IFERROR(VLOOKUP(B91,'Yearly Leave Tracker'!A:NU,381,0),"")</f>
        <v/>
      </c>
      <c r="L91" t="str">
        <f>IFERROR(VLOOKUP(B91,'Yearly Leave Tracker'!A:NU,382,0),"")</f>
        <v/>
      </c>
      <c r="M91" t="str">
        <f>IFERROR(VLOOKUP(B91,'Yearly Leave Tracker'!A:NU,383,0),"")</f>
        <v/>
      </c>
      <c r="N91" t="str">
        <f>IFERROR(VLOOKUP(B91,'Yearly Leave Tracker'!A:NU,384,0),"")</f>
        <v/>
      </c>
      <c r="O91" t="str">
        <f>IFERROR(VLOOKUP(B91,'Yearly Leave Tracker'!A:NU,385,0),"")</f>
        <v/>
      </c>
    </row>
    <row r="92" spans="2:15" x14ac:dyDescent="0.25">
      <c r="B92" t="str">
        <f>IFERROR(IF('Yearly Leave Tracker'!A96="","",'Yearly Leave Tracker'!A96),"")</f>
        <v/>
      </c>
      <c r="C92" t="str">
        <f>IFERROR(VLOOKUP(B92,Database!E:F,2,0),"")</f>
        <v/>
      </c>
      <c r="D92" t="str">
        <f>IFERROR(VLOOKUP(B92,'Yearly Leave Tracker'!A:NU,374,0),"")</f>
        <v/>
      </c>
      <c r="E92" t="str">
        <f>IFERROR(VLOOKUP(B92,'Yearly Leave Tracker'!A:NU,375,0),"")</f>
        <v/>
      </c>
      <c r="F92" t="str">
        <f>IFERROR(VLOOKUP(B92,'Yearly Leave Tracker'!A:NU,376,0),"")</f>
        <v/>
      </c>
      <c r="G92" t="str">
        <f>IFERROR(VLOOKUP(B92,'Yearly Leave Tracker'!A:NU,377,0),"")</f>
        <v/>
      </c>
      <c r="H92" t="str">
        <f>IFERROR(VLOOKUP(B92,'Yearly Leave Tracker'!A:NU,378,0),"")</f>
        <v/>
      </c>
      <c r="I92" t="str">
        <f>IFERROR(VLOOKUP(B92,'Yearly Leave Tracker'!A:NU,379,0),"")</f>
        <v/>
      </c>
      <c r="J92" t="str">
        <f>IFERROR(VLOOKUP(B92,'Yearly Leave Tracker'!A:NU,380,0),"")</f>
        <v/>
      </c>
      <c r="K92" t="str">
        <f>IFERROR(VLOOKUP(B92,'Yearly Leave Tracker'!A:NU,381,0),"")</f>
        <v/>
      </c>
      <c r="L92" t="str">
        <f>IFERROR(VLOOKUP(B92,'Yearly Leave Tracker'!A:NU,382,0),"")</f>
        <v/>
      </c>
      <c r="M92" t="str">
        <f>IFERROR(VLOOKUP(B92,'Yearly Leave Tracker'!A:NU,383,0),"")</f>
        <v/>
      </c>
      <c r="N92" t="str">
        <f>IFERROR(VLOOKUP(B92,'Yearly Leave Tracker'!A:NU,384,0),"")</f>
        <v/>
      </c>
      <c r="O92" t="str">
        <f>IFERROR(VLOOKUP(B92,'Yearly Leave Tracker'!A:NU,385,0),"")</f>
        <v/>
      </c>
    </row>
    <row r="93" spans="2:15" x14ac:dyDescent="0.25">
      <c r="B93" t="str">
        <f>IFERROR(IF('Yearly Leave Tracker'!A97="","",'Yearly Leave Tracker'!A97),"")</f>
        <v/>
      </c>
      <c r="C93" t="str">
        <f>IFERROR(VLOOKUP(B93,Database!E:F,2,0),"")</f>
        <v/>
      </c>
      <c r="D93" t="str">
        <f>IFERROR(VLOOKUP(B93,'Yearly Leave Tracker'!A:NU,374,0),"")</f>
        <v/>
      </c>
      <c r="E93" t="str">
        <f>IFERROR(VLOOKUP(B93,'Yearly Leave Tracker'!A:NU,375,0),"")</f>
        <v/>
      </c>
      <c r="F93" t="str">
        <f>IFERROR(VLOOKUP(B93,'Yearly Leave Tracker'!A:NU,376,0),"")</f>
        <v/>
      </c>
      <c r="G93" t="str">
        <f>IFERROR(VLOOKUP(B93,'Yearly Leave Tracker'!A:NU,377,0),"")</f>
        <v/>
      </c>
      <c r="H93" t="str">
        <f>IFERROR(VLOOKUP(B93,'Yearly Leave Tracker'!A:NU,378,0),"")</f>
        <v/>
      </c>
      <c r="I93" t="str">
        <f>IFERROR(VLOOKUP(B93,'Yearly Leave Tracker'!A:NU,379,0),"")</f>
        <v/>
      </c>
      <c r="J93" t="str">
        <f>IFERROR(VLOOKUP(B93,'Yearly Leave Tracker'!A:NU,380,0),"")</f>
        <v/>
      </c>
      <c r="K93" t="str">
        <f>IFERROR(VLOOKUP(B93,'Yearly Leave Tracker'!A:NU,381,0),"")</f>
        <v/>
      </c>
      <c r="L93" t="str">
        <f>IFERROR(VLOOKUP(B93,'Yearly Leave Tracker'!A:NU,382,0),"")</f>
        <v/>
      </c>
      <c r="M93" t="str">
        <f>IFERROR(VLOOKUP(B93,'Yearly Leave Tracker'!A:NU,383,0),"")</f>
        <v/>
      </c>
      <c r="N93" t="str">
        <f>IFERROR(VLOOKUP(B93,'Yearly Leave Tracker'!A:NU,384,0),"")</f>
        <v/>
      </c>
      <c r="O93" t="str">
        <f>IFERROR(VLOOKUP(B93,'Yearly Leave Tracker'!A:NU,385,0),"")</f>
        <v/>
      </c>
    </row>
    <row r="94" spans="2:15" x14ac:dyDescent="0.25">
      <c r="B94" t="str">
        <f>IFERROR(IF('Yearly Leave Tracker'!A98="","",'Yearly Leave Tracker'!A98),"")</f>
        <v/>
      </c>
      <c r="C94" t="str">
        <f>IFERROR(VLOOKUP(B94,Database!E:F,2,0),"")</f>
        <v/>
      </c>
      <c r="D94" t="str">
        <f>IFERROR(VLOOKUP(B94,'Yearly Leave Tracker'!A:NU,374,0),"")</f>
        <v/>
      </c>
      <c r="E94" t="str">
        <f>IFERROR(VLOOKUP(B94,'Yearly Leave Tracker'!A:NU,375,0),"")</f>
        <v/>
      </c>
      <c r="F94" t="str">
        <f>IFERROR(VLOOKUP(B94,'Yearly Leave Tracker'!A:NU,376,0),"")</f>
        <v/>
      </c>
      <c r="G94" t="str">
        <f>IFERROR(VLOOKUP(B94,'Yearly Leave Tracker'!A:NU,377,0),"")</f>
        <v/>
      </c>
      <c r="H94" t="str">
        <f>IFERROR(VLOOKUP(B94,'Yearly Leave Tracker'!A:NU,378,0),"")</f>
        <v/>
      </c>
      <c r="I94" t="str">
        <f>IFERROR(VLOOKUP(B94,'Yearly Leave Tracker'!A:NU,379,0),"")</f>
        <v/>
      </c>
      <c r="J94" t="str">
        <f>IFERROR(VLOOKUP(B94,'Yearly Leave Tracker'!A:NU,380,0),"")</f>
        <v/>
      </c>
      <c r="K94" t="str">
        <f>IFERROR(VLOOKUP(B94,'Yearly Leave Tracker'!A:NU,381,0),"")</f>
        <v/>
      </c>
      <c r="L94" t="str">
        <f>IFERROR(VLOOKUP(B94,'Yearly Leave Tracker'!A:NU,382,0),"")</f>
        <v/>
      </c>
      <c r="M94" t="str">
        <f>IFERROR(VLOOKUP(B94,'Yearly Leave Tracker'!A:NU,383,0),"")</f>
        <v/>
      </c>
      <c r="N94" t="str">
        <f>IFERROR(VLOOKUP(B94,'Yearly Leave Tracker'!A:NU,384,0),"")</f>
        <v/>
      </c>
      <c r="O94" t="str">
        <f>IFERROR(VLOOKUP(B94,'Yearly Leave Tracker'!A:NU,385,0),"")</f>
        <v/>
      </c>
    </row>
    <row r="95" spans="2:15" x14ac:dyDescent="0.25">
      <c r="B95" t="str">
        <f>IFERROR(IF('Yearly Leave Tracker'!A99="","",'Yearly Leave Tracker'!A99),"")</f>
        <v/>
      </c>
      <c r="C95" t="str">
        <f>IFERROR(VLOOKUP(B95,Database!E:F,2,0),"")</f>
        <v/>
      </c>
      <c r="D95" t="str">
        <f>IFERROR(VLOOKUP(B95,'Yearly Leave Tracker'!A:NU,374,0),"")</f>
        <v/>
      </c>
      <c r="E95" t="str">
        <f>IFERROR(VLOOKUP(B95,'Yearly Leave Tracker'!A:NU,375,0),"")</f>
        <v/>
      </c>
      <c r="F95" t="str">
        <f>IFERROR(VLOOKUP(B95,'Yearly Leave Tracker'!A:NU,376,0),"")</f>
        <v/>
      </c>
      <c r="G95" t="str">
        <f>IFERROR(VLOOKUP(B95,'Yearly Leave Tracker'!A:NU,377,0),"")</f>
        <v/>
      </c>
      <c r="H95" t="str">
        <f>IFERROR(VLOOKUP(B95,'Yearly Leave Tracker'!A:NU,378,0),"")</f>
        <v/>
      </c>
      <c r="I95" t="str">
        <f>IFERROR(VLOOKUP(B95,'Yearly Leave Tracker'!A:NU,379,0),"")</f>
        <v/>
      </c>
      <c r="J95" t="str">
        <f>IFERROR(VLOOKUP(B95,'Yearly Leave Tracker'!A:NU,380,0),"")</f>
        <v/>
      </c>
      <c r="K95" t="str">
        <f>IFERROR(VLOOKUP(B95,'Yearly Leave Tracker'!A:NU,381,0),"")</f>
        <v/>
      </c>
      <c r="L95" t="str">
        <f>IFERROR(VLOOKUP(B95,'Yearly Leave Tracker'!A:NU,382,0),"")</f>
        <v/>
      </c>
      <c r="M95" t="str">
        <f>IFERROR(VLOOKUP(B95,'Yearly Leave Tracker'!A:NU,383,0),"")</f>
        <v/>
      </c>
      <c r="N95" t="str">
        <f>IFERROR(VLOOKUP(B95,'Yearly Leave Tracker'!A:NU,384,0),"")</f>
        <v/>
      </c>
      <c r="O95" t="str">
        <f>IFERROR(VLOOKUP(B95,'Yearly Leave Tracker'!A:NU,385,0),"")</f>
        <v/>
      </c>
    </row>
    <row r="96" spans="2:15" x14ac:dyDescent="0.25">
      <c r="B96" t="str">
        <f>IFERROR(IF('Yearly Leave Tracker'!A100="","",'Yearly Leave Tracker'!A100),"")</f>
        <v/>
      </c>
      <c r="C96" t="str">
        <f>IFERROR(VLOOKUP(B96,Database!E:F,2,0),"")</f>
        <v/>
      </c>
      <c r="D96" t="str">
        <f>IFERROR(VLOOKUP(B96,'Yearly Leave Tracker'!A:NU,374,0),"")</f>
        <v/>
      </c>
      <c r="E96" t="str">
        <f>IFERROR(VLOOKUP(B96,'Yearly Leave Tracker'!A:NU,375,0),"")</f>
        <v/>
      </c>
      <c r="F96" t="str">
        <f>IFERROR(VLOOKUP(B96,'Yearly Leave Tracker'!A:NU,376,0),"")</f>
        <v/>
      </c>
      <c r="G96" t="str">
        <f>IFERROR(VLOOKUP(B96,'Yearly Leave Tracker'!A:NU,377,0),"")</f>
        <v/>
      </c>
      <c r="H96" t="str">
        <f>IFERROR(VLOOKUP(B96,'Yearly Leave Tracker'!A:NU,378,0),"")</f>
        <v/>
      </c>
      <c r="I96" t="str">
        <f>IFERROR(VLOOKUP(B96,'Yearly Leave Tracker'!A:NU,379,0),"")</f>
        <v/>
      </c>
      <c r="J96" t="str">
        <f>IFERROR(VLOOKUP(B96,'Yearly Leave Tracker'!A:NU,380,0),"")</f>
        <v/>
      </c>
      <c r="K96" t="str">
        <f>IFERROR(VLOOKUP(B96,'Yearly Leave Tracker'!A:NU,381,0),"")</f>
        <v/>
      </c>
      <c r="L96" t="str">
        <f>IFERROR(VLOOKUP(B96,'Yearly Leave Tracker'!A:NU,382,0),"")</f>
        <v/>
      </c>
      <c r="M96" t="str">
        <f>IFERROR(VLOOKUP(B96,'Yearly Leave Tracker'!A:NU,383,0),"")</f>
        <v/>
      </c>
      <c r="N96" t="str">
        <f>IFERROR(VLOOKUP(B96,'Yearly Leave Tracker'!A:NU,384,0),"")</f>
        <v/>
      </c>
      <c r="O96" t="str">
        <f>IFERROR(VLOOKUP(B96,'Yearly Leave Tracker'!A:NU,385,0),"")</f>
        <v/>
      </c>
    </row>
    <row r="97" spans="2:15" x14ac:dyDescent="0.25">
      <c r="B97" t="str">
        <f>IFERROR(IF('Yearly Leave Tracker'!A101="","",'Yearly Leave Tracker'!A101),"")</f>
        <v/>
      </c>
      <c r="C97" t="str">
        <f>IFERROR(VLOOKUP(B97,Database!E:F,2,0),"")</f>
        <v/>
      </c>
      <c r="D97" t="str">
        <f>IFERROR(VLOOKUP(B97,'Yearly Leave Tracker'!A:NU,374,0),"")</f>
        <v/>
      </c>
      <c r="E97" t="str">
        <f>IFERROR(VLOOKUP(B97,'Yearly Leave Tracker'!A:NU,375,0),"")</f>
        <v/>
      </c>
      <c r="F97" t="str">
        <f>IFERROR(VLOOKUP(B97,'Yearly Leave Tracker'!A:NU,376,0),"")</f>
        <v/>
      </c>
      <c r="G97" t="str">
        <f>IFERROR(VLOOKUP(B97,'Yearly Leave Tracker'!A:NU,377,0),"")</f>
        <v/>
      </c>
      <c r="H97" t="str">
        <f>IFERROR(VLOOKUP(B97,'Yearly Leave Tracker'!A:NU,378,0),"")</f>
        <v/>
      </c>
      <c r="I97" t="str">
        <f>IFERROR(VLOOKUP(B97,'Yearly Leave Tracker'!A:NU,379,0),"")</f>
        <v/>
      </c>
      <c r="J97" t="str">
        <f>IFERROR(VLOOKUP(B97,'Yearly Leave Tracker'!A:NU,380,0),"")</f>
        <v/>
      </c>
      <c r="K97" t="str">
        <f>IFERROR(VLOOKUP(B97,'Yearly Leave Tracker'!A:NU,381,0),"")</f>
        <v/>
      </c>
      <c r="L97" t="str">
        <f>IFERROR(VLOOKUP(B97,'Yearly Leave Tracker'!A:NU,382,0),"")</f>
        <v/>
      </c>
      <c r="M97" t="str">
        <f>IFERROR(VLOOKUP(B97,'Yearly Leave Tracker'!A:NU,383,0),"")</f>
        <v/>
      </c>
      <c r="N97" t="str">
        <f>IFERROR(VLOOKUP(B97,'Yearly Leave Tracker'!A:NU,384,0),"")</f>
        <v/>
      </c>
      <c r="O97" t="str">
        <f>IFERROR(VLOOKUP(B97,'Yearly Leave Tracker'!A:NU,385,0),"")</f>
        <v/>
      </c>
    </row>
    <row r="98" spans="2:15" x14ac:dyDescent="0.25">
      <c r="B98" t="str">
        <f>IFERROR(IF('Yearly Leave Tracker'!A102="","",'Yearly Leave Tracker'!A102),"")</f>
        <v/>
      </c>
      <c r="C98" t="str">
        <f>IFERROR(VLOOKUP(B98,Database!E:F,2,0),"")</f>
        <v/>
      </c>
      <c r="D98" t="str">
        <f>IFERROR(VLOOKUP(B98,'Yearly Leave Tracker'!A:NU,374,0),"")</f>
        <v/>
      </c>
      <c r="E98" t="str">
        <f>IFERROR(VLOOKUP(B98,'Yearly Leave Tracker'!A:NU,375,0),"")</f>
        <v/>
      </c>
      <c r="F98" t="str">
        <f>IFERROR(VLOOKUP(B98,'Yearly Leave Tracker'!A:NU,376,0),"")</f>
        <v/>
      </c>
      <c r="G98" t="str">
        <f>IFERROR(VLOOKUP(B98,'Yearly Leave Tracker'!A:NU,377,0),"")</f>
        <v/>
      </c>
      <c r="H98" t="str">
        <f>IFERROR(VLOOKUP(B98,'Yearly Leave Tracker'!A:NU,378,0),"")</f>
        <v/>
      </c>
      <c r="I98" t="str">
        <f>IFERROR(VLOOKUP(B98,'Yearly Leave Tracker'!A:NU,379,0),"")</f>
        <v/>
      </c>
      <c r="J98" t="str">
        <f>IFERROR(VLOOKUP(B98,'Yearly Leave Tracker'!A:NU,380,0),"")</f>
        <v/>
      </c>
      <c r="K98" t="str">
        <f>IFERROR(VLOOKUP(B98,'Yearly Leave Tracker'!A:NU,381,0),"")</f>
        <v/>
      </c>
      <c r="L98" t="str">
        <f>IFERROR(VLOOKUP(B98,'Yearly Leave Tracker'!A:NU,382,0),"")</f>
        <v/>
      </c>
      <c r="M98" t="str">
        <f>IFERROR(VLOOKUP(B98,'Yearly Leave Tracker'!A:NU,383,0),"")</f>
        <v/>
      </c>
      <c r="N98" t="str">
        <f>IFERROR(VLOOKUP(B98,'Yearly Leave Tracker'!A:NU,384,0),"")</f>
        <v/>
      </c>
      <c r="O98" t="str">
        <f>IFERROR(VLOOKUP(B98,'Yearly Leave Tracker'!A:NU,385,0),"")</f>
        <v/>
      </c>
    </row>
    <row r="99" spans="2:15" x14ac:dyDescent="0.25">
      <c r="B99" t="str">
        <f>IFERROR(IF('Yearly Leave Tracker'!A103="","",'Yearly Leave Tracker'!A103),"")</f>
        <v/>
      </c>
      <c r="C99" t="str">
        <f>IFERROR(VLOOKUP(B99,Database!E:F,2,0),"")</f>
        <v/>
      </c>
      <c r="D99" t="str">
        <f>IFERROR(VLOOKUP(B99,'Yearly Leave Tracker'!A:NU,374,0),"")</f>
        <v/>
      </c>
      <c r="E99" t="str">
        <f>IFERROR(VLOOKUP(B99,'Yearly Leave Tracker'!A:NU,375,0),"")</f>
        <v/>
      </c>
      <c r="F99" t="str">
        <f>IFERROR(VLOOKUP(B99,'Yearly Leave Tracker'!A:NU,376,0),"")</f>
        <v/>
      </c>
      <c r="G99" t="str">
        <f>IFERROR(VLOOKUP(B99,'Yearly Leave Tracker'!A:NU,377,0),"")</f>
        <v/>
      </c>
      <c r="H99" t="str">
        <f>IFERROR(VLOOKUP(B99,'Yearly Leave Tracker'!A:NU,378,0),"")</f>
        <v/>
      </c>
      <c r="I99" t="str">
        <f>IFERROR(VLOOKUP(B99,'Yearly Leave Tracker'!A:NU,379,0),"")</f>
        <v/>
      </c>
      <c r="J99" t="str">
        <f>IFERROR(VLOOKUP(B99,'Yearly Leave Tracker'!A:NU,380,0),"")</f>
        <v/>
      </c>
      <c r="K99" t="str">
        <f>IFERROR(VLOOKUP(B99,'Yearly Leave Tracker'!A:NU,381,0),"")</f>
        <v/>
      </c>
      <c r="L99" t="str">
        <f>IFERROR(VLOOKUP(B99,'Yearly Leave Tracker'!A:NU,382,0),"")</f>
        <v/>
      </c>
      <c r="M99" t="str">
        <f>IFERROR(VLOOKUP(B99,'Yearly Leave Tracker'!A:NU,383,0),"")</f>
        <v/>
      </c>
      <c r="N99" t="str">
        <f>IFERROR(VLOOKUP(B99,'Yearly Leave Tracker'!A:NU,384,0),"")</f>
        <v/>
      </c>
      <c r="O99" t="str">
        <f>IFERROR(VLOOKUP(B99,'Yearly Leave Tracker'!A:NU,385,0),"")</f>
        <v/>
      </c>
    </row>
    <row r="100" spans="2:15" x14ac:dyDescent="0.25">
      <c r="B100" t="str">
        <f>IFERROR(IF('Yearly Leave Tracker'!A104="","",'Yearly Leave Tracker'!A104),"")</f>
        <v/>
      </c>
      <c r="C100" t="str">
        <f>IFERROR(VLOOKUP(B100,Database!E:F,2,0),"")</f>
        <v/>
      </c>
      <c r="D100" t="str">
        <f>IFERROR(VLOOKUP(B100,'Yearly Leave Tracker'!A:NU,374,0),"")</f>
        <v/>
      </c>
      <c r="E100" t="str">
        <f>IFERROR(VLOOKUP(B100,'Yearly Leave Tracker'!A:NU,375,0),"")</f>
        <v/>
      </c>
      <c r="F100" t="str">
        <f>IFERROR(VLOOKUP(B100,'Yearly Leave Tracker'!A:NU,376,0),"")</f>
        <v/>
      </c>
      <c r="G100" t="str">
        <f>IFERROR(VLOOKUP(B100,'Yearly Leave Tracker'!A:NU,377,0),"")</f>
        <v/>
      </c>
      <c r="H100" t="str">
        <f>IFERROR(VLOOKUP(B100,'Yearly Leave Tracker'!A:NU,378,0),"")</f>
        <v/>
      </c>
      <c r="I100" t="str">
        <f>IFERROR(VLOOKUP(B100,'Yearly Leave Tracker'!A:NU,379,0),"")</f>
        <v/>
      </c>
      <c r="J100" t="str">
        <f>IFERROR(VLOOKUP(B100,'Yearly Leave Tracker'!A:NU,380,0),"")</f>
        <v/>
      </c>
      <c r="K100" t="str">
        <f>IFERROR(VLOOKUP(B100,'Yearly Leave Tracker'!A:NU,381,0),"")</f>
        <v/>
      </c>
      <c r="L100" t="str">
        <f>IFERROR(VLOOKUP(B100,'Yearly Leave Tracker'!A:NU,382,0),"")</f>
        <v/>
      </c>
      <c r="M100" t="str">
        <f>IFERROR(VLOOKUP(B100,'Yearly Leave Tracker'!A:NU,383,0),"")</f>
        <v/>
      </c>
      <c r="N100" t="str">
        <f>IFERROR(VLOOKUP(B100,'Yearly Leave Tracker'!A:NU,384,0),"")</f>
        <v/>
      </c>
      <c r="O100" t="str">
        <f>IFERROR(VLOOKUP(B100,'Yearly Leave Tracker'!A:NU,385,0),"")</f>
        <v/>
      </c>
    </row>
    <row r="101" spans="2:15" x14ac:dyDescent="0.25">
      <c r="B101" t="str">
        <f>IFERROR(IF('Yearly Leave Tracker'!A105="","",'Yearly Leave Tracker'!A105),"")</f>
        <v/>
      </c>
      <c r="C101" t="str">
        <f>IFERROR(VLOOKUP(B101,Database!E:F,2,0),"")</f>
        <v/>
      </c>
      <c r="D101" t="str">
        <f>IFERROR(VLOOKUP(B101,'Yearly Leave Tracker'!A:NU,374,0),"")</f>
        <v/>
      </c>
      <c r="E101" t="str">
        <f>IFERROR(VLOOKUP(B101,'Yearly Leave Tracker'!A:NU,375,0),"")</f>
        <v/>
      </c>
      <c r="F101" t="str">
        <f>IFERROR(VLOOKUP(B101,'Yearly Leave Tracker'!A:NU,376,0),"")</f>
        <v/>
      </c>
      <c r="G101" t="str">
        <f>IFERROR(VLOOKUP(B101,'Yearly Leave Tracker'!A:NU,377,0),"")</f>
        <v/>
      </c>
      <c r="H101" t="str">
        <f>IFERROR(VLOOKUP(B101,'Yearly Leave Tracker'!A:NU,378,0),"")</f>
        <v/>
      </c>
      <c r="I101" t="str">
        <f>IFERROR(VLOOKUP(B101,'Yearly Leave Tracker'!A:NU,379,0),"")</f>
        <v/>
      </c>
      <c r="J101" t="str">
        <f>IFERROR(VLOOKUP(B101,'Yearly Leave Tracker'!A:NU,380,0),"")</f>
        <v/>
      </c>
      <c r="K101" t="str">
        <f>IFERROR(VLOOKUP(B101,'Yearly Leave Tracker'!A:NU,381,0),"")</f>
        <v/>
      </c>
      <c r="L101" t="str">
        <f>IFERROR(VLOOKUP(B101,'Yearly Leave Tracker'!A:NU,382,0),"")</f>
        <v/>
      </c>
      <c r="M101" t="str">
        <f>IFERROR(VLOOKUP(B101,'Yearly Leave Tracker'!A:NU,383,0),"")</f>
        <v/>
      </c>
      <c r="N101" t="str">
        <f>IFERROR(VLOOKUP(B101,'Yearly Leave Tracker'!A:NU,384,0),"")</f>
        <v/>
      </c>
      <c r="O101" t="str">
        <f>IFERROR(VLOOKUP(B101,'Yearly Leave Tracker'!A:NU,385,0),"")</f>
        <v/>
      </c>
    </row>
    <row r="102" spans="2:15" x14ac:dyDescent="0.25">
      <c r="B102" t="str">
        <f>IFERROR(IF('Yearly Leave Tracker'!A106="","",'Yearly Leave Tracker'!A106),"")</f>
        <v/>
      </c>
      <c r="C102" t="str">
        <f>IFERROR(VLOOKUP(B102,Database!E:F,2,0),"")</f>
        <v/>
      </c>
      <c r="D102" t="str">
        <f>IFERROR(VLOOKUP(B102,'Yearly Leave Tracker'!A:NU,374,0),"")</f>
        <v/>
      </c>
      <c r="E102" t="str">
        <f>IFERROR(VLOOKUP(B102,'Yearly Leave Tracker'!A:NU,375,0),"")</f>
        <v/>
      </c>
      <c r="F102" t="str">
        <f>IFERROR(VLOOKUP(B102,'Yearly Leave Tracker'!A:NU,376,0),"")</f>
        <v/>
      </c>
      <c r="G102" t="str">
        <f>IFERROR(VLOOKUP(B102,'Yearly Leave Tracker'!A:NU,377,0),"")</f>
        <v/>
      </c>
      <c r="H102" t="str">
        <f>IFERROR(VLOOKUP(B102,'Yearly Leave Tracker'!A:NU,378,0),"")</f>
        <v/>
      </c>
      <c r="I102" t="str">
        <f>IFERROR(VLOOKUP(B102,'Yearly Leave Tracker'!A:NU,379,0),"")</f>
        <v/>
      </c>
      <c r="J102" t="str">
        <f>IFERROR(VLOOKUP(B102,'Yearly Leave Tracker'!A:NU,380,0),"")</f>
        <v/>
      </c>
      <c r="K102" t="str">
        <f>IFERROR(VLOOKUP(B102,'Yearly Leave Tracker'!A:NU,381,0),"")</f>
        <v/>
      </c>
      <c r="L102" t="str">
        <f>IFERROR(VLOOKUP(B102,'Yearly Leave Tracker'!A:NU,382,0),"")</f>
        <v/>
      </c>
      <c r="M102" t="str">
        <f>IFERROR(VLOOKUP(B102,'Yearly Leave Tracker'!A:NU,383,0),"")</f>
        <v/>
      </c>
      <c r="N102" t="str">
        <f>IFERROR(VLOOKUP(B102,'Yearly Leave Tracker'!A:NU,384,0),"")</f>
        <v/>
      </c>
      <c r="O102" t="str">
        <f>IFERROR(VLOOKUP(B102,'Yearly Leave Tracker'!A:NU,385,0),"")</f>
        <v/>
      </c>
    </row>
    <row r="103" spans="2:15" x14ac:dyDescent="0.25">
      <c r="B103" t="str">
        <f>IFERROR(IF('Yearly Leave Tracker'!A107="","",'Yearly Leave Tracker'!A107),"")</f>
        <v/>
      </c>
      <c r="C103" t="str">
        <f>IFERROR(VLOOKUP(B103,Database!E:F,2,0),"")</f>
        <v/>
      </c>
      <c r="D103" t="str">
        <f>IFERROR(VLOOKUP(B103,'Yearly Leave Tracker'!A:NU,374,0),"")</f>
        <v/>
      </c>
      <c r="E103" t="str">
        <f>IFERROR(VLOOKUP(B103,'Yearly Leave Tracker'!A:NU,375,0),"")</f>
        <v/>
      </c>
      <c r="F103" t="str">
        <f>IFERROR(VLOOKUP(B103,'Yearly Leave Tracker'!A:NU,376,0),"")</f>
        <v/>
      </c>
      <c r="G103" t="str">
        <f>IFERROR(VLOOKUP(B103,'Yearly Leave Tracker'!A:NU,377,0),"")</f>
        <v/>
      </c>
      <c r="H103" t="str">
        <f>IFERROR(VLOOKUP(B103,'Yearly Leave Tracker'!A:NU,378,0),"")</f>
        <v/>
      </c>
      <c r="I103" t="str">
        <f>IFERROR(VLOOKUP(B103,'Yearly Leave Tracker'!A:NU,379,0),"")</f>
        <v/>
      </c>
      <c r="J103" t="str">
        <f>IFERROR(VLOOKUP(B103,'Yearly Leave Tracker'!A:NU,380,0),"")</f>
        <v/>
      </c>
      <c r="K103" t="str">
        <f>IFERROR(VLOOKUP(B103,'Yearly Leave Tracker'!A:NU,381,0),"")</f>
        <v/>
      </c>
      <c r="L103" t="str">
        <f>IFERROR(VLOOKUP(B103,'Yearly Leave Tracker'!A:NU,382,0),"")</f>
        <v/>
      </c>
      <c r="M103" t="str">
        <f>IFERROR(VLOOKUP(B103,'Yearly Leave Tracker'!A:NU,383,0),"")</f>
        <v/>
      </c>
      <c r="N103" t="str">
        <f>IFERROR(VLOOKUP(B103,'Yearly Leave Tracker'!A:NU,384,0),"")</f>
        <v/>
      </c>
      <c r="O103" t="str">
        <f>IFERROR(VLOOKUP(B103,'Yearly Leave Tracker'!A:NU,385,0),"")</f>
        <v/>
      </c>
    </row>
    <row r="104" spans="2:15" x14ac:dyDescent="0.25">
      <c r="B104" t="str">
        <f>IFERROR(IF('Yearly Leave Tracker'!A108="","",'Yearly Leave Tracker'!A108),"")</f>
        <v/>
      </c>
      <c r="C104" t="str">
        <f>IFERROR(VLOOKUP(B104,Database!E:F,2,0),"")</f>
        <v/>
      </c>
      <c r="D104" t="str">
        <f>IFERROR(VLOOKUP(B104,'Yearly Leave Tracker'!A:NU,374,0),"")</f>
        <v/>
      </c>
      <c r="E104" t="str">
        <f>IFERROR(VLOOKUP(B104,'Yearly Leave Tracker'!A:NU,375,0),"")</f>
        <v/>
      </c>
      <c r="F104" t="str">
        <f>IFERROR(VLOOKUP(B104,'Yearly Leave Tracker'!A:NU,376,0),"")</f>
        <v/>
      </c>
      <c r="G104" t="str">
        <f>IFERROR(VLOOKUP(B104,'Yearly Leave Tracker'!A:NU,377,0),"")</f>
        <v/>
      </c>
      <c r="H104" t="str">
        <f>IFERROR(VLOOKUP(B104,'Yearly Leave Tracker'!A:NU,378,0),"")</f>
        <v/>
      </c>
      <c r="I104" t="str">
        <f>IFERROR(VLOOKUP(B104,'Yearly Leave Tracker'!A:NU,379,0),"")</f>
        <v/>
      </c>
      <c r="J104" t="str">
        <f>IFERROR(VLOOKUP(B104,'Yearly Leave Tracker'!A:NU,380,0),"")</f>
        <v/>
      </c>
      <c r="K104" t="str">
        <f>IFERROR(VLOOKUP(B104,'Yearly Leave Tracker'!A:NU,381,0),"")</f>
        <v/>
      </c>
      <c r="L104" t="str">
        <f>IFERROR(VLOOKUP(B104,'Yearly Leave Tracker'!A:NU,382,0),"")</f>
        <v/>
      </c>
      <c r="M104" t="str">
        <f>IFERROR(VLOOKUP(B104,'Yearly Leave Tracker'!A:NU,383,0),"")</f>
        <v/>
      </c>
      <c r="N104" t="str">
        <f>IFERROR(VLOOKUP(B104,'Yearly Leave Tracker'!A:NU,384,0),"")</f>
        <v/>
      </c>
      <c r="O104" t="str">
        <f>IFERROR(VLOOKUP(B104,'Yearly Leave Tracker'!A:NU,385,0),"")</f>
        <v/>
      </c>
    </row>
    <row r="105" spans="2:15" x14ac:dyDescent="0.25">
      <c r="B105" t="str">
        <f>IFERROR(IF('Yearly Leave Tracker'!A109="","",'Yearly Leave Tracker'!A109),"")</f>
        <v/>
      </c>
      <c r="C105" t="str">
        <f>IFERROR(VLOOKUP(B105,Database!E:F,2,0),"")</f>
        <v/>
      </c>
      <c r="D105" t="str">
        <f>IFERROR(VLOOKUP(B105,'Yearly Leave Tracker'!A:NU,374,0),"")</f>
        <v/>
      </c>
      <c r="E105" t="str">
        <f>IFERROR(VLOOKUP(B105,'Yearly Leave Tracker'!A:NU,375,0),"")</f>
        <v/>
      </c>
      <c r="F105" t="str">
        <f>IFERROR(VLOOKUP(B105,'Yearly Leave Tracker'!A:NU,376,0),"")</f>
        <v/>
      </c>
      <c r="G105" t="str">
        <f>IFERROR(VLOOKUP(B105,'Yearly Leave Tracker'!A:NU,377,0),"")</f>
        <v/>
      </c>
      <c r="H105" t="str">
        <f>IFERROR(VLOOKUP(B105,'Yearly Leave Tracker'!A:NU,378,0),"")</f>
        <v/>
      </c>
      <c r="I105" t="str">
        <f>IFERROR(VLOOKUP(B105,'Yearly Leave Tracker'!A:NU,379,0),"")</f>
        <v/>
      </c>
      <c r="J105" t="str">
        <f>IFERROR(VLOOKUP(B105,'Yearly Leave Tracker'!A:NU,380,0),"")</f>
        <v/>
      </c>
      <c r="K105" t="str">
        <f>IFERROR(VLOOKUP(B105,'Yearly Leave Tracker'!A:NU,381,0),"")</f>
        <v/>
      </c>
      <c r="L105" t="str">
        <f>IFERROR(VLOOKUP(B105,'Yearly Leave Tracker'!A:NU,382,0),"")</f>
        <v/>
      </c>
      <c r="M105" t="str">
        <f>IFERROR(VLOOKUP(B105,'Yearly Leave Tracker'!A:NU,383,0),"")</f>
        <v/>
      </c>
      <c r="N105" t="str">
        <f>IFERROR(VLOOKUP(B105,'Yearly Leave Tracker'!A:NU,384,0),"")</f>
        <v/>
      </c>
      <c r="O105" t="str">
        <f>IFERROR(VLOOKUP(B105,'Yearly Leave Tracker'!A:NU,385,0),"")</f>
        <v/>
      </c>
    </row>
    <row r="106" spans="2:15" x14ac:dyDescent="0.25">
      <c r="B106" t="str">
        <f>IFERROR(IF('Yearly Leave Tracker'!A110="","",'Yearly Leave Tracker'!A110),"")</f>
        <v/>
      </c>
      <c r="C106" t="str">
        <f>IFERROR(VLOOKUP(B106,Database!E:F,2,0),"")</f>
        <v/>
      </c>
      <c r="D106" t="str">
        <f>IFERROR(VLOOKUP(B106,'Yearly Leave Tracker'!A:NU,374,0),"")</f>
        <v/>
      </c>
      <c r="E106" t="str">
        <f>IFERROR(VLOOKUP(B106,'Yearly Leave Tracker'!A:NU,375,0),"")</f>
        <v/>
      </c>
      <c r="F106" t="str">
        <f>IFERROR(VLOOKUP(B106,'Yearly Leave Tracker'!A:NU,376,0),"")</f>
        <v/>
      </c>
      <c r="G106" t="str">
        <f>IFERROR(VLOOKUP(B106,'Yearly Leave Tracker'!A:NU,377,0),"")</f>
        <v/>
      </c>
      <c r="H106" t="str">
        <f>IFERROR(VLOOKUP(B106,'Yearly Leave Tracker'!A:NU,378,0),"")</f>
        <v/>
      </c>
      <c r="I106" t="str">
        <f>IFERROR(VLOOKUP(B106,'Yearly Leave Tracker'!A:NU,379,0),"")</f>
        <v/>
      </c>
      <c r="J106" t="str">
        <f>IFERROR(VLOOKUP(B106,'Yearly Leave Tracker'!A:NU,380,0),"")</f>
        <v/>
      </c>
      <c r="K106" t="str">
        <f>IFERROR(VLOOKUP(B106,'Yearly Leave Tracker'!A:NU,381,0),"")</f>
        <v/>
      </c>
      <c r="L106" t="str">
        <f>IFERROR(VLOOKUP(B106,'Yearly Leave Tracker'!A:NU,382,0),"")</f>
        <v/>
      </c>
      <c r="M106" t="str">
        <f>IFERROR(VLOOKUP(B106,'Yearly Leave Tracker'!A:NU,383,0),"")</f>
        <v/>
      </c>
      <c r="N106" t="str">
        <f>IFERROR(VLOOKUP(B106,'Yearly Leave Tracker'!A:NU,384,0),"")</f>
        <v/>
      </c>
      <c r="O106" t="str">
        <f>IFERROR(VLOOKUP(B106,'Yearly Leave Tracker'!A:NU,385,0),"")</f>
        <v/>
      </c>
    </row>
    <row r="107" spans="2:15" x14ac:dyDescent="0.25">
      <c r="B107" t="str">
        <f>IFERROR(IF('Yearly Leave Tracker'!A111="","",'Yearly Leave Tracker'!A111),"")</f>
        <v/>
      </c>
      <c r="C107" t="str">
        <f>IFERROR(VLOOKUP(B107,Database!E:F,2,0),"")</f>
        <v/>
      </c>
      <c r="D107" t="str">
        <f>IFERROR(VLOOKUP(B107,'Yearly Leave Tracker'!A:NU,374,0),"")</f>
        <v/>
      </c>
      <c r="E107" t="str">
        <f>IFERROR(VLOOKUP(B107,'Yearly Leave Tracker'!A:NU,375,0),"")</f>
        <v/>
      </c>
      <c r="F107" t="str">
        <f>IFERROR(VLOOKUP(B107,'Yearly Leave Tracker'!A:NU,376,0),"")</f>
        <v/>
      </c>
      <c r="G107" t="str">
        <f>IFERROR(VLOOKUP(B107,'Yearly Leave Tracker'!A:NU,377,0),"")</f>
        <v/>
      </c>
      <c r="H107" t="str">
        <f>IFERROR(VLOOKUP(B107,'Yearly Leave Tracker'!A:NU,378,0),"")</f>
        <v/>
      </c>
      <c r="I107" t="str">
        <f>IFERROR(VLOOKUP(B107,'Yearly Leave Tracker'!A:NU,379,0),"")</f>
        <v/>
      </c>
      <c r="J107" t="str">
        <f>IFERROR(VLOOKUP(B107,'Yearly Leave Tracker'!A:NU,380,0),"")</f>
        <v/>
      </c>
      <c r="K107" t="str">
        <f>IFERROR(VLOOKUP(B107,'Yearly Leave Tracker'!A:NU,381,0),"")</f>
        <v/>
      </c>
      <c r="L107" t="str">
        <f>IFERROR(VLOOKUP(B107,'Yearly Leave Tracker'!A:NU,382,0),"")</f>
        <v/>
      </c>
      <c r="M107" t="str">
        <f>IFERROR(VLOOKUP(B107,'Yearly Leave Tracker'!A:NU,383,0),"")</f>
        <v/>
      </c>
      <c r="N107" t="str">
        <f>IFERROR(VLOOKUP(B107,'Yearly Leave Tracker'!A:NU,384,0),"")</f>
        <v/>
      </c>
      <c r="O107" t="str">
        <f>IFERROR(VLOOKUP(B107,'Yearly Leave Tracker'!A:NU,385,0),"")</f>
        <v/>
      </c>
    </row>
    <row r="108" spans="2:15" x14ac:dyDescent="0.25">
      <c r="B108" t="str">
        <f>IFERROR(IF('Yearly Leave Tracker'!A112="","",'Yearly Leave Tracker'!A112),"")</f>
        <v/>
      </c>
      <c r="C108" t="str">
        <f>IFERROR(VLOOKUP(B108,Database!E:F,2,0),"")</f>
        <v/>
      </c>
      <c r="D108" t="str">
        <f>IFERROR(VLOOKUP(B108,'Yearly Leave Tracker'!A:NU,374,0),"")</f>
        <v/>
      </c>
      <c r="E108" t="str">
        <f>IFERROR(VLOOKUP(B108,'Yearly Leave Tracker'!A:NU,375,0),"")</f>
        <v/>
      </c>
      <c r="F108" t="str">
        <f>IFERROR(VLOOKUP(B108,'Yearly Leave Tracker'!A:NU,376,0),"")</f>
        <v/>
      </c>
      <c r="G108" t="str">
        <f>IFERROR(VLOOKUP(B108,'Yearly Leave Tracker'!A:NU,377,0),"")</f>
        <v/>
      </c>
      <c r="H108" t="str">
        <f>IFERROR(VLOOKUP(B108,'Yearly Leave Tracker'!A:NU,378,0),"")</f>
        <v/>
      </c>
      <c r="I108" t="str">
        <f>IFERROR(VLOOKUP(B108,'Yearly Leave Tracker'!A:NU,379,0),"")</f>
        <v/>
      </c>
      <c r="J108" t="str">
        <f>IFERROR(VLOOKUP(B108,'Yearly Leave Tracker'!A:NU,380,0),"")</f>
        <v/>
      </c>
      <c r="K108" t="str">
        <f>IFERROR(VLOOKUP(B108,'Yearly Leave Tracker'!A:NU,381,0),"")</f>
        <v/>
      </c>
      <c r="L108" t="str">
        <f>IFERROR(VLOOKUP(B108,'Yearly Leave Tracker'!A:NU,382,0),"")</f>
        <v/>
      </c>
      <c r="M108" t="str">
        <f>IFERROR(VLOOKUP(B108,'Yearly Leave Tracker'!A:NU,383,0),"")</f>
        <v/>
      </c>
      <c r="N108" t="str">
        <f>IFERROR(VLOOKUP(B108,'Yearly Leave Tracker'!A:NU,384,0),"")</f>
        <v/>
      </c>
      <c r="O108" t="str">
        <f>IFERROR(VLOOKUP(B108,'Yearly Leave Tracker'!A:NU,385,0),"")</f>
        <v/>
      </c>
    </row>
    <row r="109" spans="2:15" x14ac:dyDescent="0.25">
      <c r="B109" t="str">
        <f>IFERROR(IF('Yearly Leave Tracker'!A113="","",'Yearly Leave Tracker'!A113),"")</f>
        <v/>
      </c>
      <c r="C109" t="str">
        <f>IFERROR(VLOOKUP(B109,Database!E:F,2,0),"")</f>
        <v/>
      </c>
      <c r="D109" t="str">
        <f>IFERROR(VLOOKUP(B109,'Yearly Leave Tracker'!A:NU,374,0),"")</f>
        <v/>
      </c>
      <c r="E109" t="str">
        <f>IFERROR(VLOOKUP(B109,'Yearly Leave Tracker'!A:NU,375,0),"")</f>
        <v/>
      </c>
      <c r="F109" t="str">
        <f>IFERROR(VLOOKUP(B109,'Yearly Leave Tracker'!A:NU,376,0),"")</f>
        <v/>
      </c>
      <c r="G109" t="str">
        <f>IFERROR(VLOOKUP(B109,'Yearly Leave Tracker'!A:NU,377,0),"")</f>
        <v/>
      </c>
      <c r="H109" t="str">
        <f>IFERROR(VLOOKUP(B109,'Yearly Leave Tracker'!A:NU,378,0),"")</f>
        <v/>
      </c>
      <c r="I109" t="str">
        <f>IFERROR(VLOOKUP(B109,'Yearly Leave Tracker'!A:NU,379,0),"")</f>
        <v/>
      </c>
      <c r="J109" t="str">
        <f>IFERROR(VLOOKUP(B109,'Yearly Leave Tracker'!A:NU,380,0),"")</f>
        <v/>
      </c>
      <c r="K109" t="str">
        <f>IFERROR(VLOOKUP(B109,'Yearly Leave Tracker'!A:NU,381,0),"")</f>
        <v/>
      </c>
      <c r="L109" t="str">
        <f>IFERROR(VLOOKUP(B109,'Yearly Leave Tracker'!A:NU,382,0),"")</f>
        <v/>
      </c>
      <c r="M109" t="str">
        <f>IFERROR(VLOOKUP(B109,'Yearly Leave Tracker'!A:NU,383,0),"")</f>
        <v/>
      </c>
      <c r="N109" t="str">
        <f>IFERROR(VLOOKUP(B109,'Yearly Leave Tracker'!A:NU,384,0),"")</f>
        <v/>
      </c>
      <c r="O109" t="str">
        <f>IFERROR(VLOOKUP(B109,'Yearly Leave Tracker'!A:NU,385,0),"")</f>
        <v/>
      </c>
    </row>
    <row r="110" spans="2:15" x14ac:dyDescent="0.25">
      <c r="B110" t="str">
        <f>IFERROR(IF('Yearly Leave Tracker'!A114="","",'Yearly Leave Tracker'!A114),"")</f>
        <v/>
      </c>
      <c r="C110" t="str">
        <f>IFERROR(VLOOKUP(B110,Database!E:F,2,0),"")</f>
        <v/>
      </c>
      <c r="D110" t="str">
        <f>IFERROR(VLOOKUP(B110,'Yearly Leave Tracker'!A:NU,374,0),"")</f>
        <v/>
      </c>
      <c r="E110" t="str">
        <f>IFERROR(VLOOKUP(B110,'Yearly Leave Tracker'!A:NU,375,0),"")</f>
        <v/>
      </c>
      <c r="F110" t="str">
        <f>IFERROR(VLOOKUP(B110,'Yearly Leave Tracker'!A:NU,376,0),"")</f>
        <v/>
      </c>
      <c r="G110" t="str">
        <f>IFERROR(VLOOKUP(B110,'Yearly Leave Tracker'!A:NU,377,0),"")</f>
        <v/>
      </c>
      <c r="H110" t="str">
        <f>IFERROR(VLOOKUP(B110,'Yearly Leave Tracker'!A:NU,378,0),"")</f>
        <v/>
      </c>
      <c r="I110" t="str">
        <f>IFERROR(VLOOKUP(B110,'Yearly Leave Tracker'!A:NU,379,0),"")</f>
        <v/>
      </c>
      <c r="J110" t="str">
        <f>IFERROR(VLOOKUP(B110,'Yearly Leave Tracker'!A:NU,380,0),"")</f>
        <v/>
      </c>
      <c r="K110" t="str">
        <f>IFERROR(VLOOKUP(B110,'Yearly Leave Tracker'!A:NU,381,0),"")</f>
        <v/>
      </c>
      <c r="L110" t="str">
        <f>IFERROR(VLOOKUP(B110,'Yearly Leave Tracker'!A:NU,382,0),"")</f>
        <v/>
      </c>
      <c r="M110" t="str">
        <f>IFERROR(VLOOKUP(B110,'Yearly Leave Tracker'!A:NU,383,0),"")</f>
        <v/>
      </c>
      <c r="N110" t="str">
        <f>IFERROR(VLOOKUP(B110,'Yearly Leave Tracker'!A:NU,384,0),"")</f>
        <v/>
      </c>
      <c r="O110" t="str">
        <f>IFERROR(VLOOKUP(B110,'Yearly Leave Tracker'!A:NU,385,0),"")</f>
        <v/>
      </c>
    </row>
    <row r="111" spans="2:15" x14ac:dyDescent="0.25">
      <c r="B111" t="str">
        <f>IFERROR(IF('Yearly Leave Tracker'!A115="","",'Yearly Leave Tracker'!A115),"")</f>
        <v/>
      </c>
      <c r="C111" t="str">
        <f>IFERROR(VLOOKUP(B111,Database!E:F,2,0),"")</f>
        <v/>
      </c>
      <c r="D111" t="str">
        <f>IFERROR(VLOOKUP(B111,'Yearly Leave Tracker'!A:NU,374,0),"")</f>
        <v/>
      </c>
      <c r="E111" t="str">
        <f>IFERROR(VLOOKUP(B111,'Yearly Leave Tracker'!A:NU,375,0),"")</f>
        <v/>
      </c>
      <c r="F111" t="str">
        <f>IFERROR(VLOOKUP(B111,'Yearly Leave Tracker'!A:NU,376,0),"")</f>
        <v/>
      </c>
      <c r="G111" t="str">
        <f>IFERROR(VLOOKUP(B111,'Yearly Leave Tracker'!A:NU,377,0),"")</f>
        <v/>
      </c>
      <c r="H111" t="str">
        <f>IFERROR(VLOOKUP(B111,'Yearly Leave Tracker'!A:NU,378,0),"")</f>
        <v/>
      </c>
      <c r="I111" t="str">
        <f>IFERROR(VLOOKUP(B111,'Yearly Leave Tracker'!A:NU,379,0),"")</f>
        <v/>
      </c>
      <c r="J111" t="str">
        <f>IFERROR(VLOOKUP(B111,'Yearly Leave Tracker'!A:NU,380,0),"")</f>
        <v/>
      </c>
      <c r="K111" t="str">
        <f>IFERROR(VLOOKUP(B111,'Yearly Leave Tracker'!A:NU,381,0),"")</f>
        <v/>
      </c>
      <c r="L111" t="str">
        <f>IFERROR(VLOOKUP(B111,'Yearly Leave Tracker'!A:NU,382,0),"")</f>
        <v/>
      </c>
      <c r="M111" t="str">
        <f>IFERROR(VLOOKUP(B111,'Yearly Leave Tracker'!A:NU,383,0),"")</f>
        <v/>
      </c>
      <c r="N111" t="str">
        <f>IFERROR(VLOOKUP(B111,'Yearly Leave Tracker'!A:NU,384,0),"")</f>
        <v/>
      </c>
      <c r="O111" t="str">
        <f>IFERROR(VLOOKUP(B111,'Yearly Leave Tracker'!A:NU,385,0),"")</f>
        <v/>
      </c>
    </row>
    <row r="112" spans="2:15" x14ac:dyDescent="0.25">
      <c r="B112" t="str">
        <f>IFERROR(IF('Yearly Leave Tracker'!A116="","",'Yearly Leave Tracker'!A116),"")</f>
        <v/>
      </c>
      <c r="C112" t="str">
        <f>IFERROR(VLOOKUP(B112,Database!E:F,2,0),"")</f>
        <v/>
      </c>
      <c r="D112" t="str">
        <f>IFERROR(VLOOKUP(B112,'Yearly Leave Tracker'!A:NU,374,0),"")</f>
        <v/>
      </c>
      <c r="E112" t="str">
        <f>IFERROR(VLOOKUP(B112,'Yearly Leave Tracker'!A:NU,375,0),"")</f>
        <v/>
      </c>
      <c r="F112" t="str">
        <f>IFERROR(VLOOKUP(B112,'Yearly Leave Tracker'!A:NU,376,0),"")</f>
        <v/>
      </c>
      <c r="G112" t="str">
        <f>IFERROR(VLOOKUP(B112,'Yearly Leave Tracker'!A:NU,377,0),"")</f>
        <v/>
      </c>
      <c r="H112" t="str">
        <f>IFERROR(VLOOKUP(B112,'Yearly Leave Tracker'!A:NU,378,0),"")</f>
        <v/>
      </c>
      <c r="I112" t="str">
        <f>IFERROR(VLOOKUP(B112,'Yearly Leave Tracker'!A:NU,379,0),"")</f>
        <v/>
      </c>
      <c r="J112" t="str">
        <f>IFERROR(VLOOKUP(B112,'Yearly Leave Tracker'!A:NU,380,0),"")</f>
        <v/>
      </c>
      <c r="K112" t="str">
        <f>IFERROR(VLOOKUP(B112,'Yearly Leave Tracker'!A:NU,381,0),"")</f>
        <v/>
      </c>
      <c r="L112" t="str">
        <f>IFERROR(VLOOKUP(B112,'Yearly Leave Tracker'!A:NU,382,0),"")</f>
        <v/>
      </c>
      <c r="M112" t="str">
        <f>IFERROR(VLOOKUP(B112,'Yearly Leave Tracker'!A:NU,383,0),"")</f>
        <v/>
      </c>
      <c r="N112" t="str">
        <f>IFERROR(VLOOKUP(B112,'Yearly Leave Tracker'!A:NU,384,0),"")</f>
        <v/>
      </c>
      <c r="O112" t="str">
        <f>IFERROR(VLOOKUP(B112,'Yearly Leave Tracker'!A:NU,385,0),"")</f>
        <v/>
      </c>
    </row>
    <row r="113" spans="2:15" x14ac:dyDescent="0.25">
      <c r="B113" t="str">
        <f>IFERROR(IF('Yearly Leave Tracker'!A117="","",'Yearly Leave Tracker'!A117),"")</f>
        <v/>
      </c>
      <c r="C113" t="str">
        <f>IFERROR(VLOOKUP(B113,Database!E:F,2,0),"")</f>
        <v/>
      </c>
      <c r="D113" t="str">
        <f>IFERROR(VLOOKUP(B113,'Yearly Leave Tracker'!A:NU,374,0),"")</f>
        <v/>
      </c>
      <c r="E113" t="str">
        <f>IFERROR(VLOOKUP(B113,'Yearly Leave Tracker'!A:NU,375,0),"")</f>
        <v/>
      </c>
      <c r="F113" t="str">
        <f>IFERROR(VLOOKUP(B113,'Yearly Leave Tracker'!A:NU,376,0),"")</f>
        <v/>
      </c>
      <c r="G113" t="str">
        <f>IFERROR(VLOOKUP(B113,'Yearly Leave Tracker'!A:NU,377,0),"")</f>
        <v/>
      </c>
      <c r="H113" t="str">
        <f>IFERROR(VLOOKUP(B113,'Yearly Leave Tracker'!A:NU,378,0),"")</f>
        <v/>
      </c>
      <c r="I113" t="str">
        <f>IFERROR(VLOOKUP(B113,'Yearly Leave Tracker'!A:NU,379,0),"")</f>
        <v/>
      </c>
      <c r="J113" t="str">
        <f>IFERROR(VLOOKUP(B113,'Yearly Leave Tracker'!A:NU,380,0),"")</f>
        <v/>
      </c>
      <c r="K113" t="str">
        <f>IFERROR(VLOOKUP(B113,'Yearly Leave Tracker'!A:NU,381,0),"")</f>
        <v/>
      </c>
      <c r="L113" t="str">
        <f>IFERROR(VLOOKUP(B113,'Yearly Leave Tracker'!A:NU,382,0),"")</f>
        <v/>
      </c>
      <c r="M113" t="str">
        <f>IFERROR(VLOOKUP(B113,'Yearly Leave Tracker'!A:NU,383,0),"")</f>
        <v/>
      </c>
      <c r="N113" t="str">
        <f>IFERROR(VLOOKUP(B113,'Yearly Leave Tracker'!A:NU,384,0),"")</f>
        <v/>
      </c>
      <c r="O113" t="str">
        <f>IFERROR(VLOOKUP(B113,'Yearly Leave Tracker'!A:NU,385,0),"")</f>
        <v/>
      </c>
    </row>
    <row r="114" spans="2:15" x14ac:dyDescent="0.25">
      <c r="B114" t="str">
        <f>IFERROR(IF('Yearly Leave Tracker'!A118="","",'Yearly Leave Tracker'!A118),"")</f>
        <v/>
      </c>
      <c r="C114" t="str">
        <f>IFERROR(VLOOKUP(B114,Database!E:F,2,0),"")</f>
        <v/>
      </c>
      <c r="D114" t="str">
        <f>IFERROR(VLOOKUP(B114,'Yearly Leave Tracker'!A:NU,374,0),"")</f>
        <v/>
      </c>
      <c r="E114" t="str">
        <f>IFERROR(VLOOKUP(B114,'Yearly Leave Tracker'!A:NU,375,0),"")</f>
        <v/>
      </c>
      <c r="F114" t="str">
        <f>IFERROR(VLOOKUP(B114,'Yearly Leave Tracker'!A:NU,376,0),"")</f>
        <v/>
      </c>
      <c r="G114" t="str">
        <f>IFERROR(VLOOKUP(B114,'Yearly Leave Tracker'!A:NU,377,0),"")</f>
        <v/>
      </c>
      <c r="H114" t="str">
        <f>IFERROR(VLOOKUP(B114,'Yearly Leave Tracker'!A:NU,378,0),"")</f>
        <v/>
      </c>
      <c r="I114" t="str">
        <f>IFERROR(VLOOKUP(B114,'Yearly Leave Tracker'!A:NU,379,0),"")</f>
        <v/>
      </c>
      <c r="J114" t="str">
        <f>IFERROR(VLOOKUP(B114,'Yearly Leave Tracker'!A:NU,380,0),"")</f>
        <v/>
      </c>
      <c r="K114" t="str">
        <f>IFERROR(VLOOKUP(B114,'Yearly Leave Tracker'!A:NU,381,0),"")</f>
        <v/>
      </c>
      <c r="L114" t="str">
        <f>IFERROR(VLOOKUP(B114,'Yearly Leave Tracker'!A:NU,382,0),"")</f>
        <v/>
      </c>
      <c r="M114" t="str">
        <f>IFERROR(VLOOKUP(B114,'Yearly Leave Tracker'!A:NU,383,0),"")</f>
        <v/>
      </c>
      <c r="N114" t="str">
        <f>IFERROR(VLOOKUP(B114,'Yearly Leave Tracker'!A:NU,384,0),"")</f>
        <v/>
      </c>
      <c r="O114" t="str">
        <f>IFERROR(VLOOKUP(B114,'Yearly Leave Tracker'!A:NU,385,0),"")</f>
        <v/>
      </c>
    </row>
    <row r="115" spans="2:15" x14ac:dyDescent="0.25">
      <c r="B115" t="str">
        <f>IFERROR(IF('Yearly Leave Tracker'!A119="","",'Yearly Leave Tracker'!A119),"")</f>
        <v/>
      </c>
      <c r="C115" t="str">
        <f>IFERROR(VLOOKUP(B115,Database!E:F,2,0),"")</f>
        <v/>
      </c>
      <c r="D115" t="str">
        <f>IFERROR(VLOOKUP(B115,'Yearly Leave Tracker'!A:NU,374,0),"")</f>
        <v/>
      </c>
      <c r="E115" t="str">
        <f>IFERROR(VLOOKUP(B115,'Yearly Leave Tracker'!A:NU,375,0),"")</f>
        <v/>
      </c>
      <c r="F115" t="str">
        <f>IFERROR(VLOOKUP(B115,'Yearly Leave Tracker'!A:NU,376,0),"")</f>
        <v/>
      </c>
      <c r="G115" t="str">
        <f>IFERROR(VLOOKUP(B115,'Yearly Leave Tracker'!A:NU,377,0),"")</f>
        <v/>
      </c>
      <c r="H115" t="str">
        <f>IFERROR(VLOOKUP(B115,'Yearly Leave Tracker'!A:NU,378,0),"")</f>
        <v/>
      </c>
      <c r="I115" t="str">
        <f>IFERROR(VLOOKUP(B115,'Yearly Leave Tracker'!A:NU,379,0),"")</f>
        <v/>
      </c>
      <c r="J115" t="str">
        <f>IFERROR(VLOOKUP(B115,'Yearly Leave Tracker'!A:NU,380,0),"")</f>
        <v/>
      </c>
      <c r="K115" t="str">
        <f>IFERROR(VLOOKUP(B115,'Yearly Leave Tracker'!A:NU,381,0),"")</f>
        <v/>
      </c>
      <c r="L115" t="str">
        <f>IFERROR(VLOOKUP(B115,'Yearly Leave Tracker'!A:NU,382,0),"")</f>
        <v/>
      </c>
      <c r="M115" t="str">
        <f>IFERROR(VLOOKUP(B115,'Yearly Leave Tracker'!A:NU,383,0),"")</f>
        <v/>
      </c>
      <c r="N115" t="str">
        <f>IFERROR(VLOOKUP(B115,'Yearly Leave Tracker'!A:NU,384,0),"")</f>
        <v/>
      </c>
      <c r="O115" t="str">
        <f>IFERROR(VLOOKUP(B115,'Yearly Leave Tracker'!A:NU,385,0),"")</f>
        <v/>
      </c>
    </row>
    <row r="116" spans="2:15" x14ac:dyDescent="0.25">
      <c r="B116" t="str">
        <f>IFERROR(IF('Yearly Leave Tracker'!A120="","",'Yearly Leave Tracker'!A120),"")</f>
        <v/>
      </c>
      <c r="C116" t="str">
        <f>IFERROR(VLOOKUP(B116,Database!E:F,2,0),"")</f>
        <v/>
      </c>
      <c r="D116" t="str">
        <f>IFERROR(VLOOKUP(B116,'Yearly Leave Tracker'!A:NU,374,0),"")</f>
        <v/>
      </c>
      <c r="E116" t="str">
        <f>IFERROR(VLOOKUP(B116,'Yearly Leave Tracker'!A:NU,375,0),"")</f>
        <v/>
      </c>
      <c r="F116" t="str">
        <f>IFERROR(VLOOKUP(B116,'Yearly Leave Tracker'!A:NU,376,0),"")</f>
        <v/>
      </c>
      <c r="G116" t="str">
        <f>IFERROR(VLOOKUP(B116,'Yearly Leave Tracker'!A:NU,377,0),"")</f>
        <v/>
      </c>
      <c r="H116" t="str">
        <f>IFERROR(VLOOKUP(B116,'Yearly Leave Tracker'!A:NU,378,0),"")</f>
        <v/>
      </c>
      <c r="I116" t="str">
        <f>IFERROR(VLOOKUP(B116,'Yearly Leave Tracker'!A:NU,379,0),"")</f>
        <v/>
      </c>
      <c r="J116" t="str">
        <f>IFERROR(VLOOKUP(B116,'Yearly Leave Tracker'!A:NU,380,0),"")</f>
        <v/>
      </c>
      <c r="K116" t="str">
        <f>IFERROR(VLOOKUP(B116,'Yearly Leave Tracker'!A:NU,381,0),"")</f>
        <v/>
      </c>
      <c r="L116" t="str">
        <f>IFERROR(VLOOKUP(B116,'Yearly Leave Tracker'!A:NU,382,0),"")</f>
        <v/>
      </c>
      <c r="M116" t="str">
        <f>IFERROR(VLOOKUP(B116,'Yearly Leave Tracker'!A:NU,383,0),"")</f>
        <v/>
      </c>
      <c r="N116" t="str">
        <f>IFERROR(VLOOKUP(B116,'Yearly Leave Tracker'!A:NU,384,0),"")</f>
        <v/>
      </c>
      <c r="O116" t="str">
        <f>IFERROR(VLOOKUP(B116,'Yearly Leave Tracker'!A:NU,385,0),"")</f>
        <v/>
      </c>
    </row>
    <row r="117" spans="2:15" x14ac:dyDescent="0.25">
      <c r="B117" t="str">
        <f>IFERROR(IF('Yearly Leave Tracker'!A121="","",'Yearly Leave Tracker'!A121),"")</f>
        <v/>
      </c>
      <c r="C117" t="str">
        <f>IFERROR(VLOOKUP(B117,Database!E:F,2,0),"")</f>
        <v/>
      </c>
      <c r="D117" t="str">
        <f>IFERROR(VLOOKUP(B117,'Yearly Leave Tracker'!A:NU,374,0),"")</f>
        <v/>
      </c>
      <c r="E117" t="str">
        <f>IFERROR(VLOOKUP(B117,'Yearly Leave Tracker'!A:NU,375,0),"")</f>
        <v/>
      </c>
      <c r="F117" t="str">
        <f>IFERROR(VLOOKUP(B117,'Yearly Leave Tracker'!A:NU,376,0),"")</f>
        <v/>
      </c>
      <c r="G117" t="str">
        <f>IFERROR(VLOOKUP(B117,'Yearly Leave Tracker'!A:NU,377,0),"")</f>
        <v/>
      </c>
      <c r="H117" t="str">
        <f>IFERROR(VLOOKUP(B117,'Yearly Leave Tracker'!A:NU,378,0),"")</f>
        <v/>
      </c>
      <c r="I117" t="str">
        <f>IFERROR(VLOOKUP(B117,'Yearly Leave Tracker'!A:NU,379,0),"")</f>
        <v/>
      </c>
      <c r="J117" t="str">
        <f>IFERROR(VLOOKUP(B117,'Yearly Leave Tracker'!A:NU,380,0),"")</f>
        <v/>
      </c>
      <c r="K117" t="str">
        <f>IFERROR(VLOOKUP(B117,'Yearly Leave Tracker'!A:NU,381,0),"")</f>
        <v/>
      </c>
      <c r="L117" t="str">
        <f>IFERROR(VLOOKUP(B117,'Yearly Leave Tracker'!A:NU,382,0),"")</f>
        <v/>
      </c>
      <c r="M117" t="str">
        <f>IFERROR(VLOOKUP(B117,'Yearly Leave Tracker'!A:NU,383,0),"")</f>
        <v/>
      </c>
      <c r="N117" t="str">
        <f>IFERROR(VLOOKUP(B117,'Yearly Leave Tracker'!A:NU,384,0),"")</f>
        <v/>
      </c>
      <c r="O117" t="str">
        <f>IFERROR(VLOOKUP(B117,'Yearly Leave Tracker'!A:NU,385,0),"")</f>
        <v/>
      </c>
    </row>
    <row r="118" spans="2:15" x14ac:dyDescent="0.25">
      <c r="B118" t="str">
        <f>IFERROR(IF('Yearly Leave Tracker'!A122="","",'Yearly Leave Tracker'!A122),"")</f>
        <v/>
      </c>
      <c r="C118" t="str">
        <f>IFERROR(VLOOKUP(B118,Database!E:F,2,0),"")</f>
        <v/>
      </c>
      <c r="D118" t="str">
        <f>IFERROR(VLOOKUP(B118,'Yearly Leave Tracker'!A:NU,374,0),"")</f>
        <v/>
      </c>
      <c r="E118" t="str">
        <f>IFERROR(VLOOKUP(B118,'Yearly Leave Tracker'!A:NU,375,0),"")</f>
        <v/>
      </c>
      <c r="F118" t="str">
        <f>IFERROR(VLOOKUP(B118,'Yearly Leave Tracker'!A:NU,376,0),"")</f>
        <v/>
      </c>
      <c r="G118" t="str">
        <f>IFERROR(VLOOKUP(B118,'Yearly Leave Tracker'!A:NU,377,0),"")</f>
        <v/>
      </c>
      <c r="H118" t="str">
        <f>IFERROR(VLOOKUP(B118,'Yearly Leave Tracker'!A:NU,378,0),"")</f>
        <v/>
      </c>
      <c r="I118" t="str">
        <f>IFERROR(VLOOKUP(B118,'Yearly Leave Tracker'!A:NU,379,0),"")</f>
        <v/>
      </c>
      <c r="J118" t="str">
        <f>IFERROR(VLOOKUP(B118,'Yearly Leave Tracker'!A:NU,380,0),"")</f>
        <v/>
      </c>
      <c r="K118" t="str">
        <f>IFERROR(VLOOKUP(B118,'Yearly Leave Tracker'!A:NU,381,0),"")</f>
        <v/>
      </c>
      <c r="L118" t="str">
        <f>IFERROR(VLOOKUP(B118,'Yearly Leave Tracker'!A:NU,382,0),"")</f>
        <v/>
      </c>
      <c r="M118" t="str">
        <f>IFERROR(VLOOKUP(B118,'Yearly Leave Tracker'!A:NU,383,0),"")</f>
        <v/>
      </c>
      <c r="N118" t="str">
        <f>IFERROR(VLOOKUP(B118,'Yearly Leave Tracker'!A:NU,384,0),"")</f>
        <v/>
      </c>
      <c r="O118" t="str">
        <f>IFERROR(VLOOKUP(B118,'Yearly Leave Tracker'!A:NU,385,0),"")</f>
        <v/>
      </c>
    </row>
    <row r="119" spans="2:15" x14ac:dyDescent="0.25">
      <c r="B119" t="str">
        <f>IFERROR(IF('Yearly Leave Tracker'!A123="","",'Yearly Leave Tracker'!A123),"")</f>
        <v/>
      </c>
      <c r="C119" t="str">
        <f>IFERROR(VLOOKUP(B119,Database!E:F,2,0),"")</f>
        <v/>
      </c>
      <c r="D119" t="str">
        <f>IFERROR(VLOOKUP(B119,'Yearly Leave Tracker'!A:NU,374,0),"")</f>
        <v/>
      </c>
      <c r="E119" t="str">
        <f>IFERROR(VLOOKUP(B119,'Yearly Leave Tracker'!A:NU,375,0),"")</f>
        <v/>
      </c>
      <c r="F119" t="str">
        <f>IFERROR(VLOOKUP(B119,'Yearly Leave Tracker'!A:NU,376,0),"")</f>
        <v/>
      </c>
      <c r="G119" t="str">
        <f>IFERROR(VLOOKUP(B119,'Yearly Leave Tracker'!A:NU,377,0),"")</f>
        <v/>
      </c>
      <c r="H119" t="str">
        <f>IFERROR(VLOOKUP(B119,'Yearly Leave Tracker'!A:NU,378,0),"")</f>
        <v/>
      </c>
      <c r="I119" t="str">
        <f>IFERROR(VLOOKUP(B119,'Yearly Leave Tracker'!A:NU,379,0),"")</f>
        <v/>
      </c>
      <c r="J119" t="str">
        <f>IFERROR(VLOOKUP(B119,'Yearly Leave Tracker'!A:NU,380,0),"")</f>
        <v/>
      </c>
      <c r="K119" t="str">
        <f>IFERROR(VLOOKUP(B119,'Yearly Leave Tracker'!A:NU,381,0),"")</f>
        <v/>
      </c>
      <c r="L119" t="str">
        <f>IFERROR(VLOOKUP(B119,'Yearly Leave Tracker'!A:NU,382,0),"")</f>
        <v/>
      </c>
      <c r="M119" t="str">
        <f>IFERROR(VLOOKUP(B119,'Yearly Leave Tracker'!A:NU,383,0),"")</f>
        <v/>
      </c>
      <c r="N119" t="str">
        <f>IFERROR(VLOOKUP(B119,'Yearly Leave Tracker'!A:NU,384,0),"")</f>
        <v/>
      </c>
      <c r="O119" t="str">
        <f>IFERROR(VLOOKUP(B119,'Yearly Leave Tracker'!A:NU,385,0),"")</f>
        <v/>
      </c>
    </row>
    <row r="120" spans="2:15" x14ac:dyDescent="0.25">
      <c r="B120" t="str">
        <f>IFERROR(IF('Yearly Leave Tracker'!A124="","",'Yearly Leave Tracker'!A124),"")</f>
        <v/>
      </c>
      <c r="C120" t="str">
        <f>IFERROR(VLOOKUP(B120,Database!E:F,2,0),"")</f>
        <v/>
      </c>
      <c r="D120" t="str">
        <f>IFERROR(VLOOKUP(B120,'Yearly Leave Tracker'!A:NU,374,0),"")</f>
        <v/>
      </c>
      <c r="E120" t="str">
        <f>IFERROR(VLOOKUP(B120,'Yearly Leave Tracker'!A:NU,375,0),"")</f>
        <v/>
      </c>
      <c r="F120" t="str">
        <f>IFERROR(VLOOKUP(B120,'Yearly Leave Tracker'!A:NU,376,0),"")</f>
        <v/>
      </c>
      <c r="G120" t="str">
        <f>IFERROR(VLOOKUP(B120,'Yearly Leave Tracker'!A:NU,377,0),"")</f>
        <v/>
      </c>
      <c r="H120" t="str">
        <f>IFERROR(VLOOKUP(B120,'Yearly Leave Tracker'!A:NU,378,0),"")</f>
        <v/>
      </c>
      <c r="I120" t="str">
        <f>IFERROR(VLOOKUP(B120,'Yearly Leave Tracker'!A:NU,379,0),"")</f>
        <v/>
      </c>
      <c r="J120" t="str">
        <f>IFERROR(VLOOKUP(B120,'Yearly Leave Tracker'!A:NU,380,0),"")</f>
        <v/>
      </c>
      <c r="K120" t="str">
        <f>IFERROR(VLOOKUP(B120,'Yearly Leave Tracker'!A:NU,381,0),"")</f>
        <v/>
      </c>
      <c r="L120" t="str">
        <f>IFERROR(VLOOKUP(B120,'Yearly Leave Tracker'!A:NU,382,0),"")</f>
        <v/>
      </c>
      <c r="M120" t="str">
        <f>IFERROR(VLOOKUP(B120,'Yearly Leave Tracker'!A:NU,383,0),"")</f>
        <v/>
      </c>
      <c r="N120" t="str">
        <f>IFERROR(VLOOKUP(B120,'Yearly Leave Tracker'!A:NU,384,0),"")</f>
        <v/>
      </c>
      <c r="O120" t="str">
        <f>IFERROR(VLOOKUP(B120,'Yearly Leave Tracker'!A:NU,385,0),"")</f>
        <v/>
      </c>
    </row>
    <row r="121" spans="2:15" x14ac:dyDescent="0.25">
      <c r="B121" t="str">
        <f>IFERROR(IF('Yearly Leave Tracker'!A125="","",'Yearly Leave Tracker'!A125),"")</f>
        <v/>
      </c>
      <c r="C121" t="str">
        <f>IFERROR(VLOOKUP(B121,Database!E:F,2,0),"")</f>
        <v/>
      </c>
      <c r="D121" t="str">
        <f>IFERROR(VLOOKUP(B121,'Yearly Leave Tracker'!A:NU,374,0),"")</f>
        <v/>
      </c>
      <c r="E121" t="str">
        <f>IFERROR(VLOOKUP(B121,'Yearly Leave Tracker'!A:NU,375,0),"")</f>
        <v/>
      </c>
      <c r="F121" t="str">
        <f>IFERROR(VLOOKUP(B121,'Yearly Leave Tracker'!A:NU,376,0),"")</f>
        <v/>
      </c>
      <c r="G121" t="str">
        <f>IFERROR(VLOOKUP(B121,'Yearly Leave Tracker'!A:NU,377,0),"")</f>
        <v/>
      </c>
      <c r="H121" t="str">
        <f>IFERROR(VLOOKUP(B121,'Yearly Leave Tracker'!A:NU,378,0),"")</f>
        <v/>
      </c>
      <c r="I121" t="str">
        <f>IFERROR(VLOOKUP(B121,'Yearly Leave Tracker'!A:NU,379,0),"")</f>
        <v/>
      </c>
      <c r="J121" t="str">
        <f>IFERROR(VLOOKUP(B121,'Yearly Leave Tracker'!A:NU,380,0),"")</f>
        <v/>
      </c>
      <c r="K121" t="str">
        <f>IFERROR(VLOOKUP(B121,'Yearly Leave Tracker'!A:NU,381,0),"")</f>
        <v/>
      </c>
      <c r="L121" t="str">
        <f>IFERROR(VLOOKUP(B121,'Yearly Leave Tracker'!A:NU,382,0),"")</f>
        <v/>
      </c>
      <c r="M121" t="str">
        <f>IFERROR(VLOOKUP(B121,'Yearly Leave Tracker'!A:NU,383,0),"")</f>
        <v/>
      </c>
      <c r="N121" t="str">
        <f>IFERROR(VLOOKUP(B121,'Yearly Leave Tracker'!A:NU,384,0),"")</f>
        <v/>
      </c>
      <c r="O121" t="str">
        <f>IFERROR(VLOOKUP(B121,'Yearly Leave Tracker'!A:NU,385,0),"")</f>
        <v/>
      </c>
    </row>
    <row r="122" spans="2:15" x14ac:dyDescent="0.25">
      <c r="B122" t="str">
        <f>IFERROR(IF('Yearly Leave Tracker'!A126="","",'Yearly Leave Tracker'!A126),"")</f>
        <v/>
      </c>
      <c r="C122" t="str">
        <f>IFERROR(VLOOKUP(B122,Database!E:F,2,0),"")</f>
        <v/>
      </c>
      <c r="D122" t="str">
        <f>IFERROR(VLOOKUP(B122,'Yearly Leave Tracker'!A:NU,374,0),"")</f>
        <v/>
      </c>
      <c r="E122" t="str">
        <f>IFERROR(VLOOKUP(B122,'Yearly Leave Tracker'!A:NU,375,0),"")</f>
        <v/>
      </c>
      <c r="F122" t="str">
        <f>IFERROR(VLOOKUP(B122,'Yearly Leave Tracker'!A:NU,376,0),"")</f>
        <v/>
      </c>
      <c r="G122" t="str">
        <f>IFERROR(VLOOKUP(B122,'Yearly Leave Tracker'!A:NU,377,0),"")</f>
        <v/>
      </c>
      <c r="H122" t="str">
        <f>IFERROR(VLOOKUP(B122,'Yearly Leave Tracker'!A:NU,378,0),"")</f>
        <v/>
      </c>
      <c r="I122" t="str">
        <f>IFERROR(VLOOKUP(B122,'Yearly Leave Tracker'!A:NU,379,0),"")</f>
        <v/>
      </c>
      <c r="J122" t="str">
        <f>IFERROR(VLOOKUP(B122,'Yearly Leave Tracker'!A:NU,380,0),"")</f>
        <v/>
      </c>
      <c r="K122" t="str">
        <f>IFERROR(VLOOKUP(B122,'Yearly Leave Tracker'!A:NU,381,0),"")</f>
        <v/>
      </c>
      <c r="L122" t="str">
        <f>IFERROR(VLOOKUP(B122,'Yearly Leave Tracker'!A:NU,382,0),"")</f>
        <v/>
      </c>
      <c r="M122" t="str">
        <f>IFERROR(VLOOKUP(B122,'Yearly Leave Tracker'!A:NU,383,0),"")</f>
        <v/>
      </c>
      <c r="N122" t="str">
        <f>IFERROR(VLOOKUP(B122,'Yearly Leave Tracker'!A:NU,384,0),"")</f>
        <v/>
      </c>
      <c r="O122" t="str">
        <f>IFERROR(VLOOKUP(B122,'Yearly Leave Tracker'!A:NU,385,0),"")</f>
        <v/>
      </c>
    </row>
    <row r="123" spans="2:15" x14ac:dyDescent="0.25">
      <c r="B123" t="str">
        <f>IFERROR(IF('Yearly Leave Tracker'!A127="","",'Yearly Leave Tracker'!A127),"")</f>
        <v/>
      </c>
      <c r="C123" t="str">
        <f>IFERROR(VLOOKUP(B123,Database!E:F,2,0),"")</f>
        <v/>
      </c>
      <c r="D123" t="str">
        <f>IFERROR(VLOOKUP(B123,'Yearly Leave Tracker'!A:NU,374,0),"")</f>
        <v/>
      </c>
      <c r="E123" t="str">
        <f>IFERROR(VLOOKUP(B123,'Yearly Leave Tracker'!A:NU,375,0),"")</f>
        <v/>
      </c>
      <c r="F123" t="str">
        <f>IFERROR(VLOOKUP(B123,'Yearly Leave Tracker'!A:NU,376,0),"")</f>
        <v/>
      </c>
      <c r="G123" t="str">
        <f>IFERROR(VLOOKUP(B123,'Yearly Leave Tracker'!A:NU,377,0),"")</f>
        <v/>
      </c>
      <c r="H123" t="str">
        <f>IFERROR(VLOOKUP(B123,'Yearly Leave Tracker'!A:NU,378,0),"")</f>
        <v/>
      </c>
      <c r="I123" t="str">
        <f>IFERROR(VLOOKUP(B123,'Yearly Leave Tracker'!A:NU,379,0),"")</f>
        <v/>
      </c>
      <c r="J123" t="str">
        <f>IFERROR(VLOOKUP(B123,'Yearly Leave Tracker'!A:NU,380,0),"")</f>
        <v/>
      </c>
      <c r="K123" t="str">
        <f>IFERROR(VLOOKUP(B123,'Yearly Leave Tracker'!A:NU,381,0),"")</f>
        <v/>
      </c>
      <c r="L123" t="str">
        <f>IFERROR(VLOOKUP(B123,'Yearly Leave Tracker'!A:NU,382,0),"")</f>
        <v/>
      </c>
      <c r="M123" t="str">
        <f>IFERROR(VLOOKUP(B123,'Yearly Leave Tracker'!A:NU,383,0),"")</f>
        <v/>
      </c>
      <c r="N123" t="str">
        <f>IFERROR(VLOOKUP(B123,'Yearly Leave Tracker'!A:NU,384,0),"")</f>
        <v/>
      </c>
      <c r="O123" t="str">
        <f>IFERROR(VLOOKUP(B123,'Yearly Leave Tracker'!A:NU,385,0),"")</f>
        <v/>
      </c>
    </row>
    <row r="124" spans="2:15" x14ac:dyDescent="0.25">
      <c r="B124" t="str">
        <f>IFERROR(IF('Yearly Leave Tracker'!A128="","",'Yearly Leave Tracker'!A128),"")</f>
        <v/>
      </c>
      <c r="C124" t="str">
        <f>IFERROR(VLOOKUP(B124,Database!E:F,2,0),"")</f>
        <v/>
      </c>
      <c r="D124" t="str">
        <f>IFERROR(VLOOKUP(B124,'Yearly Leave Tracker'!A:NU,374,0),"")</f>
        <v/>
      </c>
      <c r="E124" t="str">
        <f>IFERROR(VLOOKUP(B124,'Yearly Leave Tracker'!A:NU,375,0),"")</f>
        <v/>
      </c>
      <c r="F124" t="str">
        <f>IFERROR(VLOOKUP(B124,'Yearly Leave Tracker'!A:NU,376,0),"")</f>
        <v/>
      </c>
      <c r="G124" t="str">
        <f>IFERROR(VLOOKUP(B124,'Yearly Leave Tracker'!A:NU,377,0),"")</f>
        <v/>
      </c>
      <c r="H124" t="str">
        <f>IFERROR(VLOOKUP(B124,'Yearly Leave Tracker'!A:NU,378,0),"")</f>
        <v/>
      </c>
      <c r="I124" t="str">
        <f>IFERROR(VLOOKUP(B124,'Yearly Leave Tracker'!A:NU,379,0),"")</f>
        <v/>
      </c>
      <c r="J124" t="str">
        <f>IFERROR(VLOOKUP(B124,'Yearly Leave Tracker'!A:NU,380,0),"")</f>
        <v/>
      </c>
      <c r="K124" t="str">
        <f>IFERROR(VLOOKUP(B124,'Yearly Leave Tracker'!A:NU,381,0),"")</f>
        <v/>
      </c>
      <c r="L124" t="str">
        <f>IFERROR(VLOOKUP(B124,'Yearly Leave Tracker'!A:NU,382,0),"")</f>
        <v/>
      </c>
      <c r="M124" t="str">
        <f>IFERROR(VLOOKUP(B124,'Yearly Leave Tracker'!A:NU,383,0),"")</f>
        <v/>
      </c>
      <c r="N124" t="str">
        <f>IFERROR(VLOOKUP(B124,'Yearly Leave Tracker'!A:NU,384,0),"")</f>
        <v/>
      </c>
      <c r="O124" t="str">
        <f>IFERROR(VLOOKUP(B124,'Yearly Leave Tracker'!A:NU,385,0),"")</f>
        <v/>
      </c>
    </row>
    <row r="125" spans="2:15" x14ac:dyDescent="0.25">
      <c r="B125" t="str">
        <f>IFERROR(IF('Yearly Leave Tracker'!A129="","",'Yearly Leave Tracker'!A129),"")</f>
        <v/>
      </c>
      <c r="C125" t="str">
        <f>IFERROR(VLOOKUP(B125,Database!E:F,2,0),"")</f>
        <v/>
      </c>
      <c r="D125" t="str">
        <f>IFERROR(VLOOKUP(B125,'Yearly Leave Tracker'!A:NU,374,0),"")</f>
        <v/>
      </c>
      <c r="E125" t="str">
        <f>IFERROR(VLOOKUP(B125,'Yearly Leave Tracker'!A:NU,375,0),"")</f>
        <v/>
      </c>
      <c r="F125" t="str">
        <f>IFERROR(VLOOKUP(B125,'Yearly Leave Tracker'!A:NU,376,0),"")</f>
        <v/>
      </c>
      <c r="G125" t="str">
        <f>IFERROR(VLOOKUP(B125,'Yearly Leave Tracker'!A:NU,377,0),"")</f>
        <v/>
      </c>
      <c r="H125" t="str">
        <f>IFERROR(VLOOKUP(B125,'Yearly Leave Tracker'!A:NU,378,0),"")</f>
        <v/>
      </c>
      <c r="I125" t="str">
        <f>IFERROR(VLOOKUP(B125,'Yearly Leave Tracker'!A:NU,379,0),"")</f>
        <v/>
      </c>
      <c r="J125" t="str">
        <f>IFERROR(VLOOKUP(B125,'Yearly Leave Tracker'!A:NU,380,0),"")</f>
        <v/>
      </c>
      <c r="K125" t="str">
        <f>IFERROR(VLOOKUP(B125,'Yearly Leave Tracker'!A:NU,381,0),"")</f>
        <v/>
      </c>
      <c r="L125" t="str">
        <f>IFERROR(VLOOKUP(B125,'Yearly Leave Tracker'!A:NU,382,0),"")</f>
        <v/>
      </c>
      <c r="M125" t="str">
        <f>IFERROR(VLOOKUP(B125,'Yearly Leave Tracker'!A:NU,383,0),"")</f>
        <v/>
      </c>
      <c r="N125" t="str">
        <f>IFERROR(VLOOKUP(B125,'Yearly Leave Tracker'!A:NU,384,0),"")</f>
        <v/>
      </c>
      <c r="O125" t="str">
        <f>IFERROR(VLOOKUP(B125,'Yearly Leave Tracker'!A:NU,385,0),"")</f>
        <v/>
      </c>
    </row>
    <row r="126" spans="2:15" x14ac:dyDescent="0.25">
      <c r="B126" t="str">
        <f>IFERROR(IF('Yearly Leave Tracker'!A130="","",'Yearly Leave Tracker'!A130),"")</f>
        <v/>
      </c>
      <c r="C126" t="str">
        <f>IFERROR(VLOOKUP(B126,Database!E:F,2,0),"")</f>
        <v/>
      </c>
      <c r="D126" t="str">
        <f>IFERROR(VLOOKUP(B126,'Yearly Leave Tracker'!A:NU,374,0),"")</f>
        <v/>
      </c>
      <c r="E126" t="str">
        <f>IFERROR(VLOOKUP(B126,'Yearly Leave Tracker'!A:NU,375,0),"")</f>
        <v/>
      </c>
      <c r="F126" t="str">
        <f>IFERROR(VLOOKUP(B126,'Yearly Leave Tracker'!A:NU,376,0),"")</f>
        <v/>
      </c>
      <c r="G126" t="str">
        <f>IFERROR(VLOOKUP(B126,'Yearly Leave Tracker'!A:NU,377,0),"")</f>
        <v/>
      </c>
      <c r="H126" t="str">
        <f>IFERROR(VLOOKUP(B126,'Yearly Leave Tracker'!A:NU,378,0),"")</f>
        <v/>
      </c>
      <c r="I126" t="str">
        <f>IFERROR(VLOOKUP(B126,'Yearly Leave Tracker'!A:NU,379,0),"")</f>
        <v/>
      </c>
      <c r="J126" t="str">
        <f>IFERROR(VLOOKUP(B126,'Yearly Leave Tracker'!A:NU,380,0),"")</f>
        <v/>
      </c>
      <c r="K126" t="str">
        <f>IFERROR(VLOOKUP(B126,'Yearly Leave Tracker'!A:NU,381,0),"")</f>
        <v/>
      </c>
      <c r="L126" t="str">
        <f>IFERROR(VLOOKUP(B126,'Yearly Leave Tracker'!A:NU,382,0),"")</f>
        <v/>
      </c>
      <c r="M126" t="str">
        <f>IFERROR(VLOOKUP(B126,'Yearly Leave Tracker'!A:NU,383,0),"")</f>
        <v/>
      </c>
      <c r="N126" t="str">
        <f>IFERROR(VLOOKUP(B126,'Yearly Leave Tracker'!A:NU,384,0),"")</f>
        <v/>
      </c>
      <c r="O126" t="str">
        <f>IFERROR(VLOOKUP(B126,'Yearly Leave Tracker'!A:NU,385,0),"")</f>
        <v/>
      </c>
    </row>
    <row r="127" spans="2:15" x14ac:dyDescent="0.25">
      <c r="B127" t="str">
        <f>IFERROR(IF('Yearly Leave Tracker'!A131="","",'Yearly Leave Tracker'!A131),"")</f>
        <v/>
      </c>
      <c r="C127" t="str">
        <f>IFERROR(VLOOKUP(B127,Database!E:F,2,0),"")</f>
        <v/>
      </c>
      <c r="D127" t="str">
        <f>IFERROR(VLOOKUP(B127,'Yearly Leave Tracker'!A:NU,374,0),"")</f>
        <v/>
      </c>
      <c r="E127" t="str">
        <f>IFERROR(VLOOKUP(B127,'Yearly Leave Tracker'!A:NU,375,0),"")</f>
        <v/>
      </c>
      <c r="F127" t="str">
        <f>IFERROR(VLOOKUP(B127,'Yearly Leave Tracker'!A:NU,376,0),"")</f>
        <v/>
      </c>
      <c r="G127" t="str">
        <f>IFERROR(VLOOKUP(B127,'Yearly Leave Tracker'!A:NU,377,0),"")</f>
        <v/>
      </c>
      <c r="H127" t="str">
        <f>IFERROR(VLOOKUP(B127,'Yearly Leave Tracker'!A:NU,378,0),"")</f>
        <v/>
      </c>
      <c r="I127" t="str">
        <f>IFERROR(VLOOKUP(B127,'Yearly Leave Tracker'!A:NU,379,0),"")</f>
        <v/>
      </c>
      <c r="J127" t="str">
        <f>IFERROR(VLOOKUP(B127,'Yearly Leave Tracker'!A:NU,380,0),"")</f>
        <v/>
      </c>
      <c r="K127" t="str">
        <f>IFERROR(VLOOKUP(B127,'Yearly Leave Tracker'!A:NU,381,0),"")</f>
        <v/>
      </c>
      <c r="L127" t="str">
        <f>IFERROR(VLOOKUP(B127,'Yearly Leave Tracker'!A:NU,382,0),"")</f>
        <v/>
      </c>
      <c r="M127" t="str">
        <f>IFERROR(VLOOKUP(B127,'Yearly Leave Tracker'!A:NU,383,0),"")</f>
        <v/>
      </c>
      <c r="N127" t="str">
        <f>IFERROR(VLOOKUP(B127,'Yearly Leave Tracker'!A:NU,384,0),"")</f>
        <v/>
      </c>
      <c r="O127" t="str">
        <f>IFERROR(VLOOKUP(B127,'Yearly Leave Tracker'!A:NU,385,0),"")</f>
        <v/>
      </c>
    </row>
    <row r="128" spans="2:15" x14ac:dyDescent="0.25">
      <c r="B128" t="str">
        <f>IFERROR(IF('Yearly Leave Tracker'!A132="","",'Yearly Leave Tracker'!A132),"")</f>
        <v/>
      </c>
      <c r="C128" t="str">
        <f>IFERROR(VLOOKUP(B128,Database!E:F,2,0),"")</f>
        <v/>
      </c>
      <c r="D128" t="str">
        <f>IFERROR(VLOOKUP(B128,'Yearly Leave Tracker'!A:NU,374,0),"")</f>
        <v/>
      </c>
      <c r="E128" t="str">
        <f>IFERROR(VLOOKUP(B128,'Yearly Leave Tracker'!A:NU,375,0),"")</f>
        <v/>
      </c>
      <c r="F128" t="str">
        <f>IFERROR(VLOOKUP(B128,'Yearly Leave Tracker'!A:NU,376,0),"")</f>
        <v/>
      </c>
      <c r="G128" t="str">
        <f>IFERROR(VLOOKUP(B128,'Yearly Leave Tracker'!A:NU,377,0),"")</f>
        <v/>
      </c>
      <c r="H128" t="str">
        <f>IFERROR(VLOOKUP(B128,'Yearly Leave Tracker'!A:NU,378,0),"")</f>
        <v/>
      </c>
      <c r="I128" t="str">
        <f>IFERROR(VLOOKUP(B128,'Yearly Leave Tracker'!A:NU,379,0),"")</f>
        <v/>
      </c>
      <c r="J128" t="str">
        <f>IFERROR(VLOOKUP(B128,'Yearly Leave Tracker'!A:NU,380,0),"")</f>
        <v/>
      </c>
      <c r="K128" t="str">
        <f>IFERROR(VLOOKUP(B128,'Yearly Leave Tracker'!A:NU,381,0),"")</f>
        <v/>
      </c>
      <c r="L128" t="str">
        <f>IFERROR(VLOOKUP(B128,'Yearly Leave Tracker'!A:NU,382,0),"")</f>
        <v/>
      </c>
      <c r="M128" t="str">
        <f>IFERROR(VLOOKUP(B128,'Yearly Leave Tracker'!A:NU,383,0),"")</f>
        <v/>
      </c>
      <c r="N128" t="str">
        <f>IFERROR(VLOOKUP(B128,'Yearly Leave Tracker'!A:NU,384,0),"")</f>
        <v/>
      </c>
      <c r="O128" t="str">
        <f>IFERROR(VLOOKUP(B128,'Yearly Leave Tracker'!A:NU,385,0),"")</f>
        <v/>
      </c>
    </row>
    <row r="129" spans="2:15" x14ac:dyDescent="0.25">
      <c r="B129" t="str">
        <f>IFERROR(IF('Yearly Leave Tracker'!A133="","",'Yearly Leave Tracker'!A133),"")</f>
        <v/>
      </c>
      <c r="C129" t="str">
        <f>IFERROR(VLOOKUP(B129,Database!E:F,2,0),"")</f>
        <v/>
      </c>
      <c r="D129" t="str">
        <f>IFERROR(VLOOKUP(B129,'Yearly Leave Tracker'!A:NU,374,0),"")</f>
        <v/>
      </c>
      <c r="E129" t="str">
        <f>IFERROR(VLOOKUP(B129,'Yearly Leave Tracker'!A:NU,375,0),"")</f>
        <v/>
      </c>
      <c r="F129" t="str">
        <f>IFERROR(VLOOKUP(B129,'Yearly Leave Tracker'!A:NU,376,0),"")</f>
        <v/>
      </c>
      <c r="G129" t="str">
        <f>IFERROR(VLOOKUP(B129,'Yearly Leave Tracker'!A:NU,377,0),"")</f>
        <v/>
      </c>
      <c r="H129" t="str">
        <f>IFERROR(VLOOKUP(B129,'Yearly Leave Tracker'!A:NU,378,0),"")</f>
        <v/>
      </c>
      <c r="I129" t="str">
        <f>IFERROR(VLOOKUP(B129,'Yearly Leave Tracker'!A:NU,379,0),"")</f>
        <v/>
      </c>
      <c r="J129" t="str">
        <f>IFERROR(VLOOKUP(B129,'Yearly Leave Tracker'!A:NU,380,0),"")</f>
        <v/>
      </c>
      <c r="K129" t="str">
        <f>IFERROR(VLOOKUP(B129,'Yearly Leave Tracker'!A:NU,381,0),"")</f>
        <v/>
      </c>
      <c r="L129" t="str">
        <f>IFERROR(VLOOKUP(B129,'Yearly Leave Tracker'!A:NU,382,0),"")</f>
        <v/>
      </c>
      <c r="M129" t="str">
        <f>IFERROR(VLOOKUP(B129,'Yearly Leave Tracker'!A:NU,383,0),"")</f>
        <v/>
      </c>
      <c r="N129" t="str">
        <f>IFERROR(VLOOKUP(B129,'Yearly Leave Tracker'!A:NU,384,0),"")</f>
        <v/>
      </c>
      <c r="O129" t="str">
        <f>IFERROR(VLOOKUP(B129,'Yearly Leave Tracker'!A:NU,385,0),"")</f>
        <v/>
      </c>
    </row>
    <row r="130" spans="2:15" x14ac:dyDescent="0.25">
      <c r="B130" t="str">
        <f>IFERROR(IF('Yearly Leave Tracker'!A134="","",'Yearly Leave Tracker'!A134),"")</f>
        <v/>
      </c>
      <c r="C130" t="str">
        <f>IFERROR(VLOOKUP(B130,Database!E:F,2,0),"")</f>
        <v/>
      </c>
      <c r="D130" t="str">
        <f>IFERROR(VLOOKUP(B130,'Yearly Leave Tracker'!A:NU,374,0),"")</f>
        <v/>
      </c>
      <c r="E130" t="str">
        <f>IFERROR(VLOOKUP(B130,'Yearly Leave Tracker'!A:NU,375,0),"")</f>
        <v/>
      </c>
      <c r="F130" t="str">
        <f>IFERROR(VLOOKUP(B130,'Yearly Leave Tracker'!A:NU,376,0),"")</f>
        <v/>
      </c>
      <c r="G130" t="str">
        <f>IFERROR(VLOOKUP(B130,'Yearly Leave Tracker'!A:NU,377,0),"")</f>
        <v/>
      </c>
      <c r="H130" t="str">
        <f>IFERROR(VLOOKUP(B130,'Yearly Leave Tracker'!A:NU,378,0),"")</f>
        <v/>
      </c>
      <c r="I130" t="str">
        <f>IFERROR(VLOOKUP(B130,'Yearly Leave Tracker'!A:NU,379,0),"")</f>
        <v/>
      </c>
      <c r="J130" t="str">
        <f>IFERROR(VLOOKUP(B130,'Yearly Leave Tracker'!A:NU,380,0),"")</f>
        <v/>
      </c>
      <c r="K130" t="str">
        <f>IFERROR(VLOOKUP(B130,'Yearly Leave Tracker'!A:NU,381,0),"")</f>
        <v/>
      </c>
      <c r="L130" t="str">
        <f>IFERROR(VLOOKUP(B130,'Yearly Leave Tracker'!A:NU,382,0),"")</f>
        <v/>
      </c>
      <c r="M130" t="str">
        <f>IFERROR(VLOOKUP(B130,'Yearly Leave Tracker'!A:NU,383,0),"")</f>
        <v/>
      </c>
      <c r="N130" t="str">
        <f>IFERROR(VLOOKUP(B130,'Yearly Leave Tracker'!A:NU,384,0),"")</f>
        <v/>
      </c>
      <c r="O130" t="str">
        <f>IFERROR(VLOOKUP(B130,'Yearly Leave Tracker'!A:NU,385,0),"")</f>
        <v/>
      </c>
    </row>
    <row r="131" spans="2:15" x14ac:dyDescent="0.25">
      <c r="B131" t="str">
        <f>IFERROR(IF('Yearly Leave Tracker'!A135="","",'Yearly Leave Tracker'!A135),"")</f>
        <v/>
      </c>
      <c r="C131" t="str">
        <f>IFERROR(VLOOKUP(B131,Database!E:F,2,0),"")</f>
        <v/>
      </c>
      <c r="D131" t="str">
        <f>IFERROR(VLOOKUP(B131,'Yearly Leave Tracker'!A:NU,374,0),"")</f>
        <v/>
      </c>
      <c r="E131" t="str">
        <f>IFERROR(VLOOKUP(B131,'Yearly Leave Tracker'!A:NU,375,0),"")</f>
        <v/>
      </c>
      <c r="F131" t="str">
        <f>IFERROR(VLOOKUP(B131,'Yearly Leave Tracker'!A:NU,376,0),"")</f>
        <v/>
      </c>
      <c r="G131" t="str">
        <f>IFERROR(VLOOKUP(B131,'Yearly Leave Tracker'!A:NU,377,0),"")</f>
        <v/>
      </c>
      <c r="H131" t="str">
        <f>IFERROR(VLOOKUP(B131,'Yearly Leave Tracker'!A:NU,378,0),"")</f>
        <v/>
      </c>
      <c r="I131" t="str">
        <f>IFERROR(VLOOKUP(B131,'Yearly Leave Tracker'!A:NU,379,0),"")</f>
        <v/>
      </c>
      <c r="J131" t="str">
        <f>IFERROR(VLOOKUP(B131,'Yearly Leave Tracker'!A:NU,380,0),"")</f>
        <v/>
      </c>
      <c r="K131" t="str">
        <f>IFERROR(VLOOKUP(B131,'Yearly Leave Tracker'!A:NU,381,0),"")</f>
        <v/>
      </c>
      <c r="L131" t="str">
        <f>IFERROR(VLOOKUP(B131,'Yearly Leave Tracker'!A:NU,382,0),"")</f>
        <v/>
      </c>
      <c r="M131" t="str">
        <f>IFERROR(VLOOKUP(B131,'Yearly Leave Tracker'!A:NU,383,0),"")</f>
        <v/>
      </c>
      <c r="N131" t="str">
        <f>IFERROR(VLOOKUP(B131,'Yearly Leave Tracker'!A:NU,384,0),"")</f>
        <v/>
      </c>
      <c r="O131" t="str">
        <f>IFERROR(VLOOKUP(B131,'Yearly Leave Tracker'!A:NU,385,0),"")</f>
        <v/>
      </c>
    </row>
    <row r="132" spans="2:15" x14ac:dyDescent="0.25">
      <c r="B132" t="str">
        <f>IFERROR(IF('Yearly Leave Tracker'!A136="","",'Yearly Leave Tracker'!A136),"")</f>
        <v/>
      </c>
      <c r="C132" t="str">
        <f>IFERROR(VLOOKUP(B132,Database!E:F,2,0),"")</f>
        <v/>
      </c>
      <c r="D132" t="str">
        <f>IFERROR(VLOOKUP(B132,'Yearly Leave Tracker'!A:NU,374,0),"")</f>
        <v/>
      </c>
      <c r="E132" t="str">
        <f>IFERROR(VLOOKUP(B132,'Yearly Leave Tracker'!A:NU,375,0),"")</f>
        <v/>
      </c>
      <c r="F132" t="str">
        <f>IFERROR(VLOOKUP(B132,'Yearly Leave Tracker'!A:NU,376,0),"")</f>
        <v/>
      </c>
      <c r="G132" t="str">
        <f>IFERROR(VLOOKUP(B132,'Yearly Leave Tracker'!A:NU,377,0),"")</f>
        <v/>
      </c>
      <c r="H132" t="str">
        <f>IFERROR(VLOOKUP(B132,'Yearly Leave Tracker'!A:NU,378,0),"")</f>
        <v/>
      </c>
      <c r="I132" t="str">
        <f>IFERROR(VLOOKUP(B132,'Yearly Leave Tracker'!A:NU,379,0),"")</f>
        <v/>
      </c>
      <c r="J132" t="str">
        <f>IFERROR(VLOOKUP(B132,'Yearly Leave Tracker'!A:NU,380,0),"")</f>
        <v/>
      </c>
      <c r="K132" t="str">
        <f>IFERROR(VLOOKUP(B132,'Yearly Leave Tracker'!A:NU,381,0),"")</f>
        <v/>
      </c>
      <c r="L132" t="str">
        <f>IFERROR(VLOOKUP(B132,'Yearly Leave Tracker'!A:NU,382,0),"")</f>
        <v/>
      </c>
      <c r="M132" t="str">
        <f>IFERROR(VLOOKUP(B132,'Yearly Leave Tracker'!A:NU,383,0),"")</f>
        <v/>
      </c>
      <c r="N132" t="str">
        <f>IFERROR(VLOOKUP(B132,'Yearly Leave Tracker'!A:NU,384,0),"")</f>
        <v/>
      </c>
      <c r="O132" t="str">
        <f>IFERROR(VLOOKUP(B132,'Yearly Leave Tracker'!A:NU,385,0),"")</f>
        <v/>
      </c>
    </row>
    <row r="133" spans="2:15" x14ac:dyDescent="0.25">
      <c r="B133" t="str">
        <f>IFERROR(IF('Yearly Leave Tracker'!A137="","",'Yearly Leave Tracker'!A137),"")</f>
        <v/>
      </c>
      <c r="C133" t="str">
        <f>IFERROR(VLOOKUP(B133,Database!E:F,2,0),"")</f>
        <v/>
      </c>
      <c r="D133" t="str">
        <f>IFERROR(VLOOKUP(B133,'Yearly Leave Tracker'!A:NU,374,0),"")</f>
        <v/>
      </c>
      <c r="E133" t="str">
        <f>IFERROR(VLOOKUP(B133,'Yearly Leave Tracker'!A:NU,375,0),"")</f>
        <v/>
      </c>
      <c r="F133" t="str">
        <f>IFERROR(VLOOKUP(B133,'Yearly Leave Tracker'!A:NU,376,0),"")</f>
        <v/>
      </c>
      <c r="G133" t="str">
        <f>IFERROR(VLOOKUP(B133,'Yearly Leave Tracker'!A:NU,377,0),"")</f>
        <v/>
      </c>
      <c r="H133" t="str">
        <f>IFERROR(VLOOKUP(B133,'Yearly Leave Tracker'!A:NU,378,0),"")</f>
        <v/>
      </c>
      <c r="I133" t="str">
        <f>IFERROR(VLOOKUP(B133,'Yearly Leave Tracker'!A:NU,379,0),"")</f>
        <v/>
      </c>
      <c r="J133" t="str">
        <f>IFERROR(VLOOKUP(B133,'Yearly Leave Tracker'!A:NU,380,0),"")</f>
        <v/>
      </c>
      <c r="K133" t="str">
        <f>IFERROR(VLOOKUP(B133,'Yearly Leave Tracker'!A:NU,381,0),"")</f>
        <v/>
      </c>
      <c r="L133" t="str">
        <f>IFERROR(VLOOKUP(B133,'Yearly Leave Tracker'!A:NU,382,0),"")</f>
        <v/>
      </c>
      <c r="M133" t="str">
        <f>IFERROR(VLOOKUP(B133,'Yearly Leave Tracker'!A:NU,383,0),"")</f>
        <v/>
      </c>
      <c r="N133" t="str">
        <f>IFERROR(VLOOKUP(B133,'Yearly Leave Tracker'!A:NU,384,0),"")</f>
        <v/>
      </c>
      <c r="O133" t="str">
        <f>IFERROR(VLOOKUP(B133,'Yearly Leave Tracker'!A:NU,385,0),"")</f>
        <v/>
      </c>
    </row>
    <row r="134" spans="2:15" x14ac:dyDescent="0.25">
      <c r="B134" t="str">
        <f>IFERROR(IF('Yearly Leave Tracker'!A138="","",'Yearly Leave Tracker'!A138),"")</f>
        <v/>
      </c>
      <c r="C134" t="str">
        <f>IFERROR(VLOOKUP(B134,Database!E:F,2,0),"")</f>
        <v/>
      </c>
      <c r="D134" t="str">
        <f>IFERROR(VLOOKUP(B134,'Yearly Leave Tracker'!A:NU,374,0),"")</f>
        <v/>
      </c>
      <c r="E134" t="str">
        <f>IFERROR(VLOOKUP(B134,'Yearly Leave Tracker'!A:NU,375,0),"")</f>
        <v/>
      </c>
      <c r="F134" t="str">
        <f>IFERROR(VLOOKUP(B134,'Yearly Leave Tracker'!A:NU,376,0),"")</f>
        <v/>
      </c>
      <c r="G134" t="str">
        <f>IFERROR(VLOOKUP(B134,'Yearly Leave Tracker'!A:NU,377,0),"")</f>
        <v/>
      </c>
      <c r="H134" t="str">
        <f>IFERROR(VLOOKUP(B134,'Yearly Leave Tracker'!A:NU,378,0),"")</f>
        <v/>
      </c>
      <c r="I134" t="str">
        <f>IFERROR(VLOOKUP(B134,'Yearly Leave Tracker'!A:NU,379,0),"")</f>
        <v/>
      </c>
      <c r="J134" t="str">
        <f>IFERROR(VLOOKUP(B134,'Yearly Leave Tracker'!A:NU,380,0),"")</f>
        <v/>
      </c>
      <c r="K134" t="str">
        <f>IFERROR(VLOOKUP(B134,'Yearly Leave Tracker'!A:NU,381,0),"")</f>
        <v/>
      </c>
      <c r="L134" t="str">
        <f>IFERROR(VLOOKUP(B134,'Yearly Leave Tracker'!A:NU,382,0),"")</f>
        <v/>
      </c>
      <c r="M134" t="str">
        <f>IFERROR(VLOOKUP(B134,'Yearly Leave Tracker'!A:NU,383,0),"")</f>
        <v/>
      </c>
      <c r="N134" t="str">
        <f>IFERROR(VLOOKUP(B134,'Yearly Leave Tracker'!A:NU,384,0),"")</f>
        <v/>
      </c>
      <c r="O134" t="str">
        <f>IFERROR(VLOOKUP(B134,'Yearly Leave Tracker'!A:NU,385,0),"")</f>
        <v/>
      </c>
    </row>
    <row r="135" spans="2:15" x14ac:dyDescent="0.25">
      <c r="B135" t="str">
        <f>IFERROR(IF('Yearly Leave Tracker'!A139="","",'Yearly Leave Tracker'!A139),"")</f>
        <v/>
      </c>
      <c r="C135" t="str">
        <f>IFERROR(VLOOKUP(B135,Database!E:F,2,0),"")</f>
        <v/>
      </c>
      <c r="D135" t="str">
        <f>IFERROR(VLOOKUP(B135,'Yearly Leave Tracker'!A:NU,374,0),"")</f>
        <v/>
      </c>
      <c r="E135" t="str">
        <f>IFERROR(VLOOKUP(B135,'Yearly Leave Tracker'!A:NU,375,0),"")</f>
        <v/>
      </c>
      <c r="F135" t="str">
        <f>IFERROR(VLOOKUP(B135,'Yearly Leave Tracker'!A:NU,376,0),"")</f>
        <v/>
      </c>
      <c r="G135" t="str">
        <f>IFERROR(VLOOKUP(B135,'Yearly Leave Tracker'!A:NU,377,0),"")</f>
        <v/>
      </c>
      <c r="H135" t="str">
        <f>IFERROR(VLOOKUP(B135,'Yearly Leave Tracker'!A:NU,378,0),"")</f>
        <v/>
      </c>
      <c r="I135" t="str">
        <f>IFERROR(VLOOKUP(B135,'Yearly Leave Tracker'!A:NU,379,0),"")</f>
        <v/>
      </c>
      <c r="J135" t="str">
        <f>IFERROR(VLOOKUP(B135,'Yearly Leave Tracker'!A:NU,380,0),"")</f>
        <v/>
      </c>
      <c r="K135" t="str">
        <f>IFERROR(VLOOKUP(B135,'Yearly Leave Tracker'!A:NU,381,0),"")</f>
        <v/>
      </c>
      <c r="L135" t="str">
        <f>IFERROR(VLOOKUP(B135,'Yearly Leave Tracker'!A:NU,382,0),"")</f>
        <v/>
      </c>
      <c r="M135" t="str">
        <f>IFERROR(VLOOKUP(B135,'Yearly Leave Tracker'!A:NU,383,0),"")</f>
        <v/>
      </c>
      <c r="N135" t="str">
        <f>IFERROR(VLOOKUP(B135,'Yearly Leave Tracker'!A:NU,384,0),"")</f>
        <v/>
      </c>
      <c r="O135" t="str">
        <f>IFERROR(VLOOKUP(B135,'Yearly Leave Tracker'!A:NU,385,0),"")</f>
        <v/>
      </c>
    </row>
    <row r="136" spans="2:15" x14ac:dyDescent="0.25">
      <c r="B136" t="str">
        <f>IFERROR(IF('Yearly Leave Tracker'!A140="","",'Yearly Leave Tracker'!A140),"")</f>
        <v/>
      </c>
      <c r="C136" t="str">
        <f>IFERROR(VLOOKUP(B136,Database!E:F,2,0),"")</f>
        <v/>
      </c>
      <c r="D136" t="str">
        <f>IFERROR(VLOOKUP(B136,'Yearly Leave Tracker'!A:NU,374,0),"")</f>
        <v/>
      </c>
      <c r="E136" t="str">
        <f>IFERROR(VLOOKUP(B136,'Yearly Leave Tracker'!A:NU,375,0),"")</f>
        <v/>
      </c>
      <c r="F136" t="str">
        <f>IFERROR(VLOOKUP(B136,'Yearly Leave Tracker'!A:NU,376,0),"")</f>
        <v/>
      </c>
      <c r="G136" t="str">
        <f>IFERROR(VLOOKUP(B136,'Yearly Leave Tracker'!A:NU,377,0),"")</f>
        <v/>
      </c>
      <c r="H136" t="str">
        <f>IFERROR(VLOOKUP(B136,'Yearly Leave Tracker'!A:NU,378,0),"")</f>
        <v/>
      </c>
      <c r="I136" t="str">
        <f>IFERROR(VLOOKUP(B136,'Yearly Leave Tracker'!A:NU,379,0),"")</f>
        <v/>
      </c>
      <c r="J136" t="str">
        <f>IFERROR(VLOOKUP(B136,'Yearly Leave Tracker'!A:NU,380,0),"")</f>
        <v/>
      </c>
      <c r="K136" t="str">
        <f>IFERROR(VLOOKUP(B136,'Yearly Leave Tracker'!A:NU,381,0),"")</f>
        <v/>
      </c>
      <c r="L136" t="str">
        <f>IFERROR(VLOOKUP(B136,'Yearly Leave Tracker'!A:NU,382,0),"")</f>
        <v/>
      </c>
      <c r="M136" t="str">
        <f>IFERROR(VLOOKUP(B136,'Yearly Leave Tracker'!A:NU,383,0),"")</f>
        <v/>
      </c>
      <c r="N136" t="str">
        <f>IFERROR(VLOOKUP(B136,'Yearly Leave Tracker'!A:NU,384,0),"")</f>
        <v/>
      </c>
      <c r="O136" t="str">
        <f>IFERROR(VLOOKUP(B136,'Yearly Leave Tracker'!A:NU,385,0),"")</f>
        <v/>
      </c>
    </row>
    <row r="137" spans="2:15" x14ac:dyDescent="0.25">
      <c r="B137" t="str">
        <f>IFERROR(IF('Yearly Leave Tracker'!A141="","",'Yearly Leave Tracker'!A141),"")</f>
        <v/>
      </c>
      <c r="C137" t="str">
        <f>IFERROR(VLOOKUP(B137,Database!E:F,2,0),"")</f>
        <v/>
      </c>
      <c r="D137" t="str">
        <f>IFERROR(VLOOKUP(B137,'Yearly Leave Tracker'!A:NU,374,0),"")</f>
        <v/>
      </c>
      <c r="E137" t="str">
        <f>IFERROR(VLOOKUP(B137,'Yearly Leave Tracker'!A:NU,375,0),"")</f>
        <v/>
      </c>
      <c r="F137" t="str">
        <f>IFERROR(VLOOKUP(B137,'Yearly Leave Tracker'!A:NU,376,0),"")</f>
        <v/>
      </c>
      <c r="G137" t="str">
        <f>IFERROR(VLOOKUP(B137,'Yearly Leave Tracker'!A:NU,377,0),"")</f>
        <v/>
      </c>
      <c r="H137" t="str">
        <f>IFERROR(VLOOKUP(B137,'Yearly Leave Tracker'!A:NU,378,0),"")</f>
        <v/>
      </c>
      <c r="I137" t="str">
        <f>IFERROR(VLOOKUP(B137,'Yearly Leave Tracker'!A:NU,379,0),"")</f>
        <v/>
      </c>
      <c r="J137" t="str">
        <f>IFERROR(VLOOKUP(B137,'Yearly Leave Tracker'!A:NU,380,0),"")</f>
        <v/>
      </c>
      <c r="K137" t="str">
        <f>IFERROR(VLOOKUP(B137,'Yearly Leave Tracker'!A:NU,381,0),"")</f>
        <v/>
      </c>
      <c r="L137" t="str">
        <f>IFERROR(VLOOKUP(B137,'Yearly Leave Tracker'!A:NU,382,0),"")</f>
        <v/>
      </c>
      <c r="M137" t="str">
        <f>IFERROR(VLOOKUP(B137,'Yearly Leave Tracker'!A:NU,383,0),"")</f>
        <v/>
      </c>
      <c r="N137" t="str">
        <f>IFERROR(VLOOKUP(B137,'Yearly Leave Tracker'!A:NU,384,0),"")</f>
        <v/>
      </c>
      <c r="O137" t="str">
        <f>IFERROR(VLOOKUP(B137,'Yearly Leave Tracker'!A:NU,385,0),"")</f>
        <v/>
      </c>
    </row>
    <row r="138" spans="2:15" x14ac:dyDescent="0.25">
      <c r="B138" t="str">
        <f>IFERROR(IF('Yearly Leave Tracker'!A142="","",'Yearly Leave Tracker'!A142),"")</f>
        <v/>
      </c>
      <c r="C138" t="str">
        <f>IFERROR(VLOOKUP(B138,Database!E:F,2,0),"")</f>
        <v/>
      </c>
      <c r="D138" t="str">
        <f>IFERROR(VLOOKUP(B138,'Yearly Leave Tracker'!A:NU,374,0),"")</f>
        <v/>
      </c>
      <c r="E138" t="str">
        <f>IFERROR(VLOOKUP(B138,'Yearly Leave Tracker'!A:NU,375,0),"")</f>
        <v/>
      </c>
      <c r="F138" t="str">
        <f>IFERROR(VLOOKUP(B138,'Yearly Leave Tracker'!A:NU,376,0),"")</f>
        <v/>
      </c>
      <c r="G138" t="str">
        <f>IFERROR(VLOOKUP(B138,'Yearly Leave Tracker'!A:NU,377,0),"")</f>
        <v/>
      </c>
      <c r="H138" t="str">
        <f>IFERROR(VLOOKUP(B138,'Yearly Leave Tracker'!A:NU,378,0),"")</f>
        <v/>
      </c>
      <c r="I138" t="str">
        <f>IFERROR(VLOOKUP(B138,'Yearly Leave Tracker'!A:NU,379,0),"")</f>
        <v/>
      </c>
      <c r="J138" t="str">
        <f>IFERROR(VLOOKUP(B138,'Yearly Leave Tracker'!A:NU,380,0),"")</f>
        <v/>
      </c>
      <c r="K138" t="str">
        <f>IFERROR(VLOOKUP(B138,'Yearly Leave Tracker'!A:NU,381,0),"")</f>
        <v/>
      </c>
      <c r="L138" t="str">
        <f>IFERROR(VLOOKUP(B138,'Yearly Leave Tracker'!A:NU,382,0),"")</f>
        <v/>
      </c>
      <c r="M138" t="str">
        <f>IFERROR(VLOOKUP(B138,'Yearly Leave Tracker'!A:NU,383,0),"")</f>
        <v/>
      </c>
      <c r="N138" t="str">
        <f>IFERROR(VLOOKUP(B138,'Yearly Leave Tracker'!A:NU,384,0),"")</f>
        <v/>
      </c>
      <c r="O138" t="str">
        <f>IFERROR(VLOOKUP(B138,'Yearly Leave Tracker'!A:NU,385,0),"")</f>
        <v/>
      </c>
    </row>
    <row r="139" spans="2:15" x14ac:dyDescent="0.25">
      <c r="B139" t="str">
        <f>IFERROR(IF('Yearly Leave Tracker'!A143="","",'Yearly Leave Tracker'!A143),"")</f>
        <v/>
      </c>
      <c r="C139" t="str">
        <f>IFERROR(VLOOKUP(B139,Database!E:F,2,0),"")</f>
        <v/>
      </c>
      <c r="D139" t="str">
        <f>IFERROR(VLOOKUP(B139,'Yearly Leave Tracker'!A:NU,374,0),"")</f>
        <v/>
      </c>
      <c r="E139" t="str">
        <f>IFERROR(VLOOKUP(B139,'Yearly Leave Tracker'!A:NU,375,0),"")</f>
        <v/>
      </c>
      <c r="F139" t="str">
        <f>IFERROR(VLOOKUP(B139,'Yearly Leave Tracker'!A:NU,376,0),"")</f>
        <v/>
      </c>
      <c r="G139" t="str">
        <f>IFERROR(VLOOKUP(B139,'Yearly Leave Tracker'!A:NU,377,0),"")</f>
        <v/>
      </c>
      <c r="H139" t="str">
        <f>IFERROR(VLOOKUP(B139,'Yearly Leave Tracker'!A:NU,378,0),"")</f>
        <v/>
      </c>
      <c r="I139" t="str">
        <f>IFERROR(VLOOKUP(B139,'Yearly Leave Tracker'!A:NU,379,0),"")</f>
        <v/>
      </c>
      <c r="J139" t="str">
        <f>IFERROR(VLOOKUP(B139,'Yearly Leave Tracker'!A:NU,380,0),"")</f>
        <v/>
      </c>
      <c r="K139" t="str">
        <f>IFERROR(VLOOKUP(B139,'Yearly Leave Tracker'!A:NU,381,0),"")</f>
        <v/>
      </c>
      <c r="L139" t="str">
        <f>IFERROR(VLOOKUP(B139,'Yearly Leave Tracker'!A:NU,382,0),"")</f>
        <v/>
      </c>
      <c r="M139" t="str">
        <f>IFERROR(VLOOKUP(B139,'Yearly Leave Tracker'!A:NU,383,0),"")</f>
        <v/>
      </c>
      <c r="N139" t="str">
        <f>IFERROR(VLOOKUP(B139,'Yearly Leave Tracker'!A:NU,384,0),"")</f>
        <v/>
      </c>
      <c r="O139" t="str">
        <f>IFERROR(VLOOKUP(B139,'Yearly Leave Tracker'!A:NU,385,0),"")</f>
        <v/>
      </c>
    </row>
    <row r="140" spans="2:15" x14ac:dyDescent="0.25">
      <c r="B140" t="str">
        <f>IFERROR(IF('Yearly Leave Tracker'!A144="","",'Yearly Leave Tracker'!A144),"")</f>
        <v/>
      </c>
      <c r="C140" t="str">
        <f>IFERROR(VLOOKUP(B140,Database!E:F,2,0),"")</f>
        <v/>
      </c>
      <c r="D140" t="str">
        <f>IFERROR(VLOOKUP(B140,'Yearly Leave Tracker'!A:NU,374,0),"")</f>
        <v/>
      </c>
      <c r="E140" t="str">
        <f>IFERROR(VLOOKUP(B140,'Yearly Leave Tracker'!A:NU,375,0),"")</f>
        <v/>
      </c>
      <c r="F140" t="str">
        <f>IFERROR(VLOOKUP(B140,'Yearly Leave Tracker'!A:NU,376,0),"")</f>
        <v/>
      </c>
      <c r="G140" t="str">
        <f>IFERROR(VLOOKUP(B140,'Yearly Leave Tracker'!A:NU,377,0),"")</f>
        <v/>
      </c>
      <c r="H140" t="str">
        <f>IFERROR(VLOOKUP(B140,'Yearly Leave Tracker'!A:NU,378,0),"")</f>
        <v/>
      </c>
      <c r="I140" t="str">
        <f>IFERROR(VLOOKUP(B140,'Yearly Leave Tracker'!A:NU,379,0),"")</f>
        <v/>
      </c>
      <c r="J140" t="str">
        <f>IFERROR(VLOOKUP(B140,'Yearly Leave Tracker'!A:NU,380,0),"")</f>
        <v/>
      </c>
      <c r="K140" t="str">
        <f>IFERROR(VLOOKUP(B140,'Yearly Leave Tracker'!A:NU,381,0),"")</f>
        <v/>
      </c>
      <c r="L140" t="str">
        <f>IFERROR(VLOOKUP(B140,'Yearly Leave Tracker'!A:NU,382,0),"")</f>
        <v/>
      </c>
      <c r="M140" t="str">
        <f>IFERROR(VLOOKUP(B140,'Yearly Leave Tracker'!A:NU,383,0),"")</f>
        <v/>
      </c>
      <c r="N140" t="str">
        <f>IFERROR(VLOOKUP(B140,'Yearly Leave Tracker'!A:NU,384,0),"")</f>
        <v/>
      </c>
      <c r="O140" t="str">
        <f>IFERROR(VLOOKUP(B140,'Yearly Leave Tracker'!A:NU,385,0),"")</f>
        <v/>
      </c>
    </row>
    <row r="141" spans="2:15" x14ac:dyDescent="0.25">
      <c r="B141" t="str">
        <f>IFERROR(IF('Yearly Leave Tracker'!A145="","",'Yearly Leave Tracker'!A145),"")</f>
        <v/>
      </c>
      <c r="C141" t="str">
        <f>IFERROR(VLOOKUP(B141,Database!E:F,2,0),"")</f>
        <v/>
      </c>
      <c r="D141" t="str">
        <f>IFERROR(VLOOKUP(B141,'Yearly Leave Tracker'!A:NU,374,0),"")</f>
        <v/>
      </c>
      <c r="E141" t="str">
        <f>IFERROR(VLOOKUP(B141,'Yearly Leave Tracker'!A:NU,375,0),"")</f>
        <v/>
      </c>
      <c r="F141" t="str">
        <f>IFERROR(VLOOKUP(B141,'Yearly Leave Tracker'!A:NU,376,0),"")</f>
        <v/>
      </c>
      <c r="G141" t="str">
        <f>IFERROR(VLOOKUP(B141,'Yearly Leave Tracker'!A:NU,377,0),"")</f>
        <v/>
      </c>
      <c r="H141" t="str">
        <f>IFERROR(VLOOKUP(B141,'Yearly Leave Tracker'!A:NU,378,0),"")</f>
        <v/>
      </c>
      <c r="I141" t="str">
        <f>IFERROR(VLOOKUP(B141,'Yearly Leave Tracker'!A:NU,379,0),"")</f>
        <v/>
      </c>
      <c r="J141" t="str">
        <f>IFERROR(VLOOKUP(B141,'Yearly Leave Tracker'!A:NU,380,0),"")</f>
        <v/>
      </c>
      <c r="K141" t="str">
        <f>IFERROR(VLOOKUP(B141,'Yearly Leave Tracker'!A:NU,381,0),"")</f>
        <v/>
      </c>
      <c r="L141" t="str">
        <f>IFERROR(VLOOKUP(B141,'Yearly Leave Tracker'!A:NU,382,0),"")</f>
        <v/>
      </c>
      <c r="M141" t="str">
        <f>IFERROR(VLOOKUP(B141,'Yearly Leave Tracker'!A:NU,383,0),"")</f>
        <v/>
      </c>
      <c r="N141" t="str">
        <f>IFERROR(VLOOKUP(B141,'Yearly Leave Tracker'!A:NU,384,0),"")</f>
        <v/>
      </c>
      <c r="O141" t="str">
        <f>IFERROR(VLOOKUP(B141,'Yearly Leave Tracker'!A:NU,385,0),"")</f>
        <v/>
      </c>
    </row>
    <row r="142" spans="2:15" x14ac:dyDescent="0.25">
      <c r="B142" t="str">
        <f>IFERROR(IF('Yearly Leave Tracker'!A146="","",'Yearly Leave Tracker'!A146),"")</f>
        <v/>
      </c>
      <c r="C142" t="str">
        <f>IFERROR(VLOOKUP(B142,Database!E:F,2,0),"")</f>
        <v/>
      </c>
      <c r="D142" t="str">
        <f>IFERROR(VLOOKUP(B142,'Yearly Leave Tracker'!A:NU,374,0),"")</f>
        <v/>
      </c>
      <c r="E142" t="str">
        <f>IFERROR(VLOOKUP(B142,'Yearly Leave Tracker'!A:NU,375,0),"")</f>
        <v/>
      </c>
      <c r="F142" t="str">
        <f>IFERROR(VLOOKUP(B142,'Yearly Leave Tracker'!A:NU,376,0),"")</f>
        <v/>
      </c>
      <c r="G142" t="str">
        <f>IFERROR(VLOOKUP(B142,'Yearly Leave Tracker'!A:NU,377,0),"")</f>
        <v/>
      </c>
      <c r="H142" t="str">
        <f>IFERROR(VLOOKUP(B142,'Yearly Leave Tracker'!A:NU,378,0),"")</f>
        <v/>
      </c>
      <c r="I142" t="str">
        <f>IFERROR(VLOOKUP(B142,'Yearly Leave Tracker'!A:NU,379,0),"")</f>
        <v/>
      </c>
      <c r="J142" t="str">
        <f>IFERROR(VLOOKUP(B142,'Yearly Leave Tracker'!A:NU,380,0),"")</f>
        <v/>
      </c>
      <c r="K142" t="str">
        <f>IFERROR(VLOOKUP(B142,'Yearly Leave Tracker'!A:NU,381,0),"")</f>
        <v/>
      </c>
      <c r="L142" t="str">
        <f>IFERROR(VLOOKUP(B142,'Yearly Leave Tracker'!A:NU,382,0),"")</f>
        <v/>
      </c>
      <c r="M142" t="str">
        <f>IFERROR(VLOOKUP(B142,'Yearly Leave Tracker'!A:NU,383,0),"")</f>
        <v/>
      </c>
      <c r="N142" t="str">
        <f>IFERROR(VLOOKUP(B142,'Yearly Leave Tracker'!A:NU,384,0),"")</f>
        <v/>
      </c>
      <c r="O142" t="str">
        <f>IFERROR(VLOOKUP(B142,'Yearly Leave Tracker'!A:NU,385,0),"")</f>
        <v/>
      </c>
    </row>
    <row r="143" spans="2:15" x14ac:dyDescent="0.25">
      <c r="B143" t="str">
        <f>IFERROR(IF('Yearly Leave Tracker'!A147="","",'Yearly Leave Tracker'!A147),"")</f>
        <v/>
      </c>
      <c r="C143" t="str">
        <f>IFERROR(VLOOKUP(B143,Database!E:F,2,0),"")</f>
        <v/>
      </c>
      <c r="D143" t="str">
        <f>IFERROR(VLOOKUP(B143,'Yearly Leave Tracker'!A:NU,374,0),"")</f>
        <v/>
      </c>
      <c r="E143" t="str">
        <f>IFERROR(VLOOKUP(B143,'Yearly Leave Tracker'!A:NU,375,0),"")</f>
        <v/>
      </c>
      <c r="F143" t="str">
        <f>IFERROR(VLOOKUP(B143,'Yearly Leave Tracker'!A:NU,376,0),"")</f>
        <v/>
      </c>
      <c r="G143" t="str">
        <f>IFERROR(VLOOKUP(B143,'Yearly Leave Tracker'!A:NU,377,0),"")</f>
        <v/>
      </c>
      <c r="H143" t="str">
        <f>IFERROR(VLOOKUP(B143,'Yearly Leave Tracker'!A:NU,378,0),"")</f>
        <v/>
      </c>
      <c r="I143" t="str">
        <f>IFERROR(VLOOKUP(B143,'Yearly Leave Tracker'!A:NU,379,0),"")</f>
        <v/>
      </c>
      <c r="J143" t="str">
        <f>IFERROR(VLOOKUP(B143,'Yearly Leave Tracker'!A:NU,380,0),"")</f>
        <v/>
      </c>
      <c r="K143" t="str">
        <f>IFERROR(VLOOKUP(B143,'Yearly Leave Tracker'!A:NU,381,0),"")</f>
        <v/>
      </c>
      <c r="L143" t="str">
        <f>IFERROR(VLOOKUP(B143,'Yearly Leave Tracker'!A:NU,382,0),"")</f>
        <v/>
      </c>
      <c r="M143" t="str">
        <f>IFERROR(VLOOKUP(B143,'Yearly Leave Tracker'!A:NU,383,0),"")</f>
        <v/>
      </c>
      <c r="N143" t="str">
        <f>IFERROR(VLOOKUP(B143,'Yearly Leave Tracker'!A:NU,384,0),"")</f>
        <v/>
      </c>
      <c r="O143" t="str">
        <f>IFERROR(VLOOKUP(B143,'Yearly Leave Tracker'!A:NU,385,0),"")</f>
        <v/>
      </c>
    </row>
    <row r="144" spans="2:15" x14ac:dyDescent="0.25">
      <c r="B144" t="str">
        <f>IFERROR(IF('Yearly Leave Tracker'!A148="","",'Yearly Leave Tracker'!A148),"")</f>
        <v/>
      </c>
      <c r="C144" t="str">
        <f>IFERROR(VLOOKUP(B144,Database!E:F,2,0),"")</f>
        <v/>
      </c>
      <c r="D144" t="str">
        <f>IFERROR(VLOOKUP(B144,'Yearly Leave Tracker'!A:NU,374,0),"")</f>
        <v/>
      </c>
      <c r="E144" t="str">
        <f>IFERROR(VLOOKUP(B144,'Yearly Leave Tracker'!A:NU,375,0),"")</f>
        <v/>
      </c>
      <c r="F144" t="str">
        <f>IFERROR(VLOOKUP(B144,'Yearly Leave Tracker'!A:NU,376,0),"")</f>
        <v/>
      </c>
      <c r="G144" t="str">
        <f>IFERROR(VLOOKUP(B144,'Yearly Leave Tracker'!A:NU,377,0),"")</f>
        <v/>
      </c>
      <c r="H144" t="str">
        <f>IFERROR(VLOOKUP(B144,'Yearly Leave Tracker'!A:NU,378,0),"")</f>
        <v/>
      </c>
      <c r="I144" t="str">
        <f>IFERROR(VLOOKUP(B144,'Yearly Leave Tracker'!A:NU,379,0),"")</f>
        <v/>
      </c>
      <c r="J144" t="str">
        <f>IFERROR(VLOOKUP(B144,'Yearly Leave Tracker'!A:NU,380,0),"")</f>
        <v/>
      </c>
      <c r="K144" t="str">
        <f>IFERROR(VLOOKUP(B144,'Yearly Leave Tracker'!A:NU,381,0),"")</f>
        <v/>
      </c>
      <c r="L144" t="str">
        <f>IFERROR(VLOOKUP(B144,'Yearly Leave Tracker'!A:NU,382,0),"")</f>
        <v/>
      </c>
      <c r="M144" t="str">
        <f>IFERROR(VLOOKUP(B144,'Yearly Leave Tracker'!A:NU,383,0),"")</f>
        <v/>
      </c>
      <c r="N144" t="str">
        <f>IFERROR(VLOOKUP(B144,'Yearly Leave Tracker'!A:NU,384,0),"")</f>
        <v/>
      </c>
      <c r="O144" t="str">
        <f>IFERROR(VLOOKUP(B144,'Yearly Leave Tracker'!A:NU,385,0),"")</f>
        <v/>
      </c>
    </row>
    <row r="145" spans="2:15" x14ac:dyDescent="0.25">
      <c r="B145" t="str">
        <f>IFERROR(IF('Yearly Leave Tracker'!A149="","",'Yearly Leave Tracker'!A149),"")</f>
        <v/>
      </c>
      <c r="C145" t="str">
        <f>IFERROR(VLOOKUP(B145,Database!E:F,2,0),"")</f>
        <v/>
      </c>
      <c r="D145" t="str">
        <f>IFERROR(VLOOKUP(B145,'Yearly Leave Tracker'!A:NU,374,0),"")</f>
        <v/>
      </c>
      <c r="E145" t="str">
        <f>IFERROR(VLOOKUP(B145,'Yearly Leave Tracker'!A:NU,375,0),"")</f>
        <v/>
      </c>
      <c r="F145" t="str">
        <f>IFERROR(VLOOKUP(B145,'Yearly Leave Tracker'!A:NU,376,0),"")</f>
        <v/>
      </c>
      <c r="G145" t="str">
        <f>IFERROR(VLOOKUP(B145,'Yearly Leave Tracker'!A:NU,377,0),"")</f>
        <v/>
      </c>
      <c r="H145" t="str">
        <f>IFERROR(VLOOKUP(B145,'Yearly Leave Tracker'!A:NU,378,0),"")</f>
        <v/>
      </c>
      <c r="I145" t="str">
        <f>IFERROR(VLOOKUP(B145,'Yearly Leave Tracker'!A:NU,379,0),"")</f>
        <v/>
      </c>
      <c r="J145" t="str">
        <f>IFERROR(VLOOKUP(B145,'Yearly Leave Tracker'!A:NU,380,0),"")</f>
        <v/>
      </c>
      <c r="K145" t="str">
        <f>IFERROR(VLOOKUP(B145,'Yearly Leave Tracker'!A:NU,381,0),"")</f>
        <v/>
      </c>
      <c r="L145" t="str">
        <f>IFERROR(VLOOKUP(B145,'Yearly Leave Tracker'!A:NU,382,0),"")</f>
        <v/>
      </c>
      <c r="M145" t="str">
        <f>IFERROR(VLOOKUP(B145,'Yearly Leave Tracker'!A:NU,383,0),"")</f>
        <v/>
      </c>
      <c r="N145" t="str">
        <f>IFERROR(VLOOKUP(B145,'Yearly Leave Tracker'!A:NU,384,0),"")</f>
        <v/>
      </c>
      <c r="O145" t="str">
        <f>IFERROR(VLOOKUP(B145,'Yearly Leave Tracker'!A:NU,385,0),"")</f>
        <v/>
      </c>
    </row>
    <row r="146" spans="2:15" x14ac:dyDescent="0.25">
      <c r="B146" t="str">
        <f>IFERROR(IF('Yearly Leave Tracker'!A150="","",'Yearly Leave Tracker'!A150),"")</f>
        <v/>
      </c>
      <c r="C146" t="str">
        <f>IFERROR(VLOOKUP(B146,Database!E:F,2,0),"")</f>
        <v/>
      </c>
      <c r="D146" t="str">
        <f>IFERROR(VLOOKUP(B146,'Yearly Leave Tracker'!A:NU,374,0),"")</f>
        <v/>
      </c>
      <c r="E146" t="str">
        <f>IFERROR(VLOOKUP(B146,'Yearly Leave Tracker'!A:NU,375,0),"")</f>
        <v/>
      </c>
      <c r="F146" t="str">
        <f>IFERROR(VLOOKUP(B146,'Yearly Leave Tracker'!A:NU,376,0),"")</f>
        <v/>
      </c>
      <c r="G146" t="str">
        <f>IFERROR(VLOOKUP(B146,'Yearly Leave Tracker'!A:NU,377,0),"")</f>
        <v/>
      </c>
      <c r="H146" t="str">
        <f>IFERROR(VLOOKUP(B146,'Yearly Leave Tracker'!A:NU,378,0),"")</f>
        <v/>
      </c>
      <c r="I146" t="str">
        <f>IFERROR(VLOOKUP(B146,'Yearly Leave Tracker'!A:NU,379,0),"")</f>
        <v/>
      </c>
      <c r="J146" t="str">
        <f>IFERROR(VLOOKUP(B146,'Yearly Leave Tracker'!A:NU,380,0),"")</f>
        <v/>
      </c>
      <c r="K146" t="str">
        <f>IFERROR(VLOOKUP(B146,'Yearly Leave Tracker'!A:NU,381,0),"")</f>
        <v/>
      </c>
      <c r="L146" t="str">
        <f>IFERROR(VLOOKUP(B146,'Yearly Leave Tracker'!A:NU,382,0),"")</f>
        <v/>
      </c>
      <c r="M146" t="str">
        <f>IFERROR(VLOOKUP(B146,'Yearly Leave Tracker'!A:NU,383,0),"")</f>
        <v/>
      </c>
      <c r="N146" t="str">
        <f>IFERROR(VLOOKUP(B146,'Yearly Leave Tracker'!A:NU,384,0),"")</f>
        <v/>
      </c>
      <c r="O146" t="str">
        <f>IFERROR(VLOOKUP(B146,'Yearly Leave Tracker'!A:NU,385,0),"")</f>
        <v/>
      </c>
    </row>
    <row r="147" spans="2:15" x14ac:dyDescent="0.25">
      <c r="B147" t="str">
        <f>IFERROR(IF('Yearly Leave Tracker'!A151="","",'Yearly Leave Tracker'!A151),"")</f>
        <v/>
      </c>
      <c r="C147" t="str">
        <f>IFERROR(VLOOKUP(B147,Database!E:F,2,0),"")</f>
        <v/>
      </c>
      <c r="D147" t="str">
        <f>IFERROR(VLOOKUP(B147,'Yearly Leave Tracker'!A:NU,374,0),"")</f>
        <v/>
      </c>
      <c r="E147" t="str">
        <f>IFERROR(VLOOKUP(B147,'Yearly Leave Tracker'!A:NU,375,0),"")</f>
        <v/>
      </c>
      <c r="F147" t="str">
        <f>IFERROR(VLOOKUP(B147,'Yearly Leave Tracker'!A:NU,376,0),"")</f>
        <v/>
      </c>
      <c r="G147" t="str">
        <f>IFERROR(VLOOKUP(B147,'Yearly Leave Tracker'!A:NU,377,0),"")</f>
        <v/>
      </c>
      <c r="H147" t="str">
        <f>IFERROR(VLOOKUP(B147,'Yearly Leave Tracker'!A:NU,378,0),"")</f>
        <v/>
      </c>
      <c r="I147" t="str">
        <f>IFERROR(VLOOKUP(B147,'Yearly Leave Tracker'!A:NU,379,0),"")</f>
        <v/>
      </c>
      <c r="J147" t="str">
        <f>IFERROR(VLOOKUP(B147,'Yearly Leave Tracker'!A:NU,380,0),"")</f>
        <v/>
      </c>
      <c r="K147" t="str">
        <f>IFERROR(VLOOKUP(B147,'Yearly Leave Tracker'!A:NU,381,0),"")</f>
        <v/>
      </c>
      <c r="L147" t="str">
        <f>IFERROR(VLOOKUP(B147,'Yearly Leave Tracker'!A:NU,382,0),"")</f>
        <v/>
      </c>
      <c r="M147" t="str">
        <f>IFERROR(VLOOKUP(B147,'Yearly Leave Tracker'!A:NU,383,0),"")</f>
        <v/>
      </c>
      <c r="N147" t="str">
        <f>IFERROR(VLOOKUP(B147,'Yearly Leave Tracker'!A:NU,384,0),"")</f>
        <v/>
      </c>
      <c r="O147" t="str">
        <f>IFERROR(VLOOKUP(B147,'Yearly Leave Tracker'!A:NU,385,0),"")</f>
        <v/>
      </c>
    </row>
    <row r="148" spans="2:15" x14ac:dyDescent="0.25">
      <c r="B148" t="str">
        <f>IFERROR(IF('Yearly Leave Tracker'!A152="","",'Yearly Leave Tracker'!A152),"")</f>
        <v/>
      </c>
      <c r="C148" t="str">
        <f>IFERROR(VLOOKUP(B148,Database!E:F,2,0),"")</f>
        <v/>
      </c>
      <c r="D148" t="str">
        <f>IFERROR(VLOOKUP(B148,'Yearly Leave Tracker'!A:NU,374,0),"")</f>
        <v/>
      </c>
      <c r="E148" t="str">
        <f>IFERROR(VLOOKUP(B148,'Yearly Leave Tracker'!A:NU,375,0),"")</f>
        <v/>
      </c>
      <c r="F148" t="str">
        <f>IFERROR(VLOOKUP(B148,'Yearly Leave Tracker'!A:NU,376,0),"")</f>
        <v/>
      </c>
      <c r="G148" t="str">
        <f>IFERROR(VLOOKUP(B148,'Yearly Leave Tracker'!A:NU,377,0),"")</f>
        <v/>
      </c>
      <c r="H148" t="str">
        <f>IFERROR(VLOOKUP(B148,'Yearly Leave Tracker'!A:NU,378,0),"")</f>
        <v/>
      </c>
      <c r="I148" t="str">
        <f>IFERROR(VLOOKUP(B148,'Yearly Leave Tracker'!A:NU,379,0),"")</f>
        <v/>
      </c>
      <c r="J148" t="str">
        <f>IFERROR(VLOOKUP(B148,'Yearly Leave Tracker'!A:NU,380,0),"")</f>
        <v/>
      </c>
      <c r="K148" t="str">
        <f>IFERROR(VLOOKUP(B148,'Yearly Leave Tracker'!A:NU,381,0),"")</f>
        <v/>
      </c>
      <c r="L148" t="str">
        <f>IFERROR(VLOOKUP(B148,'Yearly Leave Tracker'!A:NU,382,0),"")</f>
        <v/>
      </c>
      <c r="M148" t="str">
        <f>IFERROR(VLOOKUP(B148,'Yearly Leave Tracker'!A:NU,383,0),"")</f>
        <v/>
      </c>
      <c r="N148" t="str">
        <f>IFERROR(VLOOKUP(B148,'Yearly Leave Tracker'!A:NU,384,0),"")</f>
        <v/>
      </c>
      <c r="O148" t="str">
        <f>IFERROR(VLOOKUP(B148,'Yearly Leave Tracker'!A:NU,385,0),"")</f>
        <v/>
      </c>
    </row>
    <row r="149" spans="2:15" x14ac:dyDescent="0.25">
      <c r="B149" t="str">
        <f>IFERROR(IF('Yearly Leave Tracker'!A153="","",'Yearly Leave Tracker'!A153),"")</f>
        <v/>
      </c>
      <c r="C149" t="str">
        <f>IFERROR(VLOOKUP(B149,Database!E:F,2,0),"")</f>
        <v/>
      </c>
      <c r="D149" t="str">
        <f>IFERROR(VLOOKUP(B149,'Yearly Leave Tracker'!A:NU,374,0),"")</f>
        <v/>
      </c>
      <c r="E149" t="str">
        <f>IFERROR(VLOOKUP(B149,'Yearly Leave Tracker'!A:NU,375,0),"")</f>
        <v/>
      </c>
      <c r="F149" t="str">
        <f>IFERROR(VLOOKUP(B149,'Yearly Leave Tracker'!A:NU,376,0),"")</f>
        <v/>
      </c>
      <c r="G149" t="str">
        <f>IFERROR(VLOOKUP(B149,'Yearly Leave Tracker'!A:NU,377,0),"")</f>
        <v/>
      </c>
      <c r="H149" t="str">
        <f>IFERROR(VLOOKUP(B149,'Yearly Leave Tracker'!A:NU,378,0),"")</f>
        <v/>
      </c>
      <c r="I149" t="str">
        <f>IFERROR(VLOOKUP(B149,'Yearly Leave Tracker'!A:NU,379,0),"")</f>
        <v/>
      </c>
      <c r="J149" t="str">
        <f>IFERROR(VLOOKUP(B149,'Yearly Leave Tracker'!A:NU,380,0),"")</f>
        <v/>
      </c>
      <c r="K149" t="str">
        <f>IFERROR(VLOOKUP(B149,'Yearly Leave Tracker'!A:NU,381,0),"")</f>
        <v/>
      </c>
      <c r="L149" t="str">
        <f>IFERROR(VLOOKUP(B149,'Yearly Leave Tracker'!A:NU,382,0),"")</f>
        <v/>
      </c>
      <c r="M149" t="str">
        <f>IFERROR(VLOOKUP(B149,'Yearly Leave Tracker'!A:NU,383,0),"")</f>
        <v/>
      </c>
      <c r="N149" t="str">
        <f>IFERROR(VLOOKUP(B149,'Yearly Leave Tracker'!A:NU,384,0),"")</f>
        <v/>
      </c>
      <c r="O149" t="str">
        <f>IFERROR(VLOOKUP(B149,'Yearly Leave Tracker'!A:NU,385,0),"")</f>
        <v/>
      </c>
    </row>
    <row r="150" spans="2:15" x14ac:dyDescent="0.25">
      <c r="B150" t="str">
        <f>IFERROR(IF('Yearly Leave Tracker'!A154="","",'Yearly Leave Tracker'!A154),"")</f>
        <v/>
      </c>
      <c r="C150" t="str">
        <f>IFERROR(VLOOKUP(B150,Database!E:F,2,0),"")</f>
        <v/>
      </c>
      <c r="D150" t="str">
        <f>IFERROR(VLOOKUP(B150,'Yearly Leave Tracker'!A:NU,374,0),"")</f>
        <v/>
      </c>
      <c r="E150" t="str">
        <f>IFERROR(VLOOKUP(B150,'Yearly Leave Tracker'!A:NU,375,0),"")</f>
        <v/>
      </c>
      <c r="F150" t="str">
        <f>IFERROR(VLOOKUP(B150,'Yearly Leave Tracker'!A:NU,376,0),"")</f>
        <v/>
      </c>
      <c r="G150" t="str">
        <f>IFERROR(VLOOKUP(B150,'Yearly Leave Tracker'!A:NU,377,0),"")</f>
        <v/>
      </c>
      <c r="H150" t="str">
        <f>IFERROR(VLOOKUP(B150,'Yearly Leave Tracker'!A:NU,378,0),"")</f>
        <v/>
      </c>
      <c r="I150" t="str">
        <f>IFERROR(VLOOKUP(B150,'Yearly Leave Tracker'!A:NU,379,0),"")</f>
        <v/>
      </c>
      <c r="J150" t="str">
        <f>IFERROR(VLOOKUP(B150,'Yearly Leave Tracker'!A:NU,380,0),"")</f>
        <v/>
      </c>
      <c r="K150" t="str">
        <f>IFERROR(VLOOKUP(B150,'Yearly Leave Tracker'!A:NU,381,0),"")</f>
        <v/>
      </c>
      <c r="L150" t="str">
        <f>IFERROR(VLOOKUP(B150,'Yearly Leave Tracker'!A:NU,382,0),"")</f>
        <v/>
      </c>
      <c r="M150" t="str">
        <f>IFERROR(VLOOKUP(B150,'Yearly Leave Tracker'!A:NU,383,0),"")</f>
        <v/>
      </c>
      <c r="N150" t="str">
        <f>IFERROR(VLOOKUP(B150,'Yearly Leave Tracker'!A:NU,384,0),"")</f>
        <v/>
      </c>
      <c r="O150" t="str">
        <f>IFERROR(VLOOKUP(B150,'Yearly Leave Tracker'!A:NU,385,0),"")</f>
        <v/>
      </c>
    </row>
    <row r="151" spans="2:15" x14ac:dyDescent="0.25">
      <c r="B151" t="str">
        <f>IFERROR(IF('Yearly Leave Tracker'!A155="","",'Yearly Leave Tracker'!A155),"")</f>
        <v/>
      </c>
      <c r="C151" t="str">
        <f>IFERROR(VLOOKUP(B151,Database!E:F,2,0),"")</f>
        <v/>
      </c>
      <c r="D151" t="str">
        <f>IFERROR(VLOOKUP(B151,'Yearly Leave Tracker'!A:NU,374,0),"")</f>
        <v/>
      </c>
      <c r="E151" t="str">
        <f>IFERROR(VLOOKUP(B151,'Yearly Leave Tracker'!A:NU,375,0),"")</f>
        <v/>
      </c>
      <c r="F151" t="str">
        <f>IFERROR(VLOOKUP(B151,'Yearly Leave Tracker'!A:NU,376,0),"")</f>
        <v/>
      </c>
      <c r="G151" t="str">
        <f>IFERROR(VLOOKUP(B151,'Yearly Leave Tracker'!A:NU,377,0),"")</f>
        <v/>
      </c>
      <c r="H151" t="str">
        <f>IFERROR(VLOOKUP(B151,'Yearly Leave Tracker'!A:NU,378,0),"")</f>
        <v/>
      </c>
      <c r="I151" t="str">
        <f>IFERROR(VLOOKUP(B151,'Yearly Leave Tracker'!A:NU,379,0),"")</f>
        <v/>
      </c>
      <c r="J151" t="str">
        <f>IFERROR(VLOOKUP(B151,'Yearly Leave Tracker'!A:NU,380,0),"")</f>
        <v/>
      </c>
      <c r="K151" t="str">
        <f>IFERROR(VLOOKUP(B151,'Yearly Leave Tracker'!A:NU,381,0),"")</f>
        <v/>
      </c>
      <c r="L151" t="str">
        <f>IFERROR(VLOOKUP(B151,'Yearly Leave Tracker'!A:NU,382,0),"")</f>
        <v/>
      </c>
      <c r="M151" t="str">
        <f>IFERROR(VLOOKUP(B151,'Yearly Leave Tracker'!A:NU,383,0),"")</f>
        <v/>
      </c>
      <c r="N151" t="str">
        <f>IFERROR(VLOOKUP(B151,'Yearly Leave Tracker'!A:NU,384,0),"")</f>
        <v/>
      </c>
      <c r="O151" t="str">
        <f>IFERROR(VLOOKUP(B151,'Yearly Leave Tracker'!A:NU,385,0),"")</f>
        <v/>
      </c>
    </row>
    <row r="152" spans="2:15" x14ac:dyDescent="0.25">
      <c r="B152" t="str">
        <f>IFERROR(IF('Yearly Leave Tracker'!A156="","",'Yearly Leave Tracker'!A156),"")</f>
        <v/>
      </c>
      <c r="C152" t="str">
        <f>IFERROR(VLOOKUP(B152,Database!E:F,2,0),"")</f>
        <v/>
      </c>
      <c r="D152" t="str">
        <f>IFERROR(VLOOKUP(B152,'Yearly Leave Tracker'!A:NU,374,0),"")</f>
        <v/>
      </c>
      <c r="E152" t="str">
        <f>IFERROR(VLOOKUP(B152,'Yearly Leave Tracker'!A:NU,375,0),"")</f>
        <v/>
      </c>
      <c r="F152" t="str">
        <f>IFERROR(VLOOKUP(B152,'Yearly Leave Tracker'!A:NU,376,0),"")</f>
        <v/>
      </c>
      <c r="G152" t="str">
        <f>IFERROR(VLOOKUP(B152,'Yearly Leave Tracker'!A:NU,377,0),"")</f>
        <v/>
      </c>
      <c r="H152" t="str">
        <f>IFERROR(VLOOKUP(B152,'Yearly Leave Tracker'!A:NU,378,0),"")</f>
        <v/>
      </c>
      <c r="I152" t="str">
        <f>IFERROR(VLOOKUP(B152,'Yearly Leave Tracker'!A:NU,379,0),"")</f>
        <v/>
      </c>
      <c r="J152" t="str">
        <f>IFERROR(VLOOKUP(B152,'Yearly Leave Tracker'!A:NU,380,0),"")</f>
        <v/>
      </c>
      <c r="K152" t="str">
        <f>IFERROR(VLOOKUP(B152,'Yearly Leave Tracker'!A:NU,381,0),"")</f>
        <v/>
      </c>
      <c r="L152" t="str">
        <f>IFERROR(VLOOKUP(B152,'Yearly Leave Tracker'!A:NU,382,0),"")</f>
        <v/>
      </c>
      <c r="M152" t="str">
        <f>IFERROR(VLOOKUP(B152,'Yearly Leave Tracker'!A:NU,383,0),"")</f>
        <v/>
      </c>
      <c r="N152" t="str">
        <f>IFERROR(VLOOKUP(B152,'Yearly Leave Tracker'!A:NU,384,0),"")</f>
        <v/>
      </c>
      <c r="O152" t="str">
        <f>IFERROR(VLOOKUP(B152,'Yearly Leave Tracker'!A:NU,385,0),"")</f>
        <v/>
      </c>
    </row>
    <row r="153" spans="2:15" x14ac:dyDescent="0.25">
      <c r="B153" t="str">
        <f>IFERROR(IF('Yearly Leave Tracker'!A157="","",'Yearly Leave Tracker'!A157),"")</f>
        <v/>
      </c>
      <c r="C153" t="str">
        <f>IFERROR(VLOOKUP(B153,Database!E:F,2,0),"")</f>
        <v/>
      </c>
      <c r="D153" t="str">
        <f>IFERROR(VLOOKUP(B153,'Yearly Leave Tracker'!A:NU,374,0),"")</f>
        <v/>
      </c>
      <c r="E153" t="str">
        <f>IFERROR(VLOOKUP(B153,'Yearly Leave Tracker'!A:NU,375,0),"")</f>
        <v/>
      </c>
      <c r="F153" t="str">
        <f>IFERROR(VLOOKUP(B153,'Yearly Leave Tracker'!A:NU,376,0),"")</f>
        <v/>
      </c>
      <c r="G153" t="str">
        <f>IFERROR(VLOOKUP(B153,'Yearly Leave Tracker'!A:NU,377,0),"")</f>
        <v/>
      </c>
      <c r="H153" t="str">
        <f>IFERROR(VLOOKUP(B153,'Yearly Leave Tracker'!A:NU,378,0),"")</f>
        <v/>
      </c>
      <c r="I153" t="str">
        <f>IFERROR(VLOOKUP(B153,'Yearly Leave Tracker'!A:NU,379,0),"")</f>
        <v/>
      </c>
      <c r="J153" t="str">
        <f>IFERROR(VLOOKUP(B153,'Yearly Leave Tracker'!A:NU,380,0),"")</f>
        <v/>
      </c>
      <c r="K153" t="str">
        <f>IFERROR(VLOOKUP(B153,'Yearly Leave Tracker'!A:NU,381,0),"")</f>
        <v/>
      </c>
      <c r="L153" t="str">
        <f>IFERROR(VLOOKUP(B153,'Yearly Leave Tracker'!A:NU,382,0),"")</f>
        <v/>
      </c>
      <c r="M153" t="str">
        <f>IFERROR(VLOOKUP(B153,'Yearly Leave Tracker'!A:NU,383,0),"")</f>
        <v/>
      </c>
      <c r="N153" t="str">
        <f>IFERROR(VLOOKUP(B153,'Yearly Leave Tracker'!A:NU,384,0),"")</f>
        <v/>
      </c>
      <c r="O153" t="str">
        <f>IFERROR(VLOOKUP(B153,'Yearly Leave Tracker'!A:NU,385,0),"")</f>
        <v/>
      </c>
    </row>
    <row r="154" spans="2:15" x14ac:dyDescent="0.25">
      <c r="B154" t="str">
        <f>IFERROR(IF('Yearly Leave Tracker'!A158="","",'Yearly Leave Tracker'!A158),"")</f>
        <v/>
      </c>
      <c r="C154" t="str">
        <f>IFERROR(VLOOKUP(B154,Database!E:F,2,0),"")</f>
        <v/>
      </c>
      <c r="D154" t="str">
        <f>IFERROR(VLOOKUP(B154,'Yearly Leave Tracker'!A:NU,374,0),"")</f>
        <v/>
      </c>
      <c r="E154" t="str">
        <f>IFERROR(VLOOKUP(B154,'Yearly Leave Tracker'!A:NU,375,0),"")</f>
        <v/>
      </c>
      <c r="F154" t="str">
        <f>IFERROR(VLOOKUP(B154,'Yearly Leave Tracker'!A:NU,376,0),"")</f>
        <v/>
      </c>
      <c r="G154" t="str">
        <f>IFERROR(VLOOKUP(B154,'Yearly Leave Tracker'!A:NU,377,0),"")</f>
        <v/>
      </c>
      <c r="H154" t="str">
        <f>IFERROR(VLOOKUP(B154,'Yearly Leave Tracker'!A:NU,378,0),"")</f>
        <v/>
      </c>
      <c r="I154" t="str">
        <f>IFERROR(VLOOKUP(B154,'Yearly Leave Tracker'!A:NU,379,0),"")</f>
        <v/>
      </c>
      <c r="J154" t="str">
        <f>IFERROR(VLOOKUP(B154,'Yearly Leave Tracker'!A:NU,380,0),"")</f>
        <v/>
      </c>
      <c r="K154" t="str">
        <f>IFERROR(VLOOKUP(B154,'Yearly Leave Tracker'!A:NU,381,0),"")</f>
        <v/>
      </c>
      <c r="L154" t="str">
        <f>IFERROR(VLOOKUP(B154,'Yearly Leave Tracker'!A:NU,382,0),"")</f>
        <v/>
      </c>
      <c r="M154" t="str">
        <f>IFERROR(VLOOKUP(B154,'Yearly Leave Tracker'!A:NU,383,0),"")</f>
        <v/>
      </c>
      <c r="N154" t="str">
        <f>IFERROR(VLOOKUP(B154,'Yearly Leave Tracker'!A:NU,384,0),"")</f>
        <v/>
      </c>
      <c r="O154" t="str">
        <f>IFERROR(VLOOKUP(B154,'Yearly Leave Tracker'!A:NU,385,0),"")</f>
        <v/>
      </c>
    </row>
    <row r="155" spans="2:15" x14ac:dyDescent="0.25">
      <c r="B155" t="str">
        <f>IFERROR(IF('Yearly Leave Tracker'!A159="","",'Yearly Leave Tracker'!A159),"")</f>
        <v/>
      </c>
      <c r="C155" t="str">
        <f>IFERROR(VLOOKUP(B155,Database!E:F,2,0),"")</f>
        <v/>
      </c>
      <c r="D155" t="str">
        <f>IFERROR(VLOOKUP(B155,'Yearly Leave Tracker'!A:NU,374,0),"")</f>
        <v/>
      </c>
      <c r="E155" t="str">
        <f>IFERROR(VLOOKUP(B155,'Yearly Leave Tracker'!A:NU,375,0),"")</f>
        <v/>
      </c>
      <c r="F155" t="str">
        <f>IFERROR(VLOOKUP(B155,'Yearly Leave Tracker'!A:NU,376,0),"")</f>
        <v/>
      </c>
      <c r="G155" t="str">
        <f>IFERROR(VLOOKUP(B155,'Yearly Leave Tracker'!A:NU,377,0),"")</f>
        <v/>
      </c>
      <c r="H155" t="str">
        <f>IFERROR(VLOOKUP(B155,'Yearly Leave Tracker'!A:NU,378,0),"")</f>
        <v/>
      </c>
      <c r="I155" t="str">
        <f>IFERROR(VLOOKUP(B155,'Yearly Leave Tracker'!A:NU,379,0),"")</f>
        <v/>
      </c>
      <c r="J155" t="str">
        <f>IFERROR(VLOOKUP(B155,'Yearly Leave Tracker'!A:NU,380,0),"")</f>
        <v/>
      </c>
      <c r="K155" t="str">
        <f>IFERROR(VLOOKUP(B155,'Yearly Leave Tracker'!A:NU,381,0),"")</f>
        <v/>
      </c>
      <c r="L155" t="str">
        <f>IFERROR(VLOOKUP(B155,'Yearly Leave Tracker'!A:NU,382,0),"")</f>
        <v/>
      </c>
      <c r="M155" t="str">
        <f>IFERROR(VLOOKUP(B155,'Yearly Leave Tracker'!A:NU,383,0),"")</f>
        <v/>
      </c>
      <c r="N155" t="str">
        <f>IFERROR(VLOOKUP(B155,'Yearly Leave Tracker'!A:NU,384,0),"")</f>
        <v/>
      </c>
      <c r="O155" t="str">
        <f>IFERROR(VLOOKUP(B155,'Yearly Leave Tracker'!A:NU,385,0),"")</f>
        <v/>
      </c>
    </row>
    <row r="156" spans="2:15" x14ac:dyDescent="0.25">
      <c r="B156" t="str">
        <f>IFERROR(IF('Yearly Leave Tracker'!A160="","",'Yearly Leave Tracker'!A160),"")</f>
        <v/>
      </c>
      <c r="C156" t="str">
        <f>IFERROR(VLOOKUP(B156,Database!E:F,2,0),"")</f>
        <v/>
      </c>
      <c r="D156" t="str">
        <f>IFERROR(VLOOKUP(B156,'Yearly Leave Tracker'!A:NU,374,0),"")</f>
        <v/>
      </c>
      <c r="E156" t="str">
        <f>IFERROR(VLOOKUP(B156,'Yearly Leave Tracker'!A:NU,375,0),"")</f>
        <v/>
      </c>
      <c r="F156" t="str">
        <f>IFERROR(VLOOKUP(B156,'Yearly Leave Tracker'!A:NU,376,0),"")</f>
        <v/>
      </c>
      <c r="G156" t="str">
        <f>IFERROR(VLOOKUP(B156,'Yearly Leave Tracker'!A:NU,377,0),"")</f>
        <v/>
      </c>
      <c r="H156" t="str">
        <f>IFERROR(VLOOKUP(B156,'Yearly Leave Tracker'!A:NU,378,0),"")</f>
        <v/>
      </c>
      <c r="I156" t="str">
        <f>IFERROR(VLOOKUP(B156,'Yearly Leave Tracker'!A:NU,379,0),"")</f>
        <v/>
      </c>
      <c r="J156" t="str">
        <f>IFERROR(VLOOKUP(B156,'Yearly Leave Tracker'!A:NU,380,0),"")</f>
        <v/>
      </c>
      <c r="K156" t="str">
        <f>IFERROR(VLOOKUP(B156,'Yearly Leave Tracker'!A:NU,381,0),"")</f>
        <v/>
      </c>
      <c r="L156" t="str">
        <f>IFERROR(VLOOKUP(B156,'Yearly Leave Tracker'!A:NU,382,0),"")</f>
        <v/>
      </c>
      <c r="M156" t="str">
        <f>IFERROR(VLOOKUP(B156,'Yearly Leave Tracker'!A:NU,383,0),"")</f>
        <v/>
      </c>
      <c r="N156" t="str">
        <f>IFERROR(VLOOKUP(B156,'Yearly Leave Tracker'!A:NU,384,0),"")</f>
        <v/>
      </c>
      <c r="O156" t="str">
        <f>IFERROR(VLOOKUP(B156,'Yearly Leave Tracker'!A:NU,385,0),"")</f>
        <v/>
      </c>
    </row>
    <row r="157" spans="2:15" x14ac:dyDescent="0.25">
      <c r="B157" t="str">
        <f>IFERROR(IF('Yearly Leave Tracker'!A161="","",'Yearly Leave Tracker'!A161),"")</f>
        <v/>
      </c>
      <c r="C157" t="str">
        <f>IFERROR(VLOOKUP(B157,Database!E:F,2,0),"")</f>
        <v/>
      </c>
      <c r="D157" t="str">
        <f>IFERROR(VLOOKUP(B157,'Yearly Leave Tracker'!A:NU,374,0),"")</f>
        <v/>
      </c>
      <c r="E157" t="str">
        <f>IFERROR(VLOOKUP(B157,'Yearly Leave Tracker'!A:NU,375,0),"")</f>
        <v/>
      </c>
      <c r="F157" t="str">
        <f>IFERROR(VLOOKUP(B157,'Yearly Leave Tracker'!A:NU,376,0),"")</f>
        <v/>
      </c>
      <c r="G157" t="str">
        <f>IFERROR(VLOOKUP(B157,'Yearly Leave Tracker'!A:NU,377,0),"")</f>
        <v/>
      </c>
      <c r="H157" t="str">
        <f>IFERROR(VLOOKUP(B157,'Yearly Leave Tracker'!A:NU,378,0),"")</f>
        <v/>
      </c>
      <c r="I157" t="str">
        <f>IFERROR(VLOOKUP(B157,'Yearly Leave Tracker'!A:NU,379,0),"")</f>
        <v/>
      </c>
      <c r="J157" t="str">
        <f>IFERROR(VLOOKUP(B157,'Yearly Leave Tracker'!A:NU,380,0),"")</f>
        <v/>
      </c>
      <c r="K157" t="str">
        <f>IFERROR(VLOOKUP(B157,'Yearly Leave Tracker'!A:NU,381,0),"")</f>
        <v/>
      </c>
      <c r="L157" t="str">
        <f>IFERROR(VLOOKUP(B157,'Yearly Leave Tracker'!A:NU,382,0),"")</f>
        <v/>
      </c>
      <c r="M157" t="str">
        <f>IFERROR(VLOOKUP(B157,'Yearly Leave Tracker'!A:NU,383,0),"")</f>
        <v/>
      </c>
      <c r="N157" t="str">
        <f>IFERROR(VLOOKUP(B157,'Yearly Leave Tracker'!A:NU,384,0),"")</f>
        <v/>
      </c>
      <c r="O157" t="str">
        <f>IFERROR(VLOOKUP(B157,'Yearly Leave Tracker'!A:NU,385,0),"")</f>
        <v/>
      </c>
    </row>
    <row r="158" spans="2:15" x14ac:dyDescent="0.25">
      <c r="B158" t="str">
        <f>IFERROR(IF('Yearly Leave Tracker'!A162="","",'Yearly Leave Tracker'!A162),"")</f>
        <v/>
      </c>
      <c r="C158" t="str">
        <f>IFERROR(VLOOKUP(B158,Database!E:F,2,0),"")</f>
        <v/>
      </c>
      <c r="D158" t="str">
        <f>IFERROR(VLOOKUP(B158,'Yearly Leave Tracker'!A:NU,374,0),"")</f>
        <v/>
      </c>
      <c r="E158" t="str">
        <f>IFERROR(VLOOKUP(B158,'Yearly Leave Tracker'!A:NU,375,0),"")</f>
        <v/>
      </c>
      <c r="F158" t="str">
        <f>IFERROR(VLOOKUP(B158,'Yearly Leave Tracker'!A:NU,376,0),"")</f>
        <v/>
      </c>
      <c r="G158" t="str">
        <f>IFERROR(VLOOKUP(B158,'Yearly Leave Tracker'!A:NU,377,0),"")</f>
        <v/>
      </c>
      <c r="H158" t="str">
        <f>IFERROR(VLOOKUP(B158,'Yearly Leave Tracker'!A:NU,378,0),"")</f>
        <v/>
      </c>
      <c r="I158" t="str">
        <f>IFERROR(VLOOKUP(B158,'Yearly Leave Tracker'!A:NU,379,0),"")</f>
        <v/>
      </c>
      <c r="J158" t="str">
        <f>IFERROR(VLOOKUP(B158,'Yearly Leave Tracker'!A:NU,380,0),"")</f>
        <v/>
      </c>
      <c r="K158" t="str">
        <f>IFERROR(VLOOKUP(B158,'Yearly Leave Tracker'!A:NU,381,0),"")</f>
        <v/>
      </c>
      <c r="L158" t="str">
        <f>IFERROR(VLOOKUP(B158,'Yearly Leave Tracker'!A:NU,382,0),"")</f>
        <v/>
      </c>
      <c r="M158" t="str">
        <f>IFERROR(VLOOKUP(B158,'Yearly Leave Tracker'!A:NU,383,0),"")</f>
        <v/>
      </c>
      <c r="N158" t="str">
        <f>IFERROR(VLOOKUP(B158,'Yearly Leave Tracker'!A:NU,384,0),"")</f>
        <v/>
      </c>
      <c r="O158" t="str">
        <f>IFERROR(VLOOKUP(B158,'Yearly Leave Tracker'!A:NU,385,0),"")</f>
        <v/>
      </c>
    </row>
    <row r="159" spans="2:15" x14ac:dyDescent="0.25">
      <c r="B159" t="str">
        <f>IFERROR(IF('Yearly Leave Tracker'!A163="","",'Yearly Leave Tracker'!A163),"")</f>
        <v/>
      </c>
      <c r="C159" t="str">
        <f>IFERROR(VLOOKUP(B159,Database!E:F,2,0),"")</f>
        <v/>
      </c>
      <c r="D159" t="str">
        <f>IFERROR(VLOOKUP(B159,'Yearly Leave Tracker'!A:NU,374,0),"")</f>
        <v/>
      </c>
      <c r="E159" t="str">
        <f>IFERROR(VLOOKUP(B159,'Yearly Leave Tracker'!A:NU,375,0),"")</f>
        <v/>
      </c>
      <c r="F159" t="str">
        <f>IFERROR(VLOOKUP(B159,'Yearly Leave Tracker'!A:NU,376,0),"")</f>
        <v/>
      </c>
      <c r="G159" t="str">
        <f>IFERROR(VLOOKUP(B159,'Yearly Leave Tracker'!A:NU,377,0),"")</f>
        <v/>
      </c>
      <c r="H159" t="str">
        <f>IFERROR(VLOOKUP(B159,'Yearly Leave Tracker'!A:NU,378,0),"")</f>
        <v/>
      </c>
      <c r="I159" t="str">
        <f>IFERROR(VLOOKUP(B159,'Yearly Leave Tracker'!A:NU,379,0),"")</f>
        <v/>
      </c>
      <c r="J159" t="str">
        <f>IFERROR(VLOOKUP(B159,'Yearly Leave Tracker'!A:NU,380,0),"")</f>
        <v/>
      </c>
      <c r="K159" t="str">
        <f>IFERROR(VLOOKUP(B159,'Yearly Leave Tracker'!A:NU,381,0),"")</f>
        <v/>
      </c>
      <c r="L159" t="str">
        <f>IFERROR(VLOOKUP(B159,'Yearly Leave Tracker'!A:NU,382,0),"")</f>
        <v/>
      </c>
      <c r="M159" t="str">
        <f>IFERROR(VLOOKUP(B159,'Yearly Leave Tracker'!A:NU,383,0),"")</f>
        <v/>
      </c>
      <c r="N159" t="str">
        <f>IFERROR(VLOOKUP(B159,'Yearly Leave Tracker'!A:NU,384,0),"")</f>
        <v/>
      </c>
      <c r="O159" t="str">
        <f>IFERROR(VLOOKUP(B159,'Yearly Leave Tracker'!A:NU,385,0),"")</f>
        <v/>
      </c>
    </row>
    <row r="160" spans="2:15" x14ac:dyDescent="0.25">
      <c r="B160" t="str">
        <f>IFERROR(IF('Yearly Leave Tracker'!A164="","",'Yearly Leave Tracker'!A164),"")</f>
        <v/>
      </c>
      <c r="C160" t="str">
        <f>IFERROR(VLOOKUP(B160,Database!E:F,2,0),"")</f>
        <v/>
      </c>
      <c r="D160" t="str">
        <f>IFERROR(VLOOKUP(B160,'Yearly Leave Tracker'!A:NU,374,0),"")</f>
        <v/>
      </c>
      <c r="E160" t="str">
        <f>IFERROR(VLOOKUP(B160,'Yearly Leave Tracker'!A:NU,375,0),"")</f>
        <v/>
      </c>
      <c r="F160" t="str">
        <f>IFERROR(VLOOKUP(B160,'Yearly Leave Tracker'!A:NU,376,0),"")</f>
        <v/>
      </c>
      <c r="G160" t="str">
        <f>IFERROR(VLOOKUP(B160,'Yearly Leave Tracker'!A:NU,377,0),"")</f>
        <v/>
      </c>
      <c r="H160" t="str">
        <f>IFERROR(VLOOKUP(B160,'Yearly Leave Tracker'!A:NU,378,0),"")</f>
        <v/>
      </c>
      <c r="I160" t="str">
        <f>IFERROR(VLOOKUP(B160,'Yearly Leave Tracker'!A:NU,379,0),"")</f>
        <v/>
      </c>
      <c r="J160" t="str">
        <f>IFERROR(VLOOKUP(B160,'Yearly Leave Tracker'!A:NU,380,0),"")</f>
        <v/>
      </c>
      <c r="K160" t="str">
        <f>IFERROR(VLOOKUP(B160,'Yearly Leave Tracker'!A:NU,381,0),"")</f>
        <v/>
      </c>
      <c r="L160" t="str">
        <f>IFERROR(VLOOKUP(B160,'Yearly Leave Tracker'!A:NU,382,0),"")</f>
        <v/>
      </c>
      <c r="M160" t="str">
        <f>IFERROR(VLOOKUP(B160,'Yearly Leave Tracker'!A:NU,383,0),"")</f>
        <v/>
      </c>
      <c r="N160" t="str">
        <f>IFERROR(VLOOKUP(B160,'Yearly Leave Tracker'!A:NU,384,0),"")</f>
        <v/>
      </c>
      <c r="O160" t="str">
        <f>IFERROR(VLOOKUP(B160,'Yearly Leave Tracker'!A:NU,385,0),"")</f>
        <v/>
      </c>
    </row>
    <row r="161" spans="2:15" x14ac:dyDescent="0.25">
      <c r="B161" t="str">
        <f>IFERROR(IF('Yearly Leave Tracker'!A165="","",'Yearly Leave Tracker'!A165),"")</f>
        <v/>
      </c>
      <c r="C161" t="str">
        <f>IFERROR(VLOOKUP(B161,Database!E:F,2,0),"")</f>
        <v/>
      </c>
      <c r="D161" t="str">
        <f>IFERROR(VLOOKUP(B161,'Yearly Leave Tracker'!A:NU,374,0),"")</f>
        <v/>
      </c>
      <c r="E161" t="str">
        <f>IFERROR(VLOOKUP(B161,'Yearly Leave Tracker'!A:NU,375,0),"")</f>
        <v/>
      </c>
      <c r="F161" t="str">
        <f>IFERROR(VLOOKUP(B161,'Yearly Leave Tracker'!A:NU,376,0),"")</f>
        <v/>
      </c>
      <c r="G161" t="str">
        <f>IFERROR(VLOOKUP(B161,'Yearly Leave Tracker'!A:NU,377,0),"")</f>
        <v/>
      </c>
      <c r="H161" t="str">
        <f>IFERROR(VLOOKUP(B161,'Yearly Leave Tracker'!A:NU,378,0),"")</f>
        <v/>
      </c>
      <c r="I161" t="str">
        <f>IFERROR(VLOOKUP(B161,'Yearly Leave Tracker'!A:NU,379,0),"")</f>
        <v/>
      </c>
      <c r="J161" t="str">
        <f>IFERROR(VLOOKUP(B161,'Yearly Leave Tracker'!A:NU,380,0),"")</f>
        <v/>
      </c>
      <c r="K161" t="str">
        <f>IFERROR(VLOOKUP(B161,'Yearly Leave Tracker'!A:NU,381,0),"")</f>
        <v/>
      </c>
      <c r="L161" t="str">
        <f>IFERROR(VLOOKUP(B161,'Yearly Leave Tracker'!A:NU,382,0),"")</f>
        <v/>
      </c>
      <c r="M161" t="str">
        <f>IFERROR(VLOOKUP(B161,'Yearly Leave Tracker'!A:NU,383,0),"")</f>
        <v/>
      </c>
      <c r="N161" t="str">
        <f>IFERROR(VLOOKUP(B161,'Yearly Leave Tracker'!A:NU,384,0),"")</f>
        <v/>
      </c>
      <c r="O161" t="str">
        <f>IFERROR(VLOOKUP(B161,'Yearly Leave Tracker'!A:NU,385,0),"")</f>
        <v/>
      </c>
    </row>
    <row r="162" spans="2:15" x14ac:dyDescent="0.25">
      <c r="B162" t="str">
        <f>IFERROR(IF('Yearly Leave Tracker'!A166="","",'Yearly Leave Tracker'!A166),"")</f>
        <v/>
      </c>
      <c r="C162" t="str">
        <f>IFERROR(VLOOKUP(B162,Database!E:F,2,0),"")</f>
        <v/>
      </c>
      <c r="D162" t="str">
        <f>IFERROR(VLOOKUP(B162,'Yearly Leave Tracker'!A:NU,374,0),"")</f>
        <v/>
      </c>
      <c r="E162" t="str">
        <f>IFERROR(VLOOKUP(B162,'Yearly Leave Tracker'!A:NU,375,0),"")</f>
        <v/>
      </c>
      <c r="F162" t="str">
        <f>IFERROR(VLOOKUP(B162,'Yearly Leave Tracker'!A:NU,376,0),"")</f>
        <v/>
      </c>
      <c r="G162" t="str">
        <f>IFERROR(VLOOKUP(B162,'Yearly Leave Tracker'!A:NU,377,0),"")</f>
        <v/>
      </c>
      <c r="H162" t="str">
        <f>IFERROR(VLOOKUP(B162,'Yearly Leave Tracker'!A:NU,378,0),"")</f>
        <v/>
      </c>
      <c r="I162" t="str">
        <f>IFERROR(VLOOKUP(B162,'Yearly Leave Tracker'!A:NU,379,0),"")</f>
        <v/>
      </c>
      <c r="J162" t="str">
        <f>IFERROR(VLOOKUP(B162,'Yearly Leave Tracker'!A:NU,380,0),"")</f>
        <v/>
      </c>
      <c r="K162" t="str">
        <f>IFERROR(VLOOKUP(B162,'Yearly Leave Tracker'!A:NU,381,0),"")</f>
        <v/>
      </c>
      <c r="L162" t="str">
        <f>IFERROR(VLOOKUP(B162,'Yearly Leave Tracker'!A:NU,382,0),"")</f>
        <v/>
      </c>
      <c r="M162" t="str">
        <f>IFERROR(VLOOKUP(B162,'Yearly Leave Tracker'!A:NU,383,0),"")</f>
        <v/>
      </c>
      <c r="N162" t="str">
        <f>IFERROR(VLOOKUP(B162,'Yearly Leave Tracker'!A:NU,384,0),"")</f>
        <v/>
      </c>
      <c r="O162" t="str">
        <f>IFERROR(VLOOKUP(B162,'Yearly Leave Tracker'!A:NU,385,0),"")</f>
        <v/>
      </c>
    </row>
    <row r="163" spans="2:15" x14ac:dyDescent="0.25">
      <c r="B163" t="str">
        <f>IFERROR(IF('Yearly Leave Tracker'!A167="","",'Yearly Leave Tracker'!A167),"")</f>
        <v/>
      </c>
      <c r="C163" t="str">
        <f>IFERROR(VLOOKUP(B163,Database!E:F,2,0),"")</f>
        <v/>
      </c>
      <c r="D163" t="str">
        <f>IFERROR(VLOOKUP(B163,'Yearly Leave Tracker'!A:NU,374,0),"")</f>
        <v/>
      </c>
      <c r="E163" t="str">
        <f>IFERROR(VLOOKUP(B163,'Yearly Leave Tracker'!A:NU,375,0),"")</f>
        <v/>
      </c>
      <c r="F163" t="str">
        <f>IFERROR(VLOOKUP(B163,'Yearly Leave Tracker'!A:NU,376,0),"")</f>
        <v/>
      </c>
      <c r="G163" t="str">
        <f>IFERROR(VLOOKUP(B163,'Yearly Leave Tracker'!A:NU,377,0),"")</f>
        <v/>
      </c>
      <c r="H163" t="str">
        <f>IFERROR(VLOOKUP(B163,'Yearly Leave Tracker'!A:NU,378,0),"")</f>
        <v/>
      </c>
      <c r="I163" t="str">
        <f>IFERROR(VLOOKUP(B163,'Yearly Leave Tracker'!A:NU,379,0),"")</f>
        <v/>
      </c>
      <c r="J163" t="str">
        <f>IFERROR(VLOOKUP(B163,'Yearly Leave Tracker'!A:NU,380,0),"")</f>
        <v/>
      </c>
      <c r="K163" t="str">
        <f>IFERROR(VLOOKUP(B163,'Yearly Leave Tracker'!A:NU,381,0),"")</f>
        <v/>
      </c>
      <c r="L163" t="str">
        <f>IFERROR(VLOOKUP(B163,'Yearly Leave Tracker'!A:NU,382,0),"")</f>
        <v/>
      </c>
      <c r="M163" t="str">
        <f>IFERROR(VLOOKUP(B163,'Yearly Leave Tracker'!A:NU,383,0),"")</f>
        <v/>
      </c>
      <c r="N163" t="str">
        <f>IFERROR(VLOOKUP(B163,'Yearly Leave Tracker'!A:NU,384,0),"")</f>
        <v/>
      </c>
      <c r="O163" t="str">
        <f>IFERROR(VLOOKUP(B163,'Yearly Leave Tracker'!A:NU,385,0),"")</f>
        <v/>
      </c>
    </row>
    <row r="164" spans="2:15" x14ac:dyDescent="0.25">
      <c r="B164" t="str">
        <f>IFERROR(IF('Yearly Leave Tracker'!A168="","",'Yearly Leave Tracker'!A168),"")</f>
        <v/>
      </c>
      <c r="C164" t="str">
        <f>IFERROR(VLOOKUP(B164,Database!E:F,2,0),"")</f>
        <v/>
      </c>
      <c r="D164" t="str">
        <f>IFERROR(VLOOKUP(B164,'Yearly Leave Tracker'!A:NU,374,0),"")</f>
        <v/>
      </c>
      <c r="E164" t="str">
        <f>IFERROR(VLOOKUP(B164,'Yearly Leave Tracker'!A:NU,375,0),"")</f>
        <v/>
      </c>
      <c r="F164" t="str">
        <f>IFERROR(VLOOKUP(B164,'Yearly Leave Tracker'!A:NU,376,0),"")</f>
        <v/>
      </c>
      <c r="G164" t="str">
        <f>IFERROR(VLOOKUP(B164,'Yearly Leave Tracker'!A:NU,377,0),"")</f>
        <v/>
      </c>
      <c r="H164" t="str">
        <f>IFERROR(VLOOKUP(B164,'Yearly Leave Tracker'!A:NU,378,0),"")</f>
        <v/>
      </c>
      <c r="I164" t="str">
        <f>IFERROR(VLOOKUP(B164,'Yearly Leave Tracker'!A:NU,379,0),"")</f>
        <v/>
      </c>
      <c r="J164" t="str">
        <f>IFERROR(VLOOKUP(B164,'Yearly Leave Tracker'!A:NU,380,0),"")</f>
        <v/>
      </c>
      <c r="K164" t="str">
        <f>IFERROR(VLOOKUP(B164,'Yearly Leave Tracker'!A:NU,381,0),"")</f>
        <v/>
      </c>
      <c r="L164" t="str">
        <f>IFERROR(VLOOKUP(B164,'Yearly Leave Tracker'!A:NU,382,0),"")</f>
        <v/>
      </c>
      <c r="M164" t="str">
        <f>IFERROR(VLOOKUP(B164,'Yearly Leave Tracker'!A:NU,383,0),"")</f>
        <v/>
      </c>
      <c r="N164" t="str">
        <f>IFERROR(VLOOKUP(B164,'Yearly Leave Tracker'!A:NU,384,0),"")</f>
        <v/>
      </c>
      <c r="O164" t="str">
        <f>IFERROR(VLOOKUP(B164,'Yearly Leave Tracker'!A:NU,385,0),"")</f>
        <v/>
      </c>
    </row>
    <row r="165" spans="2:15" x14ac:dyDescent="0.25">
      <c r="B165" t="str">
        <f>IFERROR(IF('Yearly Leave Tracker'!A169="","",'Yearly Leave Tracker'!A169),"")</f>
        <v/>
      </c>
      <c r="C165" t="str">
        <f>IFERROR(VLOOKUP(B165,Database!E:F,2,0),"")</f>
        <v/>
      </c>
      <c r="D165" t="str">
        <f>IFERROR(VLOOKUP(B165,'Yearly Leave Tracker'!A:NU,374,0),"")</f>
        <v/>
      </c>
      <c r="E165" t="str">
        <f>IFERROR(VLOOKUP(B165,'Yearly Leave Tracker'!A:NU,375,0),"")</f>
        <v/>
      </c>
      <c r="F165" t="str">
        <f>IFERROR(VLOOKUP(B165,'Yearly Leave Tracker'!A:NU,376,0),"")</f>
        <v/>
      </c>
      <c r="G165" t="str">
        <f>IFERROR(VLOOKUP(B165,'Yearly Leave Tracker'!A:NU,377,0),"")</f>
        <v/>
      </c>
      <c r="H165" t="str">
        <f>IFERROR(VLOOKUP(B165,'Yearly Leave Tracker'!A:NU,378,0),"")</f>
        <v/>
      </c>
      <c r="I165" t="str">
        <f>IFERROR(VLOOKUP(B165,'Yearly Leave Tracker'!A:NU,379,0),"")</f>
        <v/>
      </c>
      <c r="J165" t="str">
        <f>IFERROR(VLOOKUP(B165,'Yearly Leave Tracker'!A:NU,380,0),"")</f>
        <v/>
      </c>
      <c r="K165" t="str">
        <f>IFERROR(VLOOKUP(B165,'Yearly Leave Tracker'!A:NU,381,0),"")</f>
        <v/>
      </c>
      <c r="L165" t="str">
        <f>IFERROR(VLOOKUP(B165,'Yearly Leave Tracker'!A:NU,382,0),"")</f>
        <v/>
      </c>
      <c r="M165" t="str">
        <f>IFERROR(VLOOKUP(B165,'Yearly Leave Tracker'!A:NU,383,0),"")</f>
        <v/>
      </c>
      <c r="N165" t="str">
        <f>IFERROR(VLOOKUP(B165,'Yearly Leave Tracker'!A:NU,384,0),"")</f>
        <v/>
      </c>
      <c r="O165" t="str">
        <f>IFERROR(VLOOKUP(B165,'Yearly Leave Tracker'!A:NU,385,0),"")</f>
        <v/>
      </c>
    </row>
    <row r="166" spans="2:15" x14ac:dyDescent="0.25">
      <c r="B166" t="str">
        <f>IFERROR(IF('Yearly Leave Tracker'!A170="","",'Yearly Leave Tracker'!A170),"")</f>
        <v/>
      </c>
      <c r="C166" t="str">
        <f>IFERROR(VLOOKUP(B166,Database!E:F,2,0),"")</f>
        <v/>
      </c>
      <c r="D166" t="str">
        <f>IFERROR(VLOOKUP(B166,'Yearly Leave Tracker'!A:NU,374,0),"")</f>
        <v/>
      </c>
      <c r="E166" t="str">
        <f>IFERROR(VLOOKUP(B166,'Yearly Leave Tracker'!A:NU,375,0),"")</f>
        <v/>
      </c>
      <c r="F166" t="str">
        <f>IFERROR(VLOOKUP(B166,'Yearly Leave Tracker'!A:NU,376,0),"")</f>
        <v/>
      </c>
      <c r="G166" t="str">
        <f>IFERROR(VLOOKUP(B166,'Yearly Leave Tracker'!A:NU,377,0),"")</f>
        <v/>
      </c>
      <c r="H166" t="str">
        <f>IFERROR(VLOOKUP(B166,'Yearly Leave Tracker'!A:NU,378,0),"")</f>
        <v/>
      </c>
      <c r="I166" t="str">
        <f>IFERROR(VLOOKUP(B166,'Yearly Leave Tracker'!A:NU,379,0),"")</f>
        <v/>
      </c>
      <c r="J166" t="str">
        <f>IFERROR(VLOOKUP(B166,'Yearly Leave Tracker'!A:NU,380,0),"")</f>
        <v/>
      </c>
      <c r="K166" t="str">
        <f>IFERROR(VLOOKUP(B166,'Yearly Leave Tracker'!A:NU,381,0),"")</f>
        <v/>
      </c>
      <c r="L166" t="str">
        <f>IFERROR(VLOOKUP(B166,'Yearly Leave Tracker'!A:NU,382,0),"")</f>
        <v/>
      </c>
      <c r="M166" t="str">
        <f>IFERROR(VLOOKUP(B166,'Yearly Leave Tracker'!A:NU,383,0),"")</f>
        <v/>
      </c>
      <c r="N166" t="str">
        <f>IFERROR(VLOOKUP(B166,'Yearly Leave Tracker'!A:NU,384,0),"")</f>
        <v/>
      </c>
      <c r="O166" t="str">
        <f>IFERROR(VLOOKUP(B166,'Yearly Leave Tracker'!A:NU,385,0),"")</f>
        <v/>
      </c>
    </row>
    <row r="167" spans="2:15" x14ac:dyDescent="0.25">
      <c r="B167" t="str">
        <f>IFERROR(IF('Yearly Leave Tracker'!A171="","",'Yearly Leave Tracker'!A171),"")</f>
        <v/>
      </c>
      <c r="C167" t="str">
        <f>IFERROR(VLOOKUP(B167,Database!E:F,2,0),"")</f>
        <v/>
      </c>
      <c r="D167" t="str">
        <f>IFERROR(VLOOKUP(B167,'Yearly Leave Tracker'!A:NU,374,0),"")</f>
        <v/>
      </c>
      <c r="E167" t="str">
        <f>IFERROR(VLOOKUP(B167,'Yearly Leave Tracker'!A:NU,375,0),"")</f>
        <v/>
      </c>
      <c r="F167" t="str">
        <f>IFERROR(VLOOKUP(B167,'Yearly Leave Tracker'!A:NU,376,0),"")</f>
        <v/>
      </c>
      <c r="G167" t="str">
        <f>IFERROR(VLOOKUP(B167,'Yearly Leave Tracker'!A:NU,377,0),"")</f>
        <v/>
      </c>
      <c r="H167" t="str">
        <f>IFERROR(VLOOKUP(B167,'Yearly Leave Tracker'!A:NU,378,0),"")</f>
        <v/>
      </c>
      <c r="I167" t="str">
        <f>IFERROR(VLOOKUP(B167,'Yearly Leave Tracker'!A:NU,379,0),"")</f>
        <v/>
      </c>
      <c r="J167" t="str">
        <f>IFERROR(VLOOKUP(B167,'Yearly Leave Tracker'!A:NU,380,0),"")</f>
        <v/>
      </c>
      <c r="K167" t="str">
        <f>IFERROR(VLOOKUP(B167,'Yearly Leave Tracker'!A:NU,381,0),"")</f>
        <v/>
      </c>
      <c r="L167" t="str">
        <f>IFERROR(VLOOKUP(B167,'Yearly Leave Tracker'!A:NU,382,0),"")</f>
        <v/>
      </c>
      <c r="M167" t="str">
        <f>IFERROR(VLOOKUP(B167,'Yearly Leave Tracker'!A:NU,383,0),"")</f>
        <v/>
      </c>
      <c r="N167" t="str">
        <f>IFERROR(VLOOKUP(B167,'Yearly Leave Tracker'!A:NU,384,0),"")</f>
        <v/>
      </c>
      <c r="O167" t="str">
        <f>IFERROR(VLOOKUP(B167,'Yearly Leave Tracker'!A:NU,385,0),"")</f>
        <v/>
      </c>
    </row>
    <row r="168" spans="2:15" x14ac:dyDescent="0.25">
      <c r="B168" t="str">
        <f>IFERROR(IF('Yearly Leave Tracker'!A172="","",'Yearly Leave Tracker'!A172),"")</f>
        <v/>
      </c>
      <c r="C168" t="str">
        <f>IFERROR(VLOOKUP(B168,Database!E:F,2,0),"")</f>
        <v/>
      </c>
      <c r="D168" t="str">
        <f>IFERROR(VLOOKUP(B168,'Yearly Leave Tracker'!A:NU,374,0),"")</f>
        <v/>
      </c>
      <c r="E168" t="str">
        <f>IFERROR(VLOOKUP(B168,'Yearly Leave Tracker'!A:NU,375,0),"")</f>
        <v/>
      </c>
      <c r="F168" t="str">
        <f>IFERROR(VLOOKUP(B168,'Yearly Leave Tracker'!A:NU,376,0),"")</f>
        <v/>
      </c>
      <c r="G168" t="str">
        <f>IFERROR(VLOOKUP(B168,'Yearly Leave Tracker'!A:NU,377,0),"")</f>
        <v/>
      </c>
      <c r="H168" t="str">
        <f>IFERROR(VLOOKUP(B168,'Yearly Leave Tracker'!A:NU,378,0),"")</f>
        <v/>
      </c>
      <c r="I168" t="str">
        <f>IFERROR(VLOOKUP(B168,'Yearly Leave Tracker'!A:NU,379,0),"")</f>
        <v/>
      </c>
      <c r="J168" t="str">
        <f>IFERROR(VLOOKUP(B168,'Yearly Leave Tracker'!A:NU,380,0),"")</f>
        <v/>
      </c>
      <c r="K168" t="str">
        <f>IFERROR(VLOOKUP(B168,'Yearly Leave Tracker'!A:NU,381,0),"")</f>
        <v/>
      </c>
      <c r="L168" t="str">
        <f>IFERROR(VLOOKUP(B168,'Yearly Leave Tracker'!A:NU,382,0),"")</f>
        <v/>
      </c>
      <c r="M168" t="str">
        <f>IFERROR(VLOOKUP(B168,'Yearly Leave Tracker'!A:NU,383,0),"")</f>
        <v/>
      </c>
      <c r="N168" t="str">
        <f>IFERROR(VLOOKUP(B168,'Yearly Leave Tracker'!A:NU,384,0),"")</f>
        <v/>
      </c>
      <c r="O168" t="str">
        <f>IFERROR(VLOOKUP(B168,'Yearly Leave Tracker'!A:NU,385,0),"")</f>
        <v/>
      </c>
    </row>
    <row r="169" spans="2:15" x14ac:dyDescent="0.25">
      <c r="B169" t="str">
        <f>IFERROR(IF('Yearly Leave Tracker'!A173="","",'Yearly Leave Tracker'!A173),"")</f>
        <v/>
      </c>
      <c r="C169" t="str">
        <f>IFERROR(VLOOKUP(B169,Database!E:F,2,0),"")</f>
        <v/>
      </c>
      <c r="D169" t="str">
        <f>IFERROR(VLOOKUP(B169,'Yearly Leave Tracker'!A:NU,374,0),"")</f>
        <v/>
      </c>
      <c r="E169" t="str">
        <f>IFERROR(VLOOKUP(B169,'Yearly Leave Tracker'!A:NU,375,0),"")</f>
        <v/>
      </c>
      <c r="F169" t="str">
        <f>IFERROR(VLOOKUP(B169,'Yearly Leave Tracker'!A:NU,376,0),"")</f>
        <v/>
      </c>
      <c r="G169" t="str">
        <f>IFERROR(VLOOKUP(B169,'Yearly Leave Tracker'!A:NU,377,0),"")</f>
        <v/>
      </c>
      <c r="H169" t="str">
        <f>IFERROR(VLOOKUP(B169,'Yearly Leave Tracker'!A:NU,378,0),"")</f>
        <v/>
      </c>
      <c r="I169" t="str">
        <f>IFERROR(VLOOKUP(B169,'Yearly Leave Tracker'!A:NU,379,0),"")</f>
        <v/>
      </c>
      <c r="J169" t="str">
        <f>IFERROR(VLOOKUP(B169,'Yearly Leave Tracker'!A:NU,380,0),"")</f>
        <v/>
      </c>
      <c r="K169" t="str">
        <f>IFERROR(VLOOKUP(B169,'Yearly Leave Tracker'!A:NU,381,0),"")</f>
        <v/>
      </c>
      <c r="L169" t="str">
        <f>IFERROR(VLOOKUP(B169,'Yearly Leave Tracker'!A:NU,382,0),"")</f>
        <v/>
      </c>
      <c r="M169" t="str">
        <f>IFERROR(VLOOKUP(B169,'Yearly Leave Tracker'!A:NU,383,0),"")</f>
        <v/>
      </c>
      <c r="N169" t="str">
        <f>IFERROR(VLOOKUP(B169,'Yearly Leave Tracker'!A:NU,384,0),"")</f>
        <v/>
      </c>
      <c r="O169" t="str">
        <f>IFERROR(VLOOKUP(B169,'Yearly Leave Tracker'!A:NU,385,0),"")</f>
        <v/>
      </c>
    </row>
    <row r="170" spans="2:15" x14ac:dyDescent="0.25">
      <c r="B170" t="str">
        <f>IFERROR(IF('Yearly Leave Tracker'!A174="","",'Yearly Leave Tracker'!A174),"")</f>
        <v/>
      </c>
      <c r="C170" t="str">
        <f>IFERROR(VLOOKUP(B170,Database!E:F,2,0),"")</f>
        <v/>
      </c>
      <c r="D170" t="str">
        <f>IFERROR(VLOOKUP(B170,'Yearly Leave Tracker'!A:NU,374,0),"")</f>
        <v/>
      </c>
      <c r="E170" t="str">
        <f>IFERROR(VLOOKUP(B170,'Yearly Leave Tracker'!A:NU,375,0),"")</f>
        <v/>
      </c>
      <c r="F170" t="str">
        <f>IFERROR(VLOOKUP(B170,'Yearly Leave Tracker'!A:NU,376,0),"")</f>
        <v/>
      </c>
      <c r="G170" t="str">
        <f>IFERROR(VLOOKUP(B170,'Yearly Leave Tracker'!A:NU,377,0),"")</f>
        <v/>
      </c>
      <c r="H170" t="str">
        <f>IFERROR(VLOOKUP(B170,'Yearly Leave Tracker'!A:NU,378,0),"")</f>
        <v/>
      </c>
      <c r="I170" t="str">
        <f>IFERROR(VLOOKUP(B170,'Yearly Leave Tracker'!A:NU,379,0),"")</f>
        <v/>
      </c>
      <c r="J170" t="str">
        <f>IFERROR(VLOOKUP(B170,'Yearly Leave Tracker'!A:NU,380,0),"")</f>
        <v/>
      </c>
      <c r="K170" t="str">
        <f>IFERROR(VLOOKUP(B170,'Yearly Leave Tracker'!A:NU,381,0),"")</f>
        <v/>
      </c>
      <c r="L170" t="str">
        <f>IFERROR(VLOOKUP(B170,'Yearly Leave Tracker'!A:NU,382,0),"")</f>
        <v/>
      </c>
      <c r="M170" t="str">
        <f>IFERROR(VLOOKUP(B170,'Yearly Leave Tracker'!A:NU,383,0),"")</f>
        <v/>
      </c>
      <c r="N170" t="str">
        <f>IFERROR(VLOOKUP(B170,'Yearly Leave Tracker'!A:NU,384,0),"")</f>
        <v/>
      </c>
      <c r="O170" t="str">
        <f>IFERROR(VLOOKUP(B170,'Yearly Leave Tracker'!A:NU,385,0),"")</f>
        <v/>
      </c>
    </row>
    <row r="171" spans="2:15" x14ac:dyDescent="0.25">
      <c r="B171" t="str">
        <f>IFERROR(IF('Yearly Leave Tracker'!A175="","",'Yearly Leave Tracker'!A175),"")</f>
        <v/>
      </c>
      <c r="C171" t="str">
        <f>IFERROR(VLOOKUP(B171,Database!E:F,2,0),"")</f>
        <v/>
      </c>
      <c r="D171" t="str">
        <f>IFERROR(VLOOKUP(B171,'Yearly Leave Tracker'!A:NU,374,0),"")</f>
        <v/>
      </c>
      <c r="E171" t="str">
        <f>IFERROR(VLOOKUP(B171,'Yearly Leave Tracker'!A:NU,375,0),"")</f>
        <v/>
      </c>
      <c r="F171" t="str">
        <f>IFERROR(VLOOKUP(B171,'Yearly Leave Tracker'!A:NU,376,0),"")</f>
        <v/>
      </c>
      <c r="G171" t="str">
        <f>IFERROR(VLOOKUP(B171,'Yearly Leave Tracker'!A:NU,377,0),"")</f>
        <v/>
      </c>
      <c r="H171" t="str">
        <f>IFERROR(VLOOKUP(B171,'Yearly Leave Tracker'!A:NU,378,0),"")</f>
        <v/>
      </c>
      <c r="I171" t="str">
        <f>IFERROR(VLOOKUP(B171,'Yearly Leave Tracker'!A:NU,379,0),"")</f>
        <v/>
      </c>
      <c r="J171" t="str">
        <f>IFERROR(VLOOKUP(B171,'Yearly Leave Tracker'!A:NU,380,0),"")</f>
        <v/>
      </c>
      <c r="K171" t="str">
        <f>IFERROR(VLOOKUP(B171,'Yearly Leave Tracker'!A:NU,381,0),"")</f>
        <v/>
      </c>
      <c r="L171" t="str">
        <f>IFERROR(VLOOKUP(B171,'Yearly Leave Tracker'!A:NU,382,0),"")</f>
        <v/>
      </c>
      <c r="M171" t="str">
        <f>IFERROR(VLOOKUP(B171,'Yearly Leave Tracker'!A:NU,383,0),"")</f>
        <v/>
      </c>
      <c r="N171" t="str">
        <f>IFERROR(VLOOKUP(B171,'Yearly Leave Tracker'!A:NU,384,0),"")</f>
        <v/>
      </c>
      <c r="O171" t="str">
        <f>IFERROR(VLOOKUP(B171,'Yearly Leave Tracker'!A:NU,385,0),"")</f>
        <v/>
      </c>
    </row>
    <row r="172" spans="2:15" x14ac:dyDescent="0.25">
      <c r="B172" t="str">
        <f>IFERROR(IF('Yearly Leave Tracker'!A176="","",'Yearly Leave Tracker'!A176),"")</f>
        <v/>
      </c>
      <c r="C172" t="str">
        <f>IFERROR(VLOOKUP(B172,Database!E:F,2,0),"")</f>
        <v/>
      </c>
      <c r="D172" t="str">
        <f>IFERROR(VLOOKUP(B172,'Yearly Leave Tracker'!A:NU,374,0),"")</f>
        <v/>
      </c>
      <c r="E172" t="str">
        <f>IFERROR(VLOOKUP(B172,'Yearly Leave Tracker'!A:NU,375,0),"")</f>
        <v/>
      </c>
      <c r="F172" t="str">
        <f>IFERROR(VLOOKUP(B172,'Yearly Leave Tracker'!A:NU,376,0),"")</f>
        <v/>
      </c>
      <c r="G172" t="str">
        <f>IFERROR(VLOOKUP(B172,'Yearly Leave Tracker'!A:NU,377,0),"")</f>
        <v/>
      </c>
      <c r="H172" t="str">
        <f>IFERROR(VLOOKUP(B172,'Yearly Leave Tracker'!A:NU,378,0),"")</f>
        <v/>
      </c>
      <c r="I172" t="str">
        <f>IFERROR(VLOOKUP(B172,'Yearly Leave Tracker'!A:NU,379,0),"")</f>
        <v/>
      </c>
      <c r="J172" t="str">
        <f>IFERROR(VLOOKUP(B172,'Yearly Leave Tracker'!A:NU,380,0),"")</f>
        <v/>
      </c>
      <c r="K172" t="str">
        <f>IFERROR(VLOOKUP(B172,'Yearly Leave Tracker'!A:NU,381,0),"")</f>
        <v/>
      </c>
      <c r="L172" t="str">
        <f>IFERROR(VLOOKUP(B172,'Yearly Leave Tracker'!A:NU,382,0),"")</f>
        <v/>
      </c>
      <c r="M172" t="str">
        <f>IFERROR(VLOOKUP(B172,'Yearly Leave Tracker'!A:NU,383,0),"")</f>
        <v/>
      </c>
      <c r="N172" t="str">
        <f>IFERROR(VLOOKUP(B172,'Yearly Leave Tracker'!A:NU,384,0),"")</f>
        <v/>
      </c>
      <c r="O172" t="str">
        <f>IFERROR(VLOOKUP(B172,'Yearly Leave Tracker'!A:NU,385,0),"")</f>
        <v/>
      </c>
    </row>
    <row r="173" spans="2:15" x14ac:dyDescent="0.25">
      <c r="B173" t="str">
        <f>IFERROR(IF('Yearly Leave Tracker'!A177="","",'Yearly Leave Tracker'!A177),"")</f>
        <v/>
      </c>
      <c r="C173" t="str">
        <f>IFERROR(VLOOKUP(B173,Database!E:F,2,0),"")</f>
        <v/>
      </c>
      <c r="D173" t="str">
        <f>IFERROR(VLOOKUP(B173,'Yearly Leave Tracker'!A:NU,374,0),"")</f>
        <v/>
      </c>
      <c r="E173" t="str">
        <f>IFERROR(VLOOKUP(B173,'Yearly Leave Tracker'!A:NU,375,0),"")</f>
        <v/>
      </c>
      <c r="F173" t="str">
        <f>IFERROR(VLOOKUP(B173,'Yearly Leave Tracker'!A:NU,376,0),"")</f>
        <v/>
      </c>
      <c r="G173" t="str">
        <f>IFERROR(VLOOKUP(B173,'Yearly Leave Tracker'!A:NU,377,0),"")</f>
        <v/>
      </c>
      <c r="H173" t="str">
        <f>IFERROR(VLOOKUP(B173,'Yearly Leave Tracker'!A:NU,378,0),"")</f>
        <v/>
      </c>
      <c r="I173" t="str">
        <f>IFERROR(VLOOKUP(B173,'Yearly Leave Tracker'!A:NU,379,0),"")</f>
        <v/>
      </c>
      <c r="J173" t="str">
        <f>IFERROR(VLOOKUP(B173,'Yearly Leave Tracker'!A:NU,380,0),"")</f>
        <v/>
      </c>
      <c r="K173" t="str">
        <f>IFERROR(VLOOKUP(B173,'Yearly Leave Tracker'!A:NU,381,0),"")</f>
        <v/>
      </c>
      <c r="L173" t="str">
        <f>IFERROR(VLOOKUP(B173,'Yearly Leave Tracker'!A:NU,382,0),"")</f>
        <v/>
      </c>
      <c r="M173" t="str">
        <f>IFERROR(VLOOKUP(B173,'Yearly Leave Tracker'!A:NU,383,0),"")</f>
        <v/>
      </c>
      <c r="N173" t="str">
        <f>IFERROR(VLOOKUP(B173,'Yearly Leave Tracker'!A:NU,384,0),"")</f>
        <v/>
      </c>
      <c r="O173" t="str">
        <f>IFERROR(VLOOKUP(B173,'Yearly Leave Tracker'!A:NU,385,0),"")</f>
        <v/>
      </c>
    </row>
    <row r="174" spans="2:15" x14ac:dyDescent="0.25">
      <c r="B174" t="str">
        <f>IFERROR(IF('Yearly Leave Tracker'!A178="","",'Yearly Leave Tracker'!A178),"")</f>
        <v/>
      </c>
      <c r="C174" t="str">
        <f>IFERROR(VLOOKUP(B174,Database!E:F,2,0),"")</f>
        <v/>
      </c>
      <c r="D174" t="str">
        <f>IFERROR(VLOOKUP(B174,'Yearly Leave Tracker'!A:NU,374,0),"")</f>
        <v/>
      </c>
      <c r="E174" t="str">
        <f>IFERROR(VLOOKUP(B174,'Yearly Leave Tracker'!A:NU,375,0),"")</f>
        <v/>
      </c>
      <c r="F174" t="str">
        <f>IFERROR(VLOOKUP(B174,'Yearly Leave Tracker'!A:NU,376,0),"")</f>
        <v/>
      </c>
      <c r="G174" t="str">
        <f>IFERROR(VLOOKUP(B174,'Yearly Leave Tracker'!A:NU,377,0),"")</f>
        <v/>
      </c>
      <c r="H174" t="str">
        <f>IFERROR(VLOOKUP(B174,'Yearly Leave Tracker'!A:NU,378,0),"")</f>
        <v/>
      </c>
      <c r="I174" t="str">
        <f>IFERROR(VLOOKUP(B174,'Yearly Leave Tracker'!A:NU,379,0),"")</f>
        <v/>
      </c>
      <c r="J174" t="str">
        <f>IFERROR(VLOOKUP(B174,'Yearly Leave Tracker'!A:NU,380,0),"")</f>
        <v/>
      </c>
      <c r="K174" t="str">
        <f>IFERROR(VLOOKUP(B174,'Yearly Leave Tracker'!A:NU,381,0),"")</f>
        <v/>
      </c>
      <c r="L174" t="str">
        <f>IFERROR(VLOOKUP(B174,'Yearly Leave Tracker'!A:NU,382,0),"")</f>
        <v/>
      </c>
      <c r="M174" t="str">
        <f>IFERROR(VLOOKUP(B174,'Yearly Leave Tracker'!A:NU,383,0),"")</f>
        <v/>
      </c>
      <c r="N174" t="str">
        <f>IFERROR(VLOOKUP(B174,'Yearly Leave Tracker'!A:NU,384,0),"")</f>
        <v/>
      </c>
      <c r="O174" t="str">
        <f>IFERROR(VLOOKUP(B174,'Yearly Leave Tracker'!A:NU,385,0),"")</f>
        <v/>
      </c>
    </row>
    <row r="175" spans="2:15" x14ac:dyDescent="0.25">
      <c r="B175" t="str">
        <f>IFERROR(IF('Yearly Leave Tracker'!A179="","",'Yearly Leave Tracker'!A179),"")</f>
        <v/>
      </c>
      <c r="C175" t="str">
        <f>IFERROR(VLOOKUP(B175,Database!E:F,2,0),"")</f>
        <v/>
      </c>
      <c r="D175" t="str">
        <f>IFERROR(VLOOKUP(B175,'Yearly Leave Tracker'!A:NU,374,0),"")</f>
        <v/>
      </c>
      <c r="E175" t="str">
        <f>IFERROR(VLOOKUP(B175,'Yearly Leave Tracker'!A:NU,375,0),"")</f>
        <v/>
      </c>
      <c r="F175" t="str">
        <f>IFERROR(VLOOKUP(B175,'Yearly Leave Tracker'!A:NU,376,0),"")</f>
        <v/>
      </c>
      <c r="G175" t="str">
        <f>IFERROR(VLOOKUP(B175,'Yearly Leave Tracker'!A:NU,377,0),"")</f>
        <v/>
      </c>
      <c r="H175" t="str">
        <f>IFERROR(VLOOKUP(B175,'Yearly Leave Tracker'!A:NU,378,0),"")</f>
        <v/>
      </c>
      <c r="I175" t="str">
        <f>IFERROR(VLOOKUP(B175,'Yearly Leave Tracker'!A:NU,379,0),"")</f>
        <v/>
      </c>
      <c r="J175" t="str">
        <f>IFERROR(VLOOKUP(B175,'Yearly Leave Tracker'!A:NU,380,0),"")</f>
        <v/>
      </c>
      <c r="K175" t="str">
        <f>IFERROR(VLOOKUP(B175,'Yearly Leave Tracker'!A:NU,381,0),"")</f>
        <v/>
      </c>
      <c r="L175" t="str">
        <f>IFERROR(VLOOKUP(B175,'Yearly Leave Tracker'!A:NU,382,0),"")</f>
        <v/>
      </c>
      <c r="M175" t="str">
        <f>IFERROR(VLOOKUP(B175,'Yearly Leave Tracker'!A:NU,383,0),"")</f>
        <v/>
      </c>
      <c r="N175" t="str">
        <f>IFERROR(VLOOKUP(B175,'Yearly Leave Tracker'!A:NU,384,0),"")</f>
        <v/>
      </c>
      <c r="O175" t="str">
        <f>IFERROR(VLOOKUP(B175,'Yearly Leave Tracker'!A:NU,385,0),"")</f>
        <v/>
      </c>
    </row>
    <row r="176" spans="2:15" x14ac:dyDescent="0.25">
      <c r="B176" t="str">
        <f>IFERROR(IF('Yearly Leave Tracker'!A180="","",'Yearly Leave Tracker'!A180),"")</f>
        <v/>
      </c>
      <c r="C176" t="str">
        <f>IFERROR(VLOOKUP(B176,Database!E:F,2,0),"")</f>
        <v/>
      </c>
      <c r="D176" t="str">
        <f>IFERROR(VLOOKUP(B176,'Yearly Leave Tracker'!A:NU,374,0),"")</f>
        <v/>
      </c>
      <c r="E176" t="str">
        <f>IFERROR(VLOOKUP(B176,'Yearly Leave Tracker'!A:NU,375,0),"")</f>
        <v/>
      </c>
      <c r="F176" t="str">
        <f>IFERROR(VLOOKUP(B176,'Yearly Leave Tracker'!A:NU,376,0),"")</f>
        <v/>
      </c>
      <c r="G176" t="str">
        <f>IFERROR(VLOOKUP(B176,'Yearly Leave Tracker'!A:NU,377,0),"")</f>
        <v/>
      </c>
      <c r="H176" t="str">
        <f>IFERROR(VLOOKUP(B176,'Yearly Leave Tracker'!A:NU,378,0),"")</f>
        <v/>
      </c>
      <c r="I176" t="str">
        <f>IFERROR(VLOOKUP(B176,'Yearly Leave Tracker'!A:NU,379,0),"")</f>
        <v/>
      </c>
      <c r="J176" t="str">
        <f>IFERROR(VLOOKUP(B176,'Yearly Leave Tracker'!A:NU,380,0),"")</f>
        <v/>
      </c>
      <c r="K176" t="str">
        <f>IFERROR(VLOOKUP(B176,'Yearly Leave Tracker'!A:NU,381,0),"")</f>
        <v/>
      </c>
      <c r="L176" t="str">
        <f>IFERROR(VLOOKUP(B176,'Yearly Leave Tracker'!A:NU,382,0),"")</f>
        <v/>
      </c>
      <c r="M176" t="str">
        <f>IFERROR(VLOOKUP(B176,'Yearly Leave Tracker'!A:NU,383,0),"")</f>
        <v/>
      </c>
      <c r="N176" t="str">
        <f>IFERROR(VLOOKUP(B176,'Yearly Leave Tracker'!A:NU,384,0),"")</f>
        <v/>
      </c>
      <c r="O176" t="str">
        <f>IFERROR(VLOOKUP(B176,'Yearly Leave Tracker'!A:NU,385,0),"")</f>
        <v/>
      </c>
    </row>
    <row r="177" spans="2:15" x14ac:dyDescent="0.25">
      <c r="B177" t="str">
        <f>IFERROR(IF('Yearly Leave Tracker'!A181="","",'Yearly Leave Tracker'!A181),"")</f>
        <v/>
      </c>
      <c r="C177" t="str">
        <f>IFERROR(VLOOKUP(B177,Database!E:F,2,0),"")</f>
        <v/>
      </c>
      <c r="D177" t="str">
        <f>IFERROR(VLOOKUP(B177,'Yearly Leave Tracker'!A:NU,374,0),"")</f>
        <v/>
      </c>
      <c r="E177" t="str">
        <f>IFERROR(VLOOKUP(B177,'Yearly Leave Tracker'!A:NU,375,0),"")</f>
        <v/>
      </c>
      <c r="F177" t="str">
        <f>IFERROR(VLOOKUP(B177,'Yearly Leave Tracker'!A:NU,376,0),"")</f>
        <v/>
      </c>
      <c r="G177" t="str">
        <f>IFERROR(VLOOKUP(B177,'Yearly Leave Tracker'!A:NU,377,0),"")</f>
        <v/>
      </c>
      <c r="H177" t="str">
        <f>IFERROR(VLOOKUP(B177,'Yearly Leave Tracker'!A:NU,378,0),"")</f>
        <v/>
      </c>
      <c r="I177" t="str">
        <f>IFERROR(VLOOKUP(B177,'Yearly Leave Tracker'!A:NU,379,0),"")</f>
        <v/>
      </c>
      <c r="J177" t="str">
        <f>IFERROR(VLOOKUP(B177,'Yearly Leave Tracker'!A:NU,380,0),"")</f>
        <v/>
      </c>
      <c r="K177" t="str">
        <f>IFERROR(VLOOKUP(B177,'Yearly Leave Tracker'!A:NU,381,0),"")</f>
        <v/>
      </c>
      <c r="L177" t="str">
        <f>IFERROR(VLOOKUP(B177,'Yearly Leave Tracker'!A:NU,382,0),"")</f>
        <v/>
      </c>
      <c r="M177" t="str">
        <f>IFERROR(VLOOKUP(B177,'Yearly Leave Tracker'!A:NU,383,0),"")</f>
        <v/>
      </c>
      <c r="N177" t="str">
        <f>IFERROR(VLOOKUP(B177,'Yearly Leave Tracker'!A:NU,384,0),"")</f>
        <v/>
      </c>
      <c r="O177" t="str">
        <f>IFERROR(VLOOKUP(B177,'Yearly Leave Tracker'!A:NU,385,0),"")</f>
        <v/>
      </c>
    </row>
    <row r="178" spans="2:15" x14ac:dyDescent="0.25">
      <c r="B178" t="str">
        <f>IFERROR(IF('Yearly Leave Tracker'!A182="","",'Yearly Leave Tracker'!A182),"")</f>
        <v/>
      </c>
      <c r="C178" t="str">
        <f>IFERROR(VLOOKUP(B178,Database!E:F,2,0),"")</f>
        <v/>
      </c>
      <c r="D178" t="str">
        <f>IFERROR(VLOOKUP(B178,'Yearly Leave Tracker'!A:NU,374,0),"")</f>
        <v/>
      </c>
      <c r="E178" t="str">
        <f>IFERROR(VLOOKUP(B178,'Yearly Leave Tracker'!A:NU,375,0),"")</f>
        <v/>
      </c>
      <c r="F178" t="str">
        <f>IFERROR(VLOOKUP(B178,'Yearly Leave Tracker'!A:NU,376,0),"")</f>
        <v/>
      </c>
      <c r="G178" t="str">
        <f>IFERROR(VLOOKUP(B178,'Yearly Leave Tracker'!A:NU,377,0),"")</f>
        <v/>
      </c>
      <c r="H178" t="str">
        <f>IFERROR(VLOOKUP(B178,'Yearly Leave Tracker'!A:NU,378,0),"")</f>
        <v/>
      </c>
      <c r="I178" t="str">
        <f>IFERROR(VLOOKUP(B178,'Yearly Leave Tracker'!A:NU,379,0),"")</f>
        <v/>
      </c>
      <c r="J178" t="str">
        <f>IFERROR(VLOOKUP(B178,'Yearly Leave Tracker'!A:NU,380,0),"")</f>
        <v/>
      </c>
      <c r="K178" t="str">
        <f>IFERROR(VLOOKUP(B178,'Yearly Leave Tracker'!A:NU,381,0),"")</f>
        <v/>
      </c>
      <c r="L178" t="str">
        <f>IFERROR(VLOOKUP(B178,'Yearly Leave Tracker'!A:NU,382,0),"")</f>
        <v/>
      </c>
      <c r="M178" t="str">
        <f>IFERROR(VLOOKUP(B178,'Yearly Leave Tracker'!A:NU,383,0),"")</f>
        <v/>
      </c>
      <c r="N178" t="str">
        <f>IFERROR(VLOOKUP(B178,'Yearly Leave Tracker'!A:NU,384,0),"")</f>
        <v/>
      </c>
      <c r="O178" t="str">
        <f>IFERROR(VLOOKUP(B178,'Yearly Leave Tracker'!A:NU,385,0),"")</f>
        <v/>
      </c>
    </row>
    <row r="179" spans="2:15" x14ac:dyDescent="0.25">
      <c r="B179" t="str">
        <f>IFERROR(IF('Yearly Leave Tracker'!A183="","",'Yearly Leave Tracker'!A183),"")</f>
        <v/>
      </c>
      <c r="C179" t="str">
        <f>IFERROR(VLOOKUP(B179,Database!E:F,2,0),"")</f>
        <v/>
      </c>
      <c r="D179" t="str">
        <f>IFERROR(VLOOKUP(B179,'Yearly Leave Tracker'!A:NU,374,0),"")</f>
        <v/>
      </c>
      <c r="E179" t="str">
        <f>IFERROR(VLOOKUP(B179,'Yearly Leave Tracker'!A:NU,375,0),"")</f>
        <v/>
      </c>
      <c r="F179" t="str">
        <f>IFERROR(VLOOKUP(B179,'Yearly Leave Tracker'!A:NU,376,0),"")</f>
        <v/>
      </c>
      <c r="G179" t="str">
        <f>IFERROR(VLOOKUP(B179,'Yearly Leave Tracker'!A:NU,377,0),"")</f>
        <v/>
      </c>
      <c r="H179" t="str">
        <f>IFERROR(VLOOKUP(B179,'Yearly Leave Tracker'!A:NU,378,0),"")</f>
        <v/>
      </c>
      <c r="I179" t="str">
        <f>IFERROR(VLOOKUP(B179,'Yearly Leave Tracker'!A:NU,379,0),"")</f>
        <v/>
      </c>
      <c r="J179" t="str">
        <f>IFERROR(VLOOKUP(B179,'Yearly Leave Tracker'!A:NU,380,0),"")</f>
        <v/>
      </c>
      <c r="K179" t="str">
        <f>IFERROR(VLOOKUP(B179,'Yearly Leave Tracker'!A:NU,381,0),"")</f>
        <v/>
      </c>
      <c r="L179" t="str">
        <f>IFERROR(VLOOKUP(B179,'Yearly Leave Tracker'!A:NU,382,0),"")</f>
        <v/>
      </c>
      <c r="M179" t="str">
        <f>IFERROR(VLOOKUP(B179,'Yearly Leave Tracker'!A:NU,383,0),"")</f>
        <v/>
      </c>
      <c r="N179" t="str">
        <f>IFERROR(VLOOKUP(B179,'Yearly Leave Tracker'!A:NU,384,0),"")</f>
        <v/>
      </c>
      <c r="O179" t="str">
        <f>IFERROR(VLOOKUP(B179,'Yearly Leave Tracker'!A:NU,385,0),"")</f>
        <v/>
      </c>
    </row>
    <row r="180" spans="2:15" x14ac:dyDescent="0.25">
      <c r="B180" t="str">
        <f>IFERROR(IF('Yearly Leave Tracker'!A184="","",'Yearly Leave Tracker'!A184),"")</f>
        <v/>
      </c>
      <c r="C180" t="str">
        <f>IFERROR(VLOOKUP(B180,Database!E:F,2,0),"")</f>
        <v/>
      </c>
      <c r="D180" t="str">
        <f>IFERROR(VLOOKUP(B180,'Yearly Leave Tracker'!A:NU,374,0),"")</f>
        <v/>
      </c>
      <c r="E180" t="str">
        <f>IFERROR(VLOOKUP(B180,'Yearly Leave Tracker'!A:NU,375,0),"")</f>
        <v/>
      </c>
      <c r="F180" t="str">
        <f>IFERROR(VLOOKUP(B180,'Yearly Leave Tracker'!A:NU,376,0),"")</f>
        <v/>
      </c>
      <c r="G180" t="str">
        <f>IFERROR(VLOOKUP(B180,'Yearly Leave Tracker'!A:NU,377,0),"")</f>
        <v/>
      </c>
      <c r="H180" t="str">
        <f>IFERROR(VLOOKUP(B180,'Yearly Leave Tracker'!A:NU,378,0),"")</f>
        <v/>
      </c>
      <c r="I180" t="str">
        <f>IFERROR(VLOOKUP(B180,'Yearly Leave Tracker'!A:NU,379,0),"")</f>
        <v/>
      </c>
      <c r="J180" t="str">
        <f>IFERROR(VLOOKUP(B180,'Yearly Leave Tracker'!A:NU,380,0),"")</f>
        <v/>
      </c>
      <c r="K180" t="str">
        <f>IFERROR(VLOOKUP(B180,'Yearly Leave Tracker'!A:NU,381,0),"")</f>
        <v/>
      </c>
      <c r="L180" t="str">
        <f>IFERROR(VLOOKUP(B180,'Yearly Leave Tracker'!A:NU,382,0),"")</f>
        <v/>
      </c>
      <c r="M180" t="str">
        <f>IFERROR(VLOOKUP(B180,'Yearly Leave Tracker'!A:NU,383,0),"")</f>
        <v/>
      </c>
      <c r="N180" t="str">
        <f>IFERROR(VLOOKUP(B180,'Yearly Leave Tracker'!A:NU,384,0),"")</f>
        <v/>
      </c>
      <c r="O180" t="str">
        <f>IFERROR(VLOOKUP(B180,'Yearly Leave Tracker'!A:NU,385,0),"")</f>
        <v/>
      </c>
    </row>
    <row r="181" spans="2:15" x14ac:dyDescent="0.25">
      <c r="B181" t="str">
        <f>IFERROR(IF('Yearly Leave Tracker'!A185="","",'Yearly Leave Tracker'!A185),"")</f>
        <v/>
      </c>
      <c r="C181" t="str">
        <f>IFERROR(VLOOKUP(B181,Database!E:F,2,0),"")</f>
        <v/>
      </c>
      <c r="D181" t="str">
        <f>IFERROR(VLOOKUP(B181,'Yearly Leave Tracker'!A:NU,374,0),"")</f>
        <v/>
      </c>
      <c r="E181" t="str">
        <f>IFERROR(VLOOKUP(B181,'Yearly Leave Tracker'!A:NU,375,0),"")</f>
        <v/>
      </c>
      <c r="F181" t="str">
        <f>IFERROR(VLOOKUP(B181,'Yearly Leave Tracker'!A:NU,376,0),"")</f>
        <v/>
      </c>
      <c r="G181" t="str">
        <f>IFERROR(VLOOKUP(B181,'Yearly Leave Tracker'!A:NU,377,0),"")</f>
        <v/>
      </c>
      <c r="H181" t="str">
        <f>IFERROR(VLOOKUP(B181,'Yearly Leave Tracker'!A:NU,378,0),"")</f>
        <v/>
      </c>
      <c r="I181" t="str">
        <f>IFERROR(VLOOKUP(B181,'Yearly Leave Tracker'!A:NU,379,0),"")</f>
        <v/>
      </c>
      <c r="J181" t="str">
        <f>IFERROR(VLOOKUP(B181,'Yearly Leave Tracker'!A:NU,380,0),"")</f>
        <v/>
      </c>
      <c r="K181" t="str">
        <f>IFERROR(VLOOKUP(B181,'Yearly Leave Tracker'!A:NU,381,0),"")</f>
        <v/>
      </c>
      <c r="L181" t="str">
        <f>IFERROR(VLOOKUP(B181,'Yearly Leave Tracker'!A:NU,382,0),"")</f>
        <v/>
      </c>
      <c r="M181" t="str">
        <f>IFERROR(VLOOKUP(B181,'Yearly Leave Tracker'!A:NU,383,0),"")</f>
        <v/>
      </c>
      <c r="N181" t="str">
        <f>IFERROR(VLOOKUP(B181,'Yearly Leave Tracker'!A:NU,384,0),"")</f>
        <v/>
      </c>
      <c r="O181" t="str">
        <f>IFERROR(VLOOKUP(B181,'Yearly Leave Tracker'!A:NU,385,0),"")</f>
        <v/>
      </c>
    </row>
    <row r="182" spans="2:15" x14ac:dyDescent="0.25">
      <c r="B182" t="str">
        <f>IFERROR(IF('Yearly Leave Tracker'!A186="","",'Yearly Leave Tracker'!A186),"")</f>
        <v/>
      </c>
      <c r="C182" t="str">
        <f>IFERROR(VLOOKUP(B182,Database!E:F,2,0),"")</f>
        <v/>
      </c>
      <c r="D182" t="str">
        <f>IFERROR(VLOOKUP(B182,'Yearly Leave Tracker'!A:NU,374,0),"")</f>
        <v/>
      </c>
      <c r="E182" t="str">
        <f>IFERROR(VLOOKUP(B182,'Yearly Leave Tracker'!A:NU,375,0),"")</f>
        <v/>
      </c>
      <c r="F182" t="str">
        <f>IFERROR(VLOOKUP(B182,'Yearly Leave Tracker'!A:NU,376,0),"")</f>
        <v/>
      </c>
      <c r="G182" t="str">
        <f>IFERROR(VLOOKUP(B182,'Yearly Leave Tracker'!A:NU,377,0),"")</f>
        <v/>
      </c>
      <c r="H182" t="str">
        <f>IFERROR(VLOOKUP(B182,'Yearly Leave Tracker'!A:NU,378,0),"")</f>
        <v/>
      </c>
      <c r="I182" t="str">
        <f>IFERROR(VLOOKUP(B182,'Yearly Leave Tracker'!A:NU,379,0),"")</f>
        <v/>
      </c>
      <c r="J182" t="str">
        <f>IFERROR(VLOOKUP(B182,'Yearly Leave Tracker'!A:NU,380,0),"")</f>
        <v/>
      </c>
      <c r="K182" t="str">
        <f>IFERROR(VLOOKUP(B182,'Yearly Leave Tracker'!A:NU,381,0),"")</f>
        <v/>
      </c>
      <c r="L182" t="str">
        <f>IFERROR(VLOOKUP(B182,'Yearly Leave Tracker'!A:NU,382,0),"")</f>
        <v/>
      </c>
      <c r="M182" t="str">
        <f>IFERROR(VLOOKUP(B182,'Yearly Leave Tracker'!A:NU,383,0),"")</f>
        <v/>
      </c>
      <c r="N182" t="str">
        <f>IFERROR(VLOOKUP(B182,'Yearly Leave Tracker'!A:NU,384,0),"")</f>
        <v/>
      </c>
      <c r="O182" t="str">
        <f>IFERROR(VLOOKUP(B182,'Yearly Leave Tracker'!A:NU,385,0),"")</f>
        <v/>
      </c>
    </row>
    <row r="183" spans="2:15" x14ac:dyDescent="0.25">
      <c r="B183" t="str">
        <f>IFERROR(IF('Yearly Leave Tracker'!A187="","",'Yearly Leave Tracker'!A187),"")</f>
        <v/>
      </c>
      <c r="C183" t="str">
        <f>IFERROR(VLOOKUP(B183,Database!E:F,2,0),"")</f>
        <v/>
      </c>
      <c r="D183" t="str">
        <f>IFERROR(VLOOKUP(B183,'Yearly Leave Tracker'!A:NU,374,0),"")</f>
        <v/>
      </c>
      <c r="E183" t="str">
        <f>IFERROR(VLOOKUP(B183,'Yearly Leave Tracker'!A:NU,375,0),"")</f>
        <v/>
      </c>
      <c r="F183" t="str">
        <f>IFERROR(VLOOKUP(B183,'Yearly Leave Tracker'!A:NU,376,0),"")</f>
        <v/>
      </c>
      <c r="G183" t="str">
        <f>IFERROR(VLOOKUP(B183,'Yearly Leave Tracker'!A:NU,377,0),"")</f>
        <v/>
      </c>
      <c r="H183" t="str">
        <f>IFERROR(VLOOKUP(B183,'Yearly Leave Tracker'!A:NU,378,0),"")</f>
        <v/>
      </c>
      <c r="I183" t="str">
        <f>IFERROR(VLOOKUP(B183,'Yearly Leave Tracker'!A:NU,379,0),"")</f>
        <v/>
      </c>
      <c r="J183" t="str">
        <f>IFERROR(VLOOKUP(B183,'Yearly Leave Tracker'!A:NU,380,0),"")</f>
        <v/>
      </c>
      <c r="K183" t="str">
        <f>IFERROR(VLOOKUP(B183,'Yearly Leave Tracker'!A:NU,381,0),"")</f>
        <v/>
      </c>
      <c r="L183" t="str">
        <f>IFERROR(VLOOKUP(B183,'Yearly Leave Tracker'!A:NU,382,0),"")</f>
        <v/>
      </c>
      <c r="M183" t="str">
        <f>IFERROR(VLOOKUP(B183,'Yearly Leave Tracker'!A:NU,383,0),"")</f>
        <v/>
      </c>
      <c r="N183" t="str">
        <f>IFERROR(VLOOKUP(B183,'Yearly Leave Tracker'!A:NU,384,0),"")</f>
        <v/>
      </c>
      <c r="O183" t="str">
        <f>IFERROR(VLOOKUP(B183,'Yearly Leave Tracker'!A:NU,385,0),"")</f>
        <v/>
      </c>
    </row>
    <row r="184" spans="2:15" x14ac:dyDescent="0.25">
      <c r="B184" t="str">
        <f>IFERROR(IF('Yearly Leave Tracker'!A188="","",'Yearly Leave Tracker'!A188),"")</f>
        <v/>
      </c>
      <c r="C184" t="str">
        <f>IFERROR(VLOOKUP(B184,Database!E:F,2,0),"")</f>
        <v/>
      </c>
      <c r="D184" t="str">
        <f>IFERROR(VLOOKUP(B184,'Yearly Leave Tracker'!A:NU,374,0),"")</f>
        <v/>
      </c>
      <c r="E184" t="str">
        <f>IFERROR(VLOOKUP(B184,'Yearly Leave Tracker'!A:NU,375,0),"")</f>
        <v/>
      </c>
      <c r="F184" t="str">
        <f>IFERROR(VLOOKUP(B184,'Yearly Leave Tracker'!A:NU,376,0),"")</f>
        <v/>
      </c>
      <c r="G184" t="str">
        <f>IFERROR(VLOOKUP(B184,'Yearly Leave Tracker'!A:NU,377,0),"")</f>
        <v/>
      </c>
      <c r="H184" t="str">
        <f>IFERROR(VLOOKUP(B184,'Yearly Leave Tracker'!A:NU,378,0),"")</f>
        <v/>
      </c>
      <c r="I184" t="str">
        <f>IFERROR(VLOOKUP(B184,'Yearly Leave Tracker'!A:NU,379,0),"")</f>
        <v/>
      </c>
      <c r="J184" t="str">
        <f>IFERROR(VLOOKUP(B184,'Yearly Leave Tracker'!A:NU,380,0),"")</f>
        <v/>
      </c>
      <c r="K184" t="str">
        <f>IFERROR(VLOOKUP(B184,'Yearly Leave Tracker'!A:NU,381,0),"")</f>
        <v/>
      </c>
      <c r="L184" t="str">
        <f>IFERROR(VLOOKUP(B184,'Yearly Leave Tracker'!A:NU,382,0),"")</f>
        <v/>
      </c>
      <c r="M184" t="str">
        <f>IFERROR(VLOOKUP(B184,'Yearly Leave Tracker'!A:NU,383,0),"")</f>
        <v/>
      </c>
      <c r="N184" t="str">
        <f>IFERROR(VLOOKUP(B184,'Yearly Leave Tracker'!A:NU,384,0),"")</f>
        <v/>
      </c>
      <c r="O184" t="str">
        <f>IFERROR(VLOOKUP(B184,'Yearly Leave Tracker'!A:NU,385,0),"")</f>
        <v/>
      </c>
    </row>
    <row r="185" spans="2:15" x14ac:dyDescent="0.25">
      <c r="B185" t="str">
        <f>IFERROR(IF('Yearly Leave Tracker'!A189="","",'Yearly Leave Tracker'!A189),"")</f>
        <v/>
      </c>
      <c r="C185" t="str">
        <f>IFERROR(VLOOKUP(B185,Database!E:F,2,0),"")</f>
        <v/>
      </c>
      <c r="D185" t="str">
        <f>IFERROR(VLOOKUP(B185,'Yearly Leave Tracker'!A:NU,374,0),"")</f>
        <v/>
      </c>
      <c r="E185" t="str">
        <f>IFERROR(VLOOKUP(B185,'Yearly Leave Tracker'!A:NU,375,0),"")</f>
        <v/>
      </c>
      <c r="F185" t="str">
        <f>IFERROR(VLOOKUP(B185,'Yearly Leave Tracker'!A:NU,376,0),"")</f>
        <v/>
      </c>
      <c r="G185" t="str">
        <f>IFERROR(VLOOKUP(B185,'Yearly Leave Tracker'!A:NU,377,0),"")</f>
        <v/>
      </c>
      <c r="H185" t="str">
        <f>IFERROR(VLOOKUP(B185,'Yearly Leave Tracker'!A:NU,378,0),"")</f>
        <v/>
      </c>
      <c r="I185" t="str">
        <f>IFERROR(VLOOKUP(B185,'Yearly Leave Tracker'!A:NU,379,0),"")</f>
        <v/>
      </c>
      <c r="J185" t="str">
        <f>IFERROR(VLOOKUP(B185,'Yearly Leave Tracker'!A:NU,380,0),"")</f>
        <v/>
      </c>
      <c r="K185" t="str">
        <f>IFERROR(VLOOKUP(B185,'Yearly Leave Tracker'!A:NU,381,0),"")</f>
        <v/>
      </c>
      <c r="L185" t="str">
        <f>IFERROR(VLOOKUP(B185,'Yearly Leave Tracker'!A:NU,382,0),"")</f>
        <v/>
      </c>
      <c r="M185" t="str">
        <f>IFERROR(VLOOKUP(B185,'Yearly Leave Tracker'!A:NU,383,0),"")</f>
        <v/>
      </c>
      <c r="N185" t="str">
        <f>IFERROR(VLOOKUP(B185,'Yearly Leave Tracker'!A:NU,384,0),"")</f>
        <v/>
      </c>
      <c r="O185" t="str">
        <f>IFERROR(VLOOKUP(B185,'Yearly Leave Tracker'!A:NU,385,0),"")</f>
        <v/>
      </c>
    </row>
    <row r="186" spans="2:15" x14ac:dyDescent="0.25">
      <c r="B186" t="str">
        <f>IFERROR(IF('Yearly Leave Tracker'!A190="","",'Yearly Leave Tracker'!A190),"")</f>
        <v/>
      </c>
      <c r="C186" t="str">
        <f>IFERROR(VLOOKUP(B186,Database!E:F,2,0),"")</f>
        <v/>
      </c>
      <c r="D186" t="str">
        <f>IFERROR(VLOOKUP(B186,'Yearly Leave Tracker'!A:NU,374,0),"")</f>
        <v/>
      </c>
      <c r="E186" t="str">
        <f>IFERROR(VLOOKUP(B186,'Yearly Leave Tracker'!A:NU,375,0),"")</f>
        <v/>
      </c>
      <c r="F186" t="str">
        <f>IFERROR(VLOOKUP(B186,'Yearly Leave Tracker'!A:NU,376,0),"")</f>
        <v/>
      </c>
      <c r="G186" t="str">
        <f>IFERROR(VLOOKUP(B186,'Yearly Leave Tracker'!A:NU,377,0),"")</f>
        <v/>
      </c>
      <c r="H186" t="str">
        <f>IFERROR(VLOOKUP(B186,'Yearly Leave Tracker'!A:NU,378,0),"")</f>
        <v/>
      </c>
      <c r="I186" t="str">
        <f>IFERROR(VLOOKUP(B186,'Yearly Leave Tracker'!A:NU,379,0),"")</f>
        <v/>
      </c>
      <c r="J186" t="str">
        <f>IFERROR(VLOOKUP(B186,'Yearly Leave Tracker'!A:NU,380,0),"")</f>
        <v/>
      </c>
      <c r="K186" t="str">
        <f>IFERROR(VLOOKUP(B186,'Yearly Leave Tracker'!A:NU,381,0),"")</f>
        <v/>
      </c>
      <c r="L186" t="str">
        <f>IFERROR(VLOOKUP(B186,'Yearly Leave Tracker'!A:NU,382,0),"")</f>
        <v/>
      </c>
      <c r="M186" t="str">
        <f>IFERROR(VLOOKUP(B186,'Yearly Leave Tracker'!A:NU,383,0),"")</f>
        <v/>
      </c>
      <c r="N186" t="str">
        <f>IFERROR(VLOOKUP(B186,'Yearly Leave Tracker'!A:NU,384,0),"")</f>
        <v/>
      </c>
      <c r="O186" t="str">
        <f>IFERROR(VLOOKUP(B186,'Yearly Leave Tracker'!A:NU,385,0),"")</f>
        <v/>
      </c>
    </row>
    <row r="187" spans="2:15" x14ac:dyDescent="0.25">
      <c r="B187" t="str">
        <f>IFERROR(IF('Yearly Leave Tracker'!A191="","",'Yearly Leave Tracker'!A191),"")</f>
        <v/>
      </c>
      <c r="C187" t="str">
        <f>IFERROR(VLOOKUP(B187,Database!E:F,2,0),"")</f>
        <v/>
      </c>
      <c r="D187" t="str">
        <f>IFERROR(VLOOKUP(B187,'Yearly Leave Tracker'!A:NU,374,0),"")</f>
        <v/>
      </c>
      <c r="E187" t="str">
        <f>IFERROR(VLOOKUP(B187,'Yearly Leave Tracker'!A:NU,375,0),"")</f>
        <v/>
      </c>
      <c r="F187" t="str">
        <f>IFERROR(VLOOKUP(B187,'Yearly Leave Tracker'!A:NU,376,0),"")</f>
        <v/>
      </c>
      <c r="G187" t="str">
        <f>IFERROR(VLOOKUP(B187,'Yearly Leave Tracker'!A:NU,377,0),"")</f>
        <v/>
      </c>
      <c r="H187" t="str">
        <f>IFERROR(VLOOKUP(B187,'Yearly Leave Tracker'!A:NU,378,0),"")</f>
        <v/>
      </c>
      <c r="I187" t="str">
        <f>IFERROR(VLOOKUP(B187,'Yearly Leave Tracker'!A:NU,379,0),"")</f>
        <v/>
      </c>
      <c r="J187" t="str">
        <f>IFERROR(VLOOKUP(B187,'Yearly Leave Tracker'!A:NU,380,0),"")</f>
        <v/>
      </c>
      <c r="K187" t="str">
        <f>IFERROR(VLOOKUP(B187,'Yearly Leave Tracker'!A:NU,381,0),"")</f>
        <v/>
      </c>
      <c r="L187" t="str">
        <f>IFERROR(VLOOKUP(B187,'Yearly Leave Tracker'!A:NU,382,0),"")</f>
        <v/>
      </c>
      <c r="M187" t="str">
        <f>IFERROR(VLOOKUP(B187,'Yearly Leave Tracker'!A:NU,383,0),"")</f>
        <v/>
      </c>
      <c r="N187" t="str">
        <f>IFERROR(VLOOKUP(B187,'Yearly Leave Tracker'!A:NU,384,0),"")</f>
        <v/>
      </c>
      <c r="O187" t="str">
        <f>IFERROR(VLOOKUP(B187,'Yearly Leave Tracker'!A:NU,385,0),"")</f>
        <v/>
      </c>
    </row>
    <row r="188" spans="2:15" x14ac:dyDescent="0.25">
      <c r="B188" t="str">
        <f>IFERROR(IF('Yearly Leave Tracker'!A192="","",'Yearly Leave Tracker'!A192),"")</f>
        <v/>
      </c>
      <c r="C188" t="str">
        <f>IFERROR(VLOOKUP(B188,Database!E:F,2,0),"")</f>
        <v/>
      </c>
      <c r="D188" t="str">
        <f>IFERROR(VLOOKUP(B188,'Yearly Leave Tracker'!A:NU,374,0),"")</f>
        <v/>
      </c>
      <c r="E188" t="str">
        <f>IFERROR(VLOOKUP(B188,'Yearly Leave Tracker'!A:NU,375,0),"")</f>
        <v/>
      </c>
      <c r="F188" t="str">
        <f>IFERROR(VLOOKUP(B188,'Yearly Leave Tracker'!A:NU,376,0),"")</f>
        <v/>
      </c>
      <c r="G188" t="str">
        <f>IFERROR(VLOOKUP(B188,'Yearly Leave Tracker'!A:NU,377,0),"")</f>
        <v/>
      </c>
      <c r="H188" t="str">
        <f>IFERROR(VLOOKUP(B188,'Yearly Leave Tracker'!A:NU,378,0),"")</f>
        <v/>
      </c>
      <c r="I188" t="str">
        <f>IFERROR(VLOOKUP(B188,'Yearly Leave Tracker'!A:NU,379,0),"")</f>
        <v/>
      </c>
      <c r="J188" t="str">
        <f>IFERROR(VLOOKUP(B188,'Yearly Leave Tracker'!A:NU,380,0),"")</f>
        <v/>
      </c>
      <c r="K188" t="str">
        <f>IFERROR(VLOOKUP(B188,'Yearly Leave Tracker'!A:NU,381,0),"")</f>
        <v/>
      </c>
      <c r="L188" t="str">
        <f>IFERROR(VLOOKUP(B188,'Yearly Leave Tracker'!A:NU,382,0),"")</f>
        <v/>
      </c>
      <c r="M188" t="str">
        <f>IFERROR(VLOOKUP(B188,'Yearly Leave Tracker'!A:NU,383,0),"")</f>
        <v/>
      </c>
      <c r="N188" t="str">
        <f>IFERROR(VLOOKUP(B188,'Yearly Leave Tracker'!A:NU,384,0),"")</f>
        <v/>
      </c>
      <c r="O188" t="str">
        <f>IFERROR(VLOOKUP(B188,'Yearly Leave Tracker'!A:NU,385,0),"")</f>
        <v/>
      </c>
    </row>
    <row r="189" spans="2:15" x14ac:dyDescent="0.25">
      <c r="B189" t="str">
        <f>IFERROR(IF('Yearly Leave Tracker'!A193="","",'Yearly Leave Tracker'!A193),"")</f>
        <v/>
      </c>
      <c r="C189" t="str">
        <f>IFERROR(VLOOKUP(B189,Database!E:F,2,0),"")</f>
        <v/>
      </c>
      <c r="D189" t="str">
        <f>IFERROR(VLOOKUP(B189,'Yearly Leave Tracker'!A:NU,374,0),"")</f>
        <v/>
      </c>
      <c r="E189" t="str">
        <f>IFERROR(VLOOKUP(B189,'Yearly Leave Tracker'!A:NU,375,0),"")</f>
        <v/>
      </c>
      <c r="F189" t="str">
        <f>IFERROR(VLOOKUP(B189,'Yearly Leave Tracker'!A:NU,376,0),"")</f>
        <v/>
      </c>
      <c r="G189" t="str">
        <f>IFERROR(VLOOKUP(B189,'Yearly Leave Tracker'!A:NU,377,0),"")</f>
        <v/>
      </c>
      <c r="H189" t="str">
        <f>IFERROR(VLOOKUP(B189,'Yearly Leave Tracker'!A:NU,378,0),"")</f>
        <v/>
      </c>
      <c r="I189" t="str">
        <f>IFERROR(VLOOKUP(B189,'Yearly Leave Tracker'!A:NU,379,0),"")</f>
        <v/>
      </c>
      <c r="J189" t="str">
        <f>IFERROR(VLOOKUP(B189,'Yearly Leave Tracker'!A:NU,380,0),"")</f>
        <v/>
      </c>
      <c r="K189" t="str">
        <f>IFERROR(VLOOKUP(B189,'Yearly Leave Tracker'!A:NU,381,0),"")</f>
        <v/>
      </c>
      <c r="L189" t="str">
        <f>IFERROR(VLOOKUP(B189,'Yearly Leave Tracker'!A:NU,382,0),"")</f>
        <v/>
      </c>
      <c r="M189" t="str">
        <f>IFERROR(VLOOKUP(B189,'Yearly Leave Tracker'!A:NU,383,0),"")</f>
        <v/>
      </c>
      <c r="N189" t="str">
        <f>IFERROR(VLOOKUP(B189,'Yearly Leave Tracker'!A:NU,384,0),"")</f>
        <v/>
      </c>
      <c r="O189" t="str">
        <f>IFERROR(VLOOKUP(B189,'Yearly Leave Tracker'!A:NU,385,0),"")</f>
        <v/>
      </c>
    </row>
    <row r="190" spans="2:15" x14ac:dyDescent="0.25">
      <c r="B190" t="str">
        <f>IFERROR(IF('Yearly Leave Tracker'!A194="","",'Yearly Leave Tracker'!A194),"")</f>
        <v/>
      </c>
      <c r="C190" t="str">
        <f>IFERROR(VLOOKUP(B190,Database!E:F,2,0),"")</f>
        <v/>
      </c>
      <c r="D190" t="str">
        <f>IFERROR(VLOOKUP(B190,'Yearly Leave Tracker'!A:NU,374,0),"")</f>
        <v/>
      </c>
      <c r="E190" t="str">
        <f>IFERROR(VLOOKUP(B190,'Yearly Leave Tracker'!A:NU,375,0),"")</f>
        <v/>
      </c>
      <c r="F190" t="str">
        <f>IFERROR(VLOOKUP(B190,'Yearly Leave Tracker'!A:NU,376,0),"")</f>
        <v/>
      </c>
      <c r="G190" t="str">
        <f>IFERROR(VLOOKUP(B190,'Yearly Leave Tracker'!A:NU,377,0),"")</f>
        <v/>
      </c>
      <c r="H190" t="str">
        <f>IFERROR(VLOOKUP(B190,'Yearly Leave Tracker'!A:NU,378,0),"")</f>
        <v/>
      </c>
      <c r="I190" t="str">
        <f>IFERROR(VLOOKUP(B190,'Yearly Leave Tracker'!A:NU,379,0),"")</f>
        <v/>
      </c>
      <c r="J190" t="str">
        <f>IFERROR(VLOOKUP(B190,'Yearly Leave Tracker'!A:NU,380,0),"")</f>
        <v/>
      </c>
      <c r="K190" t="str">
        <f>IFERROR(VLOOKUP(B190,'Yearly Leave Tracker'!A:NU,381,0),"")</f>
        <v/>
      </c>
      <c r="L190" t="str">
        <f>IFERROR(VLOOKUP(B190,'Yearly Leave Tracker'!A:NU,382,0),"")</f>
        <v/>
      </c>
      <c r="M190" t="str">
        <f>IFERROR(VLOOKUP(B190,'Yearly Leave Tracker'!A:NU,383,0),"")</f>
        <v/>
      </c>
      <c r="N190" t="str">
        <f>IFERROR(VLOOKUP(B190,'Yearly Leave Tracker'!A:NU,384,0),"")</f>
        <v/>
      </c>
      <c r="O190" t="str">
        <f>IFERROR(VLOOKUP(B190,'Yearly Leave Tracker'!A:NU,385,0),"")</f>
        <v/>
      </c>
    </row>
    <row r="191" spans="2:15" x14ac:dyDescent="0.25">
      <c r="B191" t="str">
        <f>IFERROR(IF('Yearly Leave Tracker'!A195="","",'Yearly Leave Tracker'!A195),"")</f>
        <v/>
      </c>
      <c r="C191" t="str">
        <f>IFERROR(VLOOKUP(B191,Database!E:F,2,0),"")</f>
        <v/>
      </c>
      <c r="D191" t="str">
        <f>IFERROR(VLOOKUP(B191,'Yearly Leave Tracker'!A:NU,374,0),"")</f>
        <v/>
      </c>
      <c r="E191" t="str">
        <f>IFERROR(VLOOKUP(B191,'Yearly Leave Tracker'!A:NU,375,0),"")</f>
        <v/>
      </c>
      <c r="F191" t="str">
        <f>IFERROR(VLOOKUP(B191,'Yearly Leave Tracker'!A:NU,376,0),"")</f>
        <v/>
      </c>
      <c r="G191" t="str">
        <f>IFERROR(VLOOKUP(B191,'Yearly Leave Tracker'!A:NU,377,0),"")</f>
        <v/>
      </c>
      <c r="H191" t="str">
        <f>IFERROR(VLOOKUP(B191,'Yearly Leave Tracker'!A:NU,378,0),"")</f>
        <v/>
      </c>
      <c r="I191" t="str">
        <f>IFERROR(VLOOKUP(B191,'Yearly Leave Tracker'!A:NU,379,0),"")</f>
        <v/>
      </c>
      <c r="J191" t="str">
        <f>IFERROR(VLOOKUP(B191,'Yearly Leave Tracker'!A:NU,380,0),"")</f>
        <v/>
      </c>
      <c r="K191" t="str">
        <f>IFERROR(VLOOKUP(B191,'Yearly Leave Tracker'!A:NU,381,0),"")</f>
        <v/>
      </c>
      <c r="L191" t="str">
        <f>IFERROR(VLOOKUP(B191,'Yearly Leave Tracker'!A:NU,382,0),"")</f>
        <v/>
      </c>
      <c r="M191" t="str">
        <f>IFERROR(VLOOKUP(B191,'Yearly Leave Tracker'!A:NU,383,0),"")</f>
        <v/>
      </c>
      <c r="N191" t="str">
        <f>IFERROR(VLOOKUP(B191,'Yearly Leave Tracker'!A:NU,384,0),"")</f>
        <v/>
      </c>
      <c r="O191" t="str">
        <f>IFERROR(VLOOKUP(B191,'Yearly Leave Tracker'!A:NU,385,0),"")</f>
        <v/>
      </c>
    </row>
    <row r="192" spans="2:15" x14ac:dyDescent="0.25">
      <c r="B192" t="str">
        <f>IFERROR(IF('Yearly Leave Tracker'!A196="","",'Yearly Leave Tracker'!A196),"")</f>
        <v/>
      </c>
      <c r="C192" t="str">
        <f>IFERROR(VLOOKUP(B192,Database!E:F,2,0),"")</f>
        <v/>
      </c>
      <c r="D192" t="str">
        <f>IFERROR(VLOOKUP(B192,'Yearly Leave Tracker'!A:NU,374,0),"")</f>
        <v/>
      </c>
      <c r="E192" t="str">
        <f>IFERROR(VLOOKUP(B192,'Yearly Leave Tracker'!A:NU,375,0),"")</f>
        <v/>
      </c>
      <c r="F192" t="str">
        <f>IFERROR(VLOOKUP(B192,'Yearly Leave Tracker'!A:NU,376,0),"")</f>
        <v/>
      </c>
      <c r="G192" t="str">
        <f>IFERROR(VLOOKUP(B192,'Yearly Leave Tracker'!A:NU,377,0),"")</f>
        <v/>
      </c>
      <c r="H192" t="str">
        <f>IFERROR(VLOOKUP(B192,'Yearly Leave Tracker'!A:NU,378,0),"")</f>
        <v/>
      </c>
      <c r="I192" t="str">
        <f>IFERROR(VLOOKUP(B192,'Yearly Leave Tracker'!A:NU,379,0),"")</f>
        <v/>
      </c>
      <c r="J192" t="str">
        <f>IFERROR(VLOOKUP(B192,'Yearly Leave Tracker'!A:NU,380,0),"")</f>
        <v/>
      </c>
      <c r="K192" t="str">
        <f>IFERROR(VLOOKUP(B192,'Yearly Leave Tracker'!A:NU,381,0),"")</f>
        <v/>
      </c>
      <c r="L192" t="str">
        <f>IFERROR(VLOOKUP(B192,'Yearly Leave Tracker'!A:NU,382,0),"")</f>
        <v/>
      </c>
      <c r="M192" t="str">
        <f>IFERROR(VLOOKUP(B192,'Yearly Leave Tracker'!A:NU,383,0),"")</f>
        <v/>
      </c>
      <c r="N192" t="str">
        <f>IFERROR(VLOOKUP(B192,'Yearly Leave Tracker'!A:NU,384,0),"")</f>
        <v/>
      </c>
      <c r="O192" t="str">
        <f>IFERROR(VLOOKUP(B192,'Yearly Leave Tracker'!A:NU,385,0),"")</f>
        <v/>
      </c>
    </row>
    <row r="193" spans="2:15" x14ac:dyDescent="0.25">
      <c r="B193" t="str">
        <f>IFERROR(IF('Yearly Leave Tracker'!A197="","",'Yearly Leave Tracker'!A197),"")</f>
        <v/>
      </c>
      <c r="C193" t="str">
        <f>IFERROR(VLOOKUP(B193,Database!E:F,2,0),"")</f>
        <v/>
      </c>
      <c r="D193" t="str">
        <f>IFERROR(VLOOKUP(B193,'Yearly Leave Tracker'!A:NU,374,0),"")</f>
        <v/>
      </c>
      <c r="E193" t="str">
        <f>IFERROR(VLOOKUP(B193,'Yearly Leave Tracker'!A:NU,375,0),"")</f>
        <v/>
      </c>
      <c r="F193" t="str">
        <f>IFERROR(VLOOKUP(B193,'Yearly Leave Tracker'!A:NU,376,0),"")</f>
        <v/>
      </c>
      <c r="G193" t="str">
        <f>IFERROR(VLOOKUP(B193,'Yearly Leave Tracker'!A:NU,377,0),"")</f>
        <v/>
      </c>
      <c r="H193" t="str">
        <f>IFERROR(VLOOKUP(B193,'Yearly Leave Tracker'!A:NU,378,0),"")</f>
        <v/>
      </c>
      <c r="I193" t="str">
        <f>IFERROR(VLOOKUP(B193,'Yearly Leave Tracker'!A:NU,379,0),"")</f>
        <v/>
      </c>
      <c r="J193" t="str">
        <f>IFERROR(VLOOKUP(B193,'Yearly Leave Tracker'!A:NU,380,0),"")</f>
        <v/>
      </c>
      <c r="K193" t="str">
        <f>IFERROR(VLOOKUP(B193,'Yearly Leave Tracker'!A:NU,381,0),"")</f>
        <v/>
      </c>
      <c r="L193" t="str">
        <f>IFERROR(VLOOKUP(B193,'Yearly Leave Tracker'!A:NU,382,0),"")</f>
        <v/>
      </c>
      <c r="M193" t="str">
        <f>IFERROR(VLOOKUP(B193,'Yearly Leave Tracker'!A:NU,383,0),"")</f>
        <v/>
      </c>
      <c r="N193" t="str">
        <f>IFERROR(VLOOKUP(B193,'Yearly Leave Tracker'!A:NU,384,0),"")</f>
        <v/>
      </c>
      <c r="O193" t="str">
        <f>IFERROR(VLOOKUP(B193,'Yearly Leave Tracker'!A:NU,385,0),"")</f>
        <v/>
      </c>
    </row>
    <row r="194" spans="2:15" x14ac:dyDescent="0.25">
      <c r="B194" t="str">
        <f>IFERROR(IF('Yearly Leave Tracker'!A198="","",'Yearly Leave Tracker'!A198),"")</f>
        <v/>
      </c>
      <c r="C194" t="str">
        <f>IFERROR(VLOOKUP(B194,Database!E:F,2,0),"")</f>
        <v/>
      </c>
      <c r="D194" t="str">
        <f>IFERROR(VLOOKUP(B194,'Yearly Leave Tracker'!A:NU,374,0),"")</f>
        <v/>
      </c>
      <c r="E194" t="str">
        <f>IFERROR(VLOOKUP(B194,'Yearly Leave Tracker'!A:NU,375,0),"")</f>
        <v/>
      </c>
      <c r="F194" t="str">
        <f>IFERROR(VLOOKUP(B194,'Yearly Leave Tracker'!A:NU,376,0),"")</f>
        <v/>
      </c>
      <c r="G194" t="str">
        <f>IFERROR(VLOOKUP(B194,'Yearly Leave Tracker'!A:NU,377,0),"")</f>
        <v/>
      </c>
      <c r="H194" t="str">
        <f>IFERROR(VLOOKUP(B194,'Yearly Leave Tracker'!A:NU,378,0),"")</f>
        <v/>
      </c>
      <c r="I194" t="str">
        <f>IFERROR(VLOOKUP(B194,'Yearly Leave Tracker'!A:NU,379,0),"")</f>
        <v/>
      </c>
      <c r="J194" t="str">
        <f>IFERROR(VLOOKUP(B194,'Yearly Leave Tracker'!A:NU,380,0),"")</f>
        <v/>
      </c>
      <c r="K194" t="str">
        <f>IFERROR(VLOOKUP(B194,'Yearly Leave Tracker'!A:NU,381,0),"")</f>
        <v/>
      </c>
      <c r="L194" t="str">
        <f>IFERROR(VLOOKUP(B194,'Yearly Leave Tracker'!A:NU,382,0),"")</f>
        <v/>
      </c>
      <c r="M194" t="str">
        <f>IFERROR(VLOOKUP(B194,'Yearly Leave Tracker'!A:NU,383,0),"")</f>
        <v/>
      </c>
      <c r="N194" t="str">
        <f>IFERROR(VLOOKUP(B194,'Yearly Leave Tracker'!A:NU,384,0),"")</f>
        <v/>
      </c>
      <c r="O194" t="str">
        <f>IFERROR(VLOOKUP(B194,'Yearly Leave Tracker'!A:NU,385,0),"")</f>
        <v/>
      </c>
    </row>
    <row r="195" spans="2:15" x14ac:dyDescent="0.25">
      <c r="B195" t="str">
        <f>IFERROR(IF('Yearly Leave Tracker'!A199="","",'Yearly Leave Tracker'!A199),"")</f>
        <v/>
      </c>
      <c r="C195" t="str">
        <f>IFERROR(VLOOKUP(B195,Database!E:F,2,0),"")</f>
        <v/>
      </c>
      <c r="D195" t="str">
        <f>IFERROR(VLOOKUP(B195,'Yearly Leave Tracker'!A:NU,374,0),"")</f>
        <v/>
      </c>
      <c r="E195" t="str">
        <f>IFERROR(VLOOKUP(B195,'Yearly Leave Tracker'!A:NU,375,0),"")</f>
        <v/>
      </c>
      <c r="F195" t="str">
        <f>IFERROR(VLOOKUP(B195,'Yearly Leave Tracker'!A:NU,376,0),"")</f>
        <v/>
      </c>
      <c r="G195" t="str">
        <f>IFERROR(VLOOKUP(B195,'Yearly Leave Tracker'!A:NU,377,0),"")</f>
        <v/>
      </c>
      <c r="H195" t="str">
        <f>IFERROR(VLOOKUP(B195,'Yearly Leave Tracker'!A:NU,378,0),"")</f>
        <v/>
      </c>
      <c r="I195" t="str">
        <f>IFERROR(VLOOKUP(B195,'Yearly Leave Tracker'!A:NU,379,0),"")</f>
        <v/>
      </c>
      <c r="J195" t="str">
        <f>IFERROR(VLOOKUP(B195,'Yearly Leave Tracker'!A:NU,380,0),"")</f>
        <v/>
      </c>
      <c r="K195" t="str">
        <f>IFERROR(VLOOKUP(B195,'Yearly Leave Tracker'!A:NU,381,0),"")</f>
        <v/>
      </c>
      <c r="L195" t="str">
        <f>IFERROR(VLOOKUP(B195,'Yearly Leave Tracker'!A:NU,382,0),"")</f>
        <v/>
      </c>
      <c r="M195" t="str">
        <f>IFERROR(VLOOKUP(B195,'Yearly Leave Tracker'!A:NU,383,0),"")</f>
        <v/>
      </c>
      <c r="N195" t="str">
        <f>IFERROR(VLOOKUP(B195,'Yearly Leave Tracker'!A:NU,384,0),"")</f>
        <v/>
      </c>
      <c r="O195" t="str">
        <f>IFERROR(VLOOKUP(B195,'Yearly Leave Tracker'!A:NU,385,0),"")</f>
        <v/>
      </c>
    </row>
    <row r="196" spans="2:15" x14ac:dyDescent="0.25">
      <c r="B196" t="str">
        <f>IFERROR(IF('Yearly Leave Tracker'!A200="","",'Yearly Leave Tracker'!A200),"")</f>
        <v/>
      </c>
      <c r="C196" t="str">
        <f>IFERROR(VLOOKUP(B196,Database!E:F,2,0),"")</f>
        <v/>
      </c>
      <c r="D196" t="str">
        <f>IFERROR(VLOOKUP(B196,'Yearly Leave Tracker'!A:NU,374,0),"")</f>
        <v/>
      </c>
      <c r="E196" t="str">
        <f>IFERROR(VLOOKUP(B196,'Yearly Leave Tracker'!A:NU,375,0),"")</f>
        <v/>
      </c>
      <c r="F196" t="str">
        <f>IFERROR(VLOOKUP(B196,'Yearly Leave Tracker'!A:NU,376,0),"")</f>
        <v/>
      </c>
      <c r="G196" t="str">
        <f>IFERROR(VLOOKUP(B196,'Yearly Leave Tracker'!A:NU,377,0),"")</f>
        <v/>
      </c>
      <c r="H196" t="str">
        <f>IFERROR(VLOOKUP(B196,'Yearly Leave Tracker'!A:NU,378,0),"")</f>
        <v/>
      </c>
      <c r="I196" t="str">
        <f>IFERROR(VLOOKUP(B196,'Yearly Leave Tracker'!A:NU,379,0),"")</f>
        <v/>
      </c>
      <c r="J196" t="str">
        <f>IFERROR(VLOOKUP(B196,'Yearly Leave Tracker'!A:NU,380,0),"")</f>
        <v/>
      </c>
      <c r="K196" t="str">
        <f>IFERROR(VLOOKUP(B196,'Yearly Leave Tracker'!A:NU,381,0),"")</f>
        <v/>
      </c>
      <c r="L196" t="str">
        <f>IFERROR(VLOOKUP(B196,'Yearly Leave Tracker'!A:NU,382,0),"")</f>
        <v/>
      </c>
      <c r="M196" t="str">
        <f>IFERROR(VLOOKUP(B196,'Yearly Leave Tracker'!A:NU,383,0),"")</f>
        <v/>
      </c>
      <c r="N196" t="str">
        <f>IFERROR(VLOOKUP(B196,'Yearly Leave Tracker'!A:NU,384,0),"")</f>
        <v/>
      </c>
      <c r="O196" t="str">
        <f>IFERROR(VLOOKUP(B196,'Yearly Leave Tracker'!A:NU,385,0),"")</f>
        <v/>
      </c>
    </row>
    <row r="197" spans="2:15" x14ac:dyDescent="0.25">
      <c r="B197" t="str">
        <f>IFERROR(IF('Yearly Leave Tracker'!A201="","",'Yearly Leave Tracker'!A201),"")</f>
        <v/>
      </c>
      <c r="C197" t="str">
        <f>IFERROR(VLOOKUP(B197,Database!E:F,2,0),"")</f>
        <v/>
      </c>
      <c r="D197" t="str">
        <f>IFERROR(VLOOKUP(B197,'Yearly Leave Tracker'!A:NU,374,0),"")</f>
        <v/>
      </c>
      <c r="E197" t="str">
        <f>IFERROR(VLOOKUP(B197,'Yearly Leave Tracker'!A:NU,375,0),"")</f>
        <v/>
      </c>
      <c r="F197" t="str">
        <f>IFERROR(VLOOKUP(B197,'Yearly Leave Tracker'!A:NU,376,0),"")</f>
        <v/>
      </c>
      <c r="G197" t="str">
        <f>IFERROR(VLOOKUP(B197,'Yearly Leave Tracker'!A:NU,377,0),"")</f>
        <v/>
      </c>
      <c r="H197" t="str">
        <f>IFERROR(VLOOKUP(B197,'Yearly Leave Tracker'!A:NU,378,0),"")</f>
        <v/>
      </c>
      <c r="I197" t="str">
        <f>IFERROR(VLOOKUP(B197,'Yearly Leave Tracker'!A:NU,379,0),"")</f>
        <v/>
      </c>
      <c r="J197" t="str">
        <f>IFERROR(VLOOKUP(B197,'Yearly Leave Tracker'!A:NU,380,0),"")</f>
        <v/>
      </c>
      <c r="K197" t="str">
        <f>IFERROR(VLOOKUP(B197,'Yearly Leave Tracker'!A:NU,381,0),"")</f>
        <v/>
      </c>
      <c r="L197" t="str">
        <f>IFERROR(VLOOKUP(B197,'Yearly Leave Tracker'!A:NU,382,0),"")</f>
        <v/>
      </c>
      <c r="M197" t="str">
        <f>IFERROR(VLOOKUP(B197,'Yearly Leave Tracker'!A:NU,383,0),"")</f>
        <v/>
      </c>
      <c r="N197" t="str">
        <f>IFERROR(VLOOKUP(B197,'Yearly Leave Tracker'!A:NU,384,0),"")</f>
        <v/>
      </c>
      <c r="O197" t="str">
        <f>IFERROR(VLOOKUP(B197,'Yearly Leave Tracker'!A:NU,385,0),"")</f>
        <v/>
      </c>
    </row>
    <row r="198" spans="2:15" x14ac:dyDescent="0.25">
      <c r="B198" t="str">
        <f>IFERROR(IF('Yearly Leave Tracker'!A202="","",'Yearly Leave Tracker'!A202),"")</f>
        <v/>
      </c>
      <c r="C198" t="str">
        <f>IFERROR(VLOOKUP(B198,Database!E:F,2,0),"")</f>
        <v/>
      </c>
      <c r="D198" t="str">
        <f>IFERROR(VLOOKUP(B198,'Yearly Leave Tracker'!A:NU,374,0),"")</f>
        <v/>
      </c>
      <c r="E198" t="str">
        <f>IFERROR(VLOOKUP(B198,'Yearly Leave Tracker'!A:NU,375,0),"")</f>
        <v/>
      </c>
      <c r="F198" t="str">
        <f>IFERROR(VLOOKUP(B198,'Yearly Leave Tracker'!A:NU,376,0),"")</f>
        <v/>
      </c>
      <c r="G198" t="str">
        <f>IFERROR(VLOOKUP(B198,'Yearly Leave Tracker'!A:NU,377,0),"")</f>
        <v/>
      </c>
      <c r="H198" t="str">
        <f>IFERROR(VLOOKUP(B198,'Yearly Leave Tracker'!A:NU,378,0),"")</f>
        <v/>
      </c>
      <c r="I198" t="str">
        <f>IFERROR(VLOOKUP(B198,'Yearly Leave Tracker'!A:NU,379,0),"")</f>
        <v/>
      </c>
      <c r="J198" t="str">
        <f>IFERROR(VLOOKUP(B198,'Yearly Leave Tracker'!A:NU,380,0),"")</f>
        <v/>
      </c>
      <c r="K198" t="str">
        <f>IFERROR(VLOOKUP(B198,'Yearly Leave Tracker'!A:NU,381,0),"")</f>
        <v/>
      </c>
      <c r="L198" t="str">
        <f>IFERROR(VLOOKUP(B198,'Yearly Leave Tracker'!A:NU,382,0),"")</f>
        <v/>
      </c>
      <c r="M198" t="str">
        <f>IFERROR(VLOOKUP(B198,'Yearly Leave Tracker'!A:NU,383,0),"")</f>
        <v/>
      </c>
      <c r="N198" t="str">
        <f>IFERROR(VLOOKUP(B198,'Yearly Leave Tracker'!A:NU,384,0),"")</f>
        <v/>
      </c>
      <c r="O198" t="str">
        <f>IFERROR(VLOOKUP(B198,'Yearly Leave Tracker'!A:NU,385,0),"")</f>
        <v/>
      </c>
    </row>
    <row r="199" spans="2:15" x14ac:dyDescent="0.25">
      <c r="B199" t="str">
        <f>IFERROR(IF('Yearly Leave Tracker'!A203="","",'Yearly Leave Tracker'!A203),"")</f>
        <v/>
      </c>
      <c r="C199" t="str">
        <f>IFERROR(VLOOKUP(B199,Database!E:F,2,0),"")</f>
        <v/>
      </c>
      <c r="D199" t="str">
        <f>IFERROR(VLOOKUP(B199,'Yearly Leave Tracker'!A:NU,374,0),"")</f>
        <v/>
      </c>
      <c r="E199" t="str">
        <f>IFERROR(VLOOKUP(B199,'Yearly Leave Tracker'!A:NU,375,0),"")</f>
        <v/>
      </c>
      <c r="F199" t="str">
        <f>IFERROR(VLOOKUP(B199,'Yearly Leave Tracker'!A:NU,376,0),"")</f>
        <v/>
      </c>
      <c r="G199" t="str">
        <f>IFERROR(VLOOKUP(B199,'Yearly Leave Tracker'!A:NU,377,0),"")</f>
        <v/>
      </c>
      <c r="H199" t="str">
        <f>IFERROR(VLOOKUP(B199,'Yearly Leave Tracker'!A:NU,378,0),"")</f>
        <v/>
      </c>
      <c r="I199" t="str">
        <f>IFERROR(VLOOKUP(B199,'Yearly Leave Tracker'!A:NU,379,0),"")</f>
        <v/>
      </c>
      <c r="J199" t="str">
        <f>IFERROR(VLOOKUP(B199,'Yearly Leave Tracker'!A:NU,380,0),"")</f>
        <v/>
      </c>
      <c r="K199" t="str">
        <f>IFERROR(VLOOKUP(B199,'Yearly Leave Tracker'!A:NU,381,0),"")</f>
        <v/>
      </c>
      <c r="L199" t="str">
        <f>IFERROR(VLOOKUP(B199,'Yearly Leave Tracker'!A:NU,382,0),"")</f>
        <v/>
      </c>
      <c r="M199" t="str">
        <f>IFERROR(VLOOKUP(B199,'Yearly Leave Tracker'!A:NU,383,0),"")</f>
        <v/>
      </c>
      <c r="N199" t="str">
        <f>IFERROR(VLOOKUP(B199,'Yearly Leave Tracker'!A:NU,384,0),"")</f>
        <v/>
      </c>
      <c r="O199" t="str">
        <f>IFERROR(VLOOKUP(B199,'Yearly Leave Tracker'!A:NU,385,0),"")</f>
        <v/>
      </c>
    </row>
    <row r="200" spans="2:15" x14ac:dyDescent="0.25">
      <c r="B200" t="str">
        <f>IFERROR(IF('Yearly Leave Tracker'!A204="","",'Yearly Leave Tracker'!A204),"")</f>
        <v/>
      </c>
      <c r="C200" t="str">
        <f>IFERROR(VLOOKUP(B200,Database!E:F,2,0),"")</f>
        <v/>
      </c>
      <c r="D200" t="str">
        <f>IFERROR(VLOOKUP(B200,'Yearly Leave Tracker'!A:NU,374,0),"")</f>
        <v/>
      </c>
      <c r="E200" t="str">
        <f>IFERROR(VLOOKUP(B200,'Yearly Leave Tracker'!A:NU,375,0),"")</f>
        <v/>
      </c>
      <c r="F200" t="str">
        <f>IFERROR(VLOOKUP(B200,'Yearly Leave Tracker'!A:NU,376,0),"")</f>
        <v/>
      </c>
      <c r="G200" t="str">
        <f>IFERROR(VLOOKUP(B200,'Yearly Leave Tracker'!A:NU,377,0),"")</f>
        <v/>
      </c>
      <c r="H200" t="str">
        <f>IFERROR(VLOOKUP(B200,'Yearly Leave Tracker'!A:NU,378,0),"")</f>
        <v/>
      </c>
      <c r="I200" t="str">
        <f>IFERROR(VLOOKUP(B200,'Yearly Leave Tracker'!A:NU,379,0),"")</f>
        <v/>
      </c>
      <c r="J200" t="str">
        <f>IFERROR(VLOOKUP(B200,'Yearly Leave Tracker'!A:NU,380,0),"")</f>
        <v/>
      </c>
      <c r="K200" t="str">
        <f>IFERROR(VLOOKUP(B200,'Yearly Leave Tracker'!A:NU,381,0),"")</f>
        <v/>
      </c>
      <c r="L200" t="str">
        <f>IFERROR(VLOOKUP(B200,'Yearly Leave Tracker'!A:NU,382,0),"")</f>
        <v/>
      </c>
      <c r="M200" t="str">
        <f>IFERROR(VLOOKUP(B200,'Yearly Leave Tracker'!A:NU,383,0),"")</f>
        <v/>
      </c>
      <c r="N200" t="str">
        <f>IFERROR(VLOOKUP(B200,'Yearly Leave Tracker'!A:NU,384,0),"")</f>
        <v/>
      </c>
      <c r="O200" t="str">
        <f>IFERROR(VLOOKUP(B200,'Yearly Leave Tracker'!A:NU,385,0),"")</f>
        <v/>
      </c>
    </row>
    <row r="201" spans="2:15" x14ac:dyDescent="0.25">
      <c r="B201" t="str">
        <f>IFERROR(IF('Yearly Leave Tracker'!A205="","",'Yearly Leave Tracker'!A205),"")</f>
        <v/>
      </c>
      <c r="C201" t="str">
        <f>IFERROR(VLOOKUP(B201,Database!E:F,2,0),"")</f>
        <v/>
      </c>
      <c r="D201" t="str">
        <f>IFERROR(VLOOKUP(B201,'Yearly Leave Tracker'!A:NU,374,0),"")</f>
        <v/>
      </c>
      <c r="E201" t="str">
        <f>IFERROR(VLOOKUP(B201,'Yearly Leave Tracker'!A:NU,375,0),"")</f>
        <v/>
      </c>
      <c r="F201" t="str">
        <f>IFERROR(VLOOKUP(B201,'Yearly Leave Tracker'!A:NU,376,0),"")</f>
        <v/>
      </c>
      <c r="G201" t="str">
        <f>IFERROR(VLOOKUP(B201,'Yearly Leave Tracker'!A:NU,377,0),"")</f>
        <v/>
      </c>
      <c r="H201" t="str">
        <f>IFERROR(VLOOKUP(B201,'Yearly Leave Tracker'!A:NU,378,0),"")</f>
        <v/>
      </c>
      <c r="I201" t="str">
        <f>IFERROR(VLOOKUP(B201,'Yearly Leave Tracker'!A:NU,379,0),"")</f>
        <v/>
      </c>
      <c r="J201" t="str">
        <f>IFERROR(VLOOKUP(B201,'Yearly Leave Tracker'!A:NU,380,0),"")</f>
        <v/>
      </c>
      <c r="K201" t="str">
        <f>IFERROR(VLOOKUP(B201,'Yearly Leave Tracker'!A:NU,381,0),"")</f>
        <v/>
      </c>
      <c r="L201" t="str">
        <f>IFERROR(VLOOKUP(B201,'Yearly Leave Tracker'!A:NU,382,0),"")</f>
        <v/>
      </c>
      <c r="M201" t="str">
        <f>IFERROR(VLOOKUP(B201,'Yearly Leave Tracker'!A:NU,383,0),"")</f>
        <v/>
      </c>
      <c r="N201" t="str">
        <f>IFERROR(VLOOKUP(B201,'Yearly Leave Tracker'!A:NU,384,0),"")</f>
        <v/>
      </c>
      <c r="O201" t="str">
        <f>IFERROR(VLOOKUP(B201,'Yearly Leave Tracker'!A:NU,385,0),"")</f>
        <v/>
      </c>
    </row>
    <row r="202" spans="2:15" x14ac:dyDescent="0.25">
      <c r="B202" t="str">
        <f>IFERROR(IF('Yearly Leave Tracker'!A206="","",'Yearly Leave Tracker'!A206),"")</f>
        <v/>
      </c>
      <c r="C202" t="str">
        <f>IFERROR(VLOOKUP(B202,Database!E:F,2,0),"")</f>
        <v/>
      </c>
      <c r="D202" t="str">
        <f>IFERROR(VLOOKUP(B202,'Yearly Leave Tracker'!A:NU,374,0),"")</f>
        <v/>
      </c>
      <c r="E202" t="str">
        <f>IFERROR(VLOOKUP(B202,'Yearly Leave Tracker'!A:NU,375,0),"")</f>
        <v/>
      </c>
      <c r="F202" t="str">
        <f>IFERROR(VLOOKUP(B202,'Yearly Leave Tracker'!A:NU,376,0),"")</f>
        <v/>
      </c>
      <c r="G202" t="str">
        <f>IFERROR(VLOOKUP(B202,'Yearly Leave Tracker'!A:NU,377,0),"")</f>
        <v/>
      </c>
      <c r="H202" t="str">
        <f>IFERROR(VLOOKUP(B202,'Yearly Leave Tracker'!A:NU,378,0),"")</f>
        <v/>
      </c>
      <c r="I202" t="str">
        <f>IFERROR(VLOOKUP(B202,'Yearly Leave Tracker'!A:NU,379,0),"")</f>
        <v/>
      </c>
      <c r="J202" t="str">
        <f>IFERROR(VLOOKUP(B202,'Yearly Leave Tracker'!A:NU,380,0),"")</f>
        <v/>
      </c>
      <c r="K202" t="str">
        <f>IFERROR(VLOOKUP(B202,'Yearly Leave Tracker'!A:NU,381,0),"")</f>
        <v/>
      </c>
      <c r="L202" t="str">
        <f>IFERROR(VLOOKUP(B202,'Yearly Leave Tracker'!A:NU,382,0),"")</f>
        <v/>
      </c>
      <c r="M202" t="str">
        <f>IFERROR(VLOOKUP(B202,'Yearly Leave Tracker'!A:NU,383,0),"")</f>
        <v/>
      </c>
      <c r="N202" t="str">
        <f>IFERROR(VLOOKUP(B202,'Yearly Leave Tracker'!A:NU,384,0),"")</f>
        <v/>
      </c>
      <c r="O202" t="str">
        <f>IFERROR(VLOOKUP(B202,'Yearly Leave Tracker'!A:NU,385,0),"")</f>
        <v/>
      </c>
    </row>
    <row r="203" spans="2:15" x14ac:dyDescent="0.25">
      <c r="B203" t="str">
        <f>IFERROR(IF('Yearly Leave Tracker'!A207="","",'Yearly Leave Tracker'!A207),"")</f>
        <v/>
      </c>
      <c r="C203" t="str">
        <f>IFERROR(VLOOKUP(B203,Database!E:F,2,0),"")</f>
        <v/>
      </c>
      <c r="D203" t="str">
        <f>IFERROR(VLOOKUP(B203,'Yearly Leave Tracker'!A:NU,374,0),"")</f>
        <v/>
      </c>
      <c r="E203" t="str">
        <f>IFERROR(VLOOKUP(B203,'Yearly Leave Tracker'!A:NU,375,0),"")</f>
        <v/>
      </c>
      <c r="F203" t="str">
        <f>IFERROR(VLOOKUP(B203,'Yearly Leave Tracker'!A:NU,376,0),"")</f>
        <v/>
      </c>
      <c r="G203" t="str">
        <f>IFERROR(VLOOKUP(B203,'Yearly Leave Tracker'!A:NU,377,0),"")</f>
        <v/>
      </c>
      <c r="H203" t="str">
        <f>IFERROR(VLOOKUP(B203,'Yearly Leave Tracker'!A:NU,378,0),"")</f>
        <v/>
      </c>
      <c r="I203" t="str">
        <f>IFERROR(VLOOKUP(B203,'Yearly Leave Tracker'!A:NU,379,0),"")</f>
        <v/>
      </c>
      <c r="J203" t="str">
        <f>IFERROR(VLOOKUP(B203,'Yearly Leave Tracker'!A:NU,380,0),"")</f>
        <v/>
      </c>
      <c r="K203" t="str">
        <f>IFERROR(VLOOKUP(B203,'Yearly Leave Tracker'!A:NU,381,0),"")</f>
        <v/>
      </c>
      <c r="L203" t="str">
        <f>IFERROR(VLOOKUP(B203,'Yearly Leave Tracker'!A:NU,382,0),"")</f>
        <v/>
      </c>
      <c r="M203" t="str">
        <f>IFERROR(VLOOKUP(B203,'Yearly Leave Tracker'!A:NU,383,0),"")</f>
        <v/>
      </c>
      <c r="N203" t="str">
        <f>IFERROR(VLOOKUP(B203,'Yearly Leave Tracker'!A:NU,384,0),"")</f>
        <v/>
      </c>
      <c r="O203" t="str">
        <f>IFERROR(VLOOKUP(B203,'Yearly Leave Tracker'!A:NU,385,0),"")</f>
        <v/>
      </c>
    </row>
    <row r="204" spans="2:15" x14ac:dyDescent="0.25">
      <c r="B204" t="str">
        <f>IFERROR(IF('Yearly Leave Tracker'!A208="","",'Yearly Leave Tracker'!A208),"")</f>
        <v/>
      </c>
      <c r="C204" t="str">
        <f>IFERROR(VLOOKUP(B204,Database!E:F,2,0),"")</f>
        <v/>
      </c>
      <c r="D204" t="str">
        <f>IFERROR(VLOOKUP(B204,'Yearly Leave Tracker'!A:NU,374,0),"")</f>
        <v/>
      </c>
      <c r="E204" t="str">
        <f>IFERROR(VLOOKUP(B204,'Yearly Leave Tracker'!A:NU,375,0),"")</f>
        <v/>
      </c>
      <c r="F204" t="str">
        <f>IFERROR(VLOOKUP(B204,'Yearly Leave Tracker'!A:NU,376,0),"")</f>
        <v/>
      </c>
      <c r="G204" t="str">
        <f>IFERROR(VLOOKUP(B204,'Yearly Leave Tracker'!A:NU,377,0),"")</f>
        <v/>
      </c>
      <c r="H204" t="str">
        <f>IFERROR(VLOOKUP(B204,'Yearly Leave Tracker'!A:NU,378,0),"")</f>
        <v/>
      </c>
      <c r="I204" t="str">
        <f>IFERROR(VLOOKUP(B204,'Yearly Leave Tracker'!A:NU,379,0),"")</f>
        <v/>
      </c>
      <c r="J204" t="str">
        <f>IFERROR(VLOOKUP(B204,'Yearly Leave Tracker'!A:NU,380,0),"")</f>
        <v/>
      </c>
      <c r="K204" t="str">
        <f>IFERROR(VLOOKUP(B204,'Yearly Leave Tracker'!A:NU,381,0),"")</f>
        <v/>
      </c>
      <c r="L204" t="str">
        <f>IFERROR(VLOOKUP(B204,'Yearly Leave Tracker'!A:NU,382,0),"")</f>
        <v/>
      </c>
      <c r="M204" t="str">
        <f>IFERROR(VLOOKUP(B204,'Yearly Leave Tracker'!A:NU,383,0),"")</f>
        <v/>
      </c>
      <c r="N204" t="str">
        <f>IFERROR(VLOOKUP(B204,'Yearly Leave Tracker'!A:NU,384,0),"")</f>
        <v/>
      </c>
      <c r="O204" t="str">
        <f>IFERROR(VLOOKUP(B204,'Yearly Leave Tracker'!A:NU,385,0),"")</f>
        <v/>
      </c>
    </row>
    <row r="205" spans="2:15" x14ac:dyDescent="0.25">
      <c r="B205" t="str">
        <f>IFERROR(IF('Yearly Leave Tracker'!A209="","",'Yearly Leave Tracker'!A209),"")</f>
        <v/>
      </c>
      <c r="C205" t="str">
        <f>IFERROR(VLOOKUP(B205,Database!E:F,2,0),"")</f>
        <v/>
      </c>
      <c r="D205" t="str">
        <f>IFERROR(VLOOKUP(B205,'Yearly Leave Tracker'!A:NU,374,0),"")</f>
        <v/>
      </c>
      <c r="E205" t="str">
        <f>IFERROR(VLOOKUP(B205,'Yearly Leave Tracker'!A:NU,375,0),"")</f>
        <v/>
      </c>
      <c r="F205" t="str">
        <f>IFERROR(VLOOKUP(B205,'Yearly Leave Tracker'!A:NU,376,0),"")</f>
        <v/>
      </c>
      <c r="G205" t="str">
        <f>IFERROR(VLOOKUP(B205,'Yearly Leave Tracker'!A:NU,377,0),"")</f>
        <v/>
      </c>
      <c r="H205" t="str">
        <f>IFERROR(VLOOKUP(B205,'Yearly Leave Tracker'!A:NU,378,0),"")</f>
        <v/>
      </c>
      <c r="I205" t="str">
        <f>IFERROR(VLOOKUP(B205,'Yearly Leave Tracker'!A:NU,379,0),"")</f>
        <v/>
      </c>
      <c r="J205" t="str">
        <f>IFERROR(VLOOKUP(B205,'Yearly Leave Tracker'!A:NU,380,0),"")</f>
        <v/>
      </c>
      <c r="K205" t="str">
        <f>IFERROR(VLOOKUP(B205,'Yearly Leave Tracker'!A:NU,381,0),"")</f>
        <v/>
      </c>
      <c r="L205" t="str">
        <f>IFERROR(VLOOKUP(B205,'Yearly Leave Tracker'!A:NU,382,0),"")</f>
        <v/>
      </c>
      <c r="M205" t="str">
        <f>IFERROR(VLOOKUP(B205,'Yearly Leave Tracker'!A:NU,383,0),"")</f>
        <v/>
      </c>
      <c r="N205" t="str">
        <f>IFERROR(VLOOKUP(B205,'Yearly Leave Tracker'!A:NU,384,0),"")</f>
        <v/>
      </c>
      <c r="O205" t="str">
        <f>IFERROR(VLOOKUP(B205,'Yearly Leave Tracker'!A:NU,385,0),"")</f>
        <v/>
      </c>
    </row>
    <row r="206" spans="2:15" x14ac:dyDescent="0.25">
      <c r="B206" t="str">
        <f>IFERROR(IF('Yearly Leave Tracker'!A210="","",'Yearly Leave Tracker'!A210),"")</f>
        <v/>
      </c>
      <c r="C206" t="str">
        <f>IFERROR(VLOOKUP(B206,Database!E:F,2,0),"")</f>
        <v/>
      </c>
      <c r="D206" t="str">
        <f>IFERROR(VLOOKUP(B206,'Yearly Leave Tracker'!A:NU,374,0),"")</f>
        <v/>
      </c>
      <c r="E206" t="str">
        <f>IFERROR(VLOOKUP(B206,'Yearly Leave Tracker'!A:NU,375,0),"")</f>
        <v/>
      </c>
      <c r="F206" t="str">
        <f>IFERROR(VLOOKUP(B206,'Yearly Leave Tracker'!A:NU,376,0),"")</f>
        <v/>
      </c>
      <c r="G206" t="str">
        <f>IFERROR(VLOOKUP(B206,'Yearly Leave Tracker'!A:NU,377,0),"")</f>
        <v/>
      </c>
      <c r="H206" t="str">
        <f>IFERROR(VLOOKUP(B206,'Yearly Leave Tracker'!A:NU,378,0),"")</f>
        <v/>
      </c>
      <c r="I206" t="str">
        <f>IFERROR(VLOOKUP(B206,'Yearly Leave Tracker'!A:NU,379,0),"")</f>
        <v/>
      </c>
      <c r="J206" t="str">
        <f>IFERROR(VLOOKUP(B206,'Yearly Leave Tracker'!A:NU,380,0),"")</f>
        <v/>
      </c>
      <c r="K206" t="str">
        <f>IFERROR(VLOOKUP(B206,'Yearly Leave Tracker'!A:NU,381,0),"")</f>
        <v/>
      </c>
      <c r="L206" t="str">
        <f>IFERROR(VLOOKUP(B206,'Yearly Leave Tracker'!A:NU,382,0),"")</f>
        <v/>
      </c>
      <c r="M206" t="str">
        <f>IFERROR(VLOOKUP(B206,'Yearly Leave Tracker'!A:NU,383,0),"")</f>
        <v/>
      </c>
      <c r="N206" t="str">
        <f>IFERROR(VLOOKUP(B206,'Yearly Leave Tracker'!A:NU,384,0),"")</f>
        <v/>
      </c>
      <c r="O206" t="str">
        <f>IFERROR(VLOOKUP(B206,'Yearly Leave Tracker'!A:NU,385,0),"")</f>
        <v/>
      </c>
    </row>
    <row r="207" spans="2:15" x14ac:dyDescent="0.25">
      <c r="B207" t="str">
        <f>IFERROR(IF('Yearly Leave Tracker'!A211="","",'Yearly Leave Tracker'!A211),"")</f>
        <v/>
      </c>
      <c r="C207" t="str">
        <f>IFERROR(VLOOKUP(B207,Database!E:F,2,0),"")</f>
        <v/>
      </c>
      <c r="D207" t="str">
        <f>IFERROR(VLOOKUP(B207,'Yearly Leave Tracker'!A:NU,374,0),"")</f>
        <v/>
      </c>
      <c r="E207" t="str">
        <f>IFERROR(VLOOKUP(B207,'Yearly Leave Tracker'!A:NU,375,0),"")</f>
        <v/>
      </c>
      <c r="F207" t="str">
        <f>IFERROR(VLOOKUP(B207,'Yearly Leave Tracker'!A:NU,376,0),"")</f>
        <v/>
      </c>
      <c r="G207" t="str">
        <f>IFERROR(VLOOKUP(B207,'Yearly Leave Tracker'!A:NU,377,0),"")</f>
        <v/>
      </c>
      <c r="H207" t="str">
        <f>IFERROR(VLOOKUP(B207,'Yearly Leave Tracker'!A:NU,378,0),"")</f>
        <v/>
      </c>
      <c r="I207" t="str">
        <f>IFERROR(VLOOKUP(B207,'Yearly Leave Tracker'!A:NU,379,0),"")</f>
        <v/>
      </c>
      <c r="J207" t="str">
        <f>IFERROR(VLOOKUP(B207,'Yearly Leave Tracker'!A:NU,380,0),"")</f>
        <v/>
      </c>
      <c r="K207" t="str">
        <f>IFERROR(VLOOKUP(B207,'Yearly Leave Tracker'!A:NU,381,0),"")</f>
        <v/>
      </c>
      <c r="L207" t="str">
        <f>IFERROR(VLOOKUP(B207,'Yearly Leave Tracker'!A:NU,382,0),"")</f>
        <v/>
      </c>
      <c r="M207" t="str">
        <f>IFERROR(VLOOKUP(B207,'Yearly Leave Tracker'!A:NU,383,0),"")</f>
        <v/>
      </c>
      <c r="N207" t="str">
        <f>IFERROR(VLOOKUP(B207,'Yearly Leave Tracker'!A:NU,384,0),"")</f>
        <v/>
      </c>
      <c r="O207" t="str">
        <f>IFERROR(VLOOKUP(B207,'Yearly Leave Tracker'!A:NU,385,0),"")</f>
        <v/>
      </c>
    </row>
    <row r="208" spans="2:15" x14ac:dyDescent="0.25">
      <c r="B208" t="str">
        <f>IFERROR(IF('Yearly Leave Tracker'!A212="","",'Yearly Leave Tracker'!A212),"")</f>
        <v/>
      </c>
      <c r="C208" t="str">
        <f>IFERROR(VLOOKUP(B208,Database!E:F,2,0),"")</f>
        <v/>
      </c>
      <c r="D208" t="str">
        <f>IFERROR(VLOOKUP(B208,'Yearly Leave Tracker'!A:NU,374,0),"")</f>
        <v/>
      </c>
      <c r="E208" t="str">
        <f>IFERROR(VLOOKUP(B208,'Yearly Leave Tracker'!A:NU,375,0),"")</f>
        <v/>
      </c>
      <c r="F208" t="str">
        <f>IFERROR(VLOOKUP(B208,'Yearly Leave Tracker'!A:NU,376,0),"")</f>
        <v/>
      </c>
      <c r="G208" t="str">
        <f>IFERROR(VLOOKUP(B208,'Yearly Leave Tracker'!A:NU,377,0),"")</f>
        <v/>
      </c>
      <c r="H208" t="str">
        <f>IFERROR(VLOOKUP(B208,'Yearly Leave Tracker'!A:NU,378,0),"")</f>
        <v/>
      </c>
      <c r="I208" t="str">
        <f>IFERROR(VLOOKUP(B208,'Yearly Leave Tracker'!A:NU,379,0),"")</f>
        <v/>
      </c>
      <c r="J208" t="str">
        <f>IFERROR(VLOOKUP(B208,'Yearly Leave Tracker'!A:NU,380,0),"")</f>
        <v/>
      </c>
      <c r="K208" t="str">
        <f>IFERROR(VLOOKUP(B208,'Yearly Leave Tracker'!A:NU,381,0),"")</f>
        <v/>
      </c>
      <c r="L208" t="str">
        <f>IFERROR(VLOOKUP(B208,'Yearly Leave Tracker'!A:NU,382,0),"")</f>
        <v/>
      </c>
      <c r="M208" t="str">
        <f>IFERROR(VLOOKUP(B208,'Yearly Leave Tracker'!A:NU,383,0),"")</f>
        <v/>
      </c>
      <c r="N208" t="str">
        <f>IFERROR(VLOOKUP(B208,'Yearly Leave Tracker'!A:NU,384,0),"")</f>
        <v/>
      </c>
      <c r="O208" t="str">
        <f>IFERROR(VLOOKUP(B208,'Yearly Leave Tracker'!A:NU,385,0),"")</f>
        <v/>
      </c>
    </row>
    <row r="209" spans="2:15" x14ac:dyDescent="0.25">
      <c r="B209" t="str">
        <f>IFERROR(IF('Yearly Leave Tracker'!A213="","",'Yearly Leave Tracker'!A213),"")</f>
        <v/>
      </c>
      <c r="C209" t="str">
        <f>IFERROR(VLOOKUP(B209,Database!E:F,2,0),"")</f>
        <v/>
      </c>
      <c r="D209" t="str">
        <f>IFERROR(VLOOKUP(B209,'Yearly Leave Tracker'!A:NU,374,0),"")</f>
        <v/>
      </c>
      <c r="E209" t="str">
        <f>IFERROR(VLOOKUP(B209,'Yearly Leave Tracker'!A:NU,375,0),"")</f>
        <v/>
      </c>
      <c r="F209" t="str">
        <f>IFERROR(VLOOKUP(B209,'Yearly Leave Tracker'!A:NU,376,0),"")</f>
        <v/>
      </c>
      <c r="G209" t="str">
        <f>IFERROR(VLOOKUP(B209,'Yearly Leave Tracker'!A:NU,377,0),"")</f>
        <v/>
      </c>
      <c r="H209" t="str">
        <f>IFERROR(VLOOKUP(B209,'Yearly Leave Tracker'!A:NU,378,0),"")</f>
        <v/>
      </c>
      <c r="I209" t="str">
        <f>IFERROR(VLOOKUP(B209,'Yearly Leave Tracker'!A:NU,379,0),"")</f>
        <v/>
      </c>
      <c r="J209" t="str">
        <f>IFERROR(VLOOKUP(B209,'Yearly Leave Tracker'!A:NU,380,0),"")</f>
        <v/>
      </c>
      <c r="K209" t="str">
        <f>IFERROR(VLOOKUP(B209,'Yearly Leave Tracker'!A:NU,381,0),"")</f>
        <v/>
      </c>
      <c r="L209" t="str">
        <f>IFERROR(VLOOKUP(B209,'Yearly Leave Tracker'!A:NU,382,0),"")</f>
        <v/>
      </c>
      <c r="M209" t="str">
        <f>IFERROR(VLOOKUP(B209,'Yearly Leave Tracker'!A:NU,383,0),"")</f>
        <v/>
      </c>
      <c r="N209" t="str">
        <f>IFERROR(VLOOKUP(B209,'Yearly Leave Tracker'!A:NU,384,0),"")</f>
        <v/>
      </c>
      <c r="O209" t="str">
        <f>IFERROR(VLOOKUP(B209,'Yearly Leave Tracker'!A:NU,385,0),"")</f>
        <v/>
      </c>
    </row>
    <row r="210" spans="2:15" x14ac:dyDescent="0.25">
      <c r="B210" t="str">
        <f>IFERROR(IF('Yearly Leave Tracker'!A214="","",'Yearly Leave Tracker'!A214),"")</f>
        <v/>
      </c>
      <c r="C210" t="str">
        <f>IFERROR(VLOOKUP(B210,Database!E:F,2,0),"")</f>
        <v/>
      </c>
      <c r="D210" t="str">
        <f>IFERROR(VLOOKUP(B210,'Yearly Leave Tracker'!A:NU,374,0),"")</f>
        <v/>
      </c>
      <c r="E210" t="str">
        <f>IFERROR(VLOOKUP(B210,'Yearly Leave Tracker'!A:NU,375,0),"")</f>
        <v/>
      </c>
      <c r="F210" t="str">
        <f>IFERROR(VLOOKUP(B210,'Yearly Leave Tracker'!A:NU,376,0),"")</f>
        <v/>
      </c>
      <c r="G210" t="str">
        <f>IFERROR(VLOOKUP(B210,'Yearly Leave Tracker'!A:NU,377,0),"")</f>
        <v/>
      </c>
      <c r="H210" t="str">
        <f>IFERROR(VLOOKUP(B210,'Yearly Leave Tracker'!A:NU,378,0),"")</f>
        <v/>
      </c>
      <c r="I210" t="str">
        <f>IFERROR(VLOOKUP(B210,'Yearly Leave Tracker'!A:NU,379,0),"")</f>
        <v/>
      </c>
      <c r="J210" t="str">
        <f>IFERROR(VLOOKUP(B210,'Yearly Leave Tracker'!A:NU,380,0),"")</f>
        <v/>
      </c>
      <c r="K210" t="str">
        <f>IFERROR(VLOOKUP(B210,'Yearly Leave Tracker'!A:NU,381,0),"")</f>
        <v/>
      </c>
      <c r="L210" t="str">
        <f>IFERROR(VLOOKUP(B210,'Yearly Leave Tracker'!A:NU,382,0),"")</f>
        <v/>
      </c>
      <c r="M210" t="str">
        <f>IFERROR(VLOOKUP(B210,'Yearly Leave Tracker'!A:NU,383,0),"")</f>
        <v/>
      </c>
      <c r="N210" t="str">
        <f>IFERROR(VLOOKUP(B210,'Yearly Leave Tracker'!A:NU,384,0),"")</f>
        <v/>
      </c>
      <c r="O210" t="str">
        <f>IFERROR(VLOOKUP(B210,'Yearly Leave Tracker'!A:NU,385,0),"")</f>
        <v/>
      </c>
    </row>
    <row r="211" spans="2:15" x14ac:dyDescent="0.25">
      <c r="B211" t="str">
        <f>IFERROR(IF('Yearly Leave Tracker'!A215="","",'Yearly Leave Tracker'!A215),"")</f>
        <v/>
      </c>
      <c r="C211" t="str">
        <f>IFERROR(VLOOKUP(B211,Database!E:F,2,0),"")</f>
        <v/>
      </c>
      <c r="D211" t="str">
        <f>IFERROR(VLOOKUP(B211,'Yearly Leave Tracker'!A:NU,374,0),"")</f>
        <v/>
      </c>
      <c r="E211" t="str">
        <f>IFERROR(VLOOKUP(B211,'Yearly Leave Tracker'!A:NU,375,0),"")</f>
        <v/>
      </c>
      <c r="F211" t="str">
        <f>IFERROR(VLOOKUP(B211,'Yearly Leave Tracker'!A:NU,376,0),"")</f>
        <v/>
      </c>
      <c r="G211" t="str">
        <f>IFERROR(VLOOKUP(B211,'Yearly Leave Tracker'!A:NU,377,0),"")</f>
        <v/>
      </c>
      <c r="H211" t="str">
        <f>IFERROR(VLOOKUP(B211,'Yearly Leave Tracker'!A:NU,378,0),"")</f>
        <v/>
      </c>
      <c r="I211" t="str">
        <f>IFERROR(VLOOKUP(B211,'Yearly Leave Tracker'!A:NU,379,0),"")</f>
        <v/>
      </c>
      <c r="J211" t="str">
        <f>IFERROR(VLOOKUP(B211,'Yearly Leave Tracker'!A:NU,380,0),"")</f>
        <v/>
      </c>
      <c r="K211" t="str">
        <f>IFERROR(VLOOKUP(B211,'Yearly Leave Tracker'!A:NU,381,0),"")</f>
        <v/>
      </c>
      <c r="L211" t="str">
        <f>IFERROR(VLOOKUP(B211,'Yearly Leave Tracker'!A:NU,382,0),"")</f>
        <v/>
      </c>
      <c r="M211" t="str">
        <f>IFERROR(VLOOKUP(B211,'Yearly Leave Tracker'!A:NU,383,0),"")</f>
        <v/>
      </c>
      <c r="N211" t="str">
        <f>IFERROR(VLOOKUP(B211,'Yearly Leave Tracker'!A:NU,384,0),"")</f>
        <v/>
      </c>
      <c r="O211" t="str">
        <f>IFERROR(VLOOKUP(B211,'Yearly Leave Tracker'!A:NU,385,0),"")</f>
        <v/>
      </c>
    </row>
    <row r="212" spans="2:15" x14ac:dyDescent="0.25">
      <c r="B212" t="str">
        <f>IFERROR(IF('Yearly Leave Tracker'!A216="","",'Yearly Leave Tracker'!A216),"")</f>
        <v/>
      </c>
      <c r="C212" t="str">
        <f>IFERROR(VLOOKUP(B212,Database!E:F,2,0),"")</f>
        <v/>
      </c>
      <c r="D212" t="str">
        <f>IFERROR(VLOOKUP(B212,'Yearly Leave Tracker'!A:NU,374,0),"")</f>
        <v/>
      </c>
      <c r="E212" t="str">
        <f>IFERROR(VLOOKUP(B212,'Yearly Leave Tracker'!A:NU,375,0),"")</f>
        <v/>
      </c>
      <c r="F212" t="str">
        <f>IFERROR(VLOOKUP(B212,'Yearly Leave Tracker'!A:NU,376,0),"")</f>
        <v/>
      </c>
      <c r="G212" t="str">
        <f>IFERROR(VLOOKUP(B212,'Yearly Leave Tracker'!A:NU,377,0),"")</f>
        <v/>
      </c>
      <c r="H212" t="str">
        <f>IFERROR(VLOOKUP(B212,'Yearly Leave Tracker'!A:NU,378,0),"")</f>
        <v/>
      </c>
      <c r="I212" t="str">
        <f>IFERROR(VLOOKUP(B212,'Yearly Leave Tracker'!A:NU,379,0),"")</f>
        <v/>
      </c>
      <c r="J212" t="str">
        <f>IFERROR(VLOOKUP(B212,'Yearly Leave Tracker'!A:NU,380,0),"")</f>
        <v/>
      </c>
      <c r="K212" t="str">
        <f>IFERROR(VLOOKUP(B212,'Yearly Leave Tracker'!A:NU,381,0),"")</f>
        <v/>
      </c>
      <c r="L212" t="str">
        <f>IFERROR(VLOOKUP(B212,'Yearly Leave Tracker'!A:NU,382,0),"")</f>
        <v/>
      </c>
      <c r="M212" t="str">
        <f>IFERROR(VLOOKUP(B212,'Yearly Leave Tracker'!A:NU,383,0),"")</f>
        <v/>
      </c>
      <c r="N212" t="str">
        <f>IFERROR(VLOOKUP(B212,'Yearly Leave Tracker'!A:NU,384,0),"")</f>
        <v/>
      </c>
      <c r="O212" t="str">
        <f>IFERROR(VLOOKUP(B212,'Yearly Leave Tracker'!A:NU,385,0),"")</f>
        <v/>
      </c>
    </row>
    <row r="213" spans="2:15" x14ac:dyDescent="0.25">
      <c r="B213" t="str">
        <f>IFERROR(IF('Yearly Leave Tracker'!A217="","",'Yearly Leave Tracker'!A217),"")</f>
        <v/>
      </c>
      <c r="C213" t="str">
        <f>IFERROR(VLOOKUP(B213,Database!E:F,2,0),"")</f>
        <v/>
      </c>
      <c r="D213" t="str">
        <f>IFERROR(VLOOKUP(B213,'Yearly Leave Tracker'!A:NU,374,0),"")</f>
        <v/>
      </c>
      <c r="E213" t="str">
        <f>IFERROR(VLOOKUP(B213,'Yearly Leave Tracker'!A:NU,375,0),"")</f>
        <v/>
      </c>
      <c r="F213" t="str">
        <f>IFERROR(VLOOKUP(B213,'Yearly Leave Tracker'!A:NU,376,0),"")</f>
        <v/>
      </c>
      <c r="G213" t="str">
        <f>IFERROR(VLOOKUP(B213,'Yearly Leave Tracker'!A:NU,377,0),"")</f>
        <v/>
      </c>
      <c r="H213" t="str">
        <f>IFERROR(VLOOKUP(B213,'Yearly Leave Tracker'!A:NU,378,0),"")</f>
        <v/>
      </c>
      <c r="I213" t="str">
        <f>IFERROR(VLOOKUP(B213,'Yearly Leave Tracker'!A:NU,379,0),"")</f>
        <v/>
      </c>
      <c r="J213" t="str">
        <f>IFERROR(VLOOKUP(B213,'Yearly Leave Tracker'!A:NU,380,0),"")</f>
        <v/>
      </c>
      <c r="K213" t="str">
        <f>IFERROR(VLOOKUP(B213,'Yearly Leave Tracker'!A:NU,381,0),"")</f>
        <v/>
      </c>
      <c r="L213" t="str">
        <f>IFERROR(VLOOKUP(B213,'Yearly Leave Tracker'!A:NU,382,0),"")</f>
        <v/>
      </c>
      <c r="M213" t="str">
        <f>IFERROR(VLOOKUP(B213,'Yearly Leave Tracker'!A:NU,383,0),"")</f>
        <v/>
      </c>
      <c r="N213" t="str">
        <f>IFERROR(VLOOKUP(B213,'Yearly Leave Tracker'!A:NU,384,0),"")</f>
        <v/>
      </c>
      <c r="O213" t="str">
        <f>IFERROR(VLOOKUP(B213,'Yearly Leave Tracker'!A:NU,385,0),"")</f>
        <v/>
      </c>
    </row>
    <row r="214" spans="2:15" x14ac:dyDescent="0.25">
      <c r="B214" t="str">
        <f>IFERROR(IF('Yearly Leave Tracker'!A218="","",'Yearly Leave Tracker'!A218),"")</f>
        <v/>
      </c>
      <c r="C214" t="str">
        <f>IFERROR(VLOOKUP(B214,Database!E:F,2,0),"")</f>
        <v/>
      </c>
      <c r="D214" t="str">
        <f>IFERROR(VLOOKUP(B214,'Yearly Leave Tracker'!A:NU,374,0),"")</f>
        <v/>
      </c>
      <c r="E214" t="str">
        <f>IFERROR(VLOOKUP(B214,'Yearly Leave Tracker'!A:NU,375,0),"")</f>
        <v/>
      </c>
      <c r="F214" t="str">
        <f>IFERROR(VLOOKUP(B214,'Yearly Leave Tracker'!A:NU,376,0),"")</f>
        <v/>
      </c>
      <c r="G214" t="str">
        <f>IFERROR(VLOOKUP(B214,'Yearly Leave Tracker'!A:NU,377,0),"")</f>
        <v/>
      </c>
      <c r="H214" t="str">
        <f>IFERROR(VLOOKUP(B214,'Yearly Leave Tracker'!A:NU,378,0),"")</f>
        <v/>
      </c>
      <c r="I214" t="str">
        <f>IFERROR(VLOOKUP(B214,'Yearly Leave Tracker'!A:NU,379,0),"")</f>
        <v/>
      </c>
      <c r="J214" t="str">
        <f>IFERROR(VLOOKUP(B214,'Yearly Leave Tracker'!A:NU,380,0),"")</f>
        <v/>
      </c>
      <c r="K214" t="str">
        <f>IFERROR(VLOOKUP(B214,'Yearly Leave Tracker'!A:NU,381,0),"")</f>
        <v/>
      </c>
      <c r="L214" t="str">
        <f>IFERROR(VLOOKUP(B214,'Yearly Leave Tracker'!A:NU,382,0),"")</f>
        <v/>
      </c>
      <c r="M214" t="str">
        <f>IFERROR(VLOOKUP(B214,'Yearly Leave Tracker'!A:NU,383,0),"")</f>
        <v/>
      </c>
      <c r="N214" t="str">
        <f>IFERROR(VLOOKUP(B214,'Yearly Leave Tracker'!A:NU,384,0),"")</f>
        <v/>
      </c>
      <c r="O214" t="str">
        <f>IFERROR(VLOOKUP(B214,'Yearly Leave Tracker'!A:NU,385,0),"")</f>
        <v/>
      </c>
    </row>
    <row r="215" spans="2:15" x14ac:dyDescent="0.25">
      <c r="B215" t="str">
        <f>IFERROR(IF('Yearly Leave Tracker'!A219="","",'Yearly Leave Tracker'!A219),"")</f>
        <v/>
      </c>
      <c r="C215" t="str">
        <f>IFERROR(VLOOKUP(B215,Database!E:F,2,0),"")</f>
        <v/>
      </c>
      <c r="D215" t="str">
        <f>IFERROR(VLOOKUP(B215,'Yearly Leave Tracker'!A:NU,374,0),"")</f>
        <v/>
      </c>
      <c r="E215" t="str">
        <f>IFERROR(VLOOKUP(B215,'Yearly Leave Tracker'!A:NU,375,0),"")</f>
        <v/>
      </c>
      <c r="F215" t="str">
        <f>IFERROR(VLOOKUP(B215,'Yearly Leave Tracker'!A:NU,376,0),"")</f>
        <v/>
      </c>
      <c r="G215" t="str">
        <f>IFERROR(VLOOKUP(B215,'Yearly Leave Tracker'!A:NU,377,0),"")</f>
        <v/>
      </c>
      <c r="H215" t="str">
        <f>IFERROR(VLOOKUP(B215,'Yearly Leave Tracker'!A:NU,378,0),"")</f>
        <v/>
      </c>
      <c r="I215" t="str">
        <f>IFERROR(VLOOKUP(B215,'Yearly Leave Tracker'!A:NU,379,0),"")</f>
        <v/>
      </c>
      <c r="J215" t="str">
        <f>IFERROR(VLOOKUP(B215,'Yearly Leave Tracker'!A:NU,380,0),"")</f>
        <v/>
      </c>
      <c r="K215" t="str">
        <f>IFERROR(VLOOKUP(B215,'Yearly Leave Tracker'!A:NU,381,0),"")</f>
        <v/>
      </c>
      <c r="L215" t="str">
        <f>IFERROR(VLOOKUP(B215,'Yearly Leave Tracker'!A:NU,382,0),"")</f>
        <v/>
      </c>
      <c r="M215" t="str">
        <f>IFERROR(VLOOKUP(B215,'Yearly Leave Tracker'!A:NU,383,0),"")</f>
        <v/>
      </c>
      <c r="N215" t="str">
        <f>IFERROR(VLOOKUP(B215,'Yearly Leave Tracker'!A:NU,384,0),"")</f>
        <v/>
      </c>
      <c r="O215" t="str">
        <f>IFERROR(VLOOKUP(B215,'Yearly Leave Tracker'!A:NU,385,0),"")</f>
        <v/>
      </c>
    </row>
    <row r="216" spans="2:15" x14ac:dyDescent="0.25">
      <c r="B216" t="str">
        <f>IFERROR(IF('Yearly Leave Tracker'!A220="","",'Yearly Leave Tracker'!A220),"")</f>
        <v/>
      </c>
      <c r="C216" t="str">
        <f>IFERROR(VLOOKUP(B216,Database!E:F,2,0),"")</f>
        <v/>
      </c>
      <c r="D216" t="str">
        <f>IFERROR(VLOOKUP(B216,'Yearly Leave Tracker'!A:NU,374,0),"")</f>
        <v/>
      </c>
      <c r="E216" t="str">
        <f>IFERROR(VLOOKUP(B216,'Yearly Leave Tracker'!A:NU,375,0),"")</f>
        <v/>
      </c>
      <c r="F216" t="str">
        <f>IFERROR(VLOOKUP(B216,'Yearly Leave Tracker'!A:NU,376,0),"")</f>
        <v/>
      </c>
      <c r="G216" t="str">
        <f>IFERROR(VLOOKUP(B216,'Yearly Leave Tracker'!A:NU,377,0),"")</f>
        <v/>
      </c>
      <c r="H216" t="str">
        <f>IFERROR(VLOOKUP(B216,'Yearly Leave Tracker'!A:NU,378,0),"")</f>
        <v/>
      </c>
      <c r="I216" t="str">
        <f>IFERROR(VLOOKUP(B216,'Yearly Leave Tracker'!A:NU,379,0),"")</f>
        <v/>
      </c>
      <c r="J216" t="str">
        <f>IFERROR(VLOOKUP(B216,'Yearly Leave Tracker'!A:NU,380,0),"")</f>
        <v/>
      </c>
      <c r="K216" t="str">
        <f>IFERROR(VLOOKUP(B216,'Yearly Leave Tracker'!A:NU,381,0),"")</f>
        <v/>
      </c>
      <c r="L216" t="str">
        <f>IFERROR(VLOOKUP(B216,'Yearly Leave Tracker'!A:NU,382,0),"")</f>
        <v/>
      </c>
      <c r="M216" t="str">
        <f>IFERROR(VLOOKUP(B216,'Yearly Leave Tracker'!A:NU,383,0),"")</f>
        <v/>
      </c>
      <c r="N216" t="str">
        <f>IFERROR(VLOOKUP(B216,'Yearly Leave Tracker'!A:NU,384,0),"")</f>
        <v/>
      </c>
      <c r="O216" t="str">
        <f>IFERROR(VLOOKUP(B216,'Yearly Leave Tracker'!A:NU,385,0),"")</f>
        <v/>
      </c>
    </row>
    <row r="217" spans="2:15" x14ac:dyDescent="0.25">
      <c r="B217" t="str">
        <f>IFERROR(IF('Yearly Leave Tracker'!A221="","",'Yearly Leave Tracker'!A221),"")</f>
        <v/>
      </c>
      <c r="C217" t="str">
        <f>IFERROR(VLOOKUP(B217,Database!E:F,2,0),"")</f>
        <v/>
      </c>
      <c r="D217" t="str">
        <f>IFERROR(VLOOKUP(B217,'Yearly Leave Tracker'!A:NU,374,0),"")</f>
        <v/>
      </c>
      <c r="E217" t="str">
        <f>IFERROR(VLOOKUP(B217,'Yearly Leave Tracker'!A:NU,375,0),"")</f>
        <v/>
      </c>
      <c r="F217" t="str">
        <f>IFERROR(VLOOKUP(B217,'Yearly Leave Tracker'!A:NU,376,0),"")</f>
        <v/>
      </c>
      <c r="G217" t="str">
        <f>IFERROR(VLOOKUP(B217,'Yearly Leave Tracker'!A:NU,377,0),"")</f>
        <v/>
      </c>
      <c r="H217" t="str">
        <f>IFERROR(VLOOKUP(B217,'Yearly Leave Tracker'!A:NU,378,0),"")</f>
        <v/>
      </c>
      <c r="I217" t="str">
        <f>IFERROR(VLOOKUP(B217,'Yearly Leave Tracker'!A:NU,379,0),"")</f>
        <v/>
      </c>
      <c r="J217" t="str">
        <f>IFERROR(VLOOKUP(B217,'Yearly Leave Tracker'!A:NU,380,0),"")</f>
        <v/>
      </c>
      <c r="K217" t="str">
        <f>IFERROR(VLOOKUP(B217,'Yearly Leave Tracker'!A:NU,381,0),"")</f>
        <v/>
      </c>
      <c r="L217" t="str">
        <f>IFERROR(VLOOKUP(B217,'Yearly Leave Tracker'!A:NU,382,0),"")</f>
        <v/>
      </c>
      <c r="M217" t="str">
        <f>IFERROR(VLOOKUP(B217,'Yearly Leave Tracker'!A:NU,383,0),"")</f>
        <v/>
      </c>
      <c r="N217" t="str">
        <f>IFERROR(VLOOKUP(B217,'Yearly Leave Tracker'!A:NU,384,0),"")</f>
        <v/>
      </c>
      <c r="O217" t="str">
        <f>IFERROR(VLOOKUP(B217,'Yearly Leave Tracker'!A:NU,385,0),"")</f>
        <v/>
      </c>
    </row>
    <row r="218" spans="2:15" x14ac:dyDescent="0.25">
      <c r="B218" t="str">
        <f>IFERROR(IF('Yearly Leave Tracker'!A222="","",'Yearly Leave Tracker'!A222),"")</f>
        <v/>
      </c>
      <c r="C218" t="str">
        <f>IFERROR(VLOOKUP(B218,Database!E:F,2,0),"")</f>
        <v/>
      </c>
      <c r="D218" t="str">
        <f>IFERROR(VLOOKUP(B218,'Yearly Leave Tracker'!A:NU,374,0),"")</f>
        <v/>
      </c>
      <c r="E218" t="str">
        <f>IFERROR(VLOOKUP(B218,'Yearly Leave Tracker'!A:NU,375,0),"")</f>
        <v/>
      </c>
      <c r="F218" t="str">
        <f>IFERROR(VLOOKUP(B218,'Yearly Leave Tracker'!A:NU,376,0),"")</f>
        <v/>
      </c>
      <c r="G218" t="str">
        <f>IFERROR(VLOOKUP(B218,'Yearly Leave Tracker'!A:NU,377,0),"")</f>
        <v/>
      </c>
      <c r="H218" t="str">
        <f>IFERROR(VLOOKUP(B218,'Yearly Leave Tracker'!A:NU,378,0),"")</f>
        <v/>
      </c>
      <c r="I218" t="str">
        <f>IFERROR(VLOOKUP(B218,'Yearly Leave Tracker'!A:NU,379,0),"")</f>
        <v/>
      </c>
      <c r="J218" t="str">
        <f>IFERROR(VLOOKUP(B218,'Yearly Leave Tracker'!A:NU,380,0),"")</f>
        <v/>
      </c>
      <c r="K218" t="str">
        <f>IFERROR(VLOOKUP(B218,'Yearly Leave Tracker'!A:NU,381,0),"")</f>
        <v/>
      </c>
      <c r="L218" t="str">
        <f>IFERROR(VLOOKUP(B218,'Yearly Leave Tracker'!A:NU,382,0),"")</f>
        <v/>
      </c>
      <c r="M218" t="str">
        <f>IFERROR(VLOOKUP(B218,'Yearly Leave Tracker'!A:NU,383,0),"")</f>
        <v/>
      </c>
      <c r="N218" t="str">
        <f>IFERROR(VLOOKUP(B218,'Yearly Leave Tracker'!A:NU,384,0),"")</f>
        <v/>
      </c>
      <c r="O218" t="str">
        <f>IFERROR(VLOOKUP(B218,'Yearly Leave Tracker'!A:NU,385,0),"")</f>
        <v/>
      </c>
    </row>
    <row r="219" spans="2:15" x14ac:dyDescent="0.25">
      <c r="B219" t="str">
        <f>IFERROR(IF('Yearly Leave Tracker'!A223="","",'Yearly Leave Tracker'!A223),"")</f>
        <v/>
      </c>
      <c r="C219" t="str">
        <f>IFERROR(VLOOKUP(B219,Database!E:F,2,0),"")</f>
        <v/>
      </c>
      <c r="D219" t="str">
        <f>IFERROR(VLOOKUP(B219,'Yearly Leave Tracker'!A:NU,374,0),"")</f>
        <v/>
      </c>
      <c r="E219" t="str">
        <f>IFERROR(VLOOKUP(B219,'Yearly Leave Tracker'!A:NU,375,0),"")</f>
        <v/>
      </c>
      <c r="F219" t="str">
        <f>IFERROR(VLOOKUP(B219,'Yearly Leave Tracker'!A:NU,376,0),"")</f>
        <v/>
      </c>
      <c r="G219" t="str">
        <f>IFERROR(VLOOKUP(B219,'Yearly Leave Tracker'!A:NU,377,0),"")</f>
        <v/>
      </c>
      <c r="H219" t="str">
        <f>IFERROR(VLOOKUP(B219,'Yearly Leave Tracker'!A:NU,378,0),"")</f>
        <v/>
      </c>
      <c r="I219" t="str">
        <f>IFERROR(VLOOKUP(B219,'Yearly Leave Tracker'!A:NU,379,0),"")</f>
        <v/>
      </c>
      <c r="J219" t="str">
        <f>IFERROR(VLOOKUP(B219,'Yearly Leave Tracker'!A:NU,380,0),"")</f>
        <v/>
      </c>
      <c r="K219" t="str">
        <f>IFERROR(VLOOKUP(B219,'Yearly Leave Tracker'!A:NU,381,0),"")</f>
        <v/>
      </c>
      <c r="L219" t="str">
        <f>IFERROR(VLOOKUP(B219,'Yearly Leave Tracker'!A:NU,382,0),"")</f>
        <v/>
      </c>
      <c r="M219" t="str">
        <f>IFERROR(VLOOKUP(B219,'Yearly Leave Tracker'!A:NU,383,0),"")</f>
        <v/>
      </c>
      <c r="N219" t="str">
        <f>IFERROR(VLOOKUP(B219,'Yearly Leave Tracker'!A:NU,384,0),"")</f>
        <v/>
      </c>
      <c r="O219" t="str">
        <f>IFERROR(VLOOKUP(B219,'Yearly Leave Tracker'!A:NU,385,0),"")</f>
        <v/>
      </c>
    </row>
    <row r="220" spans="2:15" x14ac:dyDescent="0.25">
      <c r="B220" t="str">
        <f>IFERROR(IF('Yearly Leave Tracker'!A224="","",'Yearly Leave Tracker'!A224),"")</f>
        <v/>
      </c>
      <c r="C220" t="str">
        <f>IFERROR(VLOOKUP(B220,Database!E:F,2,0),"")</f>
        <v/>
      </c>
      <c r="D220" t="str">
        <f>IFERROR(VLOOKUP(B220,'Yearly Leave Tracker'!A:NU,374,0),"")</f>
        <v/>
      </c>
      <c r="E220" t="str">
        <f>IFERROR(VLOOKUP(B220,'Yearly Leave Tracker'!A:NU,375,0),"")</f>
        <v/>
      </c>
      <c r="F220" t="str">
        <f>IFERROR(VLOOKUP(B220,'Yearly Leave Tracker'!A:NU,376,0),"")</f>
        <v/>
      </c>
      <c r="G220" t="str">
        <f>IFERROR(VLOOKUP(B220,'Yearly Leave Tracker'!A:NU,377,0),"")</f>
        <v/>
      </c>
      <c r="H220" t="str">
        <f>IFERROR(VLOOKUP(B220,'Yearly Leave Tracker'!A:NU,378,0),"")</f>
        <v/>
      </c>
      <c r="I220" t="str">
        <f>IFERROR(VLOOKUP(B220,'Yearly Leave Tracker'!A:NU,379,0),"")</f>
        <v/>
      </c>
      <c r="J220" t="str">
        <f>IFERROR(VLOOKUP(B220,'Yearly Leave Tracker'!A:NU,380,0),"")</f>
        <v/>
      </c>
      <c r="K220" t="str">
        <f>IFERROR(VLOOKUP(B220,'Yearly Leave Tracker'!A:NU,381,0),"")</f>
        <v/>
      </c>
      <c r="L220" t="str">
        <f>IFERROR(VLOOKUP(B220,'Yearly Leave Tracker'!A:NU,382,0),"")</f>
        <v/>
      </c>
      <c r="M220" t="str">
        <f>IFERROR(VLOOKUP(B220,'Yearly Leave Tracker'!A:NU,383,0),"")</f>
        <v/>
      </c>
      <c r="N220" t="str">
        <f>IFERROR(VLOOKUP(B220,'Yearly Leave Tracker'!A:NU,384,0),"")</f>
        <v/>
      </c>
      <c r="O220" t="str">
        <f>IFERROR(VLOOKUP(B220,'Yearly Leave Tracker'!A:NU,385,0),"")</f>
        <v/>
      </c>
    </row>
    <row r="221" spans="2:15" x14ac:dyDescent="0.25">
      <c r="B221" t="str">
        <f>IFERROR(IF('Yearly Leave Tracker'!A225="","",'Yearly Leave Tracker'!A225),"")</f>
        <v/>
      </c>
      <c r="C221" t="str">
        <f>IFERROR(VLOOKUP(B221,Database!E:F,2,0),"")</f>
        <v/>
      </c>
      <c r="D221" t="str">
        <f>IFERROR(VLOOKUP(B221,'Yearly Leave Tracker'!A:NU,374,0),"")</f>
        <v/>
      </c>
      <c r="E221" t="str">
        <f>IFERROR(VLOOKUP(B221,'Yearly Leave Tracker'!A:NU,375,0),"")</f>
        <v/>
      </c>
      <c r="F221" t="str">
        <f>IFERROR(VLOOKUP(B221,'Yearly Leave Tracker'!A:NU,376,0),"")</f>
        <v/>
      </c>
      <c r="G221" t="str">
        <f>IFERROR(VLOOKUP(B221,'Yearly Leave Tracker'!A:NU,377,0),"")</f>
        <v/>
      </c>
      <c r="H221" t="str">
        <f>IFERROR(VLOOKUP(B221,'Yearly Leave Tracker'!A:NU,378,0),"")</f>
        <v/>
      </c>
      <c r="I221" t="str">
        <f>IFERROR(VLOOKUP(B221,'Yearly Leave Tracker'!A:NU,379,0),"")</f>
        <v/>
      </c>
      <c r="J221" t="str">
        <f>IFERROR(VLOOKUP(B221,'Yearly Leave Tracker'!A:NU,380,0),"")</f>
        <v/>
      </c>
      <c r="K221" t="str">
        <f>IFERROR(VLOOKUP(B221,'Yearly Leave Tracker'!A:NU,381,0),"")</f>
        <v/>
      </c>
      <c r="L221" t="str">
        <f>IFERROR(VLOOKUP(B221,'Yearly Leave Tracker'!A:NU,382,0),"")</f>
        <v/>
      </c>
      <c r="M221" t="str">
        <f>IFERROR(VLOOKUP(B221,'Yearly Leave Tracker'!A:NU,383,0),"")</f>
        <v/>
      </c>
      <c r="N221" t="str">
        <f>IFERROR(VLOOKUP(B221,'Yearly Leave Tracker'!A:NU,384,0),"")</f>
        <v/>
      </c>
      <c r="O221" t="str">
        <f>IFERROR(VLOOKUP(B221,'Yearly Leave Tracker'!A:NU,385,0),"")</f>
        <v/>
      </c>
    </row>
    <row r="222" spans="2:15" x14ac:dyDescent="0.25">
      <c r="B222" t="str">
        <f>IFERROR(IF('Yearly Leave Tracker'!A226="","",'Yearly Leave Tracker'!A226),"")</f>
        <v/>
      </c>
      <c r="C222" t="str">
        <f>IFERROR(VLOOKUP(B222,Database!E:F,2,0),"")</f>
        <v/>
      </c>
      <c r="D222" t="str">
        <f>IFERROR(VLOOKUP(B222,'Yearly Leave Tracker'!A:NU,374,0),"")</f>
        <v/>
      </c>
      <c r="E222" t="str">
        <f>IFERROR(VLOOKUP(B222,'Yearly Leave Tracker'!A:NU,375,0),"")</f>
        <v/>
      </c>
      <c r="F222" t="str">
        <f>IFERROR(VLOOKUP(B222,'Yearly Leave Tracker'!A:NU,376,0),"")</f>
        <v/>
      </c>
      <c r="G222" t="str">
        <f>IFERROR(VLOOKUP(B222,'Yearly Leave Tracker'!A:NU,377,0),"")</f>
        <v/>
      </c>
      <c r="H222" t="str">
        <f>IFERROR(VLOOKUP(B222,'Yearly Leave Tracker'!A:NU,378,0),"")</f>
        <v/>
      </c>
      <c r="I222" t="str">
        <f>IFERROR(VLOOKUP(B222,'Yearly Leave Tracker'!A:NU,379,0),"")</f>
        <v/>
      </c>
      <c r="J222" t="str">
        <f>IFERROR(VLOOKUP(B222,'Yearly Leave Tracker'!A:NU,380,0),"")</f>
        <v/>
      </c>
      <c r="K222" t="str">
        <f>IFERROR(VLOOKUP(B222,'Yearly Leave Tracker'!A:NU,381,0),"")</f>
        <v/>
      </c>
      <c r="L222" t="str">
        <f>IFERROR(VLOOKUP(B222,'Yearly Leave Tracker'!A:NU,382,0),"")</f>
        <v/>
      </c>
      <c r="M222" t="str">
        <f>IFERROR(VLOOKUP(B222,'Yearly Leave Tracker'!A:NU,383,0),"")</f>
        <v/>
      </c>
      <c r="N222" t="str">
        <f>IFERROR(VLOOKUP(B222,'Yearly Leave Tracker'!A:NU,384,0),"")</f>
        <v/>
      </c>
      <c r="O222" t="str">
        <f>IFERROR(VLOOKUP(B222,'Yearly Leave Tracker'!A:NU,385,0),"")</f>
        <v/>
      </c>
    </row>
    <row r="223" spans="2:15" x14ac:dyDescent="0.25">
      <c r="B223" t="str">
        <f>IFERROR(IF('Yearly Leave Tracker'!A227="","",'Yearly Leave Tracker'!A227),"")</f>
        <v/>
      </c>
      <c r="C223" t="str">
        <f>IFERROR(VLOOKUP(B223,Database!E:F,2,0),"")</f>
        <v/>
      </c>
      <c r="D223" t="str">
        <f>IFERROR(VLOOKUP(B223,'Yearly Leave Tracker'!A:NU,374,0),"")</f>
        <v/>
      </c>
      <c r="E223" t="str">
        <f>IFERROR(VLOOKUP(B223,'Yearly Leave Tracker'!A:NU,375,0),"")</f>
        <v/>
      </c>
      <c r="F223" t="str">
        <f>IFERROR(VLOOKUP(B223,'Yearly Leave Tracker'!A:NU,376,0),"")</f>
        <v/>
      </c>
      <c r="G223" t="str">
        <f>IFERROR(VLOOKUP(B223,'Yearly Leave Tracker'!A:NU,377,0),"")</f>
        <v/>
      </c>
      <c r="H223" t="str">
        <f>IFERROR(VLOOKUP(B223,'Yearly Leave Tracker'!A:NU,378,0),"")</f>
        <v/>
      </c>
      <c r="I223" t="str">
        <f>IFERROR(VLOOKUP(B223,'Yearly Leave Tracker'!A:NU,379,0),"")</f>
        <v/>
      </c>
      <c r="J223" t="str">
        <f>IFERROR(VLOOKUP(B223,'Yearly Leave Tracker'!A:NU,380,0),"")</f>
        <v/>
      </c>
      <c r="K223" t="str">
        <f>IFERROR(VLOOKUP(B223,'Yearly Leave Tracker'!A:NU,381,0),"")</f>
        <v/>
      </c>
      <c r="L223" t="str">
        <f>IFERROR(VLOOKUP(B223,'Yearly Leave Tracker'!A:NU,382,0),"")</f>
        <v/>
      </c>
      <c r="M223" t="str">
        <f>IFERROR(VLOOKUP(B223,'Yearly Leave Tracker'!A:NU,383,0),"")</f>
        <v/>
      </c>
      <c r="N223" t="str">
        <f>IFERROR(VLOOKUP(B223,'Yearly Leave Tracker'!A:NU,384,0),"")</f>
        <v/>
      </c>
      <c r="O223" t="str">
        <f>IFERROR(VLOOKUP(B223,'Yearly Leave Tracker'!A:NU,385,0),"")</f>
        <v/>
      </c>
    </row>
    <row r="224" spans="2:15" x14ac:dyDescent="0.25">
      <c r="B224" t="str">
        <f>IFERROR(IF('Yearly Leave Tracker'!A228="","",'Yearly Leave Tracker'!A228),"")</f>
        <v/>
      </c>
      <c r="C224" t="str">
        <f>IFERROR(VLOOKUP(B224,Database!E:F,2,0),"")</f>
        <v/>
      </c>
      <c r="D224" t="str">
        <f>IFERROR(VLOOKUP(B224,'Yearly Leave Tracker'!A:NU,374,0),"")</f>
        <v/>
      </c>
      <c r="E224" t="str">
        <f>IFERROR(VLOOKUP(B224,'Yearly Leave Tracker'!A:NU,375,0),"")</f>
        <v/>
      </c>
      <c r="F224" t="str">
        <f>IFERROR(VLOOKUP(B224,'Yearly Leave Tracker'!A:NU,376,0),"")</f>
        <v/>
      </c>
      <c r="G224" t="str">
        <f>IFERROR(VLOOKUP(B224,'Yearly Leave Tracker'!A:NU,377,0),"")</f>
        <v/>
      </c>
      <c r="H224" t="str">
        <f>IFERROR(VLOOKUP(B224,'Yearly Leave Tracker'!A:NU,378,0),"")</f>
        <v/>
      </c>
      <c r="I224" t="str">
        <f>IFERROR(VLOOKUP(B224,'Yearly Leave Tracker'!A:NU,379,0),"")</f>
        <v/>
      </c>
      <c r="J224" t="str">
        <f>IFERROR(VLOOKUP(B224,'Yearly Leave Tracker'!A:NU,380,0),"")</f>
        <v/>
      </c>
      <c r="K224" t="str">
        <f>IFERROR(VLOOKUP(B224,'Yearly Leave Tracker'!A:NU,381,0),"")</f>
        <v/>
      </c>
      <c r="L224" t="str">
        <f>IFERROR(VLOOKUP(B224,'Yearly Leave Tracker'!A:NU,382,0),"")</f>
        <v/>
      </c>
      <c r="M224" t="str">
        <f>IFERROR(VLOOKUP(B224,'Yearly Leave Tracker'!A:NU,383,0),"")</f>
        <v/>
      </c>
      <c r="N224" t="str">
        <f>IFERROR(VLOOKUP(B224,'Yearly Leave Tracker'!A:NU,384,0),"")</f>
        <v/>
      </c>
      <c r="O224" t="str">
        <f>IFERROR(VLOOKUP(B224,'Yearly Leave Tracker'!A:NU,385,0),"")</f>
        <v/>
      </c>
    </row>
    <row r="225" spans="2:15" x14ac:dyDescent="0.25">
      <c r="B225" t="str">
        <f>IFERROR(IF('Yearly Leave Tracker'!A229="","",'Yearly Leave Tracker'!A229),"")</f>
        <v/>
      </c>
      <c r="C225" t="str">
        <f>IFERROR(VLOOKUP(B225,Database!E:F,2,0),"")</f>
        <v/>
      </c>
      <c r="D225" t="str">
        <f>IFERROR(VLOOKUP(B225,'Yearly Leave Tracker'!A:NU,374,0),"")</f>
        <v/>
      </c>
      <c r="E225" t="str">
        <f>IFERROR(VLOOKUP(B225,'Yearly Leave Tracker'!A:NU,375,0),"")</f>
        <v/>
      </c>
      <c r="F225" t="str">
        <f>IFERROR(VLOOKUP(B225,'Yearly Leave Tracker'!A:NU,376,0),"")</f>
        <v/>
      </c>
      <c r="G225" t="str">
        <f>IFERROR(VLOOKUP(B225,'Yearly Leave Tracker'!A:NU,377,0),"")</f>
        <v/>
      </c>
      <c r="H225" t="str">
        <f>IFERROR(VLOOKUP(B225,'Yearly Leave Tracker'!A:NU,378,0),"")</f>
        <v/>
      </c>
      <c r="I225" t="str">
        <f>IFERROR(VLOOKUP(B225,'Yearly Leave Tracker'!A:NU,379,0),"")</f>
        <v/>
      </c>
      <c r="J225" t="str">
        <f>IFERROR(VLOOKUP(B225,'Yearly Leave Tracker'!A:NU,380,0),"")</f>
        <v/>
      </c>
      <c r="K225" t="str">
        <f>IFERROR(VLOOKUP(B225,'Yearly Leave Tracker'!A:NU,381,0),"")</f>
        <v/>
      </c>
      <c r="L225" t="str">
        <f>IFERROR(VLOOKUP(B225,'Yearly Leave Tracker'!A:NU,382,0),"")</f>
        <v/>
      </c>
      <c r="M225" t="str">
        <f>IFERROR(VLOOKUP(B225,'Yearly Leave Tracker'!A:NU,383,0),"")</f>
        <v/>
      </c>
      <c r="N225" t="str">
        <f>IFERROR(VLOOKUP(B225,'Yearly Leave Tracker'!A:NU,384,0),"")</f>
        <v/>
      </c>
      <c r="O225" t="str">
        <f>IFERROR(VLOOKUP(B225,'Yearly Leave Tracker'!A:NU,385,0),"")</f>
        <v/>
      </c>
    </row>
    <row r="226" spans="2:15" x14ac:dyDescent="0.25">
      <c r="B226" t="str">
        <f>IFERROR(IF('Yearly Leave Tracker'!A230="","",'Yearly Leave Tracker'!A230),"")</f>
        <v/>
      </c>
      <c r="C226" t="str">
        <f>IFERROR(VLOOKUP(B226,Database!E:F,2,0),"")</f>
        <v/>
      </c>
      <c r="D226" t="str">
        <f>IFERROR(VLOOKUP(B226,'Yearly Leave Tracker'!A:NU,374,0),"")</f>
        <v/>
      </c>
      <c r="E226" t="str">
        <f>IFERROR(VLOOKUP(B226,'Yearly Leave Tracker'!A:NU,375,0),"")</f>
        <v/>
      </c>
      <c r="F226" t="str">
        <f>IFERROR(VLOOKUP(B226,'Yearly Leave Tracker'!A:NU,376,0),"")</f>
        <v/>
      </c>
      <c r="G226" t="str">
        <f>IFERROR(VLOOKUP(B226,'Yearly Leave Tracker'!A:NU,377,0),"")</f>
        <v/>
      </c>
      <c r="H226" t="str">
        <f>IFERROR(VLOOKUP(B226,'Yearly Leave Tracker'!A:NU,378,0),"")</f>
        <v/>
      </c>
      <c r="I226" t="str">
        <f>IFERROR(VLOOKUP(B226,'Yearly Leave Tracker'!A:NU,379,0),"")</f>
        <v/>
      </c>
      <c r="J226" t="str">
        <f>IFERROR(VLOOKUP(B226,'Yearly Leave Tracker'!A:NU,380,0),"")</f>
        <v/>
      </c>
      <c r="K226" t="str">
        <f>IFERROR(VLOOKUP(B226,'Yearly Leave Tracker'!A:NU,381,0),"")</f>
        <v/>
      </c>
      <c r="L226" t="str">
        <f>IFERROR(VLOOKUP(B226,'Yearly Leave Tracker'!A:NU,382,0),"")</f>
        <v/>
      </c>
      <c r="M226" t="str">
        <f>IFERROR(VLOOKUP(B226,'Yearly Leave Tracker'!A:NU,383,0),"")</f>
        <v/>
      </c>
      <c r="N226" t="str">
        <f>IFERROR(VLOOKUP(B226,'Yearly Leave Tracker'!A:NU,384,0),"")</f>
        <v/>
      </c>
      <c r="O226" t="str">
        <f>IFERROR(VLOOKUP(B226,'Yearly Leave Tracker'!A:NU,385,0),"")</f>
        <v/>
      </c>
    </row>
    <row r="227" spans="2:15" x14ac:dyDescent="0.25">
      <c r="B227" t="str">
        <f>IFERROR(IF('Yearly Leave Tracker'!A231="","",'Yearly Leave Tracker'!A231),"")</f>
        <v/>
      </c>
      <c r="C227" t="str">
        <f>IFERROR(VLOOKUP(B227,Database!E:F,2,0),"")</f>
        <v/>
      </c>
      <c r="D227" t="str">
        <f>IFERROR(VLOOKUP(B227,'Yearly Leave Tracker'!A:NU,374,0),"")</f>
        <v/>
      </c>
      <c r="E227" t="str">
        <f>IFERROR(VLOOKUP(B227,'Yearly Leave Tracker'!A:NU,375,0),"")</f>
        <v/>
      </c>
      <c r="F227" t="str">
        <f>IFERROR(VLOOKUP(B227,'Yearly Leave Tracker'!A:NU,376,0),"")</f>
        <v/>
      </c>
      <c r="G227" t="str">
        <f>IFERROR(VLOOKUP(B227,'Yearly Leave Tracker'!A:NU,377,0),"")</f>
        <v/>
      </c>
      <c r="H227" t="str">
        <f>IFERROR(VLOOKUP(B227,'Yearly Leave Tracker'!A:NU,378,0),"")</f>
        <v/>
      </c>
      <c r="I227" t="str">
        <f>IFERROR(VLOOKUP(B227,'Yearly Leave Tracker'!A:NU,379,0),"")</f>
        <v/>
      </c>
      <c r="J227" t="str">
        <f>IFERROR(VLOOKUP(B227,'Yearly Leave Tracker'!A:NU,380,0),"")</f>
        <v/>
      </c>
      <c r="K227" t="str">
        <f>IFERROR(VLOOKUP(B227,'Yearly Leave Tracker'!A:NU,381,0),"")</f>
        <v/>
      </c>
      <c r="L227" t="str">
        <f>IFERROR(VLOOKUP(B227,'Yearly Leave Tracker'!A:NU,382,0),"")</f>
        <v/>
      </c>
      <c r="M227" t="str">
        <f>IFERROR(VLOOKUP(B227,'Yearly Leave Tracker'!A:NU,383,0),"")</f>
        <v/>
      </c>
      <c r="N227" t="str">
        <f>IFERROR(VLOOKUP(B227,'Yearly Leave Tracker'!A:NU,384,0),"")</f>
        <v/>
      </c>
      <c r="O227" t="str">
        <f>IFERROR(VLOOKUP(B227,'Yearly Leave Tracker'!A:NU,385,0),"")</f>
        <v/>
      </c>
    </row>
    <row r="228" spans="2:15" x14ac:dyDescent="0.25">
      <c r="B228" t="str">
        <f>IFERROR(IF('Yearly Leave Tracker'!A232="","",'Yearly Leave Tracker'!A232),"")</f>
        <v/>
      </c>
      <c r="C228" t="str">
        <f>IFERROR(VLOOKUP(B228,Database!E:F,2,0),"")</f>
        <v/>
      </c>
      <c r="D228" t="str">
        <f>IFERROR(VLOOKUP(B228,'Yearly Leave Tracker'!A:NU,374,0),"")</f>
        <v/>
      </c>
      <c r="E228" t="str">
        <f>IFERROR(VLOOKUP(B228,'Yearly Leave Tracker'!A:NU,375,0),"")</f>
        <v/>
      </c>
      <c r="F228" t="str">
        <f>IFERROR(VLOOKUP(B228,'Yearly Leave Tracker'!A:NU,376,0),"")</f>
        <v/>
      </c>
      <c r="G228" t="str">
        <f>IFERROR(VLOOKUP(B228,'Yearly Leave Tracker'!A:NU,377,0),"")</f>
        <v/>
      </c>
      <c r="H228" t="str">
        <f>IFERROR(VLOOKUP(B228,'Yearly Leave Tracker'!A:NU,378,0),"")</f>
        <v/>
      </c>
      <c r="I228" t="str">
        <f>IFERROR(VLOOKUP(B228,'Yearly Leave Tracker'!A:NU,379,0),"")</f>
        <v/>
      </c>
      <c r="J228" t="str">
        <f>IFERROR(VLOOKUP(B228,'Yearly Leave Tracker'!A:NU,380,0),"")</f>
        <v/>
      </c>
      <c r="K228" t="str">
        <f>IFERROR(VLOOKUP(B228,'Yearly Leave Tracker'!A:NU,381,0),"")</f>
        <v/>
      </c>
      <c r="L228" t="str">
        <f>IFERROR(VLOOKUP(B228,'Yearly Leave Tracker'!A:NU,382,0),"")</f>
        <v/>
      </c>
      <c r="M228" t="str">
        <f>IFERROR(VLOOKUP(B228,'Yearly Leave Tracker'!A:NU,383,0),"")</f>
        <v/>
      </c>
      <c r="N228" t="str">
        <f>IFERROR(VLOOKUP(B228,'Yearly Leave Tracker'!A:NU,384,0),"")</f>
        <v/>
      </c>
      <c r="O228" t="str">
        <f>IFERROR(VLOOKUP(B228,'Yearly Leave Tracker'!A:NU,385,0),"")</f>
        <v/>
      </c>
    </row>
    <row r="229" spans="2:15" x14ac:dyDescent="0.25">
      <c r="B229" t="str">
        <f>IFERROR(IF('Yearly Leave Tracker'!A233="","",'Yearly Leave Tracker'!A233),"")</f>
        <v/>
      </c>
      <c r="C229" t="str">
        <f>IFERROR(VLOOKUP(B229,Database!E:F,2,0),"")</f>
        <v/>
      </c>
      <c r="D229" t="str">
        <f>IFERROR(VLOOKUP(B229,'Yearly Leave Tracker'!A:NU,374,0),"")</f>
        <v/>
      </c>
      <c r="E229" t="str">
        <f>IFERROR(VLOOKUP(B229,'Yearly Leave Tracker'!A:NU,375,0),"")</f>
        <v/>
      </c>
      <c r="F229" t="str">
        <f>IFERROR(VLOOKUP(B229,'Yearly Leave Tracker'!A:NU,376,0),"")</f>
        <v/>
      </c>
      <c r="G229" t="str">
        <f>IFERROR(VLOOKUP(B229,'Yearly Leave Tracker'!A:NU,377,0),"")</f>
        <v/>
      </c>
      <c r="H229" t="str">
        <f>IFERROR(VLOOKUP(B229,'Yearly Leave Tracker'!A:NU,378,0),"")</f>
        <v/>
      </c>
      <c r="I229" t="str">
        <f>IFERROR(VLOOKUP(B229,'Yearly Leave Tracker'!A:NU,379,0),"")</f>
        <v/>
      </c>
      <c r="J229" t="str">
        <f>IFERROR(VLOOKUP(B229,'Yearly Leave Tracker'!A:NU,380,0),"")</f>
        <v/>
      </c>
      <c r="K229" t="str">
        <f>IFERROR(VLOOKUP(B229,'Yearly Leave Tracker'!A:NU,381,0),"")</f>
        <v/>
      </c>
      <c r="L229" t="str">
        <f>IFERROR(VLOOKUP(B229,'Yearly Leave Tracker'!A:NU,382,0),"")</f>
        <v/>
      </c>
      <c r="M229" t="str">
        <f>IFERROR(VLOOKUP(B229,'Yearly Leave Tracker'!A:NU,383,0),"")</f>
        <v/>
      </c>
      <c r="N229" t="str">
        <f>IFERROR(VLOOKUP(B229,'Yearly Leave Tracker'!A:NU,384,0),"")</f>
        <v/>
      </c>
      <c r="O229" t="str">
        <f>IFERROR(VLOOKUP(B229,'Yearly Leave Tracker'!A:NU,385,0),"")</f>
        <v/>
      </c>
    </row>
    <row r="230" spans="2:15" x14ac:dyDescent="0.25">
      <c r="B230" t="str">
        <f>IFERROR(IF('Yearly Leave Tracker'!A234="","",'Yearly Leave Tracker'!A234),"")</f>
        <v/>
      </c>
      <c r="C230" t="str">
        <f>IFERROR(VLOOKUP(B230,Database!E:F,2,0),"")</f>
        <v/>
      </c>
      <c r="D230" t="str">
        <f>IFERROR(VLOOKUP(B230,'Yearly Leave Tracker'!A:NU,374,0),"")</f>
        <v/>
      </c>
      <c r="E230" t="str">
        <f>IFERROR(VLOOKUP(B230,'Yearly Leave Tracker'!A:NU,375,0),"")</f>
        <v/>
      </c>
      <c r="F230" t="str">
        <f>IFERROR(VLOOKUP(B230,'Yearly Leave Tracker'!A:NU,376,0),"")</f>
        <v/>
      </c>
      <c r="G230" t="str">
        <f>IFERROR(VLOOKUP(B230,'Yearly Leave Tracker'!A:NU,377,0),"")</f>
        <v/>
      </c>
      <c r="H230" t="str">
        <f>IFERROR(VLOOKUP(B230,'Yearly Leave Tracker'!A:NU,378,0),"")</f>
        <v/>
      </c>
      <c r="I230" t="str">
        <f>IFERROR(VLOOKUP(B230,'Yearly Leave Tracker'!A:NU,379,0),"")</f>
        <v/>
      </c>
      <c r="J230" t="str">
        <f>IFERROR(VLOOKUP(B230,'Yearly Leave Tracker'!A:NU,380,0),"")</f>
        <v/>
      </c>
      <c r="K230" t="str">
        <f>IFERROR(VLOOKUP(B230,'Yearly Leave Tracker'!A:NU,381,0),"")</f>
        <v/>
      </c>
      <c r="L230" t="str">
        <f>IFERROR(VLOOKUP(B230,'Yearly Leave Tracker'!A:NU,382,0),"")</f>
        <v/>
      </c>
      <c r="M230" t="str">
        <f>IFERROR(VLOOKUP(B230,'Yearly Leave Tracker'!A:NU,383,0),"")</f>
        <v/>
      </c>
      <c r="N230" t="str">
        <f>IFERROR(VLOOKUP(B230,'Yearly Leave Tracker'!A:NU,384,0),"")</f>
        <v/>
      </c>
      <c r="O230" t="str">
        <f>IFERROR(VLOOKUP(B230,'Yearly Leave Tracker'!A:NU,385,0),"")</f>
        <v/>
      </c>
    </row>
    <row r="231" spans="2:15" x14ac:dyDescent="0.25">
      <c r="B231" t="str">
        <f>IFERROR(IF('Yearly Leave Tracker'!A235="","",'Yearly Leave Tracker'!A235),"")</f>
        <v/>
      </c>
      <c r="C231" t="str">
        <f>IFERROR(VLOOKUP(B231,Database!E:F,2,0),"")</f>
        <v/>
      </c>
      <c r="D231" t="str">
        <f>IFERROR(VLOOKUP(B231,'Yearly Leave Tracker'!A:NU,374,0),"")</f>
        <v/>
      </c>
      <c r="E231" t="str">
        <f>IFERROR(VLOOKUP(B231,'Yearly Leave Tracker'!A:NU,375,0),"")</f>
        <v/>
      </c>
      <c r="F231" t="str">
        <f>IFERROR(VLOOKUP(B231,'Yearly Leave Tracker'!A:NU,376,0),"")</f>
        <v/>
      </c>
      <c r="G231" t="str">
        <f>IFERROR(VLOOKUP(B231,'Yearly Leave Tracker'!A:NU,377,0),"")</f>
        <v/>
      </c>
      <c r="H231" t="str">
        <f>IFERROR(VLOOKUP(B231,'Yearly Leave Tracker'!A:NU,378,0),"")</f>
        <v/>
      </c>
      <c r="I231" t="str">
        <f>IFERROR(VLOOKUP(B231,'Yearly Leave Tracker'!A:NU,379,0),"")</f>
        <v/>
      </c>
      <c r="J231" t="str">
        <f>IFERROR(VLOOKUP(B231,'Yearly Leave Tracker'!A:NU,380,0),"")</f>
        <v/>
      </c>
      <c r="K231" t="str">
        <f>IFERROR(VLOOKUP(B231,'Yearly Leave Tracker'!A:NU,381,0),"")</f>
        <v/>
      </c>
      <c r="L231" t="str">
        <f>IFERROR(VLOOKUP(B231,'Yearly Leave Tracker'!A:NU,382,0),"")</f>
        <v/>
      </c>
      <c r="M231" t="str">
        <f>IFERROR(VLOOKUP(B231,'Yearly Leave Tracker'!A:NU,383,0),"")</f>
        <v/>
      </c>
      <c r="N231" t="str">
        <f>IFERROR(VLOOKUP(B231,'Yearly Leave Tracker'!A:NU,384,0),"")</f>
        <v/>
      </c>
      <c r="O231" t="str">
        <f>IFERROR(VLOOKUP(B231,'Yearly Leave Tracker'!A:NU,385,0),"")</f>
        <v/>
      </c>
    </row>
    <row r="232" spans="2:15" x14ac:dyDescent="0.25">
      <c r="B232" t="str">
        <f>IFERROR(IF('Yearly Leave Tracker'!A236="","",'Yearly Leave Tracker'!A236),"")</f>
        <v/>
      </c>
      <c r="C232" t="str">
        <f>IFERROR(VLOOKUP(B232,Database!E:F,2,0),"")</f>
        <v/>
      </c>
      <c r="D232" t="str">
        <f>IFERROR(VLOOKUP(B232,'Yearly Leave Tracker'!A:NU,374,0),"")</f>
        <v/>
      </c>
      <c r="E232" t="str">
        <f>IFERROR(VLOOKUP(B232,'Yearly Leave Tracker'!A:NU,375,0),"")</f>
        <v/>
      </c>
      <c r="F232" t="str">
        <f>IFERROR(VLOOKUP(B232,'Yearly Leave Tracker'!A:NU,376,0),"")</f>
        <v/>
      </c>
      <c r="G232" t="str">
        <f>IFERROR(VLOOKUP(B232,'Yearly Leave Tracker'!A:NU,377,0),"")</f>
        <v/>
      </c>
      <c r="H232" t="str">
        <f>IFERROR(VLOOKUP(B232,'Yearly Leave Tracker'!A:NU,378,0),"")</f>
        <v/>
      </c>
      <c r="I232" t="str">
        <f>IFERROR(VLOOKUP(B232,'Yearly Leave Tracker'!A:NU,379,0),"")</f>
        <v/>
      </c>
      <c r="J232" t="str">
        <f>IFERROR(VLOOKUP(B232,'Yearly Leave Tracker'!A:NU,380,0),"")</f>
        <v/>
      </c>
      <c r="K232" t="str">
        <f>IFERROR(VLOOKUP(B232,'Yearly Leave Tracker'!A:NU,381,0),"")</f>
        <v/>
      </c>
      <c r="L232" t="str">
        <f>IFERROR(VLOOKUP(B232,'Yearly Leave Tracker'!A:NU,382,0),"")</f>
        <v/>
      </c>
      <c r="M232" t="str">
        <f>IFERROR(VLOOKUP(B232,'Yearly Leave Tracker'!A:NU,383,0),"")</f>
        <v/>
      </c>
      <c r="N232" t="str">
        <f>IFERROR(VLOOKUP(B232,'Yearly Leave Tracker'!A:NU,384,0),"")</f>
        <v/>
      </c>
      <c r="O232" t="str">
        <f>IFERROR(VLOOKUP(B232,'Yearly Leave Tracker'!A:NU,385,0),"")</f>
        <v/>
      </c>
    </row>
    <row r="233" spans="2:15" x14ac:dyDescent="0.25">
      <c r="B233" t="str">
        <f>IFERROR(IF('Yearly Leave Tracker'!A237="","",'Yearly Leave Tracker'!A237),"")</f>
        <v/>
      </c>
      <c r="C233" t="str">
        <f>IFERROR(VLOOKUP(B233,Database!E:F,2,0),"")</f>
        <v/>
      </c>
      <c r="D233" t="str">
        <f>IFERROR(VLOOKUP(B233,'Yearly Leave Tracker'!A:NU,374,0),"")</f>
        <v/>
      </c>
      <c r="E233" t="str">
        <f>IFERROR(VLOOKUP(B233,'Yearly Leave Tracker'!A:NU,375,0),"")</f>
        <v/>
      </c>
      <c r="F233" t="str">
        <f>IFERROR(VLOOKUP(B233,'Yearly Leave Tracker'!A:NU,376,0),"")</f>
        <v/>
      </c>
      <c r="G233" t="str">
        <f>IFERROR(VLOOKUP(B233,'Yearly Leave Tracker'!A:NU,377,0),"")</f>
        <v/>
      </c>
      <c r="H233" t="str">
        <f>IFERROR(VLOOKUP(B233,'Yearly Leave Tracker'!A:NU,378,0),"")</f>
        <v/>
      </c>
      <c r="I233" t="str">
        <f>IFERROR(VLOOKUP(B233,'Yearly Leave Tracker'!A:NU,379,0),"")</f>
        <v/>
      </c>
      <c r="J233" t="str">
        <f>IFERROR(VLOOKUP(B233,'Yearly Leave Tracker'!A:NU,380,0),"")</f>
        <v/>
      </c>
      <c r="K233" t="str">
        <f>IFERROR(VLOOKUP(B233,'Yearly Leave Tracker'!A:NU,381,0),"")</f>
        <v/>
      </c>
      <c r="L233" t="str">
        <f>IFERROR(VLOOKUP(B233,'Yearly Leave Tracker'!A:NU,382,0),"")</f>
        <v/>
      </c>
      <c r="M233" t="str">
        <f>IFERROR(VLOOKUP(B233,'Yearly Leave Tracker'!A:NU,383,0),"")</f>
        <v/>
      </c>
      <c r="N233" t="str">
        <f>IFERROR(VLOOKUP(B233,'Yearly Leave Tracker'!A:NU,384,0),"")</f>
        <v/>
      </c>
      <c r="O233" t="str">
        <f>IFERROR(VLOOKUP(B233,'Yearly Leave Tracker'!A:NU,385,0),"")</f>
        <v/>
      </c>
    </row>
    <row r="234" spans="2:15" x14ac:dyDescent="0.25">
      <c r="B234" t="str">
        <f>IFERROR(IF('Yearly Leave Tracker'!A238="","",'Yearly Leave Tracker'!A238),"")</f>
        <v/>
      </c>
      <c r="C234" t="str">
        <f>IFERROR(VLOOKUP(B234,Database!E:F,2,0),"")</f>
        <v/>
      </c>
      <c r="D234" t="str">
        <f>IFERROR(VLOOKUP(B234,'Yearly Leave Tracker'!A:NU,374,0),"")</f>
        <v/>
      </c>
      <c r="E234" t="str">
        <f>IFERROR(VLOOKUP(B234,'Yearly Leave Tracker'!A:NU,375,0),"")</f>
        <v/>
      </c>
      <c r="F234" t="str">
        <f>IFERROR(VLOOKUP(B234,'Yearly Leave Tracker'!A:NU,376,0),"")</f>
        <v/>
      </c>
      <c r="G234" t="str">
        <f>IFERROR(VLOOKUP(B234,'Yearly Leave Tracker'!A:NU,377,0),"")</f>
        <v/>
      </c>
      <c r="H234" t="str">
        <f>IFERROR(VLOOKUP(B234,'Yearly Leave Tracker'!A:NU,378,0),"")</f>
        <v/>
      </c>
      <c r="I234" t="str">
        <f>IFERROR(VLOOKUP(B234,'Yearly Leave Tracker'!A:NU,379,0),"")</f>
        <v/>
      </c>
      <c r="J234" t="str">
        <f>IFERROR(VLOOKUP(B234,'Yearly Leave Tracker'!A:NU,380,0),"")</f>
        <v/>
      </c>
      <c r="K234" t="str">
        <f>IFERROR(VLOOKUP(B234,'Yearly Leave Tracker'!A:NU,381,0),"")</f>
        <v/>
      </c>
      <c r="L234" t="str">
        <f>IFERROR(VLOOKUP(B234,'Yearly Leave Tracker'!A:NU,382,0),"")</f>
        <v/>
      </c>
      <c r="M234" t="str">
        <f>IFERROR(VLOOKUP(B234,'Yearly Leave Tracker'!A:NU,383,0),"")</f>
        <v/>
      </c>
      <c r="N234" t="str">
        <f>IFERROR(VLOOKUP(B234,'Yearly Leave Tracker'!A:NU,384,0),"")</f>
        <v/>
      </c>
      <c r="O234" t="str">
        <f>IFERROR(VLOOKUP(B234,'Yearly Leave Tracker'!A:NU,385,0),"")</f>
        <v/>
      </c>
    </row>
    <row r="235" spans="2:15" x14ac:dyDescent="0.25">
      <c r="B235" t="str">
        <f>IFERROR(IF('Yearly Leave Tracker'!A239="","",'Yearly Leave Tracker'!A239),"")</f>
        <v/>
      </c>
      <c r="C235" t="str">
        <f>IFERROR(VLOOKUP(B235,Database!E:F,2,0),"")</f>
        <v/>
      </c>
      <c r="D235" t="str">
        <f>IFERROR(VLOOKUP(B235,'Yearly Leave Tracker'!A:NU,374,0),"")</f>
        <v/>
      </c>
      <c r="E235" t="str">
        <f>IFERROR(VLOOKUP(B235,'Yearly Leave Tracker'!A:NU,375,0),"")</f>
        <v/>
      </c>
      <c r="F235" t="str">
        <f>IFERROR(VLOOKUP(B235,'Yearly Leave Tracker'!A:NU,376,0),"")</f>
        <v/>
      </c>
      <c r="G235" t="str">
        <f>IFERROR(VLOOKUP(B235,'Yearly Leave Tracker'!A:NU,377,0),"")</f>
        <v/>
      </c>
      <c r="H235" t="str">
        <f>IFERROR(VLOOKUP(B235,'Yearly Leave Tracker'!A:NU,378,0),"")</f>
        <v/>
      </c>
      <c r="I235" t="str">
        <f>IFERROR(VLOOKUP(B235,'Yearly Leave Tracker'!A:NU,379,0),"")</f>
        <v/>
      </c>
      <c r="J235" t="str">
        <f>IFERROR(VLOOKUP(B235,'Yearly Leave Tracker'!A:NU,380,0),"")</f>
        <v/>
      </c>
      <c r="K235" t="str">
        <f>IFERROR(VLOOKUP(B235,'Yearly Leave Tracker'!A:NU,381,0),"")</f>
        <v/>
      </c>
      <c r="L235" t="str">
        <f>IFERROR(VLOOKUP(B235,'Yearly Leave Tracker'!A:NU,382,0),"")</f>
        <v/>
      </c>
      <c r="M235" t="str">
        <f>IFERROR(VLOOKUP(B235,'Yearly Leave Tracker'!A:NU,383,0),"")</f>
        <v/>
      </c>
      <c r="N235" t="str">
        <f>IFERROR(VLOOKUP(B235,'Yearly Leave Tracker'!A:NU,384,0),"")</f>
        <v/>
      </c>
      <c r="O235" t="str">
        <f>IFERROR(VLOOKUP(B235,'Yearly Leave Tracker'!A:NU,385,0),"")</f>
        <v/>
      </c>
    </row>
    <row r="236" spans="2:15" x14ac:dyDescent="0.25">
      <c r="B236" t="str">
        <f>IFERROR(IF('Yearly Leave Tracker'!A240="","",'Yearly Leave Tracker'!A240),"")</f>
        <v/>
      </c>
      <c r="C236" t="str">
        <f>IFERROR(VLOOKUP(B236,Database!E:F,2,0),"")</f>
        <v/>
      </c>
      <c r="D236" t="str">
        <f>IFERROR(VLOOKUP(B236,'Yearly Leave Tracker'!A:NU,374,0),"")</f>
        <v/>
      </c>
      <c r="E236" t="str">
        <f>IFERROR(VLOOKUP(B236,'Yearly Leave Tracker'!A:NU,375,0),"")</f>
        <v/>
      </c>
      <c r="F236" t="str">
        <f>IFERROR(VLOOKUP(B236,'Yearly Leave Tracker'!A:NU,376,0),"")</f>
        <v/>
      </c>
      <c r="G236" t="str">
        <f>IFERROR(VLOOKUP(B236,'Yearly Leave Tracker'!A:NU,377,0),"")</f>
        <v/>
      </c>
      <c r="H236" t="str">
        <f>IFERROR(VLOOKUP(B236,'Yearly Leave Tracker'!A:NU,378,0),"")</f>
        <v/>
      </c>
      <c r="I236" t="str">
        <f>IFERROR(VLOOKUP(B236,'Yearly Leave Tracker'!A:NU,379,0),"")</f>
        <v/>
      </c>
      <c r="J236" t="str">
        <f>IFERROR(VLOOKUP(B236,'Yearly Leave Tracker'!A:NU,380,0),"")</f>
        <v/>
      </c>
      <c r="K236" t="str">
        <f>IFERROR(VLOOKUP(B236,'Yearly Leave Tracker'!A:NU,381,0),"")</f>
        <v/>
      </c>
      <c r="L236" t="str">
        <f>IFERROR(VLOOKUP(B236,'Yearly Leave Tracker'!A:NU,382,0),"")</f>
        <v/>
      </c>
      <c r="M236" t="str">
        <f>IFERROR(VLOOKUP(B236,'Yearly Leave Tracker'!A:NU,383,0),"")</f>
        <v/>
      </c>
      <c r="N236" t="str">
        <f>IFERROR(VLOOKUP(B236,'Yearly Leave Tracker'!A:NU,384,0),"")</f>
        <v/>
      </c>
      <c r="O236" t="str">
        <f>IFERROR(VLOOKUP(B236,'Yearly Leave Tracker'!A:NU,385,0),"")</f>
        <v/>
      </c>
    </row>
    <row r="237" spans="2:15" x14ac:dyDescent="0.25">
      <c r="B237" t="str">
        <f>IFERROR(IF('Yearly Leave Tracker'!A241="","",'Yearly Leave Tracker'!A241),"")</f>
        <v/>
      </c>
      <c r="C237" t="str">
        <f>IFERROR(VLOOKUP(B237,Database!E:F,2,0),"")</f>
        <v/>
      </c>
      <c r="D237" t="str">
        <f>IFERROR(VLOOKUP(B237,'Yearly Leave Tracker'!A:NU,374,0),"")</f>
        <v/>
      </c>
      <c r="E237" t="str">
        <f>IFERROR(VLOOKUP(B237,'Yearly Leave Tracker'!A:NU,375,0),"")</f>
        <v/>
      </c>
      <c r="F237" t="str">
        <f>IFERROR(VLOOKUP(B237,'Yearly Leave Tracker'!A:NU,376,0),"")</f>
        <v/>
      </c>
      <c r="G237" t="str">
        <f>IFERROR(VLOOKUP(B237,'Yearly Leave Tracker'!A:NU,377,0),"")</f>
        <v/>
      </c>
      <c r="H237" t="str">
        <f>IFERROR(VLOOKUP(B237,'Yearly Leave Tracker'!A:NU,378,0),"")</f>
        <v/>
      </c>
      <c r="I237" t="str">
        <f>IFERROR(VLOOKUP(B237,'Yearly Leave Tracker'!A:NU,379,0),"")</f>
        <v/>
      </c>
      <c r="J237" t="str">
        <f>IFERROR(VLOOKUP(B237,'Yearly Leave Tracker'!A:NU,380,0),"")</f>
        <v/>
      </c>
      <c r="K237" t="str">
        <f>IFERROR(VLOOKUP(B237,'Yearly Leave Tracker'!A:NU,381,0),"")</f>
        <v/>
      </c>
      <c r="L237" t="str">
        <f>IFERROR(VLOOKUP(B237,'Yearly Leave Tracker'!A:NU,382,0),"")</f>
        <v/>
      </c>
      <c r="M237" t="str">
        <f>IFERROR(VLOOKUP(B237,'Yearly Leave Tracker'!A:NU,383,0),"")</f>
        <v/>
      </c>
      <c r="N237" t="str">
        <f>IFERROR(VLOOKUP(B237,'Yearly Leave Tracker'!A:NU,384,0),"")</f>
        <v/>
      </c>
      <c r="O237" t="str">
        <f>IFERROR(VLOOKUP(B237,'Yearly Leave Tracker'!A:NU,385,0),"")</f>
        <v/>
      </c>
    </row>
    <row r="238" spans="2:15" x14ac:dyDescent="0.25">
      <c r="B238" t="str">
        <f>IFERROR(IF('Yearly Leave Tracker'!A242="","",'Yearly Leave Tracker'!A242),"")</f>
        <v/>
      </c>
      <c r="C238" t="str">
        <f>IFERROR(VLOOKUP(B238,Database!E:F,2,0),"")</f>
        <v/>
      </c>
      <c r="D238" t="str">
        <f>IFERROR(VLOOKUP(B238,'Yearly Leave Tracker'!A:NU,374,0),"")</f>
        <v/>
      </c>
      <c r="E238" t="str">
        <f>IFERROR(VLOOKUP(B238,'Yearly Leave Tracker'!A:NU,375,0),"")</f>
        <v/>
      </c>
      <c r="F238" t="str">
        <f>IFERROR(VLOOKUP(B238,'Yearly Leave Tracker'!A:NU,376,0),"")</f>
        <v/>
      </c>
      <c r="G238" t="str">
        <f>IFERROR(VLOOKUP(B238,'Yearly Leave Tracker'!A:NU,377,0),"")</f>
        <v/>
      </c>
      <c r="H238" t="str">
        <f>IFERROR(VLOOKUP(B238,'Yearly Leave Tracker'!A:NU,378,0),"")</f>
        <v/>
      </c>
      <c r="I238" t="str">
        <f>IFERROR(VLOOKUP(B238,'Yearly Leave Tracker'!A:NU,379,0),"")</f>
        <v/>
      </c>
      <c r="J238" t="str">
        <f>IFERROR(VLOOKUP(B238,'Yearly Leave Tracker'!A:NU,380,0),"")</f>
        <v/>
      </c>
      <c r="K238" t="str">
        <f>IFERROR(VLOOKUP(B238,'Yearly Leave Tracker'!A:NU,381,0),"")</f>
        <v/>
      </c>
      <c r="L238" t="str">
        <f>IFERROR(VLOOKUP(B238,'Yearly Leave Tracker'!A:NU,382,0),"")</f>
        <v/>
      </c>
      <c r="M238" t="str">
        <f>IFERROR(VLOOKUP(B238,'Yearly Leave Tracker'!A:NU,383,0),"")</f>
        <v/>
      </c>
      <c r="N238" t="str">
        <f>IFERROR(VLOOKUP(B238,'Yearly Leave Tracker'!A:NU,384,0),"")</f>
        <v/>
      </c>
      <c r="O238" t="str">
        <f>IFERROR(VLOOKUP(B238,'Yearly Leave Tracker'!A:NU,385,0),"")</f>
        <v/>
      </c>
    </row>
    <row r="239" spans="2:15" x14ac:dyDescent="0.25">
      <c r="B239" t="str">
        <f>IFERROR(IF('Yearly Leave Tracker'!A243="","",'Yearly Leave Tracker'!A243),"")</f>
        <v/>
      </c>
      <c r="C239" t="str">
        <f>IFERROR(VLOOKUP(B239,Database!E:F,2,0),"")</f>
        <v/>
      </c>
      <c r="D239" t="str">
        <f>IFERROR(VLOOKUP(B239,'Yearly Leave Tracker'!A:NU,374,0),"")</f>
        <v/>
      </c>
      <c r="E239" t="str">
        <f>IFERROR(VLOOKUP(B239,'Yearly Leave Tracker'!A:NU,375,0),"")</f>
        <v/>
      </c>
      <c r="F239" t="str">
        <f>IFERROR(VLOOKUP(B239,'Yearly Leave Tracker'!A:NU,376,0),"")</f>
        <v/>
      </c>
      <c r="G239" t="str">
        <f>IFERROR(VLOOKUP(B239,'Yearly Leave Tracker'!A:NU,377,0),"")</f>
        <v/>
      </c>
      <c r="H239" t="str">
        <f>IFERROR(VLOOKUP(B239,'Yearly Leave Tracker'!A:NU,378,0),"")</f>
        <v/>
      </c>
      <c r="I239" t="str">
        <f>IFERROR(VLOOKUP(B239,'Yearly Leave Tracker'!A:NU,379,0),"")</f>
        <v/>
      </c>
      <c r="J239" t="str">
        <f>IFERROR(VLOOKUP(B239,'Yearly Leave Tracker'!A:NU,380,0),"")</f>
        <v/>
      </c>
      <c r="K239" t="str">
        <f>IFERROR(VLOOKUP(B239,'Yearly Leave Tracker'!A:NU,381,0),"")</f>
        <v/>
      </c>
      <c r="L239" t="str">
        <f>IFERROR(VLOOKUP(B239,'Yearly Leave Tracker'!A:NU,382,0),"")</f>
        <v/>
      </c>
      <c r="M239" t="str">
        <f>IFERROR(VLOOKUP(B239,'Yearly Leave Tracker'!A:NU,383,0),"")</f>
        <v/>
      </c>
      <c r="N239" t="str">
        <f>IFERROR(VLOOKUP(B239,'Yearly Leave Tracker'!A:NU,384,0),"")</f>
        <v/>
      </c>
      <c r="O239" t="str">
        <f>IFERROR(VLOOKUP(B239,'Yearly Leave Tracker'!A:NU,385,0),"")</f>
        <v/>
      </c>
    </row>
    <row r="240" spans="2:15" x14ac:dyDescent="0.25">
      <c r="B240" t="str">
        <f>IFERROR(IF('Yearly Leave Tracker'!A244="","",'Yearly Leave Tracker'!A244),"")</f>
        <v/>
      </c>
      <c r="C240" t="str">
        <f>IFERROR(VLOOKUP(B240,Database!E:F,2,0),"")</f>
        <v/>
      </c>
      <c r="D240" t="str">
        <f>IFERROR(VLOOKUP(B240,'Yearly Leave Tracker'!A:NU,374,0),"")</f>
        <v/>
      </c>
      <c r="E240" t="str">
        <f>IFERROR(VLOOKUP(B240,'Yearly Leave Tracker'!A:NU,375,0),"")</f>
        <v/>
      </c>
      <c r="F240" t="str">
        <f>IFERROR(VLOOKUP(B240,'Yearly Leave Tracker'!A:NU,376,0),"")</f>
        <v/>
      </c>
      <c r="G240" t="str">
        <f>IFERROR(VLOOKUP(B240,'Yearly Leave Tracker'!A:NU,377,0),"")</f>
        <v/>
      </c>
      <c r="H240" t="str">
        <f>IFERROR(VLOOKUP(B240,'Yearly Leave Tracker'!A:NU,378,0),"")</f>
        <v/>
      </c>
      <c r="I240" t="str">
        <f>IFERROR(VLOOKUP(B240,'Yearly Leave Tracker'!A:NU,379,0),"")</f>
        <v/>
      </c>
      <c r="J240" t="str">
        <f>IFERROR(VLOOKUP(B240,'Yearly Leave Tracker'!A:NU,380,0),"")</f>
        <v/>
      </c>
      <c r="K240" t="str">
        <f>IFERROR(VLOOKUP(B240,'Yearly Leave Tracker'!A:NU,381,0),"")</f>
        <v/>
      </c>
      <c r="L240" t="str">
        <f>IFERROR(VLOOKUP(B240,'Yearly Leave Tracker'!A:NU,382,0),"")</f>
        <v/>
      </c>
      <c r="M240" t="str">
        <f>IFERROR(VLOOKUP(B240,'Yearly Leave Tracker'!A:NU,383,0),"")</f>
        <v/>
      </c>
      <c r="N240" t="str">
        <f>IFERROR(VLOOKUP(B240,'Yearly Leave Tracker'!A:NU,384,0),"")</f>
        <v/>
      </c>
      <c r="O240" t="str">
        <f>IFERROR(VLOOKUP(B240,'Yearly Leave Tracker'!A:NU,385,0),"")</f>
        <v/>
      </c>
    </row>
    <row r="241" spans="2:15" x14ac:dyDescent="0.25">
      <c r="B241" t="str">
        <f>IFERROR(IF('Yearly Leave Tracker'!A245="","",'Yearly Leave Tracker'!A245),"")</f>
        <v/>
      </c>
      <c r="C241" t="str">
        <f>IFERROR(VLOOKUP(B241,Database!E:F,2,0),"")</f>
        <v/>
      </c>
      <c r="D241" t="str">
        <f>IFERROR(VLOOKUP(B241,'Yearly Leave Tracker'!A:NU,374,0),"")</f>
        <v/>
      </c>
      <c r="E241" t="str">
        <f>IFERROR(VLOOKUP(B241,'Yearly Leave Tracker'!A:NU,375,0),"")</f>
        <v/>
      </c>
      <c r="F241" t="str">
        <f>IFERROR(VLOOKUP(B241,'Yearly Leave Tracker'!A:NU,376,0),"")</f>
        <v/>
      </c>
      <c r="G241" t="str">
        <f>IFERROR(VLOOKUP(B241,'Yearly Leave Tracker'!A:NU,377,0),"")</f>
        <v/>
      </c>
      <c r="H241" t="str">
        <f>IFERROR(VLOOKUP(B241,'Yearly Leave Tracker'!A:NU,378,0),"")</f>
        <v/>
      </c>
      <c r="I241" t="str">
        <f>IFERROR(VLOOKUP(B241,'Yearly Leave Tracker'!A:NU,379,0),"")</f>
        <v/>
      </c>
      <c r="J241" t="str">
        <f>IFERROR(VLOOKUP(B241,'Yearly Leave Tracker'!A:NU,380,0),"")</f>
        <v/>
      </c>
      <c r="K241" t="str">
        <f>IFERROR(VLOOKUP(B241,'Yearly Leave Tracker'!A:NU,381,0),"")</f>
        <v/>
      </c>
      <c r="L241" t="str">
        <f>IFERROR(VLOOKUP(B241,'Yearly Leave Tracker'!A:NU,382,0),"")</f>
        <v/>
      </c>
      <c r="M241" t="str">
        <f>IFERROR(VLOOKUP(B241,'Yearly Leave Tracker'!A:NU,383,0),"")</f>
        <v/>
      </c>
      <c r="N241" t="str">
        <f>IFERROR(VLOOKUP(B241,'Yearly Leave Tracker'!A:NU,384,0),"")</f>
        <v/>
      </c>
      <c r="O241" t="str">
        <f>IFERROR(VLOOKUP(B241,'Yearly Leave Tracker'!A:NU,385,0),"")</f>
        <v/>
      </c>
    </row>
    <row r="242" spans="2:15" x14ac:dyDescent="0.25">
      <c r="B242" t="str">
        <f>IFERROR(IF('Yearly Leave Tracker'!A246="","",'Yearly Leave Tracker'!A246),"")</f>
        <v/>
      </c>
      <c r="C242" t="str">
        <f>IFERROR(VLOOKUP(B242,Database!E:F,2,0),"")</f>
        <v/>
      </c>
      <c r="D242" t="str">
        <f>IFERROR(VLOOKUP(B242,'Yearly Leave Tracker'!A:NU,374,0),"")</f>
        <v/>
      </c>
      <c r="E242" t="str">
        <f>IFERROR(VLOOKUP(B242,'Yearly Leave Tracker'!A:NU,375,0),"")</f>
        <v/>
      </c>
      <c r="F242" t="str">
        <f>IFERROR(VLOOKUP(B242,'Yearly Leave Tracker'!A:NU,376,0),"")</f>
        <v/>
      </c>
      <c r="G242" t="str">
        <f>IFERROR(VLOOKUP(B242,'Yearly Leave Tracker'!A:NU,377,0),"")</f>
        <v/>
      </c>
      <c r="H242" t="str">
        <f>IFERROR(VLOOKUP(B242,'Yearly Leave Tracker'!A:NU,378,0),"")</f>
        <v/>
      </c>
      <c r="I242" t="str">
        <f>IFERROR(VLOOKUP(B242,'Yearly Leave Tracker'!A:NU,379,0),"")</f>
        <v/>
      </c>
      <c r="J242" t="str">
        <f>IFERROR(VLOOKUP(B242,'Yearly Leave Tracker'!A:NU,380,0),"")</f>
        <v/>
      </c>
      <c r="K242" t="str">
        <f>IFERROR(VLOOKUP(B242,'Yearly Leave Tracker'!A:NU,381,0),"")</f>
        <v/>
      </c>
      <c r="L242" t="str">
        <f>IFERROR(VLOOKUP(B242,'Yearly Leave Tracker'!A:NU,382,0),"")</f>
        <v/>
      </c>
      <c r="M242" t="str">
        <f>IFERROR(VLOOKUP(B242,'Yearly Leave Tracker'!A:NU,383,0),"")</f>
        <v/>
      </c>
      <c r="N242" t="str">
        <f>IFERROR(VLOOKUP(B242,'Yearly Leave Tracker'!A:NU,384,0),"")</f>
        <v/>
      </c>
      <c r="O242" t="str">
        <f>IFERROR(VLOOKUP(B242,'Yearly Leave Tracker'!A:NU,385,0),"")</f>
        <v/>
      </c>
    </row>
    <row r="243" spans="2:15" x14ac:dyDescent="0.25">
      <c r="B243" t="str">
        <f>IFERROR(IF('Yearly Leave Tracker'!A247="","",'Yearly Leave Tracker'!A247),"")</f>
        <v/>
      </c>
      <c r="C243" t="str">
        <f>IFERROR(VLOOKUP(B243,Database!E:F,2,0),"")</f>
        <v/>
      </c>
      <c r="D243" t="str">
        <f>IFERROR(VLOOKUP(B243,'Yearly Leave Tracker'!A:NU,374,0),"")</f>
        <v/>
      </c>
      <c r="E243" t="str">
        <f>IFERROR(VLOOKUP(B243,'Yearly Leave Tracker'!A:NU,375,0),"")</f>
        <v/>
      </c>
      <c r="F243" t="str">
        <f>IFERROR(VLOOKUP(B243,'Yearly Leave Tracker'!A:NU,376,0),"")</f>
        <v/>
      </c>
      <c r="G243" t="str">
        <f>IFERROR(VLOOKUP(B243,'Yearly Leave Tracker'!A:NU,377,0),"")</f>
        <v/>
      </c>
      <c r="H243" t="str">
        <f>IFERROR(VLOOKUP(B243,'Yearly Leave Tracker'!A:NU,378,0),"")</f>
        <v/>
      </c>
      <c r="I243" t="str">
        <f>IFERROR(VLOOKUP(B243,'Yearly Leave Tracker'!A:NU,379,0),"")</f>
        <v/>
      </c>
      <c r="J243" t="str">
        <f>IFERROR(VLOOKUP(B243,'Yearly Leave Tracker'!A:NU,380,0),"")</f>
        <v/>
      </c>
      <c r="K243" t="str">
        <f>IFERROR(VLOOKUP(B243,'Yearly Leave Tracker'!A:NU,381,0),"")</f>
        <v/>
      </c>
      <c r="L243" t="str">
        <f>IFERROR(VLOOKUP(B243,'Yearly Leave Tracker'!A:NU,382,0),"")</f>
        <v/>
      </c>
      <c r="M243" t="str">
        <f>IFERROR(VLOOKUP(B243,'Yearly Leave Tracker'!A:NU,383,0),"")</f>
        <v/>
      </c>
      <c r="N243" t="str">
        <f>IFERROR(VLOOKUP(B243,'Yearly Leave Tracker'!A:NU,384,0),"")</f>
        <v/>
      </c>
      <c r="O243" t="str">
        <f>IFERROR(VLOOKUP(B243,'Yearly Leave Tracker'!A:NU,385,0),"")</f>
        <v/>
      </c>
    </row>
    <row r="244" spans="2:15" x14ac:dyDescent="0.25">
      <c r="B244" t="str">
        <f>IFERROR(IF('Yearly Leave Tracker'!A248="","",'Yearly Leave Tracker'!A248),"")</f>
        <v/>
      </c>
      <c r="C244" t="str">
        <f>IFERROR(VLOOKUP(B244,Database!E:F,2,0),"")</f>
        <v/>
      </c>
      <c r="D244" t="str">
        <f>IFERROR(VLOOKUP(B244,'Yearly Leave Tracker'!A:NU,374,0),"")</f>
        <v/>
      </c>
      <c r="E244" t="str">
        <f>IFERROR(VLOOKUP(B244,'Yearly Leave Tracker'!A:NU,375,0),"")</f>
        <v/>
      </c>
      <c r="F244" t="str">
        <f>IFERROR(VLOOKUP(B244,'Yearly Leave Tracker'!A:NU,376,0),"")</f>
        <v/>
      </c>
      <c r="G244" t="str">
        <f>IFERROR(VLOOKUP(B244,'Yearly Leave Tracker'!A:NU,377,0),"")</f>
        <v/>
      </c>
      <c r="H244" t="str">
        <f>IFERROR(VLOOKUP(B244,'Yearly Leave Tracker'!A:NU,378,0),"")</f>
        <v/>
      </c>
      <c r="I244" t="str">
        <f>IFERROR(VLOOKUP(B244,'Yearly Leave Tracker'!A:NU,379,0),"")</f>
        <v/>
      </c>
      <c r="J244" t="str">
        <f>IFERROR(VLOOKUP(B244,'Yearly Leave Tracker'!A:NU,380,0),"")</f>
        <v/>
      </c>
      <c r="K244" t="str">
        <f>IFERROR(VLOOKUP(B244,'Yearly Leave Tracker'!A:NU,381,0),"")</f>
        <v/>
      </c>
      <c r="L244" t="str">
        <f>IFERROR(VLOOKUP(B244,'Yearly Leave Tracker'!A:NU,382,0),"")</f>
        <v/>
      </c>
      <c r="M244" t="str">
        <f>IFERROR(VLOOKUP(B244,'Yearly Leave Tracker'!A:NU,383,0),"")</f>
        <v/>
      </c>
      <c r="N244" t="str">
        <f>IFERROR(VLOOKUP(B244,'Yearly Leave Tracker'!A:NU,384,0),"")</f>
        <v/>
      </c>
      <c r="O244" t="str">
        <f>IFERROR(VLOOKUP(B244,'Yearly Leave Tracker'!A:NU,385,0),"")</f>
        <v/>
      </c>
    </row>
    <row r="245" spans="2:15" x14ac:dyDescent="0.25">
      <c r="B245" t="str">
        <f>IFERROR(IF('Yearly Leave Tracker'!A249="","",'Yearly Leave Tracker'!A249),"")</f>
        <v/>
      </c>
      <c r="C245" t="str">
        <f>IFERROR(VLOOKUP(B245,Database!E:F,2,0),"")</f>
        <v/>
      </c>
      <c r="D245" t="str">
        <f>IFERROR(VLOOKUP(B245,'Yearly Leave Tracker'!A:NU,374,0),"")</f>
        <v/>
      </c>
      <c r="E245" t="str">
        <f>IFERROR(VLOOKUP(B245,'Yearly Leave Tracker'!A:NU,375,0),"")</f>
        <v/>
      </c>
      <c r="F245" t="str">
        <f>IFERROR(VLOOKUP(B245,'Yearly Leave Tracker'!A:NU,376,0),"")</f>
        <v/>
      </c>
      <c r="G245" t="str">
        <f>IFERROR(VLOOKUP(B245,'Yearly Leave Tracker'!A:NU,377,0),"")</f>
        <v/>
      </c>
      <c r="H245" t="str">
        <f>IFERROR(VLOOKUP(B245,'Yearly Leave Tracker'!A:NU,378,0),"")</f>
        <v/>
      </c>
      <c r="I245" t="str">
        <f>IFERROR(VLOOKUP(B245,'Yearly Leave Tracker'!A:NU,379,0),"")</f>
        <v/>
      </c>
      <c r="J245" t="str">
        <f>IFERROR(VLOOKUP(B245,'Yearly Leave Tracker'!A:NU,380,0),"")</f>
        <v/>
      </c>
      <c r="K245" t="str">
        <f>IFERROR(VLOOKUP(B245,'Yearly Leave Tracker'!A:NU,381,0),"")</f>
        <v/>
      </c>
      <c r="L245" t="str">
        <f>IFERROR(VLOOKUP(B245,'Yearly Leave Tracker'!A:NU,382,0),"")</f>
        <v/>
      </c>
      <c r="M245" t="str">
        <f>IFERROR(VLOOKUP(B245,'Yearly Leave Tracker'!A:NU,383,0),"")</f>
        <v/>
      </c>
      <c r="N245" t="str">
        <f>IFERROR(VLOOKUP(B245,'Yearly Leave Tracker'!A:NU,384,0),"")</f>
        <v/>
      </c>
      <c r="O245" t="str">
        <f>IFERROR(VLOOKUP(B245,'Yearly Leave Tracker'!A:NU,385,0),"")</f>
        <v/>
      </c>
    </row>
    <row r="246" spans="2:15" x14ac:dyDescent="0.25">
      <c r="B246" t="str">
        <f>IFERROR(IF('Yearly Leave Tracker'!A250="","",'Yearly Leave Tracker'!A250),"")</f>
        <v/>
      </c>
      <c r="C246" t="str">
        <f>IFERROR(VLOOKUP(B246,Database!E:F,2,0),"")</f>
        <v/>
      </c>
      <c r="D246" t="str">
        <f>IFERROR(VLOOKUP(B246,'Yearly Leave Tracker'!A:NU,374,0),"")</f>
        <v/>
      </c>
      <c r="E246" t="str">
        <f>IFERROR(VLOOKUP(B246,'Yearly Leave Tracker'!A:NU,375,0),"")</f>
        <v/>
      </c>
      <c r="F246" t="str">
        <f>IFERROR(VLOOKUP(B246,'Yearly Leave Tracker'!A:NU,376,0),"")</f>
        <v/>
      </c>
      <c r="G246" t="str">
        <f>IFERROR(VLOOKUP(B246,'Yearly Leave Tracker'!A:NU,377,0),"")</f>
        <v/>
      </c>
      <c r="H246" t="str">
        <f>IFERROR(VLOOKUP(B246,'Yearly Leave Tracker'!A:NU,378,0),"")</f>
        <v/>
      </c>
      <c r="I246" t="str">
        <f>IFERROR(VLOOKUP(B246,'Yearly Leave Tracker'!A:NU,379,0),"")</f>
        <v/>
      </c>
      <c r="J246" t="str">
        <f>IFERROR(VLOOKUP(B246,'Yearly Leave Tracker'!A:NU,380,0),"")</f>
        <v/>
      </c>
      <c r="K246" t="str">
        <f>IFERROR(VLOOKUP(B246,'Yearly Leave Tracker'!A:NU,381,0),"")</f>
        <v/>
      </c>
      <c r="L246" t="str">
        <f>IFERROR(VLOOKUP(B246,'Yearly Leave Tracker'!A:NU,382,0),"")</f>
        <v/>
      </c>
      <c r="M246" t="str">
        <f>IFERROR(VLOOKUP(B246,'Yearly Leave Tracker'!A:NU,383,0),"")</f>
        <v/>
      </c>
      <c r="N246" t="str">
        <f>IFERROR(VLOOKUP(B246,'Yearly Leave Tracker'!A:NU,384,0),"")</f>
        <v/>
      </c>
      <c r="O246" t="str">
        <f>IFERROR(VLOOKUP(B246,'Yearly Leave Tracker'!A:NU,385,0),"")</f>
        <v/>
      </c>
    </row>
    <row r="247" spans="2:15" x14ac:dyDescent="0.25">
      <c r="B247" t="str">
        <f>IFERROR(IF('Yearly Leave Tracker'!A251="","",'Yearly Leave Tracker'!A251),"")</f>
        <v/>
      </c>
      <c r="C247" t="str">
        <f>IFERROR(VLOOKUP(B247,Database!E:F,2,0),"")</f>
        <v/>
      </c>
      <c r="D247" t="str">
        <f>IFERROR(VLOOKUP(B247,'Yearly Leave Tracker'!A:NU,374,0),"")</f>
        <v/>
      </c>
      <c r="E247" t="str">
        <f>IFERROR(VLOOKUP(B247,'Yearly Leave Tracker'!A:NU,375,0),"")</f>
        <v/>
      </c>
      <c r="F247" t="str">
        <f>IFERROR(VLOOKUP(B247,'Yearly Leave Tracker'!A:NU,376,0),"")</f>
        <v/>
      </c>
      <c r="G247" t="str">
        <f>IFERROR(VLOOKUP(B247,'Yearly Leave Tracker'!A:NU,377,0),"")</f>
        <v/>
      </c>
      <c r="H247" t="str">
        <f>IFERROR(VLOOKUP(B247,'Yearly Leave Tracker'!A:NU,378,0),"")</f>
        <v/>
      </c>
      <c r="I247" t="str">
        <f>IFERROR(VLOOKUP(B247,'Yearly Leave Tracker'!A:NU,379,0),"")</f>
        <v/>
      </c>
      <c r="J247" t="str">
        <f>IFERROR(VLOOKUP(B247,'Yearly Leave Tracker'!A:NU,380,0),"")</f>
        <v/>
      </c>
      <c r="K247" t="str">
        <f>IFERROR(VLOOKUP(B247,'Yearly Leave Tracker'!A:NU,381,0),"")</f>
        <v/>
      </c>
      <c r="L247" t="str">
        <f>IFERROR(VLOOKUP(B247,'Yearly Leave Tracker'!A:NU,382,0),"")</f>
        <v/>
      </c>
      <c r="M247" t="str">
        <f>IFERROR(VLOOKUP(B247,'Yearly Leave Tracker'!A:NU,383,0),"")</f>
        <v/>
      </c>
      <c r="N247" t="str">
        <f>IFERROR(VLOOKUP(B247,'Yearly Leave Tracker'!A:NU,384,0),"")</f>
        <v/>
      </c>
      <c r="O247" t="str">
        <f>IFERROR(VLOOKUP(B247,'Yearly Leave Tracker'!A:NU,385,0),"")</f>
        <v/>
      </c>
    </row>
    <row r="248" spans="2:15" x14ac:dyDescent="0.25">
      <c r="B248" t="str">
        <f>IFERROR(IF('Yearly Leave Tracker'!A252="","",'Yearly Leave Tracker'!A252),"")</f>
        <v/>
      </c>
      <c r="C248" t="str">
        <f>IFERROR(VLOOKUP(B248,Database!E:F,2,0),"")</f>
        <v/>
      </c>
      <c r="D248" t="str">
        <f>IFERROR(VLOOKUP(B248,'Yearly Leave Tracker'!A:NU,374,0),"")</f>
        <v/>
      </c>
      <c r="E248" t="str">
        <f>IFERROR(VLOOKUP(B248,'Yearly Leave Tracker'!A:NU,375,0),"")</f>
        <v/>
      </c>
      <c r="F248" t="str">
        <f>IFERROR(VLOOKUP(B248,'Yearly Leave Tracker'!A:NU,376,0),"")</f>
        <v/>
      </c>
      <c r="G248" t="str">
        <f>IFERROR(VLOOKUP(B248,'Yearly Leave Tracker'!A:NU,377,0),"")</f>
        <v/>
      </c>
      <c r="H248" t="str">
        <f>IFERROR(VLOOKUP(B248,'Yearly Leave Tracker'!A:NU,378,0),"")</f>
        <v/>
      </c>
      <c r="I248" t="str">
        <f>IFERROR(VLOOKUP(B248,'Yearly Leave Tracker'!A:NU,379,0),"")</f>
        <v/>
      </c>
      <c r="J248" t="str">
        <f>IFERROR(VLOOKUP(B248,'Yearly Leave Tracker'!A:NU,380,0),"")</f>
        <v/>
      </c>
      <c r="K248" t="str">
        <f>IFERROR(VLOOKUP(B248,'Yearly Leave Tracker'!A:NU,381,0),"")</f>
        <v/>
      </c>
      <c r="L248" t="str">
        <f>IFERROR(VLOOKUP(B248,'Yearly Leave Tracker'!A:NU,382,0),"")</f>
        <v/>
      </c>
      <c r="M248" t="str">
        <f>IFERROR(VLOOKUP(B248,'Yearly Leave Tracker'!A:NU,383,0),"")</f>
        <v/>
      </c>
      <c r="N248" t="str">
        <f>IFERROR(VLOOKUP(B248,'Yearly Leave Tracker'!A:NU,384,0),"")</f>
        <v/>
      </c>
      <c r="O248" t="str">
        <f>IFERROR(VLOOKUP(B248,'Yearly Leave Tracker'!A:NU,385,0),"")</f>
        <v/>
      </c>
    </row>
    <row r="249" spans="2:15" x14ac:dyDescent="0.25">
      <c r="B249" t="str">
        <f>IFERROR(IF('Yearly Leave Tracker'!A253="","",'Yearly Leave Tracker'!A253),"")</f>
        <v/>
      </c>
      <c r="C249" t="str">
        <f>IFERROR(VLOOKUP(B249,Database!E:F,2,0),"")</f>
        <v/>
      </c>
      <c r="D249" t="str">
        <f>IFERROR(VLOOKUP(B249,'Yearly Leave Tracker'!A:NU,374,0),"")</f>
        <v/>
      </c>
      <c r="E249" t="str">
        <f>IFERROR(VLOOKUP(B249,'Yearly Leave Tracker'!A:NU,375,0),"")</f>
        <v/>
      </c>
      <c r="F249" t="str">
        <f>IFERROR(VLOOKUP(B249,'Yearly Leave Tracker'!A:NU,376,0),"")</f>
        <v/>
      </c>
      <c r="G249" t="str">
        <f>IFERROR(VLOOKUP(B249,'Yearly Leave Tracker'!A:NU,377,0),"")</f>
        <v/>
      </c>
      <c r="H249" t="str">
        <f>IFERROR(VLOOKUP(B249,'Yearly Leave Tracker'!A:NU,378,0),"")</f>
        <v/>
      </c>
      <c r="I249" t="str">
        <f>IFERROR(VLOOKUP(B249,'Yearly Leave Tracker'!A:NU,379,0),"")</f>
        <v/>
      </c>
      <c r="J249" t="str">
        <f>IFERROR(VLOOKUP(B249,'Yearly Leave Tracker'!A:NU,380,0),"")</f>
        <v/>
      </c>
      <c r="K249" t="str">
        <f>IFERROR(VLOOKUP(B249,'Yearly Leave Tracker'!A:NU,381,0),"")</f>
        <v/>
      </c>
      <c r="L249" t="str">
        <f>IFERROR(VLOOKUP(B249,'Yearly Leave Tracker'!A:NU,382,0),"")</f>
        <v/>
      </c>
      <c r="M249" t="str">
        <f>IFERROR(VLOOKUP(B249,'Yearly Leave Tracker'!A:NU,383,0),"")</f>
        <v/>
      </c>
      <c r="N249" t="str">
        <f>IFERROR(VLOOKUP(B249,'Yearly Leave Tracker'!A:NU,384,0),"")</f>
        <v/>
      </c>
      <c r="O249" t="str">
        <f>IFERROR(VLOOKUP(B249,'Yearly Leave Tracker'!A:NU,385,0),"")</f>
        <v/>
      </c>
    </row>
    <row r="250" spans="2:15" x14ac:dyDescent="0.25">
      <c r="B250" t="str">
        <f>IFERROR(IF('Yearly Leave Tracker'!A254="","",'Yearly Leave Tracker'!A254),"")</f>
        <v/>
      </c>
      <c r="C250" t="str">
        <f>IFERROR(VLOOKUP(B250,Database!E:F,2,0),"")</f>
        <v/>
      </c>
      <c r="D250" t="str">
        <f>IFERROR(VLOOKUP(B250,'Yearly Leave Tracker'!A:NU,374,0),"")</f>
        <v/>
      </c>
      <c r="E250" t="str">
        <f>IFERROR(VLOOKUP(B250,'Yearly Leave Tracker'!A:NU,375,0),"")</f>
        <v/>
      </c>
      <c r="F250" t="str">
        <f>IFERROR(VLOOKUP(B250,'Yearly Leave Tracker'!A:NU,376,0),"")</f>
        <v/>
      </c>
      <c r="G250" t="str">
        <f>IFERROR(VLOOKUP(B250,'Yearly Leave Tracker'!A:NU,377,0),"")</f>
        <v/>
      </c>
      <c r="H250" t="str">
        <f>IFERROR(VLOOKUP(B250,'Yearly Leave Tracker'!A:NU,378,0),"")</f>
        <v/>
      </c>
      <c r="I250" t="str">
        <f>IFERROR(VLOOKUP(B250,'Yearly Leave Tracker'!A:NU,379,0),"")</f>
        <v/>
      </c>
      <c r="J250" t="str">
        <f>IFERROR(VLOOKUP(B250,'Yearly Leave Tracker'!A:NU,380,0),"")</f>
        <v/>
      </c>
      <c r="K250" t="str">
        <f>IFERROR(VLOOKUP(B250,'Yearly Leave Tracker'!A:NU,381,0),"")</f>
        <v/>
      </c>
      <c r="L250" t="str">
        <f>IFERROR(VLOOKUP(B250,'Yearly Leave Tracker'!A:NU,382,0),"")</f>
        <v/>
      </c>
      <c r="M250" t="str">
        <f>IFERROR(VLOOKUP(B250,'Yearly Leave Tracker'!A:NU,383,0),"")</f>
        <v/>
      </c>
      <c r="N250" t="str">
        <f>IFERROR(VLOOKUP(B250,'Yearly Leave Tracker'!A:NU,384,0),"")</f>
        <v/>
      </c>
      <c r="O250" t="str">
        <f>IFERROR(VLOOKUP(B250,'Yearly Leave Tracker'!A:NU,385,0),"")</f>
        <v/>
      </c>
    </row>
    <row r="251" spans="2:15" x14ac:dyDescent="0.25">
      <c r="B251" t="str">
        <f>IFERROR(IF('Yearly Leave Tracker'!A255="","",'Yearly Leave Tracker'!A255),"")</f>
        <v/>
      </c>
      <c r="C251" t="str">
        <f>IFERROR(VLOOKUP(B251,Database!E:F,2,0),"")</f>
        <v/>
      </c>
      <c r="D251" t="str">
        <f>IFERROR(VLOOKUP(B251,'Yearly Leave Tracker'!A:NU,374,0),"")</f>
        <v/>
      </c>
      <c r="E251" t="str">
        <f>IFERROR(VLOOKUP(B251,'Yearly Leave Tracker'!A:NU,375,0),"")</f>
        <v/>
      </c>
      <c r="F251" t="str">
        <f>IFERROR(VLOOKUP(B251,'Yearly Leave Tracker'!A:NU,376,0),"")</f>
        <v/>
      </c>
      <c r="G251" t="str">
        <f>IFERROR(VLOOKUP(B251,'Yearly Leave Tracker'!A:NU,377,0),"")</f>
        <v/>
      </c>
      <c r="H251" t="str">
        <f>IFERROR(VLOOKUP(B251,'Yearly Leave Tracker'!A:NU,378,0),"")</f>
        <v/>
      </c>
      <c r="I251" t="str">
        <f>IFERROR(VLOOKUP(B251,'Yearly Leave Tracker'!A:NU,379,0),"")</f>
        <v/>
      </c>
      <c r="J251" t="str">
        <f>IFERROR(VLOOKUP(B251,'Yearly Leave Tracker'!A:NU,380,0),"")</f>
        <v/>
      </c>
      <c r="K251" t="str">
        <f>IFERROR(VLOOKUP(B251,'Yearly Leave Tracker'!A:NU,381,0),"")</f>
        <v/>
      </c>
      <c r="L251" t="str">
        <f>IFERROR(VLOOKUP(B251,'Yearly Leave Tracker'!A:NU,382,0),"")</f>
        <v/>
      </c>
      <c r="M251" t="str">
        <f>IFERROR(VLOOKUP(B251,'Yearly Leave Tracker'!A:NU,383,0),"")</f>
        <v/>
      </c>
      <c r="N251" t="str">
        <f>IFERROR(VLOOKUP(B251,'Yearly Leave Tracker'!A:NU,384,0),"")</f>
        <v/>
      </c>
      <c r="O251" t="str">
        <f>IFERROR(VLOOKUP(B251,'Yearly Leave Tracker'!A:NU,385,0),"")</f>
        <v/>
      </c>
    </row>
    <row r="252" spans="2:15" x14ac:dyDescent="0.25">
      <c r="B252" t="str">
        <f>IFERROR(IF('Yearly Leave Tracker'!A256="","",'Yearly Leave Tracker'!A256),"")</f>
        <v/>
      </c>
      <c r="C252" t="str">
        <f>IFERROR(VLOOKUP(B252,Database!E:F,2,0),"")</f>
        <v/>
      </c>
      <c r="D252" t="str">
        <f>IFERROR(VLOOKUP(B252,'Yearly Leave Tracker'!A:NU,374,0),"")</f>
        <v/>
      </c>
      <c r="E252" t="str">
        <f>IFERROR(VLOOKUP(B252,'Yearly Leave Tracker'!A:NU,375,0),"")</f>
        <v/>
      </c>
      <c r="F252" t="str">
        <f>IFERROR(VLOOKUP(B252,'Yearly Leave Tracker'!A:NU,376,0),"")</f>
        <v/>
      </c>
      <c r="G252" t="str">
        <f>IFERROR(VLOOKUP(B252,'Yearly Leave Tracker'!A:NU,377,0),"")</f>
        <v/>
      </c>
      <c r="H252" t="str">
        <f>IFERROR(VLOOKUP(B252,'Yearly Leave Tracker'!A:NU,378,0),"")</f>
        <v/>
      </c>
      <c r="I252" t="str">
        <f>IFERROR(VLOOKUP(B252,'Yearly Leave Tracker'!A:NU,379,0),"")</f>
        <v/>
      </c>
      <c r="J252" t="str">
        <f>IFERROR(VLOOKUP(B252,'Yearly Leave Tracker'!A:NU,380,0),"")</f>
        <v/>
      </c>
      <c r="K252" t="str">
        <f>IFERROR(VLOOKUP(B252,'Yearly Leave Tracker'!A:NU,381,0),"")</f>
        <v/>
      </c>
      <c r="L252" t="str">
        <f>IFERROR(VLOOKUP(B252,'Yearly Leave Tracker'!A:NU,382,0),"")</f>
        <v/>
      </c>
      <c r="M252" t="str">
        <f>IFERROR(VLOOKUP(B252,'Yearly Leave Tracker'!A:NU,383,0),"")</f>
        <v/>
      </c>
      <c r="N252" t="str">
        <f>IFERROR(VLOOKUP(B252,'Yearly Leave Tracker'!A:NU,384,0),"")</f>
        <v/>
      </c>
      <c r="O252" t="str">
        <f>IFERROR(VLOOKUP(B252,'Yearly Leave Tracker'!A:NU,385,0),"")</f>
        <v/>
      </c>
    </row>
    <row r="253" spans="2:15" x14ac:dyDescent="0.25">
      <c r="B253" t="str">
        <f>IFERROR(IF('Yearly Leave Tracker'!A257="","",'Yearly Leave Tracker'!A257),"")</f>
        <v/>
      </c>
      <c r="C253" t="str">
        <f>IFERROR(VLOOKUP(B253,Database!E:F,2,0),"")</f>
        <v/>
      </c>
      <c r="D253" t="str">
        <f>IFERROR(VLOOKUP(B253,'Yearly Leave Tracker'!A:NU,374,0),"")</f>
        <v/>
      </c>
      <c r="E253" t="str">
        <f>IFERROR(VLOOKUP(B253,'Yearly Leave Tracker'!A:NU,375,0),"")</f>
        <v/>
      </c>
      <c r="F253" t="str">
        <f>IFERROR(VLOOKUP(B253,'Yearly Leave Tracker'!A:NU,376,0),"")</f>
        <v/>
      </c>
      <c r="G253" t="str">
        <f>IFERROR(VLOOKUP(B253,'Yearly Leave Tracker'!A:NU,377,0),"")</f>
        <v/>
      </c>
      <c r="H253" t="str">
        <f>IFERROR(VLOOKUP(B253,'Yearly Leave Tracker'!A:NU,378,0),"")</f>
        <v/>
      </c>
      <c r="I253" t="str">
        <f>IFERROR(VLOOKUP(B253,'Yearly Leave Tracker'!A:NU,379,0),"")</f>
        <v/>
      </c>
      <c r="J253" t="str">
        <f>IFERROR(VLOOKUP(B253,'Yearly Leave Tracker'!A:NU,380,0),"")</f>
        <v/>
      </c>
      <c r="K253" t="str">
        <f>IFERROR(VLOOKUP(B253,'Yearly Leave Tracker'!A:NU,381,0),"")</f>
        <v/>
      </c>
      <c r="L253" t="str">
        <f>IFERROR(VLOOKUP(B253,'Yearly Leave Tracker'!A:NU,382,0),"")</f>
        <v/>
      </c>
      <c r="M253" t="str">
        <f>IFERROR(VLOOKUP(B253,'Yearly Leave Tracker'!A:NU,383,0),"")</f>
        <v/>
      </c>
      <c r="N253" t="str">
        <f>IFERROR(VLOOKUP(B253,'Yearly Leave Tracker'!A:NU,384,0),"")</f>
        <v/>
      </c>
      <c r="O253" t="str">
        <f>IFERROR(VLOOKUP(B253,'Yearly Leave Tracker'!A:NU,385,0),"")</f>
        <v/>
      </c>
    </row>
    <row r="254" spans="2:15" x14ac:dyDescent="0.25">
      <c r="B254" t="str">
        <f>IFERROR(IF('Yearly Leave Tracker'!A258="","",'Yearly Leave Tracker'!A258),"")</f>
        <v/>
      </c>
      <c r="C254" t="str">
        <f>IFERROR(VLOOKUP(B254,Database!E:F,2,0),"")</f>
        <v/>
      </c>
      <c r="D254" t="str">
        <f>IFERROR(VLOOKUP(B254,'Yearly Leave Tracker'!A:NU,374,0),"")</f>
        <v/>
      </c>
      <c r="E254" t="str">
        <f>IFERROR(VLOOKUP(B254,'Yearly Leave Tracker'!A:NU,375,0),"")</f>
        <v/>
      </c>
      <c r="F254" t="str">
        <f>IFERROR(VLOOKUP(B254,'Yearly Leave Tracker'!A:NU,376,0),"")</f>
        <v/>
      </c>
      <c r="G254" t="str">
        <f>IFERROR(VLOOKUP(B254,'Yearly Leave Tracker'!A:NU,377,0),"")</f>
        <v/>
      </c>
      <c r="H254" t="str">
        <f>IFERROR(VLOOKUP(B254,'Yearly Leave Tracker'!A:NU,378,0),"")</f>
        <v/>
      </c>
      <c r="I254" t="str">
        <f>IFERROR(VLOOKUP(B254,'Yearly Leave Tracker'!A:NU,379,0),"")</f>
        <v/>
      </c>
      <c r="J254" t="str">
        <f>IFERROR(VLOOKUP(B254,'Yearly Leave Tracker'!A:NU,380,0),"")</f>
        <v/>
      </c>
      <c r="K254" t="str">
        <f>IFERROR(VLOOKUP(B254,'Yearly Leave Tracker'!A:NU,381,0),"")</f>
        <v/>
      </c>
      <c r="L254" t="str">
        <f>IFERROR(VLOOKUP(B254,'Yearly Leave Tracker'!A:NU,382,0),"")</f>
        <v/>
      </c>
      <c r="M254" t="str">
        <f>IFERROR(VLOOKUP(B254,'Yearly Leave Tracker'!A:NU,383,0),"")</f>
        <v/>
      </c>
      <c r="N254" t="str">
        <f>IFERROR(VLOOKUP(B254,'Yearly Leave Tracker'!A:NU,384,0),"")</f>
        <v/>
      </c>
      <c r="O254" t="str">
        <f>IFERROR(VLOOKUP(B254,'Yearly Leave Tracker'!A:NU,385,0),"")</f>
        <v/>
      </c>
    </row>
    <row r="255" spans="2:15" x14ac:dyDescent="0.25">
      <c r="B255" t="str">
        <f>IFERROR(IF('Yearly Leave Tracker'!A259="","",'Yearly Leave Tracker'!A259),"")</f>
        <v/>
      </c>
      <c r="C255" t="str">
        <f>IFERROR(VLOOKUP(B255,Database!E:F,2,0),"")</f>
        <v/>
      </c>
      <c r="D255" t="str">
        <f>IFERROR(VLOOKUP(B255,'Yearly Leave Tracker'!A:NU,374,0),"")</f>
        <v/>
      </c>
      <c r="E255" t="str">
        <f>IFERROR(VLOOKUP(B255,'Yearly Leave Tracker'!A:NU,375,0),"")</f>
        <v/>
      </c>
      <c r="F255" t="str">
        <f>IFERROR(VLOOKUP(B255,'Yearly Leave Tracker'!A:NU,376,0),"")</f>
        <v/>
      </c>
      <c r="G255" t="str">
        <f>IFERROR(VLOOKUP(B255,'Yearly Leave Tracker'!A:NU,377,0),"")</f>
        <v/>
      </c>
      <c r="H255" t="str">
        <f>IFERROR(VLOOKUP(B255,'Yearly Leave Tracker'!A:NU,378,0),"")</f>
        <v/>
      </c>
      <c r="I255" t="str">
        <f>IFERROR(VLOOKUP(B255,'Yearly Leave Tracker'!A:NU,379,0),"")</f>
        <v/>
      </c>
      <c r="J255" t="str">
        <f>IFERROR(VLOOKUP(B255,'Yearly Leave Tracker'!A:NU,380,0),"")</f>
        <v/>
      </c>
      <c r="K255" t="str">
        <f>IFERROR(VLOOKUP(B255,'Yearly Leave Tracker'!A:NU,381,0),"")</f>
        <v/>
      </c>
      <c r="L255" t="str">
        <f>IFERROR(VLOOKUP(B255,'Yearly Leave Tracker'!A:NU,382,0),"")</f>
        <v/>
      </c>
      <c r="M255" t="str">
        <f>IFERROR(VLOOKUP(B255,'Yearly Leave Tracker'!A:NU,383,0),"")</f>
        <v/>
      </c>
      <c r="N255" t="str">
        <f>IFERROR(VLOOKUP(B255,'Yearly Leave Tracker'!A:NU,384,0),"")</f>
        <v/>
      </c>
      <c r="O255" t="str">
        <f>IFERROR(VLOOKUP(B255,'Yearly Leave Tracker'!A:NU,385,0),"")</f>
        <v/>
      </c>
    </row>
    <row r="256" spans="2:15" x14ac:dyDescent="0.25">
      <c r="B256" t="str">
        <f>IFERROR(IF('Yearly Leave Tracker'!A260="","",'Yearly Leave Tracker'!A260),"")</f>
        <v/>
      </c>
      <c r="C256" t="str">
        <f>IFERROR(VLOOKUP(B256,Database!E:F,2,0),"")</f>
        <v/>
      </c>
      <c r="D256" t="str">
        <f>IFERROR(VLOOKUP(B256,'Yearly Leave Tracker'!A:NU,374,0),"")</f>
        <v/>
      </c>
      <c r="E256" t="str">
        <f>IFERROR(VLOOKUP(B256,'Yearly Leave Tracker'!A:NU,375,0),"")</f>
        <v/>
      </c>
      <c r="F256" t="str">
        <f>IFERROR(VLOOKUP(B256,'Yearly Leave Tracker'!A:NU,376,0),"")</f>
        <v/>
      </c>
      <c r="G256" t="str">
        <f>IFERROR(VLOOKUP(B256,'Yearly Leave Tracker'!A:NU,377,0),"")</f>
        <v/>
      </c>
      <c r="H256" t="str">
        <f>IFERROR(VLOOKUP(B256,'Yearly Leave Tracker'!A:NU,378,0),"")</f>
        <v/>
      </c>
      <c r="I256" t="str">
        <f>IFERROR(VLOOKUP(B256,'Yearly Leave Tracker'!A:NU,379,0),"")</f>
        <v/>
      </c>
      <c r="J256" t="str">
        <f>IFERROR(VLOOKUP(B256,'Yearly Leave Tracker'!A:NU,380,0),"")</f>
        <v/>
      </c>
      <c r="K256" t="str">
        <f>IFERROR(VLOOKUP(B256,'Yearly Leave Tracker'!A:NU,381,0),"")</f>
        <v/>
      </c>
      <c r="L256" t="str">
        <f>IFERROR(VLOOKUP(B256,'Yearly Leave Tracker'!A:NU,382,0),"")</f>
        <v/>
      </c>
      <c r="M256" t="str">
        <f>IFERROR(VLOOKUP(B256,'Yearly Leave Tracker'!A:NU,383,0),"")</f>
        <v/>
      </c>
      <c r="N256" t="str">
        <f>IFERROR(VLOOKUP(B256,'Yearly Leave Tracker'!A:NU,384,0),"")</f>
        <v/>
      </c>
      <c r="O256" t="str">
        <f>IFERROR(VLOOKUP(B256,'Yearly Leave Tracker'!A:NU,385,0),"")</f>
        <v/>
      </c>
    </row>
    <row r="257" spans="2:15" x14ac:dyDescent="0.25">
      <c r="B257" t="str">
        <f>IFERROR(IF('Yearly Leave Tracker'!A261="","",'Yearly Leave Tracker'!A261),"")</f>
        <v/>
      </c>
      <c r="C257" t="str">
        <f>IFERROR(VLOOKUP(B257,Database!E:F,2,0),"")</f>
        <v/>
      </c>
      <c r="D257" t="str">
        <f>IFERROR(VLOOKUP(B257,'Yearly Leave Tracker'!A:NU,374,0),"")</f>
        <v/>
      </c>
      <c r="E257" t="str">
        <f>IFERROR(VLOOKUP(B257,'Yearly Leave Tracker'!A:NU,375,0),"")</f>
        <v/>
      </c>
      <c r="F257" t="str">
        <f>IFERROR(VLOOKUP(B257,'Yearly Leave Tracker'!A:NU,376,0),"")</f>
        <v/>
      </c>
      <c r="G257" t="str">
        <f>IFERROR(VLOOKUP(B257,'Yearly Leave Tracker'!A:NU,377,0),"")</f>
        <v/>
      </c>
      <c r="H257" t="str">
        <f>IFERROR(VLOOKUP(B257,'Yearly Leave Tracker'!A:NU,378,0),"")</f>
        <v/>
      </c>
      <c r="I257" t="str">
        <f>IFERROR(VLOOKUP(B257,'Yearly Leave Tracker'!A:NU,379,0),"")</f>
        <v/>
      </c>
      <c r="J257" t="str">
        <f>IFERROR(VLOOKUP(B257,'Yearly Leave Tracker'!A:NU,380,0),"")</f>
        <v/>
      </c>
      <c r="K257" t="str">
        <f>IFERROR(VLOOKUP(B257,'Yearly Leave Tracker'!A:NU,381,0),"")</f>
        <v/>
      </c>
      <c r="L257" t="str">
        <f>IFERROR(VLOOKUP(B257,'Yearly Leave Tracker'!A:NU,382,0),"")</f>
        <v/>
      </c>
      <c r="M257" t="str">
        <f>IFERROR(VLOOKUP(B257,'Yearly Leave Tracker'!A:NU,383,0),"")</f>
        <v/>
      </c>
      <c r="N257" t="str">
        <f>IFERROR(VLOOKUP(B257,'Yearly Leave Tracker'!A:NU,384,0),"")</f>
        <v/>
      </c>
      <c r="O257" t="str">
        <f>IFERROR(VLOOKUP(B257,'Yearly Leave Tracker'!A:NU,385,0),"")</f>
        <v/>
      </c>
    </row>
    <row r="258" spans="2:15" x14ac:dyDescent="0.25">
      <c r="B258" t="str">
        <f>IFERROR(IF('Yearly Leave Tracker'!A262="","",'Yearly Leave Tracker'!A262),"")</f>
        <v/>
      </c>
      <c r="C258" t="str">
        <f>IFERROR(VLOOKUP(B258,Database!E:F,2,0),"")</f>
        <v/>
      </c>
      <c r="D258" t="str">
        <f>IFERROR(VLOOKUP(B258,'Yearly Leave Tracker'!A:NU,374,0),"")</f>
        <v/>
      </c>
      <c r="E258" t="str">
        <f>IFERROR(VLOOKUP(B258,'Yearly Leave Tracker'!A:NU,375,0),"")</f>
        <v/>
      </c>
      <c r="F258" t="str">
        <f>IFERROR(VLOOKUP(B258,'Yearly Leave Tracker'!A:NU,376,0),"")</f>
        <v/>
      </c>
      <c r="G258" t="str">
        <f>IFERROR(VLOOKUP(B258,'Yearly Leave Tracker'!A:NU,377,0),"")</f>
        <v/>
      </c>
      <c r="H258" t="str">
        <f>IFERROR(VLOOKUP(B258,'Yearly Leave Tracker'!A:NU,378,0),"")</f>
        <v/>
      </c>
      <c r="I258" t="str">
        <f>IFERROR(VLOOKUP(B258,'Yearly Leave Tracker'!A:NU,379,0),"")</f>
        <v/>
      </c>
      <c r="J258" t="str">
        <f>IFERROR(VLOOKUP(B258,'Yearly Leave Tracker'!A:NU,380,0),"")</f>
        <v/>
      </c>
      <c r="K258" t="str">
        <f>IFERROR(VLOOKUP(B258,'Yearly Leave Tracker'!A:NU,381,0),"")</f>
        <v/>
      </c>
      <c r="L258" t="str">
        <f>IFERROR(VLOOKUP(B258,'Yearly Leave Tracker'!A:NU,382,0),"")</f>
        <v/>
      </c>
      <c r="M258" t="str">
        <f>IFERROR(VLOOKUP(B258,'Yearly Leave Tracker'!A:NU,383,0),"")</f>
        <v/>
      </c>
      <c r="N258" t="str">
        <f>IFERROR(VLOOKUP(B258,'Yearly Leave Tracker'!A:NU,384,0),"")</f>
        <v/>
      </c>
      <c r="O258" t="str">
        <f>IFERROR(VLOOKUP(B258,'Yearly Leave Tracker'!A:NU,385,0),"")</f>
        <v/>
      </c>
    </row>
    <row r="259" spans="2:15" x14ac:dyDescent="0.25">
      <c r="B259" t="str">
        <f>IFERROR(IF('Yearly Leave Tracker'!A263="","",'Yearly Leave Tracker'!A263),"")</f>
        <v/>
      </c>
      <c r="C259" t="str">
        <f>IFERROR(VLOOKUP(B259,Database!E:F,2,0),"")</f>
        <v/>
      </c>
      <c r="D259" t="str">
        <f>IFERROR(VLOOKUP(B259,'Yearly Leave Tracker'!A:NU,374,0),"")</f>
        <v/>
      </c>
      <c r="E259" t="str">
        <f>IFERROR(VLOOKUP(B259,'Yearly Leave Tracker'!A:NU,375,0),"")</f>
        <v/>
      </c>
      <c r="F259" t="str">
        <f>IFERROR(VLOOKUP(B259,'Yearly Leave Tracker'!A:NU,376,0),"")</f>
        <v/>
      </c>
      <c r="G259" t="str">
        <f>IFERROR(VLOOKUP(B259,'Yearly Leave Tracker'!A:NU,377,0),"")</f>
        <v/>
      </c>
      <c r="H259" t="str">
        <f>IFERROR(VLOOKUP(B259,'Yearly Leave Tracker'!A:NU,378,0),"")</f>
        <v/>
      </c>
      <c r="I259" t="str">
        <f>IFERROR(VLOOKUP(B259,'Yearly Leave Tracker'!A:NU,379,0),"")</f>
        <v/>
      </c>
      <c r="J259" t="str">
        <f>IFERROR(VLOOKUP(B259,'Yearly Leave Tracker'!A:NU,380,0),"")</f>
        <v/>
      </c>
      <c r="K259" t="str">
        <f>IFERROR(VLOOKUP(B259,'Yearly Leave Tracker'!A:NU,381,0),"")</f>
        <v/>
      </c>
      <c r="L259" t="str">
        <f>IFERROR(VLOOKUP(B259,'Yearly Leave Tracker'!A:NU,382,0),"")</f>
        <v/>
      </c>
      <c r="M259" t="str">
        <f>IFERROR(VLOOKUP(B259,'Yearly Leave Tracker'!A:NU,383,0),"")</f>
        <v/>
      </c>
      <c r="N259" t="str">
        <f>IFERROR(VLOOKUP(B259,'Yearly Leave Tracker'!A:NU,384,0),"")</f>
        <v/>
      </c>
      <c r="O259" t="str">
        <f>IFERROR(VLOOKUP(B259,'Yearly Leave Tracker'!A:NU,385,0),"")</f>
        <v/>
      </c>
    </row>
    <row r="260" spans="2:15" x14ac:dyDescent="0.25">
      <c r="B260" t="str">
        <f>IFERROR(IF('Yearly Leave Tracker'!A264="","",'Yearly Leave Tracker'!A264),"")</f>
        <v/>
      </c>
      <c r="C260" t="str">
        <f>IFERROR(VLOOKUP(B260,Database!E:F,2,0),"")</f>
        <v/>
      </c>
      <c r="D260" t="str">
        <f>IFERROR(VLOOKUP(B260,'Yearly Leave Tracker'!A:NU,374,0),"")</f>
        <v/>
      </c>
      <c r="E260" t="str">
        <f>IFERROR(VLOOKUP(B260,'Yearly Leave Tracker'!A:NU,375,0),"")</f>
        <v/>
      </c>
      <c r="F260" t="str">
        <f>IFERROR(VLOOKUP(B260,'Yearly Leave Tracker'!A:NU,376,0),"")</f>
        <v/>
      </c>
      <c r="G260" t="str">
        <f>IFERROR(VLOOKUP(B260,'Yearly Leave Tracker'!A:NU,377,0),"")</f>
        <v/>
      </c>
      <c r="H260" t="str">
        <f>IFERROR(VLOOKUP(B260,'Yearly Leave Tracker'!A:NU,378,0),"")</f>
        <v/>
      </c>
      <c r="I260" t="str">
        <f>IFERROR(VLOOKUP(B260,'Yearly Leave Tracker'!A:NU,379,0),"")</f>
        <v/>
      </c>
      <c r="J260" t="str">
        <f>IFERROR(VLOOKUP(B260,'Yearly Leave Tracker'!A:NU,380,0),"")</f>
        <v/>
      </c>
      <c r="K260" t="str">
        <f>IFERROR(VLOOKUP(B260,'Yearly Leave Tracker'!A:NU,381,0),"")</f>
        <v/>
      </c>
      <c r="L260" t="str">
        <f>IFERROR(VLOOKUP(B260,'Yearly Leave Tracker'!A:NU,382,0),"")</f>
        <v/>
      </c>
      <c r="M260" t="str">
        <f>IFERROR(VLOOKUP(B260,'Yearly Leave Tracker'!A:NU,383,0),"")</f>
        <v/>
      </c>
      <c r="N260" t="str">
        <f>IFERROR(VLOOKUP(B260,'Yearly Leave Tracker'!A:NU,384,0),"")</f>
        <v/>
      </c>
      <c r="O260" t="str">
        <f>IFERROR(VLOOKUP(B260,'Yearly Leave Tracker'!A:NU,385,0),"")</f>
        <v/>
      </c>
    </row>
    <row r="261" spans="2:15" x14ac:dyDescent="0.25">
      <c r="B261" t="str">
        <f>IFERROR(IF('Yearly Leave Tracker'!A265="","",'Yearly Leave Tracker'!A265),"")</f>
        <v/>
      </c>
      <c r="C261" t="str">
        <f>IFERROR(VLOOKUP(B261,Database!E:F,2,0),"")</f>
        <v/>
      </c>
      <c r="D261" t="str">
        <f>IFERROR(VLOOKUP(B261,'Yearly Leave Tracker'!A:NU,374,0),"")</f>
        <v/>
      </c>
      <c r="E261" t="str">
        <f>IFERROR(VLOOKUP(B261,'Yearly Leave Tracker'!A:NU,375,0),"")</f>
        <v/>
      </c>
      <c r="F261" t="str">
        <f>IFERROR(VLOOKUP(B261,'Yearly Leave Tracker'!A:NU,376,0),"")</f>
        <v/>
      </c>
      <c r="G261" t="str">
        <f>IFERROR(VLOOKUP(B261,'Yearly Leave Tracker'!A:NU,377,0),"")</f>
        <v/>
      </c>
      <c r="H261" t="str">
        <f>IFERROR(VLOOKUP(B261,'Yearly Leave Tracker'!A:NU,378,0),"")</f>
        <v/>
      </c>
      <c r="I261" t="str">
        <f>IFERROR(VLOOKUP(B261,'Yearly Leave Tracker'!A:NU,379,0),"")</f>
        <v/>
      </c>
      <c r="J261" t="str">
        <f>IFERROR(VLOOKUP(B261,'Yearly Leave Tracker'!A:NU,380,0),"")</f>
        <v/>
      </c>
      <c r="K261" t="str">
        <f>IFERROR(VLOOKUP(B261,'Yearly Leave Tracker'!A:NU,381,0),"")</f>
        <v/>
      </c>
      <c r="L261" t="str">
        <f>IFERROR(VLOOKUP(B261,'Yearly Leave Tracker'!A:NU,382,0),"")</f>
        <v/>
      </c>
      <c r="M261" t="str">
        <f>IFERROR(VLOOKUP(B261,'Yearly Leave Tracker'!A:NU,383,0),"")</f>
        <v/>
      </c>
      <c r="N261" t="str">
        <f>IFERROR(VLOOKUP(B261,'Yearly Leave Tracker'!A:NU,384,0),"")</f>
        <v/>
      </c>
      <c r="O261" t="str">
        <f>IFERROR(VLOOKUP(B261,'Yearly Leave Tracker'!A:NU,385,0),"")</f>
        <v/>
      </c>
    </row>
    <row r="262" spans="2:15" x14ac:dyDescent="0.25">
      <c r="B262" t="str">
        <f>IFERROR(IF('Yearly Leave Tracker'!A266="","",'Yearly Leave Tracker'!A266),"")</f>
        <v/>
      </c>
      <c r="C262" t="str">
        <f>IFERROR(VLOOKUP(B262,Database!E:F,2,0),"")</f>
        <v/>
      </c>
      <c r="D262" t="str">
        <f>IFERROR(VLOOKUP(B262,'Yearly Leave Tracker'!A:NU,374,0),"")</f>
        <v/>
      </c>
      <c r="E262" t="str">
        <f>IFERROR(VLOOKUP(B262,'Yearly Leave Tracker'!A:NU,375,0),"")</f>
        <v/>
      </c>
      <c r="F262" t="str">
        <f>IFERROR(VLOOKUP(B262,'Yearly Leave Tracker'!A:NU,376,0),"")</f>
        <v/>
      </c>
      <c r="G262" t="str">
        <f>IFERROR(VLOOKUP(B262,'Yearly Leave Tracker'!A:NU,377,0),"")</f>
        <v/>
      </c>
      <c r="H262" t="str">
        <f>IFERROR(VLOOKUP(B262,'Yearly Leave Tracker'!A:NU,378,0),"")</f>
        <v/>
      </c>
      <c r="I262" t="str">
        <f>IFERROR(VLOOKUP(B262,'Yearly Leave Tracker'!A:NU,379,0),"")</f>
        <v/>
      </c>
      <c r="J262" t="str">
        <f>IFERROR(VLOOKUP(B262,'Yearly Leave Tracker'!A:NU,380,0),"")</f>
        <v/>
      </c>
      <c r="K262" t="str">
        <f>IFERROR(VLOOKUP(B262,'Yearly Leave Tracker'!A:NU,381,0),"")</f>
        <v/>
      </c>
      <c r="L262" t="str">
        <f>IFERROR(VLOOKUP(B262,'Yearly Leave Tracker'!A:NU,382,0),"")</f>
        <v/>
      </c>
      <c r="M262" t="str">
        <f>IFERROR(VLOOKUP(B262,'Yearly Leave Tracker'!A:NU,383,0),"")</f>
        <v/>
      </c>
      <c r="N262" t="str">
        <f>IFERROR(VLOOKUP(B262,'Yearly Leave Tracker'!A:NU,384,0),"")</f>
        <v/>
      </c>
      <c r="O262" t="str">
        <f>IFERROR(VLOOKUP(B262,'Yearly Leave Tracker'!A:NU,385,0),"")</f>
        <v/>
      </c>
    </row>
    <row r="263" spans="2:15" x14ac:dyDescent="0.25">
      <c r="B263" t="str">
        <f>IFERROR(IF('Yearly Leave Tracker'!A267="","",'Yearly Leave Tracker'!A267),"")</f>
        <v/>
      </c>
      <c r="C263" t="str">
        <f>IFERROR(VLOOKUP(B263,Database!E:F,2,0),"")</f>
        <v/>
      </c>
      <c r="D263" t="str">
        <f>IFERROR(VLOOKUP(B263,'Yearly Leave Tracker'!A:NU,374,0),"")</f>
        <v/>
      </c>
      <c r="E263" t="str">
        <f>IFERROR(VLOOKUP(B263,'Yearly Leave Tracker'!A:NU,375,0),"")</f>
        <v/>
      </c>
      <c r="F263" t="str">
        <f>IFERROR(VLOOKUP(B263,'Yearly Leave Tracker'!A:NU,376,0),"")</f>
        <v/>
      </c>
      <c r="G263" t="str">
        <f>IFERROR(VLOOKUP(B263,'Yearly Leave Tracker'!A:NU,377,0),"")</f>
        <v/>
      </c>
      <c r="H263" t="str">
        <f>IFERROR(VLOOKUP(B263,'Yearly Leave Tracker'!A:NU,378,0),"")</f>
        <v/>
      </c>
      <c r="I263" t="str">
        <f>IFERROR(VLOOKUP(B263,'Yearly Leave Tracker'!A:NU,379,0),"")</f>
        <v/>
      </c>
      <c r="J263" t="str">
        <f>IFERROR(VLOOKUP(B263,'Yearly Leave Tracker'!A:NU,380,0),"")</f>
        <v/>
      </c>
      <c r="K263" t="str">
        <f>IFERROR(VLOOKUP(B263,'Yearly Leave Tracker'!A:NU,381,0),"")</f>
        <v/>
      </c>
      <c r="L263" t="str">
        <f>IFERROR(VLOOKUP(B263,'Yearly Leave Tracker'!A:NU,382,0),"")</f>
        <v/>
      </c>
      <c r="M263" t="str">
        <f>IFERROR(VLOOKUP(B263,'Yearly Leave Tracker'!A:NU,383,0),"")</f>
        <v/>
      </c>
      <c r="N263" t="str">
        <f>IFERROR(VLOOKUP(B263,'Yearly Leave Tracker'!A:NU,384,0),"")</f>
        <v/>
      </c>
      <c r="O263" t="str">
        <f>IFERROR(VLOOKUP(B263,'Yearly Leave Tracker'!A:NU,385,0),"")</f>
        <v/>
      </c>
    </row>
    <row r="264" spans="2:15" x14ac:dyDescent="0.25">
      <c r="B264" t="str">
        <f>IFERROR(IF('Yearly Leave Tracker'!A268="","",'Yearly Leave Tracker'!A268),"")</f>
        <v/>
      </c>
      <c r="C264" t="str">
        <f>IFERROR(VLOOKUP(B264,Database!E:F,2,0),"")</f>
        <v/>
      </c>
      <c r="D264" t="str">
        <f>IFERROR(VLOOKUP(B264,'Yearly Leave Tracker'!A:NU,374,0),"")</f>
        <v/>
      </c>
      <c r="E264" t="str">
        <f>IFERROR(VLOOKUP(B264,'Yearly Leave Tracker'!A:NU,375,0),"")</f>
        <v/>
      </c>
      <c r="F264" t="str">
        <f>IFERROR(VLOOKUP(B264,'Yearly Leave Tracker'!A:NU,376,0),"")</f>
        <v/>
      </c>
      <c r="G264" t="str">
        <f>IFERROR(VLOOKUP(B264,'Yearly Leave Tracker'!A:NU,377,0),"")</f>
        <v/>
      </c>
      <c r="H264" t="str">
        <f>IFERROR(VLOOKUP(B264,'Yearly Leave Tracker'!A:NU,378,0),"")</f>
        <v/>
      </c>
      <c r="I264" t="str">
        <f>IFERROR(VLOOKUP(B264,'Yearly Leave Tracker'!A:NU,379,0),"")</f>
        <v/>
      </c>
      <c r="J264" t="str">
        <f>IFERROR(VLOOKUP(B264,'Yearly Leave Tracker'!A:NU,380,0),"")</f>
        <v/>
      </c>
      <c r="K264" t="str">
        <f>IFERROR(VLOOKUP(B264,'Yearly Leave Tracker'!A:NU,381,0),"")</f>
        <v/>
      </c>
      <c r="L264" t="str">
        <f>IFERROR(VLOOKUP(B264,'Yearly Leave Tracker'!A:NU,382,0),"")</f>
        <v/>
      </c>
      <c r="M264" t="str">
        <f>IFERROR(VLOOKUP(B264,'Yearly Leave Tracker'!A:NU,383,0),"")</f>
        <v/>
      </c>
      <c r="N264" t="str">
        <f>IFERROR(VLOOKUP(B264,'Yearly Leave Tracker'!A:NU,384,0),"")</f>
        <v/>
      </c>
      <c r="O264" t="str">
        <f>IFERROR(VLOOKUP(B264,'Yearly Leave Tracker'!A:NU,385,0),"")</f>
        <v/>
      </c>
    </row>
    <row r="265" spans="2:15" x14ac:dyDescent="0.25">
      <c r="B265" t="str">
        <f>IFERROR(IF('Yearly Leave Tracker'!A269="","",'Yearly Leave Tracker'!A269),"")</f>
        <v/>
      </c>
      <c r="C265" t="str">
        <f>IFERROR(VLOOKUP(B265,Database!E:F,2,0),"")</f>
        <v/>
      </c>
      <c r="D265" t="str">
        <f>IFERROR(VLOOKUP(B265,'Yearly Leave Tracker'!A:NU,374,0),"")</f>
        <v/>
      </c>
      <c r="E265" t="str">
        <f>IFERROR(VLOOKUP(B265,'Yearly Leave Tracker'!A:NU,375,0),"")</f>
        <v/>
      </c>
      <c r="F265" t="str">
        <f>IFERROR(VLOOKUP(B265,'Yearly Leave Tracker'!A:NU,376,0),"")</f>
        <v/>
      </c>
      <c r="G265" t="str">
        <f>IFERROR(VLOOKUP(B265,'Yearly Leave Tracker'!A:NU,377,0),"")</f>
        <v/>
      </c>
      <c r="H265" t="str">
        <f>IFERROR(VLOOKUP(B265,'Yearly Leave Tracker'!A:NU,378,0),"")</f>
        <v/>
      </c>
      <c r="I265" t="str">
        <f>IFERROR(VLOOKUP(B265,'Yearly Leave Tracker'!A:NU,379,0),"")</f>
        <v/>
      </c>
      <c r="J265" t="str">
        <f>IFERROR(VLOOKUP(B265,'Yearly Leave Tracker'!A:NU,380,0),"")</f>
        <v/>
      </c>
      <c r="K265" t="str">
        <f>IFERROR(VLOOKUP(B265,'Yearly Leave Tracker'!A:NU,381,0),"")</f>
        <v/>
      </c>
      <c r="L265" t="str">
        <f>IFERROR(VLOOKUP(B265,'Yearly Leave Tracker'!A:NU,382,0),"")</f>
        <v/>
      </c>
      <c r="M265" t="str">
        <f>IFERROR(VLOOKUP(B265,'Yearly Leave Tracker'!A:NU,383,0),"")</f>
        <v/>
      </c>
      <c r="N265" t="str">
        <f>IFERROR(VLOOKUP(B265,'Yearly Leave Tracker'!A:NU,384,0),"")</f>
        <v/>
      </c>
      <c r="O265" t="str">
        <f>IFERROR(VLOOKUP(B265,'Yearly Leave Tracker'!A:NU,385,0),"")</f>
        <v/>
      </c>
    </row>
    <row r="266" spans="2:15" x14ac:dyDescent="0.25">
      <c r="B266" t="str">
        <f>IFERROR(IF('Yearly Leave Tracker'!A270="","",'Yearly Leave Tracker'!A270),"")</f>
        <v/>
      </c>
      <c r="C266" t="str">
        <f>IFERROR(VLOOKUP(B266,Database!E:F,2,0),"")</f>
        <v/>
      </c>
      <c r="D266" t="str">
        <f>IFERROR(VLOOKUP(B266,'Yearly Leave Tracker'!A:NU,374,0),"")</f>
        <v/>
      </c>
      <c r="E266" t="str">
        <f>IFERROR(VLOOKUP(B266,'Yearly Leave Tracker'!A:NU,375,0),"")</f>
        <v/>
      </c>
      <c r="F266" t="str">
        <f>IFERROR(VLOOKUP(B266,'Yearly Leave Tracker'!A:NU,376,0),"")</f>
        <v/>
      </c>
      <c r="G266" t="str">
        <f>IFERROR(VLOOKUP(B266,'Yearly Leave Tracker'!A:NU,377,0),"")</f>
        <v/>
      </c>
      <c r="H266" t="str">
        <f>IFERROR(VLOOKUP(B266,'Yearly Leave Tracker'!A:NU,378,0),"")</f>
        <v/>
      </c>
      <c r="I266" t="str">
        <f>IFERROR(VLOOKUP(B266,'Yearly Leave Tracker'!A:NU,379,0),"")</f>
        <v/>
      </c>
      <c r="J266" t="str">
        <f>IFERROR(VLOOKUP(B266,'Yearly Leave Tracker'!A:NU,380,0),"")</f>
        <v/>
      </c>
      <c r="K266" t="str">
        <f>IFERROR(VLOOKUP(B266,'Yearly Leave Tracker'!A:NU,381,0),"")</f>
        <v/>
      </c>
      <c r="L266" t="str">
        <f>IFERROR(VLOOKUP(B266,'Yearly Leave Tracker'!A:NU,382,0),"")</f>
        <v/>
      </c>
      <c r="M266" t="str">
        <f>IFERROR(VLOOKUP(B266,'Yearly Leave Tracker'!A:NU,383,0),"")</f>
        <v/>
      </c>
      <c r="N266" t="str">
        <f>IFERROR(VLOOKUP(B266,'Yearly Leave Tracker'!A:NU,384,0),"")</f>
        <v/>
      </c>
      <c r="O266" t="str">
        <f>IFERROR(VLOOKUP(B266,'Yearly Leave Tracker'!A:NU,385,0),"")</f>
        <v/>
      </c>
    </row>
    <row r="267" spans="2:15" x14ac:dyDescent="0.25">
      <c r="B267" t="str">
        <f>IFERROR(IF('Yearly Leave Tracker'!A271="","",'Yearly Leave Tracker'!A271),"")</f>
        <v/>
      </c>
      <c r="C267" t="str">
        <f>IFERROR(VLOOKUP(B267,Database!E:F,2,0),"")</f>
        <v/>
      </c>
      <c r="D267" t="str">
        <f>IFERROR(VLOOKUP(B267,'Yearly Leave Tracker'!A:NU,374,0),"")</f>
        <v/>
      </c>
      <c r="E267" t="str">
        <f>IFERROR(VLOOKUP(B267,'Yearly Leave Tracker'!A:NU,375,0),"")</f>
        <v/>
      </c>
      <c r="F267" t="str">
        <f>IFERROR(VLOOKUP(B267,'Yearly Leave Tracker'!A:NU,376,0),"")</f>
        <v/>
      </c>
      <c r="G267" t="str">
        <f>IFERROR(VLOOKUP(B267,'Yearly Leave Tracker'!A:NU,377,0),"")</f>
        <v/>
      </c>
      <c r="H267" t="str">
        <f>IFERROR(VLOOKUP(B267,'Yearly Leave Tracker'!A:NU,378,0),"")</f>
        <v/>
      </c>
      <c r="I267" t="str">
        <f>IFERROR(VLOOKUP(B267,'Yearly Leave Tracker'!A:NU,379,0),"")</f>
        <v/>
      </c>
      <c r="J267" t="str">
        <f>IFERROR(VLOOKUP(B267,'Yearly Leave Tracker'!A:NU,380,0),"")</f>
        <v/>
      </c>
      <c r="K267" t="str">
        <f>IFERROR(VLOOKUP(B267,'Yearly Leave Tracker'!A:NU,381,0),"")</f>
        <v/>
      </c>
      <c r="L267" t="str">
        <f>IFERROR(VLOOKUP(B267,'Yearly Leave Tracker'!A:NU,382,0),"")</f>
        <v/>
      </c>
      <c r="M267" t="str">
        <f>IFERROR(VLOOKUP(B267,'Yearly Leave Tracker'!A:NU,383,0),"")</f>
        <v/>
      </c>
      <c r="N267" t="str">
        <f>IFERROR(VLOOKUP(B267,'Yearly Leave Tracker'!A:NU,384,0),"")</f>
        <v/>
      </c>
      <c r="O267" t="str">
        <f>IFERROR(VLOOKUP(B267,'Yearly Leave Tracker'!A:NU,385,0),"")</f>
        <v/>
      </c>
    </row>
    <row r="268" spans="2:15" x14ac:dyDescent="0.25">
      <c r="B268" t="str">
        <f>IFERROR(IF('Yearly Leave Tracker'!A272="","",'Yearly Leave Tracker'!A272),"")</f>
        <v/>
      </c>
      <c r="C268" t="str">
        <f>IFERROR(VLOOKUP(B268,Database!E:F,2,0),"")</f>
        <v/>
      </c>
      <c r="D268" t="str">
        <f>IFERROR(VLOOKUP(B268,'Yearly Leave Tracker'!A:NU,374,0),"")</f>
        <v/>
      </c>
      <c r="E268" t="str">
        <f>IFERROR(VLOOKUP(B268,'Yearly Leave Tracker'!A:NU,375,0),"")</f>
        <v/>
      </c>
      <c r="F268" t="str">
        <f>IFERROR(VLOOKUP(B268,'Yearly Leave Tracker'!A:NU,376,0),"")</f>
        <v/>
      </c>
      <c r="G268" t="str">
        <f>IFERROR(VLOOKUP(B268,'Yearly Leave Tracker'!A:NU,377,0),"")</f>
        <v/>
      </c>
      <c r="H268" t="str">
        <f>IFERROR(VLOOKUP(B268,'Yearly Leave Tracker'!A:NU,378,0),"")</f>
        <v/>
      </c>
      <c r="I268" t="str">
        <f>IFERROR(VLOOKUP(B268,'Yearly Leave Tracker'!A:NU,379,0),"")</f>
        <v/>
      </c>
      <c r="J268" t="str">
        <f>IFERROR(VLOOKUP(B268,'Yearly Leave Tracker'!A:NU,380,0),"")</f>
        <v/>
      </c>
      <c r="K268" t="str">
        <f>IFERROR(VLOOKUP(B268,'Yearly Leave Tracker'!A:NU,381,0),"")</f>
        <v/>
      </c>
      <c r="L268" t="str">
        <f>IFERROR(VLOOKUP(B268,'Yearly Leave Tracker'!A:NU,382,0),"")</f>
        <v/>
      </c>
      <c r="M268" t="str">
        <f>IFERROR(VLOOKUP(B268,'Yearly Leave Tracker'!A:NU,383,0),"")</f>
        <v/>
      </c>
      <c r="N268" t="str">
        <f>IFERROR(VLOOKUP(B268,'Yearly Leave Tracker'!A:NU,384,0),"")</f>
        <v/>
      </c>
      <c r="O268" t="str">
        <f>IFERROR(VLOOKUP(B268,'Yearly Leave Tracker'!A:NU,385,0),"")</f>
        <v/>
      </c>
    </row>
    <row r="269" spans="2:15" x14ac:dyDescent="0.25">
      <c r="B269" t="str">
        <f>IFERROR(IF('Yearly Leave Tracker'!A273="","",'Yearly Leave Tracker'!A273),"")</f>
        <v/>
      </c>
      <c r="C269" t="str">
        <f>IFERROR(VLOOKUP(B269,Database!E:F,2,0),"")</f>
        <v/>
      </c>
      <c r="D269" t="str">
        <f>IFERROR(VLOOKUP(B269,'Yearly Leave Tracker'!A:NU,374,0),"")</f>
        <v/>
      </c>
      <c r="E269" t="str">
        <f>IFERROR(VLOOKUP(B269,'Yearly Leave Tracker'!A:NU,375,0),"")</f>
        <v/>
      </c>
      <c r="F269" t="str">
        <f>IFERROR(VLOOKUP(B269,'Yearly Leave Tracker'!A:NU,376,0),"")</f>
        <v/>
      </c>
      <c r="G269" t="str">
        <f>IFERROR(VLOOKUP(B269,'Yearly Leave Tracker'!A:NU,377,0),"")</f>
        <v/>
      </c>
      <c r="H269" t="str">
        <f>IFERROR(VLOOKUP(B269,'Yearly Leave Tracker'!A:NU,378,0),"")</f>
        <v/>
      </c>
      <c r="I269" t="str">
        <f>IFERROR(VLOOKUP(B269,'Yearly Leave Tracker'!A:NU,379,0),"")</f>
        <v/>
      </c>
      <c r="J269" t="str">
        <f>IFERROR(VLOOKUP(B269,'Yearly Leave Tracker'!A:NU,380,0),"")</f>
        <v/>
      </c>
      <c r="K269" t="str">
        <f>IFERROR(VLOOKUP(B269,'Yearly Leave Tracker'!A:NU,381,0),"")</f>
        <v/>
      </c>
      <c r="L269" t="str">
        <f>IFERROR(VLOOKUP(B269,'Yearly Leave Tracker'!A:NU,382,0),"")</f>
        <v/>
      </c>
      <c r="M269" t="str">
        <f>IFERROR(VLOOKUP(B269,'Yearly Leave Tracker'!A:NU,383,0),"")</f>
        <v/>
      </c>
      <c r="N269" t="str">
        <f>IFERROR(VLOOKUP(B269,'Yearly Leave Tracker'!A:NU,384,0),"")</f>
        <v/>
      </c>
      <c r="O269" t="str">
        <f>IFERROR(VLOOKUP(B269,'Yearly Leave Tracker'!A:NU,385,0),"")</f>
        <v/>
      </c>
    </row>
    <row r="270" spans="2:15" x14ac:dyDescent="0.25">
      <c r="B270" t="str">
        <f>IFERROR(IF('Yearly Leave Tracker'!A274="","",'Yearly Leave Tracker'!A274),"")</f>
        <v/>
      </c>
      <c r="C270" t="str">
        <f>IFERROR(VLOOKUP(B270,Database!E:F,2,0),"")</f>
        <v/>
      </c>
      <c r="D270" t="str">
        <f>IFERROR(VLOOKUP(B270,'Yearly Leave Tracker'!A:NU,374,0),"")</f>
        <v/>
      </c>
      <c r="E270" t="str">
        <f>IFERROR(VLOOKUP(B270,'Yearly Leave Tracker'!A:NU,375,0),"")</f>
        <v/>
      </c>
      <c r="F270" t="str">
        <f>IFERROR(VLOOKUP(B270,'Yearly Leave Tracker'!A:NU,376,0),"")</f>
        <v/>
      </c>
      <c r="G270" t="str">
        <f>IFERROR(VLOOKUP(B270,'Yearly Leave Tracker'!A:NU,377,0),"")</f>
        <v/>
      </c>
      <c r="H270" t="str">
        <f>IFERROR(VLOOKUP(B270,'Yearly Leave Tracker'!A:NU,378,0),"")</f>
        <v/>
      </c>
      <c r="I270" t="str">
        <f>IFERROR(VLOOKUP(B270,'Yearly Leave Tracker'!A:NU,379,0),"")</f>
        <v/>
      </c>
      <c r="J270" t="str">
        <f>IFERROR(VLOOKUP(B270,'Yearly Leave Tracker'!A:NU,380,0),"")</f>
        <v/>
      </c>
      <c r="K270" t="str">
        <f>IFERROR(VLOOKUP(B270,'Yearly Leave Tracker'!A:NU,381,0),"")</f>
        <v/>
      </c>
      <c r="L270" t="str">
        <f>IFERROR(VLOOKUP(B270,'Yearly Leave Tracker'!A:NU,382,0),"")</f>
        <v/>
      </c>
      <c r="M270" t="str">
        <f>IFERROR(VLOOKUP(B270,'Yearly Leave Tracker'!A:NU,383,0),"")</f>
        <v/>
      </c>
      <c r="N270" t="str">
        <f>IFERROR(VLOOKUP(B270,'Yearly Leave Tracker'!A:NU,384,0),"")</f>
        <v/>
      </c>
      <c r="O270" t="str">
        <f>IFERROR(VLOOKUP(B270,'Yearly Leave Tracker'!A:NU,385,0),"")</f>
        <v/>
      </c>
    </row>
    <row r="271" spans="2:15" x14ac:dyDescent="0.25">
      <c r="B271" t="str">
        <f>IFERROR(IF('Yearly Leave Tracker'!A275="","",'Yearly Leave Tracker'!A275),"")</f>
        <v/>
      </c>
      <c r="C271" t="str">
        <f>IFERROR(VLOOKUP(B271,Database!E:F,2,0),"")</f>
        <v/>
      </c>
      <c r="D271" t="str">
        <f>IFERROR(VLOOKUP(B271,'Yearly Leave Tracker'!A:NU,374,0),"")</f>
        <v/>
      </c>
      <c r="E271" t="str">
        <f>IFERROR(VLOOKUP(B271,'Yearly Leave Tracker'!A:NU,375,0),"")</f>
        <v/>
      </c>
      <c r="F271" t="str">
        <f>IFERROR(VLOOKUP(B271,'Yearly Leave Tracker'!A:NU,376,0),"")</f>
        <v/>
      </c>
      <c r="G271" t="str">
        <f>IFERROR(VLOOKUP(B271,'Yearly Leave Tracker'!A:NU,377,0),"")</f>
        <v/>
      </c>
      <c r="H271" t="str">
        <f>IFERROR(VLOOKUP(B271,'Yearly Leave Tracker'!A:NU,378,0),"")</f>
        <v/>
      </c>
      <c r="I271" t="str">
        <f>IFERROR(VLOOKUP(B271,'Yearly Leave Tracker'!A:NU,379,0),"")</f>
        <v/>
      </c>
      <c r="J271" t="str">
        <f>IFERROR(VLOOKUP(B271,'Yearly Leave Tracker'!A:NU,380,0),"")</f>
        <v/>
      </c>
      <c r="K271" t="str">
        <f>IFERROR(VLOOKUP(B271,'Yearly Leave Tracker'!A:NU,381,0),"")</f>
        <v/>
      </c>
      <c r="L271" t="str">
        <f>IFERROR(VLOOKUP(B271,'Yearly Leave Tracker'!A:NU,382,0),"")</f>
        <v/>
      </c>
      <c r="M271" t="str">
        <f>IFERROR(VLOOKUP(B271,'Yearly Leave Tracker'!A:NU,383,0),"")</f>
        <v/>
      </c>
      <c r="N271" t="str">
        <f>IFERROR(VLOOKUP(B271,'Yearly Leave Tracker'!A:NU,384,0),"")</f>
        <v/>
      </c>
      <c r="O271" t="str">
        <f>IFERROR(VLOOKUP(B271,'Yearly Leave Tracker'!A:NU,385,0),"")</f>
        <v/>
      </c>
    </row>
    <row r="272" spans="2:15" x14ac:dyDescent="0.25">
      <c r="B272" t="str">
        <f>IFERROR(IF('Yearly Leave Tracker'!A276="","",'Yearly Leave Tracker'!A276),"")</f>
        <v/>
      </c>
      <c r="C272" t="str">
        <f>IFERROR(VLOOKUP(B272,Database!E:F,2,0),"")</f>
        <v/>
      </c>
      <c r="D272" t="str">
        <f>IFERROR(VLOOKUP(B272,'Yearly Leave Tracker'!A:NU,374,0),"")</f>
        <v/>
      </c>
      <c r="E272" t="str">
        <f>IFERROR(VLOOKUP(B272,'Yearly Leave Tracker'!A:NU,375,0),"")</f>
        <v/>
      </c>
      <c r="F272" t="str">
        <f>IFERROR(VLOOKUP(B272,'Yearly Leave Tracker'!A:NU,376,0),"")</f>
        <v/>
      </c>
      <c r="G272" t="str">
        <f>IFERROR(VLOOKUP(B272,'Yearly Leave Tracker'!A:NU,377,0),"")</f>
        <v/>
      </c>
      <c r="H272" t="str">
        <f>IFERROR(VLOOKUP(B272,'Yearly Leave Tracker'!A:NU,378,0),"")</f>
        <v/>
      </c>
      <c r="I272" t="str">
        <f>IFERROR(VLOOKUP(B272,'Yearly Leave Tracker'!A:NU,379,0),"")</f>
        <v/>
      </c>
      <c r="J272" t="str">
        <f>IFERROR(VLOOKUP(B272,'Yearly Leave Tracker'!A:NU,380,0),"")</f>
        <v/>
      </c>
      <c r="K272" t="str">
        <f>IFERROR(VLOOKUP(B272,'Yearly Leave Tracker'!A:NU,381,0),"")</f>
        <v/>
      </c>
      <c r="L272" t="str">
        <f>IFERROR(VLOOKUP(B272,'Yearly Leave Tracker'!A:NU,382,0),"")</f>
        <v/>
      </c>
      <c r="M272" t="str">
        <f>IFERROR(VLOOKUP(B272,'Yearly Leave Tracker'!A:NU,383,0),"")</f>
        <v/>
      </c>
      <c r="N272" t="str">
        <f>IFERROR(VLOOKUP(B272,'Yearly Leave Tracker'!A:NU,384,0),"")</f>
        <v/>
      </c>
      <c r="O272" t="str">
        <f>IFERROR(VLOOKUP(B272,'Yearly Leave Tracker'!A:NU,385,0),"")</f>
        <v/>
      </c>
    </row>
    <row r="273" spans="2:15" x14ac:dyDescent="0.25">
      <c r="B273" t="str">
        <f>IFERROR(IF('Yearly Leave Tracker'!A277="","",'Yearly Leave Tracker'!A277),"")</f>
        <v/>
      </c>
      <c r="C273" t="str">
        <f>IFERROR(VLOOKUP(B273,Database!E:F,2,0),"")</f>
        <v/>
      </c>
      <c r="D273" t="str">
        <f>IFERROR(VLOOKUP(B273,'Yearly Leave Tracker'!A:NU,374,0),"")</f>
        <v/>
      </c>
      <c r="E273" t="str">
        <f>IFERROR(VLOOKUP(B273,'Yearly Leave Tracker'!A:NU,375,0),"")</f>
        <v/>
      </c>
      <c r="F273" t="str">
        <f>IFERROR(VLOOKUP(B273,'Yearly Leave Tracker'!A:NU,376,0),"")</f>
        <v/>
      </c>
      <c r="G273" t="str">
        <f>IFERROR(VLOOKUP(B273,'Yearly Leave Tracker'!A:NU,377,0),"")</f>
        <v/>
      </c>
      <c r="H273" t="str">
        <f>IFERROR(VLOOKUP(B273,'Yearly Leave Tracker'!A:NU,378,0),"")</f>
        <v/>
      </c>
      <c r="I273" t="str">
        <f>IFERROR(VLOOKUP(B273,'Yearly Leave Tracker'!A:NU,379,0),"")</f>
        <v/>
      </c>
      <c r="J273" t="str">
        <f>IFERROR(VLOOKUP(B273,'Yearly Leave Tracker'!A:NU,380,0),"")</f>
        <v/>
      </c>
      <c r="K273" t="str">
        <f>IFERROR(VLOOKUP(B273,'Yearly Leave Tracker'!A:NU,381,0),"")</f>
        <v/>
      </c>
      <c r="L273" t="str">
        <f>IFERROR(VLOOKUP(B273,'Yearly Leave Tracker'!A:NU,382,0),"")</f>
        <v/>
      </c>
      <c r="M273" t="str">
        <f>IFERROR(VLOOKUP(B273,'Yearly Leave Tracker'!A:NU,383,0),"")</f>
        <v/>
      </c>
      <c r="N273" t="str">
        <f>IFERROR(VLOOKUP(B273,'Yearly Leave Tracker'!A:NU,384,0),"")</f>
        <v/>
      </c>
      <c r="O273" t="str">
        <f>IFERROR(VLOOKUP(B273,'Yearly Leave Tracker'!A:NU,385,0),"")</f>
        <v/>
      </c>
    </row>
    <row r="274" spans="2:15" x14ac:dyDescent="0.25">
      <c r="B274" t="str">
        <f>IFERROR(IF('Yearly Leave Tracker'!A278="","",'Yearly Leave Tracker'!A278),"")</f>
        <v/>
      </c>
      <c r="C274" t="str">
        <f>IFERROR(VLOOKUP(B274,Database!E:F,2,0),"")</f>
        <v/>
      </c>
      <c r="D274" t="str">
        <f>IFERROR(VLOOKUP(B274,'Yearly Leave Tracker'!A:NU,374,0),"")</f>
        <v/>
      </c>
      <c r="E274" t="str">
        <f>IFERROR(VLOOKUP(B274,'Yearly Leave Tracker'!A:NU,375,0),"")</f>
        <v/>
      </c>
      <c r="F274" t="str">
        <f>IFERROR(VLOOKUP(B274,'Yearly Leave Tracker'!A:NU,376,0),"")</f>
        <v/>
      </c>
      <c r="G274" t="str">
        <f>IFERROR(VLOOKUP(B274,'Yearly Leave Tracker'!A:NU,377,0),"")</f>
        <v/>
      </c>
      <c r="H274" t="str">
        <f>IFERROR(VLOOKUP(B274,'Yearly Leave Tracker'!A:NU,378,0),"")</f>
        <v/>
      </c>
      <c r="I274" t="str">
        <f>IFERROR(VLOOKUP(B274,'Yearly Leave Tracker'!A:NU,379,0),"")</f>
        <v/>
      </c>
      <c r="J274" t="str">
        <f>IFERROR(VLOOKUP(B274,'Yearly Leave Tracker'!A:NU,380,0),"")</f>
        <v/>
      </c>
      <c r="K274" t="str">
        <f>IFERROR(VLOOKUP(B274,'Yearly Leave Tracker'!A:NU,381,0),"")</f>
        <v/>
      </c>
      <c r="L274" t="str">
        <f>IFERROR(VLOOKUP(B274,'Yearly Leave Tracker'!A:NU,382,0),"")</f>
        <v/>
      </c>
      <c r="M274" t="str">
        <f>IFERROR(VLOOKUP(B274,'Yearly Leave Tracker'!A:NU,383,0),"")</f>
        <v/>
      </c>
      <c r="N274" t="str">
        <f>IFERROR(VLOOKUP(B274,'Yearly Leave Tracker'!A:NU,384,0),"")</f>
        <v/>
      </c>
      <c r="O274" t="str">
        <f>IFERROR(VLOOKUP(B274,'Yearly Leave Tracker'!A:NU,385,0),"")</f>
        <v/>
      </c>
    </row>
    <row r="275" spans="2:15" x14ac:dyDescent="0.25">
      <c r="B275" t="str">
        <f>IFERROR(IF('Yearly Leave Tracker'!A279="","",'Yearly Leave Tracker'!A279),"")</f>
        <v/>
      </c>
      <c r="C275" t="str">
        <f>IFERROR(VLOOKUP(B275,Database!E:F,2,0),"")</f>
        <v/>
      </c>
      <c r="D275" t="str">
        <f>IFERROR(VLOOKUP(B275,'Yearly Leave Tracker'!A:NU,374,0),"")</f>
        <v/>
      </c>
      <c r="E275" t="str">
        <f>IFERROR(VLOOKUP(B275,'Yearly Leave Tracker'!A:NU,375,0),"")</f>
        <v/>
      </c>
      <c r="F275" t="str">
        <f>IFERROR(VLOOKUP(B275,'Yearly Leave Tracker'!A:NU,376,0),"")</f>
        <v/>
      </c>
      <c r="G275" t="str">
        <f>IFERROR(VLOOKUP(B275,'Yearly Leave Tracker'!A:NU,377,0),"")</f>
        <v/>
      </c>
      <c r="H275" t="str">
        <f>IFERROR(VLOOKUP(B275,'Yearly Leave Tracker'!A:NU,378,0),"")</f>
        <v/>
      </c>
      <c r="I275" t="str">
        <f>IFERROR(VLOOKUP(B275,'Yearly Leave Tracker'!A:NU,379,0),"")</f>
        <v/>
      </c>
      <c r="J275" t="str">
        <f>IFERROR(VLOOKUP(B275,'Yearly Leave Tracker'!A:NU,380,0),"")</f>
        <v/>
      </c>
      <c r="K275" t="str">
        <f>IFERROR(VLOOKUP(B275,'Yearly Leave Tracker'!A:NU,381,0),"")</f>
        <v/>
      </c>
      <c r="L275" t="str">
        <f>IFERROR(VLOOKUP(B275,'Yearly Leave Tracker'!A:NU,382,0),"")</f>
        <v/>
      </c>
      <c r="M275" t="str">
        <f>IFERROR(VLOOKUP(B275,'Yearly Leave Tracker'!A:NU,383,0),"")</f>
        <v/>
      </c>
      <c r="N275" t="str">
        <f>IFERROR(VLOOKUP(B275,'Yearly Leave Tracker'!A:NU,384,0),"")</f>
        <v/>
      </c>
      <c r="O275" t="str">
        <f>IFERROR(VLOOKUP(B275,'Yearly Leave Tracker'!A:NU,385,0),"")</f>
        <v/>
      </c>
    </row>
    <row r="276" spans="2:15" x14ac:dyDescent="0.25">
      <c r="B276" t="str">
        <f>IFERROR(IF('Yearly Leave Tracker'!A280="","",'Yearly Leave Tracker'!A280),"")</f>
        <v/>
      </c>
      <c r="C276" t="str">
        <f>IFERROR(VLOOKUP(B276,Database!E:F,2,0),"")</f>
        <v/>
      </c>
      <c r="D276" t="str">
        <f>IFERROR(VLOOKUP(B276,'Yearly Leave Tracker'!A:NU,374,0),"")</f>
        <v/>
      </c>
      <c r="E276" t="str">
        <f>IFERROR(VLOOKUP(B276,'Yearly Leave Tracker'!A:NU,375,0),"")</f>
        <v/>
      </c>
      <c r="F276" t="str">
        <f>IFERROR(VLOOKUP(B276,'Yearly Leave Tracker'!A:NU,376,0),"")</f>
        <v/>
      </c>
      <c r="G276" t="str">
        <f>IFERROR(VLOOKUP(B276,'Yearly Leave Tracker'!A:NU,377,0),"")</f>
        <v/>
      </c>
      <c r="H276" t="str">
        <f>IFERROR(VLOOKUP(B276,'Yearly Leave Tracker'!A:NU,378,0),"")</f>
        <v/>
      </c>
      <c r="I276" t="str">
        <f>IFERROR(VLOOKUP(B276,'Yearly Leave Tracker'!A:NU,379,0),"")</f>
        <v/>
      </c>
      <c r="J276" t="str">
        <f>IFERROR(VLOOKUP(B276,'Yearly Leave Tracker'!A:NU,380,0),"")</f>
        <v/>
      </c>
      <c r="K276" t="str">
        <f>IFERROR(VLOOKUP(B276,'Yearly Leave Tracker'!A:NU,381,0),"")</f>
        <v/>
      </c>
      <c r="L276" t="str">
        <f>IFERROR(VLOOKUP(B276,'Yearly Leave Tracker'!A:NU,382,0),"")</f>
        <v/>
      </c>
      <c r="M276" t="str">
        <f>IFERROR(VLOOKUP(B276,'Yearly Leave Tracker'!A:NU,383,0),"")</f>
        <v/>
      </c>
      <c r="N276" t="str">
        <f>IFERROR(VLOOKUP(B276,'Yearly Leave Tracker'!A:NU,384,0),"")</f>
        <v/>
      </c>
      <c r="O276" t="str">
        <f>IFERROR(VLOOKUP(B276,'Yearly Leave Tracker'!A:NU,385,0),"")</f>
        <v/>
      </c>
    </row>
    <row r="277" spans="2:15" x14ac:dyDescent="0.25">
      <c r="B277" t="str">
        <f>IFERROR(IF('Yearly Leave Tracker'!A281="","",'Yearly Leave Tracker'!A281),"")</f>
        <v/>
      </c>
      <c r="C277" t="str">
        <f>IFERROR(VLOOKUP(B277,Database!E:F,2,0),"")</f>
        <v/>
      </c>
      <c r="D277" t="str">
        <f>IFERROR(VLOOKUP(B277,'Yearly Leave Tracker'!A:NU,374,0),"")</f>
        <v/>
      </c>
      <c r="E277" t="str">
        <f>IFERROR(VLOOKUP(B277,'Yearly Leave Tracker'!A:NU,375,0),"")</f>
        <v/>
      </c>
      <c r="F277" t="str">
        <f>IFERROR(VLOOKUP(B277,'Yearly Leave Tracker'!A:NU,376,0),"")</f>
        <v/>
      </c>
      <c r="G277" t="str">
        <f>IFERROR(VLOOKUP(B277,'Yearly Leave Tracker'!A:NU,377,0),"")</f>
        <v/>
      </c>
      <c r="H277" t="str">
        <f>IFERROR(VLOOKUP(B277,'Yearly Leave Tracker'!A:NU,378,0),"")</f>
        <v/>
      </c>
      <c r="I277" t="str">
        <f>IFERROR(VLOOKUP(B277,'Yearly Leave Tracker'!A:NU,379,0),"")</f>
        <v/>
      </c>
      <c r="J277" t="str">
        <f>IFERROR(VLOOKUP(B277,'Yearly Leave Tracker'!A:NU,380,0),"")</f>
        <v/>
      </c>
      <c r="K277" t="str">
        <f>IFERROR(VLOOKUP(B277,'Yearly Leave Tracker'!A:NU,381,0),"")</f>
        <v/>
      </c>
      <c r="L277" t="str">
        <f>IFERROR(VLOOKUP(B277,'Yearly Leave Tracker'!A:NU,382,0),"")</f>
        <v/>
      </c>
      <c r="M277" t="str">
        <f>IFERROR(VLOOKUP(B277,'Yearly Leave Tracker'!A:NU,383,0),"")</f>
        <v/>
      </c>
      <c r="N277" t="str">
        <f>IFERROR(VLOOKUP(B277,'Yearly Leave Tracker'!A:NU,384,0),"")</f>
        <v/>
      </c>
      <c r="O277" t="str">
        <f>IFERROR(VLOOKUP(B277,'Yearly Leave Tracker'!A:NU,385,0),"")</f>
        <v/>
      </c>
    </row>
    <row r="278" spans="2:15" x14ac:dyDescent="0.25">
      <c r="B278" t="str">
        <f>IFERROR(IF('Yearly Leave Tracker'!A282="","",'Yearly Leave Tracker'!A282),"")</f>
        <v/>
      </c>
      <c r="C278" t="str">
        <f>IFERROR(VLOOKUP(B278,Database!E:F,2,0),"")</f>
        <v/>
      </c>
      <c r="D278" t="str">
        <f>IFERROR(VLOOKUP(B278,'Yearly Leave Tracker'!A:NU,374,0),"")</f>
        <v/>
      </c>
      <c r="E278" t="str">
        <f>IFERROR(VLOOKUP(B278,'Yearly Leave Tracker'!A:NU,375,0),"")</f>
        <v/>
      </c>
      <c r="F278" t="str">
        <f>IFERROR(VLOOKUP(B278,'Yearly Leave Tracker'!A:NU,376,0),"")</f>
        <v/>
      </c>
      <c r="G278" t="str">
        <f>IFERROR(VLOOKUP(B278,'Yearly Leave Tracker'!A:NU,377,0),"")</f>
        <v/>
      </c>
      <c r="H278" t="str">
        <f>IFERROR(VLOOKUP(B278,'Yearly Leave Tracker'!A:NU,378,0),"")</f>
        <v/>
      </c>
      <c r="I278" t="str">
        <f>IFERROR(VLOOKUP(B278,'Yearly Leave Tracker'!A:NU,379,0),"")</f>
        <v/>
      </c>
      <c r="J278" t="str">
        <f>IFERROR(VLOOKUP(B278,'Yearly Leave Tracker'!A:NU,380,0),"")</f>
        <v/>
      </c>
      <c r="K278" t="str">
        <f>IFERROR(VLOOKUP(B278,'Yearly Leave Tracker'!A:NU,381,0),"")</f>
        <v/>
      </c>
      <c r="L278" t="str">
        <f>IFERROR(VLOOKUP(B278,'Yearly Leave Tracker'!A:NU,382,0),"")</f>
        <v/>
      </c>
      <c r="M278" t="str">
        <f>IFERROR(VLOOKUP(B278,'Yearly Leave Tracker'!A:NU,383,0),"")</f>
        <v/>
      </c>
      <c r="N278" t="str">
        <f>IFERROR(VLOOKUP(B278,'Yearly Leave Tracker'!A:NU,384,0),"")</f>
        <v/>
      </c>
      <c r="O278" t="str">
        <f>IFERROR(VLOOKUP(B278,'Yearly Leave Tracker'!A:NU,385,0),"")</f>
        <v/>
      </c>
    </row>
    <row r="279" spans="2:15" x14ac:dyDescent="0.25">
      <c r="B279" t="str">
        <f>IFERROR(IF('Yearly Leave Tracker'!A283="","",'Yearly Leave Tracker'!A283),"")</f>
        <v/>
      </c>
      <c r="C279" t="str">
        <f>IFERROR(VLOOKUP(B279,Database!E:F,2,0),"")</f>
        <v/>
      </c>
      <c r="D279" t="str">
        <f>IFERROR(VLOOKUP(B279,'Yearly Leave Tracker'!A:NU,374,0),"")</f>
        <v/>
      </c>
      <c r="E279" t="str">
        <f>IFERROR(VLOOKUP(B279,'Yearly Leave Tracker'!A:NU,375,0),"")</f>
        <v/>
      </c>
      <c r="F279" t="str">
        <f>IFERROR(VLOOKUP(B279,'Yearly Leave Tracker'!A:NU,376,0),"")</f>
        <v/>
      </c>
      <c r="G279" t="str">
        <f>IFERROR(VLOOKUP(B279,'Yearly Leave Tracker'!A:NU,377,0),"")</f>
        <v/>
      </c>
      <c r="H279" t="str">
        <f>IFERROR(VLOOKUP(B279,'Yearly Leave Tracker'!A:NU,378,0),"")</f>
        <v/>
      </c>
      <c r="I279" t="str">
        <f>IFERROR(VLOOKUP(B279,'Yearly Leave Tracker'!A:NU,379,0),"")</f>
        <v/>
      </c>
      <c r="J279" t="str">
        <f>IFERROR(VLOOKUP(B279,'Yearly Leave Tracker'!A:NU,380,0),"")</f>
        <v/>
      </c>
      <c r="K279" t="str">
        <f>IFERROR(VLOOKUP(B279,'Yearly Leave Tracker'!A:NU,381,0),"")</f>
        <v/>
      </c>
      <c r="L279" t="str">
        <f>IFERROR(VLOOKUP(B279,'Yearly Leave Tracker'!A:NU,382,0),"")</f>
        <v/>
      </c>
      <c r="M279" t="str">
        <f>IFERROR(VLOOKUP(B279,'Yearly Leave Tracker'!A:NU,383,0),"")</f>
        <v/>
      </c>
      <c r="N279" t="str">
        <f>IFERROR(VLOOKUP(B279,'Yearly Leave Tracker'!A:NU,384,0),"")</f>
        <v/>
      </c>
      <c r="O279" t="str">
        <f>IFERROR(VLOOKUP(B279,'Yearly Leave Tracker'!A:NU,385,0),"")</f>
        <v/>
      </c>
    </row>
    <row r="280" spans="2:15" x14ac:dyDescent="0.25">
      <c r="B280" t="str">
        <f>IFERROR(IF('Yearly Leave Tracker'!A284="","",'Yearly Leave Tracker'!A284),"")</f>
        <v/>
      </c>
      <c r="C280" t="str">
        <f>IFERROR(VLOOKUP(B280,Database!E:F,2,0),"")</f>
        <v/>
      </c>
      <c r="D280" t="str">
        <f>IFERROR(VLOOKUP(B280,'Yearly Leave Tracker'!A:NU,374,0),"")</f>
        <v/>
      </c>
      <c r="E280" t="str">
        <f>IFERROR(VLOOKUP(B280,'Yearly Leave Tracker'!A:NU,375,0),"")</f>
        <v/>
      </c>
      <c r="F280" t="str">
        <f>IFERROR(VLOOKUP(B280,'Yearly Leave Tracker'!A:NU,376,0),"")</f>
        <v/>
      </c>
      <c r="G280" t="str">
        <f>IFERROR(VLOOKUP(B280,'Yearly Leave Tracker'!A:NU,377,0),"")</f>
        <v/>
      </c>
      <c r="H280" t="str">
        <f>IFERROR(VLOOKUP(B280,'Yearly Leave Tracker'!A:NU,378,0),"")</f>
        <v/>
      </c>
      <c r="I280" t="str">
        <f>IFERROR(VLOOKUP(B280,'Yearly Leave Tracker'!A:NU,379,0),"")</f>
        <v/>
      </c>
      <c r="J280" t="str">
        <f>IFERROR(VLOOKUP(B280,'Yearly Leave Tracker'!A:NU,380,0),"")</f>
        <v/>
      </c>
      <c r="K280" t="str">
        <f>IFERROR(VLOOKUP(B280,'Yearly Leave Tracker'!A:NU,381,0),"")</f>
        <v/>
      </c>
      <c r="L280" t="str">
        <f>IFERROR(VLOOKUP(B280,'Yearly Leave Tracker'!A:NU,382,0),"")</f>
        <v/>
      </c>
      <c r="M280" t="str">
        <f>IFERROR(VLOOKUP(B280,'Yearly Leave Tracker'!A:NU,383,0),"")</f>
        <v/>
      </c>
      <c r="N280" t="str">
        <f>IFERROR(VLOOKUP(B280,'Yearly Leave Tracker'!A:NU,384,0),"")</f>
        <v/>
      </c>
      <c r="O280" t="str">
        <f>IFERROR(VLOOKUP(B280,'Yearly Leave Tracker'!A:NU,385,0),"")</f>
        <v/>
      </c>
    </row>
    <row r="281" spans="2:15" x14ac:dyDescent="0.25">
      <c r="B281" t="str">
        <f>IFERROR(IF('Yearly Leave Tracker'!A285="","",'Yearly Leave Tracker'!A285),"")</f>
        <v/>
      </c>
      <c r="C281" t="str">
        <f>IFERROR(VLOOKUP(B281,Database!E:F,2,0),"")</f>
        <v/>
      </c>
      <c r="D281" t="str">
        <f>IFERROR(VLOOKUP(B281,'Yearly Leave Tracker'!A:NU,374,0),"")</f>
        <v/>
      </c>
      <c r="E281" t="str">
        <f>IFERROR(VLOOKUP(B281,'Yearly Leave Tracker'!A:NU,375,0),"")</f>
        <v/>
      </c>
      <c r="F281" t="str">
        <f>IFERROR(VLOOKUP(B281,'Yearly Leave Tracker'!A:NU,376,0),"")</f>
        <v/>
      </c>
      <c r="G281" t="str">
        <f>IFERROR(VLOOKUP(B281,'Yearly Leave Tracker'!A:NU,377,0),"")</f>
        <v/>
      </c>
      <c r="H281" t="str">
        <f>IFERROR(VLOOKUP(B281,'Yearly Leave Tracker'!A:NU,378,0),"")</f>
        <v/>
      </c>
      <c r="I281" t="str">
        <f>IFERROR(VLOOKUP(B281,'Yearly Leave Tracker'!A:NU,379,0),"")</f>
        <v/>
      </c>
      <c r="J281" t="str">
        <f>IFERROR(VLOOKUP(B281,'Yearly Leave Tracker'!A:NU,380,0),"")</f>
        <v/>
      </c>
      <c r="K281" t="str">
        <f>IFERROR(VLOOKUP(B281,'Yearly Leave Tracker'!A:NU,381,0),"")</f>
        <v/>
      </c>
      <c r="L281" t="str">
        <f>IFERROR(VLOOKUP(B281,'Yearly Leave Tracker'!A:NU,382,0),"")</f>
        <v/>
      </c>
      <c r="M281" t="str">
        <f>IFERROR(VLOOKUP(B281,'Yearly Leave Tracker'!A:NU,383,0),"")</f>
        <v/>
      </c>
      <c r="N281" t="str">
        <f>IFERROR(VLOOKUP(B281,'Yearly Leave Tracker'!A:NU,384,0),"")</f>
        <v/>
      </c>
      <c r="O281" t="str">
        <f>IFERROR(VLOOKUP(B281,'Yearly Leave Tracker'!A:NU,385,0),"")</f>
        <v/>
      </c>
    </row>
    <row r="282" spans="2:15" x14ac:dyDescent="0.25">
      <c r="B282" t="str">
        <f>IFERROR(IF('Yearly Leave Tracker'!A286="","",'Yearly Leave Tracker'!A286),"")</f>
        <v/>
      </c>
      <c r="C282" t="str">
        <f>IFERROR(VLOOKUP(B282,Database!E:F,2,0),"")</f>
        <v/>
      </c>
      <c r="D282" t="str">
        <f>IFERROR(VLOOKUP(B282,'Yearly Leave Tracker'!A:NU,374,0),"")</f>
        <v/>
      </c>
      <c r="E282" t="str">
        <f>IFERROR(VLOOKUP(B282,'Yearly Leave Tracker'!A:NU,375,0),"")</f>
        <v/>
      </c>
      <c r="F282" t="str">
        <f>IFERROR(VLOOKUP(B282,'Yearly Leave Tracker'!A:NU,376,0),"")</f>
        <v/>
      </c>
      <c r="G282" t="str">
        <f>IFERROR(VLOOKUP(B282,'Yearly Leave Tracker'!A:NU,377,0),"")</f>
        <v/>
      </c>
      <c r="H282" t="str">
        <f>IFERROR(VLOOKUP(B282,'Yearly Leave Tracker'!A:NU,378,0),"")</f>
        <v/>
      </c>
      <c r="I282" t="str">
        <f>IFERROR(VLOOKUP(B282,'Yearly Leave Tracker'!A:NU,379,0),"")</f>
        <v/>
      </c>
      <c r="J282" t="str">
        <f>IFERROR(VLOOKUP(B282,'Yearly Leave Tracker'!A:NU,380,0),"")</f>
        <v/>
      </c>
      <c r="K282" t="str">
        <f>IFERROR(VLOOKUP(B282,'Yearly Leave Tracker'!A:NU,381,0),"")</f>
        <v/>
      </c>
      <c r="L282" t="str">
        <f>IFERROR(VLOOKUP(B282,'Yearly Leave Tracker'!A:NU,382,0),"")</f>
        <v/>
      </c>
      <c r="M282" t="str">
        <f>IFERROR(VLOOKUP(B282,'Yearly Leave Tracker'!A:NU,383,0),"")</f>
        <v/>
      </c>
      <c r="N282" t="str">
        <f>IFERROR(VLOOKUP(B282,'Yearly Leave Tracker'!A:NU,384,0),"")</f>
        <v/>
      </c>
      <c r="O282" t="str">
        <f>IFERROR(VLOOKUP(B282,'Yearly Leave Tracker'!A:NU,385,0),"")</f>
        <v/>
      </c>
    </row>
    <row r="283" spans="2:15" x14ac:dyDescent="0.25">
      <c r="B283" t="str">
        <f>IFERROR(IF('Yearly Leave Tracker'!A287="","",'Yearly Leave Tracker'!A287),"")</f>
        <v/>
      </c>
      <c r="C283" t="str">
        <f>IFERROR(VLOOKUP(B283,Database!E:F,2,0),"")</f>
        <v/>
      </c>
      <c r="D283" t="str">
        <f>IFERROR(VLOOKUP(B283,'Yearly Leave Tracker'!A:NU,374,0),"")</f>
        <v/>
      </c>
      <c r="E283" t="str">
        <f>IFERROR(VLOOKUP(B283,'Yearly Leave Tracker'!A:NU,375,0),"")</f>
        <v/>
      </c>
      <c r="F283" t="str">
        <f>IFERROR(VLOOKUP(B283,'Yearly Leave Tracker'!A:NU,376,0),"")</f>
        <v/>
      </c>
      <c r="G283" t="str">
        <f>IFERROR(VLOOKUP(B283,'Yearly Leave Tracker'!A:NU,377,0),"")</f>
        <v/>
      </c>
      <c r="H283" t="str">
        <f>IFERROR(VLOOKUP(B283,'Yearly Leave Tracker'!A:NU,378,0),"")</f>
        <v/>
      </c>
      <c r="I283" t="str">
        <f>IFERROR(VLOOKUP(B283,'Yearly Leave Tracker'!A:NU,379,0),"")</f>
        <v/>
      </c>
      <c r="J283" t="str">
        <f>IFERROR(VLOOKUP(B283,'Yearly Leave Tracker'!A:NU,380,0),"")</f>
        <v/>
      </c>
      <c r="K283" t="str">
        <f>IFERROR(VLOOKUP(B283,'Yearly Leave Tracker'!A:NU,381,0),"")</f>
        <v/>
      </c>
      <c r="L283" t="str">
        <f>IFERROR(VLOOKUP(B283,'Yearly Leave Tracker'!A:NU,382,0),"")</f>
        <v/>
      </c>
      <c r="M283" t="str">
        <f>IFERROR(VLOOKUP(B283,'Yearly Leave Tracker'!A:NU,383,0),"")</f>
        <v/>
      </c>
      <c r="N283" t="str">
        <f>IFERROR(VLOOKUP(B283,'Yearly Leave Tracker'!A:NU,384,0),"")</f>
        <v/>
      </c>
      <c r="O283" t="str">
        <f>IFERROR(VLOOKUP(B283,'Yearly Leave Tracker'!A:NU,385,0),"")</f>
        <v/>
      </c>
    </row>
    <row r="284" spans="2:15" x14ac:dyDescent="0.25">
      <c r="B284" t="str">
        <f>IFERROR(IF('Yearly Leave Tracker'!A288="","",'Yearly Leave Tracker'!A288),"")</f>
        <v/>
      </c>
      <c r="C284" t="str">
        <f>IFERROR(VLOOKUP(B284,Database!E:F,2,0),"")</f>
        <v/>
      </c>
      <c r="D284" t="str">
        <f>IFERROR(VLOOKUP(B284,'Yearly Leave Tracker'!A:NU,374,0),"")</f>
        <v/>
      </c>
      <c r="E284" t="str">
        <f>IFERROR(VLOOKUP(B284,'Yearly Leave Tracker'!A:NU,375,0),"")</f>
        <v/>
      </c>
      <c r="F284" t="str">
        <f>IFERROR(VLOOKUP(B284,'Yearly Leave Tracker'!A:NU,376,0),"")</f>
        <v/>
      </c>
      <c r="G284" t="str">
        <f>IFERROR(VLOOKUP(B284,'Yearly Leave Tracker'!A:NU,377,0),"")</f>
        <v/>
      </c>
      <c r="H284" t="str">
        <f>IFERROR(VLOOKUP(B284,'Yearly Leave Tracker'!A:NU,378,0),"")</f>
        <v/>
      </c>
      <c r="I284" t="str">
        <f>IFERROR(VLOOKUP(B284,'Yearly Leave Tracker'!A:NU,379,0),"")</f>
        <v/>
      </c>
      <c r="J284" t="str">
        <f>IFERROR(VLOOKUP(B284,'Yearly Leave Tracker'!A:NU,380,0),"")</f>
        <v/>
      </c>
      <c r="K284" t="str">
        <f>IFERROR(VLOOKUP(B284,'Yearly Leave Tracker'!A:NU,381,0),"")</f>
        <v/>
      </c>
      <c r="L284" t="str">
        <f>IFERROR(VLOOKUP(B284,'Yearly Leave Tracker'!A:NU,382,0),"")</f>
        <v/>
      </c>
      <c r="M284" t="str">
        <f>IFERROR(VLOOKUP(B284,'Yearly Leave Tracker'!A:NU,383,0),"")</f>
        <v/>
      </c>
      <c r="N284" t="str">
        <f>IFERROR(VLOOKUP(B284,'Yearly Leave Tracker'!A:NU,384,0),"")</f>
        <v/>
      </c>
      <c r="O284" t="str">
        <f>IFERROR(VLOOKUP(B284,'Yearly Leave Tracker'!A:NU,385,0),"")</f>
        <v/>
      </c>
    </row>
    <row r="285" spans="2:15" x14ac:dyDescent="0.25">
      <c r="B285" t="str">
        <f>IFERROR(IF('Yearly Leave Tracker'!A289="","",'Yearly Leave Tracker'!A289),"")</f>
        <v/>
      </c>
      <c r="C285" t="str">
        <f>IFERROR(VLOOKUP(B285,Database!E:F,2,0),"")</f>
        <v/>
      </c>
      <c r="D285" t="str">
        <f>IFERROR(VLOOKUP(B285,'Yearly Leave Tracker'!A:NU,374,0),"")</f>
        <v/>
      </c>
      <c r="E285" t="str">
        <f>IFERROR(VLOOKUP(B285,'Yearly Leave Tracker'!A:NU,375,0),"")</f>
        <v/>
      </c>
      <c r="F285" t="str">
        <f>IFERROR(VLOOKUP(B285,'Yearly Leave Tracker'!A:NU,376,0),"")</f>
        <v/>
      </c>
      <c r="G285" t="str">
        <f>IFERROR(VLOOKUP(B285,'Yearly Leave Tracker'!A:NU,377,0),"")</f>
        <v/>
      </c>
      <c r="H285" t="str">
        <f>IFERROR(VLOOKUP(B285,'Yearly Leave Tracker'!A:NU,378,0),"")</f>
        <v/>
      </c>
      <c r="I285" t="str">
        <f>IFERROR(VLOOKUP(B285,'Yearly Leave Tracker'!A:NU,379,0),"")</f>
        <v/>
      </c>
      <c r="J285" t="str">
        <f>IFERROR(VLOOKUP(B285,'Yearly Leave Tracker'!A:NU,380,0),"")</f>
        <v/>
      </c>
      <c r="K285" t="str">
        <f>IFERROR(VLOOKUP(B285,'Yearly Leave Tracker'!A:NU,381,0),"")</f>
        <v/>
      </c>
      <c r="L285" t="str">
        <f>IFERROR(VLOOKUP(B285,'Yearly Leave Tracker'!A:NU,382,0),"")</f>
        <v/>
      </c>
      <c r="M285" t="str">
        <f>IFERROR(VLOOKUP(B285,'Yearly Leave Tracker'!A:NU,383,0),"")</f>
        <v/>
      </c>
      <c r="N285" t="str">
        <f>IFERROR(VLOOKUP(B285,'Yearly Leave Tracker'!A:NU,384,0),"")</f>
        <v/>
      </c>
      <c r="O285" t="str">
        <f>IFERROR(VLOOKUP(B285,'Yearly Leave Tracker'!A:NU,385,0),"")</f>
        <v/>
      </c>
    </row>
    <row r="286" spans="2:15" x14ac:dyDescent="0.25">
      <c r="B286" t="str">
        <f>IFERROR(IF('Yearly Leave Tracker'!A290="","",'Yearly Leave Tracker'!A290),"")</f>
        <v/>
      </c>
      <c r="C286" t="str">
        <f>IFERROR(VLOOKUP(B286,Database!E:F,2,0),"")</f>
        <v/>
      </c>
      <c r="D286" t="str">
        <f>IFERROR(VLOOKUP(B286,'Yearly Leave Tracker'!A:NU,374,0),"")</f>
        <v/>
      </c>
      <c r="E286" t="str">
        <f>IFERROR(VLOOKUP(B286,'Yearly Leave Tracker'!A:NU,375,0),"")</f>
        <v/>
      </c>
      <c r="F286" t="str">
        <f>IFERROR(VLOOKUP(B286,'Yearly Leave Tracker'!A:NU,376,0),"")</f>
        <v/>
      </c>
      <c r="G286" t="str">
        <f>IFERROR(VLOOKUP(B286,'Yearly Leave Tracker'!A:NU,377,0),"")</f>
        <v/>
      </c>
      <c r="H286" t="str">
        <f>IFERROR(VLOOKUP(B286,'Yearly Leave Tracker'!A:NU,378,0),"")</f>
        <v/>
      </c>
      <c r="I286" t="str">
        <f>IFERROR(VLOOKUP(B286,'Yearly Leave Tracker'!A:NU,379,0),"")</f>
        <v/>
      </c>
      <c r="J286" t="str">
        <f>IFERROR(VLOOKUP(B286,'Yearly Leave Tracker'!A:NU,380,0),"")</f>
        <v/>
      </c>
      <c r="K286" t="str">
        <f>IFERROR(VLOOKUP(B286,'Yearly Leave Tracker'!A:NU,381,0),"")</f>
        <v/>
      </c>
      <c r="L286" t="str">
        <f>IFERROR(VLOOKUP(B286,'Yearly Leave Tracker'!A:NU,382,0),"")</f>
        <v/>
      </c>
      <c r="M286" t="str">
        <f>IFERROR(VLOOKUP(B286,'Yearly Leave Tracker'!A:NU,383,0),"")</f>
        <v/>
      </c>
      <c r="N286" t="str">
        <f>IFERROR(VLOOKUP(B286,'Yearly Leave Tracker'!A:NU,384,0),"")</f>
        <v/>
      </c>
      <c r="O286" t="str">
        <f>IFERROR(VLOOKUP(B286,'Yearly Leave Tracker'!A:NU,385,0),"")</f>
        <v/>
      </c>
    </row>
    <row r="287" spans="2:15" x14ac:dyDescent="0.25">
      <c r="B287" t="str">
        <f>IFERROR(IF('Yearly Leave Tracker'!A291="","",'Yearly Leave Tracker'!A291),"")</f>
        <v/>
      </c>
      <c r="C287" t="str">
        <f>IFERROR(VLOOKUP(B287,Database!E:F,2,0),"")</f>
        <v/>
      </c>
      <c r="D287" t="str">
        <f>IFERROR(VLOOKUP(B287,'Yearly Leave Tracker'!A:NU,374,0),"")</f>
        <v/>
      </c>
      <c r="E287" t="str">
        <f>IFERROR(VLOOKUP(B287,'Yearly Leave Tracker'!A:NU,375,0),"")</f>
        <v/>
      </c>
      <c r="F287" t="str">
        <f>IFERROR(VLOOKUP(B287,'Yearly Leave Tracker'!A:NU,376,0),"")</f>
        <v/>
      </c>
      <c r="G287" t="str">
        <f>IFERROR(VLOOKUP(B287,'Yearly Leave Tracker'!A:NU,377,0),"")</f>
        <v/>
      </c>
      <c r="H287" t="str">
        <f>IFERROR(VLOOKUP(B287,'Yearly Leave Tracker'!A:NU,378,0),"")</f>
        <v/>
      </c>
      <c r="I287" t="str">
        <f>IFERROR(VLOOKUP(B287,'Yearly Leave Tracker'!A:NU,379,0),"")</f>
        <v/>
      </c>
      <c r="J287" t="str">
        <f>IFERROR(VLOOKUP(B287,'Yearly Leave Tracker'!A:NU,380,0),"")</f>
        <v/>
      </c>
      <c r="K287" t="str">
        <f>IFERROR(VLOOKUP(B287,'Yearly Leave Tracker'!A:NU,381,0),"")</f>
        <v/>
      </c>
      <c r="L287" t="str">
        <f>IFERROR(VLOOKUP(B287,'Yearly Leave Tracker'!A:NU,382,0),"")</f>
        <v/>
      </c>
      <c r="M287" t="str">
        <f>IFERROR(VLOOKUP(B287,'Yearly Leave Tracker'!A:NU,383,0),"")</f>
        <v/>
      </c>
      <c r="N287" t="str">
        <f>IFERROR(VLOOKUP(B287,'Yearly Leave Tracker'!A:NU,384,0),"")</f>
        <v/>
      </c>
      <c r="O287" t="str">
        <f>IFERROR(VLOOKUP(B287,'Yearly Leave Tracker'!A:NU,385,0),"")</f>
        <v/>
      </c>
    </row>
    <row r="288" spans="2:15" x14ac:dyDescent="0.25">
      <c r="B288" t="str">
        <f>IFERROR(IF('Yearly Leave Tracker'!A292="","",'Yearly Leave Tracker'!A292),"")</f>
        <v/>
      </c>
      <c r="C288" t="str">
        <f>IFERROR(VLOOKUP(B288,Database!E:F,2,0),"")</f>
        <v/>
      </c>
      <c r="D288" t="str">
        <f>IFERROR(VLOOKUP(B288,'Yearly Leave Tracker'!A:NU,374,0),"")</f>
        <v/>
      </c>
      <c r="E288" t="str">
        <f>IFERROR(VLOOKUP(B288,'Yearly Leave Tracker'!A:NU,375,0),"")</f>
        <v/>
      </c>
      <c r="F288" t="str">
        <f>IFERROR(VLOOKUP(B288,'Yearly Leave Tracker'!A:NU,376,0),"")</f>
        <v/>
      </c>
      <c r="G288" t="str">
        <f>IFERROR(VLOOKUP(B288,'Yearly Leave Tracker'!A:NU,377,0),"")</f>
        <v/>
      </c>
      <c r="H288" t="str">
        <f>IFERROR(VLOOKUP(B288,'Yearly Leave Tracker'!A:NU,378,0),"")</f>
        <v/>
      </c>
      <c r="I288" t="str">
        <f>IFERROR(VLOOKUP(B288,'Yearly Leave Tracker'!A:NU,379,0),"")</f>
        <v/>
      </c>
      <c r="J288" t="str">
        <f>IFERROR(VLOOKUP(B288,'Yearly Leave Tracker'!A:NU,380,0),"")</f>
        <v/>
      </c>
      <c r="K288" t="str">
        <f>IFERROR(VLOOKUP(B288,'Yearly Leave Tracker'!A:NU,381,0),"")</f>
        <v/>
      </c>
      <c r="L288" t="str">
        <f>IFERROR(VLOOKUP(B288,'Yearly Leave Tracker'!A:NU,382,0),"")</f>
        <v/>
      </c>
      <c r="M288" t="str">
        <f>IFERROR(VLOOKUP(B288,'Yearly Leave Tracker'!A:NU,383,0),"")</f>
        <v/>
      </c>
      <c r="N288" t="str">
        <f>IFERROR(VLOOKUP(B288,'Yearly Leave Tracker'!A:NU,384,0),"")</f>
        <v/>
      </c>
      <c r="O288" t="str">
        <f>IFERROR(VLOOKUP(B288,'Yearly Leave Tracker'!A:NU,385,0),"")</f>
        <v/>
      </c>
    </row>
    <row r="289" spans="2:15" x14ac:dyDescent="0.25">
      <c r="B289" t="str">
        <f>IFERROR(IF('Yearly Leave Tracker'!A293="","",'Yearly Leave Tracker'!A293),"")</f>
        <v/>
      </c>
      <c r="C289" t="str">
        <f>IFERROR(VLOOKUP(B289,Database!E:F,2,0),"")</f>
        <v/>
      </c>
      <c r="D289" t="str">
        <f>IFERROR(VLOOKUP(B289,'Yearly Leave Tracker'!A:NU,374,0),"")</f>
        <v/>
      </c>
      <c r="E289" t="str">
        <f>IFERROR(VLOOKUP(B289,'Yearly Leave Tracker'!A:NU,375,0),"")</f>
        <v/>
      </c>
      <c r="F289" t="str">
        <f>IFERROR(VLOOKUP(B289,'Yearly Leave Tracker'!A:NU,376,0),"")</f>
        <v/>
      </c>
      <c r="G289" t="str">
        <f>IFERROR(VLOOKUP(B289,'Yearly Leave Tracker'!A:NU,377,0),"")</f>
        <v/>
      </c>
      <c r="H289" t="str">
        <f>IFERROR(VLOOKUP(B289,'Yearly Leave Tracker'!A:NU,378,0),"")</f>
        <v/>
      </c>
      <c r="I289" t="str">
        <f>IFERROR(VLOOKUP(B289,'Yearly Leave Tracker'!A:NU,379,0),"")</f>
        <v/>
      </c>
      <c r="J289" t="str">
        <f>IFERROR(VLOOKUP(B289,'Yearly Leave Tracker'!A:NU,380,0),"")</f>
        <v/>
      </c>
      <c r="K289" t="str">
        <f>IFERROR(VLOOKUP(B289,'Yearly Leave Tracker'!A:NU,381,0),"")</f>
        <v/>
      </c>
      <c r="L289" t="str">
        <f>IFERROR(VLOOKUP(B289,'Yearly Leave Tracker'!A:NU,382,0),"")</f>
        <v/>
      </c>
      <c r="M289" t="str">
        <f>IFERROR(VLOOKUP(B289,'Yearly Leave Tracker'!A:NU,383,0),"")</f>
        <v/>
      </c>
      <c r="N289" t="str">
        <f>IFERROR(VLOOKUP(B289,'Yearly Leave Tracker'!A:NU,384,0),"")</f>
        <v/>
      </c>
      <c r="O289" t="str">
        <f>IFERROR(VLOOKUP(B289,'Yearly Leave Tracker'!A:NU,385,0),"")</f>
        <v/>
      </c>
    </row>
    <row r="290" spans="2:15" x14ac:dyDescent="0.25">
      <c r="B290" t="str">
        <f>IFERROR(IF('Yearly Leave Tracker'!A294="","",'Yearly Leave Tracker'!A294),"")</f>
        <v/>
      </c>
      <c r="C290" t="str">
        <f>IFERROR(VLOOKUP(B290,Database!E:F,2,0),"")</f>
        <v/>
      </c>
      <c r="D290" t="str">
        <f>IFERROR(VLOOKUP(B290,'Yearly Leave Tracker'!A:NU,374,0),"")</f>
        <v/>
      </c>
      <c r="E290" t="str">
        <f>IFERROR(VLOOKUP(B290,'Yearly Leave Tracker'!A:NU,375,0),"")</f>
        <v/>
      </c>
      <c r="F290" t="str">
        <f>IFERROR(VLOOKUP(B290,'Yearly Leave Tracker'!A:NU,376,0),"")</f>
        <v/>
      </c>
      <c r="G290" t="str">
        <f>IFERROR(VLOOKUP(B290,'Yearly Leave Tracker'!A:NU,377,0),"")</f>
        <v/>
      </c>
      <c r="H290" t="str">
        <f>IFERROR(VLOOKUP(B290,'Yearly Leave Tracker'!A:NU,378,0),"")</f>
        <v/>
      </c>
      <c r="I290" t="str">
        <f>IFERROR(VLOOKUP(B290,'Yearly Leave Tracker'!A:NU,379,0),"")</f>
        <v/>
      </c>
      <c r="J290" t="str">
        <f>IFERROR(VLOOKUP(B290,'Yearly Leave Tracker'!A:NU,380,0),"")</f>
        <v/>
      </c>
      <c r="K290" t="str">
        <f>IFERROR(VLOOKUP(B290,'Yearly Leave Tracker'!A:NU,381,0),"")</f>
        <v/>
      </c>
      <c r="L290" t="str">
        <f>IFERROR(VLOOKUP(B290,'Yearly Leave Tracker'!A:NU,382,0),"")</f>
        <v/>
      </c>
      <c r="M290" t="str">
        <f>IFERROR(VLOOKUP(B290,'Yearly Leave Tracker'!A:NU,383,0),"")</f>
        <v/>
      </c>
      <c r="N290" t="str">
        <f>IFERROR(VLOOKUP(B290,'Yearly Leave Tracker'!A:NU,384,0),"")</f>
        <v/>
      </c>
      <c r="O290" t="str">
        <f>IFERROR(VLOOKUP(B290,'Yearly Leave Tracker'!A:NU,385,0),"")</f>
        <v/>
      </c>
    </row>
    <row r="291" spans="2:15" x14ac:dyDescent="0.25">
      <c r="B291" t="str">
        <f>IFERROR(IF('Yearly Leave Tracker'!A295="","",'Yearly Leave Tracker'!A295),"")</f>
        <v/>
      </c>
      <c r="C291" t="str">
        <f>IFERROR(VLOOKUP(B291,Database!E:F,2,0),"")</f>
        <v/>
      </c>
      <c r="D291" t="str">
        <f>IFERROR(VLOOKUP(B291,'Yearly Leave Tracker'!A:NU,374,0),"")</f>
        <v/>
      </c>
      <c r="E291" t="str">
        <f>IFERROR(VLOOKUP(B291,'Yearly Leave Tracker'!A:NU,375,0),"")</f>
        <v/>
      </c>
      <c r="F291" t="str">
        <f>IFERROR(VLOOKUP(B291,'Yearly Leave Tracker'!A:NU,376,0),"")</f>
        <v/>
      </c>
      <c r="G291" t="str">
        <f>IFERROR(VLOOKUP(B291,'Yearly Leave Tracker'!A:NU,377,0),"")</f>
        <v/>
      </c>
      <c r="H291" t="str">
        <f>IFERROR(VLOOKUP(B291,'Yearly Leave Tracker'!A:NU,378,0),"")</f>
        <v/>
      </c>
      <c r="I291" t="str">
        <f>IFERROR(VLOOKUP(B291,'Yearly Leave Tracker'!A:NU,379,0),"")</f>
        <v/>
      </c>
      <c r="J291" t="str">
        <f>IFERROR(VLOOKUP(B291,'Yearly Leave Tracker'!A:NU,380,0),"")</f>
        <v/>
      </c>
      <c r="K291" t="str">
        <f>IFERROR(VLOOKUP(B291,'Yearly Leave Tracker'!A:NU,381,0),"")</f>
        <v/>
      </c>
      <c r="L291" t="str">
        <f>IFERROR(VLOOKUP(B291,'Yearly Leave Tracker'!A:NU,382,0),"")</f>
        <v/>
      </c>
      <c r="M291" t="str">
        <f>IFERROR(VLOOKUP(B291,'Yearly Leave Tracker'!A:NU,383,0),"")</f>
        <v/>
      </c>
      <c r="N291" t="str">
        <f>IFERROR(VLOOKUP(B291,'Yearly Leave Tracker'!A:NU,384,0),"")</f>
        <v/>
      </c>
      <c r="O291" t="str">
        <f>IFERROR(VLOOKUP(B291,'Yearly Leave Tracker'!A:NU,385,0),"")</f>
        <v/>
      </c>
    </row>
    <row r="292" spans="2:15" x14ac:dyDescent="0.25">
      <c r="B292" t="str">
        <f>IFERROR(IF('Yearly Leave Tracker'!A296="","",'Yearly Leave Tracker'!A296),"")</f>
        <v/>
      </c>
      <c r="C292" t="str">
        <f>IFERROR(VLOOKUP(B292,Database!E:F,2,0),"")</f>
        <v/>
      </c>
      <c r="D292" t="str">
        <f>IFERROR(VLOOKUP(B292,'Yearly Leave Tracker'!A:NU,374,0),"")</f>
        <v/>
      </c>
      <c r="E292" t="str">
        <f>IFERROR(VLOOKUP(B292,'Yearly Leave Tracker'!A:NU,375,0),"")</f>
        <v/>
      </c>
      <c r="F292" t="str">
        <f>IFERROR(VLOOKUP(B292,'Yearly Leave Tracker'!A:NU,376,0),"")</f>
        <v/>
      </c>
      <c r="G292" t="str">
        <f>IFERROR(VLOOKUP(B292,'Yearly Leave Tracker'!A:NU,377,0),"")</f>
        <v/>
      </c>
      <c r="H292" t="str">
        <f>IFERROR(VLOOKUP(B292,'Yearly Leave Tracker'!A:NU,378,0),"")</f>
        <v/>
      </c>
      <c r="I292" t="str">
        <f>IFERROR(VLOOKUP(B292,'Yearly Leave Tracker'!A:NU,379,0),"")</f>
        <v/>
      </c>
      <c r="J292" t="str">
        <f>IFERROR(VLOOKUP(B292,'Yearly Leave Tracker'!A:NU,380,0),"")</f>
        <v/>
      </c>
      <c r="K292" t="str">
        <f>IFERROR(VLOOKUP(B292,'Yearly Leave Tracker'!A:NU,381,0),"")</f>
        <v/>
      </c>
      <c r="L292" t="str">
        <f>IFERROR(VLOOKUP(B292,'Yearly Leave Tracker'!A:NU,382,0),"")</f>
        <v/>
      </c>
      <c r="M292" t="str">
        <f>IFERROR(VLOOKUP(B292,'Yearly Leave Tracker'!A:NU,383,0),"")</f>
        <v/>
      </c>
      <c r="N292" t="str">
        <f>IFERROR(VLOOKUP(B292,'Yearly Leave Tracker'!A:NU,384,0),"")</f>
        <v/>
      </c>
      <c r="O292" t="str">
        <f>IFERROR(VLOOKUP(B292,'Yearly Leave Tracker'!A:NU,385,0),"")</f>
        <v/>
      </c>
    </row>
    <row r="293" spans="2:15" x14ac:dyDescent="0.25">
      <c r="B293" t="str">
        <f>IFERROR(IF('Yearly Leave Tracker'!A297="","",'Yearly Leave Tracker'!A297),"")</f>
        <v/>
      </c>
      <c r="C293" t="str">
        <f>IFERROR(VLOOKUP(B293,Database!E:F,2,0),"")</f>
        <v/>
      </c>
      <c r="D293" t="str">
        <f>IFERROR(VLOOKUP(B293,'Yearly Leave Tracker'!A:NU,374,0),"")</f>
        <v/>
      </c>
      <c r="E293" t="str">
        <f>IFERROR(VLOOKUP(B293,'Yearly Leave Tracker'!A:NU,375,0),"")</f>
        <v/>
      </c>
      <c r="F293" t="str">
        <f>IFERROR(VLOOKUP(B293,'Yearly Leave Tracker'!A:NU,376,0),"")</f>
        <v/>
      </c>
      <c r="G293" t="str">
        <f>IFERROR(VLOOKUP(B293,'Yearly Leave Tracker'!A:NU,377,0),"")</f>
        <v/>
      </c>
      <c r="H293" t="str">
        <f>IFERROR(VLOOKUP(B293,'Yearly Leave Tracker'!A:NU,378,0),"")</f>
        <v/>
      </c>
      <c r="I293" t="str">
        <f>IFERROR(VLOOKUP(B293,'Yearly Leave Tracker'!A:NU,379,0),"")</f>
        <v/>
      </c>
      <c r="J293" t="str">
        <f>IFERROR(VLOOKUP(B293,'Yearly Leave Tracker'!A:NU,380,0),"")</f>
        <v/>
      </c>
      <c r="K293" t="str">
        <f>IFERROR(VLOOKUP(B293,'Yearly Leave Tracker'!A:NU,381,0),"")</f>
        <v/>
      </c>
      <c r="L293" t="str">
        <f>IFERROR(VLOOKUP(B293,'Yearly Leave Tracker'!A:NU,382,0),"")</f>
        <v/>
      </c>
      <c r="M293" t="str">
        <f>IFERROR(VLOOKUP(B293,'Yearly Leave Tracker'!A:NU,383,0),"")</f>
        <v/>
      </c>
      <c r="N293" t="str">
        <f>IFERROR(VLOOKUP(B293,'Yearly Leave Tracker'!A:NU,384,0),"")</f>
        <v/>
      </c>
      <c r="O293" t="str">
        <f>IFERROR(VLOOKUP(B293,'Yearly Leave Tracker'!A:NU,385,0),"")</f>
        <v/>
      </c>
    </row>
    <row r="294" spans="2:15" x14ac:dyDescent="0.25">
      <c r="B294" t="str">
        <f>IFERROR(IF('Yearly Leave Tracker'!A298="","",'Yearly Leave Tracker'!A298),"")</f>
        <v/>
      </c>
      <c r="C294" t="str">
        <f>IFERROR(VLOOKUP(B294,Database!E:F,2,0),"")</f>
        <v/>
      </c>
      <c r="D294" t="str">
        <f>IFERROR(VLOOKUP(B294,'Yearly Leave Tracker'!A:NU,374,0),"")</f>
        <v/>
      </c>
      <c r="E294" t="str">
        <f>IFERROR(VLOOKUP(B294,'Yearly Leave Tracker'!A:NU,375,0),"")</f>
        <v/>
      </c>
      <c r="F294" t="str">
        <f>IFERROR(VLOOKUP(B294,'Yearly Leave Tracker'!A:NU,376,0),"")</f>
        <v/>
      </c>
      <c r="G294" t="str">
        <f>IFERROR(VLOOKUP(B294,'Yearly Leave Tracker'!A:NU,377,0),"")</f>
        <v/>
      </c>
      <c r="H294" t="str">
        <f>IFERROR(VLOOKUP(B294,'Yearly Leave Tracker'!A:NU,378,0),"")</f>
        <v/>
      </c>
      <c r="I294" t="str">
        <f>IFERROR(VLOOKUP(B294,'Yearly Leave Tracker'!A:NU,379,0),"")</f>
        <v/>
      </c>
      <c r="J294" t="str">
        <f>IFERROR(VLOOKUP(B294,'Yearly Leave Tracker'!A:NU,380,0),"")</f>
        <v/>
      </c>
      <c r="K294" t="str">
        <f>IFERROR(VLOOKUP(B294,'Yearly Leave Tracker'!A:NU,381,0),"")</f>
        <v/>
      </c>
      <c r="L294" t="str">
        <f>IFERROR(VLOOKUP(B294,'Yearly Leave Tracker'!A:NU,382,0),"")</f>
        <v/>
      </c>
      <c r="M294" t="str">
        <f>IFERROR(VLOOKUP(B294,'Yearly Leave Tracker'!A:NU,383,0),"")</f>
        <v/>
      </c>
      <c r="N294" t="str">
        <f>IFERROR(VLOOKUP(B294,'Yearly Leave Tracker'!A:NU,384,0),"")</f>
        <v/>
      </c>
      <c r="O294" t="str">
        <f>IFERROR(VLOOKUP(B294,'Yearly Leave Tracker'!A:NU,385,0),"")</f>
        <v/>
      </c>
    </row>
    <row r="295" spans="2:15" x14ac:dyDescent="0.25">
      <c r="B295" t="str">
        <f>IFERROR(IF('Yearly Leave Tracker'!A299="","",'Yearly Leave Tracker'!A299),"")</f>
        <v/>
      </c>
      <c r="C295" t="str">
        <f>IFERROR(VLOOKUP(B295,Database!E:F,2,0),"")</f>
        <v/>
      </c>
      <c r="D295" t="str">
        <f>IFERROR(VLOOKUP(B295,'Yearly Leave Tracker'!A:NU,374,0),"")</f>
        <v/>
      </c>
      <c r="E295" t="str">
        <f>IFERROR(VLOOKUP(B295,'Yearly Leave Tracker'!A:NU,375,0),"")</f>
        <v/>
      </c>
      <c r="F295" t="str">
        <f>IFERROR(VLOOKUP(B295,'Yearly Leave Tracker'!A:NU,376,0),"")</f>
        <v/>
      </c>
      <c r="G295" t="str">
        <f>IFERROR(VLOOKUP(B295,'Yearly Leave Tracker'!A:NU,377,0),"")</f>
        <v/>
      </c>
      <c r="H295" t="str">
        <f>IFERROR(VLOOKUP(B295,'Yearly Leave Tracker'!A:NU,378,0),"")</f>
        <v/>
      </c>
      <c r="I295" t="str">
        <f>IFERROR(VLOOKUP(B295,'Yearly Leave Tracker'!A:NU,379,0),"")</f>
        <v/>
      </c>
      <c r="J295" t="str">
        <f>IFERROR(VLOOKUP(B295,'Yearly Leave Tracker'!A:NU,380,0),"")</f>
        <v/>
      </c>
      <c r="K295" t="str">
        <f>IFERROR(VLOOKUP(B295,'Yearly Leave Tracker'!A:NU,381,0),"")</f>
        <v/>
      </c>
      <c r="L295" t="str">
        <f>IFERROR(VLOOKUP(B295,'Yearly Leave Tracker'!A:NU,382,0),"")</f>
        <v/>
      </c>
      <c r="M295" t="str">
        <f>IFERROR(VLOOKUP(B295,'Yearly Leave Tracker'!A:NU,383,0),"")</f>
        <v/>
      </c>
      <c r="N295" t="str">
        <f>IFERROR(VLOOKUP(B295,'Yearly Leave Tracker'!A:NU,384,0),"")</f>
        <v/>
      </c>
      <c r="O295" t="str">
        <f>IFERROR(VLOOKUP(B295,'Yearly Leave Tracker'!A:NU,385,0),"")</f>
        <v/>
      </c>
    </row>
    <row r="296" spans="2:15" x14ac:dyDescent="0.25">
      <c r="B296" t="str">
        <f>IFERROR(IF('Yearly Leave Tracker'!A300="","",'Yearly Leave Tracker'!A300),"")</f>
        <v/>
      </c>
      <c r="C296" t="str">
        <f>IFERROR(VLOOKUP(B296,Database!E:F,2,0),"")</f>
        <v/>
      </c>
      <c r="D296" t="str">
        <f>IFERROR(VLOOKUP(B296,'Yearly Leave Tracker'!A:NU,374,0),"")</f>
        <v/>
      </c>
      <c r="E296" t="str">
        <f>IFERROR(VLOOKUP(B296,'Yearly Leave Tracker'!A:NU,375,0),"")</f>
        <v/>
      </c>
      <c r="F296" t="str">
        <f>IFERROR(VLOOKUP(B296,'Yearly Leave Tracker'!A:NU,376,0),"")</f>
        <v/>
      </c>
      <c r="G296" t="str">
        <f>IFERROR(VLOOKUP(B296,'Yearly Leave Tracker'!A:NU,377,0),"")</f>
        <v/>
      </c>
      <c r="H296" t="str">
        <f>IFERROR(VLOOKUP(B296,'Yearly Leave Tracker'!A:NU,378,0),"")</f>
        <v/>
      </c>
      <c r="I296" t="str">
        <f>IFERROR(VLOOKUP(B296,'Yearly Leave Tracker'!A:NU,379,0),"")</f>
        <v/>
      </c>
      <c r="J296" t="str">
        <f>IFERROR(VLOOKUP(B296,'Yearly Leave Tracker'!A:NU,380,0),"")</f>
        <v/>
      </c>
      <c r="K296" t="str">
        <f>IFERROR(VLOOKUP(B296,'Yearly Leave Tracker'!A:NU,381,0),"")</f>
        <v/>
      </c>
      <c r="L296" t="str">
        <f>IFERROR(VLOOKUP(B296,'Yearly Leave Tracker'!A:NU,382,0),"")</f>
        <v/>
      </c>
      <c r="M296" t="str">
        <f>IFERROR(VLOOKUP(B296,'Yearly Leave Tracker'!A:NU,383,0),"")</f>
        <v/>
      </c>
      <c r="N296" t="str">
        <f>IFERROR(VLOOKUP(B296,'Yearly Leave Tracker'!A:NU,384,0),"")</f>
        <v/>
      </c>
      <c r="O296" t="str">
        <f>IFERROR(VLOOKUP(B296,'Yearly Leave Tracker'!A:NU,385,0),"")</f>
        <v/>
      </c>
    </row>
    <row r="297" spans="2:15" x14ac:dyDescent="0.25">
      <c r="B297" t="str">
        <f>IFERROR(IF('Yearly Leave Tracker'!A301="","",'Yearly Leave Tracker'!A301),"")</f>
        <v/>
      </c>
      <c r="C297" t="str">
        <f>IFERROR(VLOOKUP(B297,Database!E:F,2,0),"")</f>
        <v/>
      </c>
      <c r="D297" t="str">
        <f>IFERROR(VLOOKUP(B297,'Yearly Leave Tracker'!A:NU,374,0),"")</f>
        <v/>
      </c>
      <c r="E297" t="str">
        <f>IFERROR(VLOOKUP(B297,'Yearly Leave Tracker'!A:NU,375,0),"")</f>
        <v/>
      </c>
      <c r="F297" t="str">
        <f>IFERROR(VLOOKUP(B297,'Yearly Leave Tracker'!A:NU,376,0),"")</f>
        <v/>
      </c>
      <c r="G297" t="str">
        <f>IFERROR(VLOOKUP(B297,'Yearly Leave Tracker'!A:NU,377,0),"")</f>
        <v/>
      </c>
      <c r="H297" t="str">
        <f>IFERROR(VLOOKUP(B297,'Yearly Leave Tracker'!A:NU,378,0),"")</f>
        <v/>
      </c>
      <c r="I297" t="str">
        <f>IFERROR(VLOOKUP(B297,'Yearly Leave Tracker'!A:NU,379,0),"")</f>
        <v/>
      </c>
      <c r="J297" t="str">
        <f>IFERROR(VLOOKUP(B297,'Yearly Leave Tracker'!A:NU,380,0),"")</f>
        <v/>
      </c>
      <c r="K297" t="str">
        <f>IFERROR(VLOOKUP(B297,'Yearly Leave Tracker'!A:NU,381,0),"")</f>
        <v/>
      </c>
      <c r="L297" t="str">
        <f>IFERROR(VLOOKUP(B297,'Yearly Leave Tracker'!A:NU,382,0),"")</f>
        <v/>
      </c>
      <c r="M297" t="str">
        <f>IFERROR(VLOOKUP(B297,'Yearly Leave Tracker'!A:NU,383,0),"")</f>
        <v/>
      </c>
      <c r="N297" t="str">
        <f>IFERROR(VLOOKUP(B297,'Yearly Leave Tracker'!A:NU,384,0),"")</f>
        <v/>
      </c>
      <c r="O297" t="str">
        <f>IFERROR(VLOOKUP(B297,'Yearly Leave Tracker'!A:NU,385,0),"")</f>
        <v/>
      </c>
    </row>
    <row r="298" spans="2:15" x14ac:dyDescent="0.25">
      <c r="B298" t="str">
        <f>IFERROR(IF('Yearly Leave Tracker'!A302="","",'Yearly Leave Tracker'!A302),"")</f>
        <v/>
      </c>
      <c r="C298" t="str">
        <f>IFERROR(VLOOKUP(B298,Database!E:F,2,0),"")</f>
        <v/>
      </c>
      <c r="D298" t="str">
        <f>IFERROR(VLOOKUP(B298,'Yearly Leave Tracker'!A:NU,374,0),"")</f>
        <v/>
      </c>
      <c r="E298" t="str">
        <f>IFERROR(VLOOKUP(B298,'Yearly Leave Tracker'!A:NU,375,0),"")</f>
        <v/>
      </c>
      <c r="F298" t="str">
        <f>IFERROR(VLOOKUP(B298,'Yearly Leave Tracker'!A:NU,376,0),"")</f>
        <v/>
      </c>
      <c r="G298" t="str">
        <f>IFERROR(VLOOKUP(B298,'Yearly Leave Tracker'!A:NU,377,0),"")</f>
        <v/>
      </c>
      <c r="H298" t="str">
        <f>IFERROR(VLOOKUP(B298,'Yearly Leave Tracker'!A:NU,378,0),"")</f>
        <v/>
      </c>
      <c r="I298" t="str">
        <f>IFERROR(VLOOKUP(B298,'Yearly Leave Tracker'!A:NU,379,0),"")</f>
        <v/>
      </c>
      <c r="J298" t="str">
        <f>IFERROR(VLOOKUP(B298,'Yearly Leave Tracker'!A:NU,380,0),"")</f>
        <v/>
      </c>
      <c r="K298" t="str">
        <f>IFERROR(VLOOKUP(B298,'Yearly Leave Tracker'!A:NU,381,0),"")</f>
        <v/>
      </c>
      <c r="L298" t="str">
        <f>IFERROR(VLOOKUP(B298,'Yearly Leave Tracker'!A:NU,382,0),"")</f>
        <v/>
      </c>
      <c r="M298" t="str">
        <f>IFERROR(VLOOKUP(B298,'Yearly Leave Tracker'!A:NU,383,0),"")</f>
        <v/>
      </c>
      <c r="N298" t="str">
        <f>IFERROR(VLOOKUP(B298,'Yearly Leave Tracker'!A:NU,384,0),"")</f>
        <v/>
      </c>
      <c r="O298" t="str">
        <f>IFERROR(VLOOKUP(B298,'Yearly Leave Tracker'!A:NU,385,0),"")</f>
        <v/>
      </c>
    </row>
    <row r="299" spans="2:15" x14ac:dyDescent="0.25">
      <c r="B299" t="str">
        <f>IFERROR(IF('Yearly Leave Tracker'!A303="","",'Yearly Leave Tracker'!A303),"")</f>
        <v/>
      </c>
      <c r="C299" t="str">
        <f>IFERROR(VLOOKUP(B299,Database!E:F,2,0),"")</f>
        <v/>
      </c>
      <c r="D299" t="str">
        <f>IFERROR(VLOOKUP(B299,'Yearly Leave Tracker'!A:NU,374,0),"")</f>
        <v/>
      </c>
      <c r="E299" t="str">
        <f>IFERROR(VLOOKUP(B299,'Yearly Leave Tracker'!A:NU,375,0),"")</f>
        <v/>
      </c>
      <c r="F299" t="str">
        <f>IFERROR(VLOOKUP(B299,'Yearly Leave Tracker'!A:NU,376,0),"")</f>
        <v/>
      </c>
      <c r="G299" t="str">
        <f>IFERROR(VLOOKUP(B299,'Yearly Leave Tracker'!A:NU,377,0),"")</f>
        <v/>
      </c>
      <c r="H299" t="str">
        <f>IFERROR(VLOOKUP(B299,'Yearly Leave Tracker'!A:NU,378,0),"")</f>
        <v/>
      </c>
      <c r="I299" t="str">
        <f>IFERROR(VLOOKUP(B299,'Yearly Leave Tracker'!A:NU,379,0),"")</f>
        <v/>
      </c>
      <c r="J299" t="str">
        <f>IFERROR(VLOOKUP(B299,'Yearly Leave Tracker'!A:NU,380,0),"")</f>
        <v/>
      </c>
      <c r="K299" t="str">
        <f>IFERROR(VLOOKUP(B299,'Yearly Leave Tracker'!A:NU,381,0),"")</f>
        <v/>
      </c>
      <c r="L299" t="str">
        <f>IFERROR(VLOOKUP(B299,'Yearly Leave Tracker'!A:NU,382,0),"")</f>
        <v/>
      </c>
      <c r="M299" t="str">
        <f>IFERROR(VLOOKUP(B299,'Yearly Leave Tracker'!A:NU,383,0),"")</f>
        <v/>
      </c>
      <c r="N299" t="str">
        <f>IFERROR(VLOOKUP(B299,'Yearly Leave Tracker'!A:NU,384,0),"")</f>
        <v/>
      </c>
      <c r="O299" t="str">
        <f>IFERROR(VLOOKUP(B299,'Yearly Leave Tracker'!A:NU,385,0),"")</f>
        <v/>
      </c>
    </row>
    <row r="300" spans="2:15" x14ac:dyDescent="0.25">
      <c r="B300" t="str">
        <f>IFERROR(IF('Yearly Leave Tracker'!A304="","",'Yearly Leave Tracker'!A304),"")</f>
        <v/>
      </c>
      <c r="C300" t="str">
        <f>IFERROR(VLOOKUP(B300,Database!E:F,2,0),"")</f>
        <v/>
      </c>
      <c r="D300" t="str">
        <f>IFERROR(VLOOKUP(B300,'Yearly Leave Tracker'!A:NU,374,0),"")</f>
        <v/>
      </c>
      <c r="E300" t="str">
        <f>IFERROR(VLOOKUP(B300,'Yearly Leave Tracker'!A:NU,375,0),"")</f>
        <v/>
      </c>
      <c r="F300" t="str">
        <f>IFERROR(VLOOKUP(B300,'Yearly Leave Tracker'!A:NU,376,0),"")</f>
        <v/>
      </c>
      <c r="G300" t="str">
        <f>IFERROR(VLOOKUP(B300,'Yearly Leave Tracker'!A:NU,377,0),"")</f>
        <v/>
      </c>
      <c r="H300" t="str">
        <f>IFERROR(VLOOKUP(B300,'Yearly Leave Tracker'!A:NU,378,0),"")</f>
        <v/>
      </c>
      <c r="I300" t="str">
        <f>IFERROR(VLOOKUP(B300,'Yearly Leave Tracker'!A:NU,379,0),"")</f>
        <v/>
      </c>
      <c r="J300" t="str">
        <f>IFERROR(VLOOKUP(B300,'Yearly Leave Tracker'!A:NU,380,0),"")</f>
        <v/>
      </c>
      <c r="K300" t="str">
        <f>IFERROR(VLOOKUP(B300,'Yearly Leave Tracker'!A:NU,381,0),"")</f>
        <v/>
      </c>
      <c r="L300" t="str">
        <f>IFERROR(VLOOKUP(B300,'Yearly Leave Tracker'!A:NU,382,0),"")</f>
        <v/>
      </c>
      <c r="M300" t="str">
        <f>IFERROR(VLOOKUP(B300,'Yearly Leave Tracker'!A:NU,383,0),"")</f>
        <v/>
      </c>
      <c r="N300" t="str">
        <f>IFERROR(VLOOKUP(B300,'Yearly Leave Tracker'!A:NU,384,0),"")</f>
        <v/>
      </c>
      <c r="O300" t="str">
        <f>IFERROR(VLOOKUP(B300,'Yearly Leave Tracker'!A:NU,385,0),"")</f>
        <v/>
      </c>
    </row>
    <row r="301" spans="2:15" x14ac:dyDescent="0.25">
      <c r="B301" t="str">
        <f>IFERROR(IF('Yearly Leave Tracker'!A305="","",'Yearly Leave Tracker'!A305),"")</f>
        <v/>
      </c>
      <c r="C301" t="str">
        <f>IFERROR(VLOOKUP(B301,Database!E:F,2,0),"")</f>
        <v/>
      </c>
      <c r="D301" t="str">
        <f>IFERROR(VLOOKUP(B301,'Yearly Leave Tracker'!A:NU,374,0),"")</f>
        <v/>
      </c>
      <c r="E301" t="str">
        <f>IFERROR(VLOOKUP(B301,'Yearly Leave Tracker'!A:NU,375,0),"")</f>
        <v/>
      </c>
      <c r="F301" t="str">
        <f>IFERROR(VLOOKUP(B301,'Yearly Leave Tracker'!A:NU,376,0),"")</f>
        <v/>
      </c>
      <c r="G301" t="str">
        <f>IFERROR(VLOOKUP(B301,'Yearly Leave Tracker'!A:NU,377,0),"")</f>
        <v/>
      </c>
      <c r="H301" t="str">
        <f>IFERROR(VLOOKUP(B301,'Yearly Leave Tracker'!A:NU,378,0),"")</f>
        <v/>
      </c>
      <c r="I301" t="str">
        <f>IFERROR(VLOOKUP(B301,'Yearly Leave Tracker'!A:NU,379,0),"")</f>
        <v/>
      </c>
      <c r="J301" t="str">
        <f>IFERROR(VLOOKUP(B301,'Yearly Leave Tracker'!A:NU,380,0),"")</f>
        <v/>
      </c>
      <c r="K301" t="str">
        <f>IFERROR(VLOOKUP(B301,'Yearly Leave Tracker'!A:NU,381,0),"")</f>
        <v/>
      </c>
      <c r="L301" t="str">
        <f>IFERROR(VLOOKUP(B301,'Yearly Leave Tracker'!A:NU,382,0),"")</f>
        <v/>
      </c>
      <c r="M301" t="str">
        <f>IFERROR(VLOOKUP(B301,'Yearly Leave Tracker'!A:NU,383,0),"")</f>
        <v/>
      </c>
      <c r="N301" t="str">
        <f>IFERROR(VLOOKUP(B301,'Yearly Leave Tracker'!A:NU,384,0),"")</f>
        <v/>
      </c>
      <c r="O301" t="str">
        <f>IFERROR(VLOOKUP(B301,'Yearly Leave Tracker'!A:NU,385,0),"")</f>
        <v/>
      </c>
    </row>
    <row r="302" spans="2:15" x14ac:dyDescent="0.25">
      <c r="B302" t="str">
        <f>IFERROR(IF('Yearly Leave Tracker'!A306="","",'Yearly Leave Tracker'!A306),"")</f>
        <v/>
      </c>
      <c r="C302" t="str">
        <f>IFERROR(VLOOKUP(B302,Database!E:F,2,0),"")</f>
        <v/>
      </c>
      <c r="D302" t="str">
        <f>IFERROR(VLOOKUP(B302,'Yearly Leave Tracker'!A:NU,374,0),"")</f>
        <v/>
      </c>
      <c r="E302" t="str">
        <f>IFERROR(VLOOKUP(B302,'Yearly Leave Tracker'!A:NU,375,0),"")</f>
        <v/>
      </c>
      <c r="F302" t="str">
        <f>IFERROR(VLOOKUP(B302,'Yearly Leave Tracker'!A:NU,376,0),"")</f>
        <v/>
      </c>
      <c r="G302" t="str">
        <f>IFERROR(VLOOKUP(B302,'Yearly Leave Tracker'!A:NU,377,0),"")</f>
        <v/>
      </c>
      <c r="H302" t="str">
        <f>IFERROR(VLOOKUP(B302,'Yearly Leave Tracker'!A:NU,378,0),"")</f>
        <v/>
      </c>
      <c r="I302" t="str">
        <f>IFERROR(VLOOKUP(B302,'Yearly Leave Tracker'!A:NU,379,0),"")</f>
        <v/>
      </c>
      <c r="J302" t="str">
        <f>IFERROR(VLOOKUP(B302,'Yearly Leave Tracker'!A:NU,380,0),"")</f>
        <v/>
      </c>
      <c r="K302" t="str">
        <f>IFERROR(VLOOKUP(B302,'Yearly Leave Tracker'!A:NU,381,0),"")</f>
        <v/>
      </c>
      <c r="L302" t="str">
        <f>IFERROR(VLOOKUP(B302,'Yearly Leave Tracker'!A:NU,382,0),"")</f>
        <v/>
      </c>
      <c r="M302" t="str">
        <f>IFERROR(VLOOKUP(B302,'Yearly Leave Tracker'!A:NU,383,0),"")</f>
        <v/>
      </c>
      <c r="N302" t="str">
        <f>IFERROR(VLOOKUP(B302,'Yearly Leave Tracker'!A:NU,384,0),"")</f>
        <v/>
      </c>
      <c r="O302" t="str">
        <f>IFERROR(VLOOKUP(B302,'Yearly Leave Tracker'!A:NU,385,0),"")</f>
        <v/>
      </c>
    </row>
    <row r="303" spans="2:15" x14ac:dyDescent="0.25">
      <c r="B303" t="str">
        <f>IFERROR(IF('Yearly Leave Tracker'!A307="","",'Yearly Leave Tracker'!A307),"")</f>
        <v/>
      </c>
      <c r="C303" t="str">
        <f>IFERROR(VLOOKUP(B303,Database!E:F,2,0),"")</f>
        <v/>
      </c>
      <c r="D303" t="str">
        <f>IFERROR(VLOOKUP(B303,'Yearly Leave Tracker'!A:NU,374,0),"")</f>
        <v/>
      </c>
      <c r="E303" t="str">
        <f>IFERROR(VLOOKUP(B303,'Yearly Leave Tracker'!A:NU,375,0),"")</f>
        <v/>
      </c>
      <c r="F303" t="str">
        <f>IFERROR(VLOOKUP(B303,'Yearly Leave Tracker'!A:NU,376,0),"")</f>
        <v/>
      </c>
      <c r="G303" t="str">
        <f>IFERROR(VLOOKUP(B303,'Yearly Leave Tracker'!A:NU,377,0),"")</f>
        <v/>
      </c>
      <c r="H303" t="str">
        <f>IFERROR(VLOOKUP(B303,'Yearly Leave Tracker'!A:NU,378,0),"")</f>
        <v/>
      </c>
      <c r="I303" t="str">
        <f>IFERROR(VLOOKUP(B303,'Yearly Leave Tracker'!A:NU,379,0),"")</f>
        <v/>
      </c>
      <c r="J303" t="str">
        <f>IFERROR(VLOOKUP(B303,'Yearly Leave Tracker'!A:NU,380,0),"")</f>
        <v/>
      </c>
      <c r="K303" t="str">
        <f>IFERROR(VLOOKUP(B303,'Yearly Leave Tracker'!A:NU,381,0),"")</f>
        <v/>
      </c>
      <c r="L303" t="str">
        <f>IFERROR(VLOOKUP(B303,'Yearly Leave Tracker'!A:NU,382,0),"")</f>
        <v/>
      </c>
      <c r="M303" t="str">
        <f>IFERROR(VLOOKUP(B303,'Yearly Leave Tracker'!A:NU,383,0),"")</f>
        <v/>
      </c>
      <c r="N303" t="str">
        <f>IFERROR(VLOOKUP(B303,'Yearly Leave Tracker'!A:NU,384,0),"")</f>
        <v/>
      </c>
      <c r="O303" t="str">
        <f>IFERROR(VLOOKUP(B303,'Yearly Leave Tracker'!A:NU,385,0),"")</f>
        <v/>
      </c>
    </row>
    <row r="304" spans="2:15" x14ac:dyDescent="0.25">
      <c r="B304" t="str">
        <f>IFERROR(IF('Yearly Leave Tracker'!A308="","",'Yearly Leave Tracker'!A308),"")</f>
        <v/>
      </c>
      <c r="C304" t="str">
        <f>IFERROR(VLOOKUP(B304,Database!E:F,2,0),"")</f>
        <v/>
      </c>
      <c r="D304" t="str">
        <f>IFERROR(VLOOKUP(B304,'Yearly Leave Tracker'!A:NU,374,0),"")</f>
        <v/>
      </c>
      <c r="E304" t="str">
        <f>IFERROR(VLOOKUP(B304,'Yearly Leave Tracker'!A:NU,375,0),"")</f>
        <v/>
      </c>
      <c r="F304" t="str">
        <f>IFERROR(VLOOKUP(B304,'Yearly Leave Tracker'!A:NU,376,0),"")</f>
        <v/>
      </c>
      <c r="G304" t="str">
        <f>IFERROR(VLOOKUP(B304,'Yearly Leave Tracker'!A:NU,377,0),"")</f>
        <v/>
      </c>
      <c r="H304" t="str">
        <f>IFERROR(VLOOKUP(B304,'Yearly Leave Tracker'!A:NU,378,0),"")</f>
        <v/>
      </c>
      <c r="I304" t="str">
        <f>IFERROR(VLOOKUP(B304,'Yearly Leave Tracker'!A:NU,379,0),"")</f>
        <v/>
      </c>
      <c r="J304" t="str">
        <f>IFERROR(VLOOKUP(B304,'Yearly Leave Tracker'!A:NU,380,0),"")</f>
        <v/>
      </c>
      <c r="K304" t="str">
        <f>IFERROR(VLOOKUP(B304,'Yearly Leave Tracker'!A:NU,381,0),"")</f>
        <v/>
      </c>
      <c r="L304" t="str">
        <f>IFERROR(VLOOKUP(B304,'Yearly Leave Tracker'!A:NU,382,0),"")</f>
        <v/>
      </c>
      <c r="M304" t="str">
        <f>IFERROR(VLOOKUP(B304,'Yearly Leave Tracker'!A:NU,383,0),"")</f>
        <v/>
      </c>
      <c r="N304" t="str">
        <f>IFERROR(VLOOKUP(B304,'Yearly Leave Tracker'!A:NU,384,0),"")</f>
        <v/>
      </c>
      <c r="O304" t="str">
        <f>IFERROR(VLOOKUP(B304,'Yearly Leave Tracker'!A:NU,385,0),"")</f>
        <v/>
      </c>
    </row>
    <row r="305" spans="2:15" x14ac:dyDescent="0.25">
      <c r="B305" t="str">
        <f>IFERROR(IF('Yearly Leave Tracker'!A309="","",'Yearly Leave Tracker'!A309),"")</f>
        <v/>
      </c>
      <c r="C305" t="str">
        <f>IFERROR(VLOOKUP(B305,Database!E:F,2,0),"")</f>
        <v/>
      </c>
      <c r="D305" t="str">
        <f>IFERROR(VLOOKUP(B305,'Yearly Leave Tracker'!A:NU,374,0),"")</f>
        <v/>
      </c>
      <c r="E305" t="str">
        <f>IFERROR(VLOOKUP(B305,'Yearly Leave Tracker'!A:NU,375,0),"")</f>
        <v/>
      </c>
      <c r="F305" t="str">
        <f>IFERROR(VLOOKUP(B305,'Yearly Leave Tracker'!A:NU,376,0),"")</f>
        <v/>
      </c>
      <c r="G305" t="str">
        <f>IFERROR(VLOOKUP(B305,'Yearly Leave Tracker'!A:NU,377,0),"")</f>
        <v/>
      </c>
      <c r="H305" t="str">
        <f>IFERROR(VLOOKUP(B305,'Yearly Leave Tracker'!A:NU,378,0),"")</f>
        <v/>
      </c>
      <c r="I305" t="str">
        <f>IFERROR(VLOOKUP(B305,'Yearly Leave Tracker'!A:NU,379,0),"")</f>
        <v/>
      </c>
      <c r="J305" t="str">
        <f>IFERROR(VLOOKUP(B305,'Yearly Leave Tracker'!A:NU,380,0),"")</f>
        <v/>
      </c>
      <c r="K305" t="str">
        <f>IFERROR(VLOOKUP(B305,'Yearly Leave Tracker'!A:NU,381,0),"")</f>
        <v/>
      </c>
      <c r="L305" t="str">
        <f>IFERROR(VLOOKUP(B305,'Yearly Leave Tracker'!A:NU,382,0),"")</f>
        <v/>
      </c>
      <c r="M305" t="str">
        <f>IFERROR(VLOOKUP(B305,'Yearly Leave Tracker'!A:NU,383,0),"")</f>
        <v/>
      </c>
      <c r="N305" t="str">
        <f>IFERROR(VLOOKUP(B305,'Yearly Leave Tracker'!A:NU,384,0),"")</f>
        <v/>
      </c>
      <c r="O305" t="str">
        <f>IFERROR(VLOOKUP(B305,'Yearly Leave Tracker'!A:NU,385,0),"")</f>
        <v/>
      </c>
    </row>
    <row r="306" spans="2:15" x14ac:dyDescent="0.25">
      <c r="B306" t="str">
        <f>IFERROR(IF('Yearly Leave Tracker'!A310="","",'Yearly Leave Tracker'!A310),"")</f>
        <v/>
      </c>
      <c r="C306" t="str">
        <f>IFERROR(VLOOKUP(B306,Database!E:F,2,0),"")</f>
        <v/>
      </c>
      <c r="D306" t="str">
        <f>IFERROR(VLOOKUP(B306,'Yearly Leave Tracker'!A:NU,374,0),"")</f>
        <v/>
      </c>
      <c r="E306" t="str">
        <f>IFERROR(VLOOKUP(B306,'Yearly Leave Tracker'!A:NU,375,0),"")</f>
        <v/>
      </c>
      <c r="F306" t="str">
        <f>IFERROR(VLOOKUP(B306,'Yearly Leave Tracker'!A:NU,376,0),"")</f>
        <v/>
      </c>
      <c r="G306" t="str">
        <f>IFERROR(VLOOKUP(B306,'Yearly Leave Tracker'!A:NU,377,0),"")</f>
        <v/>
      </c>
      <c r="H306" t="str">
        <f>IFERROR(VLOOKUP(B306,'Yearly Leave Tracker'!A:NU,378,0),"")</f>
        <v/>
      </c>
      <c r="I306" t="str">
        <f>IFERROR(VLOOKUP(B306,'Yearly Leave Tracker'!A:NU,379,0),"")</f>
        <v/>
      </c>
      <c r="J306" t="str">
        <f>IFERROR(VLOOKUP(B306,'Yearly Leave Tracker'!A:NU,380,0),"")</f>
        <v/>
      </c>
      <c r="K306" t="str">
        <f>IFERROR(VLOOKUP(B306,'Yearly Leave Tracker'!A:NU,381,0),"")</f>
        <v/>
      </c>
      <c r="L306" t="str">
        <f>IFERROR(VLOOKUP(B306,'Yearly Leave Tracker'!A:NU,382,0),"")</f>
        <v/>
      </c>
      <c r="M306" t="str">
        <f>IFERROR(VLOOKUP(B306,'Yearly Leave Tracker'!A:NU,383,0),"")</f>
        <v/>
      </c>
      <c r="N306" t="str">
        <f>IFERROR(VLOOKUP(B306,'Yearly Leave Tracker'!A:NU,384,0),"")</f>
        <v/>
      </c>
      <c r="O306" t="str">
        <f>IFERROR(VLOOKUP(B306,'Yearly Leave Tracker'!A:NU,385,0),"")</f>
        <v/>
      </c>
    </row>
    <row r="307" spans="2:15" x14ac:dyDescent="0.25">
      <c r="B307" t="str">
        <f>IFERROR(IF('Yearly Leave Tracker'!A311="","",'Yearly Leave Tracker'!A311),"")</f>
        <v/>
      </c>
      <c r="C307" t="str">
        <f>IFERROR(VLOOKUP(B307,Database!E:F,2,0),"")</f>
        <v/>
      </c>
      <c r="D307" t="str">
        <f>IFERROR(VLOOKUP(B307,'Yearly Leave Tracker'!A:NU,374,0),"")</f>
        <v/>
      </c>
      <c r="E307" t="str">
        <f>IFERROR(VLOOKUP(B307,'Yearly Leave Tracker'!A:NU,375,0),"")</f>
        <v/>
      </c>
      <c r="F307" t="str">
        <f>IFERROR(VLOOKUP(B307,'Yearly Leave Tracker'!A:NU,376,0),"")</f>
        <v/>
      </c>
      <c r="G307" t="str">
        <f>IFERROR(VLOOKUP(B307,'Yearly Leave Tracker'!A:NU,377,0),"")</f>
        <v/>
      </c>
      <c r="H307" t="str">
        <f>IFERROR(VLOOKUP(B307,'Yearly Leave Tracker'!A:NU,378,0),"")</f>
        <v/>
      </c>
      <c r="I307" t="str">
        <f>IFERROR(VLOOKUP(B307,'Yearly Leave Tracker'!A:NU,379,0),"")</f>
        <v/>
      </c>
      <c r="J307" t="str">
        <f>IFERROR(VLOOKUP(B307,'Yearly Leave Tracker'!A:NU,380,0),"")</f>
        <v/>
      </c>
      <c r="K307" t="str">
        <f>IFERROR(VLOOKUP(B307,'Yearly Leave Tracker'!A:NU,381,0),"")</f>
        <v/>
      </c>
      <c r="L307" t="str">
        <f>IFERROR(VLOOKUP(B307,'Yearly Leave Tracker'!A:NU,382,0),"")</f>
        <v/>
      </c>
      <c r="M307" t="str">
        <f>IFERROR(VLOOKUP(B307,'Yearly Leave Tracker'!A:NU,383,0),"")</f>
        <v/>
      </c>
      <c r="N307" t="str">
        <f>IFERROR(VLOOKUP(B307,'Yearly Leave Tracker'!A:NU,384,0),"")</f>
        <v/>
      </c>
      <c r="O307" t="str">
        <f>IFERROR(VLOOKUP(B307,'Yearly Leave Tracker'!A:NU,385,0),"")</f>
        <v/>
      </c>
    </row>
    <row r="308" spans="2:15" x14ac:dyDescent="0.25">
      <c r="B308" t="str">
        <f>IFERROR(IF('Yearly Leave Tracker'!A312="","",'Yearly Leave Tracker'!A312),"")</f>
        <v/>
      </c>
      <c r="C308" t="str">
        <f>IFERROR(VLOOKUP(B308,Database!E:F,2,0),"")</f>
        <v/>
      </c>
      <c r="D308" t="str">
        <f>IFERROR(VLOOKUP(B308,'Yearly Leave Tracker'!A:NU,374,0),"")</f>
        <v/>
      </c>
      <c r="E308" t="str">
        <f>IFERROR(VLOOKUP(B308,'Yearly Leave Tracker'!A:NU,375,0),"")</f>
        <v/>
      </c>
      <c r="F308" t="str">
        <f>IFERROR(VLOOKUP(B308,'Yearly Leave Tracker'!A:NU,376,0),"")</f>
        <v/>
      </c>
      <c r="G308" t="str">
        <f>IFERROR(VLOOKUP(B308,'Yearly Leave Tracker'!A:NU,377,0),"")</f>
        <v/>
      </c>
      <c r="H308" t="str">
        <f>IFERROR(VLOOKUP(B308,'Yearly Leave Tracker'!A:NU,378,0),"")</f>
        <v/>
      </c>
      <c r="I308" t="str">
        <f>IFERROR(VLOOKUP(B308,'Yearly Leave Tracker'!A:NU,379,0),"")</f>
        <v/>
      </c>
      <c r="J308" t="str">
        <f>IFERROR(VLOOKUP(B308,'Yearly Leave Tracker'!A:NU,380,0),"")</f>
        <v/>
      </c>
      <c r="K308" t="str">
        <f>IFERROR(VLOOKUP(B308,'Yearly Leave Tracker'!A:NU,381,0),"")</f>
        <v/>
      </c>
      <c r="L308" t="str">
        <f>IFERROR(VLOOKUP(B308,'Yearly Leave Tracker'!A:NU,382,0),"")</f>
        <v/>
      </c>
      <c r="M308" t="str">
        <f>IFERROR(VLOOKUP(B308,'Yearly Leave Tracker'!A:NU,383,0),"")</f>
        <v/>
      </c>
      <c r="N308" t="str">
        <f>IFERROR(VLOOKUP(B308,'Yearly Leave Tracker'!A:NU,384,0),"")</f>
        <v/>
      </c>
      <c r="O308" t="str">
        <f>IFERROR(VLOOKUP(B308,'Yearly Leave Tracker'!A:NU,385,0),"")</f>
        <v/>
      </c>
    </row>
    <row r="309" spans="2:15" x14ac:dyDescent="0.25">
      <c r="B309" t="str">
        <f>IFERROR(IF('Yearly Leave Tracker'!A313="","",'Yearly Leave Tracker'!A313),"")</f>
        <v/>
      </c>
      <c r="C309" t="str">
        <f>IFERROR(VLOOKUP(B309,Database!E:F,2,0),"")</f>
        <v/>
      </c>
      <c r="D309" t="str">
        <f>IFERROR(VLOOKUP(B309,'Yearly Leave Tracker'!A:NU,374,0),"")</f>
        <v/>
      </c>
      <c r="E309" t="str">
        <f>IFERROR(VLOOKUP(B309,'Yearly Leave Tracker'!A:NU,375,0),"")</f>
        <v/>
      </c>
      <c r="F309" t="str">
        <f>IFERROR(VLOOKUP(B309,'Yearly Leave Tracker'!A:NU,376,0),"")</f>
        <v/>
      </c>
      <c r="G309" t="str">
        <f>IFERROR(VLOOKUP(B309,'Yearly Leave Tracker'!A:NU,377,0),"")</f>
        <v/>
      </c>
      <c r="H309" t="str">
        <f>IFERROR(VLOOKUP(B309,'Yearly Leave Tracker'!A:NU,378,0),"")</f>
        <v/>
      </c>
      <c r="I309" t="str">
        <f>IFERROR(VLOOKUP(B309,'Yearly Leave Tracker'!A:NU,379,0),"")</f>
        <v/>
      </c>
      <c r="J309" t="str">
        <f>IFERROR(VLOOKUP(B309,'Yearly Leave Tracker'!A:NU,380,0),"")</f>
        <v/>
      </c>
      <c r="K309" t="str">
        <f>IFERROR(VLOOKUP(B309,'Yearly Leave Tracker'!A:NU,381,0),"")</f>
        <v/>
      </c>
      <c r="L309" t="str">
        <f>IFERROR(VLOOKUP(B309,'Yearly Leave Tracker'!A:NU,382,0),"")</f>
        <v/>
      </c>
      <c r="M309" t="str">
        <f>IFERROR(VLOOKUP(B309,'Yearly Leave Tracker'!A:NU,383,0),"")</f>
        <v/>
      </c>
      <c r="N309" t="str">
        <f>IFERROR(VLOOKUP(B309,'Yearly Leave Tracker'!A:NU,384,0),"")</f>
        <v/>
      </c>
      <c r="O309" t="str">
        <f>IFERROR(VLOOKUP(B309,'Yearly Leave Tracker'!A:NU,385,0),"")</f>
        <v/>
      </c>
    </row>
    <row r="310" spans="2:15" x14ac:dyDescent="0.25">
      <c r="B310" t="str">
        <f>IFERROR(IF('Yearly Leave Tracker'!A314="","",'Yearly Leave Tracker'!A314),"")</f>
        <v/>
      </c>
      <c r="C310" t="str">
        <f>IFERROR(VLOOKUP(B310,Database!E:F,2,0),"")</f>
        <v/>
      </c>
      <c r="D310" t="str">
        <f>IFERROR(VLOOKUP(B310,'Yearly Leave Tracker'!A:NU,374,0),"")</f>
        <v/>
      </c>
      <c r="E310" t="str">
        <f>IFERROR(VLOOKUP(B310,'Yearly Leave Tracker'!A:NU,375,0),"")</f>
        <v/>
      </c>
      <c r="F310" t="str">
        <f>IFERROR(VLOOKUP(B310,'Yearly Leave Tracker'!A:NU,376,0),"")</f>
        <v/>
      </c>
      <c r="G310" t="str">
        <f>IFERROR(VLOOKUP(B310,'Yearly Leave Tracker'!A:NU,377,0),"")</f>
        <v/>
      </c>
      <c r="H310" t="str">
        <f>IFERROR(VLOOKUP(B310,'Yearly Leave Tracker'!A:NU,378,0),"")</f>
        <v/>
      </c>
      <c r="I310" t="str">
        <f>IFERROR(VLOOKUP(B310,'Yearly Leave Tracker'!A:NU,379,0),"")</f>
        <v/>
      </c>
      <c r="J310" t="str">
        <f>IFERROR(VLOOKUP(B310,'Yearly Leave Tracker'!A:NU,380,0),"")</f>
        <v/>
      </c>
      <c r="K310" t="str">
        <f>IFERROR(VLOOKUP(B310,'Yearly Leave Tracker'!A:NU,381,0),"")</f>
        <v/>
      </c>
      <c r="L310" t="str">
        <f>IFERROR(VLOOKUP(B310,'Yearly Leave Tracker'!A:NU,382,0),"")</f>
        <v/>
      </c>
      <c r="M310" t="str">
        <f>IFERROR(VLOOKUP(B310,'Yearly Leave Tracker'!A:NU,383,0),"")</f>
        <v/>
      </c>
      <c r="N310" t="str">
        <f>IFERROR(VLOOKUP(B310,'Yearly Leave Tracker'!A:NU,384,0),"")</f>
        <v/>
      </c>
      <c r="O310" t="str">
        <f>IFERROR(VLOOKUP(B310,'Yearly Leave Tracker'!A:NU,385,0),"")</f>
        <v/>
      </c>
    </row>
    <row r="311" spans="2:15" x14ac:dyDescent="0.25">
      <c r="B311" t="str">
        <f>IFERROR(IF('Yearly Leave Tracker'!A315="","",'Yearly Leave Tracker'!A315),"")</f>
        <v/>
      </c>
      <c r="C311" t="str">
        <f>IFERROR(VLOOKUP(B311,Database!E:F,2,0),"")</f>
        <v/>
      </c>
      <c r="D311" t="str">
        <f>IFERROR(VLOOKUP(B311,'Yearly Leave Tracker'!A:NU,374,0),"")</f>
        <v/>
      </c>
      <c r="E311" t="str">
        <f>IFERROR(VLOOKUP(B311,'Yearly Leave Tracker'!A:NU,375,0),"")</f>
        <v/>
      </c>
      <c r="F311" t="str">
        <f>IFERROR(VLOOKUP(B311,'Yearly Leave Tracker'!A:NU,376,0),"")</f>
        <v/>
      </c>
      <c r="G311" t="str">
        <f>IFERROR(VLOOKUP(B311,'Yearly Leave Tracker'!A:NU,377,0),"")</f>
        <v/>
      </c>
      <c r="H311" t="str">
        <f>IFERROR(VLOOKUP(B311,'Yearly Leave Tracker'!A:NU,378,0),"")</f>
        <v/>
      </c>
      <c r="I311" t="str">
        <f>IFERROR(VLOOKUP(B311,'Yearly Leave Tracker'!A:NU,379,0),"")</f>
        <v/>
      </c>
      <c r="J311" t="str">
        <f>IFERROR(VLOOKUP(B311,'Yearly Leave Tracker'!A:NU,380,0),"")</f>
        <v/>
      </c>
      <c r="K311" t="str">
        <f>IFERROR(VLOOKUP(B311,'Yearly Leave Tracker'!A:NU,381,0),"")</f>
        <v/>
      </c>
      <c r="L311" t="str">
        <f>IFERROR(VLOOKUP(B311,'Yearly Leave Tracker'!A:NU,382,0),"")</f>
        <v/>
      </c>
      <c r="M311" t="str">
        <f>IFERROR(VLOOKUP(B311,'Yearly Leave Tracker'!A:NU,383,0),"")</f>
        <v/>
      </c>
      <c r="N311" t="str">
        <f>IFERROR(VLOOKUP(B311,'Yearly Leave Tracker'!A:NU,384,0),"")</f>
        <v/>
      </c>
      <c r="O311" t="str">
        <f>IFERROR(VLOOKUP(B311,'Yearly Leave Tracker'!A:NU,385,0),"")</f>
        <v/>
      </c>
    </row>
    <row r="312" spans="2:15" x14ac:dyDescent="0.25">
      <c r="B312" t="str">
        <f>IFERROR(IF('Yearly Leave Tracker'!A316="","",'Yearly Leave Tracker'!A316),"")</f>
        <v/>
      </c>
      <c r="C312" t="str">
        <f>IFERROR(VLOOKUP(B312,Database!E:F,2,0),"")</f>
        <v/>
      </c>
      <c r="D312" t="str">
        <f>IFERROR(VLOOKUP(B312,'Yearly Leave Tracker'!A:NU,374,0),"")</f>
        <v/>
      </c>
      <c r="E312" t="str">
        <f>IFERROR(VLOOKUP(B312,'Yearly Leave Tracker'!A:NU,375,0),"")</f>
        <v/>
      </c>
      <c r="F312" t="str">
        <f>IFERROR(VLOOKUP(B312,'Yearly Leave Tracker'!A:NU,376,0),"")</f>
        <v/>
      </c>
      <c r="G312" t="str">
        <f>IFERROR(VLOOKUP(B312,'Yearly Leave Tracker'!A:NU,377,0),"")</f>
        <v/>
      </c>
      <c r="H312" t="str">
        <f>IFERROR(VLOOKUP(B312,'Yearly Leave Tracker'!A:NU,378,0),"")</f>
        <v/>
      </c>
      <c r="I312" t="str">
        <f>IFERROR(VLOOKUP(B312,'Yearly Leave Tracker'!A:NU,379,0),"")</f>
        <v/>
      </c>
      <c r="J312" t="str">
        <f>IFERROR(VLOOKUP(B312,'Yearly Leave Tracker'!A:NU,380,0),"")</f>
        <v/>
      </c>
      <c r="K312" t="str">
        <f>IFERROR(VLOOKUP(B312,'Yearly Leave Tracker'!A:NU,381,0),"")</f>
        <v/>
      </c>
      <c r="L312" t="str">
        <f>IFERROR(VLOOKUP(B312,'Yearly Leave Tracker'!A:NU,382,0),"")</f>
        <v/>
      </c>
      <c r="M312" t="str">
        <f>IFERROR(VLOOKUP(B312,'Yearly Leave Tracker'!A:NU,383,0),"")</f>
        <v/>
      </c>
      <c r="N312" t="str">
        <f>IFERROR(VLOOKUP(B312,'Yearly Leave Tracker'!A:NU,384,0),"")</f>
        <v/>
      </c>
      <c r="O312" t="str">
        <f>IFERROR(VLOOKUP(B312,'Yearly Leave Tracker'!A:NU,385,0),"")</f>
        <v/>
      </c>
    </row>
    <row r="313" spans="2:15" x14ac:dyDescent="0.25">
      <c r="B313" t="str">
        <f>IFERROR(IF('Yearly Leave Tracker'!A317="","",'Yearly Leave Tracker'!A317),"")</f>
        <v/>
      </c>
      <c r="C313" t="str">
        <f>IFERROR(VLOOKUP(B313,Database!E:F,2,0),"")</f>
        <v/>
      </c>
      <c r="D313" t="str">
        <f>IFERROR(VLOOKUP(B313,'Yearly Leave Tracker'!A:NU,374,0),"")</f>
        <v/>
      </c>
      <c r="E313" t="str">
        <f>IFERROR(VLOOKUP(B313,'Yearly Leave Tracker'!A:NU,375,0),"")</f>
        <v/>
      </c>
      <c r="F313" t="str">
        <f>IFERROR(VLOOKUP(B313,'Yearly Leave Tracker'!A:NU,376,0),"")</f>
        <v/>
      </c>
      <c r="G313" t="str">
        <f>IFERROR(VLOOKUP(B313,'Yearly Leave Tracker'!A:NU,377,0),"")</f>
        <v/>
      </c>
      <c r="H313" t="str">
        <f>IFERROR(VLOOKUP(B313,'Yearly Leave Tracker'!A:NU,378,0),"")</f>
        <v/>
      </c>
      <c r="I313" t="str">
        <f>IFERROR(VLOOKUP(B313,'Yearly Leave Tracker'!A:NU,379,0),"")</f>
        <v/>
      </c>
      <c r="J313" t="str">
        <f>IFERROR(VLOOKUP(B313,'Yearly Leave Tracker'!A:NU,380,0),"")</f>
        <v/>
      </c>
      <c r="K313" t="str">
        <f>IFERROR(VLOOKUP(B313,'Yearly Leave Tracker'!A:NU,381,0),"")</f>
        <v/>
      </c>
      <c r="L313" t="str">
        <f>IFERROR(VLOOKUP(B313,'Yearly Leave Tracker'!A:NU,382,0),"")</f>
        <v/>
      </c>
      <c r="M313" t="str">
        <f>IFERROR(VLOOKUP(B313,'Yearly Leave Tracker'!A:NU,383,0),"")</f>
        <v/>
      </c>
      <c r="N313" t="str">
        <f>IFERROR(VLOOKUP(B313,'Yearly Leave Tracker'!A:NU,384,0),"")</f>
        <v/>
      </c>
      <c r="O313" t="str">
        <f>IFERROR(VLOOKUP(B313,'Yearly Leave Tracker'!A:NU,385,0),"")</f>
        <v/>
      </c>
    </row>
    <row r="314" spans="2:15" x14ac:dyDescent="0.25">
      <c r="B314" t="str">
        <f>IFERROR(IF('Yearly Leave Tracker'!A318="","",'Yearly Leave Tracker'!A318),"")</f>
        <v/>
      </c>
      <c r="C314" t="str">
        <f>IFERROR(VLOOKUP(B314,Database!E:F,2,0),"")</f>
        <v/>
      </c>
      <c r="D314" t="str">
        <f>IFERROR(VLOOKUP(B314,'Yearly Leave Tracker'!A:NU,374,0),"")</f>
        <v/>
      </c>
      <c r="E314" t="str">
        <f>IFERROR(VLOOKUP(B314,'Yearly Leave Tracker'!A:NU,375,0),"")</f>
        <v/>
      </c>
      <c r="F314" t="str">
        <f>IFERROR(VLOOKUP(B314,'Yearly Leave Tracker'!A:NU,376,0),"")</f>
        <v/>
      </c>
      <c r="G314" t="str">
        <f>IFERROR(VLOOKUP(B314,'Yearly Leave Tracker'!A:NU,377,0),"")</f>
        <v/>
      </c>
      <c r="H314" t="str">
        <f>IFERROR(VLOOKUP(B314,'Yearly Leave Tracker'!A:NU,378,0),"")</f>
        <v/>
      </c>
      <c r="I314" t="str">
        <f>IFERROR(VLOOKUP(B314,'Yearly Leave Tracker'!A:NU,379,0),"")</f>
        <v/>
      </c>
      <c r="J314" t="str">
        <f>IFERROR(VLOOKUP(B314,'Yearly Leave Tracker'!A:NU,380,0),"")</f>
        <v/>
      </c>
      <c r="K314" t="str">
        <f>IFERROR(VLOOKUP(B314,'Yearly Leave Tracker'!A:NU,381,0),"")</f>
        <v/>
      </c>
      <c r="L314" t="str">
        <f>IFERROR(VLOOKUP(B314,'Yearly Leave Tracker'!A:NU,382,0),"")</f>
        <v/>
      </c>
      <c r="M314" t="str">
        <f>IFERROR(VLOOKUP(B314,'Yearly Leave Tracker'!A:NU,383,0),"")</f>
        <v/>
      </c>
      <c r="N314" t="str">
        <f>IFERROR(VLOOKUP(B314,'Yearly Leave Tracker'!A:NU,384,0),"")</f>
        <v/>
      </c>
      <c r="O314" t="str">
        <f>IFERROR(VLOOKUP(B314,'Yearly Leave Tracker'!A:NU,385,0),"")</f>
        <v/>
      </c>
    </row>
    <row r="315" spans="2:15" x14ac:dyDescent="0.25">
      <c r="B315" t="str">
        <f>IFERROR(IF('Yearly Leave Tracker'!A319="","",'Yearly Leave Tracker'!A319),"")</f>
        <v/>
      </c>
      <c r="C315" t="str">
        <f>IFERROR(VLOOKUP(B315,Database!E:F,2,0),"")</f>
        <v/>
      </c>
      <c r="D315" t="str">
        <f>IFERROR(VLOOKUP(B315,'Yearly Leave Tracker'!A:NU,374,0),"")</f>
        <v/>
      </c>
      <c r="E315" t="str">
        <f>IFERROR(VLOOKUP(B315,'Yearly Leave Tracker'!A:NU,375,0),"")</f>
        <v/>
      </c>
      <c r="F315" t="str">
        <f>IFERROR(VLOOKUP(B315,'Yearly Leave Tracker'!A:NU,376,0),"")</f>
        <v/>
      </c>
      <c r="G315" t="str">
        <f>IFERROR(VLOOKUP(B315,'Yearly Leave Tracker'!A:NU,377,0),"")</f>
        <v/>
      </c>
      <c r="H315" t="str">
        <f>IFERROR(VLOOKUP(B315,'Yearly Leave Tracker'!A:NU,378,0),"")</f>
        <v/>
      </c>
      <c r="I315" t="str">
        <f>IFERROR(VLOOKUP(B315,'Yearly Leave Tracker'!A:NU,379,0),"")</f>
        <v/>
      </c>
      <c r="J315" t="str">
        <f>IFERROR(VLOOKUP(B315,'Yearly Leave Tracker'!A:NU,380,0),"")</f>
        <v/>
      </c>
      <c r="K315" t="str">
        <f>IFERROR(VLOOKUP(B315,'Yearly Leave Tracker'!A:NU,381,0),"")</f>
        <v/>
      </c>
      <c r="L315" t="str">
        <f>IFERROR(VLOOKUP(B315,'Yearly Leave Tracker'!A:NU,382,0),"")</f>
        <v/>
      </c>
      <c r="M315" t="str">
        <f>IFERROR(VLOOKUP(B315,'Yearly Leave Tracker'!A:NU,383,0),"")</f>
        <v/>
      </c>
      <c r="N315" t="str">
        <f>IFERROR(VLOOKUP(B315,'Yearly Leave Tracker'!A:NU,384,0),"")</f>
        <v/>
      </c>
      <c r="O315" t="str">
        <f>IFERROR(VLOOKUP(B315,'Yearly Leave Tracker'!A:NU,385,0),"")</f>
        <v/>
      </c>
    </row>
    <row r="316" spans="2:15" x14ac:dyDescent="0.25">
      <c r="B316" t="str">
        <f>IFERROR(IF('Yearly Leave Tracker'!A320="","",'Yearly Leave Tracker'!A320),"")</f>
        <v/>
      </c>
      <c r="C316" t="str">
        <f>IFERROR(VLOOKUP(B316,Database!E:F,2,0),"")</f>
        <v/>
      </c>
      <c r="D316" t="str">
        <f>IFERROR(VLOOKUP(B316,'Yearly Leave Tracker'!A:NU,374,0),"")</f>
        <v/>
      </c>
      <c r="E316" t="str">
        <f>IFERROR(VLOOKUP(B316,'Yearly Leave Tracker'!A:NU,375,0),"")</f>
        <v/>
      </c>
      <c r="F316" t="str">
        <f>IFERROR(VLOOKUP(B316,'Yearly Leave Tracker'!A:NU,376,0),"")</f>
        <v/>
      </c>
      <c r="G316" t="str">
        <f>IFERROR(VLOOKUP(B316,'Yearly Leave Tracker'!A:NU,377,0),"")</f>
        <v/>
      </c>
      <c r="H316" t="str">
        <f>IFERROR(VLOOKUP(B316,'Yearly Leave Tracker'!A:NU,378,0),"")</f>
        <v/>
      </c>
      <c r="I316" t="str">
        <f>IFERROR(VLOOKUP(B316,'Yearly Leave Tracker'!A:NU,379,0),"")</f>
        <v/>
      </c>
      <c r="J316" t="str">
        <f>IFERROR(VLOOKUP(B316,'Yearly Leave Tracker'!A:NU,380,0),"")</f>
        <v/>
      </c>
      <c r="K316" t="str">
        <f>IFERROR(VLOOKUP(B316,'Yearly Leave Tracker'!A:NU,381,0),"")</f>
        <v/>
      </c>
      <c r="L316" t="str">
        <f>IFERROR(VLOOKUP(B316,'Yearly Leave Tracker'!A:NU,382,0),"")</f>
        <v/>
      </c>
      <c r="M316" t="str">
        <f>IFERROR(VLOOKUP(B316,'Yearly Leave Tracker'!A:NU,383,0),"")</f>
        <v/>
      </c>
      <c r="N316" t="str">
        <f>IFERROR(VLOOKUP(B316,'Yearly Leave Tracker'!A:NU,384,0),"")</f>
        <v/>
      </c>
      <c r="O316" t="str">
        <f>IFERROR(VLOOKUP(B316,'Yearly Leave Tracker'!A:NU,385,0),"")</f>
        <v/>
      </c>
    </row>
    <row r="317" spans="2:15" x14ac:dyDescent="0.25">
      <c r="B317" t="str">
        <f>IFERROR(IF('Yearly Leave Tracker'!A321="","",'Yearly Leave Tracker'!A321),"")</f>
        <v/>
      </c>
      <c r="C317" t="str">
        <f>IFERROR(VLOOKUP(B317,Database!E:F,2,0),"")</f>
        <v/>
      </c>
      <c r="D317" t="str">
        <f>IFERROR(VLOOKUP(B317,'Yearly Leave Tracker'!A:NU,374,0),"")</f>
        <v/>
      </c>
      <c r="E317" t="str">
        <f>IFERROR(VLOOKUP(B317,'Yearly Leave Tracker'!A:NU,375,0),"")</f>
        <v/>
      </c>
      <c r="F317" t="str">
        <f>IFERROR(VLOOKUP(B317,'Yearly Leave Tracker'!A:NU,376,0),"")</f>
        <v/>
      </c>
      <c r="G317" t="str">
        <f>IFERROR(VLOOKUP(B317,'Yearly Leave Tracker'!A:NU,377,0),"")</f>
        <v/>
      </c>
      <c r="H317" t="str">
        <f>IFERROR(VLOOKUP(B317,'Yearly Leave Tracker'!A:NU,378,0),"")</f>
        <v/>
      </c>
      <c r="I317" t="str">
        <f>IFERROR(VLOOKUP(B317,'Yearly Leave Tracker'!A:NU,379,0),"")</f>
        <v/>
      </c>
      <c r="J317" t="str">
        <f>IFERROR(VLOOKUP(B317,'Yearly Leave Tracker'!A:NU,380,0),"")</f>
        <v/>
      </c>
      <c r="K317" t="str">
        <f>IFERROR(VLOOKUP(B317,'Yearly Leave Tracker'!A:NU,381,0),"")</f>
        <v/>
      </c>
      <c r="L317" t="str">
        <f>IFERROR(VLOOKUP(B317,'Yearly Leave Tracker'!A:NU,382,0),"")</f>
        <v/>
      </c>
      <c r="M317" t="str">
        <f>IFERROR(VLOOKUP(B317,'Yearly Leave Tracker'!A:NU,383,0),"")</f>
        <v/>
      </c>
      <c r="N317" t="str">
        <f>IFERROR(VLOOKUP(B317,'Yearly Leave Tracker'!A:NU,384,0),"")</f>
        <v/>
      </c>
      <c r="O317" t="str">
        <f>IFERROR(VLOOKUP(B317,'Yearly Leave Tracker'!A:NU,385,0),"")</f>
        <v/>
      </c>
    </row>
    <row r="318" spans="2:15" x14ac:dyDescent="0.25">
      <c r="B318" t="str">
        <f>IFERROR(IF('Yearly Leave Tracker'!A322="","",'Yearly Leave Tracker'!A322),"")</f>
        <v/>
      </c>
      <c r="C318" t="str">
        <f>IFERROR(VLOOKUP(B318,Database!E:F,2,0),"")</f>
        <v/>
      </c>
      <c r="D318" t="str">
        <f>IFERROR(VLOOKUP(B318,'Yearly Leave Tracker'!A:NU,374,0),"")</f>
        <v/>
      </c>
      <c r="E318" t="str">
        <f>IFERROR(VLOOKUP(B318,'Yearly Leave Tracker'!A:NU,375,0),"")</f>
        <v/>
      </c>
      <c r="F318" t="str">
        <f>IFERROR(VLOOKUP(B318,'Yearly Leave Tracker'!A:NU,376,0),"")</f>
        <v/>
      </c>
      <c r="G318" t="str">
        <f>IFERROR(VLOOKUP(B318,'Yearly Leave Tracker'!A:NU,377,0),"")</f>
        <v/>
      </c>
      <c r="H318" t="str">
        <f>IFERROR(VLOOKUP(B318,'Yearly Leave Tracker'!A:NU,378,0),"")</f>
        <v/>
      </c>
      <c r="I318" t="str">
        <f>IFERROR(VLOOKUP(B318,'Yearly Leave Tracker'!A:NU,379,0),"")</f>
        <v/>
      </c>
      <c r="J318" t="str">
        <f>IFERROR(VLOOKUP(B318,'Yearly Leave Tracker'!A:NU,380,0),"")</f>
        <v/>
      </c>
      <c r="K318" t="str">
        <f>IFERROR(VLOOKUP(B318,'Yearly Leave Tracker'!A:NU,381,0),"")</f>
        <v/>
      </c>
      <c r="L318" t="str">
        <f>IFERROR(VLOOKUP(B318,'Yearly Leave Tracker'!A:NU,382,0),"")</f>
        <v/>
      </c>
      <c r="M318" t="str">
        <f>IFERROR(VLOOKUP(B318,'Yearly Leave Tracker'!A:NU,383,0),"")</f>
        <v/>
      </c>
      <c r="N318" t="str">
        <f>IFERROR(VLOOKUP(B318,'Yearly Leave Tracker'!A:NU,384,0),"")</f>
        <v/>
      </c>
      <c r="O318" t="str">
        <f>IFERROR(VLOOKUP(B318,'Yearly Leave Tracker'!A:NU,385,0),"")</f>
        <v/>
      </c>
    </row>
    <row r="319" spans="2:15" x14ac:dyDescent="0.25">
      <c r="B319" t="str">
        <f>IFERROR(IF('Yearly Leave Tracker'!A323="","",'Yearly Leave Tracker'!A323),"")</f>
        <v/>
      </c>
      <c r="C319" t="str">
        <f>IFERROR(VLOOKUP(B319,Database!E:F,2,0),"")</f>
        <v/>
      </c>
      <c r="D319" t="str">
        <f>IFERROR(VLOOKUP(B319,'Yearly Leave Tracker'!A:NU,374,0),"")</f>
        <v/>
      </c>
      <c r="E319" t="str">
        <f>IFERROR(VLOOKUP(B319,'Yearly Leave Tracker'!A:NU,375,0),"")</f>
        <v/>
      </c>
      <c r="F319" t="str">
        <f>IFERROR(VLOOKUP(B319,'Yearly Leave Tracker'!A:NU,376,0),"")</f>
        <v/>
      </c>
      <c r="G319" t="str">
        <f>IFERROR(VLOOKUP(B319,'Yearly Leave Tracker'!A:NU,377,0),"")</f>
        <v/>
      </c>
      <c r="H319" t="str">
        <f>IFERROR(VLOOKUP(B319,'Yearly Leave Tracker'!A:NU,378,0),"")</f>
        <v/>
      </c>
      <c r="I319" t="str">
        <f>IFERROR(VLOOKUP(B319,'Yearly Leave Tracker'!A:NU,379,0),"")</f>
        <v/>
      </c>
      <c r="J319" t="str">
        <f>IFERROR(VLOOKUP(B319,'Yearly Leave Tracker'!A:NU,380,0),"")</f>
        <v/>
      </c>
      <c r="K319" t="str">
        <f>IFERROR(VLOOKUP(B319,'Yearly Leave Tracker'!A:NU,381,0),"")</f>
        <v/>
      </c>
      <c r="L319" t="str">
        <f>IFERROR(VLOOKUP(B319,'Yearly Leave Tracker'!A:NU,382,0),"")</f>
        <v/>
      </c>
      <c r="M319" t="str">
        <f>IFERROR(VLOOKUP(B319,'Yearly Leave Tracker'!A:NU,383,0),"")</f>
        <v/>
      </c>
      <c r="N319" t="str">
        <f>IFERROR(VLOOKUP(B319,'Yearly Leave Tracker'!A:NU,384,0),"")</f>
        <v/>
      </c>
      <c r="O319" t="str">
        <f>IFERROR(VLOOKUP(B319,'Yearly Leave Tracker'!A:NU,385,0),"")</f>
        <v/>
      </c>
    </row>
    <row r="320" spans="2:15" x14ac:dyDescent="0.25">
      <c r="B320" t="str">
        <f>IFERROR(IF('Yearly Leave Tracker'!A324="","",'Yearly Leave Tracker'!A324),"")</f>
        <v/>
      </c>
      <c r="C320" t="str">
        <f>IFERROR(VLOOKUP(B320,Database!E:F,2,0),"")</f>
        <v/>
      </c>
      <c r="D320" t="str">
        <f>IFERROR(VLOOKUP(B320,'Yearly Leave Tracker'!A:NU,374,0),"")</f>
        <v/>
      </c>
      <c r="E320" t="str">
        <f>IFERROR(VLOOKUP(B320,'Yearly Leave Tracker'!A:NU,375,0),"")</f>
        <v/>
      </c>
      <c r="F320" t="str">
        <f>IFERROR(VLOOKUP(B320,'Yearly Leave Tracker'!A:NU,376,0),"")</f>
        <v/>
      </c>
      <c r="G320" t="str">
        <f>IFERROR(VLOOKUP(B320,'Yearly Leave Tracker'!A:NU,377,0),"")</f>
        <v/>
      </c>
      <c r="H320" t="str">
        <f>IFERROR(VLOOKUP(B320,'Yearly Leave Tracker'!A:NU,378,0),"")</f>
        <v/>
      </c>
      <c r="I320" t="str">
        <f>IFERROR(VLOOKUP(B320,'Yearly Leave Tracker'!A:NU,379,0),"")</f>
        <v/>
      </c>
      <c r="J320" t="str">
        <f>IFERROR(VLOOKUP(B320,'Yearly Leave Tracker'!A:NU,380,0),"")</f>
        <v/>
      </c>
      <c r="K320" t="str">
        <f>IFERROR(VLOOKUP(B320,'Yearly Leave Tracker'!A:NU,381,0),"")</f>
        <v/>
      </c>
      <c r="L320" t="str">
        <f>IFERROR(VLOOKUP(B320,'Yearly Leave Tracker'!A:NU,382,0),"")</f>
        <v/>
      </c>
      <c r="M320" t="str">
        <f>IFERROR(VLOOKUP(B320,'Yearly Leave Tracker'!A:NU,383,0),"")</f>
        <v/>
      </c>
      <c r="N320" t="str">
        <f>IFERROR(VLOOKUP(B320,'Yearly Leave Tracker'!A:NU,384,0),"")</f>
        <v/>
      </c>
      <c r="O320" t="str">
        <f>IFERROR(VLOOKUP(B320,'Yearly Leave Tracker'!A:NU,385,0),"")</f>
        <v/>
      </c>
    </row>
    <row r="321" spans="2:15" x14ac:dyDescent="0.25">
      <c r="B321" t="str">
        <f>IFERROR(IF('Yearly Leave Tracker'!A325="","",'Yearly Leave Tracker'!A325),"")</f>
        <v/>
      </c>
      <c r="C321" t="str">
        <f>IFERROR(VLOOKUP(B321,Database!E:F,2,0),"")</f>
        <v/>
      </c>
      <c r="D321" t="str">
        <f>IFERROR(VLOOKUP(B321,'Yearly Leave Tracker'!A:NU,374,0),"")</f>
        <v/>
      </c>
      <c r="E321" t="str">
        <f>IFERROR(VLOOKUP(B321,'Yearly Leave Tracker'!A:NU,375,0),"")</f>
        <v/>
      </c>
      <c r="F321" t="str">
        <f>IFERROR(VLOOKUP(B321,'Yearly Leave Tracker'!A:NU,376,0),"")</f>
        <v/>
      </c>
      <c r="G321" t="str">
        <f>IFERROR(VLOOKUP(B321,'Yearly Leave Tracker'!A:NU,377,0),"")</f>
        <v/>
      </c>
      <c r="H321" t="str">
        <f>IFERROR(VLOOKUP(B321,'Yearly Leave Tracker'!A:NU,378,0),"")</f>
        <v/>
      </c>
      <c r="I321" t="str">
        <f>IFERROR(VLOOKUP(B321,'Yearly Leave Tracker'!A:NU,379,0),"")</f>
        <v/>
      </c>
      <c r="J321" t="str">
        <f>IFERROR(VLOOKUP(B321,'Yearly Leave Tracker'!A:NU,380,0),"")</f>
        <v/>
      </c>
      <c r="K321" t="str">
        <f>IFERROR(VLOOKUP(B321,'Yearly Leave Tracker'!A:NU,381,0),"")</f>
        <v/>
      </c>
      <c r="L321" t="str">
        <f>IFERROR(VLOOKUP(B321,'Yearly Leave Tracker'!A:NU,382,0),"")</f>
        <v/>
      </c>
      <c r="M321" t="str">
        <f>IFERROR(VLOOKUP(B321,'Yearly Leave Tracker'!A:NU,383,0),"")</f>
        <v/>
      </c>
      <c r="N321" t="str">
        <f>IFERROR(VLOOKUP(B321,'Yearly Leave Tracker'!A:NU,384,0),"")</f>
        <v/>
      </c>
      <c r="O321" t="str">
        <f>IFERROR(VLOOKUP(B321,'Yearly Leave Tracker'!A:NU,385,0),"")</f>
        <v/>
      </c>
    </row>
    <row r="322" spans="2:15" x14ac:dyDescent="0.25">
      <c r="B322" t="str">
        <f>IFERROR(IF('Yearly Leave Tracker'!A326="","",'Yearly Leave Tracker'!A326),"")</f>
        <v/>
      </c>
      <c r="C322" t="str">
        <f>IFERROR(VLOOKUP(B322,Database!E:F,2,0),"")</f>
        <v/>
      </c>
      <c r="D322" t="str">
        <f>IFERROR(VLOOKUP(B322,'Yearly Leave Tracker'!A:NU,374,0),"")</f>
        <v/>
      </c>
      <c r="E322" t="str">
        <f>IFERROR(VLOOKUP(B322,'Yearly Leave Tracker'!A:NU,375,0),"")</f>
        <v/>
      </c>
      <c r="F322" t="str">
        <f>IFERROR(VLOOKUP(B322,'Yearly Leave Tracker'!A:NU,376,0),"")</f>
        <v/>
      </c>
      <c r="G322" t="str">
        <f>IFERROR(VLOOKUP(B322,'Yearly Leave Tracker'!A:NU,377,0),"")</f>
        <v/>
      </c>
      <c r="H322" t="str">
        <f>IFERROR(VLOOKUP(B322,'Yearly Leave Tracker'!A:NU,378,0),"")</f>
        <v/>
      </c>
      <c r="I322" t="str">
        <f>IFERROR(VLOOKUP(B322,'Yearly Leave Tracker'!A:NU,379,0),"")</f>
        <v/>
      </c>
      <c r="J322" t="str">
        <f>IFERROR(VLOOKUP(B322,'Yearly Leave Tracker'!A:NU,380,0),"")</f>
        <v/>
      </c>
      <c r="K322" t="str">
        <f>IFERROR(VLOOKUP(B322,'Yearly Leave Tracker'!A:NU,381,0),"")</f>
        <v/>
      </c>
      <c r="L322" t="str">
        <f>IFERROR(VLOOKUP(B322,'Yearly Leave Tracker'!A:NU,382,0),"")</f>
        <v/>
      </c>
      <c r="M322" t="str">
        <f>IFERROR(VLOOKUP(B322,'Yearly Leave Tracker'!A:NU,383,0),"")</f>
        <v/>
      </c>
      <c r="N322" t="str">
        <f>IFERROR(VLOOKUP(B322,'Yearly Leave Tracker'!A:NU,384,0),"")</f>
        <v/>
      </c>
      <c r="O322" t="str">
        <f>IFERROR(VLOOKUP(B322,'Yearly Leave Tracker'!A:NU,385,0),"")</f>
        <v/>
      </c>
    </row>
    <row r="323" spans="2:15" x14ac:dyDescent="0.25">
      <c r="B323" t="str">
        <f>IFERROR(IF('Yearly Leave Tracker'!A327="","",'Yearly Leave Tracker'!A327),"")</f>
        <v/>
      </c>
      <c r="C323" t="str">
        <f>IFERROR(VLOOKUP(B323,Database!E:F,2,0),"")</f>
        <v/>
      </c>
      <c r="D323" t="str">
        <f>IFERROR(VLOOKUP(B323,'Yearly Leave Tracker'!A:NU,374,0),"")</f>
        <v/>
      </c>
      <c r="E323" t="str">
        <f>IFERROR(VLOOKUP(B323,'Yearly Leave Tracker'!A:NU,375,0),"")</f>
        <v/>
      </c>
      <c r="F323" t="str">
        <f>IFERROR(VLOOKUP(B323,'Yearly Leave Tracker'!A:NU,376,0),"")</f>
        <v/>
      </c>
      <c r="G323" t="str">
        <f>IFERROR(VLOOKUP(B323,'Yearly Leave Tracker'!A:NU,377,0),"")</f>
        <v/>
      </c>
      <c r="H323" t="str">
        <f>IFERROR(VLOOKUP(B323,'Yearly Leave Tracker'!A:NU,378,0),"")</f>
        <v/>
      </c>
      <c r="I323" t="str">
        <f>IFERROR(VLOOKUP(B323,'Yearly Leave Tracker'!A:NU,379,0),"")</f>
        <v/>
      </c>
      <c r="J323" t="str">
        <f>IFERROR(VLOOKUP(B323,'Yearly Leave Tracker'!A:NU,380,0),"")</f>
        <v/>
      </c>
      <c r="K323" t="str">
        <f>IFERROR(VLOOKUP(B323,'Yearly Leave Tracker'!A:NU,381,0),"")</f>
        <v/>
      </c>
      <c r="L323" t="str">
        <f>IFERROR(VLOOKUP(B323,'Yearly Leave Tracker'!A:NU,382,0),"")</f>
        <v/>
      </c>
      <c r="M323" t="str">
        <f>IFERROR(VLOOKUP(B323,'Yearly Leave Tracker'!A:NU,383,0),"")</f>
        <v/>
      </c>
      <c r="N323" t="str">
        <f>IFERROR(VLOOKUP(B323,'Yearly Leave Tracker'!A:NU,384,0),"")</f>
        <v/>
      </c>
      <c r="O323" t="str">
        <f>IFERROR(VLOOKUP(B323,'Yearly Leave Tracker'!A:NU,385,0),"")</f>
        <v/>
      </c>
    </row>
    <row r="324" spans="2:15" x14ac:dyDescent="0.25">
      <c r="B324" t="str">
        <f>IFERROR(IF('Yearly Leave Tracker'!A328="","",'Yearly Leave Tracker'!A328),"")</f>
        <v/>
      </c>
      <c r="C324" t="str">
        <f>IFERROR(VLOOKUP(B324,Database!E:F,2,0),"")</f>
        <v/>
      </c>
      <c r="D324" t="str">
        <f>IFERROR(VLOOKUP(B324,'Yearly Leave Tracker'!A:NU,374,0),"")</f>
        <v/>
      </c>
      <c r="E324" t="str">
        <f>IFERROR(VLOOKUP(B324,'Yearly Leave Tracker'!A:NU,375,0),"")</f>
        <v/>
      </c>
      <c r="F324" t="str">
        <f>IFERROR(VLOOKUP(B324,'Yearly Leave Tracker'!A:NU,376,0),"")</f>
        <v/>
      </c>
      <c r="G324" t="str">
        <f>IFERROR(VLOOKUP(B324,'Yearly Leave Tracker'!A:NU,377,0),"")</f>
        <v/>
      </c>
      <c r="H324" t="str">
        <f>IFERROR(VLOOKUP(B324,'Yearly Leave Tracker'!A:NU,378,0),"")</f>
        <v/>
      </c>
      <c r="I324" t="str">
        <f>IFERROR(VLOOKUP(B324,'Yearly Leave Tracker'!A:NU,379,0),"")</f>
        <v/>
      </c>
      <c r="J324" t="str">
        <f>IFERROR(VLOOKUP(B324,'Yearly Leave Tracker'!A:NU,380,0),"")</f>
        <v/>
      </c>
      <c r="K324" t="str">
        <f>IFERROR(VLOOKUP(B324,'Yearly Leave Tracker'!A:NU,381,0),"")</f>
        <v/>
      </c>
      <c r="L324" t="str">
        <f>IFERROR(VLOOKUP(B324,'Yearly Leave Tracker'!A:NU,382,0),"")</f>
        <v/>
      </c>
      <c r="M324" t="str">
        <f>IFERROR(VLOOKUP(B324,'Yearly Leave Tracker'!A:NU,383,0),"")</f>
        <v/>
      </c>
      <c r="N324" t="str">
        <f>IFERROR(VLOOKUP(B324,'Yearly Leave Tracker'!A:NU,384,0),"")</f>
        <v/>
      </c>
      <c r="O324" t="str">
        <f>IFERROR(VLOOKUP(B324,'Yearly Leave Tracker'!A:NU,385,0),"")</f>
        <v/>
      </c>
    </row>
    <row r="325" spans="2:15" x14ac:dyDescent="0.25">
      <c r="B325" t="str">
        <f>IFERROR(IF('Yearly Leave Tracker'!A329="","",'Yearly Leave Tracker'!A329),"")</f>
        <v/>
      </c>
      <c r="C325" t="str">
        <f>IFERROR(VLOOKUP(B325,Database!E:F,2,0),"")</f>
        <v/>
      </c>
      <c r="D325" t="str">
        <f>IFERROR(VLOOKUP(B325,'Yearly Leave Tracker'!A:NU,374,0),"")</f>
        <v/>
      </c>
      <c r="E325" t="str">
        <f>IFERROR(VLOOKUP(B325,'Yearly Leave Tracker'!A:NU,375,0),"")</f>
        <v/>
      </c>
      <c r="F325" t="str">
        <f>IFERROR(VLOOKUP(B325,'Yearly Leave Tracker'!A:NU,376,0),"")</f>
        <v/>
      </c>
      <c r="G325" t="str">
        <f>IFERROR(VLOOKUP(B325,'Yearly Leave Tracker'!A:NU,377,0),"")</f>
        <v/>
      </c>
      <c r="H325" t="str">
        <f>IFERROR(VLOOKUP(B325,'Yearly Leave Tracker'!A:NU,378,0),"")</f>
        <v/>
      </c>
      <c r="I325" t="str">
        <f>IFERROR(VLOOKUP(B325,'Yearly Leave Tracker'!A:NU,379,0),"")</f>
        <v/>
      </c>
      <c r="J325" t="str">
        <f>IFERROR(VLOOKUP(B325,'Yearly Leave Tracker'!A:NU,380,0),"")</f>
        <v/>
      </c>
      <c r="K325" t="str">
        <f>IFERROR(VLOOKUP(B325,'Yearly Leave Tracker'!A:NU,381,0),"")</f>
        <v/>
      </c>
      <c r="L325" t="str">
        <f>IFERROR(VLOOKUP(B325,'Yearly Leave Tracker'!A:NU,382,0),"")</f>
        <v/>
      </c>
      <c r="M325" t="str">
        <f>IFERROR(VLOOKUP(B325,'Yearly Leave Tracker'!A:NU,383,0),"")</f>
        <v/>
      </c>
      <c r="N325" t="str">
        <f>IFERROR(VLOOKUP(B325,'Yearly Leave Tracker'!A:NU,384,0),"")</f>
        <v/>
      </c>
      <c r="O325" t="str">
        <f>IFERROR(VLOOKUP(B325,'Yearly Leave Tracker'!A:NU,385,0),"")</f>
        <v/>
      </c>
    </row>
    <row r="326" spans="2:15" x14ac:dyDescent="0.25">
      <c r="B326" t="str">
        <f>IFERROR(IF('Yearly Leave Tracker'!A330="","",'Yearly Leave Tracker'!A330),"")</f>
        <v/>
      </c>
      <c r="C326" t="str">
        <f>IFERROR(VLOOKUP(B326,Database!E:F,2,0),"")</f>
        <v/>
      </c>
      <c r="D326" t="str">
        <f>IFERROR(VLOOKUP(B326,'Yearly Leave Tracker'!A:NU,374,0),"")</f>
        <v/>
      </c>
      <c r="E326" t="str">
        <f>IFERROR(VLOOKUP(B326,'Yearly Leave Tracker'!A:NU,375,0),"")</f>
        <v/>
      </c>
      <c r="F326" t="str">
        <f>IFERROR(VLOOKUP(B326,'Yearly Leave Tracker'!A:NU,376,0),"")</f>
        <v/>
      </c>
      <c r="G326" t="str">
        <f>IFERROR(VLOOKUP(B326,'Yearly Leave Tracker'!A:NU,377,0),"")</f>
        <v/>
      </c>
      <c r="H326" t="str">
        <f>IFERROR(VLOOKUP(B326,'Yearly Leave Tracker'!A:NU,378,0),"")</f>
        <v/>
      </c>
      <c r="I326" t="str">
        <f>IFERROR(VLOOKUP(B326,'Yearly Leave Tracker'!A:NU,379,0),"")</f>
        <v/>
      </c>
      <c r="J326" t="str">
        <f>IFERROR(VLOOKUP(B326,'Yearly Leave Tracker'!A:NU,380,0),"")</f>
        <v/>
      </c>
      <c r="K326" t="str">
        <f>IFERROR(VLOOKUP(B326,'Yearly Leave Tracker'!A:NU,381,0),"")</f>
        <v/>
      </c>
      <c r="L326" t="str">
        <f>IFERROR(VLOOKUP(B326,'Yearly Leave Tracker'!A:NU,382,0),"")</f>
        <v/>
      </c>
      <c r="M326" t="str">
        <f>IFERROR(VLOOKUP(B326,'Yearly Leave Tracker'!A:NU,383,0),"")</f>
        <v/>
      </c>
      <c r="N326" t="str">
        <f>IFERROR(VLOOKUP(B326,'Yearly Leave Tracker'!A:NU,384,0),"")</f>
        <v/>
      </c>
      <c r="O326" t="str">
        <f>IFERROR(VLOOKUP(B326,'Yearly Leave Tracker'!A:NU,385,0),"")</f>
        <v/>
      </c>
    </row>
    <row r="327" spans="2:15" x14ac:dyDescent="0.25">
      <c r="B327" t="str">
        <f>IFERROR(IF('Yearly Leave Tracker'!A331="","",'Yearly Leave Tracker'!A331),"")</f>
        <v/>
      </c>
      <c r="C327" t="str">
        <f>IFERROR(VLOOKUP(B327,Database!E:F,2,0),"")</f>
        <v/>
      </c>
      <c r="D327" t="str">
        <f>IFERROR(VLOOKUP(B327,'Yearly Leave Tracker'!A:NU,374,0),"")</f>
        <v/>
      </c>
      <c r="E327" t="str">
        <f>IFERROR(VLOOKUP(B327,'Yearly Leave Tracker'!A:NU,375,0),"")</f>
        <v/>
      </c>
      <c r="F327" t="str">
        <f>IFERROR(VLOOKUP(B327,'Yearly Leave Tracker'!A:NU,376,0),"")</f>
        <v/>
      </c>
      <c r="G327" t="str">
        <f>IFERROR(VLOOKUP(B327,'Yearly Leave Tracker'!A:NU,377,0),"")</f>
        <v/>
      </c>
      <c r="H327" t="str">
        <f>IFERROR(VLOOKUP(B327,'Yearly Leave Tracker'!A:NU,378,0),"")</f>
        <v/>
      </c>
      <c r="I327" t="str">
        <f>IFERROR(VLOOKUP(B327,'Yearly Leave Tracker'!A:NU,379,0),"")</f>
        <v/>
      </c>
      <c r="J327" t="str">
        <f>IFERROR(VLOOKUP(B327,'Yearly Leave Tracker'!A:NU,380,0),"")</f>
        <v/>
      </c>
      <c r="K327" t="str">
        <f>IFERROR(VLOOKUP(B327,'Yearly Leave Tracker'!A:NU,381,0),"")</f>
        <v/>
      </c>
      <c r="L327" t="str">
        <f>IFERROR(VLOOKUP(B327,'Yearly Leave Tracker'!A:NU,382,0),"")</f>
        <v/>
      </c>
      <c r="M327" t="str">
        <f>IFERROR(VLOOKUP(B327,'Yearly Leave Tracker'!A:NU,383,0),"")</f>
        <v/>
      </c>
      <c r="N327" t="str">
        <f>IFERROR(VLOOKUP(B327,'Yearly Leave Tracker'!A:NU,384,0),"")</f>
        <v/>
      </c>
      <c r="O327" t="str">
        <f>IFERROR(VLOOKUP(B327,'Yearly Leave Tracker'!A:NU,385,0),"")</f>
        <v/>
      </c>
    </row>
    <row r="328" spans="2:15" x14ac:dyDescent="0.25">
      <c r="B328" t="str">
        <f>IFERROR(IF('Yearly Leave Tracker'!A332="","",'Yearly Leave Tracker'!A332),"")</f>
        <v/>
      </c>
      <c r="C328" t="str">
        <f>IFERROR(VLOOKUP(B328,Database!E:F,2,0),"")</f>
        <v/>
      </c>
      <c r="D328" t="str">
        <f>IFERROR(VLOOKUP(B328,'Yearly Leave Tracker'!A:NU,374,0),"")</f>
        <v/>
      </c>
      <c r="E328" t="str">
        <f>IFERROR(VLOOKUP(B328,'Yearly Leave Tracker'!A:NU,375,0),"")</f>
        <v/>
      </c>
      <c r="F328" t="str">
        <f>IFERROR(VLOOKUP(B328,'Yearly Leave Tracker'!A:NU,376,0),"")</f>
        <v/>
      </c>
      <c r="G328" t="str">
        <f>IFERROR(VLOOKUP(B328,'Yearly Leave Tracker'!A:NU,377,0),"")</f>
        <v/>
      </c>
      <c r="H328" t="str">
        <f>IFERROR(VLOOKUP(B328,'Yearly Leave Tracker'!A:NU,378,0),"")</f>
        <v/>
      </c>
      <c r="I328" t="str">
        <f>IFERROR(VLOOKUP(B328,'Yearly Leave Tracker'!A:NU,379,0),"")</f>
        <v/>
      </c>
      <c r="J328" t="str">
        <f>IFERROR(VLOOKUP(B328,'Yearly Leave Tracker'!A:NU,380,0),"")</f>
        <v/>
      </c>
      <c r="K328" t="str">
        <f>IFERROR(VLOOKUP(B328,'Yearly Leave Tracker'!A:NU,381,0),"")</f>
        <v/>
      </c>
      <c r="L328" t="str">
        <f>IFERROR(VLOOKUP(B328,'Yearly Leave Tracker'!A:NU,382,0),"")</f>
        <v/>
      </c>
      <c r="M328" t="str">
        <f>IFERROR(VLOOKUP(B328,'Yearly Leave Tracker'!A:NU,383,0),"")</f>
        <v/>
      </c>
      <c r="N328" t="str">
        <f>IFERROR(VLOOKUP(B328,'Yearly Leave Tracker'!A:NU,384,0),"")</f>
        <v/>
      </c>
      <c r="O328" t="str">
        <f>IFERROR(VLOOKUP(B328,'Yearly Leave Tracker'!A:NU,385,0),"")</f>
        <v/>
      </c>
    </row>
    <row r="329" spans="2:15" x14ac:dyDescent="0.25">
      <c r="B329" t="str">
        <f>IFERROR(IF('Yearly Leave Tracker'!A333="","",'Yearly Leave Tracker'!A333),"")</f>
        <v/>
      </c>
      <c r="C329" t="str">
        <f>IFERROR(VLOOKUP(B329,Database!E:F,2,0),"")</f>
        <v/>
      </c>
      <c r="D329" t="str">
        <f>IFERROR(VLOOKUP(B329,'Yearly Leave Tracker'!A:NU,374,0),"")</f>
        <v/>
      </c>
      <c r="E329" t="str">
        <f>IFERROR(VLOOKUP(B329,'Yearly Leave Tracker'!A:NU,375,0),"")</f>
        <v/>
      </c>
      <c r="F329" t="str">
        <f>IFERROR(VLOOKUP(B329,'Yearly Leave Tracker'!A:NU,376,0),"")</f>
        <v/>
      </c>
      <c r="G329" t="str">
        <f>IFERROR(VLOOKUP(B329,'Yearly Leave Tracker'!A:NU,377,0),"")</f>
        <v/>
      </c>
      <c r="H329" t="str">
        <f>IFERROR(VLOOKUP(B329,'Yearly Leave Tracker'!A:NU,378,0),"")</f>
        <v/>
      </c>
      <c r="I329" t="str">
        <f>IFERROR(VLOOKUP(B329,'Yearly Leave Tracker'!A:NU,379,0),"")</f>
        <v/>
      </c>
      <c r="J329" t="str">
        <f>IFERROR(VLOOKUP(B329,'Yearly Leave Tracker'!A:NU,380,0),"")</f>
        <v/>
      </c>
      <c r="K329" t="str">
        <f>IFERROR(VLOOKUP(B329,'Yearly Leave Tracker'!A:NU,381,0),"")</f>
        <v/>
      </c>
      <c r="L329" t="str">
        <f>IFERROR(VLOOKUP(B329,'Yearly Leave Tracker'!A:NU,382,0),"")</f>
        <v/>
      </c>
      <c r="M329" t="str">
        <f>IFERROR(VLOOKUP(B329,'Yearly Leave Tracker'!A:NU,383,0),"")</f>
        <v/>
      </c>
      <c r="N329" t="str">
        <f>IFERROR(VLOOKUP(B329,'Yearly Leave Tracker'!A:NU,384,0),"")</f>
        <v/>
      </c>
      <c r="O329" t="str">
        <f>IFERROR(VLOOKUP(B329,'Yearly Leave Tracker'!A:NU,385,0),"")</f>
        <v/>
      </c>
    </row>
    <row r="330" spans="2:15" x14ac:dyDescent="0.25">
      <c r="B330" t="str">
        <f>IFERROR(IF('Yearly Leave Tracker'!A334="","",'Yearly Leave Tracker'!A334),"")</f>
        <v/>
      </c>
      <c r="C330" t="str">
        <f>IFERROR(VLOOKUP(B330,Database!E:F,2,0),"")</f>
        <v/>
      </c>
      <c r="D330" t="str">
        <f>IFERROR(VLOOKUP(B330,'Yearly Leave Tracker'!A:NU,374,0),"")</f>
        <v/>
      </c>
      <c r="E330" t="str">
        <f>IFERROR(VLOOKUP(B330,'Yearly Leave Tracker'!A:NU,375,0),"")</f>
        <v/>
      </c>
      <c r="F330" t="str">
        <f>IFERROR(VLOOKUP(B330,'Yearly Leave Tracker'!A:NU,376,0),"")</f>
        <v/>
      </c>
      <c r="G330" t="str">
        <f>IFERROR(VLOOKUP(B330,'Yearly Leave Tracker'!A:NU,377,0),"")</f>
        <v/>
      </c>
      <c r="H330" t="str">
        <f>IFERROR(VLOOKUP(B330,'Yearly Leave Tracker'!A:NU,378,0),"")</f>
        <v/>
      </c>
      <c r="I330" t="str">
        <f>IFERROR(VLOOKUP(B330,'Yearly Leave Tracker'!A:NU,379,0),"")</f>
        <v/>
      </c>
      <c r="J330" t="str">
        <f>IFERROR(VLOOKUP(B330,'Yearly Leave Tracker'!A:NU,380,0),"")</f>
        <v/>
      </c>
      <c r="K330" t="str">
        <f>IFERROR(VLOOKUP(B330,'Yearly Leave Tracker'!A:NU,381,0),"")</f>
        <v/>
      </c>
      <c r="L330" t="str">
        <f>IFERROR(VLOOKUP(B330,'Yearly Leave Tracker'!A:NU,382,0),"")</f>
        <v/>
      </c>
      <c r="M330" t="str">
        <f>IFERROR(VLOOKUP(B330,'Yearly Leave Tracker'!A:NU,383,0),"")</f>
        <v/>
      </c>
      <c r="N330" t="str">
        <f>IFERROR(VLOOKUP(B330,'Yearly Leave Tracker'!A:NU,384,0),"")</f>
        <v/>
      </c>
      <c r="O330" t="str">
        <f>IFERROR(VLOOKUP(B330,'Yearly Leave Tracker'!A:NU,385,0),"")</f>
        <v/>
      </c>
    </row>
    <row r="331" spans="2:15" x14ac:dyDescent="0.25">
      <c r="B331" t="str">
        <f>IFERROR(IF('Yearly Leave Tracker'!A335="","",'Yearly Leave Tracker'!A335),"")</f>
        <v/>
      </c>
      <c r="C331" t="str">
        <f>IFERROR(VLOOKUP(B331,Database!E:F,2,0),"")</f>
        <v/>
      </c>
      <c r="D331" t="str">
        <f>IFERROR(VLOOKUP(B331,'Yearly Leave Tracker'!A:NU,374,0),"")</f>
        <v/>
      </c>
      <c r="E331" t="str">
        <f>IFERROR(VLOOKUP(B331,'Yearly Leave Tracker'!A:NU,375,0),"")</f>
        <v/>
      </c>
      <c r="F331" t="str">
        <f>IFERROR(VLOOKUP(B331,'Yearly Leave Tracker'!A:NU,376,0),"")</f>
        <v/>
      </c>
      <c r="G331" t="str">
        <f>IFERROR(VLOOKUP(B331,'Yearly Leave Tracker'!A:NU,377,0),"")</f>
        <v/>
      </c>
      <c r="H331" t="str">
        <f>IFERROR(VLOOKUP(B331,'Yearly Leave Tracker'!A:NU,378,0),"")</f>
        <v/>
      </c>
      <c r="I331" t="str">
        <f>IFERROR(VLOOKUP(B331,'Yearly Leave Tracker'!A:NU,379,0),"")</f>
        <v/>
      </c>
      <c r="J331" t="str">
        <f>IFERROR(VLOOKUP(B331,'Yearly Leave Tracker'!A:NU,380,0),"")</f>
        <v/>
      </c>
      <c r="K331" t="str">
        <f>IFERROR(VLOOKUP(B331,'Yearly Leave Tracker'!A:NU,381,0),"")</f>
        <v/>
      </c>
      <c r="L331" t="str">
        <f>IFERROR(VLOOKUP(B331,'Yearly Leave Tracker'!A:NU,382,0),"")</f>
        <v/>
      </c>
      <c r="M331" t="str">
        <f>IFERROR(VLOOKUP(B331,'Yearly Leave Tracker'!A:NU,383,0),"")</f>
        <v/>
      </c>
      <c r="N331" t="str">
        <f>IFERROR(VLOOKUP(B331,'Yearly Leave Tracker'!A:NU,384,0),"")</f>
        <v/>
      </c>
      <c r="O331" t="str">
        <f>IFERROR(VLOOKUP(B331,'Yearly Leave Tracker'!A:NU,385,0),"")</f>
        <v/>
      </c>
    </row>
    <row r="332" spans="2:15" x14ac:dyDescent="0.25">
      <c r="B332" t="str">
        <f>IFERROR(IF('Yearly Leave Tracker'!A336="","",'Yearly Leave Tracker'!A336),"")</f>
        <v/>
      </c>
      <c r="C332" t="str">
        <f>IFERROR(VLOOKUP(B332,Database!E:F,2,0),"")</f>
        <v/>
      </c>
      <c r="D332" t="str">
        <f>IFERROR(VLOOKUP(B332,'Yearly Leave Tracker'!A:NU,374,0),"")</f>
        <v/>
      </c>
      <c r="E332" t="str">
        <f>IFERROR(VLOOKUP(B332,'Yearly Leave Tracker'!A:NU,375,0),"")</f>
        <v/>
      </c>
      <c r="F332" t="str">
        <f>IFERROR(VLOOKUP(B332,'Yearly Leave Tracker'!A:NU,376,0),"")</f>
        <v/>
      </c>
      <c r="G332" t="str">
        <f>IFERROR(VLOOKUP(B332,'Yearly Leave Tracker'!A:NU,377,0),"")</f>
        <v/>
      </c>
      <c r="H332" t="str">
        <f>IFERROR(VLOOKUP(B332,'Yearly Leave Tracker'!A:NU,378,0),"")</f>
        <v/>
      </c>
      <c r="I332" t="str">
        <f>IFERROR(VLOOKUP(B332,'Yearly Leave Tracker'!A:NU,379,0),"")</f>
        <v/>
      </c>
      <c r="J332" t="str">
        <f>IFERROR(VLOOKUP(B332,'Yearly Leave Tracker'!A:NU,380,0),"")</f>
        <v/>
      </c>
      <c r="K332" t="str">
        <f>IFERROR(VLOOKUP(B332,'Yearly Leave Tracker'!A:NU,381,0),"")</f>
        <v/>
      </c>
      <c r="L332" t="str">
        <f>IFERROR(VLOOKUP(B332,'Yearly Leave Tracker'!A:NU,382,0),"")</f>
        <v/>
      </c>
      <c r="M332" t="str">
        <f>IFERROR(VLOOKUP(B332,'Yearly Leave Tracker'!A:NU,383,0),"")</f>
        <v/>
      </c>
      <c r="N332" t="str">
        <f>IFERROR(VLOOKUP(B332,'Yearly Leave Tracker'!A:NU,384,0),"")</f>
        <v/>
      </c>
      <c r="O332" t="str">
        <f>IFERROR(VLOOKUP(B332,'Yearly Leave Tracker'!A:NU,385,0),"")</f>
        <v/>
      </c>
    </row>
    <row r="333" spans="2:15" x14ac:dyDescent="0.25">
      <c r="B333" t="str">
        <f>IFERROR(IF('Yearly Leave Tracker'!A337="","",'Yearly Leave Tracker'!A337),"")</f>
        <v/>
      </c>
      <c r="C333" t="str">
        <f>IFERROR(VLOOKUP(B333,Database!E:F,2,0),"")</f>
        <v/>
      </c>
      <c r="D333" t="str">
        <f>IFERROR(VLOOKUP(B333,'Yearly Leave Tracker'!A:NU,374,0),"")</f>
        <v/>
      </c>
      <c r="E333" t="str">
        <f>IFERROR(VLOOKUP(B333,'Yearly Leave Tracker'!A:NU,375,0),"")</f>
        <v/>
      </c>
      <c r="F333" t="str">
        <f>IFERROR(VLOOKUP(B333,'Yearly Leave Tracker'!A:NU,376,0),"")</f>
        <v/>
      </c>
      <c r="G333" t="str">
        <f>IFERROR(VLOOKUP(B333,'Yearly Leave Tracker'!A:NU,377,0),"")</f>
        <v/>
      </c>
      <c r="H333" t="str">
        <f>IFERROR(VLOOKUP(B333,'Yearly Leave Tracker'!A:NU,378,0),"")</f>
        <v/>
      </c>
      <c r="I333" t="str">
        <f>IFERROR(VLOOKUP(B333,'Yearly Leave Tracker'!A:NU,379,0),"")</f>
        <v/>
      </c>
      <c r="J333" t="str">
        <f>IFERROR(VLOOKUP(B333,'Yearly Leave Tracker'!A:NU,380,0),"")</f>
        <v/>
      </c>
      <c r="K333" t="str">
        <f>IFERROR(VLOOKUP(B333,'Yearly Leave Tracker'!A:NU,381,0),"")</f>
        <v/>
      </c>
      <c r="L333" t="str">
        <f>IFERROR(VLOOKUP(B333,'Yearly Leave Tracker'!A:NU,382,0),"")</f>
        <v/>
      </c>
      <c r="M333" t="str">
        <f>IFERROR(VLOOKUP(B333,'Yearly Leave Tracker'!A:NU,383,0),"")</f>
        <v/>
      </c>
      <c r="N333" t="str">
        <f>IFERROR(VLOOKUP(B333,'Yearly Leave Tracker'!A:NU,384,0),"")</f>
        <v/>
      </c>
      <c r="O333" t="str">
        <f>IFERROR(VLOOKUP(B333,'Yearly Leave Tracker'!A:NU,385,0),"")</f>
        <v/>
      </c>
    </row>
    <row r="334" spans="2:15" x14ac:dyDescent="0.25">
      <c r="B334" t="str">
        <f>IFERROR(IF('Yearly Leave Tracker'!A338="","",'Yearly Leave Tracker'!A338),"")</f>
        <v/>
      </c>
      <c r="C334" t="str">
        <f>IFERROR(VLOOKUP(B334,Database!E:F,2,0),"")</f>
        <v/>
      </c>
      <c r="D334" t="str">
        <f>IFERROR(VLOOKUP(B334,'Yearly Leave Tracker'!A:NU,374,0),"")</f>
        <v/>
      </c>
      <c r="E334" t="str">
        <f>IFERROR(VLOOKUP(B334,'Yearly Leave Tracker'!A:NU,375,0),"")</f>
        <v/>
      </c>
      <c r="F334" t="str">
        <f>IFERROR(VLOOKUP(B334,'Yearly Leave Tracker'!A:NU,376,0),"")</f>
        <v/>
      </c>
      <c r="G334" t="str">
        <f>IFERROR(VLOOKUP(B334,'Yearly Leave Tracker'!A:NU,377,0),"")</f>
        <v/>
      </c>
      <c r="H334" t="str">
        <f>IFERROR(VLOOKUP(B334,'Yearly Leave Tracker'!A:NU,378,0),"")</f>
        <v/>
      </c>
      <c r="I334" t="str">
        <f>IFERROR(VLOOKUP(B334,'Yearly Leave Tracker'!A:NU,379,0),"")</f>
        <v/>
      </c>
      <c r="J334" t="str">
        <f>IFERROR(VLOOKUP(B334,'Yearly Leave Tracker'!A:NU,380,0),"")</f>
        <v/>
      </c>
      <c r="K334" t="str">
        <f>IFERROR(VLOOKUP(B334,'Yearly Leave Tracker'!A:NU,381,0),"")</f>
        <v/>
      </c>
      <c r="L334" t="str">
        <f>IFERROR(VLOOKUP(B334,'Yearly Leave Tracker'!A:NU,382,0),"")</f>
        <v/>
      </c>
      <c r="M334" t="str">
        <f>IFERROR(VLOOKUP(B334,'Yearly Leave Tracker'!A:NU,383,0),"")</f>
        <v/>
      </c>
      <c r="N334" t="str">
        <f>IFERROR(VLOOKUP(B334,'Yearly Leave Tracker'!A:NU,384,0),"")</f>
        <v/>
      </c>
      <c r="O334" t="str">
        <f>IFERROR(VLOOKUP(B334,'Yearly Leave Tracker'!A:NU,385,0),"")</f>
        <v/>
      </c>
    </row>
    <row r="335" spans="2:15" x14ac:dyDescent="0.25">
      <c r="B335" t="str">
        <f>IFERROR(IF('Yearly Leave Tracker'!A339="","",'Yearly Leave Tracker'!A339),"")</f>
        <v/>
      </c>
      <c r="C335" t="str">
        <f>IFERROR(VLOOKUP(B335,Database!E:F,2,0),"")</f>
        <v/>
      </c>
      <c r="D335" t="str">
        <f>IFERROR(VLOOKUP(B335,'Yearly Leave Tracker'!A:NU,374,0),"")</f>
        <v/>
      </c>
      <c r="E335" t="str">
        <f>IFERROR(VLOOKUP(B335,'Yearly Leave Tracker'!A:NU,375,0),"")</f>
        <v/>
      </c>
      <c r="F335" t="str">
        <f>IFERROR(VLOOKUP(B335,'Yearly Leave Tracker'!A:NU,376,0),"")</f>
        <v/>
      </c>
      <c r="G335" t="str">
        <f>IFERROR(VLOOKUP(B335,'Yearly Leave Tracker'!A:NU,377,0),"")</f>
        <v/>
      </c>
      <c r="H335" t="str">
        <f>IFERROR(VLOOKUP(B335,'Yearly Leave Tracker'!A:NU,378,0),"")</f>
        <v/>
      </c>
      <c r="I335" t="str">
        <f>IFERROR(VLOOKUP(B335,'Yearly Leave Tracker'!A:NU,379,0),"")</f>
        <v/>
      </c>
      <c r="J335" t="str">
        <f>IFERROR(VLOOKUP(B335,'Yearly Leave Tracker'!A:NU,380,0),"")</f>
        <v/>
      </c>
      <c r="K335" t="str">
        <f>IFERROR(VLOOKUP(B335,'Yearly Leave Tracker'!A:NU,381,0),"")</f>
        <v/>
      </c>
      <c r="L335" t="str">
        <f>IFERROR(VLOOKUP(B335,'Yearly Leave Tracker'!A:NU,382,0),"")</f>
        <v/>
      </c>
      <c r="M335" t="str">
        <f>IFERROR(VLOOKUP(B335,'Yearly Leave Tracker'!A:NU,383,0),"")</f>
        <v/>
      </c>
      <c r="N335" t="str">
        <f>IFERROR(VLOOKUP(B335,'Yearly Leave Tracker'!A:NU,384,0),"")</f>
        <v/>
      </c>
      <c r="O335" t="str">
        <f>IFERROR(VLOOKUP(B335,'Yearly Leave Tracker'!A:NU,385,0),"")</f>
        <v/>
      </c>
    </row>
    <row r="336" spans="2:15" x14ac:dyDescent="0.25">
      <c r="B336" t="str">
        <f>IFERROR(IF('Yearly Leave Tracker'!A340="","",'Yearly Leave Tracker'!A340),"")</f>
        <v/>
      </c>
      <c r="C336" t="str">
        <f>IFERROR(VLOOKUP(B336,Database!E:F,2,0),"")</f>
        <v/>
      </c>
      <c r="D336" t="str">
        <f>IFERROR(VLOOKUP(B336,'Yearly Leave Tracker'!A:NU,374,0),"")</f>
        <v/>
      </c>
      <c r="E336" t="str">
        <f>IFERROR(VLOOKUP(B336,'Yearly Leave Tracker'!A:NU,375,0),"")</f>
        <v/>
      </c>
      <c r="F336" t="str">
        <f>IFERROR(VLOOKUP(B336,'Yearly Leave Tracker'!A:NU,376,0),"")</f>
        <v/>
      </c>
      <c r="G336" t="str">
        <f>IFERROR(VLOOKUP(B336,'Yearly Leave Tracker'!A:NU,377,0),"")</f>
        <v/>
      </c>
      <c r="H336" t="str">
        <f>IFERROR(VLOOKUP(B336,'Yearly Leave Tracker'!A:NU,378,0),"")</f>
        <v/>
      </c>
      <c r="I336" t="str">
        <f>IFERROR(VLOOKUP(B336,'Yearly Leave Tracker'!A:NU,379,0),"")</f>
        <v/>
      </c>
      <c r="J336" t="str">
        <f>IFERROR(VLOOKUP(B336,'Yearly Leave Tracker'!A:NU,380,0),"")</f>
        <v/>
      </c>
      <c r="K336" t="str">
        <f>IFERROR(VLOOKUP(B336,'Yearly Leave Tracker'!A:NU,381,0),"")</f>
        <v/>
      </c>
      <c r="L336" t="str">
        <f>IFERROR(VLOOKUP(B336,'Yearly Leave Tracker'!A:NU,382,0),"")</f>
        <v/>
      </c>
      <c r="M336" t="str">
        <f>IFERROR(VLOOKUP(B336,'Yearly Leave Tracker'!A:NU,383,0),"")</f>
        <v/>
      </c>
      <c r="N336" t="str">
        <f>IFERROR(VLOOKUP(B336,'Yearly Leave Tracker'!A:NU,384,0),"")</f>
        <v/>
      </c>
      <c r="O336" t="str">
        <f>IFERROR(VLOOKUP(B336,'Yearly Leave Tracker'!A:NU,385,0),"")</f>
        <v/>
      </c>
    </row>
    <row r="337" spans="2:15" x14ac:dyDescent="0.25">
      <c r="B337" t="str">
        <f>IFERROR(IF('Yearly Leave Tracker'!A341="","",'Yearly Leave Tracker'!A341),"")</f>
        <v/>
      </c>
      <c r="C337" t="str">
        <f>IFERROR(VLOOKUP(B337,Database!E:F,2,0),"")</f>
        <v/>
      </c>
      <c r="D337" t="str">
        <f>IFERROR(VLOOKUP(B337,'Yearly Leave Tracker'!A:NU,374,0),"")</f>
        <v/>
      </c>
      <c r="E337" t="str">
        <f>IFERROR(VLOOKUP(B337,'Yearly Leave Tracker'!A:NU,375,0),"")</f>
        <v/>
      </c>
      <c r="F337" t="str">
        <f>IFERROR(VLOOKUP(B337,'Yearly Leave Tracker'!A:NU,376,0),"")</f>
        <v/>
      </c>
      <c r="G337" t="str">
        <f>IFERROR(VLOOKUP(B337,'Yearly Leave Tracker'!A:NU,377,0),"")</f>
        <v/>
      </c>
      <c r="H337" t="str">
        <f>IFERROR(VLOOKUP(B337,'Yearly Leave Tracker'!A:NU,378,0),"")</f>
        <v/>
      </c>
      <c r="I337" t="str">
        <f>IFERROR(VLOOKUP(B337,'Yearly Leave Tracker'!A:NU,379,0),"")</f>
        <v/>
      </c>
      <c r="J337" t="str">
        <f>IFERROR(VLOOKUP(B337,'Yearly Leave Tracker'!A:NU,380,0),"")</f>
        <v/>
      </c>
      <c r="K337" t="str">
        <f>IFERROR(VLOOKUP(B337,'Yearly Leave Tracker'!A:NU,381,0),"")</f>
        <v/>
      </c>
      <c r="L337" t="str">
        <f>IFERROR(VLOOKUP(B337,'Yearly Leave Tracker'!A:NU,382,0),"")</f>
        <v/>
      </c>
      <c r="M337" t="str">
        <f>IFERROR(VLOOKUP(B337,'Yearly Leave Tracker'!A:NU,383,0),"")</f>
        <v/>
      </c>
      <c r="N337" t="str">
        <f>IFERROR(VLOOKUP(B337,'Yearly Leave Tracker'!A:NU,384,0),"")</f>
        <v/>
      </c>
      <c r="O337" t="str">
        <f>IFERROR(VLOOKUP(B337,'Yearly Leave Tracker'!A:NU,385,0),"")</f>
        <v/>
      </c>
    </row>
    <row r="338" spans="2:15" x14ac:dyDescent="0.25">
      <c r="B338" t="str">
        <f>IFERROR(IF('Yearly Leave Tracker'!A342="","",'Yearly Leave Tracker'!A342),"")</f>
        <v/>
      </c>
      <c r="C338" t="str">
        <f>IFERROR(VLOOKUP(B338,Database!E:F,2,0),"")</f>
        <v/>
      </c>
      <c r="D338" t="str">
        <f>IFERROR(VLOOKUP(B338,'Yearly Leave Tracker'!A:NU,374,0),"")</f>
        <v/>
      </c>
      <c r="E338" t="str">
        <f>IFERROR(VLOOKUP(B338,'Yearly Leave Tracker'!A:NU,375,0),"")</f>
        <v/>
      </c>
      <c r="F338" t="str">
        <f>IFERROR(VLOOKUP(B338,'Yearly Leave Tracker'!A:NU,376,0),"")</f>
        <v/>
      </c>
      <c r="G338" t="str">
        <f>IFERROR(VLOOKUP(B338,'Yearly Leave Tracker'!A:NU,377,0),"")</f>
        <v/>
      </c>
      <c r="H338" t="str">
        <f>IFERROR(VLOOKUP(B338,'Yearly Leave Tracker'!A:NU,378,0),"")</f>
        <v/>
      </c>
      <c r="I338" t="str">
        <f>IFERROR(VLOOKUP(B338,'Yearly Leave Tracker'!A:NU,379,0),"")</f>
        <v/>
      </c>
      <c r="J338" t="str">
        <f>IFERROR(VLOOKUP(B338,'Yearly Leave Tracker'!A:NU,380,0),"")</f>
        <v/>
      </c>
      <c r="K338" t="str">
        <f>IFERROR(VLOOKUP(B338,'Yearly Leave Tracker'!A:NU,381,0),"")</f>
        <v/>
      </c>
      <c r="L338" t="str">
        <f>IFERROR(VLOOKUP(B338,'Yearly Leave Tracker'!A:NU,382,0),"")</f>
        <v/>
      </c>
      <c r="M338" t="str">
        <f>IFERROR(VLOOKUP(B338,'Yearly Leave Tracker'!A:NU,383,0),"")</f>
        <v/>
      </c>
      <c r="N338" t="str">
        <f>IFERROR(VLOOKUP(B338,'Yearly Leave Tracker'!A:NU,384,0),"")</f>
        <v/>
      </c>
      <c r="O338" t="str">
        <f>IFERROR(VLOOKUP(B338,'Yearly Leave Tracker'!A:NU,385,0),"")</f>
        <v/>
      </c>
    </row>
    <row r="339" spans="2:15" x14ac:dyDescent="0.25">
      <c r="B339" t="str">
        <f>IFERROR(IF('Yearly Leave Tracker'!A343="","",'Yearly Leave Tracker'!A343),"")</f>
        <v/>
      </c>
      <c r="C339" t="str">
        <f>IFERROR(VLOOKUP(B339,Database!E:F,2,0),"")</f>
        <v/>
      </c>
      <c r="D339" t="str">
        <f>IFERROR(VLOOKUP(B339,'Yearly Leave Tracker'!A:NU,374,0),"")</f>
        <v/>
      </c>
      <c r="E339" t="str">
        <f>IFERROR(VLOOKUP(B339,'Yearly Leave Tracker'!A:NU,375,0),"")</f>
        <v/>
      </c>
      <c r="F339" t="str">
        <f>IFERROR(VLOOKUP(B339,'Yearly Leave Tracker'!A:NU,376,0),"")</f>
        <v/>
      </c>
      <c r="G339" t="str">
        <f>IFERROR(VLOOKUP(B339,'Yearly Leave Tracker'!A:NU,377,0),"")</f>
        <v/>
      </c>
      <c r="H339" t="str">
        <f>IFERROR(VLOOKUP(B339,'Yearly Leave Tracker'!A:NU,378,0),"")</f>
        <v/>
      </c>
      <c r="I339" t="str">
        <f>IFERROR(VLOOKUP(B339,'Yearly Leave Tracker'!A:NU,379,0),"")</f>
        <v/>
      </c>
      <c r="J339" t="str">
        <f>IFERROR(VLOOKUP(B339,'Yearly Leave Tracker'!A:NU,380,0),"")</f>
        <v/>
      </c>
      <c r="K339" t="str">
        <f>IFERROR(VLOOKUP(B339,'Yearly Leave Tracker'!A:NU,381,0),"")</f>
        <v/>
      </c>
      <c r="L339" t="str">
        <f>IFERROR(VLOOKUP(B339,'Yearly Leave Tracker'!A:NU,382,0),"")</f>
        <v/>
      </c>
      <c r="M339" t="str">
        <f>IFERROR(VLOOKUP(B339,'Yearly Leave Tracker'!A:NU,383,0),"")</f>
        <v/>
      </c>
      <c r="N339" t="str">
        <f>IFERROR(VLOOKUP(B339,'Yearly Leave Tracker'!A:NU,384,0),"")</f>
        <v/>
      </c>
      <c r="O339" t="str">
        <f>IFERROR(VLOOKUP(B339,'Yearly Leave Tracker'!A:NU,385,0),"")</f>
        <v/>
      </c>
    </row>
    <row r="340" spans="2:15" x14ac:dyDescent="0.25">
      <c r="B340" t="str">
        <f>IFERROR(IF('Yearly Leave Tracker'!A344="","",'Yearly Leave Tracker'!A344),"")</f>
        <v/>
      </c>
      <c r="C340" t="str">
        <f>IFERROR(VLOOKUP(B340,Database!E:F,2,0),"")</f>
        <v/>
      </c>
      <c r="D340" t="str">
        <f>IFERROR(VLOOKUP(B340,'Yearly Leave Tracker'!A:NU,374,0),"")</f>
        <v/>
      </c>
      <c r="E340" t="str">
        <f>IFERROR(VLOOKUP(B340,'Yearly Leave Tracker'!A:NU,375,0),"")</f>
        <v/>
      </c>
      <c r="F340" t="str">
        <f>IFERROR(VLOOKUP(B340,'Yearly Leave Tracker'!A:NU,376,0),"")</f>
        <v/>
      </c>
      <c r="G340" t="str">
        <f>IFERROR(VLOOKUP(B340,'Yearly Leave Tracker'!A:NU,377,0),"")</f>
        <v/>
      </c>
      <c r="H340" t="str">
        <f>IFERROR(VLOOKUP(B340,'Yearly Leave Tracker'!A:NU,378,0),"")</f>
        <v/>
      </c>
      <c r="I340" t="str">
        <f>IFERROR(VLOOKUP(B340,'Yearly Leave Tracker'!A:NU,379,0),"")</f>
        <v/>
      </c>
      <c r="J340" t="str">
        <f>IFERROR(VLOOKUP(B340,'Yearly Leave Tracker'!A:NU,380,0),"")</f>
        <v/>
      </c>
      <c r="K340" t="str">
        <f>IFERROR(VLOOKUP(B340,'Yearly Leave Tracker'!A:NU,381,0),"")</f>
        <v/>
      </c>
      <c r="L340" t="str">
        <f>IFERROR(VLOOKUP(B340,'Yearly Leave Tracker'!A:NU,382,0),"")</f>
        <v/>
      </c>
      <c r="M340" t="str">
        <f>IFERROR(VLOOKUP(B340,'Yearly Leave Tracker'!A:NU,383,0),"")</f>
        <v/>
      </c>
      <c r="N340" t="str">
        <f>IFERROR(VLOOKUP(B340,'Yearly Leave Tracker'!A:NU,384,0),"")</f>
        <v/>
      </c>
      <c r="O340" t="str">
        <f>IFERROR(VLOOKUP(B340,'Yearly Leave Tracker'!A:NU,385,0),"")</f>
        <v/>
      </c>
    </row>
    <row r="341" spans="2:15" x14ac:dyDescent="0.25">
      <c r="B341" t="str">
        <f>IFERROR(IF('Yearly Leave Tracker'!A345="","",'Yearly Leave Tracker'!A345),"")</f>
        <v/>
      </c>
      <c r="C341" t="str">
        <f>IFERROR(VLOOKUP(B341,Database!E:F,2,0),"")</f>
        <v/>
      </c>
      <c r="D341" t="str">
        <f>IFERROR(VLOOKUP(B341,'Yearly Leave Tracker'!A:NU,374,0),"")</f>
        <v/>
      </c>
      <c r="E341" t="str">
        <f>IFERROR(VLOOKUP(B341,'Yearly Leave Tracker'!A:NU,375,0),"")</f>
        <v/>
      </c>
      <c r="F341" t="str">
        <f>IFERROR(VLOOKUP(B341,'Yearly Leave Tracker'!A:NU,376,0),"")</f>
        <v/>
      </c>
      <c r="G341" t="str">
        <f>IFERROR(VLOOKUP(B341,'Yearly Leave Tracker'!A:NU,377,0),"")</f>
        <v/>
      </c>
      <c r="H341" t="str">
        <f>IFERROR(VLOOKUP(B341,'Yearly Leave Tracker'!A:NU,378,0),"")</f>
        <v/>
      </c>
      <c r="I341" t="str">
        <f>IFERROR(VLOOKUP(B341,'Yearly Leave Tracker'!A:NU,379,0),"")</f>
        <v/>
      </c>
      <c r="J341" t="str">
        <f>IFERROR(VLOOKUP(B341,'Yearly Leave Tracker'!A:NU,380,0),"")</f>
        <v/>
      </c>
      <c r="K341" t="str">
        <f>IFERROR(VLOOKUP(B341,'Yearly Leave Tracker'!A:NU,381,0),"")</f>
        <v/>
      </c>
      <c r="L341" t="str">
        <f>IFERROR(VLOOKUP(B341,'Yearly Leave Tracker'!A:NU,382,0),"")</f>
        <v/>
      </c>
      <c r="M341" t="str">
        <f>IFERROR(VLOOKUP(B341,'Yearly Leave Tracker'!A:NU,383,0),"")</f>
        <v/>
      </c>
      <c r="N341" t="str">
        <f>IFERROR(VLOOKUP(B341,'Yearly Leave Tracker'!A:NU,384,0),"")</f>
        <v/>
      </c>
      <c r="O341" t="str">
        <f>IFERROR(VLOOKUP(B341,'Yearly Leave Tracker'!A:NU,385,0),"")</f>
        <v/>
      </c>
    </row>
    <row r="342" spans="2:15" x14ac:dyDescent="0.25">
      <c r="B342" t="str">
        <f>IFERROR(IF('Yearly Leave Tracker'!A346="","",'Yearly Leave Tracker'!A346),"")</f>
        <v/>
      </c>
      <c r="C342" t="str">
        <f>IFERROR(VLOOKUP(B342,Database!E:F,2,0),"")</f>
        <v/>
      </c>
      <c r="D342" t="str">
        <f>IFERROR(VLOOKUP(B342,'Yearly Leave Tracker'!A:NU,374,0),"")</f>
        <v/>
      </c>
      <c r="E342" t="str">
        <f>IFERROR(VLOOKUP(B342,'Yearly Leave Tracker'!A:NU,375,0),"")</f>
        <v/>
      </c>
      <c r="F342" t="str">
        <f>IFERROR(VLOOKUP(B342,'Yearly Leave Tracker'!A:NU,376,0),"")</f>
        <v/>
      </c>
      <c r="G342" t="str">
        <f>IFERROR(VLOOKUP(B342,'Yearly Leave Tracker'!A:NU,377,0),"")</f>
        <v/>
      </c>
      <c r="H342" t="str">
        <f>IFERROR(VLOOKUP(B342,'Yearly Leave Tracker'!A:NU,378,0),"")</f>
        <v/>
      </c>
      <c r="I342" t="str">
        <f>IFERROR(VLOOKUP(B342,'Yearly Leave Tracker'!A:NU,379,0),"")</f>
        <v/>
      </c>
      <c r="J342" t="str">
        <f>IFERROR(VLOOKUP(B342,'Yearly Leave Tracker'!A:NU,380,0),"")</f>
        <v/>
      </c>
      <c r="K342" t="str">
        <f>IFERROR(VLOOKUP(B342,'Yearly Leave Tracker'!A:NU,381,0),"")</f>
        <v/>
      </c>
      <c r="L342" t="str">
        <f>IFERROR(VLOOKUP(B342,'Yearly Leave Tracker'!A:NU,382,0),"")</f>
        <v/>
      </c>
      <c r="M342" t="str">
        <f>IFERROR(VLOOKUP(B342,'Yearly Leave Tracker'!A:NU,383,0),"")</f>
        <v/>
      </c>
      <c r="N342" t="str">
        <f>IFERROR(VLOOKUP(B342,'Yearly Leave Tracker'!A:NU,384,0),"")</f>
        <v/>
      </c>
      <c r="O342" t="str">
        <f>IFERROR(VLOOKUP(B342,'Yearly Leave Tracker'!A:NU,385,0),"")</f>
        <v/>
      </c>
    </row>
    <row r="343" spans="2:15" x14ac:dyDescent="0.25">
      <c r="B343" t="str">
        <f>IFERROR(IF('Yearly Leave Tracker'!A347="","",'Yearly Leave Tracker'!A347),"")</f>
        <v/>
      </c>
      <c r="C343" t="str">
        <f>IFERROR(VLOOKUP(B343,Database!E:F,2,0),"")</f>
        <v/>
      </c>
      <c r="D343" t="str">
        <f>IFERROR(VLOOKUP(B343,'Yearly Leave Tracker'!A:NU,374,0),"")</f>
        <v/>
      </c>
      <c r="E343" t="str">
        <f>IFERROR(VLOOKUP(B343,'Yearly Leave Tracker'!A:NU,375,0),"")</f>
        <v/>
      </c>
      <c r="F343" t="str">
        <f>IFERROR(VLOOKUP(B343,'Yearly Leave Tracker'!A:NU,376,0),"")</f>
        <v/>
      </c>
      <c r="G343" t="str">
        <f>IFERROR(VLOOKUP(B343,'Yearly Leave Tracker'!A:NU,377,0),"")</f>
        <v/>
      </c>
      <c r="H343" t="str">
        <f>IFERROR(VLOOKUP(B343,'Yearly Leave Tracker'!A:NU,378,0),"")</f>
        <v/>
      </c>
      <c r="I343" t="str">
        <f>IFERROR(VLOOKUP(B343,'Yearly Leave Tracker'!A:NU,379,0),"")</f>
        <v/>
      </c>
      <c r="J343" t="str">
        <f>IFERROR(VLOOKUP(B343,'Yearly Leave Tracker'!A:NU,380,0),"")</f>
        <v/>
      </c>
      <c r="K343" t="str">
        <f>IFERROR(VLOOKUP(B343,'Yearly Leave Tracker'!A:NU,381,0),"")</f>
        <v/>
      </c>
      <c r="L343" t="str">
        <f>IFERROR(VLOOKUP(B343,'Yearly Leave Tracker'!A:NU,382,0),"")</f>
        <v/>
      </c>
      <c r="M343" t="str">
        <f>IFERROR(VLOOKUP(B343,'Yearly Leave Tracker'!A:NU,383,0),"")</f>
        <v/>
      </c>
      <c r="N343" t="str">
        <f>IFERROR(VLOOKUP(B343,'Yearly Leave Tracker'!A:NU,384,0),"")</f>
        <v/>
      </c>
      <c r="O343" t="str">
        <f>IFERROR(VLOOKUP(B343,'Yearly Leave Tracker'!A:NU,385,0),"")</f>
        <v/>
      </c>
    </row>
    <row r="344" spans="2:15" x14ac:dyDescent="0.25">
      <c r="B344" t="str">
        <f>IFERROR(IF('Yearly Leave Tracker'!A348="","",'Yearly Leave Tracker'!A348),"")</f>
        <v/>
      </c>
      <c r="C344" t="str">
        <f>IFERROR(VLOOKUP(B344,Database!E:F,2,0),"")</f>
        <v/>
      </c>
      <c r="D344" t="str">
        <f>IFERROR(VLOOKUP(B344,'Yearly Leave Tracker'!A:NU,374,0),"")</f>
        <v/>
      </c>
      <c r="E344" t="str">
        <f>IFERROR(VLOOKUP(B344,'Yearly Leave Tracker'!A:NU,375,0),"")</f>
        <v/>
      </c>
      <c r="F344" t="str">
        <f>IFERROR(VLOOKUP(B344,'Yearly Leave Tracker'!A:NU,376,0),"")</f>
        <v/>
      </c>
      <c r="G344" t="str">
        <f>IFERROR(VLOOKUP(B344,'Yearly Leave Tracker'!A:NU,377,0),"")</f>
        <v/>
      </c>
      <c r="H344" t="str">
        <f>IFERROR(VLOOKUP(B344,'Yearly Leave Tracker'!A:NU,378,0),"")</f>
        <v/>
      </c>
      <c r="I344" t="str">
        <f>IFERROR(VLOOKUP(B344,'Yearly Leave Tracker'!A:NU,379,0),"")</f>
        <v/>
      </c>
      <c r="J344" t="str">
        <f>IFERROR(VLOOKUP(B344,'Yearly Leave Tracker'!A:NU,380,0),"")</f>
        <v/>
      </c>
      <c r="K344" t="str">
        <f>IFERROR(VLOOKUP(B344,'Yearly Leave Tracker'!A:NU,381,0),"")</f>
        <v/>
      </c>
      <c r="L344" t="str">
        <f>IFERROR(VLOOKUP(B344,'Yearly Leave Tracker'!A:NU,382,0),"")</f>
        <v/>
      </c>
      <c r="M344" t="str">
        <f>IFERROR(VLOOKUP(B344,'Yearly Leave Tracker'!A:NU,383,0),"")</f>
        <v/>
      </c>
      <c r="N344" t="str">
        <f>IFERROR(VLOOKUP(B344,'Yearly Leave Tracker'!A:NU,384,0),"")</f>
        <v/>
      </c>
      <c r="O344" t="str">
        <f>IFERROR(VLOOKUP(B344,'Yearly Leave Tracker'!A:NU,385,0),"")</f>
        <v/>
      </c>
    </row>
    <row r="345" spans="2:15" x14ac:dyDescent="0.25">
      <c r="B345" t="str">
        <f>IFERROR(IF('Yearly Leave Tracker'!A349="","",'Yearly Leave Tracker'!A349),"")</f>
        <v/>
      </c>
      <c r="C345" t="str">
        <f>IFERROR(VLOOKUP(B345,Database!E:F,2,0),"")</f>
        <v/>
      </c>
      <c r="D345" t="str">
        <f>IFERROR(VLOOKUP(B345,'Yearly Leave Tracker'!A:NU,374,0),"")</f>
        <v/>
      </c>
      <c r="E345" t="str">
        <f>IFERROR(VLOOKUP(B345,'Yearly Leave Tracker'!A:NU,375,0),"")</f>
        <v/>
      </c>
      <c r="F345" t="str">
        <f>IFERROR(VLOOKUP(B345,'Yearly Leave Tracker'!A:NU,376,0),"")</f>
        <v/>
      </c>
      <c r="G345" t="str">
        <f>IFERROR(VLOOKUP(B345,'Yearly Leave Tracker'!A:NU,377,0),"")</f>
        <v/>
      </c>
      <c r="H345" t="str">
        <f>IFERROR(VLOOKUP(B345,'Yearly Leave Tracker'!A:NU,378,0),"")</f>
        <v/>
      </c>
      <c r="I345" t="str">
        <f>IFERROR(VLOOKUP(B345,'Yearly Leave Tracker'!A:NU,379,0),"")</f>
        <v/>
      </c>
      <c r="J345" t="str">
        <f>IFERROR(VLOOKUP(B345,'Yearly Leave Tracker'!A:NU,380,0),"")</f>
        <v/>
      </c>
      <c r="K345" t="str">
        <f>IFERROR(VLOOKUP(B345,'Yearly Leave Tracker'!A:NU,381,0),"")</f>
        <v/>
      </c>
      <c r="L345" t="str">
        <f>IFERROR(VLOOKUP(B345,'Yearly Leave Tracker'!A:NU,382,0),"")</f>
        <v/>
      </c>
      <c r="M345" t="str">
        <f>IFERROR(VLOOKUP(B345,'Yearly Leave Tracker'!A:NU,383,0),"")</f>
        <v/>
      </c>
      <c r="N345" t="str">
        <f>IFERROR(VLOOKUP(B345,'Yearly Leave Tracker'!A:NU,384,0),"")</f>
        <v/>
      </c>
      <c r="O345" t="str">
        <f>IFERROR(VLOOKUP(B345,'Yearly Leave Tracker'!A:NU,385,0),"")</f>
        <v/>
      </c>
    </row>
    <row r="346" spans="2:15" x14ac:dyDescent="0.25">
      <c r="B346" t="str">
        <f>IFERROR(IF('Yearly Leave Tracker'!A350="","",'Yearly Leave Tracker'!A350),"")</f>
        <v/>
      </c>
      <c r="C346" t="str">
        <f>IFERROR(VLOOKUP(B346,Database!E:F,2,0),"")</f>
        <v/>
      </c>
      <c r="D346" t="str">
        <f>IFERROR(VLOOKUP(B346,'Yearly Leave Tracker'!A:NU,374,0),"")</f>
        <v/>
      </c>
      <c r="E346" t="str">
        <f>IFERROR(VLOOKUP(B346,'Yearly Leave Tracker'!A:NU,375,0),"")</f>
        <v/>
      </c>
      <c r="F346" t="str">
        <f>IFERROR(VLOOKUP(B346,'Yearly Leave Tracker'!A:NU,376,0),"")</f>
        <v/>
      </c>
      <c r="G346" t="str">
        <f>IFERROR(VLOOKUP(B346,'Yearly Leave Tracker'!A:NU,377,0),"")</f>
        <v/>
      </c>
      <c r="H346" t="str">
        <f>IFERROR(VLOOKUP(B346,'Yearly Leave Tracker'!A:NU,378,0),"")</f>
        <v/>
      </c>
      <c r="I346" t="str">
        <f>IFERROR(VLOOKUP(B346,'Yearly Leave Tracker'!A:NU,379,0),"")</f>
        <v/>
      </c>
      <c r="J346" t="str">
        <f>IFERROR(VLOOKUP(B346,'Yearly Leave Tracker'!A:NU,380,0),"")</f>
        <v/>
      </c>
      <c r="K346" t="str">
        <f>IFERROR(VLOOKUP(B346,'Yearly Leave Tracker'!A:NU,381,0),"")</f>
        <v/>
      </c>
      <c r="L346" t="str">
        <f>IFERROR(VLOOKUP(B346,'Yearly Leave Tracker'!A:NU,382,0),"")</f>
        <v/>
      </c>
      <c r="M346" t="str">
        <f>IFERROR(VLOOKUP(B346,'Yearly Leave Tracker'!A:NU,383,0),"")</f>
        <v/>
      </c>
      <c r="N346" t="str">
        <f>IFERROR(VLOOKUP(B346,'Yearly Leave Tracker'!A:NU,384,0),"")</f>
        <v/>
      </c>
      <c r="O346" t="str">
        <f>IFERROR(VLOOKUP(B346,'Yearly Leave Tracker'!A:NU,385,0),"")</f>
        <v/>
      </c>
    </row>
    <row r="347" spans="2:15" x14ac:dyDescent="0.25">
      <c r="B347" t="str">
        <f>IFERROR(IF('Yearly Leave Tracker'!A351="","",'Yearly Leave Tracker'!A351),"")</f>
        <v/>
      </c>
      <c r="C347" t="str">
        <f>IFERROR(VLOOKUP(B347,Database!E:F,2,0),"")</f>
        <v/>
      </c>
      <c r="D347" t="str">
        <f>IFERROR(VLOOKUP(B347,'Yearly Leave Tracker'!A:NU,374,0),"")</f>
        <v/>
      </c>
      <c r="E347" t="str">
        <f>IFERROR(VLOOKUP(B347,'Yearly Leave Tracker'!A:NU,375,0),"")</f>
        <v/>
      </c>
      <c r="F347" t="str">
        <f>IFERROR(VLOOKUP(B347,'Yearly Leave Tracker'!A:NU,376,0),"")</f>
        <v/>
      </c>
      <c r="G347" t="str">
        <f>IFERROR(VLOOKUP(B347,'Yearly Leave Tracker'!A:NU,377,0),"")</f>
        <v/>
      </c>
      <c r="H347" t="str">
        <f>IFERROR(VLOOKUP(B347,'Yearly Leave Tracker'!A:NU,378,0),"")</f>
        <v/>
      </c>
      <c r="I347" t="str">
        <f>IFERROR(VLOOKUP(B347,'Yearly Leave Tracker'!A:NU,379,0),"")</f>
        <v/>
      </c>
      <c r="J347" t="str">
        <f>IFERROR(VLOOKUP(B347,'Yearly Leave Tracker'!A:NU,380,0),"")</f>
        <v/>
      </c>
      <c r="K347" t="str">
        <f>IFERROR(VLOOKUP(B347,'Yearly Leave Tracker'!A:NU,381,0),"")</f>
        <v/>
      </c>
      <c r="L347" t="str">
        <f>IFERROR(VLOOKUP(B347,'Yearly Leave Tracker'!A:NU,382,0),"")</f>
        <v/>
      </c>
      <c r="M347" t="str">
        <f>IFERROR(VLOOKUP(B347,'Yearly Leave Tracker'!A:NU,383,0),"")</f>
        <v/>
      </c>
      <c r="N347" t="str">
        <f>IFERROR(VLOOKUP(B347,'Yearly Leave Tracker'!A:NU,384,0),"")</f>
        <v/>
      </c>
      <c r="O347" t="str">
        <f>IFERROR(VLOOKUP(B347,'Yearly Leave Tracker'!A:NU,385,0),"")</f>
        <v/>
      </c>
    </row>
    <row r="348" spans="2:15" x14ac:dyDescent="0.25">
      <c r="B348" t="str">
        <f>IFERROR(IF('Yearly Leave Tracker'!A352="","",'Yearly Leave Tracker'!A352),"")</f>
        <v/>
      </c>
      <c r="C348" t="str">
        <f>IFERROR(VLOOKUP(B348,Database!E:F,2,0),"")</f>
        <v/>
      </c>
      <c r="D348" t="str">
        <f>IFERROR(VLOOKUP(B348,'Yearly Leave Tracker'!A:NU,374,0),"")</f>
        <v/>
      </c>
      <c r="E348" t="str">
        <f>IFERROR(VLOOKUP(B348,'Yearly Leave Tracker'!A:NU,375,0),"")</f>
        <v/>
      </c>
      <c r="F348" t="str">
        <f>IFERROR(VLOOKUP(B348,'Yearly Leave Tracker'!A:NU,376,0),"")</f>
        <v/>
      </c>
      <c r="G348" t="str">
        <f>IFERROR(VLOOKUP(B348,'Yearly Leave Tracker'!A:NU,377,0),"")</f>
        <v/>
      </c>
      <c r="H348" t="str">
        <f>IFERROR(VLOOKUP(B348,'Yearly Leave Tracker'!A:NU,378,0),"")</f>
        <v/>
      </c>
      <c r="I348" t="str">
        <f>IFERROR(VLOOKUP(B348,'Yearly Leave Tracker'!A:NU,379,0),"")</f>
        <v/>
      </c>
      <c r="J348" t="str">
        <f>IFERROR(VLOOKUP(B348,'Yearly Leave Tracker'!A:NU,380,0),"")</f>
        <v/>
      </c>
      <c r="K348" t="str">
        <f>IFERROR(VLOOKUP(B348,'Yearly Leave Tracker'!A:NU,381,0),"")</f>
        <v/>
      </c>
      <c r="L348" t="str">
        <f>IFERROR(VLOOKUP(B348,'Yearly Leave Tracker'!A:NU,382,0),"")</f>
        <v/>
      </c>
      <c r="M348" t="str">
        <f>IFERROR(VLOOKUP(B348,'Yearly Leave Tracker'!A:NU,383,0),"")</f>
        <v/>
      </c>
      <c r="N348" t="str">
        <f>IFERROR(VLOOKUP(B348,'Yearly Leave Tracker'!A:NU,384,0),"")</f>
        <v/>
      </c>
      <c r="O348" t="str">
        <f>IFERROR(VLOOKUP(B348,'Yearly Leave Tracker'!A:NU,385,0),"")</f>
        <v/>
      </c>
    </row>
    <row r="349" spans="2:15" x14ac:dyDescent="0.25">
      <c r="B349" t="str">
        <f>IFERROR(IF('Yearly Leave Tracker'!A353="","",'Yearly Leave Tracker'!A353),"")</f>
        <v/>
      </c>
      <c r="C349" t="str">
        <f>IFERROR(VLOOKUP(B349,Database!E:F,2,0),"")</f>
        <v/>
      </c>
      <c r="D349" t="str">
        <f>IFERROR(VLOOKUP(B349,'Yearly Leave Tracker'!A:NU,374,0),"")</f>
        <v/>
      </c>
      <c r="E349" t="str">
        <f>IFERROR(VLOOKUP(B349,'Yearly Leave Tracker'!A:NU,375,0),"")</f>
        <v/>
      </c>
      <c r="F349" t="str">
        <f>IFERROR(VLOOKUP(B349,'Yearly Leave Tracker'!A:NU,376,0),"")</f>
        <v/>
      </c>
      <c r="G349" t="str">
        <f>IFERROR(VLOOKUP(B349,'Yearly Leave Tracker'!A:NU,377,0),"")</f>
        <v/>
      </c>
      <c r="H349" t="str">
        <f>IFERROR(VLOOKUP(B349,'Yearly Leave Tracker'!A:NU,378,0),"")</f>
        <v/>
      </c>
      <c r="I349" t="str">
        <f>IFERROR(VLOOKUP(B349,'Yearly Leave Tracker'!A:NU,379,0),"")</f>
        <v/>
      </c>
      <c r="J349" t="str">
        <f>IFERROR(VLOOKUP(B349,'Yearly Leave Tracker'!A:NU,380,0),"")</f>
        <v/>
      </c>
      <c r="K349" t="str">
        <f>IFERROR(VLOOKUP(B349,'Yearly Leave Tracker'!A:NU,381,0),"")</f>
        <v/>
      </c>
      <c r="L349" t="str">
        <f>IFERROR(VLOOKUP(B349,'Yearly Leave Tracker'!A:NU,382,0),"")</f>
        <v/>
      </c>
      <c r="M349" t="str">
        <f>IFERROR(VLOOKUP(B349,'Yearly Leave Tracker'!A:NU,383,0),"")</f>
        <v/>
      </c>
      <c r="N349" t="str">
        <f>IFERROR(VLOOKUP(B349,'Yearly Leave Tracker'!A:NU,384,0),"")</f>
        <v/>
      </c>
      <c r="O349" t="str">
        <f>IFERROR(VLOOKUP(B349,'Yearly Leave Tracker'!A:NU,385,0),"")</f>
        <v/>
      </c>
    </row>
    <row r="350" spans="2:15" x14ac:dyDescent="0.25">
      <c r="B350" t="str">
        <f>IFERROR(IF('Yearly Leave Tracker'!A354="","",'Yearly Leave Tracker'!A354),"")</f>
        <v/>
      </c>
      <c r="C350" t="str">
        <f>IFERROR(VLOOKUP(B350,Database!E:F,2,0),"")</f>
        <v/>
      </c>
      <c r="D350" t="str">
        <f>IFERROR(VLOOKUP(B350,'Yearly Leave Tracker'!A:NU,374,0),"")</f>
        <v/>
      </c>
      <c r="E350" t="str">
        <f>IFERROR(VLOOKUP(B350,'Yearly Leave Tracker'!A:NU,375,0),"")</f>
        <v/>
      </c>
      <c r="F350" t="str">
        <f>IFERROR(VLOOKUP(B350,'Yearly Leave Tracker'!A:NU,376,0),"")</f>
        <v/>
      </c>
      <c r="G350" t="str">
        <f>IFERROR(VLOOKUP(B350,'Yearly Leave Tracker'!A:NU,377,0),"")</f>
        <v/>
      </c>
      <c r="H350" t="str">
        <f>IFERROR(VLOOKUP(B350,'Yearly Leave Tracker'!A:NU,378,0),"")</f>
        <v/>
      </c>
      <c r="I350" t="str">
        <f>IFERROR(VLOOKUP(B350,'Yearly Leave Tracker'!A:NU,379,0),"")</f>
        <v/>
      </c>
      <c r="J350" t="str">
        <f>IFERROR(VLOOKUP(B350,'Yearly Leave Tracker'!A:NU,380,0),"")</f>
        <v/>
      </c>
      <c r="K350" t="str">
        <f>IFERROR(VLOOKUP(B350,'Yearly Leave Tracker'!A:NU,381,0),"")</f>
        <v/>
      </c>
      <c r="L350" t="str">
        <f>IFERROR(VLOOKUP(B350,'Yearly Leave Tracker'!A:NU,382,0),"")</f>
        <v/>
      </c>
      <c r="M350" t="str">
        <f>IFERROR(VLOOKUP(B350,'Yearly Leave Tracker'!A:NU,383,0),"")</f>
        <v/>
      </c>
      <c r="N350" t="str">
        <f>IFERROR(VLOOKUP(B350,'Yearly Leave Tracker'!A:NU,384,0),"")</f>
        <v/>
      </c>
      <c r="O350" t="str">
        <f>IFERROR(VLOOKUP(B350,'Yearly Leave Tracker'!A:NU,385,0),"")</f>
        <v/>
      </c>
    </row>
    <row r="351" spans="2:15" x14ac:dyDescent="0.25">
      <c r="B351" t="str">
        <f>IFERROR(IF('Yearly Leave Tracker'!A355="","",'Yearly Leave Tracker'!A355),"")</f>
        <v/>
      </c>
      <c r="C351" t="str">
        <f>IFERROR(VLOOKUP(B351,Database!E:F,2,0),"")</f>
        <v/>
      </c>
      <c r="D351" t="str">
        <f>IFERROR(VLOOKUP(B351,'Yearly Leave Tracker'!A:NU,374,0),"")</f>
        <v/>
      </c>
      <c r="E351" t="str">
        <f>IFERROR(VLOOKUP(B351,'Yearly Leave Tracker'!A:NU,375,0),"")</f>
        <v/>
      </c>
      <c r="F351" t="str">
        <f>IFERROR(VLOOKUP(B351,'Yearly Leave Tracker'!A:NU,376,0),"")</f>
        <v/>
      </c>
      <c r="G351" t="str">
        <f>IFERROR(VLOOKUP(B351,'Yearly Leave Tracker'!A:NU,377,0),"")</f>
        <v/>
      </c>
      <c r="H351" t="str">
        <f>IFERROR(VLOOKUP(B351,'Yearly Leave Tracker'!A:NU,378,0),"")</f>
        <v/>
      </c>
      <c r="I351" t="str">
        <f>IFERROR(VLOOKUP(B351,'Yearly Leave Tracker'!A:NU,379,0),"")</f>
        <v/>
      </c>
      <c r="J351" t="str">
        <f>IFERROR(VLOOKUP(B351,'Yearly Leave Tracker'!A:NU,380,0),"")</f>
        <v/>
      </c>
      <c r="K351" t="str">
        <f>IFERROR(VLOOKUP(B351,'Yearly Leave Tracker'!A:NU,381,0),"")</f>
        <v/>
      </c>
      <c r="L351" t="str">
        <f>IFERROR(VLOOKUP(B351,'Yearly Leave Tracker'!A:NU,382,0),"")</f>
        <v/>
      </c>
      <c r="M351" t="str">
        <f>IFERROR(VLOOKUP(B351,'Yearly Leave Tracker'!A:NU,383,0),"")</f>
        <v/>
      </c>
      <c r="N351" t="str">
        <f>IFERROR(VLOOKUP(B351,'Yearly Leave Tracker'!A:NU,384,0),"")</f>
        <v/>
      </c>
      <c r="O351" t="str">
        <f>IFERROR(VLOOKUP(B351,'Yearly Leave Tracker'!A:NU,385,0),"")</f>
        <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8FCFAD"/>
  </sheetPr>
  <dimension ref="A1:I12"/>
  <sheetViews>
    <sheetView workbookViewId="0">
      <selection activeCell="G2" sqref="G2"/>
    </sheetView>
  </sheetViews>
  <sheetFormatPr defaultRowHeight="15" x14ac:dyDescent="0.25"/>
  <cols>
    <col min="1" max="1" width="10.85546875" bestFit="1" customWidth="1"/>
    <col min="7" max="7" width="10.42578125" bestFit="1" customWidth="1"/>
    <col min="9" max="9" width="9.7109375" bestFit="1" customWidth="1"/>
  </cols>
  <sheetData>
    <row r="1" spans="1:9" x14ac:dyDescent="0.25">
      <c r="A1" s="1" t="s">
        <v>19</v>
      </c>
      <c r="B1" s="1">
        <v>1</v>
      </c>
      <c r="D1">
        <v>1</v>
      </c>
      <c r="E1" t="s">
        <v>11</v>
      </c>
      <c r="G1" t="str">
        <f>INDEX($A$1:$A$12,MATCH('Yearly Leave Tracker'!$A$1+'Yearly Leave Tracker'!$A$3-1,'Helper sheet'!$B$1:$B$12,0))&amp;" "&amp;'Yearly Leave Tracker'!$A$2</f>
        <v>January 2021</v>
      </c>
      <c r="H1" s="2"/>
      <c r="I1" s="2"/>
    </row>
    <row r="2" spans="1:9" x14ac:dyDescent="0.25">
      <c r="A2" s="1" t="s">
        <v>0</v>
      </c>
      <c r="B2" s="1">
        <v>2</v>
      </c>
      <c r="D2">
        <v>2</v>
      </c>
      <c r="E2" t="s">
        <v>12</v>
      </c>
      <c r="G2" s="2" t="str">
        <f>INDEX($A$1:$A$12,MATCH(MONTH(DATE('Yearly Leave Tracker'!$A$2,'Yearly Leave Tracker'!$A$1+'Yearly Leave Tracker'!$A$3-1,1)),$B$1:$B$12,0))&amp;" "&amp;YEAR(DATE('Yearly Leave Tracker'!$A$2,'Yearly Leave Tracker'!$A$1+'Yearly Leave Tracker'!$A$3-1,1))</f>
        <v>January 2021</v>
      </c>
    </row>
    <row r="3" spans="1:9" x14ac:dyDescent="0.25">
      <c r="A3" s="1" t="s">
        <v>1</v>
      </c>
      <c r="B3" s="1">
        <v>3</v>
      </c>
      <c r="D3">
        <v>3</v>
      </c>
      <c r="E3" t="s">
        <v>13</v>
      </c>
    </row>
    <row r="4" spans="1:9" x14ac:dyDescent="0.25">
      <c r="A4" s="1" t="s">
        <v>2</v>
      </c>
      <c r="B4" s="1">
        <v>4</v>
      </c>
      <c r="D4">
        <v>4</v>
      </c>
      <c r="E4" t="s">
        <v>14</v>
      </c>
    </row>
    <row r="5" spans="1:9" x14ac:dyDescent="0.25">
      <c r="A5" s="1" t="s">
        <v>3</v>
      </c>
      <c r="B5" s="1">
        <v>5</v>
      </c>
      <c r="D5">
        <v>5</v>
      </c>
      <c r="E5" t="s">
        <v>15</v>
      </c>
    </row>
    <row r="6" spans="1:9" x14ac:dyDescent="0.25">
      <c r="A6" s="1" t="s">
        <v>4</v>
      </c>
      <c r="B6" s="1">
        <v>6</v>
      </c>
      <c r="D6">
        <v>6</v>
      </c>
      <c r="E6" t="s">
        <v>16</v>
      </c>
    </row>
    <row r="7" spans="1:9" x14ac:dyDescent="0.25">
      <c r="A7" s="1" t="s">
        <v>5</v>
      </c>
      <c r="B7" s="1">
        <v>7</v>
      </c>
      <c r="D7">
        <v>7</v>
      </c>
      <c r="E7" t="s">
        <v>17</v>
      </c>
    </row>
    <row r="8" spans="1:9" x14ac:dyDescent="0.25">
      <c r="A8" s="1" t="s">
        <v>6</v>
      </c>
      <c r="B8" s="1">
        <v>8</v>
      </c>
    </row>
    <row r="9" spans="1:9" x14ac:dyDescent="0.25">
      <c r="A9" s="1" t="s">
        <v>7</v>
      </c>
      <c r="B9" s="1">
        <v>9</v>
      </c>
    </row>
    <row r="10" spans="1:9" x14ac:dyDescent="0.25">
      <c r="A10" s="1" t="s">
        <v>8</v>
      </c>
      <c r="B10" s="1">
        <v>10</v>
      </c>
    </row>
    <row r="11" spans="1:9" x14ac:dyDescent="0.25">
      <c r="A11" s="1" t="s">
        <v>9</v>
      </c>
      <c r="B11" s="1">
        <v>11</v>
      </c>
    </row>
    <row r="12" spans="1:9" x14ac:dyDescent="0.25">
      <c r="A12" s="1" t="s">
        <v>10</v>
      </c>
      <c r="B12" s="1">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3C386-4847-433E-A0A2-FF2711BB545D}">
  <sheetPr codeName="Sheet6"/>
  <dimension ref="A1:F171"/>
  <sheetViews>
    <sheetView workbookViewId="0">
      <selection activeCell="C29" sqref="C29"/>
    </sheetView>
  </sheetViews>
  <sheetFormatPr defaultRowHeight="15" x14ac:dyDescent="0.25"/>
  <cols>
    <col min="1" max="1" width="12.28515625" bestFit="1" customWidth="1"/>
    <col min="2" max="2" width="14" bestFit="1" customWidth="1"/>
    <col min="3" max="3" width="23" bestFit="1" customWidth="1"/>
    <col min="4" max="4" width="15.140625" bestFit="1" customWidth="1"/>
    <col min="5" max="5" width="16.5703125" bestFit="1" customWidth="1"/>
    <col min="6" max="6" width="8.42578125" bestFit="1" customWidth="1"/>
  </cols>
  <sheetData>
    <row r="1" spans="1:6" x14ac:dyDescent="0.25">
      <c r="A1" t="s">
        <v>89</v>
      </c>
      <c r="B1" t="s">
        <v>64</v>
      </c>
      <c r="C1" t="s">
        <v>90</v>
      </c>
      <c r="D1" t="s">
        <v>61</v>
      </c>
      <c r="E1" t="s">
        <v>126</v>
      </c>
      <c r="F1" t="s">
        <v>127</v>
      </c>
    </row>
    <row r="2" spans="1:6" x14ac:dyDescent="0.25">
      <c r="A2" t="s">
        <v>31</v>
      </c>
      <c r="B2" t="s">
        <v>72</v>
      </c>
      <c r="C2">
        <v>0</v>
      </c>
      <c r="D2">
        <v>0</v>
      </c>
      <c r="E2" t="s">
        <v>94</v>
      </c>
      <c r="F2">
        <v>0</v>
      </c>
    </row>
    <row r="3" spans="1:6" x14ac:dyDescent="0.25">
      <c r="A3" t="s">
        <v>31</v>
      </c>
      <c r="B3" t="s">
        <v>72</v>
      </c>
      <c r="C3">
        <v>0</v>
      </c>
      <c r="D3">
        <v>0</v>
      </c>
      <c r="E3" t="s">
        <v>95</v>
      </c>
      <c r="F3">
        <v>0</v>
      </c>
    </row>
    <row r="4" spans="1:6" x14ac:dyDescent="0.25">
      <c r="A4" t="s">
        <v>31</v>
      </c>
      <c r="B4" t="s">
        <v>72</v>
      </c>
      <c r="C4">
        <v>0</v>
      </c>
      <c r="D4">
        <v>0</v>
      </c>
      <c r="E4" t="s">
        <v>96</v>
      </c>
      <c r="F4">
        <v>0</v>
      </c>
    </row>
    <row r="5" spans="1:6" x14ac:dyDescent="0.25">
      <c r="A5" t="s">
        <v>31</v>
      </c>
      <c r="B5" t="s">
        <v>72</v>
      </c>
      <c r="C5">
        <v>0</v>
      </c>
      <c r="D5">
        <v>0</v>
      </c>
      <c r="E5" t="s">
        <v>97</v>
      </c>
      <c r="F5">
        <v>0</v>
      </c>
    </row>
    <row r="6" spans="1:6" x14ac:dyDescent="0.25">
      <c r="A6" t="s">
        <v>31</v>
      </c>
      <c r="B6" t="s">
        <v>72</v>
      </c>
      <c r="C6">
        <v>0</v>
      </c>
      <c r="D6">
        <v>0</v>
      </c>
      <c r="E6" t="s">
        <v>98</v>
      </c>
      <c r="F6">
        <v>0</v>
      </c>
    </row>
    <row r="7" spans="1:6" x14ac:dyDescent="0.25">
      <c r="A7" t="s">
        <v>31</v>
      </c>
      <c r="B7" t="s">
        <v>72</v>
      </c>
      <c r="C7">
        <v>0</v>
      </c>
      <c r="D7">
        <v>0</v>
      </c>
      <c r="E7" t="s">
        <v>92</v>
      </c>
      <c r="F7">
        <v>0</v>
      </c>
    </row>
    <row r="8" spans="1:6" x14ac:dyDescent="0.25">
      <c r="A8" t="s">
        <v>31</v>
      </c>
      <c r="B8" t="s">
        <v>72</v>
      </c>
      <c r="C8">
        <v>0</v>
      </c>
      <c r="D8">
        <v>0</v>
      </c>
      <c r="E8" t="s">
        <v>99</v>
      </c>
      <c r="F8">
        <v>0</v>
      </c>
    </row>
    <row r="9" spans="1:6" x14ac:dyDescent="0.25">
      <c r="A9" t="s">
        <v>31</v>
      </c>
      <c r="B9" t="s">
        <v>72</v>
      </c>
      <c r="C9">
        <v>0</v>
      </c>
      <c r="D9">
        <v>0</v>
      </c>
      <c r="E9" t="s">
        <v>100</v>
      </c>
      <c r="F9">
        <v>0</v>
      </c>
    </row>
    <row r="10" spans="1:6" x14ac:dyDescent="0.25">
      <c r="A10" t="s">
        <v>31</v>
      </c>
      <c r="B10" t="s">
        <v>72</v>
      </c>
      <c r="C10">
        <v>0</v>
      </c>
      <c r="D10">
        <v>0</v>
      </c>
      <c r="E10" t="s">
        <v>85</v>
      </c>
      <c r="F10">
        <v>0</v>
      </c>
    </row>
    <row r="11" spans="1:6" x14ac:dyDescent="0.25">
      <c r="A11" t="s">
        <v>31</v>
      </c>
      <c r="B11" t="s">
        <v>72</v>
      </c>
      <c r="C11">
        <v>0</v>
      </c>
      <c r="D11">
        <v>0</v>
      </c>
      <c r="E11" t="s">
        <v>86</v>
      </c>
      <c r="F11">
        <v>0</v>
      </c>
    </row>
    <row r="12" spans="1:6" x14ac:dyDescent="0.25">
      <c r="A12" t="s">
        <v>32</v>
      </c>
      <c r="B12" t="s">
        <v>72</v>
      </c>
      <c r="C12">
        <v>2</v>
      </c>
      <c r="D12">
        <v>3</v>
      </c>
      <c r="E12" t="s">
        <v>94</v>
      </c>
      <c r="F12">
        <v>0</v>
      </c>
    </row>
    <row r="13" spans="1:6" x14ac:dyDescent="0.25">
      <c r="A13" t="s">
        <v>32</v>
      </c>
      <c r="B13" t="s">
        <v>72</v>
      </c>
      <c r="C13">
        <v>2</v>
      </c>
      <c r="D13">
        <v>3</v>
      </c>
      <c r="E13" t="s">
        <v>95</v>
      </c>
      <c r="F13">
        <v>2</v>
      </c>
    </row>
    <row r="14" spans="1:6" x14ac:dyDescent="0.25">
      <c r="A14" t="s">
        <v>32</v>
      </c>
      <c r="B14" t="s">
        <v>72</v>
      </c>
      <c r="C14">
        <v>2</v>
      </c>
      <c r="D14">
        <v>3</v>
      </c>
      <c r="E14" t="s">
        <v>96</v>
      </c>
      <c r="F14">
        <v>0</v>
      </c>
    </row>
    <row r="15" spans="1:6" x14ac:dyDescent="0.25">
      <c r="A15" t="s">
        <v>32</v>
      </c>
      <c r="B15" t="s">
        <v>72</v>
      </c>
      <c r="C15">
        <v>2</v>
      </c>
      <c r="D15">
        <v>3</v>
      </c>
      <c r="E15" t="s">
        <v>97</v>
      </c>
      <c r="F15">
        <v>0</v>
      </c>
    </row>
    <row r="16" spans="1:6" x14ac:dyDescent="0.25">
      <c r="A16" t="s">
        <v>32</v>
      </c>
      <c r="B16" t="s">
        <v>72</v>
      </c>
      <c r="C16">
        <v>2</v>
      </c>
      <c r="D16">
        <v>3</v>
      </c>
      <c r="E16" t="s">
        <v>98</v>
      </c>
      <c r="F16">
        <v>1</v>
      </c>
    </row>
    <row r="17" spans="1:6" x14ac:dyDescent="0.25">
      <c r="A17" t="s">
        <v>32</v>
      </c>
      <c r="B17" t="s">
        <v>72</v>
      </c>
      <c r="C17">
        <v>2</v>
      </c>
      <c r="D17">
        <v>3</v>
      </c>
      <c r="E17" t="s">
        <v>92</v>
      </c>
      <c r="F17">
        <v>0</v>
      </c>
    </row>
    <row r="18" spans="1:6" x14ac:dyDescent="0.25">
      <c r="A18" t="s">
        <v>32</v>
      </c>
      <c r="B18" t="s">
        <v>72</v>
      </c>
      <c r="C18">
        <v>2</v>
      </c>
      <c r="D18">
        <v>3</v>
      </c>
      <c r="E18" t="s">
        <v>99</v>
      </c>
      <c r="F18">
        <v>0</v>
      </c>
    </row>
    <row r="19" spans="1:6" x14ac:dyDescent="0.25">
      <c r="A19" t="s">
        <v>32</v>
      </c>
      <c r="B19" t="s">
        <v>72</v>
      </c>
      <c r="C19">
        <v>2</v>
      </c>
      <c r="D19">
        <v>3</v>
      </c>
      <c r="E19" t="s">
        <v>100</v>
      </c>
      <c r="F19">
        <v>0</v>
      </c>
    </row>
    <row r="20" spans="1:6" x14ac:dyDescent="0.25">
      <c r="A20" t="s">
        <v>32</v>
      </c>
      <c r="B20" t="s">
        <v>72</v>
      </c>
      <c r="C20">
        <v>2</v>
      </c>
      <c r="D20">
        <v>3</v>
      </c>
      <c r="E20" t="s">
        <v>85</v>
      </c>
      <c r="F20">
        <v>0</v>
      </c>
    </row>
    <row r="21" spans="1:6" x14ac:dyDescent="0.25">
      <c r="A21" t="s">
        <v>32</v>
      </c>
      <c r="B21" t="s">
        <v>72</v>
      </c>
      <c r="C21">
        <v>2</v>
      </c>
      <c r="D21">
        <v>3</v>
      </c>
      <c r="E21" t="s">
        <v>86</v>
      </c>
      <c r="F21">
        <v>0</v>
      </c>
    </row>
    <row r="22" spans="1:6" x14ac:dyDescent="0.25">
      <c r="A22" t="s">
        <v>33</v>
      </c>
      <c r="B22" t="s">
        <v>71</v>
      </c>
      <c r="C22">
        <v>0</v>
      </c>
      <c r="D22">
        <v>4</v>
      </c>
      <c r="E22" t="s">
        <v>94</v>
      </c>
      <c r="F22">
        <v>0</v>
      </c>
    </row>
    <row r="23" spans="1:6" x14ac:dyDescent="0.25">
      <c r="A23" t="s">
        <v>33</v>
      </c>
      <c r="B23" t="s">
        <v>71</v>
      </c>
      <c r="C23">
        <v>0</v>
      </c>
      <c r="D23">
        <v>4</v>
      </c>
      <c r="E23" t="s">
        <v>95</v>
      </c>
      <c r="F23">
        <v>2</v>
      </c>
    </row>
    <row r="24" spans="1:6" x14ac:dyDescent="0.25">
      <c r="A24" t="s">
        <v>33</v>
      </c>
      <c r="B24" t="s">
        <v>71</v>
      </c>
      <c r="C24">
        <v>0</v>
      </c>
      <c r="D24">
        <v>4</v>
      </c>
      <c r="E24" t="s">
        <v>96</v>
      </c>
      <c r="F24">
        <v>0</v>
      </c>
    </row>
    <row r="25" spans="1:6" x14ac:dyDescent="0.25">
      <c r="A25" t="s">
        <v>33</v>
      </c>
      <c r="B25" t="s">
        <v>71</v>
      </c>
      <c r="C25">
        <v>0</v>
      </c>
      <c r="D25">
        <v>4</v>
      </c>
      <c r="E25" t="s">
        <v>97</v>
      </c>
      <c r="F25">
        <v>0</v>
      </c>
    </row>
    <row r="26" spans="1:6" x14ac:dyDescent="0.25">
      <c r="A26" t="s">
        <v>33</v>
      </c>
      <c r="B26" t="s">
        <v>71</v>
      </c>
      <c r="C26">
        <v>0</v>
      </c>
      <c r="D26">
        <v>4</v>
      </c>
      <c r="E26" t="s">
        <v>98</v>
      </c>
      <c r="F26">
        <v>2</v>
      </c>
    </row>
    <row r="27" spans="1:6" x14ac:dyDescent="0.25">
      <c r="A27" t="s">
        <v>33</v>
      </c>
      <c r="B27" t="s">
        <v>71</v>
      </c>
      <c r="C27">
        <v>0</v>
      </c>
      <c r="D27">
        <v>4</v>
      </c>
      <c r="E27" t="s">
        <v>92</v>
      </c>
      <c r="F27">
        <v>0</v>
      </c>
    </row>
    <row r="28" spans="1:6" x14ac:dyDescent="0.25">
      <c r="A28" t="s">
        <v>33</v>
      </c>
      <c r="B28" t="s">
        <v>71</v>
      </c>
      <c r="C28">
        <v>0</v>
      </c>
      <c r="D28">
        <v>4</v>
      </c>
      <c r="E28" t="s">
        <v>99</v>
      </c>
      <c r="F28">
        <v>0</v>
      </c>
    </row>
    <row r="29" spans="1:6" x14ac:dyDescent="0.25">
      <c r="A29" t="s">
        <v>33</v>
      </c>
      <c r="B29" t="s">
        <v>71</v>
      </c>
      <c r="C29">
        <v>0</v>
      </c>
      <c r="D29">
        <v>4</v>
      </c>
      <c r="E29" t="s">
        <v>100</v>
      </c>
      <c r="F29">
        <v>0</v>
      </c>
    </row>
    <row r="30" spans="1:6" x14ac:dyDescent="0.25">
      <c r="A30" t="s">
        <v>33</v>
      </c>
      <c r="B30" t="s">
        <v>71</v>
      </c>
      <c r="C30">
        <v>0</v>
      </c>
      <c r="D30">
        <v>4</v>
      </c>
      <c r="E30" t="s">
        <v>85</v>
      </c>
      <c r="F30">
        <v>0</v>
      </c>
    </row>
    <row r="31" spans="1:6" x14ac:dyDescent="0.25">
      <c r="A31" t="s">
        <v>33</v>
      </c>
      <c r="B31" t="s">
        <v>71</v>
      </c>
      <c r="C31">
        <v>0</v>
      </c>
      <c r="D31">
        <v>4</v>
      </c>
      <c r="E31" t="s">
        <v>86</v>
      </c>
      <c r="F31">
        <v>0</v>
      </c>
    </row>
    <row r="32" spans="1:6" x14ac:dyDescent="0.25">
      <c r="A32" t="s">
        <v>34</v>
      </c>
      <c r="B32" t="s">
        <v>74</v>
      </c>
      <c r="C32">
        <v>1</v>
      </c>
      <c r="D32">
        <v>3</v>
      </c>
      <c r="E32" t="s">
        <v>94</v>
      </c>
      <c r="F32">
        <v>2</v>
      </c>
    </row>
    <row r="33" spans="1:6" x14ac:dyDescent="0.25">
      <c r="A33" t="s">
        <v>34</v>
      </c>
      <c r="B33" t="s">
        <v>74</v>
      </c>
      <c r="C33">
        <v>1</v>
      </c>
      <c r="D33">
        <v>3</v>
      </c>
      <c r="E33" t="s">
        <v>95</v>
      </c>
      <c r="F33">
        <v>0</v>
      </c>
    </row>
    <row r="34" spans="1:6" x14ac:dyDescent="0.25">
      <c r="A34" t="s">
        <v>34</v>
      </c>
      <c r="B34" t="s">
        <v>74</v>
      </c>
      <c r="C34">
        <v>1</v>
      </c>
      <c r="D34">
        <v>3</v>
      </c>
      <c r="E34" t="s">
        <v>96</v>
      </c>
      <c r="F34">
        <v>0</v>
      </c>
    </row>
    <row r="35" spans="1:6" x14ac:dyDescent="0.25">
      <c r="A35" t="s">
        <v>34</v>
      </c>
      <c r="B35" t="s">
        <v>74</v>
      </c>
      <c r="C35">
        <v>1</v>
      </c>
      <c r="D35">
        <v>3</v>
      </c>
      <c r="E35" t="s">
        <v>97</v>
      </c>
      <c r="F35">
        <v>0</v>
      </c>
    </row>
    <row r="36" spans="1:6" x14ac:dyDescent="0.25">
      <c r="A36" t="s">
        <v>34</v>
      </c>
      <c r="B36" t="s">
        <v>74</v>
      </c>
      <c r="C36">
        <v>1</v>
      </c>
      <c r="D36">
        <v>3</v>
      </c>
      <c r="E36" t="s">
        <v>98</v>
      </c>
      <c r="F36">
        <v>1</v>
      </c>
    </row>
    <row r="37" spans="1:6" x14ac:dyDescent="0.25">
      <c r="A37" t="s">
        <v>34</v>
      </c>
      <c r="B37" t="s">
        <v>74</v>
      </c>
      <c r="C37">
        <v>1</v>
      </c>
      <c r="D37">
        <v>3</v>
      </c>
      <c r="E37" t="s">
        <v>92</v>
      </c>
      <c r="F37">
        <v>0</v>
      </c>
    </row>
    <row r="38" spans="1:6" x14ac:dyDescent="0.25">
      <c r="A38" t="s">
        <v>34</v>
      </c>
      <c r="B38" t="s">
        <v>74</v>
      </c>
      <c r="C38">
        <v>1</v>
      </c>
      <c r="D38">
        <v>3</v>
      </c>
      <c r="E38" t="s">
        <v>99</v>
      </c>
      <c r="F38">
        <v>0</v>
      </c>
    </row>
    <row r="39" spans="1:6" x14ac:dyDescent="0.25">
      <c r="A39" t="s">
        <v>34</v>
      </c>
      <c r="B39" t="s">
        <v>74</v>
      </c>
      <c r="C39">
        <v>1</v>
      </c>
      <c r="D39">
        <v>3</v>
      </c>
      <c r="E39" t="s">
        <v>100</v>
      </c>
      <c r="F39">
        <v>0</v>
      </c>
    </row>
    <row r="40" spans="1:6" x14ac:dyDescent="0.25">
      <c r="A40" t="s">
        <v>34</v>
      </c>
      <c r="B40" t="s">
        <v>74</v>
      </c>
      <c r="C40">
        <v>1</v>
      </c>
      <c r="D40">
        <v>3</v>
      </c>
      <c r="E40" t="s">
        <v>85</v>
      </c>
      <c r="F40">
        <v>0</v>
      </c>
    </row>
    <row r="41" spans="1:6" x14ac:dyDescent="0.25">
      <c r="A41" t="s">
        <v>34</v>
      </c>
      <c r="B41" t="s">
        <v>74</v>
      </c>
      <c r="C41">
        <v>1</v>
      </c>
      <c r="D41">
        <v>3</v>
      </c>
      <c r="E41" t="s">
        <v>86</v>
      </c>
      <c r="F41">
        <v>0</v>
      </c>
    </row>
    <row r="42" spans="1:6" x14ac:dyDescent="0.25">
      <c r="A42" t="s">
        <v>35</v>
      </c>
      <c r="B42" t="s">
        <v>71</v>
      </c>
      <c r="C42">
        <v>1</v>
      </c>
      <c r="D42">
        <v>3</v>
      </c>
      <c r="E42" t="s">
        <v>94</v>
      </c>
      <c r="F42">
        <v>1</v>
      </c>
    </row>
    <row r="43" spans="1:6" x14ac:dyDescent="0.25">
      <c r="A43" t="s">
        <v>35</v>
      </c>
      <c r="B43" t="s">
        <v>71</v>
      </c>
      <c r="C43">
        <v>1</v>
      </c>
      <c r="D43">
        <v>3</v>
      </c>
      <c r="E43" t="s">
        <v>95</v>
      </c>
      <c r="F43">
        <v>1</v>
      </c>
    </row>
    <row r="44" spans="1:6" x14ac:dyDescent="0.25">
      <c r="A44" t="s">
        <v>35</v>
      </c>
      <c r="B44" t="s">
        <v>71</v>
      </c>
      <c r="C44">
        <v>1</v>
      </c>
      <c r="D44">
        <v>3</v>
      </c>
      <c r="E44" t="s">
        <v>96</v>
      </c>
      <c r="F44">
        <v>0</v>
      </c>
    </row>
    <row r="45" spans="1:6" x14ac:dyDescent="0.25">
      <c r="A45" t="s">
        <v>35</v>
      </c>
      <c r="B45" t="s">
        <v>71</v>
      </c>
      <c r="C45">
        <v>1</v>
      </c>
      <c r="D45">
        <v>3</v>
      </c>
      <c r="E45" t="s">
        <v>97</v>
      </c>
      <c r="F45">
        <v>1</v>
      </c>
    </row>
    <row r="46" spans="1:6" x14ac:dyDescent="0.25">
      <c r="A46" t="s">
        <v>35</v>
      </c>
      <c r="B46" t="s">
        <v>71</v>
      </c>
      <c r="C46">
        <v>1</v>
      </c>
      <c r="D46">
        <v>3</v>
      </c>
      <c r="E46" t="s">
        <v>98</v>
      </c>
      <c r="F46">
        <v>0</v>
      </c>
    </row>
    <row r="47" spans="1:6" x14ac:dyDescent="0.25">
      <c r="A47" t="s">
        <v>35</v>
      </c>
      <c r="B47" t="s">
        <v>71</v>
      </c>
      <c r="C47">
        <v>1</v>
      </c>
      <c r="D47">
        <v>3</v>
      </c>
      <c r="E47" t="s">
        <v>92</v>
      </c>
      <c r="F47">
        <v>0</v>
      </c>
    </row>
    <row r="48" spans="1:6" x14ac:dyDescent="0.25">
      <c r="A48" t="s">
        <v>35</v>
      </c>
      <c r="B48" t="s">
        <v>71</v>
      </c>
      <c r="C48">
        <v>1</v>
      </c>
      <c r="D48">
        <v>3</v>
      </c>
      <c r="E48" t="s">
        <v>99</v>
      </c>
      <c r="F48">
        <v>0</v>
      </c>
    </row>
    <row r="49" spans="1:6" x14ac:dyDescent="0.25">
      <c r="A49" t="s">
        <v>35</v>
      </c>
      <c r="B49" t="s">
        <v>71</v>
      </c>
      <c r="C49">
        <v>1</v>
      </c>
      <c r="D49">
        <v>3</v>
      </c>
      <c r="E49" t="s">
        <v>100</v>
      </c>
      <c r="F49">
        <v>0</v>
      </c>
    </row>
    <row r="50" spans="1:6" x14ac:dyDescent="0.25">
      <c r="A50" t="s">
        <v>35</v>
      </c>
      <c r="B50" t="s">
        <v>71</v>
      </c>
      <c r="C50">
        <v>1</v>
      </c>
      <c r="D50">
        <v>3</v>
      </c>
      <c r="E50" t="s">
        <v>85</v>
      </c>
      <c r="F50">
        <v>0</v>
      </c>
    </row>
    <row r="51" spans="1:6" x14ac:dyDescent="0.25">
      <c r="A51" t="s">
        <v>35</v>
      </c>
      <c r="B51" t="s">
        <v>71</v>
      </c>
      <c r="C51">
        <v>1</v>
      </c>
      <c r="D51">
        <v>3</v>
      </c>
      <c r="E51" t="s">
        <v>86</v>
      </c>
      <c r="F51">
        <v>0</v>
      </c>
    </row>
    <row r="52" spans="1:6" x14ac:dyDescent="0.25">
      <c r="A52" t="s">
        <v>36</v>
      </c>
      <c r="B52" t="s">
        <v>74</v>
      </c>
      <c r="C52">
        <v>0</v>
      </c>
      <c r="D52">
        <v>0</v>
      </c>
      <c r="E52" t="s">
        <v>94</v>
      </c>
      <c r="F52">
        <v>0</v>
      </c>
    </row>
    <row r="53" spans="1:6" x14ac:dyDescent="0.25">
      <c r="A53" t="s">
        <v>36</v>
      </c>
      <c r="B53" t="s">
        <v>74</v>
      </c>
      <c r="C53">
        <v>0</v>
      </c>
      <c r="D53">
        <v>0</v>
      </c>
      <c r="E53" t="s">
        <v>95</v>
      </c>
      <c r="F53">
        <v>0</v>
      </c>
    </row>
    <row r="54" spans="1:6" x14ac:dyDescent="0.25">
      <c r="A54" t="s">
        <v>36</v>
      </c>
      <c r="B54" t="s">
        <v>74</v>
      </c>
      <c r="C54">
        <v>0</v>
      </c>
      <c r="D54">
        <v>0</v>
      </c>
      <c r="E54" t="s">
        <v>96</v>
      </c>
      <c r="F54">
        <v>0</v>
      </c>
    </row>
    <row r="55" spans="1:6" x14ac:dyDescent="0.25">
      <c r="A55" t="s">
        <v>36</v>
      </c>
      <c r="B55" t="s">
        <v>74</v>
      </c>
      <c r="C55">
        <v>0</v>
      </c>
      <c r="D55">
        <v>0</v>
      </c>
      <c r="E55" t="s">
        <v>97</v>
      </c>
      <c r="F55">
        <v>0</v>
      </c>
    </row>
    <row r="56" spans="1:6" x14ac:dyDescent="0.25">
      <c r="A56" t="s">
        <v>36</v>
      </c>
      <c r="B56" t="s">
        <v>74</v>
      </c>
      <c r="C56">
        <v>0</v>
      </c>
      <c r="D56">
        <v>0</v>
      </c>
      <c r="E56" t="s">
        <v>98</v>
      </c>
      <c r="F56">
        <v>0</v>
      </c>
    </row>
    <row r="57" spans="1:6" x14ac:dyDescent="0.25">
      <c r="A57" t="s">
        <v>36</v>
      </c>
      <c r="B57" t="s">
        <v>74</v>
      </c>
      <c r="C57">
        <v>0</v>
      </c>
      <c r="D57">
        <v>0</v>
      </c>
      <c r="E57" t="s">
        <v>92</v>
      </c>
      <c r="F57">
        <v>0</v>
      </c>
    </row>
    <row r="58" spans="1:6" x14ac:dyDescent="0.25">
      <c r="A58" t="s">
        <v>36</v>
      </c>
      <c r="B58" t="s">
        <v>74</v>
      </c>
      <c r="C58">
        <v>0</v>
      </c>
      <c r="D58">
        <v>0</v>
      </c>
      <c r="E58" t="s">
        <v>99</v>
      </c>
      <c r="F58">
        <v>0</v>
      </c>
    </row>
    <row r="59" spans="1:6" x14ac:dyDescent="0.25">
      <c r="A59" t="s">
        <v>36</v>
      </c>
      <c r="B59" t="s">
        <v>74</v>
      </c>
      <c r="C59">
        <v>0</v>
      </c>
      <c r="D59">
        <v>0</v>
      </c>
      <c r="E59" t="s">
        <v>100</v>
      </c>
      <c r="F59">
        <v>0</v>
      </c>
    </row>
    <row r="60" spans="1:6" x14ac:dyDescent="0.25">
      <c r="A60" t="s">
        <v>36</v>
      </c>
      <c r="B60" t="s">
        <v>74</v>
      </c>
      <c r="C60">
        <v>0</v>
      </c>
      <c r="D60">
        <v>0</v>
      </c>
      <c r="E60" t="s">
        <v>85</v>
      </c>
      <c r="F60">
        <v>0</v>
      </c>
    </row>
    <row r="61" spans="1:6" x14ac:dyDescent="0.25">
      <c r="A61" t="s">
        <v>36</v>
      </c>
      <c r="B61" t="s">
        <v>74</v>
      </c>
      <c r="C61">
        <v>0</v>
      </c>
      <c r="D61">
        <v>0</v>
      </c>
      <c r="E61" t="s">
        <v>86</v>
      </c>
      <c r="F61">
        <v>0</v>
      </c>
    </row>
    <row r="62" spans="1:6" x14ac:dyDescent="0.25">
      <c r="A62" t="s">
        <v>37</v>
      </c>
      <c r="B62" t="s">
        <v>73</v>
      </c>
      <c r="C62">
        <v>1</v>
      </c>
      <c r="D62">
        <v>3</v>
      </c>
      <c r="E62" t="s">
        <v>94</v>
      </c>
      <c r="F62">
        <v>0</v>
      </c>
    </row>
    <row r="63" spans="1:6" x14ac:dyDescent="0.25">
      <c r="A63" t="s">
        <v>37</v>
      </c>
      <c r="B63" t="s">
        <v>73</v>
      </c>
      <c r="C63">
        <v>1</v>
      </c>
      <c r="D63">
        <v>3</v>
      </c>
      <c r="E63" t="s">
        <v>95</v>
      </c>
      <c r="F63">
        <v>2</v>
      </c>
    </row>
    <row r="64" spans="1:6" x14ac:dyDescent="0.25">
      <c r="A64" t="s">
        <v>37</v>
      </c>
      <c r="B64" t="s">
        <v>73</v>
      </c>
      <c r="C64">
        <v>1</v>
      </c>
      <c r="D64">
        <v>3</v>
      </c>
      <c r="E64" t="s">
        <v>96</v>
      </c>
      <c r="F64">
        <v>0</v>
      </c>
    </row>
    <row r="65" spans="1:6" x14ac:dyDescent="0.25">
      <c r="A65" t="s">
        <v>37</v>
      </c>
      <c r="B65" t="s">
        <v>73</v>
      </c>
      <c r="C65">
        <v>1</v>
      </c>
      <c r="D65">
        <v>3</v>
      </c>
      <c r="E65" t="s">
        <v>97</v>
      </c>
      <c r="F65">
        <v>0</v>
      </c>
    </row>
    <row r="66" spans="1:6" x14ac:dyDescent="0.25">
      <c r="A66" t="s">
        <v>37</v>
      </c>
      <c r="B66" t="s">
        <v>73</v>
      </c>
      <c r="C66">
        <v>1</v>
      </c>
      <c r="D66">
        <v>3</v>
      </c>
      <c r="E66" t="s">
        <v>98</v>
      </c>
      <c r="F66">
        <v>1</v>
      </c>
    </row>
    <row r="67" spans="1:6" x14ac:dyDescent="0.25">
      <c r="A67" t="s">
        <v>37</v>
      </c>
      <c r="B67" t="s">
        <v>73</v>
      </c>
      <c r="C67">
        <v>1</v>
      </c>
      <c r="D67">
        <v>3</v>
      </c>
      <c r="E67" t="s">
        <v>92</v>
      </c>
      <c r="F67">
        <v>0</v>
      </c>
    </row>
    <row r="68" spans="1:6" x14ac:dyDescent="0.25">
      <c r="A68" t="s">
        <v>37</v>
      </c>
      <c r="B68" t="s">
        <v>73</v>
      </c>
      <c r="C68">
        <v>1</v>
      </c>
      <c r="D68">
        <v>3</v>
      </c>
      <c r="E68" t="s">
        <v>99</v>
      </c>
      <c r="F68">
        <v>0</v>
      </c>
    </row>
    <row r="69" spans="1:6" x14ac:dyDescent="0.25">
      <c r="A69" t="s">
        <v>37</v>
      </c>
      <c r="B69" t="s">
        <v>73</v>
      </c>
      <c r="C69">
        <v>1</v>
      </c>
      <c r="D69">
        <v>3</v>
      </c>
      <c r="E69" t="s">
        <v>100</v>
      </c>
      <c r="F69">
        <v>0</v>
      </c>
    </row>
    <row r="70" spans="1:6" x14ac:dyDescent="0.25">
      <c r="A70" t="s">
        <v>37</v>
      </c>
      <c r="B70" t="s">
        <v>73</v>
      </c>
      <c r="C70">
        <v>1</v>
      </c>
      <c r="D70">
        <v>3</v>
      </c>
      <c r="E70" t="s">
        <v>85</v>
      </c>
      <c r="F70">
        <v>0</v>
      </c>
    </row>
    <row r="71" spans="1:6" x14ac:dyDescent="0.25">
      <c r="A71" t="s">
        <v>37</v>
      </c>
      <c r="B71" t="s">
        <v>73</v>
      </c>
      <c r="C71">
        <v>1</v>
      </c>
      <c r="D71">
        <v>3</v>
      </c>
      <c r="E71" t="s">
        <v>86</v>
      </c>
      <c r="F71">
        <v>0</v>
      </c>
    </row>
    <row r="72" spans="1:6" x14ac:dyDescent="0.25">
      <c r="A72" t="s">
        <v>38</v>
      </c>
      <c r="B72" t="s">
        <v>72</v>
      </c>
      <c r="C72">
        <v>1</v>
      </c>
      <c r="D72">
        <v>2</v>
      </c>
      <c r="E72" t="s">
        <v>94</v>
      </c>
      <c r="F72">
        <v>0</v>
      </c>
    </row>
    <row r="73" spans="1:6" x14ac:dyDescent="0.25">
      <c r="A73" t="s">
        <v>38</v>
      </c>
      <c r="B73" t="s">
        <v>72</v>
      </c>
      <c r="C73">
        <v>1</v>
      </c>
      <c r="D73">
        <v>2</v>
      </c>
      <c r="E73" t="s">
        <v>95</v>
      </c>
      <c r="F73">
        <v>1</v>
      </c>
    </row>
    <row r="74" spans="1:6" x14ac:dyDescent="0.25">
      <c r="A74" t="s">
        <v>38</v>
      </c>
      <c r="B74" t="s">
        <v>72</v>
      </c>
      <c r="C74">
        <v>1</v>
      </c>
      <c r="D74">
        <v>2</v>
      </c>
      <c r="E74" t="s">
        <v>96</v>
      </c>
      <c r="F74">
        <v>0</v>
      </c>
    </row>
    <row r="75" spans="1:6" x14ac:dyDescent="0.25">
      <c r="A75" t="s">
        <v>38</v>
      </c>
      <c r="B75" t="s">
        <v>72</v>
      </c>
      <c r="C75">
        <v>1</v>
      </c>
      <c r="D75">
        <v>2</v>
      </c>
      <c r="E75" t="s">
        <v>97</v>
      </c>
      <c r="F75">
        <v>0</v>
      </c>
    </row>
    <row r="76" spans="1:6" x14ac:dyDescent="0.25">
      <c r="A76" t="s">
        <v>38</v>
      </c>
      <c r="B76" t="s">
        <v>72</v>
      </c>
      <c r="C76">
        <v>1</v>
      </c>
      <c r="D76">
        <v>2</v>
      </c>
      <c r="E76" t="s">
        <v>98</v>
      </c>
      <c r="F76">
        <v>0</v>
      </c>
    </row>
    <row r="77" spans="1:6" x14ac:dyDescent="0.25">
      <c r="A77" t="s">
        <v>38</v>
      </c>
      <c r="B77" t="s">
        <v>72</v>
      </c>
      <c r="C77">
        <v>1</v>
      </c>
      <c r="D77">
        <v>2</v>
      </c>
      <c r="E77" t="s">
        <v>92</v>
      </c>
      <c r="F77">
        <v>0</v>
      </c>
    </row>
    <row r="78" spans="1:6" x14ac:dyDescent="0.25">
      <c r="A78" t="s">
        <v>38</v>
      </c>
      <c r="B78" t="s">
        <v>72</v>
      </c>
      <c r="C78">
        <v>1</v>
      </c>
      <c r="D78">
        <v>2</v>
      </c>
      <c r="E78" t="s">
        <v>99</v>
      </c>
      <c r="F78">
        <v>0</v>
      </c>
    </row>
    <row r="79" spans="1:6" x14ac:dyDescent="0.25">
      <c r="A79" t="s">
        <v>38</v>
      </c>
      <c r="B79" t="s">
        <v>72</v>
      </c>
      <c r="C79">
        <v>1</v>
      </c>
      <c r="D79">
        <v>2</v>
      </c>
      <c r="E79" t="s">
        <v>100</v>
      </c>
      <c r="F79">
        <v>1</v>
      </c>
    </row>
    <row r="80" spans="1:6" x14ac:dyDescent="0.25">
      <c r="A80" t="s">
        <v>38</v>
      </c>
      <c r="B80" t="s">
        <v>72</v>
      </c>
      <c r="C80">
        <v>1</v>
      </c>
      <c r="D80">
        <v>2</v>
      </c>
      <c r="E80" t="s">
        <v>85</v>
      </c>
      <c r="F80">
        <v>0</v>
      </c>
    </row>
    <row r="81" spans="1:6" x14ac:dyDescent="0.25">
      <c r="A81" t="s">
        <v>38</v>
      </c>
      <c r="B81" t="s">
        <v>72</v>
      </c>
      <c r="C81">
        <v>1</v>
      </c>
      <c r="D81">
        <v>2</v>
      </c>
      <c r="E81" t="s">
        <v>86</v>
      </c>
      <c r="F81">
        <v>0</v>
      </c>
    </row>
    <row r="82" spans="1:6" x14ac:dyDescent="0.25">
      <c r="A82" t="s">
        <v>39</v>
      </c>
      <c r="B82" t="s">
        <v>72</v>
      </c>
      <c r="C82">
        <v>2</v>
      </c>
      <c r="D82">
        <v>4.5</v>
      </c>
      <c r="E82" t="s">
        <v>94</v>
      </c>
      <c r="F82">
        <v>0</v>
      </c>
    </row>
    <row r="83" spans="1:6" x14ac:dyDescent="0.25">
      <c r="A83" t="s">
        <v>39</v>
      </c>
      <c r="B83" t="s">
        <v>72</v>
      </c>
      <c r="C83">
        <v>2</v>
      </c>
      <c r="D83">
        <v>4.5</v>
      </c>
      <c r="E83" t="s">
        <v>95</v>
      </c>
      <c r="F83">
        <v>1</v>
      </c>
    </row>
    <row r="84" spans="1:6" x14ac:dyDescent="0.25">
      <c r="A84" t="s">
        <v>39</v>
      </c>
      <c r="B84" t="s">
        <v>72</v>
      </c>
      <c r="C84">
        <v>2</v>
      </c>
      <c r="D84">
        <v>4.5</v>
      </c>
      <c r="E84" t="s">
        <v>96</v>
      </c>
      <c r="F84">
        <v>1</v>
      </c>
    </row>
    <row r="85" spans="1:6" x14ac:dyDescent="0.25">
      <c r="A85" t="s">
        <v>39</v>
      </c>
      <c r="B85" t="s">
        <v>72</v>
      </c>
      <c r="C85">
        <v>2</v>
      </c>
      <c r="D85">
        <v>4.5</v>
      </c>
      <c r="E85" t="s">
        <v>97</v>
      </c>
      <c r="F85">
        <v>0</v>
      </c>
    </row>
    <row r="86" spans="1:6" x14ac:dyDescent="0.25">
      <c r="A86" t="s">
        <v>39</v>
      </c>
      <c r="B86" t="s">
        <v>72</v>
      </c>
      <c r="C86">
        <v>2</v>
      </c>
      <c r="D86">
        <v>4.5</v>
      </c>
      <c r="E86" t="s">
        <v>98</v>
      </c>
      <c r="F86">
        <v>0</v>
      </c>
    </row>
    <row r="87" spans="1:6" x14ac:dyDescent="0.25">
      <c r="A87" t="s">
        <v>39</v>
      </c>
      <c r="B87" t="s">
        <v>72</v>
      </c>
      <c r="C87">
        <v>2</v>
      </c>
      <c r="D87">
        <v>4.5</v>
      </c>
      <c r="E87" t="s">
        <v>92</v>
      </c>
      <c r="F87">
        <v>2</v>
      </c>
    </row>
    <row r="88" spans="1:6" x14ac:dyDescent="0.25">
      <c r="A88" t="s">
        <v>39</v>
      </c>
      <c r="B88" t="s">
        <v>72</v>
      </c>
      <c r="C88">
        <v>2</v>
      </c>
      <c r="D88">
        <v>4.5</v>
      </c>
      <c r="E88" t="s">
        <v>99</v>
      </c>
      <c r="F88">
        <v>0</v>
      </c>
    </row>
    <row r="89" spans="1:6" x14ac:dyDescent="0.25">
      <c r="A89" t="s">
        <v>39</v>
      </c>
      <c r="B89" t="s">
        <v>72</v>
      </c>
      <c r="C89">
        <v>2</v>
      </c>
      <c r="D89">
        <v>4.5</v>
      </c>
      <c r="E89" t="s">
        <v>100</v>
      </c>
      <c r="F89">
        <v>0</v>
      </c>
    </row>
    <row r="90" spans="1:6" x14ac:dyDescent="0.25">
      <c r="A90" t="s">
        <v>39</v>
      </c>
      <c r="B90" t="s">
        <v>72</v>
      </c>
      <c r="C90">
        <v>2</v>
      </c>
      <c r="D90">
        <v>4.5</v>
      </c>
      <c r="E90" t="s">
        <v>85</v>
      </c>
      <c r="F90">
        <v>1</v>
      </c>
    </row>
    <row r="91" spans="1:6" x14ac:dyDescent="0.25">
      <c r="A91" t="s">
        <v>39</v>
      </c>
      <c r="B91" t="s">
        <v>72</v>
      </c>
      <c r="C91">
        <v>2</v>
      </c>
      <c r="D91">
        <v>4.5</v>
      </c>
      <c r="E91" t="s">
        <v>86</v>
      </c>
      <c r="F91">
        <v>0</v>
      </c>
    </row>
    <row r="92" spans="1:6" x14ac:dyDescent="0.25">
      <c r="A92" t="s">
        <v>40</v>
      </c>
      <c r="B92" t="s">
        <v>76</v>
      </c>
      <c r="C92">
        <v>1</v>
      </c>
      <c r="D92">
        <v>4</v>
      </c>
      <c r="E92" t="s">
        <v>94</v>
      </c>
      <c r="F92">
        <v>0</v>
      </c>
    </row>
    <row r="93" spans="1:6" x14ac:dyDescent="0.25">
      <c r="A93" t="s">
        <v>40</v>
      </c>
      <c r="B93" t="s">
        <v>76</v>
      </c>
      <c r="C93">
        <v>1</v>
      </c>
      <c r="D93">
        <v>4</v>
      </c>
      <c r="E93" t="s">
        <v>95</v>
      </c>
      <c r="F93">
        <v>0</v>
      </c>
    </row>
    <row r="94" spans="1:6" x14ac:dyDescent="0.25">
      <c r="A94" t="s">
        <v>40</v>
      </c>
      <c r="B94" t="s">
        <v>76</v>
      </c>
      <c r="C94">
        <v>1</v>
      </c>
      <c r="D94">
        <v>4</v>
      </c>
      <c r="E94" t="s">
        <v>96</v>
      </c>
      <c r="F94">
        <v>0</v>
      </c>
    </row>
    <row r="95" spans="1:6" x14ac:dyDescent="0.25">
      <c r="A95" t="s">
        <v>40</v>
      </c>
      <c r="B95" t="s">
        <v>76</v>
      </c>
      <c r="C95">
        <v>1</v>
      </c>
      <c r="D95">
        <v>4</v>
      </c>
      <c r="E95" t="s">
        <v>97</v>
      </c>
      <c r="F95">
        <v>0</v>
      </c>
    </row>
    <row r="96" spans="1:6" x14ac:dyDescent="0.25">
      <c r="A96" t="s">
        <v>40</v>
      </c>
      <c r="B96" t="s">
        <v>76</v>
      </c>
      <c r="C96">
        <v>1</v>
      </c>
      <c r="D96">
        <v>4</v>
      </c>
      <c r="E96" t="s">
        <v>98</v>
      </c>
      <c r="F96">
        <v>1</v>
      </c>
    </row>
    <row r="97" spans="1:6" x14ac:dyDescent="0.25">
      <c r="A97" t="s">
        <v>40</v>
      </c>
      <c r="B97" t="s">
        <v>76</v>
      </c>
      <c r="C97">
        <v>1</v>
      </c>
      <c r="D97">
        <v>4</v>
      </c>
      <c r="E97" t="s">
        <v>92</v>
      </c>
      <c r="F97">
        <v>0</v>
      </c>
    </row>
    <row r="98" spans="1:6" x14ac:dyDescent="0.25">
      <c r="A98" t="s">
        <v>40</v>
      </c>
      <c r="B98" t="s">
        <v>76</v>
      </c>
      <c r="C98">
        <v>1</v>
      </c>
      <c r="D98">
        <v>4</v>
      </c>
      <c r="E98" t="s">
        <v>99</v>
      </c>
      <c r="F98">
        <v>3</v>
      </c>
    </row>
    <row r="99" spans="1:6" x14ac:dyDescent="0.25">
      <c r="A99" t="s">
        <v>40</v>
      </c>
      <c r="B99" t="s">
        <v>76</v>
      </c>
      <c r="C99">
        <v>1</v>
      </c>
      <c r="D99">
        <v>4</v>
      </c>
      <c r="E99" t="s">
        <v>100</v>
      </c>
      <c r="F99">
        <v>0</v>
      </c>
    </row>
    <row r="100" spans="1:6" x14ac:dyDescent="0.25">
      <c r="A100" t="s">
        <v>40</v>
      </c>
      <c r="B100" t="s">
        <v>76</v>
      </c>
      <c r="C100">
        <v>1</v>
      </c>
      <c r="D100">
        <v>4</v>
      </c>
      <c r="E100" t="s">
        <v>85</v>
      </c>
      <c r="F100">
        <v>0</v>
      </c>
    </row>
    <row r="101" spans="1:6" x14ac:dyDescent="0.25">
      <c r="A101" t="s">
        <v>40</v>
      </c>
      <c r="B101" t="s">
        <v>76</v>
      </c>
      <c r="C101">
        <v>1</v>
      </c>
      <c r="D101">
        <v>4</v>
      </c>
      <c r="E101" t="s">
        <v>86</v>
      </c>
      <c r="F101">
        <v>0</v>
      </c>
    </row>
    <row r="102" spans="1:6" x14ac:dyDescent="0.25">
      <c r="A102" t="s">
        <v>43</v>
      </c>
      <c r="B102" t="s">
        <v>71</v>
      </c>
      <c r="C102">
        <v>1</v>
      </c>
      <c r="D102">
        <v>2</v>
      </c>
      <c r="E102" t="s">
        <v>94</v>
      </c>
      <c r="F102">
        <v>1</v>
      </c>
    </row>
    <row r="103" spans="1:6" x14ac:dyDescent="0.25">
      <c r="A103" t="s">
        <v>43</v>
      </c>
      <c r="B103" t="s">
        <v>71</v>
      </c>
      <c r="C103">
        <v>1</v>
      </c>
      <c r="D103">
        <v>2</v>
      </c>
      <c r="E103" t="s">
        <v>95</v>
      </c>
      <c r="F103">
        <v>0</v>
      </c>
    </row>
    <row r="104" spans="1:6" x14ac:dyDescent="0.25">
      <c r="A104" t="s">
        <v>43</v>
      </c>
      <c r="B104" t="s">
        <v>71</v>
      </c>
      <c r="C104">
        <v>1</v>
      </c>
      <c r="D104">
        <v>2</v>
      </c>
      <c r="E104" t="s">
        <v>96</v>
      </c>
      <c r="F104">
        <v>0</v>
      </c>
    </row>
    <row r="105" spans="1:6" x14ac:dyDescent="0.25">
      <c r="A105" t="s">
        <v>43</v>
      </c>
      <c r="B105" t="s">
        <v>71</v>
      </c>
      <c r="C105">
        <v>1</v>
      </c>
      <c r="D105">
        <v>2</v>
      </c>
      <c r="E105" t="s">
        <v>97</v>
      </c>
      <c r="F105">
        <v>1</v>
      </c>
    </row>
    <row r="106" spans="1:6" x14ac:dyDescent="0.25">
      <c r="A106" t="s">
        <v>43</v>
      </c>
      <c r="B106" t="s">
        <v>71</v>
      </c>
      <c r="C106">
        <v>1</v>
      </c>
      <c r="D106">
        <v>2</v>
      </c>
      <c r="E106" t="s">
        <v>98</v>
      </c>
      <c r="F106">
        <v>0</v>
      </c>
    </row>
    <row r="107" spans="1:6" x14ac:dyDescent="0.25">
      <c r="A107" t="s">
        <v>43</v>
      </c>
      <c r="B107" t="s">
        <v>71</v>
      </c>
      <c r="C107">
        <v>1</v>
      </c>
      <c r="D107">
        <v>2</v>
      </c>
      <c r="E107" t="s">
        <v>92</v>
      </c>
      <c r="F107">
        <v>0</v>
      </c>
    </row>
    <row r="108" spans="1:6" x14ac:dyDescent="0.25">
      <c r="A108" t="s">
        <v>43</v>
      </c>
      <c r="B108" t="s">
        <v>71</v>
      </c>
      <c r="C108">
        <v>1</v>
      </c>
      <c r="D108">
        <v>2</v>
      </c>
      <c r="E108" t="s">
        <v>99</v>
      </c>
      <c r="F108">
        <v>0</v>
      </c>
    </row>
    <row r="109" spans="1:6" x14ac:dyDescent="0.25">
      <c r="A109" t="s">
        <v>43</v>
      </c>
      <c r="B109" t="s">
        <v>71</v>
      </c>
      <c r="C109">
        <v>1</v>
      </c>
      <c r="D109">
        <v>2</v>
      </c>
      <c r="E109" t="s">
        <v>100</v>
      </c>
      <c r="F109">
        <v>0</v>
      </c>
    </row>
    <row r="110" spans="1:6" x14ac:dyDescent="0.25">
      <c r="A110" t="s">
        <v>43</v>
      </c>
      <c r="B110" t="s">
        <v>71</v>
      </c>
      <c r="C110">
        <v>1</v>
      </c>
      <c r="D110">
        <v>2</v>
      </c>
      <c r="E110" t="s">
        <v>85</v>
      </c>
      <c r="F110">
        <v>0</v>
      </c>
    </row>
    <row r="111" spans="1:6" x14ac:dyDescent="0.25">
      <c r="A111" t="s">
        <v>43</v>
      </c>
      <c r="B111" t="s">
        <v>71</v>
      </c>
      <c r="C111">
        <v>1</v>
      </c>
      <c r="D111">
        <v>2</v>
      </c>
      <c r="E111" t="s">
        <v>86</v>
      </c>
      <c r="F111">
        <v>0</v>
      </c>
    </row>
    <row r="112" spans="1:6" x14ac:dyDescent="0.25">
      <c r="A112" t="s">
        <v>44</v>
      </c>
      <c r="B112" t="s">
        <v>74</v>
      </c>
      <c r="C112">
        <v>0</v>
      </c>
      <c r="D112">
        <v>1.5</v>
      </c>
      <c r="E112" t="s">
        <v>94</v>
      </c>
      <c r="F112">
        <v>0</v>
      </c>
    </row>
    <row r="113" spans="1:6" x14ac:dyDescent="0.25">
      <c r="A113" t="s">
        <v>44</v>
      </c>
      <c r="B113" t="s">
        <v>74</v>
      </c>
      <c r="C113">
        <v>0</v>
      </c>
      <c r="D113">
        <v>1.5</v>
      </c>
      <c r="E113" t="s">
        <v>95</v>
      </c>
      <c r="F113">
        <v>0</v>
      </c>
    </row>
    <row r="114" spans="1:6" x14ac:dyDescent="0.25">
      <c r="A114" t="s">
        <v>44</v>
      </c>
      <c r="B114" t="s">
        <v>74</v>
      </c>
      <c r="C114">
        <v>0</v>
      </c>
      <c r="D114">
        <v>1.5</v>
      </c>
      <c r="E114" t="s">
        <v>96</v>
      </c>
      <c r="F114">
        <v>0</v>
      </c>
    </row>
    <row r="115" spans="1:6" x14ac:dyDescent="0.25">
      <c r="A115" t="s">
        <v>44</v>
      </c>
      <c r="B115" t="s">
        <v>74</v>
      </c>
      <c r="C115">
        <v>0</v>
      </c>
      <c r="D115">
        <v>1.5</v>
      </c>
      <c r="E115" t="s">
        <v>97</v>
      </c>
      <c r="F115">
        <v>1</v>
      </c>
    </row>
    <row r="116" spans="1:6" x14ac:dyDescent="0.25">
      <c r="A116" t="s">
        <v>44</v>
      </c>
      <c r="B116" t="s">
        <v>74</v>
      </c>
      <c r="C116">
        <v>0</v>
      </c>
      <c r="D116">
        <v>1.5</v>
      </c>
      <c r="E116" t="s">
        <v>98</v>
      </c>
      <c r="F116">
        <v>0</v>
      </c>
    </row>
    <row r="117" spans="1:6" x14ac:dyDescent="0.25">
      <c r="A117" t="s">
        <v>44</v>
      </c>
      <c r="B117" t="s">
        <v>74</v>
      </c>
      <c r="C117">
        <v>0</v>
      </c>
      <c r="D117">
        <v>1.5</v>
      </c>
      <c r="E117" t="s">
        <v>92</v>
      </c>
      <c r="F117">
        <v>0</v>
      </c>
    </row>
    <row r="118" spans="1:6" x14ac:dyDescent="0.25">
      <c r="A118" t="s">
        <v>44</v>
      </c>
      <c r="B118" t="s">
        <v>74</v>
      </c>
      <c r="C118">
        <v>0</v>
      </c>
      <c r="D118">
        <v>1.5</v>
      </c>
      <c r="E118" t="s">
        <v>99</v>
      </c>
      <c r="F118">
        <v>0</v>
      </c>
    </row>
    <row r="119" spans="1:6" x14ac:dyDescent="0.25">
      <c r="A119" t="s">
        <v>44</v>
      </c>
      <c r="B119" t="s">
        <v>74</v>
      </c>
      <c r="C119">
        <v>0</v>
      </c>
      <c r="D119">
        <v>1.5</v>
      </c>
      <c r="E119" t="s">
        <v>100</v>
      </c>
      <c r="F119">
        <v>0</v>
      </c>
    </row>
    <row r="120" spans="1:6" x14ac:dyDescent="0.25">
      <c r="A120" t="s">
        <v>44</v>
      </c>
      <c r="B120" t="s">
        <v>74</v>
      </c>
      <c r="C120">
        <v>0</v>
      </c>
      <c r="D120">
        <v>1.5</v>
      </c>
      <c r="E120" t="s">
        <v>85</v>
      </c>
      <c r="F120">
        <v>0</v>
      </c>
    </row>
    <row r="121" spans="1:6" x14ac:dyDescent="0.25">
      <c r="A121" t="s">
        <v>44</v>
      </c>
      <c r="B121" t="s">
        <v>74</v>
      </c>
      <c r="C121">
        <v>0</v>
      </c>
      <c r="D121">
        <v>1.5</v>
      </c>
      <c r="E121" t="s">
        <v>86</v>
      </c>
      <c r="F121">
        <v>1</v>
      </c>
    </row>
    <row r="122" spans="1:6" x14ac:dyDescent="0.25">
      <c r="A122" t="s">
        <v>45</v>
      </c>
      <c r="B122" t="s">
        <v>75</v>
      </c>
      <c r="C122">
        <v>0</v>
      </c>
      <c r="D122">
        <v>1</v>
      </c>
      <c r="E122" t="s">
        <v>94</v>
      </c>
      <c r="F122">
        <v>0</v>
      </c>
    </row>
    <row r="123" spans="1:6" x14ac:dyDescent="0.25">
      <c r="A123" t="s">
        <v>45</v>
      </c>
      <c r="B123" t="s">
        <v>75</v>
      </c>
      <c r="C123">
        <v>0</v>
      </c>
      <c r="D123">
        <v>1</v>
      </c>
      <c r="E123" t="s">
        <v>95</v>
      </c>
      <c r="F123">
        <v>0</v>
      </c>
    </row>
    <row r="124" spans="1:6" x14ac:dyDescent="0.25">
      <c r="A124" t="s">
        <v>45</v>
      </c>
      <c r="B124" t="s">
        <v>75</v>
      </c>
      <c r="C124">
        <v>0</v>
      </c>
      <c r="D124">
        <v>1</v>
      </c>
      <c r="E124" t="s">
        <v>96</v>
      </c>
      <c r="F124">
        <v>0</v>
      </c>
    </row>
    <row r="125" spans="1:6" x14ac:dyDescent="0.25">
      <c r="A125" t="s">
        <v>45</v>
      </c>
      <c r="B125" t="s">
        <v>75</v>
      </c>
      <c r="C125">
        <v>0</v>
      </c>
      <c r="D125">
        <v>1</v>
      </c>
      <c r="E125" t="s">
        <v>97</v>
      </c>
      <c r="F125">
        <v>0</v>
      </c>
    </row>
    <row r="126" spans="1:6" x14ac:dyDescent="0.25">
      <c r="A126" t="s">
        <v>45</v>
      </c>
      <c r="B126" t="s">
        <v>75</v>
      </c>
      <c r="C126">
        <v>0</v>
      </c>
      <c r="D126">
        <v>1</v>
      </c>
      <c r="E126" t="s">
        <v>98</v>
      </c>
      <c r="F126">
        <v>1</v>
      </c>
    </row>
    <row r="127" spans="1:6" x14ac:dyDescent="0.25">
      <c r="A127" t="s">
        <v>45</v>
      </c>
      <c r="B127" t="s">
        <v>75</v>
      </c>
      <c r="C127">
        <v>0</v>
      </c>
      <c r="D127">
        <v>1</v>
      </c>
      <c r="E127" t="s">
        <v>92</v>
      </c>
      <c r="F127">
        <v>0</v>
      </c>
    </row>
    <row r="128" spans="1:6" x14ac:dyDescent="0.25">
      <c r="A128" t="s">
        <v>45</v>
      </c>
      <c r="B128" t="s">
        <v>75</v>
      </c>
      <c r="C128">
        <v>0</v>
      </c>
      <c r="D128">
        <v>1</v>
      </c>
      <c r="E128" t="s">
        <v>99</v>
      </c>
      <c r="F128">
        <v>0</v>
      </c>
    </row>
    <row r="129" spans="1:6" x14ac:dyDescent="0.25">
      <c r="A129" t="s">
        <v>45</v>
      </c>
      <c r="B129" t="s">
        <v>75</v>
      </c>
      <c r="C129">
        <v>0</v>
      </c>
      <c r="D129">
        <v>1</v>
      </c>
      <c r="E129" t="s">
        <v>100</v>
      </c>
      <c r="F129">
        <v>0</v>
      </c>
    </row>
    <row r="130" spans="1:6" x14ac:dyDescent="0.25">
      <c r="A130" t="s">
        <v>45</v>
      </c>
      <c r="B130" t="s">
        <v>75</v>
      </c>
      <c r="C130">
        <v>0</v>
      </c>
      <c r="D130">
        <v>1</v>
      </c>
      <c r="E130" t="s">
        <v>85</v>
      </c>
      <c r="F130">
        <v>0</v>
      </c>
    </row>
    <row r="131" spans="1:6" x14ac:dyDescent="0.25">
      <c r="A131" t="s">
        <v>45</v>
      </c>
      <c r="B131" t="s">
        <v>75</v>
      </c>
      <c r="C131">
        <v>0</v>
      </c>
      <c r="D131">
        <v>1</v>
      </c>
      <c r="E131" t="s">
        <v>86</v>
      </c>
      <c r="F131">
        <v>0</v>
      </c>
    </row>
    <row r="132" spans="1:6" x14ac:dyDescent="0.25">
      <c r="A132" t="s">
        <v>46</v>
      </c>
      <c r="B132" t="s">
        <v>71</v>
      </c>
      <c r="C132">
        <v>1</v>
      </c>
      <c r="D132">
        <v>4.5</v>
      </c>
      <c r="E132" t="s">
        <v>94</v>
      </c>
      <c r="F132">
        <v>1</v>
      </c>
    </row>
    <row r="133" spans="1:6" x14ac:dyDescent="0.25">
      <c r="A133" t="s">
        <v>46</v>
      </c>
      <c r="B133" t="s">
        <v>71</v>
      </c>
      <c r="C133">
        <v>1</v>
      </c>
      <c r="D133">
        <v>4.5</v>
      </c>
      <c r="E133" t="s">
        <v>95</v>
      </c>
      <c r="F133">
        <v>0</v>
      </c>
    </row>
    <row r="134" spans="1:6" x14ac:dyDescent="0.25">
      <c r="A134" t="s">
        <v>46</v>
      </c>
      <c r="B134" t="s">
        <v>71</v>
      </c>
      <c r="C134">
        <v>1</v>
      </c>
      <c r="D134">
        <v>4.5</v>
      </c>
      <c r="E134" t="s">
        <v>96</v>
      </c>
      <c r="F134">
        <v>1</v>
      </c>
    </row>
    <row r="135" spans="1:6" x14ac:dyDescent="0.25">
      <c r="A135" t="s">
        <v>46</v>
      </c>
      <c r="B135" t="s">
        <v>71</v>
      </c>
      <c r="C135">
        <v>1</v>
      </c>
      <c r="D135">
        <v>4.5</v>
      </c>
      <c r="E135" t="s">
        <v>97</v>
      </c>
      <c r="F135">
        <v>1</v>
      </c>
    </row>
    <row r="136" spans="1:6" x14ac:dyDescent="0.25">
      <c r="A136" t="s">
        <v>46</v>
      </c>
      <c r="B136" t="s">
        <v>71</v>
      </c>
      <c r="C136">
        <v>1</v>
      </c>
      <c r="D136">
        <v>4.5</v>
      </c>
      <c r="E136" t="s">
        <v>98</v>
      </c>
      <c r="F136">
        <v>1</v>
      </c>
    </row>
    <row r="137" spans="1:6" x14ac:dyDescent="0.25">
      <c r="A137" t="s">
        <v>46</v>
      </c>
      <c r="B137" t="s">
        <v>71</v>
      </c>
      <c r="C137">
        <v>1</v>
      </c>
      <c r="D137">
        <v>4.5</v>
      </c>
      <c r="E137" t="s">
        <v>92</v>
      </c>
      <c r="F137">
        <v>0</v>
      </c>
    </row>
    <row r="138" spans="1:6" x14ac:dyDescent="0.25">
      <c r="A138" t="s">
        <v>46</v>
      </c>
      <c r="B138" t="s">
        <v>71</v>
      </c>
      <c r="C138">
        <v>1</v>
      </c>
      <c r="D138">
        <v>4.5</v>
      </c>
      <c r="E138" t="s">
        <v>99</v>
      </c>
      <c r="F138">
        <v>0</v>
      </c>
    </row>
    <row r="139" spans="1:6" x14ac:dyDescent="0.25">
      <c r="A139" t="s">
        <v>46</v>
      </c>
      <c r="B139" t="s">
        <v>71</v>
      </c>
      <c r="C139">
        <v>1</v>
      </c>
      <c r="D139">
        <v>4.5</v>
      </c>
      <c r="E139" t="s">
        <v>100</v>
      </c>
      <c r="F139">
        <v>0</v>
      </c>
    </row>
    <row r="140" spans="1:6" x14ac:dyDescent="0.25">
      <c r="A140" t="s">
        <v>46</v>
      </c>
      <c r="B140" t="s">
        <v>71</v>
      </c>
      <c r="C140">
        <v>1</v>
      </c>
      <c r="D140">
        <v>4.5</v>
      </c>
      <c r="E140" t="s">
        <v>85</v>
      </c>
      <c r="F140">
        <v>1</v>
      </c>
    </row>
    <row r="141" spans="1:6" x14ac:dyDescent="0.25">
      <c r="A141" t="s">
        <v>46</v>
      </c>
      <c r="B141" t="s">
        <v>71</v>
      </c>
      <c r="C141">
        <v>1</v>
      </c>
      <c r="D141">
        <v>4.5</v>
      </c>
      <c r="E141" t="s">
        <v>86</v>
      </c>
      <c r="F141">
        <v>0</v>
      </c>
    </row>
    <row r="142" spans="1:6" x14ac:dyDescent="0.25">
      <c r="A142" t="s">
        <v>47</v>
      </c>
      <c r="B142" t="s">
        <v>75</v>
      </c>
      <c r="C142">
        <v>0</v>
      </c>
      <c r="D142">
        <v>0.5</v>
      </c>
      <c r="E142" t="s">
        <v>94</v>
      </c>
      <c r="F142">
        <v>0</v>
      </c>
    </row>
    <row r="143" spans="1:6" x14ac:dyDescent="0.25">
      <c r="A143" t="s">
        <v>47</v>
      </c>
      <c r="B143" t="s">
        <v>75</v>
      </c>
      <c r="C143">
        <v>0</v>
      </c>
      <c r="D143">
        <v>0.5</v>
      </c>
      <c r="E143" t="s">
        <v>95</v>
      </c>
      <c r="F143">
        <v>0</v>
      </c>
    </row>
    <row r="144" spans="1:6" x14ac:dyDescent="0.25">
      <c r="A144" t="s">
        <v>47</v>
      </c>
      <c r="B144" t="s">
        <v>75</v>
      </c>
      <c r="C144">
        <v>0</v>
      </c>
      <c r="D144">
        <v>0.5</v>
      </c>
      <c r="E144" t="s">
        <v>96</v>
      </c>
      <c r="F144">
        <v>0</v>
      </c>
    </row>
    <row r="145" spans="1:6" x14ac:dyDescent="0.25">
      <c r="A145" t="s">
        <v>47</v>
      </c>
      <c r="B145" t="s">
        <v>75</v>
      </c>
      <c r="C145">
        <v>0</v>
      </c>
      <c r="D145">
        <v>0.5</v>
      </c>
      <c r="E145" t="s">
        <v>97</v>
      </c>
      <c r="F145">
        <v>0</v>
      </c>
    </row>
    <row r="146" spans="1:6" x14ac:dyDescent="0.25">
      <c r="A146" t="s">
        <v>47</v>
      </c>
      <c r="B146" t="s">
        <v>75</v>
      </c>
      <c r="C146">
        <v>0</v>
      </c>
      <c r="D146">
        <v>0.5</v>
      </c>
      <c r="E146" t="s">
        <v>98</v>
      </c>
      <c r="F146">
        <v>0</v>
      </c>
    </row>
    <row r="147" spans="1:6" x14ac:dyDescent="0.25">
      <c r="A147" t="s">
        <v>47</v>
      </c>
      <c r="B147" t="s">
        <v>75</v>
      </c>
      <c r="C147">
        <v>0</v>
      </c>
      <c r="D147">
        <v>0.5</v>
      </c>
      <c r="E147" t="s">
        <v>92</v>
      </c>
      <c r="F147">
        <v>0</v>
      </c>
    </row>
    <row r="148" spans="1:6" x14ac:dyDescent="0.25">
      <c r="A148" t="s">
        <v>47</v>
      </c>
      <c r="B148" t="s">
        <v>75</v>
      </c>
      <c r="C148">
        <v>0</v>
      </c>
      <c r="D148">
        <v>0.5</v>
      </c>
      <c r="E148" t="s">
        <v>99</v>
      </c>
      <c r="F148">
        <v>0</v>
      </c>
    </row>
    <row r="149" spans="1:6" x14ac:dyDescent="0.25">
      <c r="A149" t="s">
        <v>47</v>
      </c>
      <c r="B149" t="s">
        <v>75</v>
      </c>
      <c r="C149">
        <v>0</v>
      </c>
      <c r="D149">
        <v>0.5</v>
      </c>
      <c r="E149" t="s">
        <v>100</v>
      </c>
      <c r="F149">
        <v>0</v>
      </c>
    </row>
    <row r="150" spans="1:6" x14ac:dyDescent="0.25">
      <c r="A150" t="s">
        <v>47</v>
      </c>
      <c r="B150" t="s">
        <v>75</v>
      </c>
      <c r="C150">
        <v>0</v>
      </c>
      <c r="D150">
        <v>0.5</v>
      </c>
      <c r="E150" t="s">
        <v>85</v>
      </c>
      <c r="F150">
        <v>0</v>
      </c>
    </row>
    <row r="151" spans="1:6" x14ac:dyDescent="0.25">
      <c r="A151" t="s">
        <v>47</v>
      </c>
      <c r="B151" t="s">
        <v>75</v>
      </c>
      <c r="C151">
        <v>0</v>
      </c>
      <c r="D151">
        <v>0.5</v>
      </c>
      <c r="E151" t="s">
        <v>86</v>
      </c>
      <c r="F151">
        <v>1</v>
      </c>
    </row>
    <row r="152" spans="1:6" x14ac:dyDescent="0.25">
      <c r="A152" t="s">
        <v>48</v>
      </c>
      <c r="B152" t="s">
        <v>72</v>
      </c>
      <c r="C152">
        <v>0</v>
      </c>
      <c r="D152">
        <v>0.5</v>
      </c>
      <c r="E152" t="s">
        <v>94</v>
      </c>
      <c r="F152">
        <v>0</v>
      </c>
    </row>
    <row r="153" spans="1:6" x14ac:dyDescent="0.25">
      <c r="A153" t="s">
        <v>48</v>
      </c>
      <c r="B153" t="s">
        <v>72</v>
      </c>
      <c r="C153">
        <v>0</v>
      </c>
      <c r="D153">
        <v>0.5</v>
      </c>
      <c r="E153" t="s">
        <v>95</v>
      </c>
      <c r="F153">
        <v>0</v>
      </c>
    </row>
    <row r="154" spans="1:6" x14ac:dyDescent="0.25">
      <c r="A154" t="s">
        <v>48</v>
      </c>
      <c r="B154" t="s">
        <v>72</v>
      </c>
      <c r="C154">
        <v>0</v>
      </c>
      <c r="D154">
        <v>0.5</v>
      </c>
      <c r="E154" t="s">
        <v>96</v>
      </c>
      <c r="F154">
        <v>0</v>
      </c>
    </row>
    <row r="155" spans="1:6" x14ac:dyDescent="0.25">
      <c r="A155" t="s">
        <v>48</v>
      </c>
      <c r="B155" t="s">
        <v>72</v>
      </c>
      <c r="C155">
        <v>0</v>
      </c>
      <c r="D155">
        <v>0.5</v>
      </c>
      <c r="E155" t="s">
        <v>97</v>
      </c>
      <c r="F155">
        <v>0</v>
      </c>
    </row>
    <row r="156" spans="1:6" x14ac:dyDescent="0.25">
      <c r="A156" t="s">
        <v>48</v>
      </c>
      <c r="B156" t="s">
        <v>72</v>
      </c>
      <c r="C156">
        <v>0</v>
      </c>
      <c r="D156">
        <v>0.5</v>
      </c>
      <c r="E156" t="s">
        <v>98</v>
      </c>
      <c r="F156">
        <v>0</v>
      </c>
    </row>
    <row r="157" spans="1:6" x14ac:dyDescent="0.25">
      <c r="A157" t="s">
        <v>48</v>
      </c>
      <c r="B157" t="s">
        <v>72</v>
      </c>
      <c r="C157">
        <v>0</v>
      </c>
      <c r="D157">
        <v>0.5</v>
      </c>
      <c r="E157" t="s">
        <v>92</v>
      </c>
      <c r="F157">
        <v>0</v>
      </c>
    </row>
    <row r="158" spans="1:6" x14ac:dyDescent="0.25">
      <c r="A158" t="s">
        <v>48</v>
      </c>
      <c r="B158" t="s">
        <v>72</v>
      </c>
      <c r="C158">
        <v>0</v>
      </c>
      <c r="D158">
        <v>0.5</v>
      </c>
      <c r="E158" t="s">
        <v>99</v>
      </c>
      <c r="F158">
        <v>0</v>
      </c>
    </row>
    <row r="159" spans="1:6" x14ac:dyDescent="0.25">
      <c r="A159" t="s">
        <v>48</v>
      </c>
      <c r="B159" t="s">
        <v>72</v>
      </c>
      <c r="C159">
        <v>0</v>
      </c>
      <c r="D159">
        <v>0.5</v>
      </c>
      <c r="E159" t="s">
        <v>100</v>
      </c>
      <c r="F159">
        <v>0</v>
      </c>
    </row>
    <row r="160" spans="1:6" x14ac:dyDescent="0.25">
      <c r="A160" t="s">
        <v>48</v>
      </c>
      <c r="B160" t="s">
        <v>72</v>
      </c>
      <c r="C160">
        <v>0</v>
      </c>
      <c r="D160">
        <v>0.5</v>
      </c>
      <c r="E160" t="s">
        <v>85</v>
      </c>
      <c r="F160">
        <v>0</v>
      </c>
    </row>
    <row r="161" spans="1:6" x14ac:dyDescent="0.25">
      <c r="A161" t="s">
        <v>48</v>
      </c>
      <c r="B161" t="s">
        <v>72</v>
      </c>
      <c r="C161">
        <v>0</v>
      </c>
      <c r="D161">
        <v>0.5</v>
      </c>
      <c r="E161" t="s">
        <v>86</v>
      </c>
      <c r="F161">
        <v>1</v>
      </c>
    </row>
    <row r="162" spans="1:6" x14ac:dyDescent="0.25">
      <c r="A162" t="s">
        <v>49</v>
      </c>
      <c r="B162" t="s">
        <v>73</v>
      </c>
      <c r="C162">
        <v>1</v>
      </c>
      <c r="D162">
        <v>2</v>
      </c>
      <c r="E162" t="s">
        <v>94</v>
      </c>
      <c r="F162">
        <v>0</v>
      </c>
    </row>
    <row r="163" spans="1:6" x14ac:dyDescent="0.25">
      <c r="A163" t="s">
        <v>49</v>
      </c>
      <c r="B163" t="s">
        <v>73</v>
      </c>
      <c r="C163">
        <v>1</v>
      </c>
      <c r="D163">
        <v>2</v>
      </c>
      <c r="E163" t="s">
        <v>95</v>
      </c>
      <c r="F163">
        <v>1</v>
      </c>
    </row>
    <row r="164" spans="1:6" x14ac:dyDescent="0.25">
      <c r="A164" t="s">
        <v>49</v>
      </c>
      <c r="B164" t="s">
        <v>73</v>
      </c>
      <c r="C164">
        <v>1</v>
      </c>
      <c r="D164">
        <v>2</v>
      </c>
      <c r="E164" t="s">
        <v>96</v>
      </c>
      <c r="F164">
        <v>0</v>
      </c>
    </row>
    <row r="165" spans="1:6" x14ac:dyDescent="0.25">
      <c r="A165" t="s">
        <v>49</v>
      </c>
      <c r="B165" t="s">
        <v>73</v>
      </c>
      <c r="C165">
        <v>1</v>
      </c>
      <c r="D165">
        <v>2</v>
      </c>
      <c r="E165" t="s">
        <v>97</v>
      </c>
      <c r="F165">
        <v>0</v>
      </c>
    </row>
    <row r="166" spans="1:6" x14ac:dyDescent="0.25">
      <c r="A166" t="s">
        <v>49</v>
      </c>
      <c r="B166" t="s">
        <v>73</v>
      </c>
      <c r="C166">
        <v>1</v>
      </c>
      <c r="D166">
        <v>2</v>
      </c>
      <c r="E166" t="s">
        <v>98</v>
      </c>
      <c r="F166">
        <v>1</v>
      </c>
    </row>
    <row r="167" spans="1:6" x14ac:dyDescent="0.25">
      <c r="A167" t="s">
        <v>49</v>
      </c>
      <c r="B167" t="s">
        <v>73</v>
      </c>
      <c r="C167">
        <v>1</v>
      </c>
      <c r="D167">
        <v>2</v>
      </c>
      <c r="E167" t="s">
        <v>92</v>
      </c>
      <c r="F167">
        <v>0</v>
      </c>
    </row>
    <row r="168" spans="1:6" x14ac:dyDescent="0.25">
      <c r="A168" t="s">
        <v>49</v>
      </c>
      <c r="B168" t="s">
        <v>73</v>
      </c>
      <c r="C168">
        <v>1</v>
      </c>
      <c r="D168">
        <v>2</v>
      </c>
      <c r="E168" t="s">
        <v>99</v>
      </c>
      <c r="F168">
        <v>0</v>
      </c>
    </row>
    <row r="169" spans="1:6" x14ac:dyDescent="0.25">
      <c r="A169" t="s">
        <v>49</v>
      </c>
      <c r="B169" t="s">
        <v>73</v>
      </c>
      <c r="C169">
        <v>1</v>
      </c>
      <c r="D169">
        <v>2</v>
      </c>
      <c r="E169" t="s">
        <v>100</v>
      </c>
      <c r="F169">
        <v>0</v>
      </c>
    </row>
    <row r="170" spans="1:6" x14ac:dyDescent="0.25">
      <c r="A170" t="s">
        <v>49</v>
      </c>
      <c r="B170" t="s">
        <v>73</v>
      </c>
      <c r="C170">
        <v>1</v>
      </c>
      <c r="D170">
        <v>2</v>
      </c>
      <c r="E170" t="s">
        <v>85</v>
      </c>
      <c r="F170">
        <v>0</v>
      </c>
    </row>
    <row r="171" spans="1:6" x14ac:dyDescent="0.25">
      <c r="A171" t="s">
        <v>49</v>
      </c>
      <c r="B171" t="s">
        <v>73</v>
      </c>
      <c r="C171">
        <v>1</v>
      </c>
      <c r="D171">
        <v>2</v>
      </c>
      <c r="E171" t="s">
        <v>86</v>
      </c>
      <c r="F171">
        <v>0</v>
      </c>
    </row>
  </sheetData>
  <phoneticPr fontId="29"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6F7A5-B967-49D1-925D-AC1A4273375F}">
  <sheetPr codeName="Sheet7"/>
  <dimension ref="B3:X1051"/>
  <sheetViews>
    <sheetView topLeftCell="N1" workbookViewId="0">
      <selection activeCell="K11" sqref="K11"/>
    </sheetView>
  </sheetViews>
  <sheetFormatPr defaultRowHeight="15" x14ac:dyDescent="0.25"/>
  <cols>
    <col min="3" max="3" width="13.140625" bestFit="1" customWidth="1"/>
    <col min="4" max="4" width="16.28515625" bestFit="1" customWidth="1"/>
    <col min="5" max="5" width="12.5703125" bestFit="1" customWidth="1"/>
    <col min="6" max="6" width="12.140625" bestFit="1" customWidth="1"/>
    <col min="7" max="7" width="10.85546875" bestFit="1" customWidth="1"/>
    <col min="8" max="8" width="15.140625" bestFit="1" customWidth="1"/>
    <col min="9" max="9" width="8.5703125" bestFit="1" customWidth="1"/>
    <col min="10" max="10" width="7.5703125" bestFit="1" customWidth="1"/>
    <col min="11" max="11" width="9.140625" bestFit="1" customWidth="1"/>
    <col min="12" max="12" width="4.42578125" bestFit="1" customWidth="1"/>
    <col min="13" max="13" width="16.7109375" bestFit="1" customWidth="1"/>
    <col min="14" max="14" width="11.28515625" bestFit="1" customWidth="1"/>
    <col min="15" max="15" width="27.7109375" bestFit="1" customWidth="1"/>
    <col min="16" max="16" width="13.140625" bestFit="1" customWidth="1"/>
    <col min="17" max="17" width="19.85546875" bestFit="1" customWidth="1"/>
    <col min="18" max="19" width="27.7109375" bestFit="1" customWidth="1"/>
    <col min="20" max="20" width="13.140625" bestFit="1" customWidth="1"/>
    <col min="21" max="21" width="12.7109375" bestFit="1" customWidth="1"/>
    <col min="22" max="22" width="16.7109375" bestFit="1" customWidth="1"/>
    <col min="23" max="23" width="16.5703125" bestFit="1" customWidth="1"/>
    <col min="24" max="24" width="12.7109375" bestFit="1" customWidth="1"/>
    <col min="25" max="25" width="32.7109375" bestFit="1" customWidth="1"/>
  </cols>
  <sheetData>
    <row r="3" spans="2:24" x14ac:dyDescent="0.25">
      <c r="C3" s="47" t="s">
        <v>128</v>
      </c>
      <c r="D3" s="47" t="s">
        <v>129</v>
      </c>
    </row>
    <row r="4" spans="2:24" x14ac:dyDescent="0.25">
      <c r="C4" s="47" t="s">
        <v>101</v>
      </c>
      <c r="D4" t="s">
        <v>98</v>
      </c>
      <c r="E4" t="s">
        <v>100</v>
      </c>
      <c r="F4" t="s">
        <v>92</v>
      </c>
      <c r="G4" t="s">
        <v>86</v>
      </c>
      <c r="H4" t="s">
        <v>85</v>
      </c>
      <c r="I4" t="s">
        <v>96</v>
      </c>
      <c r="J4" t="s">
        <v>95</v>
      </c>
      <c r="K4" t="s">
        <v>97</v>
      </c>
      <c r="L4" t="s">
        <v>94</v>
      </c>
      <c r="M4" t="s">
        <v>99</v>
      </c>
      <c r="N4" t="s">
        <v>102</v>
      </c>
      <c r="P4" s="47" t="s">
        <v>101</v>
      </c>
      <c r="Q4" t="s">
        <v>103</v>
      </c>
      <c r="R4" t="s">
        <v>130</v>
      </c>
      <c r="T4" s="47" t="s">
        <v>101</v>
      </c>
      <c r="U4" t="s">
        <v>128</v>
      </c>
      <c r="W4" s="47" t="s">
        <v>101</v>
      </c>
      <c r="X4" t="s">
        <v>128</v>
      </c>
    </row>
    <row r="5" spans="2:24" x14ac:dyDescent="0.25">
      <c r="B5">
        <f>IF(OR(C5="",C5="Grand Total"),"",1)</f>
        <v>1</v>
      </c>
      <c r="C5" s="48" t="s">
        <v>31</v>
      </c>
      <c r="D5" s="60">
        <v>0</v>
      </c>
      <c r="E5" s="60">
        <v>0</v>
      </c>
      <c r="F5" s="60">
        <v>0</v>
      </c>
      <c r="G5" s="60">
        <v>0</v>
      </c>
      <c r="H5" s="60">
        <v>0</v>
      </c>
      <c r="I5" s="60">
        <v>0</v>
      </c>
      <c r="J5" s="60">
        <v>0</v>
      </c>
      <c r="K5" s="60">
        <v>0</v>
      </c>
      <c r="L5" s="60">
        <v>0</v>
      </c>
      <c r="M5" s="60">
        <v>0</v>
      </c>
      <c r="N5" s="60">
        <v>0</v>
      </c>
      <c r="P5" s="48" t="s">
        <v>31</v>
      </c>
      <c r="Q5">
        <v>0</v>
      </c>
      <c r="R5">
        <v>0</v>
      </c>
      <c r="T5" s="73" t="s">
        <v>74</v>
      </c>
      <c r="U5" s="60">
        <v>5</v>
      </c>
      <c r="W5" s="48" t="s">
        <v>98</v>
      </c>
      <c r="X5">
        <v>9</v>
      </c>
    </row>
    <row r="6" spans="2:24" x14ac:dyDescent="0.25">
      <c r="B6">
        <f t="shared" ref="B6:B69" si="0">IF(OR(C6="",C6="Grand Total"),"",1)</f>
        <v>1</v>
      </c>
      <c r="C6" s="48" t="s">
        <v>40</v>
      </c>
      <c r="D6" s="60">
        <v>1</v>
      </c>
      <c r="E6" s="60">
        <v>0</v>
      </c>
      <c r="F6" s="60">
        <v>0</v>
      </c>
      <c r="G6" s="60">
        <v>0</v>
      </c>
      <c r="H6" s="60">
        <v>0</v>
      </c>
      <c r="I6" s="60">
        <v>0</v>
      </c>
      <c r="J6" s="60">
        <v>0</v>
      </c>
      <c r="K6" s="60">
        <v>0</v>
      </c>
      <c r="L6" s="60">
        <v>0</v>
      </c>
      <c r="M6" s="60">
        <v>3</v>
      </c>
      <c r="N6" s="60">
        <v>4</v>
      </c>
      <c r="P6" s="48" t="s">
        <v>40</v>
      </c>
      <c r="Q6">
        <v>40</v>
      </c>
      <c r="R6">
        <v>10</v>
      </c>
      <c r="T6" s="73" t="s">
        <v>73</v>
      </c>
      <c r="U6" s="60">
        <v>5</v>
      </c>
      <c r="W6" s="48" t="s">
        <v>100</v>
      </c>
      <c r="X6">
        <v>1</v>
      </c>
    </row>
    <row r="7" spans="2:24" x14ac:dyDescent="0.25">
      <c r="B7">
        <f t="shared" si="0"/>
        <v>1</v>
      </c>
      <c r="C7" s="48" t="s">
        <v>43</v>
      </c>
      <c r="D7" s="60">
        <v>0</v>
      </c>
      <c r="E7" s="60">
        <v>0</v>
      </c>
      <c r="F7" s="60">
        <v>0</v>
      </c>
      <c r="G7" s="60">
        <v>0</v>
      </c>
      <c r="H7" s="60">
        <v>0</v>
      </c>
      <c r="I7" s="60">
        <v>0</v>
      </c>
      <c r="J7" s="60">
        <v>0</v>
      </c>
      <c r="K7" s="60">
        <v>1</v>
      </c>
      <c r="L7" s="60">
        <v>1</v>
      </c>
      <c r="M7" s="60">
        <v>0</v>
      </c>
      <c r="N7" s="60">
        <v>2</v>
      </c>
      <c r="P7" s="48" t="s">
        <v>43</v>
      </c>
      <c r="Q7">
        <v>20</v>
      </c>
      <c r="R7">
        <v>10</v>
      </c>
      <c r="T7" s="73" t="s">
        <v>76</v>
      </c>
      <c r="U7" s="60">
        <v>4</v>
      </c>
      <c r="W7" s="48" t="s">
        <v>92</v>
      </c>
      <c r="X7">
        <v>2</v>
      </c>
    </row>
    <row r="8" spans="2:24" x14ac:dyDescent="0.25">
      <c r="B8">
        <f t="shared" si="0"/>
        <v>1</v>
      </c>
      <c r="C8" s="48" t="s">
        <v>44</v>
      </c>
      <c r="D8" s="60">
        <v>0</v>
      </c>
      <c r="E8" s="60">
        <v>0</v>
      </c>
      <c r="F8" s="60">
        <v>0</v>
      </c>
      <c r="G8" s="60">
        <v>1</v>
      </c>
      <c r="H8" s="60">
        <v>0</v>
      </c>
      <c r="I8" s="60">
        <v>0</v>
      </c>
      <c r="J8" s="60">
        <v>0</v>
      </c>
      <c r="K8" s="60">
        <v>1</v>
      </c>
      <c r="L8" s="60">
        <v>0</v>
      </c>
      <c r="M8" s="60">
        <v>0</v>
      </c>
      <c r="N8" s="60">
        <v>2</v>
      </c>
      <c r="P8" s="48" t="s">
        <v>44</v>
      </c>
      <c r="Q8">
        <v>15</v>
      </c>
      <c r="R8">
        <v>0</v>
      </c>
      <c r="T8" s="73" t="s">
        <v>72</v>
      </c>
      <c r="U8" s="60">
        <v>11</v>
      </c>
      <c r="W8" s="48" t="s">
        <v>86</v>
      </c>
      <c r="X8">
        <v>3</v>
      </c>
    </row>
    <row r="9" spans="2:24" x14ac:dyDescent="0.25">
      <c r="B9">
        <f t="shared" si="0"/>
        <v>1</v>
      </c>
      <c r="C9" s="48" t="s">
        <v>45</v>
      </c>
      <c r="D9" s="60">
        <v>1</v>
      </c>
      <c r="E9" s="60">
        <v>0</v>
      </c>
      <c r="F9" s="60">
        <v>0</v>
      </c>
      <c r="G9" s="60">
        <v>0</v>
      </c>
      <c r="H9" s="60">
        <v>0</v>
      </c>
      <c r="I9" s="60">
        <v>0</v>
      </c>
      <c r="J9" s="60">
        <v>0</v>
      </c>
      <c r="K9" s="60">
        <v>0</v>
      </c>
      <c r="L9" s="60">
        <v>0</v>
      </c>
      <c r="M9" s="60">
        <v>0</v>
      </c>
      <c r="N9" s="60">
        <v>1</v>
      </c>
      <c r="P9" s="48" t="s">
        <v>45</v>
      </c>
      <c r="Q9">
        <v>10</v>
      </c>
      <c r="R9">
        <v>0</v>
      </c>
      <c r="T9" s="73" t="s">
        <v>71</v>
      </c>
      <c r="U9" s="60">
        <v>14</v>
      </c>
      <c r="W9" s="48" t="s">
        <v>85</v>
      </c>
      <c r="X9">
        <v>2</v>
      </c>
    </row>
    <row r="10" spans="2:24" x14ac:dyDescent="0.25">
      <c r="B10">
        <f t="shared" si="0"/>
        <v>1</v>
      </c>
      <c r="C10" s="48" t="s">
        <v>46</v>
      </c>
      <c r="D10" s="60">
        <v>1</v>
      </c>
      <c r="E10" s="60">
        <v>0</v>
      </c>
      <c r="F10" s="60">
        <v>0</v>
      </c>
      <c r="G10" s="60">
        <v>0</v>
      </c>
      <c r="H10" s="60">
        <v>1</v>
      </c>
      <c r="I10" s="60">
        <v>1</v>
      </c>
      <c r="J10" s="60">
        <v>0</v>
      </c>
      <c r="K10" s="60">
        <v>1</v>
      </c>
      <c r="L10" s="60">
        <v>1</v>
      </c>
      <c r="M10" s="60">
        <v>0</v>
      </c>
      <c r="N10" s="60">
        <v>5</v>
      </c>
      <c r="P10" s="48" t="s">
        <v>46</v>
      </c>
      <c r="Q10">
        <v>45</v>
      </c>
      <c r="R10">
        <v>10</v>
      </c>
      <c r="T10" s="73" t="s">
        <v>75</v>
      </c>
      <c r="U10" s="60">
        <v>2</v>
      </c>
      <c r="W10" s="48" t="s">
        <v>96</v>
      </c>
      <c r="X10">
        <v>2</v>
      </c>
    </row>
    <row r="11" spans="2:24" x14ac:dyDescent="0.25">
      <c r="B11">
        <f t="shared" si="0"/>
        <v>1</v>
      </c>
      <c r="C11" s="48" t="s">
        <v>47</v>
      </c>
      <c r="D11" s="60">
        <v>0</v>
      </c>
      <c r="E11" s="60">
        <v>0</v>
      </c>
      <c r="F11" s="60">
        <v>0</v>
      </c>
      <c r="G11" s="60">
        <v>1</v>
      </c>
      <c r="H11" s="60">
        <v>0</v>
      </c>
      <c r="I11" s="60">
        <v>0</v>
      </c>
      <c r="J11" s="60">
        <v>0</v>
      </c>
      <c r="K11" s="60">
        <v>0</v>
      </c>
      <c r="L11" s="60">
        <v>0</v>
      </c>
      <c r="M11" s="60">
        <v>0</v>
      </c>
      <c r="N11" s="60">
        <v>1</v>
      </c>
      <c r="P11" s="48" t="s">
        <v>47</v>
      </c>
      <c r="Q11">
        <v>5</v>
      </c>
      <c r="R11">
        <v>0</v>
      </c>
      <c r="T11" s="73" t="s">
        <v>102</v>
      </c>
      <c r="U11" s="60">
        <v>41</v>
      </c>
      <c r="W11" s="48" t="s">
        <v>95</v>
      </c>
      <c r="X11">
        <v>10</v>
      </c>
    </row>
    <row r="12" spans="2:24" x14ac:dyDescent="0.25">
      <c r="B12">
        <f t="shared" si="0"/>
        <v>1</v>
      </c>
      <c r="C12" s="48" t="s">
        <v>48</v>
      </c>
      <c r="D12" s="60">
        <v>0</v>
      </c>
      <c r="E12" s="60">
        <v>0</v>
      </c>
      <c r="F12" s="60">
        <v>0</v>
      </c>
      <c r="G12" s="60">
        <v>1</v>
      </c>
      <c r="H12" s="60">
        <v>0</v>
      </c>
      <c r="I12" s="60">
        <v>0</v>
      </c>
      <c r="J12" s="60">
        <v>0</v>
      </c>
      <c r="K12" s="60">
        <v>0</v>
      </c>
      <c r="L12" s="60">
        <v>0</v>
      </c>
      <c r="M12" s="60">
        <v>0</v>
      </c>
      <c r="N12" s="60">
        <v>1</v>
      </c>
      <c r="P12" s="48" t="s">
        <v>48</v>
      </c>
      <c r="Q12">
        <v>5</v>
      </c>
      <c r="R12">
        <v>0</v>
      </c>
      <c r="W12" s="48" t="s">
        <v>97</v>
      </c>
      <c r="X12">
        <v>4</v>
      </c>
    </row>
    <row r="13" spans="2:24" x14ac:dyDescent="0.25">
      <c r="B13">
        <f t="shared" si="0"/>
        <v>1</v>
      </c>
      <c r="C13" s="48" t="s">
        <v>49</v>
      </c>
      <c r="D13" s="60">
        <v>1</v>
      </c>
      <c r="E13" s="60">
        <v>0</v>
      </c>
      <c r="F13" s="60">
        <v>0</v>
      </c>
      <c r="G13" s="60">
        <v>0</v>
      </c>
      <c r="H13" s="60">
        <v>0</v>
      </c>
      <c r="I13" s="60">
        <v>0</v>
      </c>
      <c r="J13" s="60">
        <v>1</v>
      </c>
      <c r="K13" s="60">
        <v>0</v>
      </c>
      <c r="L13" s="60">
        <v>0</v>
      </c>
      <c r="M13" s="60">
        <v>0</v>
      </c>
      <c r="N13" s="60">
        <v>2</v>
      </c>
      <c r="P13" s="48" t="s">
        <v>49</v>
      </c>
      <c r="Q13">
        <v>20</v>
      </c>
      <c r="R13">
        <v>10</v>
      </c>
      <c r="W13" s="48" t="s">
        <v>94</v>
      </c>
      <c r="X13">
        <v>5</v>
      </c>
    </row>
    <row r="14" spans="2:24" x14ac:dyDescent="0.25">
      <c r="B14">
        <f t="shared" si="0"/>
        <v>1</v>
      </c>
      <c r="C14" s="48" t="s">
        <v>32</v>
      </c>
      <c r="D14" s="60">
        <v>1</v>
      </c>
      <c r="E14" s="60">
        <v>0</v>
      </c>
      <c r="F14" s="60">
        <v>0</v>
      </c>
      <c r="G14" s="60">
        <v>0</v>
      </c>
      <c r="H14" s="60">
        <v>0</v>
      </c>
      <c r="I14" s="60">
        <v>0</v>
      </c>
      <c r="J14" s="60">
        <v>2</v>
      </c>
      <c r="K14" s="60">
        <v>0</v>
      </c>
      <c r="L14" s="60">
        <v>0</v>
      </c>
      <c r="M14" s="60">
        <v>0</v>
      </c>
      <c r="N14" s="60">
        <v>3</v>
      </c>
      <c r="P14" s="48" t="s">
        <v>32</v>
      </c>
      <c r="Q14">
        <v>30</v>
      </c>
      <c r="R14">
        <v>20</v>
      </c>
      <c r="W14" s="48" t="s">
        <v>99</v>
      </c>
      <c r="X14">
        <v>3</v>
      </c>
    </row>
    <row r="15" spans="2:24" x14ac:dyDescent="0.25">
      <c r="B15">
        <f t="shared" si="0"/>
        <v>1</v>
      </c>
      <c r="C15" s="48" t="s">
        <v>33</v>
      </c>
      <c r="D15" s="60">
        <v>2</v>
      </c>
      <c r="E15" s="60">
        <v>0</v>
      </c>
      <c r="F15" s="60">
        <v>0</v>
      </c>
      <c r="G15" s="60">
        <v>0</v>
      </c>
      <c r="H15" s="60">
        <v>0</v>
      </c>
      <c r="I15" s="60">
        <v>0</v>
      </c>
      <c r="J15" s="60">
        <v>2</v>
      </c>
      <c r="K15" s="60">
        <v>0</v>
      </c>
      <c r="L15" s="60">
        <v>0</v>
      </c>
      <c r="M15" s="60">
        <v>0</v>
      </c>
      <c r="N15" s="60">
        <v>4</v>
      </c>
      <c r="P15" s="48" t="s">
        <v>33</v>
      </c>
      <c r="Q15">
        <v>40</v>
      </c>
      <c r="R15">
        <v>0</v>
      </c>
      <c r="W15" s="48" t="s">
        <v>102</v>
      </c>
      <c r="X15">
        <v>41</v>
      </c>
    </row>
    <row r="16" spans="2:24" x14ac:dyDescent="0.25">
      <c r="B16">
        <f t="shared" si="0"/>
        <v>1</v>
      </c>
      <c r="C16" s="48" t="s">
        <v>34</v>
      </c>
      <c r="D16" s="60">
        <v>1</v>
      </c>
      <c r="E16" s="60">
        <v>0</v>
      </c>
      <c r="F16" s="60">
        <v>0</v>
      </c>
      <c r="G16" s="60">
        <v>0</v>
      </c>
      <c r="H16" s="60">
        <v>0</v>
      </c>
      <c r="I16" s="60">
        <v>0</v>
      </c>
      <c r="J16" s="60">
        <v>0</v>
      </c>
      <c r="K16" s="60">
        <v>0</v>
      </c>
      <c r="L16" s="60">
        <v>2</v>
      </c>
      <c r="M16" s="60">
        <v>0</v>
      </c>
      <c r="N16" s="60">
        <v>3</v>
      </c>
      <c r="P16" s="48" t="s">
        <v>34</v>
      </c>
      <c r="Q16">
        <v>30</v>
      </c>
      <c r="R16">
        <v>10</v>
      </c>
    </row>
    <row r="17" spans="2:18" x14ac:dyDescent="0.25">
      <c r="B17">
        <f t="shared" si="0"/>
        <v>1</v>
      </c>
      <c r="C17" s="48" t="s">
        <v>35</v>
      </c>
      <c r="D17" s="60">
        <v>0</v>
      </c>
      <c r="E17" s="60">
        <v>0</v>
      </c>
      <c r="F17" s="60">
        <v>0</v>
      </c>
      <c r="G17" s="60">
        <v>0</v>
      </c>
      <c r="H17" s="60">
        <v>0</v>
      </c>
      <c r="I17" s="60">
        <v>0</v>
      </c>
      <c r="J17" s="60">
        <v>1</v>
      </c>
      <c r="K17" s="60">
        <v>1</v>
      </c>
      <c r="L17" s="60">
        <v>1</v>
      </c>
      <c r="M17" s="60">
        <v>0</v>
      </c>
      <c r="N17" s="60">
        <v>3</v>
      </c>
      <c r="P17" s="48" t="s">
        <v>35</v>
      </c>
      <c r="Q17">
        <v>30</v>
      </c>
      <c r="R17">
        <v>10</v>
      </c>
    </row>
    <row r="18" spans="2:18" x14ac:dyDescent="0.25">
      <c r="B18">
        <f t="shared" si="0"/>
        <v>1</v>
      </c>
      <c r="C18" s="48" t="s">
        <v>36</v>
      </c>
      <c r="D18" s="60">
        <v>0</v>
      </c>
      <c r="E18" s="60">
        <v>0</v>
      </c>
      <c r="F18" s="60">
        <v>0</v>
      </c>
      <c r="G18" s="60">
        <v>0</v>
      </c>
      <c r="H18" s="60">
        <v>0</v>
      </c>
      <c r="I18" s="60">
        <v>0</v>
      </c>
      <c r="J18" s="60">
        <v>0</v>
      </c>
      <c r="K18" s="60">
        <v>0</v>
      </c>
      <c r="L18" s="60">
        <v>0</v>
      </c>
      <c r="M18" s="60">
        <v>0</v>
      </c>
      <c r="N18" s="60">
        <v>0</v>
      </c>
      <c r="P18" s="48" t="s">
        <v>36</v>
      </c>
      <c r="Q18">
        <v>0</v>
      </c>
      <c r="R18">
        <v>0</v>
      </c>
    </row>
    <row r="19" spans="2:18" x14ac:dyDescent="0.25">
      <c r="B19">
        <f t="shared" si="0"/>
        <v>1</v>
      </c>
      <c r="C19" s="48" t="s">
        <v>37</v>
      </c>
      <c r="D19" s="60">
        <v>1</v>
      </c>
      <c r="E19" s="60">
        <v>0</v>
      </c>
      <c r="F19" s="60">
        <v>0</v>
      </c>
      <c r="G19" s="60">
        <v>0</v>
      </c>
      <c r="H19" s="60">
        <v>0</v>
      </c>
      <c r="I19" s="60">
        <v>0</v>
      </c>
      <c r="J19" s="60">
        <v>2</v>
      </c>
      <c r="K19" s="60">
        <v>0</v>
      </c>
      <c r="L19" s="60">
        <v>0</v>
      </c>
      <c r="M19" s="60">
        <v>0</v>
      </c>
      <c r="N19" s="60">
        <v>3</v>
      </c>
      <c r="P19" s="48" t="s">
        <v>37</v>
      </c>
      <c r="Q19">
        <v>30</v>
      </c>
      <c r="R19">
        <v>10</v>
      </c>
    </row>
    <row r="20" spans="2:18" x14ac:dyDescent="0.25">
      <c r="B20">
        <f t="shared" si="0"/>
        <v>1</v>
      </c>
      <c r="C20" s="48" t="s">
        <v>38</v>
      </c>
      <c r="D20" s="60">
        <v>0</v>
      </c>
      <c r="E20" s="60">
        <v>1</v>
      </c>
      <c r="F20" s="60">
        <v>0</v>
      </c>
      <c r="G20" s="60">
        <v>0</v>
      </c>
      <c r="H20" s="60">
        <v>0</v>
      </c>
      <c r="I20" s="60">
        <v>0</v>
      </c>
      <c r="J20" s="60">
        <v>1</v>
      </c>
      <c r="K20" s="60">
        <v>0</v>
      </c>
      <c r="L20" s="60">
        <v>0</v>
      </c>
      <c r="M20" s="60">
        <v>0</v>
      </c>
      <c r="N20" s="60">
        <v>2</v>
      </c>
      <c r="P20" s="48" t="s">
        <v>38</v>
      </c>
      <c r="Q20">
        <v>20</v>
      </c>
      <c r="R20">
        <v>10</v>
      </c>
    </row>
    <row r="21" spans="2:18" x14ac:dyDescent="0.25">
      <c r="B21">
        <f t="shared" si="0"/>
        <v>1</v>
      </c>
      <c r="C21" s="48" t="s">
        <v>39</v>
      </c>
      <c r="D21" s="60">
        <v>0</v>
      </c>
      <c r="E21" s="60">
        <v>0</v>
      </c>
      <c r="F21" s="60">
        <v>2</v>
      </c>
      <c r="G21" s="60">
        <v>0</v>
      </c>
      <c r="H21" s="60">
        <v>1</v>
      </c>
      <c r="I21" s="60">
        <v>1</v>
      </c>
      <c r="J21" s="60">
        <v>1</v>
      </c>
      <c r="K21" s="60">
        <v>0</v>
      </c>
      <c r="L21" s="60">
        <v>0</v>
      </c>
      <c r="M21" s="60">
        <v>0</v>
      </c>
      <c r="N21" s="60">
        <v>5</v>
      </c>
      <c r="P21" s="48" t="s">
        <v>39</v>
      </c>
      <c r="Q21">
        <v>45</v>
      </c>
      <c r="R21">
        <v>20</v>
      </c>
    </row>
    <row r="22" spans="2:18" x14ac:dyDescent="0.25">
      <c r="B22" t="str">
        <f t="shared" si="0"/>
        <v/>
      </c>
      <c r="C22" s="48" t="s">
        <v>102</v>
      </c>
      <c r="D22" s="60">
        <v>9</v>
      </c>
      <c r="E22" s="60">
        <v>1</v>
      </c>
      <c r="F22" s="60">
        <v>2</v>
      </c>
      <c r="G22" s="60">
        <v>3</v>
      </c>
      <c r="H22" s="60">
        <v>2</v>
      </c>
      <c r="I22" s="60">
        <v>2</v>
      </c>
      <c r="J22" s="60">
        <v>10</v>
      </c>
      <c r="K22" s="60">
        <v>4</v>
      </c>
      <c r="L22" s="60">
        <v>5</v>
      </c>
      <c r="M22" s="60">
        <v>3</v>
      </c>
      <c r="N22" s="60">
        <v>41</v>
      </c>
      <c r="P22" s="48" t="s">
        <v>102</v>
      </c>
      <c r="Q22">
        <v>385</v>
      </c>
      <c r="R22">
        <v>120</v>
      </c>
    </row>
    <row r="23" spans="2:18" x14ac:dyDescent="0.25">
      <c r="B23" t="str">
        <f t="shared" si="0"/>
        <v/>
      </c>
    </row>
    <row r="24" spans="2:18" x14ac:dyDescent="0.25">
      <c r="B24" t="str">
        <f t="shared" si="0"/>
        <v/>
      </c>
    </row>
    <row r="25" spans="2:18" x14ac:dyDescent="0.25">
      <c r="B25" t="str">
        <f t="shared" si="0"/>
        <v/>
      </c>
    </row>
    <row r="26" spans="2:18" x14ac:dyDescent="0.25">
      <c r="B26" t="str">
        <f t="shared" si="0"/>
        <v/>
      </c>
    </row>
    <row r="27" spans="2:18" x14ac:dyDescent="0.25">
      <c r="B27" t="str">
        <f t="shared" si="0"/>
        <v/>
      </c>
    </row>
    <row r="28" spans="2:18" x14ac:dyDescent="0.25">
      <c r="B28" t="str">
        <f t="shared" si="0"/>
        <v/>
      </c>
    </row>
    <row r="29" spans="2:18" x14ac:dyDescent="0.25">
      <c r="B29" t="str">
        <f t="shared" si="0"/>
        <v/>
      </c>
    </row>
    <row r="30" spans="2:18" x14ac:dyDescent="0.25">
      <c r="B30" t="str">
        <f t="shared" si="0"/>
        <v/>
      </c>
    </row>
    <row r="31" spans="2:18" x14ac:dyDescent="0.25">
      <c r="B31" t="str">
        <f t="shared" si="0"/>
        <v/>
      </c>
    </row>
    <row r="32" spans="2:18" x14ac:dyDescent="0.25">
      <c r="B32" t="str">
        <f t="shared" si="0"/>
        <v/>
      </c>
    </row>
    <row r="33" spans="2:2" x14ac:dyDescent="0.25">
      <c r="B33" t="str">
        <f t="shared" si="0"/>
        <v/>
      </c>
    </row>
    <row r="34" spans="2:2" x14ac:dyDescent="0.25">
      <c r="B34" t="str">
        <f t="shared" si="0"/>
        <v/>
      </c>
    </row>
    <row r="35" spans="2:2" x14ac:dyDescent="0.25">
      <c r="B35" t="str">
        <f t="shared" si="0"/>
        <v/>
      </c>
    </row>
    <row r="36" spans="2:2" x14ac:dyDescent="0.25">
      <c r="B36" t="str">
        <f t="shared" si="0"/>
        <v/>
      </c>
    </row>
    <row r="37" spans="2:2" x14ac:dyDescent="0.25">
      <c r="B37" t="str">
        <f t="shared" si="0"/>
        <v/>
      </c>
    </row>
    <row r="38" spans="2:2" x14ac:dyDescent="0.25">
      <c r="B38" t="str">
        <f t="shared" si="0"/>
        <v/>
      </c>
    </row>
    <row r="39" spans="2:2" x14ac:dyDescent="0.25">
      <c r="B39" t="str">
        <f t="shared" si="0"/>
        <v/>
      </c>
    </row>
    <row r="40" spans="2:2" x14ac:dyDescent="0.25">
      <c r="B40" t="str">
        <f t="shared" si="0"/>
        <v/>
      </c>
    </row>
    <row r="41" spans="2:2" x14ac:dyDescent="0.25">
      <c r="B41" t="str">
        <f t="shared" si="0"/>
        <v/>
      </c>
    </row>
    <row r="42" spans="2:2" x14ac:dyDescent="0.25">
      <c r="B42" t="str">
        <f t="shared" si="0"/>
        <v/>
      </c>
    </row>
    <row r="43" spans="2:2" x14ac:dyDescent="0.25">
      <c r="B43" t="str">
        <f t="shared" si="0"/>
        <v/>
      </c>
    </row>
    <row r="44" spans="2:2" x14ac:dyDescent="0.25">
      <c r="B44" t="str">
        <f t="shared" si="0"/>
        <v/>
      </c>
    </row>
    <row r="45" spans="2:2" x14ac:dyDescent="0.25">
      <c r="B45" t="str">
        <f t="shared" si="0"/>
        <v/>
      </c>
    </row>
    <row r="46" spans="2:2" x14ac:dyDescent="0.25">
      <c r="B46" t="str">
        <f t="shared" si="0"/>
        <v/>
      </c>
    </row>
    <row r="47" spans="2:2" x14ac:dyDescent="0.25">
      <c r="B47" t="str">
        <f t="shared" si="0"/>
        <v/>
      </c>
    </row>
    <row r="48" spans="2:2" x14ac:dyDescent="0.25">
      <c r="B48" t="str">
        <f t="shared" si="0"/>
        <v/>
      </c>
    </row>
    <row r="49" spans="2:2" x14ac:dyDescent="0.25">
      <c r="B49" t="str">
        <f t="shared" si="0"/>
        <v/>
      </c>
    </row>
    <row r="50" spans="2:2" x14ac:dyDescent="0.25">
      <c r="B50" t="str">
        <f t="shared" si="0"/>
        <v/>
      </c>
    </row>
    <row r="51" spans="2:2" x14ac:dyDescent="0.25">
      <c r="B51" t="str">
        <f t="shared" si="0"/>
        <v/>
      </c>
    </row>
    <row r="52" spans="2:2" x14ac:dyDescent="0.25">
      <c r="B52" t="str">
        <f t="shared" si="0"/>
        <v/>
      </c>
    </row>
    <row r="53" spans="2:2" x14ac:dyDescent="0.25">
      <c r="B53" t="str">
        <f t="shared" si="0"/>
        <v/>
      </c>
    </row>
    <row r="54" spans="2:2" x14ac:dyDescent="0.25">
      <c r="B54" t="str">
        <f t="shared" si="0"/>
        <v/>
      </c>
    </row>
    <row r="55" spans="2:2" x14ac:dyDescent="0.25">
      <c r="B55" t="str">
        <f t="shared" si="0"/>
        <v/>
      </c>
    </row>
    <row r="56" spans="2:2" x14ac:dyDescent="0.25">
      <c r="B56" t="str">
        <f t="shared" si="0"/>
        <v/>
      </c>
    </row>
    <row r="57" spans="2:2" x14ac:dyDescent="0.25">
      <c r="B57" t="str">
        <f t="shared" si="0"/>
        <v/>
      </c>
    </row>
    <row r="58" spans="2:2" x14ac:dyDescent="0.25">
      <c r="B58" t="str">
        <f t="shared" si="0"/>
        <v/>
      </c>
    </row>
    <row r="59" spans="2:2" x14ac:dyDescent="0.25">
      <c r="B59" t="str">
        <f t="shared" si="0"/>
        <v/>
      </c>
    </row>
    <row r="60" spans="2:2" x14ac:dyDescent="0.25">
      <c r="B60" t="str">
        <f t="shared" si="0"/>
        <v/>
      </c>
    </row>
    <row r="61" spans="2:2" x14ac:dyDescent="0.25">
      <c r="B61" t="str">
        <f t="shared" si="0"/>
        <v/>
      </c>
    </row>
    <row r="62" spans="2:2" x14ac:dyDescent="0.25">
      <c r="B62" t="str">
        <f t="shared" si="0"/>
        <v/>
      </c>
    </row>
    <row r="63" spans="2:2" x14ac:dyDescent="0.25">
      <c r="B63" t="str">
        <f t="shared" si="0"/>
        <v/>
      </c>
    </row>
    <row r="64" spans="2:2" x14ac:dyDescent="0.25">
      <c r="B64" t="str">
        <f t="shared" si="0"/>
        <v/>
      </c>
    </row>
    <row r="65" spans="2:2" x14ac:dyDescent="0.25">
      <c r="B65" t="str">
        <f t="shared" si="0"/>
        <v/>
      </c>
    </row>
    <row r="66" spans="2:2" x14ac:dyDescent="0.25">
      <c r="B66" t="str">
        <f t="shared" si="0"/>
        <v/>
      </c>
    </row>
    <row r="67" spans="2:2" x14ac:dyDescent="0.25">
      <c r="B67" t="str">
        <f t="shared" si="0"/>
        <v/>
      </c>
    </row>
    <row r="68" spans="2:2" x14ac:dyDescent="0.25">
      <c r="B68" t="str">
        <f t="shared" si="0"/>
        <v/>
      </c>
    </row>
    <row r="69" spans="2:2" x14ac:dyDescent="0.25">
      <c r="B69" t="str">
        <f t="shared" si="0"/>
        <v/>
      </c>
    </row>
    <row r="70" spans="2:2" x14ac:dyDescent="0.25">
      <c r="B70" t="str">
        <f t="shared" ref="B70:B133" si="1">IF(OR(C70="",C70="Grand Total"),"",1)</f>
        <v/>
      </c>
    </row>
    <row r="71" spans="2:2" x14ac:dyDescent="0.25">
      <c r="B71" t="str">
        <f t="shared" si="1"/>
        <v/>
      </c>
    </row>
    <row r="72" spans="2:2" x14ac:dyDescent="0.25">
      <c r="B72" t="str">
        <f t="shared" si="1"/>
        <v/>
      </c>
    </row>
    <row r="73" spans="2:2" x14ac:dyDescent="0.25">
      <c r="B73" t="str">
        <f t="shared" si="1"/>
        <v/>
      </c>
    </row>
    <row r="74" spans="2:2" x14ac:dyDescent="0.25">
      <c r="B74" t="str">
        <f t="shared" si="1"/>
        <v/>
      </c>
    </row>
    <row r="75" spans="2:2" x14ac:dyDescent="0.25">
      <c r="B75" t="str">
        <f t="shared" si="1"/>
        <v/>
      </c>
    </row>
    <row r="76" spans="2:2" x14ac:dyDescent="0.25">
      <c r="B76" t="str">
        <f t="shared" si="1"/>
        <v/>
      </c>
    </row>
    <row r="77" spans="2:2" x14ac:dyDescent="0.25">
      <c r="B77" t="str">
        <f t="shared" si="1"/>
        <v/>
      </c>
    </row>
    <row r="78" spans="2:2" x14ac:dyDescent="0.25">
      <c r="B78" t="str">
        <f t="shared" si="1"/>
        <v/>
      </c>
    </row>
    <row r="79" spans="2:2" x14ac:dyDescent="0.25">
      <c r="B79" t="str">
        <f t="shared" si="1"/>
        <v/>
      </c>
    </row>
    <row r="80" spans="2:2" x14ac:dyDescent="0.25">
      <c r="B80" t="str">
        <f t="shared" si="1"/>
        <v/>
      </c>
    </row>
    <row r="81" spans="2:2" x14ac:dyDescent="0.25">
      <c r="B81" t="str">
        <f t="shared" si="1"/>
        <v/>
      </c>
    </row>
    <row r="82" spans="2:2" x14ac:dyDescent="0.25">
      <c r="B82" t="str">
        <f t="shared" si="1"/>
        <v/>
      </c>
    </row>
    <row r="83" spans="2:2" x14ac:dyDescent="0.25">
      <c r="B83" t="str">
        <f t="shared" si="1"/>
        <v/>
      </c>
    </row>
    <row r="84" spans="2:2" x14ac:dyDescent="0.25">
      <c r="B84" t="str">
        <f t="shared" si="1"/>
        <v/>
      </c>
    </row>
    <row r="85" spans="2:2" x14ac:dyDescent="0.25">
      <c r="B85" t="str">
        <f t="shared" si="1"/>
        <v/>
      </c>
    </row>
    <row r="86" spans="2:2" x14ac:dyDescent="0.25">
      <c r="B86" t="str">
        <f t="shared" si="1"/>
        <v/>
      </c>
    </row>
    <row r="87" spans="2:2" x14ac:dyDescent="0.25">
      <c r="B87" t="str">
        <f t="shared" si="1"/>
        <v/>
      </c>
    </row>
    <row r="88" spans="2:2" x14ac:dyDescent="0.25">
      <c r="B88" t="str">
        <f t="shared" si="1"/>
        <v/>
      </c>
    </row>
    <row r="89" spans="2:2" x14ac:dyDescent="0.25">
      <c r="B89" t="str">
        <f t="shared" si="1"/>
        <v/>
      </c>
    </row>
    <row r="90" spans="2:2" x14ac:dyDescent="0.25">
      <c r="B90" t="str">
        <f t="shared" si="1"/>
        <v/>
      </c>
    </row>
    <row r="91" spans="2:2" x14ac:dyDescent="0.25">
      <c r="B91" t="str">
        <f t="shared" si="1"/>
        <v/>
      </c>
    </row>
    <row r="92" spans="2:2" x14ac:dyDescent="0.25">
      <c r="B92" t="str">
        <f t="shared" si="1"/>
        <v/>
      </c>
    </row>
    <row r="93" spans="2:2" x14ac:dyDescent="0.25">
      <c r="B93" t="str">
        <f t="shared" si="1"/>
        <v/>
      </c>
    </row>
    <row r="94" spans="2:2" x14ac:dyDescent="0.25">
      <c r="B94" t="str">
        <f t="shared" si="1"/>
        <v/>
      </c>
    </row>
    <row r="95" spans="2:2" x14ac:dyDescent="0.25">
      <c r="B95" t="str">
        <f t="shared" si="1"/>
        <v/>
      </c>
    </row>
    <row r="96" spans="2:2" x14ac:dyDescent="0.25">
      <c r="B96" t="str">
        <f t="shared" si="1"/>
        <v/>
      </c>
    </row>
    <row r="97" spans="2:2" x14ac:dyDescent="0.25">
      <c r="B97" t="str">
        <f t="shared" si="1"/>
        <v/>
      </c>
    </row>
    <row r="98" spans="2:2" x14ac:dyDescent="0.25">
      <c r="B98" t="str">
        <f t="shared" si="1"/>
        <v/>
      </c>
    </row>
    <row r="99" spans="2:2" x14ac:dyDescent="0.25">
      <c r="B99" t="str">
        <f t="shared" si="1"/>
        <v/>
      </c>
    </row>
    <row r="100" spans="2:2" x14ac:dyDescent="0.25">
      <c r="B100" t="str">
        <f t="shared" si="1"/>
        <v/>
      </c>
    </row>
    <row r="101" spans="2:2" x14ac:dyDescent="0.25">
      <c r="B101" t="str">
        <f t="shared" si="1"/>
        <v/>
      </c>
    </row>
    <row r="102" spans="2:2" x14ac:dyDescent="0.25">
      <c r="B102" t="str">
        <f t="shared" si="1"/>
        <v/>
      </c>
    </row>
    <row r="103" spans="2:2" x14ac:dyDescent="0.25">
      <c r="B103" t="str">
        <f t="shared" si="1"/>
        <v/>
      </c>
    </row>
    <row r="104" spans="2:2" x14ac:dyDescent="0.25">
      <c r="B104" t="str">
        <f t="shared" si="1"/>
        <v/>
      </c>
    </row>
    <row r="105" spans="2:2" x14ac:dyDescent="0.25">
      <c r="B105" t="str">
        <f t="shared" si="1"/>
        <v/>
      </c>
    </row>
    <row r="106" spans="2:2" x14ac:dyDescent="0.25">
      <c r="B106" t="str">
        <f t="shared" si="1"/>
        <v/>
      </c>
    </row>
    <row r="107" spans="2:2" x14ac:dyDescent="0.25">
      <c r="B107" t="str">
        <f t="shared" si="1"/>
        <v/>
      </c>
    </row>
    <row r="108" spans="2:2" x14ac:dyDescent="0.25">
      <c r="B108" t="str">
        <f t="shared" si="1"/>
        <v/>
      </c>
    </row>
    <row r="109" spans="2:2" x14ac:dyDescent="0.25">
      <c r="B109" t="str">
        <f t="shared" si="1"/>
        <v/>
      </c>
    </row>
    <row r="110" spans="2:2" x14ac:dyDescent="0.25">
      <c r="B110" t="str">
        <f t="shared" si="1"/>
        <v/>
      </c>
    </row>
    <row r="111" spans="2:2" x14ac:dyDescent="0.25">
      <c r="B111" t="str">
        <f t="shared" si="1"/>
        <v/>
      </c>
    </row>
    <row r="112" spans="2:2" x14ac:dyDescent="0.25">
      <c r="B112" t="str">
        <f t="shared" si="1"/>
        <v/>
      </c>
    </row>
    <row r="113" spans="2:2" x14ac:dyDescent="0.25">
      <c r="B113" t="str">
        <f t="shared" si="1"/>
        <v/>
      </c>
    </row>
    <row r="114" spans="2:2" x14ac:dyDescent="0.25">
      <c r="B114" t="str">
        <f t="shared" si="1"/>
        <v/>
      </c>
    </row>
    <row r="115" spans="2:2" x14ac:dyDescent="0.25">
      <c r="B115" t="str">
        <f t="shared" si="1"/>
        <v/>
      </c>
    </row>
    <row r="116" spans="2:2" x14ac:dyDescent="0.25">
      <c r="B116" t="str">
        <f t="shared" si="1"/>
        <v/>
      </c>
    </row>
    <row r="117" spans="2:2" x14ac:dyDescent="0.25">
      <c r="B117" t="str">
        <f t="shared" si="1"/>
        <v/>
      </c>
    </row>
    <row r="118" spans="2:2" x14ac:dyDescent="0.25">
      <c r="B118" t="str">
        <f t="shared" si="1"/>
        <v/>
      </c>
    </row>
    <row r="119" spans="2:2" x14ac:dyDescent="0.25">
      <c r="B119" t="str">
        <f t="shared" si="1"/>
        <v/>
      </c>
    </row>
    <row r="120" spans="2:2" x14ac:dyDescent="0.25">
      <c r="B120" t="str">
        <f t="shared" si="1"/>
        <v/>
      </c>
    </row>
    <row r="121" spans="2:2" x14ac:dyDescent="0.25">
      <c r="B121" t="str">
        <f t="shared" si="1"/>
        <v/>
      </c>
    </row>
    <row r="122" spans="2:2" x14ac:dyDescent="0.25">
      <c r="B122" t="str">
        <f t="shared" si="1"/>
        <v/>
      </c>
    </row>
    <row r="123" spans="2:2" x14ac:dyDescent="0.25">
      <c r="B123" t="str">
        <f t="shared" si="1"/>
        <v/>
      </c>
    </row>
    <row r="124" spans="2:2" x14ac:dyDescent="0.25">
      <c r="B124" t="str">
        <f t="shared" si="1"/>
        <v/>
      </c>
    </row>
    <row r="125" spans="2:2" x14ac:dyDescent="0.25">
      <c r="B125" t="str">
        <f t="shared" si="1"/>
        <v/>
      </c>
    </row>
    <row r="126" spans="2:2" x14ac:dyDescent="0.25">
      <c r="B126" t="str">
        <f t="shared" si="1"/>
        <v/>
      </c>
    </row>
    <row r="127" spans="2:2" x14ac:dyDescent="0.25">
      <c r="B127" t="str">
        <f t="shared" si="1"/>
        <v/>
      </c>
    </row>
    <row r="128" spans="2:2" x14ac:dyDescent="0.25">
      <c r="B128" t="str">
        <f t="shared" si="1"/>
        <v/>
      </c>
    </row>
    <row r="129" spans="2:2" x14ac:dyDescent="0.25">
      <c r="B129" t="str">
        <f t="shared" si="1"/>
        <v/>
      </c>
    </row>
    <row r="130" spans="2:2" x14ac:dyDescent="0.25">
      <c r="B130" t="str">
        <f t="shared" si="1"/>
        <v/>
      </c>
    </row>
    <row r="131" spans="2:2" x14ac:dyDescent="0.25">
      <c r="B131" t="str">
        <f t="shared" si="1"/>
        <v/>
      </c>
    </row>
    <row r="132" spans="2:2" x14ac:dyDescent="0.25">
      <c r="B132" t="str">
        <f t="shared" si="1"/>
        <v/>
      </c>
    </row>
    <row r="133" spans="2:2" x14ac:dyDescent="0.25">
      <c r="B133" t="str">
        <f t="shared" si="1"/>
        <v/>
      </c>
    </row>
    <row r="134" spans="2:2" x14ac:dyDescent="0.25">
      <c r="B134" t="str">
        <f t="shared" ref="B134:B197" si="2">IF(OR(C134="",C134="Grand Total"),"",1)</f>
        <v/>
      </c>
    </row>
    <row r="135" spans="2:2" x14ac:dyDescent="0.25">
      <c r="B135" t="str">
        <f t="shared" si="2"/>
        <v/>
      </c>
    </row>
    <row r="136" spans="2:2" x14ac:dyDescent="0.25">
      <c r="B136" t="str">
        <f t="shared" si="2"/>
        <v/>
      </c>
    </row>
    <row r="137" spans="2:2" x14ac:dyDescent="0.25">
      <c r="B137" t="str">
        <f t="shared" si="2"/>
        <v/>
      </c>
    </row>
    <row r="138" spans="2:2" x14ac:dyDescent="0.25">
      <c r="B138" t="str">
        <f t="shared" si="2"/>
        <v/>
      </c>
    </row>
    <row r="139" spans="2:2" x14ac:dyDescent="0.25">
      <c r="B139" t="str">
        <f t="shared" si="2"/>
        <v/>
      </c>
    </row>
    <row r="140" spans="2:2" x14ac:dyDescent="0.25">
      <c r="B140" t="str">
        <f t="shared" si="2"/>
        <v/>
      </c>
    </row>
    <row r="141" spans="2:2" x14ac:dyDescent="0.25">
      <c r="B141" t="str">
        <f t="shared" si="2"/>
        <v/>
      </c>
    </row>
    <row r="142" spans="2:2" x14ac:dyDescent="0.25">
      <c r="B142" t="str">
        <f t="shared" si="2"/>
        <v/>
      </c>
    </row>
    <row r="143" spans="2:2" x14ac:dyDescent="0.25">
      <c r="B143" t="str">
        <f t="shared" si="2"/>
        <v/>
      </c>
    </row>
    <row r="144" spans="2:2" x14ac:dyDescent="0.25">
      <c r="B144" t="str">
        <f t="shared" si="2"/>
        <v/>
      </c>
    </row>
    <row r="145" spans="2:2" x14ac:dyDescent="0.25">
      <c r="B145" t="str">
        <f t="shared" si="2"/>
        <v/>
      </c>
    </row>
    <row r="146" spans="2:2" x14ac:dyDescent="0.25">
      <c r="B146" t="str">
        <f t="shared" si="2"/>
        <v/>
      </c>
    </row>
    <row r="147" spans="2:2" x14ac:dyDescent="0.25">
      <c r="B147" t="str">
        <f t="shared" si="2"/>
        <v/>
      </c>
    </row>
    <row r="148" spans="2:2" x14ac:dyDescent="0.25">
      <c r="B148" t="str">
        <f t="shared" si="2"/>
        <v/>
      </c>
    </row>
    <row r="149" spans="2:2" x14ac:dyDescent="0.25">
      <c r="B149" t="str">
        <f t="shared" si="2"/>
        <v/>
      </c>
    </row>
    <row r="150" spans="2:2" x14ac:dyDescent="0.25">
      <c r="B150" t="str">
        <f t="shared" si="2"/>
        <v/>
      </c>
    </row>
    <row r="151" spans="2:2" x14ac:dyDescent="0.25">
      <c r="B151" t="str">
        <f t="shared" si="2"/>
        <v/>
      </c>
    </row>
    <row r="152" spans="2:2" x14ac:dyDescent="0.25">
      <c r="B152" t="str">
        <f t="shared" si="2"/>
        <v/>
      </c>
    </row>
    <row r="153" spans="2:2" x14ac:dyDescent="0.25">
      <c r="B153" t="str">
        <f t="shared" si="2"/>
        <v/>
      </c>
    </row>
    <row r="154" spans="2:2" x14ac:dyDescent="0.25">
      <c r="B154" t="str">
        <f t="shared" si="2"/>
        <v/>
      </c>
    </row>
    <row r="155" spans="2:2" x14ac:dyDescent="0.25">
      <c r="B155" t="str">
        <f t="shared" si="2"/>
        <v/>
      </c>
    </row>
    <row r="156" spans="2:2" x14ac:dyDescent="0.25">
      <c r="B156" t="str">
        <f t="shared" si="2"/>
        <v/>
      </c>
    </row>
    <row r="157" spans="2:2" x14ac:dyDescent="0.25">
      <c r="B157" t="str">
        <f t="shared" si="2"/>
        <v/>
      </c>
    </row>
    <row r="158" spans="2:2" x14ac:dyDescent="0.25">
      <c r="B158" t="str">
        <f t="shared" si="2"/>
        <v/>
      </c>
    </row>
    <row r="159" spans="2:2" x14ac:dyDescent="0.25">
      <c r="B159" t="str">
        <f t="shared" si="2"/>
        <v/>
      </c>
    </row>
    <row r="160" spans="2:2" x14ac:dyDescent="0.25">
      <c r="B160" t="str">
        <f t="shared" si="2"/>
        <v/>
      </c>
    </row>
    <row r="161" spans="2:2" x14ac:dyDescent="0.25">
      <c r="B161" t="str">
        <f t="shared" si="2"/>
        <v/>
      </c>
    </row>
    <row r="162" spans="2:2" x14ac:dyDescent="0.25">
      <c r="B162" t="str">
        <f t="shared" si="2"/>
        <v/>
      </c>
    </row>
    <row r="163" spans="2:2" x14ac:dyDescent="0.25">
      <c r="B163" t="str">
        <f t="shared" si="2"/>
        <v/>
      </c>
    </row>
    <row r="164" spans="2:2" x14ac:dyDescent="0.25">
      <c r="B164" t="str">
        <f t="shared" si="2"/>
        <v/>
      </c>
    </row>
    <row r="165" spans="2:2" x14ac:dyDescent="0.25">
      <c r="B165" t="str">
        <f t="shared" si="2"/>
        <v/>
      </c>
    </row>
    <row r="166" spans="2:2" x14ac:dyDescent="0.25">
      <c r="B166" t="str">
        <f t="shared" si="2"/>
        <v/>
      </c>
    </row>
    <row r="167" spans="2:2" x14ac:dyDescent="0.25">
      <c r="B167" t="str">
        <f t="shared" si="2"/>
        <v/>
      </c>
    </row>
    <row r="168" spans="2:2" x14ac:dyDescent="0.25">
      <c r="B168" t="str">
        <f t="shared" si="2"/>
        <v/>
      </c>
    </row>
    <row r="169" spans="2:2" x14ac:dyDescent="0.25">
      <c r="B169" t="str">
        <f t="shared" si="2"/>
        <v/>
      </c>
    </row>
    <row r="170" spans="2:2" x14ac:dyDescent="0.25">
      <c r="B170" t="str">
        <f t="shared" si="2"/>
        <v/>
      </c>
    </row>
    <row r="171" spans="2:2" x14ac:dyDescent="0.25">
      <c r="B171" t="str">
        <f t="shared" si="2"/>
        <v/>
      </c>
    </row>
    <row r="172" spans="2:2" x14ac:dyDescent="0.25">
      <c r="B172" t="str">
        <f t="shared" si="2"/>
        <v/>
      </c>
    </row>
    <row r="173" spans="2:2" x14ac:dyDescent="0.25">
      <c r="B173" t="str">
        <f t="shared" si="2"/>
        <v/>
      </c>
    </row>
    <row r="174" spans="2:2" x14ac:dyDescent="0.25">
      <c r="B174" t="str">
        <f t="shared" si="2"/>
        <v/>
      </c>
    </row>
    <row r="175" spans="2:2" x14ac:dyDescent="0.25">
      <c r="B175" t="str">
        <f t="shared" si="2"/>
        <v/>
      </c>
    </row>
    <row r="176" spans="2:2" x14ac:dyDescent="0.25">
      <c r="B176" t="str">
        <f t="shared" si="2"/>
        <v/>
      </c>
    </row>
    <row r="177" spans="2:2" x14ac:dyDescent="0.25">
      <c r="B177" t="str">
        <f t="shared" si="2"/>
        <v/>
      </c>
    </row>
    <row r="178" spans="2:2" x14ac:dyDescent="0.25">
      <c r="B178" t="str">
        <f t="shared" si="2"/>
        <v/>
      </c>
    </row>
    <row r="179" spans="2:2" x14ac:dyDescent="0.25">
      <c r="B179" t="str">
        <f t="shared" si="2"/>
        <v/>
      </c>
    </row>
    <row r="180" spans="2:2" x14ac:dyDescent="0.25">
      <c r="B180" t="str">
        <f t="shared" si="2"/>
        <v/>
      </c>
    </row>
    <row r="181" spans="2:2" x14ac:dyDescent="0.25">
      <c r="B181" t="str">
        <f t="shared" si="2"/>
        <v/>
      </c>
    </row>
    <row r="182" spans="2:2" x14ac:dyDescent="0.25">
      <c r="B182" t="str">
        <f t="shared" si="2"/>
        <v/>
      </c>
    </row>
    <row r="183" spans="2:2" x14ac:dyDescent="0.25">
      <c r="B183" t="str">
        <f t="shared" si="2"/>
        <v/>
      </c>
    </row>
    <row r="184" spans="2:2" x14ac:dyDescent="0.25">
      <c r="B184" t="str">
        <f t="shared" si="2"/>
        <v/>
      </c>
    </row>
    <row r="185" spans="2:2" x14ac:dyDescent="0.25">
      <c r="B185" t="str">
        <f t="shared" si="2"/>
        <v/>
      </c>
    </row>
    <row r="186" spans="2:2" x14ac:dyDescent="0.25">
      <c r="B186" t="str">
        <f t="shared" si="2"/>
        <v/>
      </c>
    </row>
    <row r="187" spans="2:2" x14ac:dyDescent="0.25">
      <c r="B187" t="str">
        <f t="shared" si="2"/>
        <v/>
      </c>
    </row>
    <row r="188" spans="2:2" x14ac:dyDescent="0.25">
      <c r="B188" t="str">
        <f t="shared" si="2"/>
        <v/>
      </c>
    </row>
    <row r="189" spans="2:2" x14ac:dyDescent="0.25">
      <c r="B189" t="str">
        <f t="shared" si="2"/>
        <v/>
      </c>
    </row>
    <row r="190" spans="2:2" x14ac:dyDescent="0.25">
      <c r="B190" t="str">
        <f t="shared" si="2"/>
        <v/>
      </c>
    </row>
    <row r="191" spans="2:2" x14ac:dyDescent="0.25">
      <c r="B191" t="str">
        <f t="shared" si="2"/>
        <v/>
      </c>
    </row>
    <row r="192" spans="2:2" x14ac:dyDescent="0.25">
      <c r="B192" t="str">
        <f t="shared" si="2"/>
        <v/>
      </c>
    </row>
    <row r="193" spans="2:2" x14ac:dyDescent="0.25">
      <c r="B193" t="str">
        <f t="shared" si="2"/>
        <v/>
      </c>
    </row>
    <row r="194" spans="2:2" x14ac:dyDescent="0.25">
      <c r="B194" t="str">
        <f t="shared" si="2"/>
        <v/>
      </c>
    </row>
    <row r="195" spans="2:2" x14ac:dyDescent="0.25">
      <c r="B195" t="str">
        <f t="shared" si="2"/>
        <v/>
      </c>
    </row>
    <row r="196" spans="2:2" x14ac:dyDescent="0.25">
      <c r="B196" t="str">
        <f t="shared" si="2"/>
        <v/>
      </c>
    </row>
    <row r="197" spans="2:2" x14ac:dyDescent="0.25">
      <c r="B197" t="str">
        <f t="shared" si="2"/>
        <v/>
      </c>
    </row>
    <row r="198" spans="2:2" x14ac:dyDescent="0.25">
      <c r="B198" t="str">
        <f t="shared" ref="B198:B261" si="3">IF(OR(C198="",C198="Grand Total"),"",1)</f>
        <v/>
      </c>
    </row>
    <row r="199" spans="2:2" x14ac:dyDescent="0.25">
      <c r="B199" t="str">
        <f t="shared" si="3"/>
        <v/>
      </c>
    </row>
    <row r="200" spans="2:2" x14ac:dyDescent="0.25">
      <c r="B200" t="str">
        <f t="shared" si="3"/>
        <v/>
      </c>
    </row>
    <row r="201" spans="2:2" x14ac:dyDescent="0.25">
      <c r="B201" t="str">
        <f t="shared" si="3"/>
        <v/>
      </c>
    </row>
    <row r="202" spans="2:2" x14ac:dyDescent="0.25">
      <c r="B202" t="str">
        <f t="shared" si="3"/>
        <v/>
      </c>
    </row>
    <row r="203" spans="2:2" x14ac:dyDescent="0.25">
      <c r="B203" t="str">
        <f t="shared" si="3"/>
        <v/>
      </c>
    </row>
    <row r="204" spans="2:2" x14ac:dyDescent="0.25">
      <c r="B204" t="str">
        <f t="shared" si="3"/>
        <v/>
      </c>
    </row>
    <row r="205" spans="2:2" x14ac:dyDescent="0.25">
      <c r="B205" t="str">
        <f t="shared" si="3"/>
        <v/>
      </c>
    </row>
    <row r="206" spans="2:2" x14ac:dyDescent="0.25">
      <c r="B206" t="str">
        <f t="shared" si="3"/>
        <v/>
      </c>
    </row>
    <row r="207" spans="2:2" x14ac:dyDescent="0.25">
      <c r="B207" t="str">
        <f t="shared" si="3"/>
        <v/>
      </c>
    </row>
    <row r="208" spans="2:2" x14ac:dyDescent="0.25">
      <c r="B208" t="str">
        <f t="shared" si="3"/>
        <v/>
      </c>
    </row>
    <row r="209" spans="2:2" x14ac:dyDescent="0.25">
      <c r="B209" t="str">
        <f t="shared" si="3"/>
        <v/>
      </c>
    </row>
    <row r="210" spans="2:2" x14ac:dyDescent="0.25">
      <c r="B210" t="str">
        <f t="shared" si="3"/>
        <v/>
      </c>
    </row>
    <row r="211" spans="2:2" x14ac:dyDescent="0.25">
      <c r="B211" t="str">
        <f t="shared" si="3"/>
        <v/>
      </c>
    </row>
    <row r="212" spans="2:2" x14ac:dyDescent="0.25">
      <c r="B212" t="str">
        <f t="shared" si="3"/>
        <v/>
      </c>
    </row>
    <row r="213" spans="2:2" x14ac:dyDescent="0.25">
      <c r="B213" t="str">
        <f t="shared" si="3"/>
        <v/>
      </c>
    </row>
    <row r="214" spans="2:2" x14ac:dyDescent="0.25">
      <c r="B214" t="str">
        <f t="shared" si="3"/>
        <v/>
      </c>
    </row>
    <row r="215" spans="2:2" x14ac:dyDescent="0.25">
      <c r="B215" t="str">
        <f t="shared" si="3"/>
        <v/>
      </c>
    </row>
    <row r="216" spans="2:2" x14ac:dyDescent="0.25">
      <c r="B216" t="str">
        <f t="shared" si="3"/>
        <v/>
      </c>
    </row>
    <row r="217" spans="2:2" x14ac:dyDescent="0.25">
      <c r="B217" t="str">
        <f t="shared" si="3"/>
        <v/>
      </c>
    </row>
    <row r="218" spans="2:2" x14ac:dyDescent="0.25">
      <c r="B218" t="str">
        <f t="shared" si="3"/>
        <v/>
      </c>
    </row>
    <row r="219" spans="2:2" x14ac:dyDescent="0.25">
      <c r="B219" t="str">
        <f t="shared" si="3"/>
        <v/>
      </c>
    </row>
    <row r="220" spans="2:2" x14ac:dyDescent="0.25">
      <c r="B220" t="str">
        <f t="shared" si="3"/>
        <v/>
      </c>
    </row>
    <row r="221" spans="2:2" x14ac:dyDescent="0.25">
      <c r="B221" t="str">
        <f t="shared" si="3"/>
        <v/>
      </c>
    </row>
    <row r="222" spans="2:2" x14ac:dyDescent="0.25">
      <c r="B222" t="str">
        <f t="shared" si="3"/>
        <v/>
      </c>
    </row>
    <row r="223" spans="2:2" x14ac:dyDescent="0.25">
      <c r="B223" t="str">
        <f t="shared" si="3"/>
        <v/>
      </c>
    </row>
    <row r="224" spans="2:2" x14ac:dyDescent="0.25">
      <c r="B224" t="str">
        <f t="shared" si="3"/>
        <v/>
      </c>
    </row>
    <row r="225" spans="2:2" x14ac:dyDescent="0.25">
      <c r="B225" t="str">
        <f t="shared" si="3"/>
        <v/>
      </c>
    </row>
    <row r="226" spans="2:2" x14ac:dyDescent="0.25">
      <c r="B226" t="str">
        <f t="shared" si="3"/>
        <v/>
      </c>
    </row>
    <row r="227" spans="2:2" x14ac:dyDescent="0.25">
      <c r="B227" t="str">
        <f t="shared" si="3"/>
        <v/>
      </c>
    </row>
    <row r="228" spans="2:2" x14ac:dyDescent="0.25">
      <c r="B228" t="str">
        <f t="shared" si="3"/>
        <v/>
      </c>
    </row>
    <row r="229" spans="2:2" x14ac:dyDescent="0.25">
      <c r="B229" t="str">
        <f t="shared" si="3"/>
        <v/>
      </c>
    </row>
    <row r="230" spans="2:2" x14ac:dyDescent="0.25">
      <c r="B230" t="str">
        <f t="shared" si="3"/>
        <v/>
      </c>
    </row>
    <row r="231" spans="2:2" x14ac:dyDescent="0.25">
      <c r="B231" t="str">
        <f t="shared" si="3"/>
        <v/>
      </c>
    </row>
    <row r="232" spans="2:2" x14ac:dyDescent="0.25">
      <c r="B232" t="str">
        <f t="shared" si="3"/>
        <v/>
      </c>
    </row>
    <row r="233" spans="2:2" x14ac:dyDescent="0.25">
      <c r="B233" t="str">
        <f t="shared" si="3"/>
        <v/>
      </c>
    </row>
    <row r="234" spans="2:2" x14ac:dyDescent="0.25">
      <c r="B234" t="str">
        <f t="shared" si="3"/>
        <v/>
      </c>
    </row>
    <row r="235" spans="2:2" x14ac:dyDescent="0.25">
      <c r="B235" t="str">
        <f t="shared" si="3"/>
        <v/>
      </c>
    </row>
    <row r="236" spans="2:2" x14ac:dyDescent="0.25">
      <c r="B236" t="str">
        <f t="shared" si="3"/>
        <v/>
      </c>
    </row>
    <row r="237" spans="2:2" x14ac:dyDescent="0.25">
      <c r="B237" t="str">
        <f t="shared" si="3"/>
        <v/>
      </c>
    </row>
    <row r="238" spans="2:2" x14ac:dyDescent="0.25">
      <c r="B238" t="str">
        <f t="shared" si="3"/>
        <v/>
      </c>
    </row>
    <row r="239" spans="2:2" x14ac:dyDescent="0.25">
      <c r="B239" t="str">
        <f t="shared" si="3"/>
        <v/>
      </c>
    </row>
    <row r="240" spans="2:2" x14ac:dyDescent="0.25">
      <c r="B240" t="str">
        <f t="shared" si="3"/>
        <v/>
      </c>
    </row>
    <row r="241" spans="2:2" x14ac:dyDescent="0.25">
      <c r="B241" t="str">
        <f t="shared" si="3"/>
        <v/>
      </c>
    </row>
    <row r="242" spans="2:2" x14ac:dyDescent="0.25">
      <c r="B242" t="str">
        <f t="shared" si="3"/>
        <v/>
      </c>
    </row>
    <row r="243" spans="2:2" x14ac:dyDescent="0.25">
      <c r="B243" t="str">
        <f t="shared" si="3"/>
        <v/>
      </c>
    </row>
    <row r="244" spans="2:2" x14ac:dyDescent="0.25">
      <c r="B244" t="str">
        <f t="shared" si="3"/>
        <v/>
      </c>
    </row>
    <row r="245" spans="2:2" x14ac:dyDescent="0.25">
      <c r="B245" t="str">
        <f t="shared" si="3"/>
        <v/>
      </c>
    </row>
    <row r="246" spans="2:2" x14ac:dyDescent="0.25">
      <c r="B246" t="str">
        <f t="shared" si="3"/>
        <v/>
      </c>
    </row>
    <row r="247" spans="2:2" x14ac:dyDescent="0.25">
      <c r="B247" t="str">
        <f t="shared" si="3"/>
        <v/>
      </c>
    </row>
    <row r="248" spans="2:2" x14ac:dyDescent="0.25">
      <c r="B248" t="str">
        <f t="shared" si="3"/>
        <v/>
      </c>
    </row>
    <row r="249" spans="2:2" x14ac:dyDescent="0.25">
      <c r="B249" t="str">
        <f t="shared" si="3"/>
        <v/>
      </c>
    </row>
    <row r="250" spans="2:2" x14ac:dyDescent="0.25">
      <c r="B250" t="str">
        <f t="shared" si="3"/>
        <v/>
      </c>
    </row>
    <row r="251" spans="2:2" x14ac:dyDescent="0.25">
      <c r="B251" t="str">
        <f t="shared" si="3"/>
        <v/>
      </c>
    </row>
    <row r="252" spans="2:2" x14ac:dyDescent="0.25">
      <c r="B252" t="str">
        <f t="shared" si="3"/>
        <v/>
      </c>
    </row>
    <row r="253" spans="2:2" x14ac:dyDescent="0.25">
      <c r="B253" t="str">
        <f t="shared" si="3"/>
        <v/>
      </c>
    </row>
    <row r="254" spans="2:2" x14ac:dyDescent="0.25">
      <c r="B254" t="str">
        <f t="shared" si="3"/>
        <v/>
      </c>
    </row>
    <row r="255" spans="2:2" x14ac:dyDescent="0.25">
      <c r="B255" t="str">
        <f t="shared" si="3"/>
        <v/>
      </c>
    </row>
    <row r="256" spans="2:2" x14ac:dyDescent="0.25">
      <c r="B256" t="str">
        <f t="shared" si="3"/>
        <v/>
      </c>
    </row>
    <row r="257" spans="2:2" x14ac:dyDescent="0.25">
      <c r="B257" t="str">
        <f t="shared" si="3"/>
        <v/>
      </c>
    </row>
    <row r="258" spans="2:2" x14ac:dyDescent="0.25">
      <c r="B258" t="str">
        <f t="shared" si="3"/>
        <v/>
      </c>
    </row>
    <row r="259" spans="2:2" x14ac:dyDescent="0.25">
      <c r="B259" t="str">
        <f t="shared" si="3"/>
        <v/>
      </c>
    </row>
    <row r="260" spans="2:2" x14ac:dyDescent="0.25">
      <c r="B260" t="str">
        <f t="shared" si="3"/>
        <v/>
      </c>
    </row>
    <row r="261" spans="2:2" x14ac:dyDescent="0.25">
      <c r="B261" t="str">
        <f t="shared" si="3"/>
        <v/>
      </c>
    </row>
    <row r="262" spans="2:2" x14ac:dyDescent="0.25">
      <c r="B262" t="str">
        <f t="shared" ref="B262:B325" si="4">IF(OR(C262="",C262="Grand Total"),"",1)</f>
        <v/>
      </c>
    </row>
    <row r="263" spans="2:2" x14ac:dyDescent="0.25">
      <c r="B263" t="str">
        <f t="shared" si="4"/>
        <v/>
      </c>
    </row>
    <row r="264" spans="2:2" x14ac:dyDescent="0.25">
      <c r="B264" t="str">
        <f t="shared" si="4"/>
        <v/>
      </c>
    </row>
    <row r="265" spans="2:2" x14ac:dyDescent="0.25">
      <c r="B265" t="str">
        <f t="shared" si="4"/>
        <v/>
      </c>
    </row>
    <row r="266" spans="2:2" x14ac:dyDescent="0.25">
      <c r="B266" t="str">
        <f t="shared" si="4"/>
        <v/>
      </c>
    </row>
    <row r="267" spans="2:2" x14ac:dyDescent="0.25">
      <c r="B267" t="str">
        <f t="shared" si="4"/>
        <v/>
      </c>
    </row>
    <row r="268" spans="2:2" x14ac:dyDescent="0.25">
      <c r="B268" t="str">
        <f t="shared" si="4"/>
        <v/>
      </c>
    </row>
    <row r="269" spans="2:2" x14ac:dyDescent="0.25">
      <c r="B269" t="str">
        <f t="shared" si="4"/>
        <v/>
      </c>
    </row>
    <row r="270" spans="2:2" x14ac:dyDescent="0.25">
      <c r="B270" t="str">
        <f t="shared" si="4"/>
        <v/>
      </c>
    </row>
    <row r="271" spans="2:2" x14ac:dyDescent="0.25">
      <c r="B271" t="str">
        <f t="shared" si="4"/>
        <v/>
      </c>
    </row>
    <row r="272" spans="2:2" x14ac:dyDescent="0.25">
      <c r="B272" t="str">
        <f t="shared" si="4"/>
        <v/>
      </c>
    </row>
    <row r="273" spans="2:2" x14ac:dyDescent="0.25">
      <c r="B273" t="str">
        <f t="shared" si="4"/>
        <v/>
      </c>
    </row>
    <row r="274" spans="2:2" x14ac:dyDescent="0.25">
      <c r="B274" t="str">
        <f t="shared" si="4"/>
        <v/>
      </c>
    </row>
    <row r="275" spans="2:2" x14ac:dyDescent="0.25">
      <c r="B275" t="str">
        <f t="shared" si="4"/>
        <v/>
      </c>
    </row>
    <row r="276" spans="2:2" x14ac:dyDescent="0.25">
      <c r="B276" t="str">
        <f t="shared" si="4"/>
        <v/>
      </c>
    </row>
    <row r="277" spans="2:2" x14ac:dyDescent="0.25">
      <c r="B277" t="str">
        <f t="shared" si="4"/>
        <v/>
      </c>
    </row>
    <row r="278" spans="2:2" x14ac:dyDescent="0.25">
      <c r="B278" t="str">
        <f t="shared" si="4"/>
        <v/>
      </c>
    </row>
    <row r="279" spans="2:2" x14ac:dyDescent="0.25">
      <c r="B279" t="str">
        <f t="shared" si="4"/>
        <v/>
      </c>
    </row>
    <row r="280" spans="2:2" x14ac:dyDescent="0.25">
      <c r="B280" t="str">
        <f t="shared" si="4"/>
        <v/>
      </c>
    </row>
    <row r="281" spans="2:2" x14ac:dyDescent="0.25">
      <c r="B281" t="str">
        <f t="shared" si="4"/>
        <v/>
      </c>
    </row>
    <row r="282" spans="2:2" x14ac:dyDescent="0.25">
      <c r="B282" t="str">
        <f t="shared" si="4"/>
        <v/>
      </c>
    </row>
    <row r="283" spans="2:2" x14ac:dyDescent="0.25">
      <c r="B283" t="str">
        <f t="shared" si="4"/>
        <v/>
      </c>
    </row>
    <row r="284" spans="2:2" x14ac:dyDescent="0.25">
      <c r="B284" t="str">
        <f t="shared" si="4"/>
        <v/>
      </c>
    </row>
    <row r="285" spans="2:2" x14ac:dyDescent="0.25">
      <c r="B285" t="str">
        <f t="shared" si="4"/>
        <v/>
      </c>
    </row>
    <row r="286" spans="2:2" x14ac:dyDescent="0.25">
      <c r="B286" t="str">
        <f t="shared" si="4"/>
        <v/>
      </c>
    </row>
    <row r="287" spans="2:2" x14ac:dyDescent="0.25">
      <c r="B287" t="str">
        <f t="shared" si="4"/>
        <v/>
      </c>
    </row>
    <row r="288" spans="2:2" x14ac:dyDescent="0.25">
      <c r="B288" t="str">
        <f t="shared" si="4"/>
        <v/>
      </c>
    </row>
    <row r="289" spans="2:2" x14ac:dyDescent="0.25">
      <c r="B289" t="str">
        <f t="shared" si="4"/>
        <v/>
      </c>
    </row>
    <row r="290" spans="2:2" x14ac:dyDescent="0.25">
      <c r="B290" t="str">
        <f t="shared" si="4"/>
        <v/>
      </c>
    </row>
    <row r="291" spans="2:2" x14ac:dyDescent="0.25">
      <c r="B291" t="str">
        <f t="shared" si="4"/>
        <v/>
      </c>
    </row>
    <row r="292" spans="2:2" x14ac:dyDescent="0.25">
      <c r="B292" t="str">
        <f t="shared" si="4"/>
        <v/>
      </c>
    </row>
    <row r="293" spans="2:2" x14ac:dyDescent="0.25">
      <c r="B293" t="str">
        <f t="shared" si="4"/>
        <v/>
      </c>
    </row>
    <row r="294" spans="2:2" x14ac:dyDescent="0.25">
      <c r="B294" t="str">
        <f t="shared" si="4"/>
        <v/>
      </c>
    </row>
    <row r="295" spans="2:2" x14ac:dyDescent="0.25">
      <c r="B295" t="str">
        <f t="shared" si="4"/>
        <v/>
      </c>
    </row>
    <row r="296" spans="2:2" x14ac:dyDescent="0.25">
      <c r="B296" t="str">
        <f t="shared" si="4"/>
        <v/>
      </c>
    </row>
    <row r="297" spans="2:2" x14ac:dyDescent="0.25">
      <c r="B297" t="str">
        <f t="shared" si="4"/>
        <v/>
      </c>
    </row>
    <row r="298" spans="2:2" x14ac:dyDescent="0.25">
      <c r="B298" t="str">
        <f t="shared" si="4"/>
        <v/>
      </c>
    </row>
    <row r="299" spans="2:2" x14ac:dyDescent="0.25">
      <c r="B299" t="str">
        <f t="shared" si="4"/>
        <v/>
      </c>
    </row>
    <row r="300" spans="2:2" x14ac:dyDescent="0.25">
      <c r="B300" t="str">
        <f t="shared" si="4"/>
        <v/>
      </c>
    </row>
    <row r="301" spans="2:2" x14ac:dyDescent="0.25">
      <c r="B301" t="str">
        <f t="shared" si="4"/>
        <v/>
      </c>
    </row>
    <row r="302" spans="2:2" x14ac:dyDescent="0.25">
      <c r="B302" t="str">
        <f t="shared" si="4"/>
        <v/>
      </c>
    </row>
    <row r="303" spans="2:2" x14ac:dyDescent="0.25">
      <c r="B303" t="str">
        <f t="shared" si="4"/>
        <v/>
      </c>
    </row>
    <row r="304" spans="2:2" x14ac:dyDescent="0.25">
      <c r="B304" t="str">
        <f t="shared" si="4"/>
        <v/>
      </c>
    </row>
    <row r="305" spans="2:2" x14ac:dyDescent="0.25">
      <c r="B305" t="str">
        <f t="shared" si="4"/>
        <v/>
      </c>
    </row>
    <row r="306" spans="2:2" x14ac:dyDescent="0.25">
      <c r="B306" t="str">
        <f t="shared" si="4"/>
        <v/>
      </c>
    </row>
    <row r="307" spans="2:2" x14ac:dyDescent="0.25">
      <c r="B307" t="str">
        <f t="shared" si="4"/>
        <v/>
      </c>
    </row>
    <row r="308" spans="2:2" x14ac:dyDescent="0.25">
      <c r="B308" t="str">
        <f t="shared" si="4"/>
        <v/>
      </c>
    </row>
    <row r="309" spans="2:2" x14ac:dyDescent="0.25">
      <c r="B309" t="str">
        <f t="shared" si="4"/>
        <v/>
      </c>
    </row>
    <row r="310" spans="2:2" x14ac:dyDescent="0.25">
      <c r="B310" t="str">
        <f t="shared" si="4"/>
        <v/>
      </c>
    </row>
    <row r="311" spans="2:2" x14ac:dyDescent="0.25">
      <c r="B311" t="str">
        <f t="shared" si="4"/>
        <v/>
      </c>
    </row>
    <row r="312" spans="2:2" x14ac:dyDescent="0.25">
      <c r="B312" t="str">
        <f t="shared" si="4"/>
        <v/>
      </c>
    </row>
    <row r="313" spans="2:2" x14ac:dyDescent="0.25">
      <c r="B313" t="str">
        <f t="shared" si="4"/>
        <v/>
      </c>
    </row>
    <row r="314" spans="2:2" x14ac:dyDescent="0.25">
      <c r="B314" t="str">
        <f t="shared" si="4"/>
        <v/>
      </c>
    </row>
    <row r="315" spans="2:2" x14ac:dyDescent="0.25">
      <c r="B315" t="str">
        <f t="shared" si="4"/>
        <v/>
      </c>
    </row>
    <row r="316" spans="2:2" x14ac:dyDescent="0.25">
      <c r="B316" t="str">
        <f t="shared" si="4"/>
        <v/>
      </c>
    </row>
    <row r="317" spans="2:2" x14ac:dyDescent="0.25">
      <c r="B317" t="str">
        <f t="shared" si="4"/>
        <v/>
      </c>
    </row>
    <row r="318" spans="2:2" x14ac:dyDescent="0.25">
      <c r="B318" t="str">
        <f t="shared" si="4"/>
        <v/>
      </c>
    </row>
    <row r="319" spans="2:2" x14ac:dyDescent="0.25">
      <c r="B319" t="str">
        <f t="shared" si="4"/>
        <v/>
      </c>
    </row>
    <row r="320" spans="2:2" x14ac:dyDescent="0.25">
      <c r="B320" t="str">
        <f t="shared" si="4"/>
        <v/>
      </c>
    </row>
    <row r="321" spans="2:2" x14ac:dyDescent="0.25">
      <c r="B321" t="str">
        <f t="shared" si="4"/>
        <v/>
      </c>
    </row>
    <row r="322" spans="2:2" x14ac:dyDescent="0.25">
      <c r="B322" t="str">
        <f t="shared" si="4"/>
        <v/>
      </c>
    </row>
    <row r="323" spans="2:2" x14ac:dyDescent="0.25">
      <c r="B323" t="str">
        <f t="shared" si="4"/>
        <v/>
      </c>
    </row>
    <row r="324" spans="2:2" x14ac:dyDescent="0.25">
      <c r="B324" t="str">
        <f t="shared" si="4"/>
        <v/>
      </c>
    </row>
    <row r="325" spans="2:2" x14ac:dyDescent="0.25">
      <c r="B325" t="str">
        <f t="shared" si="4"/>
        <v/>
      </c>
    </row>
    <row r="326" spans="2:2" x14ac:dyDescent="0.25">
      <c r="B326" t="str">
        <f t="shared" ref="B326:B389" si="5">IF(OR(C326="",C326="Grand Total"),"",1)</f>
        <v/>
      </c>
    </row>
    <row r="327" spans="2:2" x14ac:dyDescent="0.25">
      <c r="B327" t="str">
        <f t="shared" si="5"/>
        <v/>
      </c>
    </row>
    <row r="328" spans="2:2" x14ac:dyDescent="0.25">
      <c r="B328" t="str">
        <f t="shared" si="5"/>
        <v/>
      </c>
    </row>
    <row r="329" spans="2:2" x14ac:dyDescent="0.25">
      <c r="B329" t="str">
        <f t="shared" si="5"/>
        <v/>
      </c>
    </row>
    <row r="330" spans="2:2" x14ac:dyDescent="0.25">
      <c r="B330" t="str">
        <f t="shared" si="5"/>
        <v/>
      </c>
    </row>
    <row r="331" spans="2:2" x14ac:dyDescent="0.25">
      <c r="B331" t="str">
        <f t="shared" si="5"/>
        <v/>
      </c>
    </row>
    <row r="332" spans="2:2" x14ac:dyDescent="0.25">
      <c r="B332" t="str">
        <f t="shared" si="5"/>
        <v/>
      </c>
    </row>
    <row r="333" spans="2:2" x14ac:dyDescent="0.25">
      <c r="B333" t="str">
        <f t="shared" si="5"/>
        <v/>
      </c>
    </row>
    <row r="334" spans="2:2" x14ac:dyDescent="0.25">
      <c r="B334" t="str">
        <f t="shared" si="5"/>
        <v/>
      </c>
    </row>
    <row r="335" spans="2:2" x14ac:dyDescent="0.25">
      <c r="B335" t="str">
        <f t="shared" si="5"/>
        <v/>
      </c>
    </row>
    <row r="336" spans="2:2" x14ac:dyDescent="0.25">
      <c r="B336" t="str">
        <f t="shared" si="5"/>
        <v/>
      </c>
    </row>
    <row r="337" spans="2:2" x14ac:dyDescent="0.25">
      <c r="B337" t="str">
        <f t="shared" si="5"/>
        <v/>
      </c>
    </row>
    <row r="338" spans="2:2" x14ac:dyDescent="0.25">
      <c r="B338" t="str">
        <f t="shared" si="5"/>
        <v/>
      </c>
    </row>
    <row r="339" spans="2:2" x14ac:dyDescent="0.25">
      <c r="B339" t="str">
        <f t="shared" si="5"/>
        <v/>
      </c>
    </row>
    <row r="340" spans="2:2" x14ac:dyDescent="0.25">
      <c r="B340" t="str">
        <f t="shared" si="5"/>
        <v/>
      </c>
    </row>
    <row r="341" spans="2:2" x14ac:dyDescent="0.25">
      <c r="B341" t="str">
        <f t="shared" si="5"/>
        <v/>
      </c>
    </row>
    <row r="342" spans="2:2" x14ac:dyDescent="0.25">
      <c r="B342" t="str">
        <f t="shared" si="5"/>
        <v/>
      </c>
    </row>
    <row r="343" spans="2:2" x14ac:dyDescent="0.25">
      <c r="B343" t="str">
        <f t="shared" si="5"/>
        <v/>
      </c>
    </row>
    <row r="344" spans="2:2" x14ac:dyDescent="0.25">
      <c r="B344" t="str">
        <f t="shared" si="5"/>
        <v/>
      </c>
    </row>
    <row r="345" spans="2:2" x14ac:dyDescent="0.25">
      <c r="B345" t="str">
        <f t="shared" si="5"/>
        <v/>
      </c>
    </row>
    <row r="346" spans="2:2" x14ac:dyDescent="0.25">
      <c r="B346" t="str">
        <f t="shared" si="5"/>
        <v/>
      </c>
    </row>
    <row r="347" spans="2:2" x14ac:dyDescent="0.25">
      <c r="B347" t="str">
        <f t="shared" si="5"/>
        <v/>
      </c>
    </row>
    <row r="348" spans="2:2" x14ac:dyDescent="0.25">
      <c r="B348" t="str">
        <f t="shared" si="5"/>
        <v/>
      </c>
    </row>
    <row r="349" spans="2:2" x14ac:dyDescent="0.25">
      <c r="B349" t="str">
        <f t="shared" si="5"/>
        <v/>
      </c>
    </row>
    <row r="350" spans="2:2" x14ac:dyDescent="0.25">
      <c r="B350" t="str">
        <f t="shared" si="5"/>
        <v/>
      </c>
    </row>
    <row r="351" spans="2:2" x14ac:dyDescent="0.25">
      <c r="B351" t="str">
        <f t="shared" si="5"/>
        <v/>
      </c>
    </row>
    <row r="352" spans="2:2" x14ac:dyDescent="0.25">
      <c r="B352" t="str">
        <f t="shared" si="5"/>
        <v/>
      </c>
    </row>
    <row r="353" spans="2:2" x14ac:dyDescent="0.25">
      <c r="B353" t="str">
        <f t="shared" si="5"/>
        <v/>
      </c>
    </row>
    <row r="354" spans="2:2" x14ac:dyDescent="0.25">
      <c r="B354" t="str">
        <f t="shared" si="5"/>
        <v/>
      </c>
    </row>
    <row r="355" spans="2:2" x14ac:dyDescent="0.25">
      <c r="B355" t="str">
        <f t="shared" si="5"/>
        <v/>
      </c>
    </row>
    <row r="356" spans="2:2" x14ac:dyDescent="0.25">
      <c r="B356" t="str">
        <f t="shared" si="5"/>
        <v/>
      </c>
    </row>
    <row r="357" spans="2:2" x14ac:dyDescent="0.25">
      <c r="B357" t="str">
        <f t="shared" si="5"/>
        <v/>
      </c>
    </row>
    <row r="358" spans="2:2" x14ac:dyDescent="0.25">
      <c r="B358" t="str">
        <f t="shared" si="5"/>
        <v/>
      </c>
    </row>
    <row r="359" spans="2:2" x14ac:dyDescent="0.25">
      <c r="B359" t="str">
        <f t="shared" si="5"/>
        <v/>
      </c>
    </row>
    <row r="360" spans="2:2" x14ac:dyDescent="0.25">
      <c r="B360" t="str">
        <f t="shared" si="5"/>
        <v/>
      </c>
    </row>
    <row r="361" spans="2:2" x14ac:dyDescent="0.25">
      <c r="B361" t="str">
        <f t="shared" si="5"/>
        <v/>
      </c>
    </row>
    <row r="362" spans="2:2" x14ac:dyDescent="0.25">
      <c r="B362" t="str">
        <f t="shared" si="5"/>
        <v/>
      </c>
    </row>
    <row r="363" spans="2:2" x14ac:dyDescent="0.25">
      <c r="B363" t="str">
        <f t="shared" si="5"/>
        <v/>
      </c>
    </row>
    <row r="364" spans="2:2" x14ac:dyDescent="0.25">
      <c r="B364" t="str">
        <f t="shared" si="5"/>
        <v/>
      </c>
    </row>
    <row r="365" spans="2:2" x14ac:dyDescent="0.25">
      <c r="B365" t="str">
        <f t="shared" si="5"/>
        <v/>
      </c>
    </row>
    <row r="366" spans="2:2" x14ac:dyDescent="0.25">
      <c r="B366" t="str">
        <f t="shared" si="5"/>
        <v/>
      </c>
    </row>
    <row r="367" spans="2:2" x14ac:dyDescent="0.25">
      <c r="B367" t="str">
        <f t="shared" si="5"/>
        <v/>
      </c>
    </row>
    <row r="368" spans="2:2" x14ac:dyDescent="0.25">
      <c r="B368" t="str">
        <f t="shared" si="5"/>
        <v/>
      </c>
    </row>
    <row r="369" spans="2:2" x14ac:dyDescent="0.25">
      <c r="B369" t="str">
        <f t="shared" si="5"/>
        <v/>
      </c>
    </row>
    <row r="370" spans="2:2" x14ac:dyDescent="0.25">
      <c r="B370" t="str">
        <f t="shared" si="5"/>
        <v/>
      </c>
    </row>
    <row r="371" spans="2:2" x14ac:dyDescent="0.25">
      <c r="B371" t="str">
        <f t="shared" si="5"/>
        <v/>
      </c>
    </row>
    <row r="372" spans="2:2" x14ac:dyDescent="0.25">
      <c r="B372" t="str">
        <f t="shared" si="5"/>
        <v/>
      </c>
    </row>
    <row r="373" spans="2:2" x14ac:dyDescent="0.25">
      <c r="B373" t="str">
        <f t="shared" si="5"/>
        <v/>
      </c>
    </row>
    <row r="374" spans="2:2" x14ac:dyDescent="0.25">
      <c r="B374" t="str">
        <f t="shared" si="5"/>
        <v/>
      </c>
    </row>
    <row r="375" spans="2:2" x14ac:dyDescent="0.25">
      <c r="B375" t="str">
        <f t="shared" si="5"/>
        <v/>
      </c>
    </row>
    <row r="376" spans="2:2" x14ac:dyDescent="0.25">
      <c r="B376" t="str">
        <f t="shared" si="5"/>
        <v/>
      </c>
    </row>
    <row r="377" spans="2:2" x14ac:dyDescent="0.25">
      <c r="B377" t="str">
        <f t="shared" si="5"/>
        <v/>
      </c>
    </row>
    <row r="378" spans="2:2" x14ac:dyDescent="0.25">
      <c r="B378" t="str">
        <f t="shared" si="5"/>
        <v/>
      </c>
    </row>
    <row r="379" spans="2:2" x14ac:dyDescent="0.25">
      <c r="B379" t="str">
        <f t="shared" si="5"/>
        <v/>
      </c>
    </row>
    <row r="380" spans="2:2" x14ac:dyDescent="0.25">
      <c r="B380" t="str">
        <f t="shared" si="5"/>
        <v/>
      </c>
    </row>
    <row r="381" spans="2:2" x14ac:dyDescent="0.25">
      <c r="B381" t="str">
        <f t="shared" si="5"/>
        <v/>
      </c>
    </row>
    <row r="382" spans="2:2" x14ac:dyDescent="0.25">
      <c r="B382" t="str">
        <f t="shared" si="5"/>
        <v/>
      </c>
    </row>
    <row r="383" spans="2:2" x14ac:dyDescent="0.25">
      <c r="B383" t="str">
        <f t="shared" si="5"/>
        <v/>
      </c>
    </row>
    <row r="384" spans="2:2" x14ac:dyDescent="0.25">
      <c r="B384" t="str">
        <f t="shared" si="5"/>
        <v/>
      </c>
    </row>
    <row r="385" spans="2:2" x14ac:dyDescent="0.25">
      <c r="B385" t="str">
        <f t="shared" si="5"/>
        <v/>
      </c>
    </row>
    <row r="386" spans="2:2" x14ac:dyDescent="0.25">
      <c r="B386" t="str">
        <f t="shared" si="5"/>
        <v/>
      </c>
    </row>
    <row r="387" spans="2:2" x14ac:dyDescent="0.25">
      <c r="B387" t="str">
        <f t="shared" si="5"/>
        <v/>
      </c>
    </row>
    <row r="388" spans="2:2" x14ac:dyDescent="0.25">
      <c r="B388" t="str">
        <f t="shared" si="5"/>
        <v/>
      </c>
    </row>
    <row r="389" spans="2:2" x14ac:dyDescent="0.25">
      <c r="B389" t="str">
        <f t="shared" si="5"/>
        <v/>
      </c>
    </row>
    <row r="390" spans="2:2" x14ac:dyDescent="0.25">
      <c r="B390" t="str">
        <f t="shared" ref="B390:B453" si="6">IF(OR(C390="",C390="Grand Total"),"",1)</f>
        <v/>
      </c>
    </row>
    <row r="391" spans="2:2" x14ac:dyDescent="0.25">
      <c r="B391" t="str">
        <f t="shared" si="6"/>
        <v/>
      </c>
    </row>
    <row r="392" spans="2:2" x14ac:dyDescent="0.25">
      <c r="B392" t="str">
        <f t="shared" si="6"/>
        <v/>
      </c>
    </row>
    <row r="393" spans="2:2" x14ac:dyDescent="0.25">
      <c r="B393" t="str">
        <f t="shared" si="6"/>
        <v/>
      </c>
    </row>
    <row r="394" spans="2:2" x14ac:dyDescent="0.25">
      <c r="B394" t="str">
        <f t="shared" si="6"/>
        <v/>
      </c>
    </row>
    <row r="395" spans="2:2" x14ac:dyDescent="0.25">
      <c r="B395" t="str">
        <f t="shared" si="6"/>
        <v/>
      </c>
    </row>
    <row r="396" spans="2:2" x14ac:dyDescent="0.25">
      <c r="B396" t="str">
        <f t="shared" si="6"/>
        <v/>
      </c>
    </row>
    <row r="397" spans="2:2" x14ac:dyDescent="0.25">
      <c r="B397" t="str">
        <f t="shared" si="6"/>
        <v/>
      </c>
    </row>
    <row r="398" spans="2:2" x14ac:dyDescent="0.25">
      <c r="B398" t="str">
        <f t="shared" si="6"/>
        <v/>
      </c>
    </row>
    <row r="399" spans="2:2" x14ac:dyDescent="0.25">
      <c r="B399" t="str">
        <f t="shared" si="6"/>
        <v/>
      </c>
    </row>
    <row r="400" spans="2:2" x14ac:dyDescent="0.25">
      <c r="B400" t="str">
        <f t="shared" si="6"/>
        <v/>
      </c>
    </row>
    <row r="401" spans="2:2" x14ac:dyDescent="0.25">
      <c r="B401" t="str">
        <f t="shared" si="6"/>
        <v/>
      </c>
    </row>
    <row r="402" spans="2:2" x14ac:dyDescent="0.25">
      <c r="B402" t="str">
        <f t="shared" si="6"/>
        <v/>
      </c>
    </row>
    <row r="403" spans="2:2" x14ac:dyDescent="0.25">
      <c r="B403" t="str">
        <f t="shared" si="6"/>
        <v/>
      </c>
    </row>
    <row r="404" spans="2:2" x14ac:dyDescent="0.25">
      <c r="B404" t="str">
        <f t="shared" si="6"/>
        <v/>
      </c>
    </row>
    <row r="405" spans="2:2" x14ac:dyDescent="0.25">
      <c r="B405" t="str">
        <f t="shared" si="6"/>
        <v/>
      </c>
    </row>
    <row r="406" spans="2:2" x14ac:dyDescent="0.25">
      <c r="B406" t="str">
        <f t="shared" si="6"/>
        <v/>
      </c>
    </row>
    <row r="407" spans="2:2" x14ac:dyDescent="0.25">
      <c r="B407" t="str">
        <f t="shared" si="6"/>
        <v/>
      </c>
    </row>
    <row r="408" spans="2:2" x14ac:dyDescent="0.25">
      <c r="B408" t="str">
        <f t="shared" si="6"/>
        <v/>
      </c>
    </row>
    <row r="409" spans="2:2" x14ac:dyDescent="0.25">
      <c r="B409" t="str">
        <f t="shared" si="6"/>
        <v/>
      </c>
    </row>
    <row r="410" spans="2:2" x14ac:dyDescent="0.25">
      <c r="B410" t="str">
        <f t="shared" si="6"/>
        <v/>
      </c>
    </row>
    <row r="411" spans="2:2" x14ac:dyDescent="0.25">
      <c r="B411" t="str">
        <f t="shared" si="6"/>
        <v/>
      </c>
    </row>
    <row r="412" spans="2:2" x14ac:dyDescent="0.25">
      <c r="B412" t="str">
        <f t="shared" si="6"/>
        <v/>
      </c>
    </row>
    <row r="413" spans="2:2" x14ac:dyDescent="0.25">
      <c r="B413" t="str">
        <f t="shared" si="6"/>
        <v/>
      </c>
    </row>
    <row r="414" spans="2:2" x14ac:dyDescent="0.25">
      <c r="B414" t="str">
        <f t="shared" si="6"/>
        <v/>
      </c>
    </row>
    <row r="415" spans="2:2" x14ac:dyDescent="0.25">
      <c r="B415" t="str">
        <f t="shared" si="6"/>
        <v/>
      </c>
    </row>
    <row r="416" spans="2:2" x14ac:dyDescent="0.25">
      <c r="B416" t="str">
        <f t="shared" si="6"/>
        <v/>
      </c>
    </row>
    <row r="417" spans="2:2" x14ac:dyDescent="0.25">
      <c r="B417" t="str">
        <f t="shared" si="6"/>
        <v/>
      </c>
    </row>
    <row r="418" spans="2:2" x14ac:dyDescent="0.25">
      <c r="B418" t="str">
        <f t="shared" si="6"/>
        <v/>
      </c>
    </row>
    <row r="419" spans="2:2" x14ac:dyDescent="0.25">
      <c r="B419" t="str">
        <f t="shared" si="6"/>
        <v/>
      </c>
    </row>
    <row r="420" spans="2:2" x14ac:dyDescent="0.25">
      <c r="B420" t="str">
        <f t="shared" si="6"/>
        <v/>
      </c>
    </row>
    <row r="421" spans="2:2" x14ac:dyDescent="0.25">
      <c r="B421" t="str">
        <f t="shared" si="6"/>
        <v/>
      </c>
    </row>
    <row r="422" spans="2:2" x14ac:dyDescent="0.25">
      <c r="B422" t="str">
        <f t="shared" si="6"/>
        <v/>
      </c>
    </row>
    <row r="423" spans="2:2" x14ac:dyDescent="0.25">
      <c r="B423" t="str">
        <f t="shared" si="6"/>
        <v/>
      </c>
    </row>
    <row r="424" spans="2:2" x14ac:dyDescent="0.25">
      <c r="B424" t="str">
        <f t="shared" si="6"/>
        <v/>
      </c>
    </row>
    <row r="425" spans="2:2" x14ac:dyDescent="0.25">
      <c r="B425" t="str">
        <f t="shared" si="6"/>
        <v/>
      </c>
    </row>
    <row r="426" spans="2:2" x14ac:dyDescent="0.25">
      <c r="B426" t="str">
        <f t="shared" si="6"/>
        <v/>
      </c>
    </row>
    <row r="427" spans="2:2" x14ac:dyDescent="0.25">
      <c r="B427" t="str">
        <f t="shared" si="6"/>
        <v/>
      </c>
    </row>
    <row r="428" spans="2:2" x14ac:dyDescent="0.25">
      <c r="B428" t="str">
        <f t="shared" si="6"/>
        <v/>
      </c>
    </row>
    <row r="429" spans="2:2" x14ac:dyDescent="0.25">
      <c r="B429" t="str">
        <f t="shared" si="6"/>
        <v/>
      </c>
    </row>
    <row r="430" spans="2:2" x14ac:dyDescent="0.25">
      <c r="B430" t="str">
        <f t="shared" si="6"/>
        <v/>
      </c>
    </row>
    <row r="431" spans="2:2" x14ac:dyDescent="0.25">
      <c r="B431" t="str">
        <f t="shared" si="6"/>
        <v/>
      </c>
    </row>
    <row r="432" spans="2:2" x14ac:dyDescent="0.25">
      <c r="B432" t="str">
        <f t="shared" si="6"/>
        <v/>
      </c>
    </row>
    <row r="433" spans="2:2" x14ac:dyDescent="0.25">
      <c r="B433" t="str">
        <f t="shared" si="6"/>
        <v/>
      </c>
    </row>
    <row r="434" spans="2:2" x14ac:dyDescent="0.25">
      <c r="B434" t="str">
        <f t="shared" si="6"/>
        <v/>
      </c>
    </row>
    <row r="435" spans="2:2" x14ac:dyDescent="0.25">
      <c r="B435" t="str">
        <f t="shared" si="6"/>
        <v/>
      </c>
    </row>
    <row r="436" spans="2:2" x14ac:dyDescent="0.25">
      <c r="B436" t="str">
        <f t="shared" si="6"/>
        <v/>
      </c>
    </row>
    <row r="437" spans="2:2" x14ac:dyDescent="0.25">
      <c r="B437" t="str">
        <f t="shared" si="6"/>
        <v/>
      </c>
    </row>
    <row r="438" spans="2:2" x14ac:dyDescent="0.25">
      <c r="B438" t="str">
        <f t="shared" si="6"/>
        <v/>
      </c>
    </row>
    <row r="439" spans="2:2" x14ac:dyDescent="0.25">
      <c r="B439" t="str">
        <f t="shared" si="6"/>
        <v/>
      </c>
    </row>
    <row r="440" spans="2:2" x14ac:dyDescent="0.25">
      <c r="B440" t="str">
        <f t="shared" si="6"/>
        <v/>
      </c>
    </row>
    <row r="441" spans="2:2" x14ac:dyDescent="0.25">
      <c r="B441" t="str">
        <f t="shared" si="6"/>
        <v/>
      </c>
    </row>
    <row r="442" spans="2:2" x14ac:dyDescent="0.25">
      <c r="B442" t="str">
        <f t="shared" si="6"/>
        <v/>
      </c>
    </row>
    <row r="443" spans="2:2" x14ac:dyDescent="0.25">
      <c r="B443" t="str">
        <f t="shared" si="6"/>
        <v/>
      </c>
    </row>
    <row r="444" spans="2:2" x14ac:dyDescent="0.25">
      <c r="B444" t="str">
        <f t="shared" si="6"/>
        <v/>
      </c>
    </row>
    <row r="445" spans="2:2" x14ac:dyDescent="0.25">
      <c r="B445" t="str">
        <f t="shared" si="6"/>
        <v/>
      </c>
    </row>
    <row r="446" spans="2:2" x14ac:dyDescent="0.25">
      <c r="B446" t="str">
        <f t="shared" si="6"/>
        <v/>
      </c>
    </row>
    <row r="447" spans="2:2" x14ac:dyDescent="0.25">
      <c r="B447" t="str">
        <f t="shared" si="6"/>
        <v/>
      </c>
    </row>
    <row r="448" spans="2:2" x14ac:dyDescent="0.25">
      <c r="B448" t="str">
        <f t="shared" si="6"/>
        <v/>
      </c>
    </row>
    <row r="449" spans="2:2" x14ac:dyDescent="0.25">
      <c r="B449" t="str">
        <f t="shared" si="6"/>
        <v/>
      </c>
    </row>
    <row r="450" spans="2:2" x14ac:dyDescent="0.25">
      <c r="B450" t="str">
        <f t="shared" si="6"/>
        <v/>
      </c>
    </row>
    <row r="451" spans="2:2" x14ac:dyDescent="0.25">
      <c r="B451" t="str">
        <f t="shared" si="6"/>
        <v/>
      </c>
    </row>
    <row r="452" spans="2:2" x14ac:dyDescent="0.25">
      <c r="B452" t="str">
        <f t="shared" si="6"/>
        <v/>
      </c>
    </row>
    <row r="453" spans="2:2" x14ac:dyDescent="0.25">
      <c r="B453" t="str">
        <f t="shared" si="6"/>
        <v/>
      </c>
    </row>
    <row r="454" spans="2:2" x14ac:dyDescent="0.25">
      <c r="B454" t="str">
        <f t="shared" ref="B454:B517" si="7">IF(OR(C454="",C454="Grand Total"),"",1)</f>
        <v/>
      </c>
    </row>
    <row r="455" spans="2:2" x14ac:dyDescent="0.25">
      <c r="B455" t="str">
        <f t="shared" si="7"/>
        <v/>
      </c>
    </row>
    <row r="456" spans="2:2" x14ac:dyDescent="0.25">
      <c r="B456" t="str">
        <f t="shared" si="7"/>
        <v/>
      </c>
    </row>
    <row r="457" spans="2:2" x14ac:dyDescent="0.25">
      <c r="B457" t="str">
        <f t="shared" si="7"/>
        <v/>
      </c>
    </row>
    <row r="458" spans="2:2" x14ac:dyDescent="0.25">
      <c r="B458" t="str">
        <f t="shared" si="7"/>
        <v/>
      </c>
    </row>
    <row r="459" spans="2:2" x14ac:dyDescent="0.25">
      <c r="B459" t="str">
        <f t="shared" si="7"/>
        <v/>
      </c>
    </row>
    <row r="460" spans="2:2" x14ac:dyDescent="0.25">
      <c r="B460" t="str">
        <f t="shared" si="7"/>
        <v/>
      </c>
    </row>
    <row r="461" spans="2:2" x14ac:dyDescent="0.25">
      <c r="B461" t="str">
        <f t="shared" si="7"/>
        <v/>
      </c>
    </row>
    <row r="462" spans="2:2" x14ac:dyDescent="0.25">
      <c r="B462" t="str">
        <f t="shared" si="7"/>
        <v/>
      </c>
    </row>
    <row r="463" spans="2:2" x14ac:dyDescent="0.25">
      <c r="B463" t="str">
        <f t="shared" si="7"/>
        <v/>
      </c>
    </row>
    <row r="464" spans="2:2" x14ac:dyDescent="0.25">
      <c r="B464" t="str">
        <f t="shared" si="7"/>
        <v/>
      </c>
    </row>
    <row r="465" spans="2:2" x14ac:dyDescent="0.25">
      <c r="B465" t="str">
        <f t="shared" si="7"/>
        <v/>
      </c>
    </row>
    <row r="466" spans="2:2" x14ac:dyDescent="0.25">
      <c r="B466" t="str">
        <f t="shared" si="7"/>
        <v/>
      </c>
    </row>
    <row r="467" spans="2:2" x14ac:dyDescent="0.25">
      <c r="B467" t="str">
        <f t="shared" si="7"/>
        <v/>
      </c>
    </row>
    <row r="468" spans="2:2" x14ac:dyDescent="0.25">
      <c r="B468" t="str">
        <f t="shared" si="7"/>
        <v/>
      </c>
    </row>
    <row r="469" spans="2:2" x14ac:dyDescent="0.25">
      <c r="B469" t="str">
        <f t="shared" si="7"/>
        <v/>
      </c>
    </row>
    <row r="470" spans="2:2" x14ac:dyDescent="0.25">
      <c r="B470" t="str">
        <f t="shared" si="7"/>
        <v/>
      </c>
    </row>
    <row r="471" spans="2:2" x14ac:dyDescent="0.25">
      <c r="B471" t="str">
        <f t="shared" si="7"/>
        <v/>
      </c>
    </row>
    <row r="472" spans="2:2" x14ac:dyDescent="0.25">
      <c r="B472" t="str">
        <f t="shared" si="7"/>
        <v/>
      </c>
    </row>
    <row r="473" spans="2:2" x14ac:dyDescent="0.25">
      <c r="B473" t="str">
        <f t="shared" si="7"/>
        <v/>
      </c>
    </row>
    <row r="474" spans="2:2" x14ac:dyDescent="0.25">
      <c r="B474" t="str">
        <f t="shared" si="7"/>
        <v/>
      </c>
    </row>
    <row r="475" spans="2:2" x14ac:dyDescent="0.25">
      <c r="B475" t="str">
        <f t="shared" si="7"/>
        <v/>
      </c>
    </row>
    <row r="476" spans="2:2" x14ac:dyDescent="0.25">
      <c r="B476" t="str">
        <f t="shared" si="7"/>
        <v/>
      </c>
    </row>
    <row r="477" spans="2:2" x14ac:dyDescent="0.25">
      <c r="B477" t="str">
        <f t="shared" si="7"/>
        <v/>
      </c>
    </row>
    <row r="478" spans="2:2" x14ac:dyDescent="0.25">
      <c r="B478" t="str">
        <f t="shared" si="7"/>
        <v/>
      </c>
    </row>
    <row r="479" spans="2:2" x14ac:dyDescent="0.25">
      <c r="B479" t="str">
        <f t="shared" si="7"/>
        <v/>
      </c>
    </row>
    <row r="480" spans="2:2" x14ac:dyDescent="0.25">
      <c r="B480" t="str">
        <f t="shared" si="7"/>
        <v/>
      </c>
    </row>
    <row r="481" spans="2:2" x14ac:dyDescent="0.25">
      <c r="B481" t="str">
        <f t="shared" si="7"/>
        <v/>
      </c>
    </row>
    <row r="482" spans="2:2" x14ac:dyDescent="0.25">
      <c r="B482" t="str">
        <f t="shared" si="7"/>
        <v/>
      </c>
    </row>
    <row r="483" spans="2:2" x14ac:dyDescent="0.25">
      <c r="B483" t="str">
        <f t="shared" si="7"/>
        <v/>
      </c>
    </row>
    <row r="484" spans="2:2" x14ac:dyDescent="0.25">
      <c r="B484" t="str">
        <f t="shared" si="7"/>
        <v/>
      </c>
    </row>
    <row r="485" spans="2:2" x14ac:dyDescent="0.25">
      <c r="B485" t="str">
        <f t="shared" si="7"/>
        <v/>
      </c>
    </row>
    <row r="486" spans="2:2" x14ac:dyDescent="0.25">
      <c r="B486" t="str">
        <f t="shared" si="7"/>
        <v/>
      </c>
    </row>
    <row r="487" spans="2:2" x14ac:dyDescent="0.25">
      <c r="B487" t="str">
        <f t="shared" si="7"/>
        <v/>
      </c>
    </row>
    <row r="488" spans="2:2" x14ac:dyDescent="0.25">
      <c r="B488" t="str">
        <f t="shared" si="7"/>
        <v/>
      </c>
    </row>
    <row r="489" spans="2:2" x14ac:dyDescent="0.25">
      <c r="B489" t="str">
        <f t="shared" si="7"/>
        <v/>
      </c>
    </row>
    <row r="490" spans="2:2" x14ac:dyDescent="0.25">
      <c r="B490" t="str">
        <f t="shared" si="7"/>
        <v/>
      </c>
    </row>
    <row r="491" spans="2:2" x14ac:dyDescent="0.25">
      <c r="B491" t="str">
        <f t="shared" si="7"/>
        <v/>
      </c>
    </row>
    <row r="492" spans="2:2" x14ac:dyDescent="0.25">
      <c r="B492" t="str">
        <f t="shared" si="7"/>
        <v/>
      </c>
    </row>
    <row r="493" spans="2:2" x14ac:dyDescent="0.25">
      <c r="B493" t="str">
        <f t="shared" si="7"/>
        <v/>
      </c>
    </row>
    <row r="494" spans="2:2" x14ac:dyDescent="0.25">
      <c r="B494" t="str">
        <f t="shared" si="7"/>
        <v/>
      </c>
    </row>
    <row r="495" spans="2:2" x14ac:dyDescent="0.25">
      <c r="B495" t="str">
        <f t="shared" si="7"/>
        <v/>
      </c>
    </row>
    <row r="496" spans="2:2" x14ac:dyDescent="0.25">
      <c r="B496" t="str">
        <f t="shared" si="7"/>
        <v/>
      </c>
    </row>
    <row r="497" spans="2:2" x14ac:dyDescent="0.25">
      <c r="B497" t="str">
        <f t="shared" si="7"/>
        <v/>
      </c>
    </row>
    <row r="498" spans="2:2" x14ac:dyDescent="0.25">
      <c r="B498" t="str">
        <f t="shared" si="7"/>
        <v/>
      </c>
    </row>
    <row r="499" spans="2:2" x14ac:dyDescent="0.25">
      <c r="B499" t="str">
        <f t="shared" si="7"/>
        <v/>
      </c>
    </row>
    <row r="500" spans="2:2" x14ac:dyDescent="0.25">
      <c r="B500" t="str">
        <f t="shared" si="7"/>
        <v/>
      </c>
    </row>
    <row r="501" spans="2:2" x14ac:dyDescent="0.25">
      <c r="B501" t="str">
        <f t="shared" si="7"/>
        <v/>
      </c>
    </row>
    <row r="502" spans="2:2" x14ac:dyDescent="0.25">
      <c r="B502" t="str">
        <f t="shared" si="7"/>
        <v/>
      </c>
    </row>
    <row r="503" spans="2:2" x14ac:dyDescent="0.25">
      <c r="B503" t="str">
        <f t="shared" si="7"/>
        <v/>
      </c>
    </row>
    <row r="504" spans="2:2" x14ac:dyDescent="0.25">
      <c r="B504" t="str">
        <f t="shared" si="7"/>
        <v/>
      </c>
    </row>
    <row r="505" spans="2:2" x14ac:dyDescent="0.25">
      <c r="B505" t="str">
        <f t="shared" si="7"/>
        <v/>
      </c>
    </row>
    <row r="506" spans="2:2" x14ac:dyDescent="0.25">
      <c r="B506" t="str">
        <f t="shared" si="7"/>
        <v/>
      </c>
    </row>
    <row r="507" spans="2:2" x14ac:dyDescent="0.25">
      <c r="B507" t="str">
        <f t="shared" si="7"/>
        <v/>
      </c>
    </row>
    <row r="508" spans="2:2" x14ac:dyDescent="0.25">
      <c r="B508" t="str">
        <f t="shared" si="7"/>
        <v/>
      </c>
    </row>
    <row r="509" spans="2:2" x14ac:dyDescent="0.25">
      <c r="B509" t="str">
        <f t="shared" si="7"/>
        <v/>
      </c>
    </row>
    <row r="510" spans="2:2" x14ac:dyDescent="0.25">
      <c r="B510" t="str">
        <f t="shared" si="7"/>
        <v/>
      </c>
    </row>
    <row r="511" spans="2:2" x14ac:dyDescent="0.25">
      <c r="B511" t="str">
        <f t="shared" si="7"/>
        <v/>
      </c>
    </row>
    <row r="512" spans="2:2" x14ac:dyDescent="0.25">
      <c r="B512" t="str">
        <f t="shared" si="7"/>
        <v/>
      </c>
    </row>
    <row r="513" spans="2:2" x14ac:dyDescent="0.25">
      <c r="B513" t="str">
        <f t="shared" si="7"/>
        <v/>
      </c>
    </row>
    <row r="514" spans="2:2" x14ac:dyDescent="0.25">
      <c r="B514" t="str">
        <f t="shared" si="7"/>
        <v/>
      </c>
    </row>
    <row r="515" spans="2:2" x14ac:dyDescent="0.25">
      <c r="B515" t="str">
        <f t="shared" si="7"/>
        <v/>
      </c>
    </row>
    <row r="516" spans="2:2" x14ac:dyDescent="0.25">
      <c r="B516" t="str">
        <f t="shared" si="7"/>
        <v/>
      </c>
    </row>
    <row r="517" spans="2:2" x14ac:dyDescent="0.25">
      <c r="B517" t="str">
        <f t="shared" si="7"/>
        <v/>
      </c>
    </row>
    <row r="518" spans="2:2" x14ac:dyDescent="0.25">
      <c r="B518" t="str">
        <f t="shared" ref="B518:B581" si="8">IF(OR(C518="",C518="Grand Total"),"",1)</f>
        <v/>
      </c>
    </row>
    <row r="519" spans="2:2" x14ac:dyDescent="0.25">
      <c r="B519" t="str">
        <f t="shared" si="8"/>
        <v/>
      </c>
    </row>
    <row r="520" spans="2:2" x14ac:dyDescent="0.25">
      <c r="B520" t="str">
        <f t="shared" si="8"/>
        <v/>
      </c>
    </row>
    <row r="521" spans="2:2" x14ac:dyDescent="0.25">
      <c r="B521" t="str">
        <f t="shared" si="8"/>
        <v/>
      </c>
    </row>
    <row r="522" spans="2:2" x14ac:dyDescent="0.25">
      <c r="B522" t="str">
        <f t="shared" si="8"/>
        <v/>
      </c>
    </row>
    <row r="523" spans="2:2" x14ac:dyDescent="0.25">
      <c r="B523" t="str">
        <f t="shared" si="8"/>
        <v/>
      </c>
    </row>
    <row r="524" spans="2:2" x14ac:dyDescent="0.25">
      <c r="B524" t="str">
        <f t="shared" si="8"/>
        <v/>
      </c>
    </row>
    <row r="525" spans="2:2" x14ac:dyDescent="0.25">
      <c r="B525" t="str">
        <f t="shared" si="8"/>
        <v/>
      </c>
    </row>
    <row r="526" spans="2:2" x14ac:dyDescent="0.25">
      <c r="B526" t="str">
        <f t="shared" si="8"/>
        <v/>
      </c>
    </row>
    <row r="527" spans="2:2" x14ac:dyDescent="0.25">
      <c r="B527" t="str">
        <f t="shared" si="8"/>
        <v/>
      </c>
    </row>
    <row r="528" spans="2:2" x14ac:dyDescent="0.25">
      <c r="B528" t="str">
        <f t="shared" si="8"/>
        <v/>
      </c>
    </row>
    <row r="529" spans="2:2" x14ac:dyDescent="0.25">
      <c r="B529" t="str">
        <f t="shared" si="8"/>
        <v/>
      </c>
    </row>
    <row r="530" spans="2:2" x14ac:dyDescent="0.25">
      <c r="B530" t="str">
        <f t="shared" si="8"/>
        <v/>
      </c>
    </row>
    <row r="531" spans="2:2" x14ac:dyDescent="0.25">
      <c r="B531" t="str">
        <f t="shared" si="8"/>
        <v/>
      </c>
    </row>
    <row r="532" spans="2:2" x14ac:dyDescent="0.25">
      <c r="B532" t="str">
        <f t="shared" si="8"/>
        <v/>
      </c>
    </row>
    <row r="533" spans="2:2" x14ac:dyDescent="0.25">
      <c r="B533" t="str">
        <f t="shared" si="8"/>
        <v/>
      </c>
    </row>
    <row r="534" spans="2:2" x14ac:dyDescent="0.25">
      <c r="B534" t="str">
        <f t="shared" si="8"/>
        <v/>
      </c>
    </row>
    <row r="535" spans="2:2" x14ac:dyDescent="0.25">
      <c r="B535" t="str">
        <f t="shared" si="8"/>
        <v/>
      </c>
    </row>
    <row r="536" spans="2:2" x14ac:dyDescent="0.25">
      <c r="B536" t="str">
        <f t="shared" si="8"/>
        <v/>
      </c>
    </row>
    <row r="537" spans="2:2" x14ac:dyDescent="0.25">
      <c r="B537" t="str">
        <f t="shared" si="8"/>
        <v/>
      </c>
    </row>
    <row r="538" spans="2:2" x14ac:dyDescent="0.25">
      <c r="B538" t="str">
        <f t="shared" si="8"/>
        <v/>
      </c>
    </row>
    <row r="539" spans="2:2" x14ac:dyDescent="0.25">
      <c r="B539" t="str">
        <f t="shared" si="8"/>
        <v/>
      </c>
    </row>
    <row r="540" spans="2:2" x14ac:dyDescent="0.25">
      <c r="B540" t="str">
        <f t="shared" si="8"/>
        <v/>
      </c>
    </row>
    <row r="541" spans="2:2" x14ac:dyDescent="0.25">
      <c r="B541" t="str">
        <f t="shared" si="8"/>
        <v/>
      </c>
    </row>
    <row r="542" spans="2:2" x14ac:dyDescent="0.25">
      <c r="B542" t="str">
        <f t="shared" si="8"/>
        <v/>
      </c>
    </row>
    <row r="543" spans="2:2" x14ac:dyDescent="0.25">
      <c r="B543" t="str">
        <f t="shared" si="8"/>
        <v/>
      </c>
    </row>
    <row r="544" spans="2:2" x14ac:dyDescent="0.25">
      <c r="B544" t="str">
        <f t="shared" si="8"/>
        <v/>
      </c>
    </row>
    <row r="545" spans="2:2" x14ac:dyDescent="0.25">
      <c r="B545" t="str">
        <f t="shared" si="8"/>
        <v/>
      </c>
    </row>
    <row r="546" spans="2:2" x14ac:dyDescent="0.25">
      <c r="B546" t="str">
        <f t="shared" si="8"/>
        <v/>
      </c>
    </row>
    <row r="547" spans="2:2" x14ac:dyDescent="0.25">
      <c r="B547" t="str">
        <f t="shared" si="8"/>
        <v/>
      </c>
    </row>
    <row r="548" spans="2:2" x14ac:dyDescent="0.25">
      <c r="B548" t="str">
        <f t="shared" si="8"/>
        <v/>
      </c>
    </row>
    <row r="549" spans="2:2" x14ac:dyDescent="0.25">
      <c r="B549" t="str">
        <f t="shared" si="8"/>
        <v/>
      </c>
    </row>
    <row r="550" spans="2:2" x14ac:dyDescent="0.25">
      <c r="B550" t="str">
        <f t="shared" si="8"/>
        <v/>
      </c>
    </row>
    <row r="551" spans="2:2" x14ac:dyDescent="0.25">
      <c r="B551" t="str">
        <f t="shared" si="8"/>
        <v/>
      </c>
    </row>
    <row r="552" spans="2:2" x14ac:dyDescent="0.25">
      <c r="B552" t="str">
        <f t="shared" si="8"/>
        <v/>
      </c>
    </row>
    <row r="553" spans="2:2" x14ac:dyDescent="0.25">
      <c r="B553" t="str">
        <f t="shared" si="8"/>
        <v/>
      </c>
    </row>
    <row r="554" spans="2:2" x14ac:dyDescent="0.25">
      <c r="B554" t="str">
        <f t="shared" si="8"/>
        <v/>
      </c>
    </row>
    <row r="555" spans="2:2" x14ac:dyDescent="0.25">
      <c r="B555" t="str">
        <f t="shared" si="8"/>
        <v/>
      </c>
    </row>
    <row r="556" spans="2:2" x14ac:dyDescent="0.25">
      <c r="B556" t="str">
        <f t="shared" si="8"/>
        <v/>
      </c>
    </row>
    <row r="557" spans="2:2" x14ac:dyDescent="0.25">
      <c r="B557" t="str">
        <f t="shared" si="8"/>
        <v/>
      </c>
    </row>
    <row r="558" spans="2:2" x14ac:dyDescent="0.25">
      <c r="B558" t="str">
        <f t="shared" si="8"/>
        <v/>
      </c>
    </row>
    <row r="559" spans="2:2" x14ac:dyDescent="0.25">
      <c r="B559" t="str">
        <f t="shared" si="8"/>
        <v/>
      </c>
    </row>
    <row r="560" spans="2:2" x14ac:dyDescent="0.25">
      <c r="B560" t="str">
        <f t="shared" si="8"/>
        <v/>
      </c>
    </row>
    <row r="561" spans="2:2" x14ac:dyDescent="0.25">
      <c r="B561" t="str">
        <f t="shared" si="8"/>
        <v/>
      </c>
    </row>
    <row r="562" spans="2:2" x14ac:dyDescent="0.25">
      <c r="B562" t="str">
        <f t="shared" si="8"/>
        <v/>
      </c>
    </row>
    <row r="563" spans="2:2" x14ac:dyDescent="0.25">
      <c r="B563" t="str">
        <f t="shared" si="8"/>
        <v/>
      </c>
    </row>
    <row r="564" spans="2:2" x14ac:dyDescent="0.25">
      <c r="B564" t="str">
        <f t="shared" si="8"/>
        <v/>
      </c>
    </row>
    <row r="565" spans="2:2" x14ac:dyDescent="0.25">
      <c r="B565" t="str">
        <f t="shared" si="8"/>
        <v/>
      </c>
    </row>
    <row r="566" spans="2:2" x14ac:dyDescent="0.25">
      <c r="B566" t="str">
        <f t="shared" si="8"/>
        <v/>
      </c>
    </row>
    <row r="567" spans="2:2" x14ac:dyDescent="0.25">
      <c r="B567" t="str">
        <f t="shared" si="8"/>
        <v/>
      </c>
    </row>
    <row r="568" spans="2:2" x14ac:dyDescent="0.25">
      <c r="B568" t="str">
        <f t="shared" si="8"/>
        <v/>
      </c>
    </row>
    <row r="569" spans="2:2" x14ac:dyDescent="0.25">
      <c r="B569" t="str">
        <f t="shared" si="8"/>
        <v/>
      </c>
    </row>
    <row r="570" spans="2:2" x14ac:dyDescent="0.25">
      <c r="B570" t="str">
        <f t="shared" si="8"/>
        <v/>
      </c>
    </row>
    <row r="571" spans="2:2" x14ac:dyDescent="0.25">
      <c r="B571" t="str">
        <f t="shared" si="8"/>
        <v/>
      </c>
    </row>
    <row r="572" spans="2:2" x14ac:dyDescent="0.25">
      <c r="B572" t="str">
        <f t="shared" si="8"/>
        <v/>
      </c>
    </row>
    <row r="573" spans="2:2" x14ac:dyDescent="0.25">
      <c r="B573" t="str">
        <f t="shared" si="8"/>
        <v/>
      </c>
    </row>
    <row r="574" spans="2:2" x14ac:dyDescent="0.25">
      <c r="B574" t="str">
        <f t="shared" si="8"/>
        <v/>
      </c>
    </row>
    <row r="575" spans="2:2" x14ac:dyDescent="0.25">
      <c r="B575" t="str">
        <f t="shared" si="8"/>
        <v/>
      </c>
    </row>
    <row r="576" spans="2:2" x14ac:dyDescent="0.25">
      <c r="B576" t="str">
        <f t="shared" si="8"/>
        <v/>
      </c>
    </row>
    <row r="577" spans="2:2" x14ac:dyDescent="0.25">
      <c r="B577" t="str">
        <f t="shared" si="8"/>
        <v/>
      </c>
    </row>
    <row r="578" spans="2:2" x14ac:dyDescent="0.25">
      <c r="B578" t="str">
        <f t="shared" si="8"/>
        <v/>
      </c>
    </row>
    <row r="579" spans="2:2" x14ac:dyDescent="0.25">
      <c r="B579" t="str">
        <f t="shared" si="8"/>
        <v/>
      </c>
    </row>
    <row r="580" spans="2:2" x14ac:dyDescent="0.25">
      <c r="B580" t="str">
        <f t="shared" si="8"/>
        <v/>
      </c>
    </row>
    <row r="581" spans="2:2" x14ac:dyDescent="0.25">
      <c r="B581" t="str">
        <f t="shared" si="8"/>
        <v/>
      </c>
    </row>
    <row r="582" spans="2:2" x14ac:dyDescent="0.25">
      <c r="B582" t="str">
        <f t="shared" ref="B582:B645" si="9">IF(OR(C582="",C582="Grand Total"),"",1)</f>
        <v/>
      </c>
    </row>
    <row r="583" spans="2:2" x14ac:dyDescent="0.25">
      <c r="B583" t="str">
        <f t="shared" si="9"/>
        <v/>
      </c>
    </row>
    <row r="584" spans="2:2" x14ac:dyDescent="0.25">
      <c r="B584" t="str">
        <f t="shared" si="9"/>
        <v/>
      </c>
    </row>
    <row r="585" spans="2:2" x14ac:dyDescent="0.25">
      <c r="B585" t="str">
        <f t="shared" si="9"/>
        <v/>
      </c>
    </row>
    <row r="586" spans="2:2" x14ac:dyDescent="0.25">
      <c r="B586" t="str">
        <f t="shared" si="9"/>
        <v/>
      </c>
    </row>
    <row r="587" spans="2:2" x14ac:dyDescent="0.25">
      <c r="B587" t="str">
        <f t="shared" si="9"/>
        <v/>
      </c>
    </row>
    <row r="588" spans="2:2" x14ac:dyDescent="0.25">
      <c r="B588" t="str">
        <f t="shared" si="9"/>
        <v/>
      </c>
    </row>
    <row r="589" spans="2:2" x14ac:dyDescent="0.25">
      <c r="B589" t="str">
        <f t="shared" si="9"/>
        <v/>
      </c>
    </row>
    <row r="590" spans="2:2" x14ac:dyDescent="0.25">
      <c r="B590" t="str">
        <f t="shared" si="9"/>
        <v/>
      </c>
    </row>
    <row r="591" spans="2:2" x14ac:dyDescent="0.25">
      <c r="B591" t="str">
        <f t="shared" si="9"/>
        <v/>
      </c>
    </row>
    <row r="592" spans="2:2" x14ac:dyDescent="0.25">
      <c r="B592" t="str">
        <f t="shared" si="9"/>
        <v/>
      </c>
    </row>
    <row r="593" spans="2:2" x14ac:dyDescent="0.25">
      <c r="B593" t="str">
        <f t="shared" si="9"/>
        <v/>
      </c>
    </row>
    <row r="594" spans="2:2" x14ac:dyDescent="0.25">
      <c r="B594" t="str">
        <f t="shared" si="9"/>
        <v/>
      </c>
    </row>
    <row r="595" spans="2:2" x14ac:dyDescent="0.25">
      <c r="B595" t="str">
        <f t="shared" si="9"/>
        <v/>
      </c>
    </row>
    <row r="596" spans="2:2" x14ac:dyDescent="0.25">
      <c r="B596" t="str">
        <f t="shared" si="9"/>
        <v/>
      </c>
    </row>
    <row r="597" spans="2:2" x14ac:dyDescent="0.25">
      <c r="B597" t="str">
        <f t="shared" si="9"/>
        <v/>
      </c>
    </row>
    <row r="598" spans="2:2" x14ac:dyDescent="0.25">
      <c r="B598" t="str">
        <f t="shared" si="9"/>
        <v/>
      </c>
    </row>
    <row r="599" spans="2:2" x14ac:dyDescent="0.25">
      <c r="B599" t="str">
        <f t="shared" si="9"/>
        <v/>
      </c>
    </row>
    <row r="600" spans="2:2" x14ac:dyDescent="0.25">
      <c r="B600" t="str">
        <f t="shared" si="9"/>
        <v/>
      </c>
    </row>
    <row r="601" spans="2:2" x14ac:dyDescent="0.25">
      <c r="B601" t="str">
        <f t="shared" si="9"/>
        <v/>
      </c>
    </row>
    <row r="602" spans="2:2" x14ac:dyDescent="0.25">
      <c r="B602" t="str">
        <f t="shared" si="9"/>
        <v/>
      </c>
    </row>
    <row r="603" spans="2:2" x14ac:dyDescent="0.25">
      <c r="B603" t="str">
        <f t="shared" si="9"/>
        <v/>
      </c>
    </row>
    <row r="604" spans="2:2" x14ac:dyDescent="0.25">
      <c r="B604" t="str">
        <f t="shared" si="9"/>
        <v/>
      </c>
    </row>
    <row r="605" spans="2:2" x14ac:dyDescent="0.25">
      <c r="B605" t="str">
        <f t="shared" si="9"/>
        <v/>
      </c>
    </row>
    <row r="606" spans="2:2" x14ac:dyDescent="0.25">
      <c r="B606" t="str">
        <f t="shared" si="9"/>
        <v/>
      </c>
    </row>
    <row r="607" spans="2:2" x14ac:dyDescent="0.25">
      <c r="B607" t="str">
        <f t="shared" si="9"/>
        <v/>
      </c>
    </row>
    <row r="608" spans="2:2" x14ac:dyDescent="0.25">
      <c r="B608" t="str">
        <f t="shared" si="9"/>
        <v/>
      </c>
    </row>
    <row r="609" spans="2:2" x14ac:dyDescent="0.25">
      <c r="B609" t="str">
        <f t="shared" si="9"/>
        <v/>
      </c>
    </row>
    <row r="610" spans="2:2" x14ac:dyDescent="0.25">
      <c r="B610" t="str">
        <f t="shared" si="9"/>
        <v/>
      </c>
    </row>
    <row r="611" spans="2:2" x14ac:dyDescent="0.25">
      <c r="B611" t="str">
        <f t="shared" si="9"/>
        <v/>
      </c>
    </row>
    <row r="612" spans="2:2" x14ac:dyDescent="0.25">
      <c r="B612" t="str">
        <f t="shared" si="9"/>
        <v/>
      </c>
    </row>
    <row r="613" spans="2:2" x14ac:dyDescent="0.25">
      <c r="B613" t="str">
        <f t="shared" si="9"/>
        <v/>
      </c>
    </row>
    <row r="614" spans="2:2" x14ac:dyDescent="0.25">
      <c r="B614" t="str">
        <f t="shared" si="9"/>
        <v/>
      </c>
    </row>
    <row r="615" spans="2:2" x14ac:dyDescent="0.25">
      <c r="B615" t="str">
        <f t="shared" si="9"/>
        <v/>
      </c>
    </row>
    <row r="616" spans="2:2" x14ac:dyDescent="0.25">
      <c r="B616" t="str">
        <f t="shared" si="9"/>
        <v/>
      </c>
    </row>
    <row r="617" spans="2:2" x14ac:dyDescent="0.25">
      <c r="B617" t="str">
        <f t="shared" si="9"/>
        <v/>
      </c>
    </row>
    <row r="618" spans="2:2" x14ac:dyDescent="0.25">
      <c r="B618" t="str">
        <f t="shared" si="9"/>
        <v/>
      </c>
    </row>
    <row r="619" spans="2:2" x14ac:dyDescent="0.25">
      <c r="B619" t="str">
        <f t="shared" si="9"/>
        <v/>
      </c>
    </row>
    <row r="620" spans="2:2" x14ac:dyDescent="0.25">
      <c r="B620" t="str">
        <f t="shared" si="9"/>
        <v/>
      </c>
    </row>
    <row r="621" spans="2:2" x14ac:dyDescent="0.25">
      <c r="B621" t="str">
        <f t="shared" si="9"/>
        <v/>
      </c>
    </row>
    <row r="622" spans="2:2" x14ac:dyDescent="0.25">
      <c r="B622" t="str">
        <f t="shared" si="9"/>
        <v/>
      </c>
    </row>
    <row r="623" spans="2:2" x14ac:dyDescent="0.25">
      <c r="B623" t="str">
        <f t="shared" si="9"/>
        <v/>
      </c>
    </row>
    <row r="624" spans="2:2" x14ac:dyDescent="0.25">
      <c r="B624" t="str">
        <f t="shared" si="9"/>
        <v/>
      </c>
    </row>
    <row r="625" spans="2:2" x14ac:dyDescent="0.25">
      <c r="B625" t="str">
        <f t="shared" si="9"/>
        <v/>
      </c>
    </row>
    <row r="626" spans="2:2" x14ac:dyDescent="0.25">
      <c r="B626" t="str">
        <f t="shared" si="9"/>
        <v/>
      </c>
    </row>
    <row r="627" spans="2:2" x14ac:dyDescent="0.25">
      <c r="B627" t="str">
        <f t="shared" si="9"/>
        <v/>
      </c>
    </row>
    <row r="628" spans="2:2" x14ac:dyDescent="0.25">
      <c r="B628" t="str">
        <f t="shared" si="9"/>
        <v/>
      </c>
    </row>
    <row r="629" spans="2:2" x14ac:dyDescent="0.25">
      <c r="B629" t="str">
        <f t="shared" si="9"/>
        <v/>
      </c>
    </row>
    <row r="630" spans="2:2" x14ac:dyDescent="0.25">
      <c r="B630" t="str">
        <f t="shared" si="9"/>
        <v/>
      </c>
    </row>
    <row r="631" spans="2:2" x14ac:dyDescent="0.25">
      <c r="B631" t="str">
        <f t="shared" si="9"/>
        <v/>
      </c>
    </row>
    <row r="632" spans="2:2" x14ac:dyDescent="0.25">
      <c r="B632" t="str">
        <f t="shared" si="9"/>
        <v/>
      </c>
    </row>
    <row r="633" spans="2:2" x14ac:dyDescent="0.25">
      <c r="B633" t="str">
        <f t="shared" si="9"/>
        <v/>
      </c>
    </row>
    <row r="634" spans="2:2" x14ac:dyDescent="0.25">
      <c r="B634" t="str">
        <f t="shared" si="9"/>
        <v/>
      </c>
    </row>
    <row r="635" spans="2:2" x14ac:dyDescent="0.25">
      <c r="B635" t="str">
        <f t="shared" si="9"/>
        <v/>
      </c>
    </row>
    <row r="636" spans="2:2" x14ac:dyDescent="0.25">
      <c r="B636" t="str">
        <f t="shared" si="9"/>
        <v/>
      </c>
    </row>
    <row r="637" spans="2:2" x14ac:dyDescent="0.25">
      <c r="B637" t="str">
        <f t="shared" si="9"/>
        <v/>
      </c>
    </row>
    <row r="638" spans="2:2" x14ac:dyDescent="0.25">
      <c r="B638" t="str">
        <f t="shared" si="9"/>
        <v/>
      </c>
    </row>
    <row r="639" spans="2:2" x14ac:dyDescent="0.25">
      <c r="B639" t="str">
        <f t="shared" si="9"/>
        <v/>
      </c>
    </row>
    <row r="640" spans="2:2" x14ac:dyDescent="0.25">
      <c r="B640" t="str">
        <f t="shared" si="9"/>
        <v/>
      </c>
    </row>
    <row r="641" spans="2:2" x14ac:dyDescent="0.25">
      <c r="B641" t="str">
        <f t="shared" si="9"/>
        <v/>
      </c>
    </row>
    <row r="642" spans="2:2" x14ac:dyDescent="0.25">
      <c r="B642" t="str">
        <f t="shared" si="9"/>
        <v/>
      </c>
    </row>
    <row r="643" spans="2:2" x14ac:dyDescent="0.25">
      <c r="B643" t="str">
        <f t="shared" si="9"/>
        <v/>
      </c>
    </row>
    <row r="644" spans="2:2" x14ac:dyDescent="0.25">
      <c r="B644" t="str">
        <f t="shared" si="9"/>
        <v/>
      </c>
    </row>
    <row r="645" spans="2:2" x14ac:dyDescent="0.25">
      <c r="B645" t="str">
        <f t="shared" si="9"/>
        <v/>
      </c>
    </row>
    <row r="646" spans="2:2" x14ac:dyDescent="0.25">
      <c r="B646" t="str">
        <f t="shared" ref="B646:B709" si="10">IF(OR(C646="",C646="Grand Total"),"",1)</f>
        <v/>
      </c>
    </row>
    <row r="647" spans="2:2" x14ac:dyDescent="0.25">
      <c r="B647" t="str">
        <f t="shared" si="10"/>
        <v/>
      </c>
    </row>
    <row r="648" spans="2:2" x14ac:dyDescent="0.25">
      <c r="B648" t="str">
        <f t="shared" si="10"/>
        <v/>
      </c>
    </row>
    <row r="649" spans="2:2" x14ac:dyDescent="0.25">
      <c r="B649" t="str">
        <f t="shared" si="10"/>
        <v/>
      </c>
    </row>
    <row r="650" spans="2:2" x14ac:dyDescent="0.25">
      <c r="B650" t="str">
        <f t="shared" si="10"/>
        <v/>
      </c>
    </row>
    <row r="651" spans="2:2" x14ac:dyDescent="0.25">
      <c r="B651" t="str">
        <f t="shared" si="10"/>
        <v/>
      </c>
    </row>
    <row r="652" spans="2:2" x14ac:dyDescent="0.25">
      <c r="B652" t="str">
        <f t="shared" si="10"/>
        <v/>
      </c>
    </row>
    <row r="653" spans="2:2" x14ac:dyDescent="0.25">
      <c r="B653" t="str">
        <f t="shared" si="10"/>
        <v/>
      </c>
    </row>
    <row r="654" spans="2:2" x14ac:dyDescent="0.25">
      <c r="B654" t="str">
        <f t="shared" si="10"/>
        <v/>
      </c>
    </row>
    <row r="655" spans="2:2" x14ac:dyDescent="0.25">
      <c r="B655" t="str">
        <f t="shared" si="10"/>
        <v/>
      </c>
    </row>
    <row r="656" spans="2:2" x14ac:dyDescent="0.25">
      <c r="B656" t="str">
        <f t="shared" si="10"/>
        <v/>
      </c>
    </row>
    <row r="657" spans="2:2" x14ac:dyDescent="0.25">
      <c r="B657" t="str">
        <f t="shared" si="10"/>
        <v/>
      </c>
    </row>
    <row r="658" spans="2:2" x14ac:dyDescent="0.25">
      <c r="B658" t="str">
        <f t="shared" si="10"/>
        <v/>
      </c>
    </row>
    <row r="659" spans="2:2" x14ac:dyDescent="0.25">
      <c r="B659" t="str">
        <f t="shared" si="10"/>
        <v/>
      </c>
    </row>
    <row r="660" spans="2:2" x14ac:dyDescent="0.25">
      <c r="B660" t="str">
        <f t="shared" si="10"/>
        <v/>
      </c>
    </row>
    <row r="661" spans="2:2" x14ac:dyDescent="0.25">
      <c r="B661" t="str">
        <f t="shared" si="10"/>
        <v/>
      </c>
    </row>
    <row r="662" spans="2:2" x14ac:dyDescent="0.25">
      <c r="B662" t="str">
        <f t="shared" si="10"/>
        <v/>
      </c>
    </row>
    <row r="663" spans="2:2" x14ac:dyDescent="0.25">
      <c r="B663" t="str">
        <f t="shared" si="10"/>
        <v/>
      </c>
    </row>
    <row r="664" spans="2:2" x14ac:dyDescent="0.25">
      <c r="B664" t="str">
        <f t="shared" si="10"/>
        <v/>
      </c>
    </row>
    <row r="665" spans="2:2" x14ac:dyDescent="0.25">
      <c r="B665" t="str">
        <f t="shared" si="10"/>
        <v/>
      </c>
    </row>
    <row r="666" spans="2:2" x14ac:dyDescent="0.25">
      <c r="B666" t="str">
        <f t="shared" si="10"/>
        <v/>
      </c>
    </row>
    <row r="667" spans="2:2" x14ac:dyDescent="0.25">
      <c r="B667" t="str">
        <f t="shared" si="10"/>
        <v/>
      </c>
    </row>
    <row r="668" spans="2:2" x14ac:dyDescent="0.25">
      <c r="B668" t="str">
        <f t="shared" si="10"/>
        <v/>
      </c>
    </row>
    <row r="669" spans="2:2" x14ac:dyDescent="0.25">
      <c r="B669" t="str">
        <f t="shared" si="10"/>
        <v/>
      </c>
    </row>
    <row r="670" spans="2:2" x14ac:dyDescent="0.25">
      <c r="B670" t="str">
        <f t="shared" si="10"/>
        <v/>
      </c>
    </row>
    <row r="671" spans="2:2" x14ac:dyDescent="0.25">
      <c r="B671" t="str">
        <f t="shared" si="10"/>
        <v/>
      </c>
    </row>
    <row r="672" spans="2:2" x14ac:dyDescent="0.25">
      <c r="B672" t="str">
        <f t="shared" si="10"/>
        <v/>
      </c>
    </row>
    <row r="673" spans="2:2" x14ac:dyDescent="0.25">
      <c r="B673" t="str">
        <f t="shared" si="10"/>
        <v/>
      </c>
    </row>
    <row r="674" spans="2:2" x14ac:dyDescent="0.25">
      <c r="B674" t="str">
        <f t="shared" si="10"/>
        <v/>
      </c>
    </row>
    <row r="675" spans="2:2" x14ac:dyDescent="0.25">
      <c r="B675" t="str">
        <f t="shared" si="10"/>
        <v/>
      </c>
    </row>
    <row r="676" spans="2:2" x14ac:dyDescent="0.25">
      <c r="B676" t="str">
        <f t="shared" si="10"/>
        <v/>
      </c>
    </row>
    <row r="677" spans="2:2" x14ac:dyDescent="0.25">
      <c r="B677" t="str">
        <f t="shared" si="10"/>
        <v/>
      </c>
    </row>
    <row r="678" spans="2:2" x14ac:dyDescent="0.25">
      <c r="B678" t="str">
        <f t="shared" si="10"/>
        <v/>
      </c>
    </row>
    <row r="679" spans="2:2" x14ac:dyDescent="0.25">
      <c r="B679" t="str">
        <f t="shared" si="10"/>
        <v/>
      </c>
    </row>
    <row r="680" spans="2:2" x14ac:dyDescent="0.25">
      <c r="B680" t="str">
        <f t="shared" si="10"/>
        <v/>
      </c>
    </row>
    <row r="681" spans="2:2" x14ac:dyDescent="0.25">
      <c r="B681" t="str">
        <f t="shared" si="10"/>
        <v/>
      </c>
    </row>
    <row r="682" spans="2:2" x14ac:dyDescent="0.25">
      <c r="B682" t="str">
        <f t="shared" si="10"/>
        <v/>
      </c>
    </row>
    <row r="683" spans="2:2" x14ac:dyDescent="0.25">
      <c r="B683" t="str">
        <f t="shared" si="10"/>
        <v/>
      </c>
    </row>
    <row r="684" spans="2:2" x14ac:dyDescent="0.25">
      <c r="B684" t="str">
        <f t="shared" si="10"/>
        <v/>
      </c>
    </row>
    <row r="685" spans="2:2" x14ac:dyDescent="0.25">
      <c r="B685" t="str">
        <f t="shared" si="10"/>
        <v/>
      </c>
    </row>
    <row r="686" spans="2:2" x14ac:dyDescent="0.25">
      <c r="B686" t="str">
        <f t="shared" si="10"/>
        <v/>
      </c>
    </row>
    <row r="687" spans="2:2" x14ac:dyDescent="0.25">
      <c r="B687" t="str">
        <f t="shared" si="10"/>
        <v/>
      </c>
    </row>
    <row r="688" spans="2:2" x14ac:dyDescent="0.25">
      <c r="B688" t="str">
        <f t="shared" si="10"/>
        <v/>
      </c>
    </row>
    <row r="689" spans="2:2" x14ac:dyDescent="0.25">
      <c r="B689" t="str">
        <f t="shared" si="10"/>
        <v/>
      </c>
    </row>
    <row r="690" spans="2:2" x14ac:dyDescent="0.25">
      <c r="B690" t="str">
        <f t="shared" si="10"/>
        <v/>
      </c>
    </row>
    <row r="691" spans="2:2" x14ac:dyDescent="0.25">
      <c r="B691" t="str">
        <f t="shared" si="10"/>
        <v/>
      </c>
    </row>
    <row r="692" spans="2:2" x14ac:dyDescent="0.25">
      <c r="B692" t="str">
        <f t="shared" si="10"/>
        <v/>
      </c>
    </row>
    <row r="693" spans="2:2" x14ac:dyDescent="0.25">
      <c r="B693" t="str">
        <f t="shared" si="10"/>
        <v/>
      </c>
    </row>
    <row r="694" spans="2:2" x14ac:dyDescent="0.25">
      <c r="B694" t="str">
        <f t="shared" si="10"/>
        <v/>
      </c>
    </row>
    <row r="695" spans="2:2" x14ac:dyDescent="0.25">
      <c r="B695" t="str">
        <f t="shared" si="10"/>
        <v/>
      </c>
    </row>
    <row r="696" spans="2:2" x14ac:dyDescent="0.25">
      <c r="B696" t="str">
        <f t="shared" si="10"/>
        <v/>
      </c>
    </row>
    <row r="697" spans="2:2" x14ac:dyDescent="0.25">
      <c r="B697" t="str">
        <f t="shared" si="10"/>
        <v/>
      </c>
    </row>
    <row r="698" spans="2:2" x14ac:dyDescent="0.25">
      <c r="B698" t="str">
        <f t="shared" si="10"/>
        <v/>
      </c>
    </row>
    <row r="699" spans="2:2" x14ac:dyDescent="0.25">
      <c r="B699" t="str">
        <f t="shared" si="10"/>
        <v/>
      </c>
    </row>
    <row r="700" spans="2:2" x14ac:dyDescent="0.25">
      <c r="B700" t="str">
        <f t="shared" si="10"/>
        <v/>
      </c>
    </row>
    <row r="701" spans="2:2" x14ac:dyDescent="0.25">
      <c r="B701" t="str">
        <f t="shared" si="10"/>
        <v/>
      </c>
    </row>
    <row r="702" spans="2:2" x14ac:dyDescent="0.25">
      <c r="B702" t="str">
        <f t="shared" si="10"/>
        <v/>
      </c>
    </row>
    <row r="703" spans="2:2" x14ac:dyDescent="0.25">
      <c r="B703" t="str">
        <f t="shared" si="10"/>
        <v/>
      </c>
    </row>
    <row r="704" spans="2:2" x14ac:dyDescent="0.25">
      <c r="B704" t="str">
        <f t="shared" si="10"/>
        <v/>
      </c>
    </row>
    <row r="705" spans="2:2" x14ac:dyDescent="0.25">
      <c r="B705" t="str">
        <f t="shared" si="10"/>
        <v/>
      </c>
    </row>
    <row r="706" spans="2:2" x14ac:dyDescent="0.25">
      <c r="B706" t="str">
        <f t="shared" si="10"/>
        <v/>
      </c>
    </row>
    <row r="707" spans="2:2" x14ac:dyDescent="0.25">
      <c r="B707" t="str">
        <f t="shared" si="10"/>
        <v/>
      </c>
    </row>
    <row r="708" spans="2:2" x14ac:dyDescent="0.25">
      <c r="B708" t="str">
        <f t="shared" si="10"/>
        <v/>
      </c>
    </row>
    <row r="709" spans="2:2" x14ac:dyDescent="0.25">
      <c r="B709" t="str">
        <f t="shared" si="10"/>
        <v/>
      </c>
    </row>
    <row r="710" spans="2:2" x14ac:dyDescent="0.25">
      <c r="B710" t="str">
        <f t="shared" ref="B710:B773" si="11">IF(OR(C710="",C710="Grand Total"),"",1)</f>
        <v/>
      </c>
    </row>
    <row r="711" spans="2:2" x14ac:dyDescent="0.25">
      <c r="B711" t="str">
        <f t="shared" si="11"/>
        <v/>
      </c>
    </row>
    <row r="712" spans="2:2" x14ac:dyDescent="0.25">
      <c r="B712" t="str">
        <f t="shared" si="11"/>
        <v/>
      </c>
    </row>
    <row r="713" spans="2:2" x14ac:dyDescent="0.25">
      <c r="B713" t="str">
        <f t="shared" si="11"/>
        <v/>
      </c>
    </row>
    <row r="714" spans="2:2" x14ac:dyDescent="0.25">
      <c r="B714" t="str">
        <f t="shared" si="11"/>
        <v/>
      </c>
    </row>
    <row r="715" spans="2:2" x14ac:dyDescent="0.25">
      <c r="B715" t="str">
        <f t="shared" si="11"/>
        <v/>
      </c>
    </row>
    <row r="716" spans="2:2" x14ac:dyDescent="0.25">
      <c r="B716" t="str">
        <f t="shared" si="11"/>
        <v/>
      </c>
    </row>
    <row r="717" spans="2:2" x14ac:dyDescent="0.25">
      <c r="B717" t="str">
        <f t="shared" si="11"/>
        <v/>
      </c>
    </row>
    <row r="718" spans="2:2" x14ac:dyDescent="0.25">
      <c r="B718" t="str">
        <f t="shared" si="11"/>
        <v/>
      </c>
    </row>
    <row r="719" spans="2:2" x14ac:dyDescent="0.25">
      <c r="B719" t="str">
        <f t="shared" si="11"/>
        <v/>
      </c>
    </row>
    <row r="720" spans="2:2" x14ac:dyDescent="0.25">
      <c r="B720" t="str">
        <f t="shared" si="11"/>
        <v/>
      </c>
    </row>
    <row r="721" spans="2:2" x14ac:dyDescent="0.25">
      <c r="B721" t="str">
        <f t="shared" si="11"/>
        <v/>
      </c>
    </row>
    <row r="722" spans="2:2" x14ac:dyDescent="0.25">
      <c r="B722" t="str">
        <f t="shared" si="11"/>
        <v/>
      </c>
    </row>
    <row r="723" spans="2:2" x14ac:dyDescent="0.25">
      <c r="B723" t="str">
        <f t="shared" si="11"/>
        <v/>
      </c>
    </row>
    <row r="724" spans="2:2" x14ac:dyDescent="0.25">
      <c r="B724" t="str">
        <f t="shared" si="11"/>
        <v/>
      </c>
    </row>
    <row r="725" spans="2:2" x14ac:dyDescent="0.25">
      <c r="B725" t="str">
        <f t="shared" si="11"/>
        <v/>
      </c>
    </row>
    <row r="726" spans="2:2" x14ac:dyDescent="0.25">
      <c r="B726" t="str">
        <f t="shared" si="11"/>
        <v/>
      </c>
    </row>
    <row r="727" spans="2:2" x14ac:dyDescent="0.25">
      <c r="B727" t="str">
        <f t="shared" si="11"/>
        <v/>
      </c>
    </row>
    <row r="728" spans="2:2" x14ac:dyDescent="0.25">
      <c r="B728" t="str">
        <f t="shared" si="11"/>
        <v/>
      </c>
    </row>
    <row r="729" spans="2:2" x14ac:dyDescent="0.25">
      <c r="B729" t="str">
        <f t="shared" si="11"/>
        <v/>
      </c>
    </row>
    <row r="730" spans="2:2" x14ac:dyDescent="0.25">
      <c r="B730" t="str">
        <f t="shared" si="11"/>
        <v/>
      </c>
    </row>
    <row r="731" spans="2:2" x14ac:dyDescent="0.25">
      <c r="B731" t="str">
        <f t="shared" si="11"/>
        <v/>
      </c>
    </row>
    <row r="732" spans="2:2" x14ac:dyDescent="0.25">
      <c r="B732" t="str">
        <f t="shared" si="11"/>
        <v/>
      </c>
    </row>
    <row r="733" spans="2:2" x14ac:dyDescent="0.25">
      <c r="B733" t="str">
        <f t="shared" si="11"/>
        <v/>
      </c>
    </row>
    <row r="734" spans="2:2" x14ac:dyDescent="0.25">
      <c r="B734" t="str">
        <f t="shared" si="11"/>
        <v/>
      </c>
    </row>
    <row r="735" spans="2:2" x14ac:dyDescent="0.25">
      <c r="B735" t="str">
        <f t="shared" si="11"/>
        <v/>
      </c>
    </row>
    <row r="736" spans="2:2" x14ac:dyDescent="0.25">
      <c r="B736" t="str">
        <f t="shared" si="11"/>
        <v/>
      </c>
    </row>
    <row r="737" spans="2:2" x14ac:dyDescent="0.25">
      <c r="B737" t="str">
        <f t="shared" si="11"/>
        <v/>
      </c>
    </row>
    <row r="738" spans="2:2" x14ac:dyDescent="0.25">
      <c r="B738" t="str">
        <f t="shared" si="11"/>
        <v/>
      </c>
    </row>
    <row r="739" spans="2:2" x14ac:dyDescent="0.25">
      <c r="B739" t="str">
        <f t="shared" si="11"/>
        <v/>
      </c>
    </row>
    <row r="740" spans="2:2" x14ac:dyDescent="0.25">
      <c r="B740" t="str">
        <f t="shared" si="11"/>
        <v/>
      </c>
    </row>
    <row r="741" spans="2:2" x14ac:dyDescent="0.25">
      <c r="B741" t="str">
        <f t="shared" si="11"/>
        <v/>
      </c>
    </row>
    <row r="742" spans="2:2" x14ac:dyDescent="0.25">
      <c r="B742" t="str">
        <f t="shared" si="11"/>
        <v/>
      </c>
    </row>
    <row r="743" spans="2:2" x14ac:dyDescent="0.25">
      <c r="B743" t="str">
        <f t="shared" si="11"/>
        <v/>
      </c>
    </row>
    <row r="744" spans="2:2" x14ac:dyDescent="0.25">
      <c r="B744" t="str">
        <f t="shared" si="11"/>
        <v/>
      </c>
    </row>
    <row r="745" spans="2:2" x14ac:dyDescent="0.25">
      <c r="B745" t="str">
        <f t="shared" si="11"/>
        <v/>
      </c>
    </row>
    <row r="746" spans="2:2" x14ac:dyDescent="0.25">
      <c r="B746" t="str">
        <f t="shared" si="11"/>
        <v/>
      </c>
    </row>
    <row r="747" spans="2:2" x14ac:dyDescent="0.25">
      <c r="B747" t="str">
        <f t="shared" si="11"/>
        <v/>
      </c>
    </row>
    <row r="748" spans="2:2" x14ac:dyDescent="0.25">
      <c r="B748" t="str">
        <f t="shared" si="11"/>
        <v/>
      </c>
    </row>
    <row r="749" spans="2:2" x14ac:dyDescent="0.25">
      <c r="B749" t="str">
        <f t="shared" si="11"/>
        <v/>
      </c>
    </row>
    <row r="750" spans="2:2" x14ac:dyDescent="0.25">
      <c r="B750" t="str">
        <f t="shared" si="11"/>
        <v/>
      </c>
    </row>
    <row r="751" spans="2:2" x14ac:dyDescent="0.25">
      <c r="B751" t="str">
        <f t="shared" si="11"/>
        <v/>
      </c>
    </row>
    <row r="752" spans="2:2" x14ac:dyDescent="0.25">
      <c r="B752" t="str">
        <f t="shared" si="11"/>
        <v/>
      </c>
    </row>
    <row r="753" spans="2:2" x14ac:dyDescent="0.25">
      <c r="B753" t="str">
        <f t="shared" si="11"/>
        <v/>
      </c>
    </row>
    <row r="754" spans="2:2" x14ac:dyDescent="0.25">
      <c r="B754" t="str">
        <f t="shared" si="11"/>
        <v/>
      </c>
    </row>
    <row r="755" spans="2:2" x14ac:dyDescent="0.25">
      <c r="B755" t="str">
        <f t="shared" si="11"/>
        <v/>
      </c>
    </row>
    <row r="756" spans="2:2" x14ac:dyDescent="0.25">
      <c r="B756" t="str">
        <f t="shared" si="11"/>
        <v/>
      </c>
    </row>
    <row r="757" spans="2:2" x14ac:dyDescent="0.25">
      <c r="B757" t="str">
        <f t="shared" si="11"/>
        <v/>
      </c>
    </row>
    <row r="758" spans="2:2" x14ac:dyDescent="0.25">
      <c r="B758" t="str">
        <f t="shared" si="11"/>
        <v/>
      </c>
    </row>
    <row r="759" spans="2:2" x14ac:dyDescent="0.25">
      <c r="B759" t="str">
        <f t="shared" si="11"/>
        <v/>
      </c>
    </row>
    <row r="760" spans="2:2" x14ac:dyDescent="0.25">
      <c r="B760" t="str">
        <f t="shared" si="11"/>
        <v/>
      </c>
    </row>
    <row r="761" spans="2:2" x14ac:dyDescent="0.25">
      <c r="B761" t="str">
        <f t="shared" si="11"/>
        <v/>
      </c>
    </row>
    <row r="762" spans="2:2" x14ac:dyDescent="0.25">
      <c r="B762" t="str">
        <f t="shared" si="11"/>
        <v/>
      </c>
    </row>
    <row r="763" spans="2:2" x14ac:dyDescent="0.25">
      <c r="B763" t="str">
        <f t="shared" si="11"/>
        <v/>
      </c>
    </row>
    <row r="764" spans="2:2" x14ac:dyDescent="0.25">
      <c r="B764" t="str">
        <f t="shared" si="11"/>
        <v/>
      </c>
    </row>
    <row r="765" spans="2:2" x14ac:dyDescent="0.25">
      <c r="B765" t="str">
        <f t="shared" si="11"/>
        <v/>
      </c>
    </row>
    <row r="766" spans="2:2" x14ac:dyDescent="0.25">
      <c r="B766" t="str">
        <f t="shared" si="11"/>
        <v/>
      </c>
    </row>
    <row r="767" spans="2:2" x14ac:dyDescent="0.25">
      <c r="B767" t="str">
        <f t="shared" si="11"/>
        <v/>
      </c>
    </row>
    <row r="768" spans="2:2" x14ac:dyDescent="0.25">
      <c r="B768" t="str">
        <f t="shared" si="11"/>
        <v/>
      </c>
    </row>
    <row r="769" spans="2:2" x14ac:dyDescent="0.25">
      <c r="B769" t="str">
        <f t="shared" si="11"/>
        <v/>
      </c>
    </row>
    <row r="770" spans="2:2" x14ac:dyDescent="0.25">
      <c r="B770" t="str">
        <f t="shared" si="11"/>
        <v/>
      </c>
    </row>
    <row r="771" spans="2:2" x14ac:dyDescent="0.25">
      <c r="B771" t="str">
        <f t="shared" si="11"/>
        <v/>
      </c>
    </row>
    <row r="772" spans="2:2" x14ac:dyDescent="0.25">
      <c r="B772" t="str">
        <f t="shared" si="11"/>
        <v/>
      </c>
    </row>
    <row r="773" spans="2:2" x14ac:dyDescent="0.25">
      <c r="B773" t="str">
        <f t="shared" si="11"/>
        <v/>
      </c>
    </row>
    <row r="774" spans="2:2" x14ac:dyDescent="0.25">
      <c r="B774" t="str">
        <f t="shared" ref="B774:B837" si="12">IF(OR(C774="",C774="Grand Total"),"",1)</f>
        <v/>
      </c>
    </row>
    <row r="775" spans="2:2" x14ac:dyDescent="0.25">
      <c r="B775" t="str">
        <f t="shared" si="12"/>
        <v/>
      </c>
    </row>
    <row r="776" spans="2:2" x14ac:dyDescent="0.25">
      <c r="B776" t="str">
        <f t="shared" si="12"/>
        <v/>
      </c>
    </row>
    <row r="777" spans="2:2" x14ac:dyDescent="0.25">
      <c r="B777" t="str">
        <f t="shared" si="12"/>
        <v/>
      </c>
    </row>
    <row r="778" spans="2:2" x14ac:dyDescent="0.25">
      <c r="B778" t="str">
        <f t="shared" si="12"/>
        <v/>
      </c>
    </row>
    <row r="779" spans="2:2" x14ac:dyDescent="0.25">
      <c r="B779" t="str">
        <f t="shared" si="12"/>
        <v/>
      </c>
    </row>
    <row r="780" spans="2:2" x14ac:dyDescent="0.25">
      <c r="B780" t="str">
        <f t="shared" si="12"/>
        <v/>
      </c>
    </row>
    <row r="781" spans="2:2" x14ac:dyDescent="0.25">
      <c r="B781" t="str">
        <f t="shared" si="12"/>
        <v/>
      </c>
    </row>
    <row r="782" spans="2:2" x14ac:dyDescent="0.25">
      <c r="B782" t="str">
        <f t="shared" si="12"/>
        <v/>
      </c>
    </row>
    <row r="783" spans="2:2" x14ac:dyDescent="0.25">
      <c r="B783" t="str">
        <f t="shared" si="12"/>
        <v/>
      </c>
    </row>
    <row r="784" spans="2:2" x14ac:dyDescent="0.25">
      <c r="B784" t="str">
        <f t="shared" si="12"/>
        <v/>
      </c>
    </row>
    <row r="785" spans="2:2" x14ac:dyDescent="0.25">
      <c r="B785" t="str">
        <f t="shared" si="12"/>
        <v/>
      </c>
    </row>
    <row r="786" spans="2:2" x14ac:dyDescent="0.25">
      <c r="B786" t="str">
        <f t="shared" si="12"/>
        <v/>
      </c>
    </row>
    <row r="787" spans="2:2" x14ac:dyDescent="0.25">
      <c r="B787" t="str">
        <f t="shared" si="12"/>
        <v/>
      </c>
    </row>
    <row r="788" spans="2:2" x14ac:dyDescent="0.25">
      <c r="B788" t="str">
        <f t="shared" si="12"/>
        <v/>
      </c>
    </row>
    <row r="789" spans="2:2" x14ac:dyDescent="0.25">
      <c r="B789" t="str">
        <f t="shared" si="12"/>
        <v/>
      </c>
    </row>
    <row r="790" spans="2:2" x14ac:dyDescent="0.25">
      <c r="B790" t="str">
        <f t="shared" si="12"/>
        <v/>
      </c>
    </row>
    <row r="791" spans="2:2" x14ac:dyDescent="0.25">
      <c r="B791" t="str">
        <f t="shared" si="12"/>
        <v/>
      </c>
    </row>
    <row r="792" spans="2:2" x14ac:dyDescent="0.25">
      <c r="B792" t="str">
        <f t="shared" si="12"/>
        <v/>
      </c>
    </row>
    <row r="793" spans="2:2" x14ac:dyDescent="0.25">
      <c r="B793" t="str">
        <f t="shared" si="12"/>
        <v/>
      </c>
    </row>
    <row r="794" spans="2:2" x14ac:dyDescent="0.25">
      <c r="B794" t="str">
        <f t="shared" si="12"/>
        <v/>
      </c>
    </row>
    <row r="795" spans="2:2" x14ac:dyDescent="0.25">
      <c r="B795" t="str">
        <f t="shared" si="12"/>
        <v/>
      </c>
    </row>
    <row r="796" spans="2:2" x14ac:dyDescent="0.25">
      <c r="B796" t="str">
        <f t="shared" si="12"/>
        <v/>
      </c>
    </row>
    <row r="797" spans="2:2" x14ac:dyDescent="0.25">
      <c r="B797" t="str">
        <f t="shared" si="12"/>
        <v/>
      </c>
    </row>
    <row r="798" spans="2:2" x14ac:dyDescent="0.25">
      <c r="B798" t="str">
        <f t="shared" si="12"/>
        <v/>
      </c>
    </row>
    <row r="799" spans="2:2" x14ac:dyDescent="0.25">
      <c r="B799" t="str">
        <f t="shared" si="12"/>
        <v/>
      </c>
    </row>
    <row r="800" spans="2:2" x14ac:dyDescent="0.25">
      <c r="B800" t="str">
        <f t="shared" si="12"/>
        <v/>
      </c>
    </row>
    <row r="801" spans="2:2" x14ac:dyDescent="0.25">
      <c r="B801" t="str">
        <f t="shared" si="12"/>
        <v/>
      </c>
    </row>
    <row r="802" spans="2:2" x14ac:dyDescent="0.25">
      <c r="B802" t="str">
        <f t="shared" si="12"/>
        <v/>
      </c>
    </row>
    <row r="803" spans="2:2" x14ac:dyDescent="0.25">
      <c r="B803" t="str">
        <f t="shared" si="12"/>
        <v/>
      </c>
    </row>
    <row r="804" spans="2:2" x14ac:dyDescent="0.25">
      <c r="B804" t="str">
        <f t="shared" si="12"/>
        <v/>
      </c>
    </row>
    <row r="805" spans="2:2" x14ac:dyDescent="0.25">
      <c r="B805" t="str">
        <f t="shared" si="12"/>
        <v/>
      </c>
    </row>
    <row r="806" spans="2:2" x14ac:dyDescent="0.25">
      <c r="B806" t="str">
        <f t="shared" si="12"/>
        <v/>
      </c>
    </row>
    <row r="807" spans="2:2" x14ac:dyDescent="0.25">
      <c r="B807" t="str">
        <f t="shared" si="12"/>
        <v/>
      </c>
    </row>
    <row r="808" spans="2:2" x14ac:dyDescent="0.25">
      <c r="B808" t="str">
        <f t="shared" si="12"/>
        <v/>
      </c>
    </row>
    <row r="809" spans="2:2" x14ac:dyDescent="0.25">
      <c r="B809" t="str">
        <f t="shared" si="12"/>
        <v/>
      </c>
    </row>
    <row r="810" spans="2:2" x14ac:dyDescent="0.25">
      <c r="B810" t="str">
        <f t="shared" si="12"/>
        <v/>
      </c>
    </row>
    <row r="811" spans="2:2" x14ac:dyDescent="0.25">
      <c r="B811" t="str">
        <f t="shared" si="12"/>
        <v/>
      </c>
    </row>
    <row r="812" spans="2:2" x14ac:dyDescent="0.25">
      <c r="B812" t="str">
        <f t="shared" si="12"/>
        <v/>
      </c>
    </row>
    <row r="813" spans="2:2" x14ac:dyDescent="0.25">
      <c r="B813" t="str">
        <f t="shared" si="12"/>
        <v/>
      </c>
    </row>
    <row r="814" spans="2:2" x14ac:dyDescent="0.25">
      <c r="B814" t="str">
        <f t="shared" si="12"/>
        <v/>
      </c>
    </row>
    <row r="815" spans="2:2" x14ac:dyDescent="0.25">
      <c r="B815" t="str">
        <f t="shared" si="12"/>
        <v/>
      </c>
    </row>
    <row r="816" spans="2:2" x14ac:dyDescent="0.25">
      <c r="B816" t="str">
        <f t="shared" si="12"/>
        <v/>
      </c>
    </row>
    <row r="817" spans="2:2" x14ac:dyDescent="0.25">
      <c r="B817" t="str">
        <f t="shared" si="12"/>
        <v/>
      </c>
    </row>
    <row r="818" spans="2:2" x14ac:dyDescent="0.25">
      <c r="B818" t="str">
        <f t="shared" si="12"/>
        <v/>
      </c>
    </row>
    <row r="819" spans="2:2" x14ac:dyDescent="0.25">
      <c r="B819" t="str">
        <f t="shared" si="12"/>
        <v/>
      </c>
    </row>
    <row r="820" spans="2:2" x14ac:dyDescent="0.25">
      <c r="B820" t="str">
        <f t="shared" si="12"/>
        <v/>
      </c>
    </row>
    <row r="821" spans="2:2" x14ac:dyDescent="0.25">
      <c r="B821" t="str">
        <f t="shared" si="12"/>
        <v/>
      </c>
    </row>
    <row r="822" spans="2:2" x14ac:dyDescent="0.25">
      <c r="B822" t="str">
        <f t="shared" si="12"/>
        <v/>
      </c>
    </row>
    <row r="823" spans="2:2" x14ac:dyDescent="0.25">
      <c r="B823" t="str">
        <f t="shared" si="12"/>
        <v/>
      </c>
    </row>
    <row r="824" spans="2:2" x14ac:dyDescent="0.25">
      <c r="B824" t="str">
        <f t="shared" si="12"/>
        <v/>
      </c>
    </row>
    <row r="825" spans="2:2" x14ac:dyDescent="0.25">
      <c r="B825" t="str">
        <f t="shared" si="12"/>
        <v/>
      </c>
    </row>
    <row r="826" spans="2:2" x14ac:dyDescent="0.25">
      <c r="B826" t="str">
        <f t="shared" si="12"/>
        <v/>
      </c>
    </row>
    <row r="827" spans="2:2" x14ac:dyDescent="0.25">
      <c r="B827" t="str">
        <f t="shared" si="12"/>
        <v/>
      </c>
    </row>
    <row r="828" spans="2:2" x14ac:dyDescent="0.25">
      <c r="B828" t="str">
        <f t="shared" si="12"/>
        <v/>
      </c>
    </row>
    <row r="829" spans="2:2" x14ac:dyDescent="0.25">
      <c r="B829" t="str">
        <f t="shared" si="12"/>
        <v/>
      </c>
    </row>
    <row r="830" spans="2:2" x14ac:dyDescent="0.25">
      <c r="B830" t="str">
        <f t="shared" si="12"/>
        <v/>
      </c>
    </row>
    <row r="831" spans="2:2" x14ac:dyDescent="0.25">
      <c r="B831" t="str">
        <f t="shared" si="12"/>
        <v/>
      </c>
    </row>
    <row r="832" spans="2:2" x14ac:dyDescent="0.25">
      <c r="B832" t="str">
        <f t="shared" si="12"/>
        <v/>
      </c>
    </row>
    <row r="833" spans="2:2" x14ac:dyDescent="0.25">
      <c r="B833" t="str">
        <f t="shared" si="12"/>
        <v/>
      </c>
    </row>
    <row r="834" spans="2:2" x14ac:dyDescent="0.25">
      <c r="B834" t="str">
        <f t="shared" si="12"/>
        <v/>
      </c>
    </row>
    <row r="835" spans="2:2" x14ac:dyDescent="0.25">
      <c r="B835" t="str">
        <f t="shared" si="12"/>
        <v/>
      </c>
    </row>
    <row r="836" spans="2:2" x14ac:dyDescent="0.25">
      <c r="B836" t="str">
        <f t="shared" si="12"/>
        <v/>
      </c>
    </row>
    <row r="837" spans="2:2" x14ac:dyDescent="0.25">
      <c r="B837" t="str">
        <f t="shared" si="12"/>
        <v/>
      </c>
    </row>
    <row r="838" spans="2:2" x14ac:dyDescent="0.25">
      <c r="B838" t="str">
        <f t="shared" ref="B838:B901" si="13">IF(OR(C838="",C838="Grand Total"),"",1)</f>
        <v/>
      </c>
    </row>
    <row r="839" spans="2:2" x14ac:dyDescent="0.25">
      <c r="B839" t="str">
        <f t="shared" si="13"/>
        <v/>
      </c>
    </row>
    <row r="840" spans="2:2" x14ac:dyDescent="0.25">
      <c r="B840" t="str">
        <f t="shared" si="13"/>
        <v/>
      </c>
    </row>
    <row r="841" spans="2:2" x14ac:dyDescent="0.25">
      <c r="B841" t="str">
        <f t="shared" si="13"/>
        <v/>
      </c>
    </row>
    <row r="842" spans="2:2" x14ac:dyDescent="0.25">
      <c r="B842" t="str">
        <f t="shared" si="13"/>
        <v/>
      </c>
    </row>
    <row r="843" spans="2:2" x14ac:dyDescent="0.25">
      <c r="B843" t="str">
        <f t="shared" si="13"/>
        <v/>
      </c>
    </row>
    <row r="844" spans="2:2" x14ac:dyDescent="0.25">
      <c r="B844" t="str">
        <f t="shared" si="13"/>
        <v/>
      </c>
    </row>
    <row r="845" spans="2:2" x14ac:dyDescent="0.25">
      <c r="B845" t="str">
        <f t="shared" si="13"/>
        <v/>
      </c>
    </row>
    <row r="846" spans="2:2" x14ac:dyDescent="0.25">
      <c r="B846" t="str">
        <f t="shared" si="13"/>
        <v/>
      </c>
    </row>
    <row r="847" spans="2:2" x14ac:dyDescent="0.25">
      <c r="B847" t="str">
        <f t="shared" si="13"/>
        <v/>
      </c>
    </row>
    <row r="848" spans="2:2" x14ac:dyDescent="0.25">
      <c r="B848" t="str">
        <f t="shared" si="13"/>
        <v/>
      </c>
    </row>
    <row r="849" spans="2:2" x14ac:dyDescent="0.25">
      <c r="B849" t="str">
        <f t="shared" si="13"/>
        <v/>
      </c>
    </row>
    <row r="850" spans="2:2" x14ac:dyDescent="0.25">
      <c r="B850" t="str">
        <f t="shared" si="13"/>
        <v/>
      </c>
    </row>
    <row r="851" spans="2:2" x14ac:dyDescent="0.25">
      <c r="B851" t="str">
        <f t="shared" si="13"/>
        <v/>
      </c>
    </row>
    <row r="852" spans="2:2" x14ac:dyDescent="0.25">
      <c r="B852" t="str">
        <f t="shared" si="13"/>
        <v/>
      </c>
    </row>
    <row r="853" spans="2:2" x14ac:dyDescent="0.25">
      <c r="B853" t="str">
        <f t="shared" si="13"/>
        <v/>
      </c>
    </row>
    <row r="854" spans="2:2" x14ac:dyDescent="0.25">
      <c r="B854" t="str">
        <f t="shared" si="13"/>
        <v/>
      </c>
    </row>
    <row r="855" spans="2:2" x14ac:dyDescent="0.25">
      <c r="B855" t="str">
        <f t="shared" si="13"/>
        <v/>
      </c>
    </row>
    <row r="856" spans="2:2" x14ac:dyDescent="0.25">
      <c r="B856" t="str">
        <f t="shared" si="13"/>
        <v/>
      </c>
    </row>
    <row r="857" spans="2:2" x14ac:dyDescent="0.25">
      <c r="B857" t="str">
        <f t="shared" si="13"/>
        <v/>
      </c>
    </row>
    <row r="858" spans="2:2" x14ac:dyDescent="0.25">
      <c r="B858" t="str">
        <f t="shared" si="13"/>
        <v/>
      </c>
    </row>
    <row r="859" spans="2:2" x14ac:dyDescent="0.25">
      <c r="B859" t="str">
        <f t="shared" si="13"/>
        <v/>
      </c>
    </row>
    <row r="860" spans="2:2" x14ac:dyDescent="0.25">
      <c r="B860" t="str">
        <f t="shared" si="13"/>
        <v/>
      </c>
    </row>
    <row r="861" spans="2:2" x14ac:dyDescent="0.25">
      <c r="B861" t="str">
        <f t="shared" si="13"/>
        <v/>
      </c>
    </row>
    <row r="862" spans="2:2" x14ac:dyDescent="0.25">
      <c r="B862" t="str">
        <f t="shared" si="13"/>
        <v/>
      </c>
    </row>
    <row r="863" spans="2:2" x14ac:dyDescent="0.25">
      <c r="B863" t="str">
        <f t="shared" si="13"/>
        <v/>
      </c>
    </row>
    <row r="864" spans="2:2" x14ac:dyDescent="0.25">
      <c r="B864" t="str">
        <f t="shared" si="13"/>
        <v/>
      </c>
    </row>
    <row r="865" spans="2:2" x14ac:dyDescent="0.25">
      <c r="B865" t="str">
        <f t="shared" si="13"/>
        <v/>
      </c>
    </row>
    <row r="866" spans="2:2" x14ac:dyDescent="0.25">
      <c r="B866" t="str">
        <f t="shared" si="13"/>
        <v/>
      </c>
    </row>
    <row r="867" spans="2:2" x14ac:dyDescent="0.25">
      <c r="B867" t="str">
        <f t="shared" si="13"/>
        <v/>
      </c>
    </row>
    <row r="868" spans="2:2" x14ac:dyDescent="0.25">
      <c r="B868" t="str">
        <f t="shared" si="13"/>
        <v/>
      </c>
    </row>
    <row r="869" spans="2:2" x14ac:dyDescent="0.25">
      <c r="B869" t="str">
        <f t="shared" si="13"/>
        <v/>
      </c>
    </row>
    <row r="870" spans="2:2" x14ac:dyDescent="0.25">
      <c r="B870" t="str">
        <f t="shared" si="13"/>
        <v/>
      </c>
    </row>
    <row r="871" spans="2:2" x14ac:dyDescent="0.25">
      <c r="B871" t="str">
        <f t="shared" si="13"/>
        <v/>
      </c>
    </row>
    <row r="872" spans="2:2" x14ac:dyDescent="0.25">
      <c r="B872" t="str">
        <f t="shared" si="13"/>
        <v/>
      </c>
    </row>
    <row r="873" spans="2:2" x14ac:dyDescent="0.25">
      <c r="B873" t="str">
        <f t="shared" si="13"/>
        <v/>
      </c>
    </row>
    <row r="874" spans="2:2" x14ac:dyDescent="0.25">
      <c r="B874" t="str">
        <f t="shared" si="13"/>
        <v/>
      </c>
    </row>
    <row r="875" spans="2:2" x14ac:dyDescent="0.25">
      <c r="B875" t="str">
        <f t="shared" si="13"/>
        <v/>
      </c>
    </row>
    <row r="876" spans="2:2" x14ac:dyDescent="0.25">
      <c r="B876" t="str">
        <f t="shared" si="13"/>
        <v/>
      </c>
    </row>
    <row r="877" spans="2:2" x14ac:dyDescent="0.25">
      <c r="B877" t="str">
        <f t="shared" si="13"/>
        <v/>
      </c>
    </row>
    <row r="878" spans="2:2" x14ac:dyDescent="0.25">
      <c r="B878" t="str">
        <f t="shared" si="13"/>
        <v/>
      </c>
    </row>
    <row r="879" spans="2:2" x14ac:dyDescent="0.25">
      <c r="B879" t="str">
        <f t="shared" si="13"/>
        <v/>
      </c>
    </row>
    <row r="880" spans="2:2" x14ac:dyDescent="0.25">
      <c r="B880" t="str">
        <f t="shared" si="13"/>
        <v/>
      </c>
    </row>
    <row r="881" spans="2:2" x14ac:dyDescent="0.25">
      <c r="B881" t="str">
        <f t="shared" si="13"/>
        <v/>
      </c>
    </row>
    <row r="882" spans="2:2" x14ac:dyDescent="0.25">
      <c r="B882" t="str">
        <f t="shared" si="13"/>
        <v/>
      </c>
    </row>
    <row r="883" spans="2:2" x14ac:dyDescent="0.25">
      <c r="B883" t="str">
        <f t="shared" si="13"/>
        <v/>
      </c>
    </row>
    <row r="884" spans="2:2" x14ac:dyDescent="0.25">
      <c r="B884" t="str">
        <f t="shared" si="13"/>
        <v/>
      </c>
    </row>
    <row r="885" spans="2:2" x14ac:dyDescent="0.25">
      <c r="B885" t="str">
        <f t="shared" si="13"/>
        <v/>
      </c>
    </row>
    <row r="886" spans="2:2" x14ac:dyDescent="0.25">
      <c r="B886" t="str">
        <f t="shared" si="13"/>
        <v/>
      </c>
    </row>
    <row r="887" spans="2:2" x14ac:dyDescent="0.25">
      <c r="B887" t="str">
        <f t="shared" si="13"/>
        <v/>
      </c>
    </row>
    <row r="888" spans="2:2" x14ac:dyDescent="0.25">
      <c r="B888" t="str">
        <f t="shared" si="13"/>
        <v/>
      </c>
    </row>
    <row r="889" spans="2:2" x14ac:dyDescent="0.25">
      <c r="B889" t="str">
        <f t="shared" si="13"/>
        <v/>
      </c>
    </row>
    <row r="890" spans="2:2" x14ac:dyDescent="0.25">
      <c r="B890" t="str">
        <f t="shared" si="13"/>
        <v/>
      </c>
    </row>
    <row r="891" spans="2:2" x14ac:dyDescent="0.25">
      <c r="B891" t="str">
        <f t="shared" si="13"/>
        <v/>
      </c>
    </row>
    <row r="892" spans="2:2" x14ac:dyDescent="0.25">
      <c r="B892" t="str">
        <f t="shared" si="13"/>
        <v/>
      </c>
    </row>
    <row r="893" spans="2:2" x14ac:dyDescent="0.25">
      <c r="B893" t="str">
        <f t="shared" si="13"/>
        <v/>
      </c>
    </row>
    <row r="894" spans="2:2" x14ac:dyDescent="0.25">
      <c r="B894" t="str">
        <f t="shared" si="13"/>
        <v/>
      </c>
    </row>
    <row r="895" spans="2:2" x14ac:dyDescent="0.25">
      <c r="B895" t="str">
        <f t="shared" si="13"/>
        <v/>
      </c>
    </row>
    <row r="896" spans="2:2" x14ac:dyDescent="0.25">
      <c r="B896" t="str">
        <f t="shared" si="13"/>
        <v/>
      </c>
    </row>
    <row r="897" spans="2:2" x14ac:dyDescent="0.25">
      <c r="B897" t="str">
        <f t="shared" si="13"/>
        <v/>
      </c>
    </row>
    <row r="898" spans="2:2" x14ac:dyDescent="0.25">
      <c r="B898" t="str">
        <f t="shared" si="13"/>
        <v/>
      </c>
    </row>
    <row r="899" spans="2:2" x14ac:dyDescent="0.25">
      <c r="B899" t="str">
        <f t="shared" si="13"/>
        <v/>
      </c>
    </row>
    <row r="900" spans="2:2" x14ac:dyDescent="0.25">
      <c r="B900" t="str">
        <f t="shared" si="13"/>
        <v/>
      </c>
    </row>
    <row r="901" spans="2:2" x14ac:dyDescent="0.25">
      <c r="B901" t="str">
        <f t="shared" si="13"/>
        <v/>
      </c>
    </row>
    <row r="902" spans="2:2" x14ac:dyDescent="0.25">
      <c r="B902" t="str">
        <f t="shared" ref="B902:B965" si="14">IF(OR(C902="",C902="Grand Total"),"",1)</f>
        <v/>
      </c>
    </row>
    <row r="903" spans="2:2" x14ac:dyDescent="0.25">
      <c r="B903" t="str">
        <f t="shared" si="14"/>
        <v/>
      </c>
    </row>
    <row r="904" spans="2:2" x14ac:dyDescent="0.25">
      <c r="B904" t="str">
        <f t="shared" si="14"/>
        <v/>
      </c>
    </row>
    <row r="905" spans="2:2" x14ac:dyDescent="0.25">
      <c r="B905" t="str">
        <f t="shared" si="14"/>
        <v/>
      </c>
    </row>
    <row r="906" spans="2:2" x14ac:dyDescent="0.25">
      <c r="B906" t="str">
        <f t="shared" si="14"/>
        <v/>
      </c>
    </row>
    <row r="907" spans="2:2" x14ac:dyDescent="0.25">
      <c r="B907" t="str">
        <f t="shared" si="14"/>
        <v/>
      </c>
    </row>
    <row r="908" spans="2:2" x14ac:dyDescent="0.25">
      <c r="B908" t="str">
        <f t="shared" si="14"/>
        <v/>
      </c>
    </row>
    <row r="909" spans="2:2" x14ac:dyDescent="0.25">
      <c r="B909" t="str">
        <f t="shared" si="14"/>
        <v/>
      </c>
    </row>
    <row r="910" spans="2:2" x14ac:dyDescent="0.25">
      <c r="B910" t="str">
        <f t="shared" si="14"/>
        <v/>
      </c>
    </row>
    <row r="911" spans="2:2" x14ac:dyDescent="0.25">
      <c r="B911" t="str">
        <f t="shared" si="14"/>
        <v/>
      </c>
    </row>
    <row r="912" spans="2:2" x14ac:dyDescent="0.25">
      <c r="B912" t="str">
        <f t="shared" si="14"/>
        <v/>
      </c>
    </row>
    <row r="913" spans="2:2" x14ac:dyDescent="0.25">
      <c r="B913" t="str">
        <f t="shared" si="14"/>
        <v/>
      </c>
    </row>
    <row r="914" spans="2:2" x14ac:dyDescent="0.25">
      <c r="B914" t="str">
        <f t="shared" si="14"/>
        <v/>
      </c>
    </row>
    <row r="915" spans="2:2" x14ac:dyDescent="0.25">
      <c r="B915" t="str">
        <f t="shared" si="14"/>
        <v/>
      </c>
    </row>
    <row r="916" spans="2:2" x14ac:dyDescent="0.25">
      <c r="B916" t="str">
        <f t="shared" si="14"/>
        <v/>
      </c>
    </row>
    <row r="917" spans="2:2" x14ac:dyDescent="0.25">
      <c r="B917" t="str">
        <f t="shared" si="14"/>
        <v/>
      </c>
    </row>
    <row r="918" spans="2:2" x14ac:dyDescent="0.25">
      <c r="B918" t="str">
        <f t="shared" si="14"/>
        <v/>
      </c>
    </row>
    <row r="919" spans="2:2" x14ac:dyDescent="0.25">
      <c r="B919" t="str">
        <f t="shared" si="14"/>
        <v/>
      </c>
    </row>
    <row r="920" spans="2:2" x14ac:dyDescent="0.25">
      <c r="B920" t="str">
        <f t="shared" si="14"/>
        <v/>
      </c>
    </row>
    <row r="921" spans="2:2" x14ac:dyDescent="0.25">
      <c r="B921" t="str">
        <f t="shared" si="14"/>
        <v/>
      </c>
    </row>
    <row r="922" spans="2:2" x14ac:dyDescent="0.25">
      <c r="B922" t="str">
        <f t="shared" si="14"/>
        <v/>
      </c>
    </row>
    <row r="923" spans="2:2" x14ac:dyDescent="0.25">
      <c r="B923" t="str">
        <f t="shared" si="14"/>
        <v/>
      </c>
    </row>
    <row r="924" spans="2:2" x14ac:dyDescent="0.25">
      <c r="B924" t="str">
        <f t="shared" si="14"/>
        <v/>
      </c>
    </row>
    <row r="925" spans="2:2" x14ac:dyDescent="0.25">
      <c r="B925" t="str">
        <f t="shared" si="14"/>
        <v/>
      </c>
    </row>
    <row r="926" spans="2:2" x14ac:dyDescent="0.25">
      <c r="B926" t="str">
        <f t="shared" si="14"/>
        <v/>
      </c>
    </row>
    <row r="927" spans="2:2" x14ac:dyDescent="0.25">
      <c r="B927" t="str">
        <f t="shared" si="14"/>
        <v/>
      </c>
    </row>
    <row r="928" spans="2:2" x14ac:dyDescent="0.25">
      <c r="B928" t="str">
        <f t="shared" si="14"/>
        <v/>
      </c>
    </row>
    <row r="929" spans="2:2" x14ac:dyDescent="0.25">
      <c r="B929" t="str">
        <f t="shared" si="14"/>
        <v/>
      </c>
    </row>
    <row r="930" spans="2:2" x14ac:dyDescent="0.25">
      <c r="B930" t="str">
        <f t="shared" si="14"/>
        <v/>
      </c>
    </row>
    <row r="931" spans="2:2" x14ac:dyDescent="0.25">
      <c r="B931" t="str">
        <f t="shared" si="14"/>
        <v/>
      </c>
    </row>
    <row r="932" spans="2:2" x14ac:dyDescent="0.25">
      <c r="B932" t="str">
        <f t="shared" si="14"/>
        <v/>
      </c>
    </row>
    <row r="933" spans="2:2" x14ac:dyDescent="0.25">
      <c r="B933" t="str">
        <f t="shared" si="14"/>
        <v/>
      </c>
    </row>
    <row r="934" spans="2:2" x14ac:dyDescent="0.25">
      <c r="B934" t="str">
        <f t="shared" si="14"/>
        <v/>
      </c>
    </row>
    <row r="935" spans="2:2" x14ac:dyDescent="0.25">
      <c r="B935" t="str">
        <f t="shared" si="14"/>
        <v/>
      </c>
    </row>
    <row r="936" spans="2:2" x14ac:dyDescent="0.25">
      <c r="B936" t="str">
        <f t="shared" si="14"/>
        <v/>
      </c>
    </row>
    <row r="937" spans="2:2" x14ac:dyDescent="0.25">
      <c r="B937" t="str">
        <f t="shared" si="14"/>
        <v/>
      </c>
    </row>
    <row r="938" spans="2:2" x14ac:dyDescent="0.25">
      <c r="B938" t="str">
        <f t="shared" si="14"/>
        <v/>
      </c>
    </row>
    <row r="939" spans="2:2" x14ac:dyDescent="0.25">
      <c r="B939" t="str">
        <f t="shared" si="14"/>
        <v/>
      </c>
    </row>
    <row r="940" spans="2:2" x14ac:dyDescent="0.25">
      <c r="B940" t="str">
        <f t="shared" si="14"/>
        <v/>
      </c>
    </row>
    <row r="941" spans="2:2" x14ac:dyDescent="0.25">
      <c r="B941" t="str">
        <f t="shared" si="14"/>
        <v/>
      </c>
    </row>
    <row r="942" spans="2:2" x14ac:dyDescent="0.25">
      <c r="B942" t="str">
        <f t="shared" si="14"/>
        <v/>
      </c>
    </row>
    <row r="943" spans="2:2" x14ac:dyDescent="0.25">
      <c r="B943" t="str">
        <f t="shared" si="14"/>
        <v/>
      </c>
    </row>
    <row r="944" spans="2:2" x14ac:dyDescent="0.25">
      <c r="B944" t="str">
        <f t="shared" si="14"/>
        <v/>
      </c>
    </row>
    <row r="945" spans="2:2" x14ac:dyDescent="0.25">
      <c r="B945" t="str">
        <f t="shared" si="14"/>
        <v/>
      </c>
    </row>
    <row r="946" spans="2:2" x14ac:dyDescent="0.25">
      <c r="B946" t="str">
        <f t="shared" si="14"/>
        <v/>
      </c>
    </row>
    <row r="947" spans="2:2" x14ac:dyDescent="0.25">
      <c r="B947" t="str">
        <f t="shared" si="14"/>
        <v/>
      </c>
    </row>
    <row r="948" spans="2:2" x14ac:dyDescent="0.25">
      <c r="B948" t="str">
        <f t="shared" si="14"/>
        <v/>
      </c>
    </row>
    <row r="949" spans="2:2" x14ac:dyDescent="0.25">
      <c r="B949" t="str">
        <f t="shared" si="14"/>
        <v/>
      </c>
    </row>
    <row r="950" spans="2:2" x14ac:dyDescent="0.25">
      <c r="B950" t="str">
        <f t="shared" si="14"/>
        <v/>
      </c>
    </row>
    <row r="951" spans="2:2" x14ac:dyDescent="0.25">
      <c r="B951" t="str">
        <f t="shared" si="14"/>
        <v/>
      </c>
    </row>
    <row r="952" spans="2:2" x14ac:dyDescent="0.25">
      <c r="B952" t="str">
        <f t="shared" si="14"/>
        <v/>
      </c>
    </row>
    <row r="953" spans="2:2" x14ac:dyDescent="0.25">
      <c r="B953" t="str">
        <f t="shared" si="14"/>
        <v/>
      </c>
    </row>
    <row r="954" spans="2:2" x14ac:dyDescent="0.25">
      <c r="B954" t="str">
        <f t="shared" si="14"/>
        <v/>
      </c>
    </row>
    <row r="955" spans="2:2" x14ac:dyDescent="0.25">
      <c r="B955" t="str">
        <f t="shared" si="14"/>
        <v/>
      </c>
    </row>
    <row r="956" spans="2:2" x14ac:dyDescent="0.25">
      <c r="B956" t="str">
        <f t="shared" si="14"/>
        <v/>
      </c>
    </row>
    <row r="957" spans="2:2" x14ac:dyDescent="0.25">
      <c r="B957" t="str">
        <f t="shared" si="14"/>
        <v/>
      </c>
    </row>
    <row r="958" spans="2:2" x14ac:dyDescent="0.25">
      <c r="B958" t="str">
        <f t="shared" si="14"/>
        <v/>
      </c>
    </row>
    <row r="959" spans="2:2" x14ac:dyDescent="0.25">
      <c r="B959" t="str">
        <f t="shared" si="14"/>
        <v/>
      </c>
    </row>
    <row r="960" spans="2:2" x14ac:dyDescent="0.25">
      <c r="B960" t="str">
        <f t="shared" si="14"/>
        <v/>
      </c>
    </row>
    <row r="961" spans="2:2" x14ac:dyDescent="0.25">
      <c r="B961" t="str">
        <f t="shared" si="14"/>
        <v/>
      </c>
    </row>
    <row r="962" spans="2:2" x14ac:dyDescent="0.25">
      <c r="B962" t="str">
        <f t="shared" si="14"/>
        <v/>
      </c>
    </row>
    <row r="963" spans="2:2" x14ac:dyDescent="0.25">
      <c r="B963" t="str">
        <f t="shared" si="14"/>
        <v/>
      </c>
    </row>
    <row r="964" spans="2:2" x14ac:dyDescent="0.25">
      <c r="B964" t="str">
        <f t="shared" si="14"/>
        <v/>
      </c>
    </row>
    <row r="965" spans="2:2" x14ac:dyDescent="0.25">
      <c r="B965" t="str">
        <f t="shared" si="14"/>
        <v/>
      </c>
    </row>
    <row r="966" spans="2:2" x14ac:dyDescent="0.25">
      <c r="B966" t="str">
        <f t="shared" ref="B966:B1029" si="15">IF(OR(C966="",C966="Grand Total"),"",1)</f>
        <v/>
      </c>
    </row>
    <row r="967" spans="2:2" x14ac:dyDescent="0.25">
      <c r="B967" t="str">
        <f t="shared" si="15"/>
        <v/>
      </c>
    </row>
    <row r="968" spans="2:2" x14ac:dyDescent="0.25">
      <c r="B968" t="str">
        <f t="shared" si="15"/>
        <v/>
      </c>
    </row>
    <row r="969" spans="2:2" x14ac:dyDescent="0.25">
      <c r="B969" t="str">
        <f t="shared" si="15"/>
        <v/>
      </c>
    </row>
    <row r="970" spans="2:2" x14ac:dyDescent="0.25">
      <c r="B970" t="str">
        <f t="shared" si="15"/>
        <v/>
      </c>
    </row>
    <row r="971" spans="2:2" x14ac:dyDescent="0.25">
      <c r="B971" t="str">
        <f t="shared" si="15"/>
        <v/>
      </c>
    </row>
    <row r="972" spans="2:2" x14ac:dyDescent="0.25">
      <c r="B972" t="str">
        <f t="shared" si="15"/>
        <v/>
      </c>
    </row>
    <row r="973" spans="2:2" x14ac:dyDescent="0.25">
      <c r="B973" t="str">
        <f t="shared" si="15"/>
        <v/>
      </c>
    </row>
    <row r="974" spans="2:2" x14ac:dyDescent="0.25">
      <c r="B974" t="str">
        <f t="shared" si="15"/>
        <v/>
      </c>
    </row>
    <row r="975" spans="2:2" x14ac:dyDescent="0.25">
      <c r="B975" t="str">
        <f t="shared" si="15"/>
        <v/>
      </c>
    </row>
    <row r="976" spans="2:2" x14ac:dyDescent="0.25">
      <c r="B976" t="str">
        <f t="shared" si="15"/>
        <v/>
      </c>
    </row>
    <row r="977" spans="2:2" x14ac:dyDescent="0.25">
      <c r="B977" t="str">
        <f t="shared" si="15"/>
        <v/>
      </c>
    </row>
    <row r="978" spans="2:2" x14ac:dyDescent="0.25">
      <c r="B978" t="str">
        <f t="shared" si="15"/>
        <v/>
      </c>
    </row>
    <row r="979" spans="2:2" x14ac:dyDescent="0.25">
      <c r="B979" t="str">
        <f t="shared" si="15"/>
        <v/>
      </c>
    </row>
    <row r="980" spans="2:2" x14ac:dyDescent="0.25">
      <c r="B980" t="str">
        <f t="shared" si="15"/>
        <v/>
      </c>
    </row>
    <row r="981" spans="2:2" x14ac:dyDescent="0.25">
      <c r="B981" t="str">
        <f t="shared" si="15"/>
        <v/>
      </c>
    </row>
    <row r="982" spans="2:2" x14ac:dyDescent="0.25">
      <c r="B982" t="str">
        <f t="shared" si="15"/>
        <v/>
      </c>
    </row>
    <row r="983" spans="2:2" x14ac:dyDescent="0.25">
      <c r="B983" t="str">
        <f t="shared" si="15"/>
        <v/>
      </c>
    </row>
    <row r="984" spans="2:2" x14ac:dyDescent="0.25">
      <c r="B984" t="str">
        <f t="shared" si="15"/>
        <v/>
      </c>
    </row>
    <row r="985" spans="2:2" x14ac:dyDescent="0.25">
      <c r="B985" t="str">
        <f t="shared" si="15"/>
        <v/>
      </c>
    </row>
    <row r="986" spans="2:2" x14ac:dyDescent="0.25">
      <c r="B986" t="str">
        <f t="shared" si="15"/>
        <v/>
      </c>
    </row>
    <row r="987" spans="2:2" x14ac:dyDescent="0.25">
      <c r="B987" t="str">
        <f t="shared" si="15"/>
        <v/>
      </c>
    </row>
    <row r="988" spans="2:2" x14ac:dyDescent="0.25">
      <c r="B988" t="str">
        <f t="shared" si="15"/>
        <v/>
      </c>
    </row>
    <row r="989" spans="2:2" x14ac:dyDescent="0.25">
      <c r="B989" t="str">
        <f t="shared" si="15"/>
        <v/>
      </c>
    </row>
    <row r="990" spans="2:2" x14ac:dyDescent="0.25">
      <c r="B990" t="str">
        <f t="shared" si="15"/>
        <v/>
      </c>
    </row>
    <row r="991" spans="2:2" x14ac:dyDescent="0.25">
      <c r="B991" t="str">
        <f t="shared" si="15"/>
        <v/>
      </c>
    </row>
    <row r="992" spans="2:2" x14ac:dyDescent="0.25">
      <c r="B992" t="str">
        <f t="shared" si="15"/>
        <v/>
      </c>
    </row>
    <row r="993" spans="2:2" x14ac:dyDescent="0.25">
      <c r="B993" t="str">
        <f t="shared" si="15"/>
        <v/>
      </c>
    </row>
    <row r="994" spans="2:2" x14ac:dyDescent="0.25">
      <c r="B994" t="str">
        <f t="shared" si="15"/>
        <v/>
      </c>
    </row>
    <row r="995" spans="2:2" x14ac:dyDescent="0.25">
      <c r="B995" t="str">
        <f t="shared" si="15"/>
        <v/>
      </c>
    </row>
    <row r="996" spans="2:2" x14ac:dyDescent="0.25">
      <c r="B996" t="str">
        <f t="shared" si="15"/>
        <v/>
      </c>
    </row>
    <row r="997" spans="2:2" x14ac:dyDescent="0.25">
      <c r="B997" t="str">
        <f t="shared" si="15"/>
        <v/>
      </c>
    </row>
    <row r="998" spans="2:2" x14ac:dyDescent="0.25">
      <c r="B998" t="str">
        <f t="shared" si="15"/>
        <v/>
      </c>
    </row>
    <row r="999" spans="2:2" x14ac:dyDescent="0.25">
      <c r="B999" t="str">
        <f t="shared" si="15"/>
        <v/>
      </c>
    </row>
    <row r="1000" spans="2:2" x14ac:dyDescent="0.25">
      <c r="B1000" t="str">
        <f t="shared" si="15"/>
        <v/>
      </c>
    </row>
    <row r="1001" spans="2:2" x14ac:dyDescent="0.25">
      <c r="B1001" t="str">
        <f t="shared" si="15"/>
        <v/>
      </c>
    </row>
    <row r="1002" spans="2:2" x14ac:dyDescent="0.25">
      <c r="B1002" t="str">
        <f t="shared" si="15"/>
        <v/>
      </c>
    </row>
    <row r="1003" spans="2:2" x14ac:dyDescent="0.25">
      <c r="B1003" t="str">
        <f t="shared" si="15"/>
        <v/>
      </c>
    </row>
    <row r="1004" spans="2:2" x14ac:dyDescent="0.25">
      <c r="B1004" t="str">
        <f t="shared" si="15"/>
        <v/>
      </c>
    </row>
    <row r="1005" spans="2:2" x14ac:dyDescent="0.25">
      <c r="B1005" t="str">
        <f t="shared" si="15"/>
        <v/>
      </c>
    </row>
    <row r="1006" spans="2:2" x14ac:dyDescent="0.25">
      <c r="B1006" t="str">
        <f t="shared" si="15"/>
        <v/>
      </c>
    </row>
    <row r="1007" spans="2:2" x14ac:dyDescent="0.25">
      <c r="B1007" t="str">
        <f t="shared" si="15"/>
        <v/>
      </c>
    </row>
    <row r="1008" spans="2:2" x14ac:dyDescent="0.25">
      <c r="B1008" t="str">
        <f t="shared" si="15"/>
        <v/>
      </c>
    </row>
    <row r="1009" spans="2:2" x14ac:dyDescent="0.25">
      <c r="B1009" t="str">
        <f t="shared" si="15"/>
        <v/>
      </c>
    </row>
    <row r="1010" spans="2:2" x14ac:dyDescent="0.25">
      <c r="B1010" t="str">
        <f t="shared" si="15"/>
        <v/>
      </c>
    </row>
    <row r="1011" spans="2:2" x14ac:dyDescent="0.25">
      <c r="B1011" t="str">
        <f t="shared" si="15"/>
        <v/>
      </c>
    </row>
    <row r="1012" spans="2:2" x14ac:dyDescent="0.25">
      <c r="B1012" t="str">
        <f t="shared" si="15"/>
        <v/>
      </c>
    </row>
    <row r="1013" spans="2:2" x14ac:dyDescent="0.25">
      <c r="B1013" t="str">
        <f t="shared" si="15"/>
        <v/>
      </c>
    </row>
    <row r="1014" spans="2:2" x14ac:dyDescent="0.25">
      <c r="B1014" t="str">
        <f t="shared" si="15"/>
        <v/>
      </c>
    </row>
    <row r="1015" spans="2:2" x14ac:dyDescent="0.25">
      <c r="B1015" t="str">
        <f t="shared" si="15"/>
        <v/>
      </c>
    </row>
    <row r="1016" spans="2:2" x14ac:dyDescent="0.25">
      <c r="B1016" t="str">
        <f t="shared" si="15"/>
        <v/>
      </c>
    </row>
    <row r="1017" spans="2:2" x14ac:dyDescent="0.25">
      <c r="B1017" t="str">
        <f t="shared" si="15"/>
        <v/>
      </c>
    </row>
    <row r="1018" spans="2:2" x14ac:dyDescent="0.25">
      <c r="B1018" t="str">
        <f t="shared" si="15"/>
        <v/>
      </c>
    </row>
    <row r="1019" spans="2:2" x14ac:dyDescent="0.25">
      <c r="B1019" t="str">
        <f t="shared" si="15"/>
        <v/>
      </c>
    </row>
    <row r="1020" spans="2:2" x14ac:dyDescent="0.25">
      <c r="B1020" t="str">
        <f t="shared" si="15"/>
        <v/>
      </c>
    </row>
    <row r="1021" spans="2:2" x14ac:dyDescent="0.25">
      <c r="B1021" t="str">
        <f t="shared" si="15"/>
        <v/>
      </c>
    </row>
    <row r="1022" spans="2:2" x14ac:dyDescent="0.25">
      <c r="B1022" t="str">
        <f t="shared" si="15"/>
        <v/>
      </c>
    </row>
    <row r="1023" spans="2:2" x14ac:dyDescent="0.25">
      <c r="B1023" t="str">
        <f t="shared" si="15"/>
        <v/>
      </c>
    </row>
    <row r="1024" spans="2:2" x14ac:dyDescent="0.25">
      <c r="B1024" t="str">
        <f t="shared" si="15"/>
        <v/>
      </c>
    </row>
    <row r="1025" spans="2:2" x14ac:dyDescent="0.25">
      <c r="B1025" t="str">
        <f t="shared" si="15"/>
        <v/>
      </c>
    </row>
    <row r="1026" spans="2:2" x14ac:dyDescent="0.25">
      <c r="B1026" t="str">
        <f t="shared" si="15"/>
        <v/>
      </c>
    </row>
    <row r="1027" spans="2:2" x14ac:dyDescent="0.25">
      <c r="B1027" t="str">
        <f t="shared" si="15"/>
        <v/>
      </c>
    </row>
    <row r="1028" spans="2:2" x14ac:dyDescent="0.25">
      <c r="B1028" t="str">
        <f t="shared" si="15"/>
        <v/>
      </c>
    </row>
    <row r="1029" spans="2:2" x14ac:dyDescent="0.25">
      <c r="B1029" t="str">
        <f t="shared" si="15"/>
        <v/>
      </c>
    </row>
    <row r="1030" spans="2:2" x14ac:dyDescent="0.25">
      <c r="B1030" t="str">
        <f t="shared" ref="B1030:B1051" si="16">IF(OR(C1030="",C1030="Grand Total"),"",1)</f>
        <v/>
      </c>
    </row>
    <row r="1031" spans="2:2" x14ac:dyDescent="0.25">
      <c r="B1031" t="str">
        <f t="shared" si="16"/>
        <v/>
      </c>
    </row>
    <row r="1032" spans="2:2" x14ac:dyDescent="0.25">
      <c r="B1032" t="str">
        <f t="shared" si="16"/>
        <v/>
      </c>
    </row>
    <row r="1033" spans="2:2" x14ac:dyDescent="0.25">
      <c r="B1033" t="str">
        <f t="shared" si="16"/>
        <v/>
      </c>
    </row>
    <row r="1034" spans="2:2" x14ac:dyDescent="0.25">
      <c r="B1034" t="str">
        <f t="shared" si="16"/>
        <v/>
      </c>
    </row>
    <row r="1035" spans="2:2" x14ac:dyDescent="0.25">
      <c r="B1035" t="str">
        <f t="shared" si="16"/>
        <v/>
      </c>
    </row>
    <row r="1036" spans="2:2" x14ac:dyDescent="0.25">
      <c r="B1036" t="str">
        <f t="shared" si="16"/>
        <v/>
      </c>
    </row>
    <row r="1037" spans="2:2" x14ac:dyDescent="0.25">
      <c r="B1037" t="str">
        <f t="shared" si="16"/>
        <v/>
      </c>
    </row>
    <row r="1038" spans="2:2" x14ac:dyDescent="0.25">
      <c r="B1038" t="str">
        <f t="shared" si="16"/>
        <v/>
      </c>
    </row>
    <row r="1039" spans="2:2" x14ac:dyDescent="0.25">
      <c r="B1039" t="str">
        <f t="shared" si="16"/>
        <v/>
      </c>
    </row>
    <row r="1040" spans="2:2" x14ac:dyDescent="0.25">
      <c r="B1040" t="str">
        <f t="shared" si="16"/>
        <v/>
      </c>
    </row>
    <row r="1041" spans="2:2" x14ac:dyDescent="0.25">
      <c r="B1041" t="str">
        <f t="shared" si="16"/>
        <v/>
      </c>
    </row>
    <row r="1042" spans="2:2" x14ac:dyDescent="0.25">
      <c r="B1042" t="str">
        <f t="shared" si="16"/>
        <v/>
      </c>
    </row>
    <row r="1043" spans="2:2" x14ac:dyDescent="0.25">
      <c r="B1043" t="str">
        <f t="shared" si="16"/>
        <v/>
      </c>
    </row>
    <row r="1044" spans="2:2" x14ac:dyDescent="0.25">
      <c r="B1044" t="str">
        <f t="shared" si="16"/>
        <v/>
      </c>
    </row>
    <row r="1045" spans="2:2" x14ac:dyDescent="0.25">
      <c r="B1045" t="str">
        <f t="shared" si="16"/>
        <v/>
      </c>
    </row>
    <row r="1046" spans="2:2" x14ac:dyDescent="0.25">
      <c r="B1046" t="str">
        <f t="shared" si="16"/>
        <v/>
      </c>
    </row>
    <row r="1047" spans="2:2" x14ac:dyDescent="0.25">
      <c r="B1047" t="str">
        <f t="shared" si="16"/>
        <v/>
      </c>
    </row>
    <row r="1048" spans="2:2" x14ac:dyDescent="0.25">
      <c r="B1048" t="str">
        <f t="shared" si="16"/>
        <v/>
      </c>
    </row>
    <row r="1049" spans="2:2" x14ac:dyDescent="0.25">
      <c r="B1049" t="str">
        <f t="shared" si="16"/>
        <v/>
      </c>
    </row>
    <row r="1050" spans="2:2" x14ac:dyDescent="0.25">
      <c r="B1050" t="str">
        <f t="shared" si="16"/>
        <v/>
      </c>
    </row>
    <row r="1051" spans="2:2" x14ac:dyDescent="0.25">
      <c r="B1051" t="str">
        <f t="shared" si="16"/>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BC065A-EB8C-42C3-A316-4B61E7E2CE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Introduction</vt:lpstr>
      <vt:lpstr>Yearly Leave Tracker</vt:lpstr>
      <vt:lpstr>Database</vt:lpstr>
      <vt:lpstr>Helper sheet2</vt:lpstr>
      <vt:lpstr>Helper sheet</vt:lpstr>
      <vt:lpstr>Sheet1</vt:lpstr>
      <vt:lpstr>Sheet3</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Kareem Mostafa</dc:creator>
  <cp:lastModifiedBy>QSK1184</cp:lastModifiedBy>
  <dcterms:created xsi:type="dcterms:W3CDTF">2014-12-17T05:13:13Z</dcterms:created>
  <dcterms:modified xsi:type="dcterms:W3CDTF">2024-09-20T12:17:48Z</dcterms:modified>
</cp:coreProperties>
</file>